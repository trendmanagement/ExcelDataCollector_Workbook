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DataCollector_Workbook\Other Versions\"/>
    </mc:Choice>
  </mc:AlternateContent>
  <bookViews>
    <workbookView xWindow="0" yWindow="0" windowWidth="19200" windowHeight="11370" firstSheet="3" activeTab="4"/>
  </bookViews>
  <sheets>
    <sheet name="Long Futures" sheetId="4" r:id="rId1"/>
    <sheet name="Long and Short Futures" sheetId="10" r:id="rId2"/>
    <sheet name="DHP" sheetId="9" r:id="rId3"/>
    <sheet name="DHP and Futures Constant" sheetId="7" r:id="rId4"/>
    <sheet name="DHP and Futures Selling Off" sheetId="14" r:id="rId5"/>
    <sheet name="DHP &amp; Current Hedge" sheetId="15" r:id="rId6"/>
    <sheet name="Data" sheetId="1" r:id="rId7"/>
    <sheet name="Current Hedge" sheetId="11" r:id="rId8"/>
    <sheet name="selectionData" sheetId="8" r:id="rId9"/>
  </sheets>
  <functionGroups builtInGroupCount="18"/>
  <definedNames>
    <definedName name="_xlnm._FilterDatabase" localSheetId="7" hidden="1">'Current Hedge'!$A$1:$J$15</definedName>
    <definedName name="_xlnm._FilterDatabase" localSheetId="6" hidden="1">Data!$H$11:$L$1059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LongFuturesExoRangeSelloffBoth">OFFSET(Data!$S$12,0,0,minRowCount,1)</definedName>
    <definedName name="dhpLongFuturesExoRangeSelloffonly1">OFFSET(Data!$R$12,0,0,minRowCount,1)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dhpRangeSelloff">OFFSET(Data!$O$12,0,0,minRowCount,1)</definedName>
    <definedName name="ExoId">Data!$B$5</definedName>
    <definedName name="longExoRange">OFFSET(Data!$J$12,0,0,minRowCount,1)</definedName>
    <definedName name="longExoRangeSelloff">OFFSET(Data!$P$12,0,0,minRowCount,1)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rofitParticipation">Data!$B$10</definedName>
    <definedName name="shortExoRange">OFFSET(Data!$K$12,0,0,minRowCount,1)</definedName>
    <definedName name="shortExoRangeSelloff">OFFSET(Data!$Q$12,0,0,minRowCount,1)</definedName>
    <definedName name="StartDate">Data!$B$6</definedName>
    <definedName name="startingDHPDollars">Data!$B$7</definedName>
    <definedName name="totalMonths">Data!$F$2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1" l="1"/>
  <c r="J4" i="11"/>
  <c r="J5" i="11"/>
  <c r="J6" i="11"/>
  <c r="J7" i="11"/>
  <c r="J8" i="11"/>
  <c r="J9" i="11"/>
  <c r="J10" i="11"/>
  <c r="J11" i="11"/>
  <c r="J12" i="11"/>
  <c r="J13" i="11"/>
  <c r="J14" i="11"/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J13" i="1"/>
  <c r="J14" i="1"/>
  <c r="J15" i="1"/>
  <c r="J16" i="1"/>
  <c r="J17" i="1"/>
  <c r="I13" i="1"/>
  <c r="J18" i="1"/>
  <c r="I14" i="1"/>
  <c r="J19" i="1"/>
  <c r="I15" i="1"/>
  <c r="J20" i="1"/>
  <c r="I16" i="1"/>
  <c r="J21" i="1"/>
  <c r="I17" i="1"/>
  <c r="J22" i="1"/>
  <c r="I18" i="1"/>
  <c r="J23" i="1"/>
  <c r="I19" i="1"/>
  <c r="J24" i="1"/>
  <c r="I20" i="1"/>
  <c r="J25" i="1"/>
  <c r="I21" i="1"/>
  <c r="J26" i="1"/>
  <c r="I22" i="1"/>
  <c r="J27" i="1"/>
  <c r="I23" i="1"/>
  <c r="J28" i="1"/>
  <c r="I24" i="1"/>
  <c r="J29" i="1"/>
  <c r="I25" i="1"/>
  <c r="J30" i="1"/>
  <c r="I26" i="1"/>
  <c r="J31" i="1"/>
  <c r="I27" i="1"/>
  <c r="J32" i="1"/>
  <c r="I28" i="1"/>
  <c r="J33" i="1"/>
  <c r="I29" i="1"/>
  <c r="J34" i="1"/>
  <c r="I30" i="1"/>
  <c r="J35" i="1"/>
  <c r="I31" i="1"/>
  <c r="J36" i="1"/>
  <c r="I32" i="1"/>
  <c r="J37" i="1"/>
  <c r="I33" i="1"/>
  <c r="J38" i="1"/>
  <c r="I34" i="1"/>
  <c r="J39" i="1"/>
  <c r="I35" i="1"/>
  <c r="J40" i="1"/>
  <c r="I36" i="1"/>
  <c r="J41" i="1"/>
  <c r="I37" i="1"/>
  <c r="J42" i="1"/>
  <c r="I38" i="1"/>
  <c r="J43" i="1"/>
  <c r="I39" i="1"/>
  <c r="J44" i="1"/>
  <c r="I40" i="1"/>
  <c r="J45" i="1"/>
  <c r="I41" i="1"/>
  <c r="J46" i="1"/>
  <c r="I42" i="1"/>
  <c r="J47" i="1"/>
  <c r="I43" i="1"/>
  <c r="J48" i="1"/>
  <c r="I44" i="1"/>
  <c r="J49" i="1"/>
  <c r="I45" i="1"/>
  <c r="J50" i="1"/>
  <c r="I46" i="1"/>
  <c r="J51" i="1"/>
  <c r="I47" i="1"/>
  <c r="J52" i="1"/>
  <c r="I48" i="1"/>
  <c r="J53" i="1"/>
  <c r="I49" i="1"/>
  <c r="J54" i="1"/>
  <c r="I50" i="1"/>
  <c r="J55" i="1"/>
  <c r="I51" i="1"/>
  <c r="J56" i="1"/>
  <c r="I52" i="1"/>
  <c r="J57" i="1"/>
  <c r="I53" i="1"/>
  <c r="J58" i="1"/>
  <c r="I54" i="1"/>
  <c r="J59" i="1"/>
  <c r="I55" i="1"/>
  <c r="J60" i="1"/>
  <c r="I56" i="1"/>
  <c r="J61" i="1"/>
  <c r="I57" i="1"/>
  <c r="J62" i="1"/>
  <c r="I58" i="1"/>
  <c r="J63" i="1"/>
  <c r="I59" i="1"/>
  <c r="J64" i="1"/>
  <c r="I60" i="1"/>
  <c r="J65" i="1"/>
  <c r="I61" i="1"/>
  <c r="J66" i="1"/>
  <c r="I62" i="1"/>
  <c r="J67" i="1"/>
  <c r="I63" i="1"/>
  <c r="J68" i="1"/>
  <c r="I64" i="1"/>
  <c r="J69" i="1"/>
  <c r="I65" i="1"/>
  <c r="J70" i="1"/>
  <c r="I66" i="1"/>
  <c r="J71" i="1"/>
  <c r="I67" i="1"/>
  <c r="J72" i="1"/>
  <c r="I68" i="1"/>
  <c r="J73" i="1"/>
  <c r="I69" i="1"/>
  <c r="J74" i="1"/>
  <c r="I70" i="1"/>
  <c r="J75" i="1"/>
  <c r="I71" i="1"/>
  <c r="J76" i="1"/>
  <c r="I72" i="1"/>
  <c r="J77" i="1"/>
  <c r="I73" i="1"/>
  <c r="J78" i="1"/>
  <c r="I74" i="1"/>
  <c r="J79" i="1"/>
  <c r="I75" i="1"/>
  <c r="J80" i="1"/>
  <c r="I76" i="1"/>
  <c r="J81" i="1"/>
  <c r="I77" i="1"/>
  <c r="J82" i="1"/>
  <c r="I78" i="1"/>
  <c r="J83" i="1"/>
  <c r="I79" i="1"/>
  <c r="J84" i="1"/>
  <c r="I80" i="1"/>
  <c r="J85" i="1"/>
  <c r="I81" i="1"/>
  <c r="J86" i="1"/>
  <c r="I82" i="1"/>
  <c r="J87" i="1"/>
  <c r="I83" i="1"/>
  <c r="J88" i="1"/>
  <c r="I84" i="1"/>
  <c r="J89" i="1"/>
  <c r="I85" i="1"/>
  <c r="J90" i="1"/>
  <c r="I86" i="1"/>
  <c r="J91" i="1"/>
  <c r="I87" i="1"/>
  <c r="J92" i="1"/>
  <c r="I88" i="1"/>
  <c r="J93" i="1"/>
  <c r="I89" i="1"/>
  <c r="J94" i="1"/>
  <c r="I90" i="1"/>
  <c r="J95" i="1"/>
  <c r="I91" i="1"/>
  <c r="J96" i="1"/>
  <c r="I92" i="1"/>
  <c r="J97" i="1"/>
  <c r="I93" i="1"/>
  <c r="J98" i="1"/>
  <c r="I94" i="1"/>
  <c r="J99" i="1"/>
  <c r="I95" i="1"/>
  <c r="J100" i="1"/>
  <c r="I96" i="1"/>
  <c r="J101" i="1"/>
  <c r="I97" i="1"/>
  <c r="J102" i="1"/>
  <c r="I98" i="1"/>
  <c r="J103" i="1"/>
  <c r="I99" i="1"/>
  <c r="J104" i="1"/>
  <c r="I100" i="1"/>
  <c r="J105" i="1"/>
  <c r="I101" i="1"/>
  <c r="J106" i="1"/>
  <c r="I102" i="1"/>
  <c r="J107" i="1"/>
  <c r="I103" i="1"/>
  <c r="J108" i="1"/>
  <c r="I104" i="1"/>
  <c r="J109" i="1"/>
  <c r="I105" i="1"/>
  <c r="J110" i="1"/>
  <c r="I106" i="1"/>
  <c r="J111" i="1"/>
  <c r="I107" i="1"/>
  <c r="J112" i="1"/>
  <c r="I108" i="1"/>
  <c r="J113" i="1"/>
  <c r="I109" i="1"/>
  <c r="J114" i="1"/>
  <c r="I110" i="1"/>
  <c r="J115" i="1"/>
  <c r="I111" i="1"/>
  <c r="J116" i="1"/>
  <c r="I112" i="1"/>
  <c r="J117" i="1"/>
  <c r="I113" i="1"/>
  <c r="J118" i="1"/>
  <c r="I114" i="1"/>
  <c r="J119" i="1"/>
  <c r="I115" i="1"/>
  <c r="J120" i="1"/>
  <c r="I116" i="1"/>
  <c r="J121" i="1"/>
  <c r="I117" i="1"/>
  <c r="J122" i="1"/>
  <c r="I118" i="1"/>
  <c r="J123" i="1"/>
  <c r="I119" i="1"/>
  <c r="J124" i="1"/>
  <c r="I120" i="1"/>
  <c r="J125" i="1"/>
  <c r="I121" i="1"/>
  <c r="J126" i="1"/>
  <c r="I122" i="1"/>
  <c r="J127" i="1"/>
  <c r="I123" i="1"/>
  <c r="J128" i="1"/>
  <c r="I124" i="1"/>
  <c r="J129" i="1"/>
  <c r="I125" i="1"/>
  <c r="J130" i="1"/>
  <c r="I126" i="1"/>
  <c r="J131" i="1"/>
  <c r="I127" i="1"/>
  <c r="J132" i="1"/>
  <c r="I128" i="1"/>
  <c r="J133" i="1"/>
  <c r="I129" i="1"/>
  <c r="J134" i="1"/>
  <c r="I130" i="1"/>
  <c r="J135" i="1"/>
  <c r="I131" i="1"/>
  <c r="J136" i="1"/>
  <c r="I132" i="1"/>
  <c r="J137" i="1"/>
  <c r="I133" i="1"/>
  <c r="J138" i="1"/>
  <c r="I134" i="1"/>
  <c r="J139" i="1"/>
  <c r="I135" i="1"/>
  <c r="J140" i="1"/>
  <c r="I136" i="1"/>
  <c r="J141" i="1"/>
  <c r="I137" i="1"/>
  <c r="J142" i="1"/>
  <c r="I138" i="1"/>
  <c r="J143" i="1"/>
  <c r="I139" i="1"/>
  <c r="J144" i="1"/>
  <c r="I140" i="1"/>
  <c r="J145" i="1"/>
  <c r="I141" i="1"/>
  <c r="J146" i="1"/>
  <c r="I142" i="1"/>
  <c r="J147" i="1"/>
  <c r="I143" i="1"/>
  <c r="J148" i="1"/>
  <c r="I144" i="1"/>
  <c r="J149" i="1"/>
  <c r="I145" i="1"/>
  <c r="J150" i="1"/>
  <c r="I146" i="1"/>
  <c r="J151" i="1"/>
  <c r="I147" i="1"/>
  <c r="J152" i="1"/>
  <c r="I148" i="1"/>
  <c r="J153" i="1"/>
  <c r="I149" i="1"/>
  <c r="J154" i="1"/>
  <c r="I150" i="1"/>
  <c r="J155" i="1"/>
  <c r="I151" i="1"/>
  <c r="J156" i="1"/>
  <c r="I152" i="1"/>
  <c r="J157" i="1"/>
  <c r="I153" i="1"/>
  <c r="J158" i="1"/>
  <c r="I154" i="1"/>
  <c r="J159" i="1"/>
  <c r="I155" i="1"/>
  <c r="J160" i="1"/>
  <c r="I156" i="1"/>
  <c r="J161" i="1"/>
  <c r="I157" i="1"/>
  <c r="J162" i="1"/>
  <c r="I158" i="1"/>
  <c r="J163" i="1"/>
  <c r="I159" i="1"/>
  <c r="J164" i="1"/>
  <c r="I160" i="1"/>
  <c r="J165" i="1"/>
  <c r="I161" i="1"/>
  <c r="J166" i="1"/>
  <c r="I162" i="1"/>
  <c r="J167" i="1"/>
  <c r="I163" i="1"/>
  <c r="J168" i="1"/>
  <c r="I164" i="1"/>
  <c r="J169" i="1"/>
  <c r="I165" i="1"/>
  <c r="J170" i="1"/>
  <c r="I166" i="1"/>
  <c r="J171" i="1"/>
  <c r="I167" i="1"/>
  <c r="J172" i="1"/>
  <c r="I168" i="1"/>
  <c r="J173" i="1"/>
  <c r="I169" i="1"/>
  <c r="J174" i="1"/>
  <c r="I170" i="1"/>
  <c r="J175" i="1"/>
  <c r="I171" i="1"/>
  <c r="J176" i="1"/>
  <c r="I172" i="1"/>
  <c r="J177" i="1"/>
  <c r="I173" i="1"/>
  <c r="J178" i="1"/>
  <c r="I174" i="1"/>
  <c r="J179" i="1"/>
  <c r="I175" i="1"/>
  <c r="J180" i="1"/>
  <c r="I176" i="1"/>
  <c r="J181" i="1"/>
  <c r="I177" i="1"/>
  <c r="J182" i="1"/>
  <c r="I178" i="1"/>
  <c r="J183" i="1"/>
  <c r="I179" i="1"/>
  <c r="J184" i="1"/>
  <c r="I180" i="1"/>
  <c r="J185" i="1"/>
  <c r="I181" i="1"/>
  <c r="J186" i="1"/>
  <c r="I182" i="1"/>
  <c r="J187" i="1"/>
  <c r="I183" i="1"/>
  <c r="J188" i="1"/>
  <c r="I184" i="1"/>
  <c r="J189" i="1"/>
  <c r="I185" i="1"/>
  <c r="J190" i="1"/>
  <c r="I186" i="1"/>
  <c r="J191" i="1"/>
  <c r="I187" i="1"/>
  <c r="J192" i="1"/>
  <c r="I188" i="1"/>
  <c r="J193" i="1"/>
  <c r="I189" i="1"/>
  <c r="J194" i="1"/>
  <c r="I190" i="1"/>
  <c r="J195" i="1"/>
  <c r="I191" i="1"/>
  <c r="J196" i="1"/>
  <c r="I192" i="1"/>
  <c r="J197" i="1"/>
  <c r="I193" i="1"/>
  <c r="J198" i="1"/>
  <c r="I194" i="1"/>
  <c r="J199" i="1"/>
  <c r="I195" i="1"/>
  <c r="J200" i="1"/>
  <c r="I196" i="1"/>
  <c r="J201" i="1"/>
  <c r="I197" i="1"/>
  <c r="J202" i="1"/>
  <c r="I198" i="1"/>
  <c r="J203" i="1"/>
  <c r="I199" i="1"/>
  <c r="J204" i="1"/>
  <c r="I200" i="1"/>
  <c r="J205" i="1"/>
  <c r="I201" i="1"/>
  <c r="J206" i="1"/>
  <c r="I202" i="1"/>
  <c r="J207" i="1"/>
  <c r="I203" i="1"/>
  <c r="J208" i="1"/>
  <c r="I204" i="1"/>
  <c r="J209" i="1"/>
  <c r="I205" i="1"/>
  <c r="J210" i="1"/>
  <c r="I206" i="1"/>
  <c r="J211" i="1"/>
  <c r="I207" i="1"/>
  <c r="J212" i="1"/>
  <c r="I208" i="1"/>
  <c r="J213" i="1"/>
  <c r="I209" i="1"/>
  <c r="J214" i="1"/>
  <c r="I210" i="1"/>
  <c r="J215" i="1"/>
  <c r="I211" i="1"/>
  <c r="J216" i="1"/>
  <c r="I212" i="1"/>
  <c r="J217" i="1"/>
  <c r="I213" i="1"/>
  <c r="J218" i="1"/>
  <c r="I214" i="1"/>
  <c r="J219" i="1"/>
  <c r="I215" i="1"/>
  <c r="J220" i="1"/>
  <c r="I216" i="1"/>
  <c r="J221" i="1"/>
  <c r="I217" i="1"/>
  <c r="J222" i="1"/>
  <c r="I218" i="1"/>
  <c r="J223" i="1"/>
  <c r="I219" i="1"/>
  <c r="J224" i="1"/>
  <c r="I220" i="1"/>
  <c r="J225" i="1"/>
  <c r="I221" i="1"/>
  <c r="J226" i="1"/>
  <c r="I222" i="1"/>
  <c r="J227" i="1"/>
  <c r="I223" i="1"/>
  <c r="J228" i="1"/>
  <c r="I224" i="1"/>
  <c r="J229" i="1"/>
  <c r="I225" i="1"/>
  <c r="J230" i="1"/>
  <c r="I226" i="1"/>
  <c r="J231" i="1"/>
  <c r="I227" i="1"/>
  <c r="J232" i="1"/>
  <c r="I228" i="1"/>
  <c r="J233" i="1"/>
  <c r="I229" i="1"/>
  <c r="J234" i="1"/>
  <c r="I230" i="1"/>
  <c r="J235" i="1"/>
  <c r="I231" i="1"/>
  <c r="J236" i="1"/>
  <c r="I232" i="1"/>
  <c r="J237" i="1"/>
  <c r="I233" i="1"/>
  <c r="J238" i="1"/>
  <c r="I234" i="1"/>
  <c r="J239" i="1"/>
  <c r="I235" i="1"/>
  <c r="J240" i="1"/>
  <c r="I236" i="1"/>
  <c r="J241" i="1"/>
  <c r="I237" i="1"/>
  <c r="J242" i="1"/>
  <c r="I238" i="1"/>
  <c r="J243" i="1"/>
  <c r="I239" i="1"/>
  <c r="J244" i="1"/>
  <c r="I240" i="1"/>
  <c r="J245" i="1"/>
  <c r="I241" i="1"/>
  <c r="J246" i="1"/>
  <c r="I242" i="1"/>
  <c r="J247" i="1"/>
  <c r="I243" i="1"/>
  <c r="J248" i="1"/>
  <c r="I244" i="1"/>
  <c r="J249" i="1"/>
  <c r="I245" i="1"/>
  <c r="J250" i="1"/>
  <c r="I246" i="1"/>
  <c r="J251" i="1"/>
  <c r="I247" i="1"/>
  <c r="J252" i="1"/>
  <c r="I248" i="1"/>
  <c r="J253" i="1"/>
  <c r="I249" i="1"/>
  <c r="J254" i="1"/>
  <c r="I250" i="1"/>
  <c r="J255" i="1"/>
  <c r="I251" i="1"/>
  <c r="J256" i="1"/>
  <c r="I252" i="1"/>
  <c r="J257" i="1"/>
  <c r="I253" i="1"/>
  <c r="J258" i="1"/>
  <c r="I254" i="1"/>
  <c r="J259" i="1"/>
  <c r="I255" i="1"/>
  <c r="J260" i="1"/>
  <c r="I256" i="1"/>
  <c r="J261" i="1"/>
  <c r="I257" i="1"/>
  <c r="J262" i="1"/>
  <c r="I258" i="1"/>
  <c r="J263" i="1"/>
  <c r="I259" i="1"/>
  <c r="J264" i="1"/>
  <c r="I260" i="1"/>
  <c r="J265" i="1"/>
  <c r="I261" i="1"/>
  <c r="J266" i="1"/>
  <c r="I262" i="1"/>
  <c r="J267" i="1"/>
  <c r="I263" i="1"/>
  <c r="J268" i="1"/>
  <c r="I264" i="1"/>
  <c r="J269" i="1"/>
  <c r="I265" i="1"/>
  <c r="J270" i="1"/>
  <c r="I266" i="1"/>
  <c r="J271" i="1"/>
  <c r="I267" i="1"/>
  <c r="J272" i="1"/>
  <c r="I268" i="1"/>
  <c r="J273" i="1"/>
  <c r="I269" i="1"/>
  <c r="J274" i="1"/>
  <c r="I270" i="1"/>
  <c r="J275" i="1"/>
  <c r="I271" i="1"/>
  <c r="J276" i="1"/>
  <c r="I272" i="1"/>
  <c r="J277" i="1"/>
  <c r="I273" i="1"/>
  <c r="J278" i="1"/>
  <c r="I274" i="1"/>
  <c r="J279" i="1"/>
  <c r="I275" i="1"/>
  <c r="J280" i="1"/>
  <c r="I276" i="1"/>
  <c r="J281" i="1"/>
  <c r="I277" i="1"/>
  <c r="J282" i="1"/>
  <c r="I278" i="1"/>
  <c r="J283" i="1"/>
  <c r="I279" i="1"/>
  <c r="J284" i="1"/>
  <c r="I280" i="1"/>
  <c r="J285" i="1"/>
  <c r="I281" i="1"/>
  <c r="J286" i="1"/>
  <c r="I282" i="1"/>
  <c r="J287" i="1"/>
  <c r="I283" i="1"/>
  <c r="J288" i="1"/>
  <c r="I284" i="1"/>
  <c r="J289" i="1"/>
  <c r="I285" i="1"/>
  <c r="J290" i="1"/>
  <c r="I286" i="1"/>
  <c r="J291" i="1"/>
  <c r="I287" i="1"/>
  <c r="J292" i="1"/>
  <c r="I288" i="1"/>
  <c r="J293" i="1"/>
  <c r="I289" i="1"/>
  <c r="J294" i="1"/>
  <c r="I290" i="1"/>
  <c r="J295" i="1"/>
  <c r="I291" i="1"/>
  <c r="J296" i="1"/>
  <c r="I292" i="1"/>
  <c r="J297" i="1"/>
  <c r="I293" i="1"/>
  <c r="J298" i="1"/>
  <c r="I294" i="1"/>
  <c r="J299" i="1"/>
  <c r="I295" i="1"/>
  <c r="J300" i="1"/>
  <c r="I296" i="1"/>
  <c r="J301" i="1"/>
  <c r="I297" i="1"/>
  <c r="J302" i="1"/>
  <c r="I298" i="1"/>
  <c r="J303" i="1"/>
  <c r="I299" i="1"/>
  <c r="J304" i="1"/>
  <c r="I300" i="1"/>
  <c r="J305" i="1"/>
  <c r="I301" i="1"/>
  <c r="J306" i="1"/>
  <c r="I302" i="1"/>
  <c r="J307" i="1"/>
  <c r="I303" i="1"/>
  <c r="J308" i="1"/>
  <c r="I304" i="1"/>
  <c r="J309" i="1"/>
  <c r="I305" i="1"/>
  <c r="J310" i="1"/>
  <c r="I306" i="1"/>
  <c r="J311" i="1"/>
  <c r="I307" i="1"/>
  <c r="J312" i="1"/>
  <c r="I308" i="1"/>
  <c r="J313" i="1"/>
  <c r="I309" i="1"/>
  <c r="J314" i="1"/>
  <c r="I310" i="1"/>
  <c r="J315" i="1"/>
  <c r="I311" i="1"/>
  <c r="J316" i="1"/>
  <c r="I312" i="1"/>
  <c r="J317" i="1"/>
  <c r="I313" i="1"/>
  <c r="J318" i="1"/>
  <c r="I314" i="1"/>
  <c r="J319" i="1"/>
  <c r="I315" i="1"/>
  <c r="J320" i="1"/>
  <c r="I316" i="1"/>
  <c r="J321" i="1"/>
  <c r="I317" i="1"/>
  <c r="J322" i="1"/>
  <c r="I318" i="1"/>
  <c r="J323" i="1"/>
  <c r="I319" i="1"/>
  <c r="J324" i="1"/>
  <c r="I320" i="1"/>
  <c r="J325" i="1"/>
  <c r="I321" i="1"/>
  <c r="J326" i="1"/>
  <c r="I322" i="1"/>
  <c r="J327" i="1"/>
  <c r="I323" i="1"/>
  <c r="J328" i="1"/>
  <c r="I324" i="1"/>
  <c r="J329" i="1"/>
  <c r="I325" i="1"/>
  <c r="J330" i="1"/>
  <c r="I326" i="1"/>
  <c r="J331" i="1"/>
  <c r="I327" i="1"/>
  <c r="J332" i="1"/>
  <c r="I328" i="1"/>
  <c r="J333" i="1"/>
  <c r="I329" i="1"/>
  <c r="J334" i="1"/>
  <c r="I330" i="1"/>
  <c r="J335" i="1"/>
  <c r="I331" i="1"/>
  <c r="J336" i="1"/>
  <c r="I332" i="1"/>
  <c r="J337" i="1"/>
  <c r="I333" i="1"/>
  <c r="J338" i="1"/>
  <c r="I334" i="1"/>
  <c r="J339" i="1"/>
  <c r="I335" i="1"/>
  <c r="J340" i="1"/>
  <c r="I336" i="1"/>
  <c r="J341" i="1"/>
  <c r="I337" i="1"/>
  <c r="J342" i="1"/>
  <c r="I338" i="1"/>
  <c r="J343" i="1"/>
  <c r="I339" i="1"/>
  <c r="J344" i="1"/>
  <c r="I340" i="1"/>
  <c r="J345" i="1"/>
  <c r="I341" i="1"/>
  <c r="J346" i="1"/>
  <c r="I342" i="1"/>
  <c r="J347" i="1"/>
  <c r="I343" i="1"/>
  <c r="J348" i="1"/>
  <c r="I344" i="1"/>
  <c r="J349" i="1"/>
  <c r="I345" i="1"/>
  <c r="J350" i="1"/>
  <c r="I346" i="1"/>
  <c r="J351" i="1"/>
  <c r="I347" i="1"/>
  <c r="J352" i="1"/>
  <c r="I348" i="1"/>
  <c r="J353" i="1"/>
  <c r="I349" i="1"/>
  <c r="J354" i="1"/>
  <c r="I350" i="1"/>
  <c r="J355" i="1"/>
  <c r="I351" i="1"/>
  <c r="J356" i="1"/>
  <c r="I352" i="1"/>
  <c r="J357" i="1"/>
  <c r="I353" i="1"/>
  <c r="J358" i="1"/>
  <c r="I354" i="1"/>
  <c r="J359" i="1"/>
  <c r="I355" i="1"/>
  <c r="J360" i="1"/>
  <c r="I356" i="1"/>
  <c r="J361" i="1"/>
  <c r="I357" i="1"/>
  <c r="J362" i="1"/>
  <c r="I358" i="1"/>
  <c r="J363" i="1"/>
  <c r="I359" i="1"/>
  <c r="J364" i="1"/>
  <c r="I360" i="1"/>
  <c r="J365" i="1"/>
  <c r="I361" i="1"/>
  <c r="J366" i="1"/>
  <c r="I362" i="1"/>
  <c r="J367" i="1"/>
  <c r="I363" i="1"/>
  <c r="J368" i="1"/>
  <c r="I364" i="1"/>
  <c r="J369" i="1"/>
  <c r="I365" i="1"/>
  <c r="J370" i="1"/>
  <c r="I366" i="1"/>
  <c r="J371" i="1"/>
  <c r="I367" i="1"/>
  <c r="J372" i="1"/>
  <c r="I368" i="1"/>
  <c r="J373" i="1"/>
  <c r="I369" i="1"/>
  <c r="J374" i="1"/>
  <c r="I370" i="1"/>
  <c r="J375" i="1"/>
  <c r="I371" i="1"/>
  <c r="J376" i="1"/>
  <c r="I372" i="1"/>
  <c r="J377" i="1"/>
  <c r="I373" i="1"/>
  <c r="J378" i="1"/>
  <c r="I374" i="1"/>
  <c r="J379" i="1"/>
  <c r="I375" i="1"/>
  <c r="J380" i="1"/>
  <c r="I376" i="1"/>
  <c r="J381" i="1"/>
  <c r="I377" i="1"/>
  <c r="J382" i="1"/>
  <c r="I378" i="1"/>
  <c r="J383" i="1"/>
  <c r="I379" i="1"/>
  <c r="J384" i="1"/>
  <c r="I380" i="1"/>
  <c r="J385" i="1"/>
  <c r="I381" i="1"/>
  <c r="J386" i="1"/>
  <c r="I382" i="1"/>
  <c r="J387" i="1"/>
  <c r="I383" i="1"/>
  <c r="J388" i="1"/>
  <c r="I384" i="1"/>
  <c r="J389" i="1"/>
  <c r="I385" i="1"/>
  <c r="J390" i="1"/>
  <c r="I386" i="1"/>
  <c r="J391" i="1"/>
  <c r="I387" i="1"/>
  <c r="J392" i="1"/>
  <c r="I388" i="1"/>
  <c r="J393" i="1"/>
  <c r="I389" i="1"/>
  <c r="J394" i="1"/>
  <c r="I390" i="1"/>
  <c r="J395" i="1"/>
  <c r="I391" i="1"/>
  <c r="J396" i="1"/>
  <c r="I392" i="1"/>
  <c r="J397" i="1"/>
  <c r="I393" i="1"/>
  <c r="J398" i="1"/>
  <c r="I394" i="1"/>
  <c r="J399" i="1"/>
  <c r="I395" i="1"/>
  <c r="J400" i="1"/>
  <c r="I396" i="1"/>
  <c r="J401" i="1"/>
  <c r="I397" i="1"/>
  <c r="J402" i="1"/>
  <c r="I398" i="1"/>
  <c r="J403" i="1"/>
  <c r="I399" i="1"/>
  <c r="J404" i="1"/>
  <c r="I400" i="1"/>
  <c r="J405" i="1"/>
  <c r="I401" i="1"/>
  <c r="J406" i="1"/>
  <c r="I402" i="1"/>
  <c r="J407" i="1"/>
  <c r="I403" i="1"/>
  <c r="J408" i="1"/>
  <c r="I404" i="1"/>
  <c r="J409" i="1"/>
  <c r="I405" i="1"/>
  <c r="J410" i="1"/>
  <c r="I406" i="1"/>
  <c r="J411" i="1"/>
  <c r="I407" i="1"/>
  <c r="J412" i="1"/>
  <c r="I408" i="1"/>
  <c r="J413" i="1"/>
  <c r="I409" i="1"/>
  <c r="J414" i="1"/>
  <c r="I410" i="1"/>
  <c r="J415" i="1"/>
  <c r="I411" i="1"/>
  <c r="J416" i="1"/>
  <c r="I412" i="1"/>
  <c r="J417" i="1"/>
  <c r="I413" i="1"/>
  <c r="J418" i="1"/>
  <c r="I414" i="1"/>
  <c r="J419" i="1"/>
  <c r="I415" i="1"/>
  <c r="J420" i="1"/>
  <c r="I416" i="1"/>
  <c r="J421" i="1"/>
  <c r="I417" i="1"/>
  <c r="J422" i="1"/>
  <c r="I418" i="1"/>
  <c r="J423" i="1"/>
  <c r="I419" i="1"/>
  <c r="J424" i="1"/>
  <c r="I420" i="1"/>
  <c r="J425" i="1"/>
  <c r="I421" i="1"/>
  <c r="J426" i="1"/>
  <c r="I422" i="1"/>
  <c r="J427" i="1"/>
  <c r="I423" i="1"/>
  <c r="J428" i="1"/>
  <c r="I424" i="1"/>
  <c r="J429" i="1"/>
  <c r="I425" i="1"/>
  <c r="J430" i="1"/>
  <c r="I426" i="1"/>
  <c r="J431" i="1"/>
  <c r="I427" i="1"/>
  <c r="J432" i="1"/>
  <c r="I428" i="1"/>
  <c r="J433" i="1"/>
  <c r="I429" i="1"/>
  <c r="J434" i="1"/>
  <c r="I430" i="1"/>
  <c r="J435" i="1"/>
  <c r="I431" i="1"/>
  <c r="J436" i="1"/>
  <c r="I432" i="1"/>
  <c r="J437" i="1"/>
  <c r="I433" i="1"/>
  <c r="J438" i="1"/>
  <c r="I434" i="1"/>
  <c r="J439" i="1"/>
  <c r="I435" i="1"/>
  <c r="J440" i="1"/>
  <c r="I436" i="1"/>
  <c r="J441" i="1"/>
  <c r="I437" i="1"/>
  <c r="J442" i="1"/>
  <c r="I438" i="1"/>
  <c r="J443" i="1"/>
  <c r="I439" i="1"/>
  <c r="J444" i="1"/>
  <c r="I440" i="1"/>
  <c r="J445" i="1"/>
  <c r="I441" i="1"/>
  <c r="J446" i="1"/>
  <c r="I442" i="1"/>
  <c r="J447" i="1"/>
  <c r="I443" i="1"/>
  <c r="J448" i="1"/>
  <c r="I444" i="1"/>
  <c r="J449" i="1"/>
  <c r="I445" i="1"/>
  <c r="J450" i="1"/>
  <c r="I446" i="1"/>
  <c r="J451" i="1"/>
  <c r="I447" i="1"/>
  <c r="J452" i="1"/>
  <c r="I448" i="1"/>
  <c r="J453" i="1"/>
  <c r="I449" i="1"/>
  <c r="J454" i="1"/>
  <c r="I450" i="1"/>
  <c r="J455" i="1"/>
  <c r="I451" i="1"/>
  <c r="J456" i="1"/>
  <c r="I452" i="1"/>
  <c r="J457" i="1"/>
  <c r="I453" i="1"/>
  <c r="J458" i="1"/>
  <c r="I454" i="1"/>
  <c r="J459" i="1"/>
  <c r="I455" i="1"/>
  <c r="J460" i="1"/>
  <c r="I456" i="1"/>
  <c r="J461" i="1"/>
  <c r="I457" i="1"/>
  <c r="J462" i="1"/>
  <c r="I458" i="1"/>
  <c r="J463" i="1"/>
  <c r="I459" i="1"/>
  <c r="J464" i="1"/>
  <c r="I460" i="1"/>
  <c r="J465" i="1"/>
  <c r="I461" i="1"/>
  <c r="J466" i="1"/>
  <c r="I462" i="1"/>
  <c r="J467" i="1"/>
  <c r="I463" i="1"/>
  <c r="J468" i="1"/>
  <c r="I464" i="1"/>
  <c r="J469" i="1"/>
  <c r="I465" i="1"/>
  <c r="J470" i="1"/>
  <c r="I466" i="1"/>
  <c r="J471" i="1"/>
  <c r="I467" i="1"/>
  <c r="J472" i="1"/>
  <c r="I468" i="1"/>
  <c r="J473" i="1"/>
  <c r="I469" i="1"/>
  <c r="J474" i="1"/>
  <c r="I470" i="1"/>
  <c r="J475" i="1"/>
  <c r="I471" i="1"/>
  <c r="J476" i="1"/>
  <c r="I472" i="1"/>
  <c r="J477" i="1"/>
  <c r="I473" i="1"/>
  <c r="J478" i="1"/>
  <c r="I474" i="1"/>
  <c r="J479" i="1"/>
  <c r="I475" i="1"/>
  <c r="J480" i="1"/>
  <c r="I476" i="1"/>
  <c r="J481" i="1"/>
  <c r="I477" i="1"/>
  <c r="J482" i="1"/>
  <c r="I478" i="1"/>
  <c r="J483" i="1"/>
  <c r="I479" i="1"/>
  <c r="J484" i="1"/>
  <c r="I480" i="1"/>
  <c r="J485" i="1"/>
  <c r="I481" i="1"/>
  <c r="J486" i="1"/>
  <c r="I482" i="1"/>
  <c r="J487" i="1"/>
  <c r="I483" i="1"/>
  <c r="J488" i="1"/>
  <c r="I484" i="1"/>
  <c r="J489" i="1"/>
  <c r="I485" i="1"/>
  <c r="J490" i="1"/>
  <c r="I486" i="1"/>
  <c r="J491" i="1"/>
  <c r="I487" i="1"/>
  <c r="J492" i="1"/>
  <c r="I488" i="1"/>
  <c r="J493" i="1"/>
  <c r="I489" i="1"/>
  <c r="J494" i="1"/>
  <c r="I490" i="1"/>
  <c r="J495" i="1"/>
  <c r="I491" i="1"/>
  <c r="J496" i="1"/>
  <c r="I492" i="1"/>
  <c r="J497" i="1"/>
  <c r="I493" i="1"/>
  <c r="J498" i="1"/>
  <c r="I494" i="1"/>
  <c r="J499" i="1"/>
  <c r="I495" i="1"/>
  <c r="J500" i="1"/>
  <c r="I496" i="1"/>
  <c r="J501" i="1"/>
  <c r="I497" i="1"/>
  <c r="J502" i="1"/>
  <c r="I498" i="1"/>
  <c r="J503" i="1"/>
  <c r="I499" i="1"/>
  <c r="J504" i="1"/>
  <c r="I500" i="1"/>
  <c r="J505" i="1"/>
  <c r="I501" i="1"/>
  <c r="J506" i="1"/>
  <c r="I502" i="1"/>
  <c r="J507" i="1"/>
  <c r="I503" i="1"/>
  <c r="J508" i="1"/>
  <c r="I504" i="1"/>
  <c r="J509" i="1"/>
  <c r="I505" i="1"/>
  <c r="J510" i="1"/>
  <c r="I506" i="1"/>
  <c r="J511" i="1"/>
  <c r="I507" i="1"/>
  <c r="J512" i="1"/>
  <c r="I508" i="1"/>
  <c r="J513" i="1"/>
  <c r="I509" i="1"/>
  <c r="J514" i="1"/>
  <c r="I510" i="1"/>
  <c r="J515" i="1"/>
  <c r="I511" i="1"/>
  <c r="J516" i="1"/>
  <c r="I512" i="1"/>
  <c r="J517" i="1"/>
  <c r="I513" i="1"/>
  <c r="J518" i="1"/>
  <c r="I514" i="1"/>
  <c r="J519" i="1"/>
  <c r="I515" i="1"/>
  <c r="J520" i="1"/>
  <c r="I516" i="1"/>
  <c r="J521" i="1"/>
  <c r="I517" i="1"/>
  <c r="J522" i="1"/>
  <c r="I518" i="1"/>
  <c r="J523" i="1"/>
  <c r="I519" i="1"/>
  <c r="J524" i="1"/>
  <c r="I520" i="1"/>
  <c r="J525" i="1"/>
  <c r="I521" i="1"/>
  <c r="J526" i="1"/>
  <c r="I522" i="1"/>
  <c r="J527" i="1"/>
  <c r="I523" i="1"/>
  <c r="J528" i="1"/>
  <c r="I524" i="1"/>
  <c r="J529" i="1"/>
  <c r="I525" i="1"/>
  <c r="J530" i="1"/>
  <c r="I526" i="1"/>
  <c r="J531" i="1"/>
  <c r="I527" i="1"/>
  <c r="J532" i="1"/>
  <c r="I528" i="1"/>
  <c r="J533" i="1"/>
  <c r="I529" i="1"/>
  <c r="J534" i="1"/>
  <c r="I530" i="1"/>
  <c r="J535" i="1"/>
  <c r="I531" i="1"/>
  <c r="J536" i="1"/>
  <c r="I532" i="1"/>
  <c r="J537" i="1"/>
  <c r="I533" i="1"/>
  <c r="J538" i="1"/>
  <c r="I534" i="1"/>
  <c r="J539" i="1"/>
  <c r="I535" i="1"/>
  <c r="J540" i="1"/>
  <c r="I536" i="1"/>
  <c r="J541" i="1"/>
  <c r="I537" i="1"/>
  <c r="J542" i="1"/>
  <c r="I538" i="1"/>
  <c r="J543" i="1"/>
  <c r="I539" i="1"/>
  <c r="J544" i="1"/>
  <c r="I540" i="1"/>
  <c r="J545" i="1"/>
  <c r="I541" i="1"/>
  <c r="J546" i="1"/>
  <c r="I542" i="1"/>
  <c r="J547" i="1"/>
  <c r="I543" i="1"/>
  <c r="J548" i="1"/>
  <c r="I544" i="1"/>
  <c r="J549" i="1"/>
  <c r="I545" i="1"/>
  <c r="J550" i="1"/>
  <c r="I546" i="1"/>
  <c r="J551" i="1"/>
  <c r="I547" i="1"/>
  <c r="J552" i="1"/>
  <c r="I548" i="1"/>
  <c r="J553" i="1"/>
  <c r="I549" i="1"/>
  <c r="J554" i="1"/>
  <c r="I550" i="1"/>
  <c r="J555" i="1"/>
  <c r="I551" i="1"/>
  <c r="J556" i="1"/>
  <c r="I552" i="1"/>
  <c r="J557" i="1"/>
  <c r="I553" i="1"/>
  <c r="J558" i="1"/>
  <c r="I554" i="1"/>
  <c r="J559" i="1"/>
  <c r="I555" i="1"/>
  <c r="J560" i="1"/>
  <c r="I556" i="1"/>
  <c r="J561" i="1"/>
  <c r="I557" i="1"/>
  <c r="J562" i="1"/>
  <c r="I558" i="1"/>
  <c r="J563" i="1"/>
  <c r="I559" i="1"/>
  <c r="J564" i="1"/>
  <c r="I560" i="1"/>
  <c r="J565" i="1"/>
  <c r="I561" i="1"/>
  <c r="J566" i="1"/>
  <c r="I562" i="1"/>
  <c r="J567" i="1"/>
  <c r="I563" i="1"/>
  <c r="J568" i="1"/>
  <c r="I564" i="1"/>
  <c r="J569" i="1"/>
  <c r="I565" i="1"/>
  <c r="J570" i="1"/>
  <c r="I566" i="1"/>
  <c r="J571" i="1"/>
  <c r="I567" i="1"/>
  <c r="J572" i="1"/>
  <c r="I568" i="1"/>
  <c r="J573" i="1"/>
  <c r="I569" i="1"/>
  <c r="J574" i="1"/>
  <c r="I570" i="1"/>
  <c r="J575" i="1"/>
  <c r="I571" i="1"/>
  <c r="J576" i="1"/>
  <c r="I572" i="1"/>
  <c r="J577" i="1"/>
  <c r="I573" i="1"/>
  <c r="J578" i="1"/>
  <c r="I574" i="1"/>
  <c r="J579" i="1"/>
  <c r="I575" i="1"/>
  <c r="J580" i="1"/>
  <c r="I576" i="1"/>
  <c r="J581" i="1"/>
  <c r="I577" i="1"/>
  <c r="J582" i="1"/>
  <c r="I578" i="1"/>
  <c r="J583" i="1"/>
  <c r="I579" i="1"/>
  <c r="J584" i="1"/>
  <c r="I580" i="1"/>
  <c r="J585" i="1"/>
  <c r="I581" i="1"/>
  <c r="J586" i="1"/>
  <c r="I582" i="1"/>
  <c r="J587" i="1"/>
  <c r="I583" i="1"/>
  <c r="J588" i="1"/>
  <c r="I584" i="1"/>
  <c r="J589" i="1"/>
  <c r="I585" i="1"/>
  <c r="J590" i="1"/>
  <c r="I586" i="1"/>
  <c r="J591" i="1"/>
  <c r="I587" i="1"/>
  <c r="J592" i="1"/>
  <c r="I588" i="1"/>
  <c r="J593" i="1"/>
  <c r="I589" i="1"/>
  <c r="J594" i="1"/>
  <c r="I590" i="1"/>
  <c r="J595" i="1"/>
  <c r="I591" i="1"/>
  <c r="J596" i="1"/>
  <c r="I592" i="1"/>
  <c r="J597" i="1"/>
  <c r="I593" i="1"/>
  <c r="J598" i="1"/>
  <c r="I594" i="1"/>
  <c r="J599" i="1"/>
  <c r="I595" i="1"/>
  <c r="J600" i="1"/>
  <c r="I596" i="1"/>
  <c r="J601" i="1"/>
  <c r="I597" i="1"/>
  <c r="J602" i="1"/>
  <c r="I598" i="1"/>
  <c r="J603" i="1"/>
  <c r="I599" i="1"/>
  <c r="J604" i="1"/>
  <c r="I600" i="1"/>
  <c r="J605" i="1"/>
  <c r="I601" i="1"/>
  <c r="J606" i="1"/>
  <c r="I602" i="1"/>
  <c r="J607" i="1"/>
  <c r="I603" i="1"/>
  <c r="J608" i="1"/>
  <c r="I604" i="1"/>
  <c r="J609" i="1"/>
  <c r="I605" i="1"/>
  <c r="J610" i="1"/>
  <c r="I606" i="1"/>
  <c r="J611" i="1"/>
  <c r="I607" i="1"/>
  <c r="J612" i="1"/>
  <c r="I608" i="1"/>
  <c r="J613" i="1"/>
  <c r="I609" i="1"/>
  <c r="J614" i="1"/>
  <c r="I610" i="1"/>
  <c r="J615" i="1"/>
  <c r="I611" i="1"/>
  <c r="J616" i="1"/>
  <c r="I612" i="1"/>
  <c r="J617" i="1"/>
  <c r="I613" i="1"/>
  <c r="J618" i="1"/>
  <c r="I614" i="1"/>
  <c r="J619" i="1"/>
  <c r="I615" i="1"/>
  <c r="J620" i="1"/>
  <c r="I616" i="1"/>
  <c r="J621" i="1"/>
  <c r="I617" i="1"/>
  <c r="J622" i="1"/>
  <c r="I618" i="1"/>
  <c r="J623" i="1"/>
  <c r="I619" i="1"/>
  <c r="J624" i="1"/>
  <c r="I620" i="1"/>
  <c r="J625" i="1"/>
  <c r="I621" i="1"/>
  <c r="J626" i="1"/>
  <c r="I622" i="1"/>
  <c r="J627" i="1"/>
  <c r="I623" i="1"/>
  <c r="J628" i="1"/>
  <c r="I624" i="1"/>
  <c r="J629" i="1"/>
  <c r="I625" i="1"/>
  <c r="J630" i="1"/>
  <c r="I626" i="1"/>
  <c r="J631" i="1"/>
  <c r="I627" i="1"/>
  <c r="J632" i="1"/>
  <c r="I628" i="1"/>
  <c r="J633" i="1"/>
  <c r="I629" i="1"/>
  <c r="J634" i="1"/>
  <c r="I630" i="1"/>
  <c r="J635" i="1"/>
  <c r="I631" i="1"/>
  <c r="J636" i="1"/>
  <c r="I632" i="1"/>
  <c r="J637" i="1"/>
  <c r="I633" i="1"/>
  <c r="J638" i="1"/>
  <c r="I634" i="1"/>
  <c r="J639" i="1"/>
  <c r="I635" i="1"/>
  <c r="J640" i="1"/>
  <c r="I636" i="1"/>
  <c r="J641" i="1"/>
  <c r="I637" i="1"/>
  <c r="J642" i="1"/>
  <c r="I638" i="1"/>
  <c r="J643" i="1"/>
  <c r="I639" i="1"/>
  <c r="J644" i="1"/>
  <c r="I640" i="1"/>
  <c r="J645" i="1"/>
  <c r="I641" i="1"/>
  <c r="J646" i="1"/>
  <c r="I642" i="1"/>
  <c r="J647" i="1"/>
  <c r="I643" i="1"/>
  <c r="J648" i="1"/>
  <c r="I644" i="1"/>
  <c r="J649" i="1"/>
  <c r="I645" i="1"/>
  <c r="J650" i="1"/>
  <c r="I646" i="1"/>
  <c r="J651" i="1"/>
  <c r="I647" i="1"/>
  <c r="J652" i="1"/>
  <c r="I648" i="1"/>
  <c r="J653" i="1"/>
  <c r="I649" i="1"/>
  <c r="J654" i="1"/>
  <c r="I650" i="1"/>
  <c r="J655" i="1"/>
  <c r="I651" i="1"/>
  <c r="J656" i="1"/>
  <c r="I652" i="1"/>
  <c r="J657" i="1"/>
  <c r="I653" i="1"/>
  <c r="J658" i="1"/>
  <c r="I654" i="1"/>
  <c r="J659" i="1"/>
  <c r="I655" i="1"/>
  <c r="J660" i="1"/>
  <c r="I656" i="1"/>
  <c r="J661" i="1"/>
  <c r="I657" i="1"/>
  <c r="J662" i="1"/>
  <c r="I658" i="1"/>
  <c r="J663" i="1"/>
  <c r="I659" i="1"/>
  <c r="J664" i="1"/>
  <c r="I660" i="1"/>
  <c r="J665" i="1"/>
  <c r="I661" i="1"/>
  <c r="J666" i="1"/>
  <c r="I662" i="1"/>
  <c r="J667" i="1"/>
  <c r="I663" i="1"/>
  <c r="J668" i="1"/>
  <c r="I664" i="1"/>
  <c r="J669" i="1"/>
  <c r="I665" i="1"/>
  <c r="J670" i="1"/>
  <c r="I666" i="1"/>
  <c r="J671" i="1"/>
  <c r="I667" i="1"/>
  <c r="J672" i="1"/>
  <c r="I668" i="1"/>
  <c r="J673" i="1"/>
  <c r="I669" i="1"/>
  <c r="J674" i="1"/>
  <c r="I670" i="1"/>
  <c r="J675" i="1"/>
  <c r="I671" i="1"/>
  <c r="J676" i="1"/>
  <c r="I672" i="1"/>
  <c r="J677" i="1"/>
  <c r="I673" i="1"/>
  <c r="J678" i="1"/>
  <c r="I674" i="1"/>
  <c r="J679" i="1"/>
  <c r="I675" i="1"/>
  <c r="J680" i="1"/>
  <c r="I676" i="1"/>
  <c r="J681" i="1"/>
  <c r="I677" i="1"/>
  <c r="J682" i="1"/>
  <c r="I678" i="1"/>
  <c r="J683" i="1"/>
  <c r="I679" i="1"/>
  <c r="J684" i="1"/>
  <c r="I680" i="1"/>
  <c r="J685" i="1"/>
  <c r="I681" i="1"/>
  <c r="J686" i="1"/>
  <c r="I682" i="1"/>
  <c r="J687" i="1"/>
  <c r="I683" i="1"/>
  <c r="J688" i="1"/>
  <c r="I684" i="1"/>
  <c r="J689" i="1"/>
  <c r="I685" i="1"/>
  <c r="J690" i="1"/>
  <c r="I686" i="1"/>
  <c r="J691" i="1"/>
  <c r="I687" i="1"/>
  <c r="J692" i="1"/>
  <c r="I688" i="1"/>
  <c r="J693" i="1"/>
  <c r="I689" i="1"/>
  <c r="J694" i="1"/>
  <c r="I690" i="1"/>
  <c r="J695" i="1"/>
  <c r="I691" i="1"/>
  <c r="J696" i="1"/>
  <c r="I692" i="1"/>
  <c r="J697" i="1"/>
  <c r="I693" i="1"/>
  <c r="J698" i="1"/>
  <c r="I694" i="1"/>
  <c r="J699" i="1"/>
  <c r="I695" i="1"/>
  <c r="J700" i="1"/>
  <c r="I696" i="1"/>
  <c r="J701" i="1"/>
  <c r="I697" i="1"/>
  <c r="J702" i="1"/>
  <c r="I698" i="1"/>
  <c r="J703" i="1"/>
  <c r="I699" i="1"/>
  <c r="J704" i="1"/>
  <c r="I700" i="1"/>
  <c r="J705" i="1"/>
  <c r="I701" i="1"/>
  <c r="J706" i="1"/>
  <c r="I702" i="1"/>
  <c r="J707" i="1"/>
  <c r="I703" i="1"/>
  <c r="J708" i="1"/>
  <c r="I704" i="1"/>
  <c r="J709" i="1"/>
  <c r="I705" i="1"/>
  <c r="J710" i="1"/>
  <c r="I706" i="1"/>
  <c r="J711" i="1"/>
  <c r="I707" i="1"/>
  <c r="J712" i="1"/>
  <c r="I708" i="1"/>
  <c r="J713" i="1"/>
  <c r="I709" i="1"/>
  <c r="J714" i="1"/>
  <c r="I710" i="1"/>
  <c r="J715" i="1"/>
  <c r="I711" i="1"/>
  <c r="J716" i="1"/>
  <c r="I712" i="1"/>
  <c r="J717" i="1"/>
  <c r="I713" i="1"/>
  <c r="J718" i="1"/>
  <c r="I714" i="1"/>
  <c r="J719" i="1"/>
  <c r="I715" i="1"/>
  <c r="J720" i="1"/>
  <c r="I716" i="1"/>
  <c r="J721" i="1"/>
  <c r="I717" i="1"/>
  <c r="J722" i="1"/>
  <c r="I718" i="1"/>
  <c r="J723" i="1"/>
  <c r="I719" i="1"/>
  <c r="J724" i="1"/>
  <c r="I720" i="1"/>
  <c r="J725" i="1"/>
  <c r="I721" i="1"/>
  <c r="J726" i="1"/>
  <c r="I722" i="1"/>
  <c r="J727" i="1"/>
  <c r="I723" i="1"/>
  <c r="J728" i="1"/>
  <c r="I724" i="1"/>
  <c r="J729" i="1"/>
  <c r="I725" i="1"/>
  <c r="J730" i="1"/>
  <c r="I726" i="1"/>
  <c r="J731" i="1"/>
  <c r="I727" i="1"/>
  <c r="J732" i="1"/>
  <c r="I728" i="1"/>
  <c r="J733" i="1"/>
  <c r="I729" i="1"/>
  <c r="J734" i="1"/>
  <c r="I730" i="1"/>
  <c r="J735" i="1"/>
  <c r="I731" i="1"/>
  <c r="J736" i="1"/>
  <c r="I732" i="1"/>
  <c r="J737" i="1"/>
  <c r="I733" i="1"/>
  <c r="J738" i="1"/>
  <c r="I734" i="1"/>
  <c r="J739" i="1"/>
  <c r="I735" i="1"/>
  <c r="J740" i="1"/>
  <c r="I736" i="1"/>
  <c r="J741" i="1"/>
  <c r="I737" i="1"/>
  <c r="J742" i="1"/>
  <c r="I738" i="1"/>
  <c r="J743" i="1"/>
  <c r="I739" i="1"/>
  <c r="J744" i="1"/>
  <c r="I740" i="1"/>
  <c r="J745" i="1"/>
  <c r="I741" i="1"/>
  <c r="J746" i="1"/>
  <c r="I742" i="1"/>
  <c r="J747" i="1"/>
  <c r="I743" i="1"/>
  <c r="J748" i="1"/>
  <c r="I744" i="1"/>
  <c r="J749" i="1"/>
  <c r="I745" i="1"/>
  <c r="J750" i="1"/>
  <c r="I746" i="1"/>
  <c r="J751" i="1"/>
  <c r="I747" i="1"/>
  <c r="J752" i="1"/>
  <c r="I748" i="1"/>
  <c r="J753" i="1"/>
  <c r="I749" i="1"/>
  <c r="J754" i="1"/>
  <c r="I750" i="1"/>
  <c r="J755" i="1"/>
  <c r="I751" i="1"/>
  <c r="J756" i="1"/>
  <c r="I752" i="1"/>
  <c r="J757" i="1"/>
  <c r="I753" i="1"/>
  <c r="J758" i="1"/>
  <c r="I754" i="1"/>
  <c r="J759" i="1"/>
  <c r="I755" i="1"/>
  <c r="J760" i="1"/>
  <c r="I756" i="1"/>
  <c r="J761" i="1"/>
  <c r="I757" i="1"/>
  <c r="J762" i="1"/>
  <c r="I758" i="1"/>
  <c r="J763" i="1"/>
  <c r="I759" i="1"/>
  <c r="J764" i="1"/>
  <c r="I760" i="1"/>
  <c r="J765" i="1"/>
  <c r="I761" i="1"/>
  <c r="M765" i="1"/>
  <c r="J766" i="1"/>
  <c r="I762" i="1"/>
  <c r="M766" i="1"/>
  <c r="J767" i="1"/>
  <c r="I763" i="1"/>
  <c r="M767" i="1"/>
  <c r="J768" i="1"/>
  <c r="I764" i="1"/>
  <c r="M768" i="1"/>
  <c r="J769" i="1"/>
  <c r="I765" i="1"/>
  <c r="M769" i="1"/>
  <c r="J770" i="1"/>
  <c r="I766" i="1"/>
  <c r="M770" i="1"/>
  <c r="J771" i="1"/>
  <c r="I767" i="1"/>
  <c r="M771" i="1"/>
  <c r="J772" i="1"/>
  <c r="I768" i="1"/>
  <c r="M772" i="1"/>
  <c r="J773" i="1"/>
  <c r="I769" i="1"/>
  <c r="M773" i="1"/>
  <c r="J774" i="1"/>
  <c r="I770" i="1"/>
  <c r="M774" i="1"/>
  <c r="J775" i="1"/>
  <c r="I771" i="1"/>
  <c r="M775" i="1"/>
  <c r="J776" i="1"/>
  <c r="I772" i="1"/>
  <c r="M776" i="1"/>
  <c r="J777" i="1"/>
  <c r="I773" i="1"/>
  <c r="M777" i="1"/>
  <c r="J778" i="1"/>
  <c r="I774" i="1"/>
  <c r="M778" i="1"/>
  <c r="J779" i="1"/>
  <c r="I775" i="1"/>
  <c r="M779" i="1"/>
  <c r="J780" i="1"/>
  <c r="I776" i="1"/>
  <c r="M780" i="1"/>
  <c r="J781" i="1"/>
  <c r="I777" i="1"/>
  <c r="M781" i="1"/>
  <c r="J782" i="1"/>
  <c r="I778" i="1"/>
  <c r="M782" i="1"/>
  <c r="J783" i="1"/>
  <c r="I779" i="1"/>
  <c r="M783" i="1"/>
  <c r="J784" i="1"/>
  <c r="I780" i="1"/>
  <c r="M784" i="1"/>
  <c r="J785" i="1"/>
  <c r="I781" i="1"/>
  <c r="M785" i="1"/>
  <c r="J786" i="1"/>
  <c r="I782" i="1"/>
  <c r="M786" i="1"/>
  <c r="J787" i="1"/>
  <c r="I783" i="1"/>
  <c r="M787" i="1"/>
  <c r="J788" i="1"/>
  <c r="I784" i="1"/>
  <c r="M788" i="1"/>
  <c r="J789" i="1"/>
  <c r="I785" i="1"/>
  <c r="M789" i="1"/>
  <c r="J790" i="1"/>
  <c r="I786" i="1"/>
  <c r="M790" i="1"/>
  <c r="J791" i="1"/>
  <c r="I787" i="1"/>
  <c r="M791" i="1"/>
  <c r="J792" i="1"/>
  <c r="I788" i="1"/>
  <c r="M792" i="1"/>
  <c r="J793" i="1"/>
  <c r="I789" i="1"/>
  <c r="M793" i="1"/>
  <c r="J794" i="1"/>
  <c r="I790" i="1"/>
  <c r="M794" i="1"/>
  <c r="J795" i="1"/>
  <c r="I791" i="1"/>
  <c r="M795" i="1"/>
  <c r="J796" i="1"/>
  <c r="I792" i="1"/>
  <c r="M796" i="1"/>
  <c r="J797" i="1"/>
  <c r="I793" i="1"/>
  <c r="M797" i="1"/>
  <c r="J798" i="1"/>
  <c r="I794" i="1"/>
  <c r="M798" i="1"/>
  <c r="J799" i="1"/>
  <c r="I795" i="1"/>
  <c r="M799" i="1"/>
  <c r="J800" i="1"/>
  <c r="I796" i="1"/>
  <c r="M800" i="1"/>
  <c r="J801" i="1"/>
  <c r="I797" i="1"/>
  <c r="M801" i="1"/>
  <c r="J802" i="1"/>
  <c r="I798" i="1"/>
  <c r="M802" i="1"/>
  <c r="J803" i="1"/>
  <c r="I799" i="1"/>
  <c r="M803" i="1"/>
  <c r="J804" i="1"/>
  <c r="I800" i="1"/>
  <c r="M804" i="1"/>
  <c r="J805" i="1"/>
  <c r="I801" i="1"/>
  <c r="M805" i="1"/>
  <c r="J806" i="1"/>
  <c r="I802" i="1"/>
  <c r="M806" i="1"/>
  <c r="J807" i="1"/>
  <c r="I803" i="1"/>
  <c r="M807" i="1"/>
  <c r="J808" i="1"/>
  <c r="I804" i="1"/>
  <c r="M808" i="1"/>
  <c r="J809" i="1"/>
  <c r="I805" i="1"/>
  <c r="M809" i="1"/>
  <c r="J810" i="1"/>
  <c r="I806" i="1"/>
  <c r="M810" i="1"/>
  <c r="J811" i="1"/>
  <c r="I807" i="1"/>
  <c r="M811" i="1"/>
  <c r="J812" i="1"/>
  <c r="I808" i="1"/>
  <c r="M812" i="1"/>
  <c r="J813" i="1"/>
  <c r="I809" i="1"/>
  <c r="M813" i="1"/>
  <c r="J814" i="1"/>
  <c r="I810" i="1"/>
  <c r="M814" i="1"/>
  <c r="J815" i="1"/>
  <c r="I811" i="1"/>
  <c r="M815" i="1"/>
  <c r="J816" i="1"/>
  <c r="I812" i="1"/>
  <c r="M816" i="1"/>
  <c r="J817" i="1"/>
  <c r="I813" i="1"/>
  <c r="M817" i="1"/>
  <c r="J818" i="1"/>
  <c r="I814" i="1"/>
  <c r="M818" i="1"/>
  <c r="J819" i="1"/>
  <c r="I815" i="1"/>
  <c r="M819" i="1"/>
  <c r="J820" i="1"/>
  <c r="I816" i="1"/>
  <c r="M820" i="1"/>
  <c r="J821" i="1"/>
  <c r="I817" i="1"/>
  <c r="M821" i="1"/>
  <c r="J822" i="1"/>
  <c r="I818" i="1"/>
  <c r="M822" i="1"/>
  <c r="J823" i="1"/>
  <c r="I819" i="1"/>
  <c r="M823" i="1"/>
  <c r="J824" i="1"/>
  <c r="I820" i="1"/>
  <c r="M824" i="1"/>
  <c r="J825" i="1"/>
  <c r="I821" i="1"/>
  <c r="M825" i="1"/>
  <c r="J826" i="1"/>
  <c r="I822" i="1"/>
  <c r="M826" i="1"/>
  <c r="J827" i="1"/>
  <c r="I823" i="1"/>
  <c r="M827" i="1"/>
  <c r="J828" i="1"/>
  <c r="I824" i="1"/>
  <c r="M828" i="1"/>
  <c r="J829" i="1"/>
  <c r="I825" i="1"/>
  <c r="M829" i="1"/>
  <c r="J830" i="1"/>
  <c r="I826" i="1"/>
  <c r="M830" i="1"/>
  <c r="J831" i="1"/>
  <c r="I827" i="1"/>
  <c r="M831" i="1"/>
  <c r="J832" i="1"/>
  <c r="I828" i="1"/>
  <c r="M832" i="1"/>
  <c r="J833" i="1"/>
  <c r="I829" i="1"/>
  <c r="M833" i="1"/>
  <c r="J834" i="1"/>
  <c r="I830" i="1"/>
  <c r="M834" i="1"/>
  <c r="J835" i="1"/>
  <c r="I831" i="1"/>
  <c r="M835" i="1"/>
  <c r="J836" i="1"/>
  <c r="I832" i="1"/>
  <c r="M836" i="1"/>
  <c r="J837" i="1"/>
  <c r="I833" i="1"/>
  <c r="M837" i="1"/>
  <c r="J838" i="1"/>
  <c r="I834" i="1"/>
  <c r="M838" i="1"/>
  <c r="J839" i="1"/>
  <c r="I835" i="1"/>
  <c r="M839" i="1"/>
  <c r="J840" i="1"/>
  <c r="I836" i="1"/>
  <c r="M840" i="1"/>
  <c r="J841" i="1"/>
  <c r="I837" i="1"/>
  <c r="M841" i="1"/>
  <c r="J842" i="1"/>
  <c r="I838" i="1"/>
  <c r="M842" i="1"/>
  <c r="J843" i="1"/>
  <c r="I839" i="1"/>
  <c r="M843" i="1"/>
  <c r="J844" i="1"/>
  <c r="I840" i="1"/>
  <c r="M844" i="1"/>
  <c r="J845" i="1"/>
  <c r="I841" i="1"/>
  <c r="M845" i="1"/>
  <c r="J846" i="1"/>
  <c r="I842" i="1"/>
  <c r="M846" i="1"/>
  <c r="J847" i="1"/>
  <c r="I843" i="1"/>
  <c r="M847" i="1"/>
  <c r="J848" i="1"/>
  <c r="I844" i="1"/>
  <c r="M848" i="1"/>
  <c r="J849" i="1"/>
  <c r="I845" i="1"/>
  <c r="M849" i="1"/>
  <c r="J850" i="1"/>
  <c r="I846" i="1"/>
  <c r="M850" i="1"/>
  <c r="J851" i="1"/>
  <c r="I847" i="1"/>
  <c r="M851" i="1"/>
  <c r="J852" i="1"/>
  <c r="I848" i="1"/>
  <c r="M852" i="1"/>
  <c r="J853" i="1"/>
  <c r="I849" i="1"/>
  <c r="M853" i="1"/>
  <c r="J854" i="1"/>
  <c r="I850" i="1"/>
  <c r="M854" i="1"/>
  <c r="J855" i="1"/>
  <c r="I851" i="1"/>
  <c r="M855" i="1"/>
  <c r="J856" i="1"/>
  <c r="I852" i="1"/>
  <c r="M856" i="1"/>
  <c r="J857" i="1"/>
  <c r="I853" i="1"/>
  <c r="M857" i="1"/>
  <c r="J858" i="1"/>
  <c r="I854" i="1"/>
  <c r="M858" i="1"/>
  <c r="J859" i="1"/>
  <c r="I855" i="1"/>
  <c r="M859" i="1"/>
  <c r="J860" i="1"/>
  <c r="I856" i="1"/>
  <c r="M860" i="1"/>
  <c r="J861" i="1"/>
  <c r="I857" i="1"/>
  <c r="M861" i="1"/>
  <c r="J862" i="1"/>
  <c r="I858" i="1"/>
  <c r="M862" i="1"/>
  <c r="J863" i="1"/>
  <c r="I859" i="1"/>
  <c r="M863" i="1"/>
  <c r="J864" i="1"/>
  <c r="I860" i="1"/>
  <c r="M864" i="1"/>
  <c r="J865" i="1"/>
  <c r="I861" i="1"/>
  <c r="M865" i="1"/>
  <c r="J866" i="1"/>
  <c r="I862" i="1"/>
  <c r="M866" i="1"/>
  <c r="J867" i="1"/>
  <c r="I863" i="1"/>
  <c r="M867" i="1"/>
  <c r="J868" i="1"/>
  <c r="I864" i="1"/>
  <c r="M868" i="1"/>
  <c r="J869" i="1"/>
  <c r="I865" i="1"/>
  <c r="M869" i="1"/>
  <c r="J870" i="1"/>
  <c r="I866" i="1"/>
  <c r="M870" i="1"/>
  <c r="J871" i="1"/>
  <c r="I867" i="1"/>
  <c r="M871" i="1"/>
  <c r="J872" i="1"/>
  <c r="I868" i="1"/>
  <c r="M872" i="1"/>
  <c r="J873" i="1"/>
  <c r="I869" i="1"/>
  <c r="M873" i="1"/>
  <c r="J874" i="1"/>
  <c r="I870" i="1"/>
  <c r="M874" i="1"/>
  <c r="J875" i="1"/>
  <c r="I871" i="1"/>
  <c r="M875" i="1"/>
  <c r="J876" i="1"/>
  <c r="I872" i="1"/>
  <c r="M876" i="1"/>
  <c r="J877" i="1"/>
  <c r="I873" i="1"/>
  <c r="M877" i="1"/>
  <c r="J878" i="1"/>
  <c r="I874" i="1"/>
  <c r="M878" i="1"/>
  <c r="J879" i="1"/>
  <c r="I875" i="1"/>
  <c r="M879" i="1"/>
  <c r="J880" i="1"/>
  <c r="I876" i="1"/>
  <c r="M880" i="1"/>
  <c r="J881" i="1"/>
  <c r="I877" i="1"/>
  <c r="M881" i="1"/>
  <c r="J882" i="1"/>
  <c r="I878" i="1"/>
  <c r="M882" i="1"/>
  <c r="J883" i="1"/>
  <c r="I879" i="1"/>
  <c r="M883" i="1"/>
  <c r="J884" i="1"/>
  <c r="I880" i="1"/>
  <c r="M884" i="1"/>
  <c r="J885" i="1"/>
  <c r="I881" i="1"/>
  <c r="M885" i="1"/>
  <c r="J886" i="1"/>
  <c r="I882" i="1"/>
  <c r="M886" i="1"/>
  <c r="J887" i="1"/>
  <c r="I883" i="1"/>
  <c r="M887" i="1"/>
  <c r="J888" i="1"/>
  <c r="I884" i="1"/>
  <c r="M888" i="1"/>
  <c r="J889" i="1"/>
  <c r="I885" i="1"/>
  <c r="M889" i="1"/>
  <c r="J890" i="1"/>
  <c r="I886" i="1"/>
  <c r="M890" i="1"/>
  <c r="J891" i="1"/>
  <c r="I887" i="1"/>
  <c r="M891" i="1"/>
  <c r="J892" i="1"/>
  <c r="I888" i="1"/>
  <c r="M892" i="1"/>
  <c r="J893" i="1"/>
  <c r="I889" i="1"/>
  <c r="M893" i="1"/>
  <c r="J894" i="1"/>
  <c r="I890" i="1"/>
  <c r="M894" i="1"/>
  <c r="J895" i="1"/>
  <c r="I891" i="1"/>
  <c r="M895" i="1"/>
  <c r="J896" i="1"/>
  <c r="I892" i="1"/>
  <c r="M896" i="1"/>
  <c r="J897" i="1"/>
  <c r="I893" i="1"/>
  <c r="M897" i="1"/>
  <c r="J898" i="1"/>
  <c r="I894" i="1"/>
  <c r="M898" i="1"/>
  <c r="J899" i="1"/>
  <c r="I895" i="1"/>
  <c r="M899" i="1"/>
  <c r="J900" i="1"/>
  <c r="I896" i="1"/>
  <c r="M900" i="1"/>
  <c r="J901" i="1"/>
  <c r="I897" i="1"/>
  <c r="M901" i="1"/>
  <c r="J902" i="1"/>
  <c r="I898" i="1"/>
  <c r="M902" i="1"/>
  <c r="J903" i="1"/>
  <c r="I899" i="1"/>
  <c r="M903" i="1"/>
  <c r="J904" i="1"/>
  <c r="I900" i="1"/>
  <c r="M904" i="1"/>
  <c r="J905" i="1"/>
  <c r="I901" i="1"/>
  <c r="M905" i="1"/>
  <c r="J906" i="1"/>
  <c r="I902" i="1"/>
  <c r="M906" i="1"/>
  <c r="J907" i="1"/>
  <c r="I903" i="1"/>
  <c r="M907" i="1"/>
  <c r="J908" i="1"/>
  <c r="I904" i="1"/>
  <c r="M908" i="1"/>
  <c r="J909" i="1"/>
  <c r="I905" i="1"/>
  <c r="M909" i="1"/>
  <c r="J910" i="1"/>
  <c r="I906" i="1"/>
  <c r="M910" i="1"/>
  <c r="J911" i="1"/>
  <c r="I907" i="1"/>
  <c r="M911" i="1"/>
  <c r="J912" i="1"/>
  <c r="I908" i="1"/>
  <c r="M912" i="1"/>
  <c r="J913" i="1"/>
  <c r="I909" i="1"/>
  <c r="M913" i="1"/>
  <c r="J914" i="1"/>
  <c r="I910" i="1"/>
  <c r="M914" i="1"/>
  <c r="J915" i="1"/>
  <c r="I911" i="1"/>
  <c r="M915" i="1"/>
  <c r="J916" i="1"/>
  <c r="I912" i="1"/>
  <c r="M916" i="1"/>
  <c r="J917" i="1"/>
  <c r="I913" i="1"/>
  <c r="M917" i="1"/>
  <c r="J918" i="1"/>
  <c r="I914" i="1"/>
  <c r="M918" i="1"/>
  <c r="J919" i="1"/>
  <c r="I915" i="1"/>
  <c r="M919" i="1"/>
  <c r="J920" i="1"/>
  <c r="I916" i="1"/>
  <c r="M920" i="1"/>
  <c r="J921" i="1"/>
  <c r="I917" i="1"/>
  <c r="M921" i="1"/>
  <c r="J922" i="1"/>
  <c r="I918" i="1"/>
  <c r="M922" i="1"/>
  <c r="J923" i="1"/>
  <c r="I919" i="1"/>
  <c r="M923" i="1"/>
  <c r="J924" i="1"/>
  <c r="I920" i="1"/>
  <c r="M924" i="1"/>
  <c r="J925" i="1"/>
  <c r="I921" i="1"/>
  <c r="M925" i="1"/>
  <c r="J926" i="1"/>
  <c r="I922" i="1"/>
  <c r="M926" i="1"/>
  <c r="J927" i="1"/>
  <c r="I923" i="1"/>
  <c r="M927" i="1"/>
  <c r="J928" i="1"/>
  <c r="I924" i="1"/>
  <c r="M928" i="1"/>
  <c r="J929" i="1"/>
  <c r="I925" i="1"/>
  <c r="M929" i="1"/>
  <c r="J930" i="1"/>
  <c r="I926" i="1"/>
  <c r="M930" i="1"/>
  <c r="J931" i="1"/>
  <c r="I927" i="1"/>
  <c r="M931" i="1"/>
  <c r="J932" i="1"/>
  <c r="I928" i="1"/>
  <c r="M932" i="1"/>
  <c r="J933" i="1"/>
  <c r="I929" i="1"/>
  <c r="M933" i="1"/>
  <c r="J934" i="1"/>
  <c r="I930" i="1"/>
  <c r="M934" i="1"/>
  <c r="J935" i="1"/>
  <c r="I931" i="1"/>
  <c r="M935" i="1"/>
  <c r="J936" i="1"/>
  <c r="I932" i="1"/>
  <c r="M936" i="1"/>
  <c r="J937" i="1"/>
  <c r="I933" i="1"/>
  <c r="M937" i="1"/>
  <c r="J938" i="1"/>
  <c r="I934" i="1"/>
  <c r="M938" i="1"/>
  <c r="J939" i="1"/>
  <c r="I935" i="1"/>
  <c r="M939" i="1"/>
  <c r="J940" i="1"/>
  <c r="I936" i="1"/>
  <c r="M940" i="1"/>
  <c r="J941" i="1"/>
  <c r="I937" i="1"/>
  <c r="M941" i="1"/>
  <c r="J942" i="1"/>
  <c r="I938" i="1"/>
  <c r="M942" i="1"/>
  <c r="J943" i="1"/>
  <c r="I939" i="1"/>
  <c r="M943" i="1"/>
  <c r="J944" i="1"/>
  <c r="I940" i="1"/>
  <c r="M944" i="1"/>
  <c r="J945" i="1"/>
  <c r="I941" i="1"/>
  <c r="M945" i="1"/>
  <c r="J946" i="1"/>
  <c r="I942" i="1"/>
  <c r="M946" i="1"/>
  <c r="J947" i="1"/>
  <c r="I943" i="1"/>
  <c r="M947" i="1"/>
  <c r="J948" i="1"/>
  <c r="I944" i="1"/>
  <c r="M948" i="1"/>
  <c r="J949" i="1"/>
  <c r="I945" i="1"/>
  <c r="M949" i="1"/>
  <c r="J950" i="1"/>
  <c r="I946" i="1"/>
  <c r="M950" i="1"/>
  <c r="J951" i="1"/>
  <c r="I947" i="1"/>
  <c r="M951" i="1"/>
  <c r="J952" i="1"/>
  <c r="I948" i="1"/>
  <c r="M952" i="1"/>
  <c r="J953" i="1"/>
  <c r="I949" i="1"/>
  <c r="M953" i="1"/>
  <c r="J954" i="1"/>
  <c r="I950" i="1"/>
  <c r="M954" i="1"/>
  <c r="J955" i="1"/>
  <c r="I951" i="1"/>
  <c r="M955" i="1"/>
  <c r="J956" i="1"/>
  <c r="I952" i="1"/>
  <c r="M956" i="1"/>
  <c r="J957" i="1"/>
  <c r="I953" i="1"/>
  <c r="M957" i="1"/>
  <c r="J958" i="1"/>
  <c r="I954" i="1"/>
  <c r="M958" i="1"/>
  <c r="J959" i="1"/>
  <c r="I955" i="1"/>
  <c r="M959" i="1"/>
  <c r="J960" i="1"/>
  <c r="I956" i="1"/>
  <c r="M960" i="1"/>
  <c r="J961" i="1"/>
  <c r="I957" i="1"/>
  <c r="M961" i="1"/>
  <c r="J962" i="1"/>
  <c r="I958" i="1"/>
  <c r="M962" i="1"/>
  <c r="J963" i="1"/>
  <c r="I959" i="1"/>
  <c r="M963" i="1"/>
  <c r="J964" i="1"/>
  <c r="I960" i="1"/>
  <c r="M964" i="1"/>
  <c r="J965" i="1"/>
  <c r="I961" i="1"/>
  <c r="M965" i="1"/>
  <c r="J966" i="1"/>
  <c r="I962" i="1"/>
  <c r="M966" i="1"/>
  <c r="J967" i="1"/>
  <c r="I963" i="1"/>
  <c r="M967" i="1"/>
  <c r="J968" i="1"/>
  <c r="I964" i="1"/>
  <c r="M968" i="1"/>
  <c r="J969" i="1"/>
  <c r="I965" i="1"/>
  <c r="M969" i="1"/>
  <c r="J970" i="1"/>
  <c r="I966" i="1"/>
  <c r="M970" i="1"/>
  <c r="J971" i="1"/>
  <c r="I967" i="1"/>
  <c r="M971" i="1"/>
  <c r="J972" i="1"/>
  <c r="I968" i="1"/>
  <c r="M972" i="1"/>
  <c r="J973" i="1"/>
  <c r="I969" i="1"/>
  <c r="M973" i="1"/>
  <c r="J974" i="1"/>
  <c r="I970" i="1"/>
  <c r="M974" i="1"/>
  <c r="J975" i="1"/>
  <c r="I971" i="1"/>
  <c r="M975" i="1"/>
  <c r="J976" i="1"/>
  <c r="I972" i="1"/>
  <c r="M976" i="1"/>
  <c r="J977" i="1"/>
  <c r="I973" i="1"/>
  <c r="M977" i="1"/>
  <c r="J978" i="1"/>
  <c r="I974" i="1"/>
  <c r="M978" i="1"/>
  <c r="J979" i="1"/>
  <c r="I975" i="1"/>
  <c r="M979" i="1"/>
  <c r="J980" i="1"/>
  <c r="I976" i="1"/>
  <c r="M980" i="1"/>
  <c r="J981" i="1"/>
  <c r="I977" i="1"/>
  <c r="M981" i="1"/>
  <c r="J982" i="1"/>
  <c r="I978" i="1"/>
  <c r="M982" i="1"/>
  <c r="J983" i="1"/>
  <c r="I979" i="1"/>
  <c r="M983" i="1"/>
  <c r="J984" i="1"/>
  <c r="I980" i="1"/>
  <c r="M984" i="1"/>
  <c r="J985" i="1"/>
  <c r="I981" i="1"/>
  <c r="M985" i="1"/>
  <c r="J986" i="1"/>
  <c r="I982" i="1"/>
  <c r="M986" i="1"/>
  <c r="J987" i="1"/>
  <c r="I983" i="1"/>
  <c r="M987" i="1"/>
  <c r="J988" i="1"/>
  <c r="I984" i="1"/>
  <c r="M988" i="1"/>
  <c r="J989" i="1"/>
  <c r="I985" i="1"/>
  <c r="M989" i="1"/>
  <c r="J990" i="1"/>
  <c r="I986" i="1"/>
  <c r="M990" i="1"/>
  <c r="J991" i="1"/>
  <c r="I987" i="1"/>
  <c r="M991" i="1"/>
  <c r="J992" i="1"/>
  <c r="I988" i="1"/>
  <c r="M992" i="1"/>
  <c r="J993" i="1"/>
  <c r="I989" i="1"/>
  <c r="M993" i="1"/>
  <c r="J994" i="1"/>
  <c r="I990" i="1"/>
  <c r="M994" i="1"/>
  <c r="J995" i="1"/>
  <c r="I991" i="1"/>
  <c r="M995" i="1"/>
  <c r="J996" i="1"/>
  <c r="I992" i="1"/>
  <c r="M996" i="1"/>
  <c r="J997" i="1"/>
  <c r="I993" i="1"/>
  <c r="M997" i="1"/>
  <c r="J998" i="1"/>
  <c r="I994" i="1"/>
  <c r="M998" i="1"/>
  <c r="J999" i="1"/>
  <c r="I995" i="1"/>
  <c r="M999" i="1"/>
  <c r="J1000" i="1"/>
  <c r="I996" i="1"/>
  <c r="M1000" i="1"/>
  <c r="J1001" i="1"/>
  <c r="I997" i="1"/>
  <c r="M1001" i="1"/>
  <c r="J1002" i="1"/>
  <c r="I998" i="1"/>
  <c r="M1002" i="1"/>
  <c r="J1003" i="1"/>
  <c r="I999" i="1"/>
  <c r="M1003" i="1"/>
  <c r="J1004" i="1"/>
  <c r="I1000" i="1"/>
  <c r="M1004" i="1"/>
  <c r="J1005" i="1"/>
  <c r="I1001" i="1"/>
  <c r="M1005" i="1"/>
  <c r="J1006" i="1"/>
  <c r="I1002" i="1"/>
  <c r="M1006" i="1"/>
  <c r="J1007" i="1"/>
  <c r="I1003" i="1"/>
  <c r="M1007" i="1"/>
  <c r="J1008" i="1"/>
  <c r="I1004" i="1"/>
  <c r="M1008" i="1"/>
  <c r="J1009" i="1"/>
  <c r="I1005" i="1"/>
  <c r="M1009" i="1"/>
  <c r="J1010" i="1"/>
  <c r="I1006" i="1"/>
  <c r="M1010" i="1"/>
  <c r="J1011" i="1"/>
  <c r="I1007" i="1"/>
  <c r="M1011" i="1"/>
  <c r="J1012" i="1"/>
  <c r="I1008" i="1"/>
  <c r="M1012" i="1"/>
  <c r="J1013" i="1"/>
  <c r="I1009" i="1"/>
  <c r="M1013" i="1"/>
  <c r="J1014" i="1"/>
  <c r="I1010" i="1"/>
  <c r="M1014" i="1"/>
  <c r="J1015" i="1"/>
  <c r="I1011" i="1"/>
  <c r="M1015" i="1"/>
  <c r="J1016" i="1"/>
  <c r="I1012" i="1"/>
  <c r="M1016" i="1"/>
  <c r="J1017" i="1"/>
  <c r="I1013" i="1"/>
  <c r="M1017" i="1"/>
  <c r="J1018" i="1"/>
  <c r="I1014" i="1"/>
  <c r="M1018" i="1"/>
  <c r="J1019" i="1"/>
  <c r="I1015" i="1"/>
  <c r="M1019" i="1"/>
  <c r="J1020" i="1"/>
  <c r="I1016" i="1"/>
  <c r="M1020" i="1"/>
  <c r="J1021" i="1"/>
  <c r="I1017" i="1"/>
  <c r="M1021" i="1"/>
  <c r="J1022" i="1"/>
  <c r="I1018" i="1"/>
  <c r="M1022" i="1"/>
  <c r="J1023" i="1"/>
  <c r="I1019" i="1"/>
  <c r="M1023" i="1"/>
  <c r="J1024" i="1"/>
  <c r="I1020" i="1"/>
  <c r="M1024" i="1"/>
  <c r="J1025" i="1"/>
  <c r="I1021" i="1"/>
  <c r="M1025" i="1"/>
  <c r="J1026" i="1"/>
  <c r="I1022" i="1"/>
  <c r="M1026" i="1"/>
  <c r="J1027" i="1"/>
  <c r="I1023" i="1"/>
  <c r="M1027" i="1"/>
  <c r="J1028" i="1"/>
  <c r="I1024" i="1"/>
  <c r="M1028" i="1"/>
  <c r="J1029" i="1"/>
  <c r="I1025" i="1"/>
  <c r="M1029" i="1"/>
  <c r="J1030" i="1"/>
  <c r="I1026" i="1"/>
  <c r="M1030" i="1"/>
  <c r="J1031" i="1"/>
  <c r="I1027" i="1"/>
  <c r="M1031" i="1"/>
  <c r="J1032" i="1"/>
  <c r="I1028" i="1"/>
  <c r="M1032" i="1"/>
  <c r="J1033" i="1"/>
  <c r="I1029" i="1"/>
  <c r="M1033" i="1"/>
  <c r="J1034" i="1"/>
  <c r="I1030" i="1"/>
  <c r="M1034" i="1"/>
  <c r="J1035" i="1"/>
  <c r="I1031" i="1"/>
  <c r="M1035" i="1"/>
  <c r="J1036" i="1"/>
  <c r="I1032" i="1"/>
  <c r="M1036" i="1"/>
  <c r="J1037" i="1"/>
  <c r="I1033" i="1"/>
  <c r="M1037" i="1"/>
  <c r="J1038" i="1"/>
  <c r="I1034" i="1"/>
  <c r="M1038" i="1"/>
  <c r="J1039" i="1"/>
  <c r="I1035" i="1"/>
  <c r="M1039" i="1"/>
  <c r="J1040" i="1"/>
  <c r="I1036" i="1"/>
  <c r="M1040" i="1"/>
  <c r="J1041" i="1"/>
  <c r="I1037" i="1"/>
  <c r="M1041" i="1"/>
  <c r="J1042" i="1"/>
  <c r="I1038" i="1"/>
  <c r="M1042" i="1"/>
  <c r="J1043" i="1"/>
  <c r="I1039" i="1"/>
  <c r="M1043" i="1"/>
  <c r="J1044" i="1"/>
  <c r="I1040" i="1"/>
  <c r="M1044" i="1"/>
  <c r="J1045" i="1"/>
  <c r="I1041" i="1"/>
  <c r="M1045" i="1"/>
  <c r="J1046" i="1"/>
  <c r="I1042" i="1"/>
  <c r="M1046" i="1"/>
  <c r="J1047" i="1"/>
  <c r="I1043" i="1"/>
  <c r="M1047" i="1"/>
  <c r="J1048" i="1"/>
  <c r="I1044" i="1"/>
  <c r="M1048" i="1"/>
  <c r="J1049" i="1"/>
  <c r="I1045" i="1"/>
  <c r="M1049" i="1"/>
  <c r="J1050" i="1"/>
  <c r="I1046" i="1"/>
  <c r="M1050" i="1"/>
  <c r="J1051" i="1"/>
  <c r="I1047" i="1"/>
  <c r="M1051" i="1"/>
  <c r="J1052" i="1"/>
  <c r="I1048" i="1"/>
  <c r="M1052" i="1"/>
  <c r="J1053" i="1"/>
  <c r="I1049" i="1"/>
  <c r="M1053" i="1"/>
  <c r="J1054" i="1"/>
  <c r="I1050" i="1"/>
  <c r="M1054" i="1"/>
  <c r="J1055" i="1"/>
  <c r="I1051" i="1"/>
  <c r="M1055" i="1"/>
  <c r="J1056" i="1"/>
  <c r="I1052" i="1"/>
  <c r="M1056" i="1"/>
  <c r="J1057" i="1"/>
  <c r="I1053" i="1"/>
  <c r="M1057" i="1"/>
  <c r="J1058" i="1"/>
  <c r="I1054" i="1"/>
  <c r="M1058" i="1"/>
  <c r="I1055" i="1"/>
  <c r="I1056" i="1"/>
  <c r="I1057" i="1"/>
  <c r="I1058" i="1"/>
  <c r="O765" i="1"/>
  <c r="O766" i="1" s="1"/>
  <c r="P765" i="1"/>
  <c r="Q765" i="1"/>
  <c r="P766" i="1"/>
  <c r="P767" i="1" s="1"/>
  <c r="P768" i="1"/>
  <c r="P769" i="1" s="1"/>
  <c r="P770" i="1"/>
  <c r="P771" i="1" s="1"/>
  <c r="P772" i="1"/>
  <c r="P773" i="1" s="1"/>
  <c r="P774" i="1"/>
  <c r="P775" i="1" s="1"/>
  <c r="P776" i="1"/>
  <c r="P777" i="1" s="1"/>
  <c r="P778" i="1"/>
  <c r="P779" i="1" s="1"/>
  <c r="P780" i="1"/>
  <c r="P781" i="1" s="1"/>
  <c r="P782" i="1"/>
  <c r="P783" i="1" s="1"/>
  <c r="P784" i="1"/>
  <c r="P785" i="1" s="1"/>
  <c r="P786" i="1"/>
  <c r="P787" i="1" s="1"/>
  <c r="P788" i="1"/>
  <c r="P789" i="1" s="1"/>
  <c r="P790" i="1"/>
  <c r="P791" i="1" s="1"/>
  <c r="P792" i="1"/>
  <c r="P793" i="1" s="1"/>
  <c r="P794" i="1"/>
  <c r="P795" i="1" s="1"/>
  <c r="P796" i="1"/>
  <c r="P797" i="1" s="1"/>
  <c r="P798" i="1"/>
  <c r="P799" i="1" s="1"/>
  <c r="P800" i="1"/>
  <c r="P801" i="1" s="1"/>
  <c r="P802" i="1"/>
  <c r="P803" i="1" s="1"/>
  <c r="P804" i="1"/>
  <c r="P805" i="1" s="1"/>
  <c r="P806" i="1"/>
  <c r="P807" i="1" s="1"/>
  <c r="P808" i="1"/>
  <c r="P809" i="1" s="1"/>
  <c r="P810" i="1"/>
  <c r="P811" i="1" s="1"/>
  <c r="P812" i="1"/>
  <c r="P813" i="1" s="1"/>
  <c r="P814" i="1"/>
  <c r="P815" i="1" s="1"/>
  <c r="P816" i="1"/>
  <c r="P817" i="1" s="1"/>
  <c r="P818" i="1"/>
  <c r="P819" i="1" s="1"/>
  <c r="P820" i="1"/>
  <c r="P821" i="1" s="1"/>
  <c r="P822" i="1"/>
  <c r="P823" i="1" s="1"/>
  <c r="P824" i="1"/>
  <c r="P825" i="1" s="1"/>
  <c r="P826" i="1"/>
  <c r="P827" i="1" s="1"/>
  <c r="P828" i="1"/>
  <c r="P829" i="1" s="1"/>
  <c r="P830" i="1" s="1"/>
  <c r="P831" i="1" s="1"/>
  <c r="P832" i="1"/>
  <c r="P833" i="1" s="1"/>
  <c r="P834" i="1" s="1"/>
  <c r="P835" i="1" s="1"/>
  <c r="P836" i="1" s="1"/>
  <c r="P837" i="1"/>
  <c r="P838" i="1" s="1"/>
  <c r="P839" i="1" s="1"/>
  <c r="P840" i="1" s="1"/>
  <c r="P841" i="1" s="1"/>
  <c r="P842" i="1" s="1"/>
  <c r="P843" i="1" s="1"/>
  <c r="P844" i="1" s="1"/>
  <c r="P845" i="1" s="1"/>
  <c r="P846" i="1" s="1"/>
  <c r="P847" i="1" s="1"/>
  <c r="P848" i="1" s="1"/>
  <c r="P849" i="1" s="1"/>
  <c r="P850" i="1" s="1"/>
  <c r="P851" i="1" s="1"/>
  <c r="P852" i="1" s="1"/>
  <c r="P853" i="1" s="1"/>
  <c r="P854" i="1" s="1"/>
  <c r="P855" i="1" s="1"/>
  <c r="P856" i="1" s="1"/>
  <c r="P857" i="1" s="1"/>
  <c r="P858" i="1" s="1"/>
  <c r="P859" i="1"/>
  <c r="P860" i="1" s="1"/>
  <c r="P861" i="1" s="1"/>
  <c r="P862" i="1" s="1"/>
  <c r="P863" i="1" s="1"/>
  <c r="P864" i="1" s="1"/>
  <c r="P865" i="1" s="1"/>
  <c r="P866" i="1" s="1"/>
  <c r="P867" i="1" s="1"/>
  <c r="P868" i="1" s="1"/>
  <c r="P869" i="1" s="1"/>
  <c r="P870" i="1" s="1"/>
  <c r="P871" i="1"/>
  <c r="P872" i="1" s="1"/>
  <c r="P873" i="1" s="1"/>
  <c r="P874" i="1" s="1"/>
  <c r="P875" i="1" s="1"/>
  <c r="P876" i="1" s="1"/>
  <c r="P877" i="1" s="1"/>
  <c r="P878" i="1" s="1"/>
  <c r="P879" i="1" s="1"/>
  <c r="P880" i="1" s="1"/>
  <c r="P881" i="1"/>
  <c r="P882" i="1" s="1"/>
  <c r="P883" i="1" s="1"/>
  <c r="P884" i="1" s="1"/>
  <c r="P885" i="1" s="1"/>
  <c r="P886" i="1" s="1"/>
  <c r="P887" i="1" s="1"/>
  <c r="P888" i="1" s="1"/>
  <c r="P889" i="1"/>
  <c r="P890" i="1" s="1"/>
  <c r="P891" i="1" s="1"/>
  <c r="P892" i="1" s="1"/>
  <c r="P893" i="1" s="1"/>
  <c r="P894" i="1" s="1"/>
  <c r="P895" i="1"/>
  <c r="P896" i="1" s="1"/>
  <c r="P897" i="1" s="1"/>
  <c r="P898" i="1" s="1"/>
  <c r="P899" i="1" s="1"/>
  <c r="P900" i="1" s="1"/>
  <c r="P901" i="1" s="1"/>
  <c r="P902" i="1" s="1"/>
  <c r="P903" i="1"/>
  <c r="P904" i="1" s="1"/>
  <c r="P905" i="1"/>
  <c r="P906" i="1" s="1"/>
  <c r="P907" i="1" s="1"/>
  <c r="P908" i="1" s="1"/>
  <c r="P909" i="1" s="1"/>
  <c r="P910" i="1" s="1"/>
  <c r="P911" i="1" s="1"/>
  <c r="P912" i="1" s="1"/>
  <c r="P913" i="1"/>
  <c r="P914" i="1" s="1"/>
  <c r="P915" i="1" s="1"/>
  <c r="P916" i="1" s="1"/>
  <c r="P917" i="1" s="1"/>
  <c r="P918" i="1" s="1"/>
  <c r="P919" i="1" s="1"/>
  <c r="P920" i="1" s="1"/>
  <c r="P921" i="1"/>
  <c r="P922" i="1" s="1"/>
  <c r="P923" i="1" s="1"/>
  <c r="P924" i="1" s="1"/>
  <c r="P925" i="1" s="1"/>
  <c r="P926" i="1" s="1"/>
  <c r="P927" i="1"/>
  <c r="P928" i="1" s="1"/>
  <c r="P929" i="1" s="1"/>
  <c r="P930" i="1" s="1"/>
  <c r="P931" i="1" s="1"/>
  <c r="P932" i="1" s="1"/>
  <c r="P933" i="1"/>
  <c r="P934" i="1" s="1"/>
  <c r="P935" i="1" s="1"/>
  <c r="P936" i="1" s="1"/>
  <c r="P937" i="1" s="1"/>
  <c r="P938" i="1" s="1"/>
  <c r="P939" i="1" s="1"/>
  <c r="P940" i="1" s="1"/>
  <c r="P941" i="1" s="1"/>
  <c r="P942" i="1" s="1"/>
  <c r="P943" i="1"/>
  <c r="P944" i="1" s="1"/>
  <c r="P945" i="1" s="1"/>
  <c r="P946" i="1" s="1"/>
  <c r="P947" i="1" s="1"/>
  <c r="P948" i="1" s="1"/>
  <c r="P949" i="1"/>
  <c r="P950" i="1" s="1"/>
  <c r="P951" i="1" s="1"/>
  <c r="P952" i="1" s="1"/>
  <c r="P953" i="1" s="1"/>
  <c r="P954" i="1" s="1"/>
  <c r="P955" i="1" s="1"/>
  <c r="P956" i="1" s="1"/>
  <c r="P957" i="1"/>
  <c r="P958" i="1" s="1"/>
  <c r="P959" i="1" s="1"/>
  <c r="P960" i="1" s="1"/>
  <c r="P961" i="1" s="1"/>
  <c r="P962" i="1" s="1"/>
  <c r="P963" i="1" s="1"/>
  <c r="P964" i="1" s="1"/>
  <c r="P965" i="1"/>
  <c r="P966" i="1" s="1"/>
  <c r="P967" i="1" s="1"/>
  <c r="P968" i="1" s="1"/>
  <c r="P969" i="1" s="1"/>
  <c r="P970" i="1" s="1"/>
  <c r="P971" i="1" s="1"/>
  <c r="P972" i="1" s="1"/>
  <c r="P973" i="1"/>
  <c r="P974" i="1" s="1"/>
  <c r="P975" i="1" s="1"/>
  <c r="P976" i="1" s="1"/>
  <c r="P977" i="1" s="1"/>
  <c r="P978" i="1" s="1"/>
  <c r="P979" i="1" s="1"/>
  <c r="P980" i="1" s="1"/>
  <c r="P981" i="1"/>
  <c r="P982" i="1" s="1"/>
  <c r="P983" i="1" s="1"/>
  <c r="P984" i="1" s="1"/>
  <c r="P985" i="1" s="1"/>
  <c r="P986" i="1" s="1"/>
  <c r="P987" i="1" s="1"/>
  <c r="P988" i="1" s="1"/>
  <c r="P989" i="1"/>
  <c r="P990" i="1" s="1"/>
  <c r="P991" i="1" s="1"/>
  <c r="P992" i="1" s="1"/>
  <c r="P993" i="1" s="1"/>
  <c r="P994" i="1" s="1"/>
  <c r="P995" i="1"/>
  <c r="P996" i="1" s="1"/>
  <c r="P997" i="1" s="1"/>
  <c r="P998" i="1" s="1"/>
  <c r="P999" i="1"/>
  <c r="P1000" i="1" s="1"/>
  <c r="P1001" i="1" s="1"/>
  <c r="P1002" i="1" s="1"/>
  <c r="P1003" i="1" s="1"/>
  <c r="P1004" i="1" s="1"/>
  <c r="P1005" i="1" s="1"/>
  <c r="P1006" i="1" s="1"/>
  <c r="P1007" i="1"/>
  <c r="P1008" i="1" s="1"/>
  <c r="P1009" i="1" s="1"/>
  <c r="P1010" i="1" s="1"/>
  <c r="P1011" i="1" s="1"/>
  <c r="P1012" i="1" s="1"/>
  <c r="P1013" i="1" s="1"/>
  <c r="P1014" i="1" s="1"/>
  <c r="P1015" i="1"/>
  <c r="P1016" i="1" s="1"/>
  <c r="P1017" i="1" s="1"/>
  <c r="P1018" i="1" s="1"/>
  <c r="P1019" i="1" s="1"/>
  <c r="P1020" i="1"/>
  <c r="P1021" i="1" s="1"/>
  <c r="P1022" i="1" s="1"/>
  <c r="P1023" i="1" s="1"/>
  <c r="P1024" i="1" s="1"/>
  <c r="P1025" i="1" s="1"/>
  <c r="P1026" i="1" s="1"/>
  <c r="P1027" i="1" s="1"/>
  <c r="P1028" i="1"/>
  <c r="P1029" i="1" s="1"/>
  <c r="P1030" i="1" s="1"/>
  <c r="P1031" i="1" s="1"/>
  <c r="P1032" i="1" s="1"/>
  <c r="P1033" i="1" s="1"/>
  <c r="P1034" i="1" s="1"/>
  <c r="P1035" i="1" s="1"/>
  <c r="P1036" i="1" s="1"/>
  <c r="P1037" i="1" s="1"/>
  <c r="P1038" i="1" s="1"/>
  <c r="P1039" i="1" s="1"/>
  <c r="P1040" i="1" s="1"/>
  <c r="P1041" i="1" s="1"/>
  <c r="P1042" i="1" s="1"/>
  <c r="P1043" i="1" s="1"/>
  <c r="P1044" i="1" s="1"/>
  <c r="P1045" i="1" s="1"/>
  <c r="P1046" i="1" s="1"/>
  <c r="P1047" i="1" s="1"/>
  <c r="P1048" i="1" s="1"/>
  <c r="P1049" i="1" s="1"/>
  <c r="P1050" i="1" s="1"/>
  <c r="P1051" i="1" s="1"/>
  <c r="P1052" i="1" s="1"/>
  <c r="P1053" i="1" s="1"/>
  <c r="P1054" i="1" s="1"/>
  <c r="P1055" i="1" s="1"/>
  <c r="P1056" i="1" s="1"/>
  <c r="P1057" i="1" s="1"/>
  <c r="P1058" i="1" s="1"/>
  <c r="O767" i="1"/>
  <c r="O768" i="1" s="1"/>
  <c r="O769" i="1"/>
  <c r="O770" i="1" s="1"/>
  <c r="O771" i="1"/>
  <c r="O772" i="1" s="1"/>
  <c r="O773" i="1"/>
  <c r="O774" i="1" s="1"/>
  <c r="O775" i="1"/>
  <c r="O776" i="1" s="1"/>
  <c r="O777" i="1"/>
  <c r="O778" i="1" s="1"/>
  <c r="O779" i="1"/>
  <c r="O780" i="1" s="1"/>
  <c r="O781" i="1"/>
  <c r="O782" i="1" s="1"/>
  <c r="O783" i="1"/>
  <c r="O784" i="1" s="1"/>
  <c r="O785" i="1"/>
  <c r="O786" i="1" s="1"/>
  <c r="O787" i="1"/>
  <c r="O788" i="1" s="1"/>
  <c r="O789" i="1"/>
  <c r="O790" i="1" s="1"/>
  <c r="O791" i="1"/>
  <c r="O792" i="1" s="1"/>
  <c r="O793" i="1"/>
  <c r="O794" i="1" s="1"/>
  <c r="O795" i="1"/>
  <c r="O796" i="1" s="1"/>
  <c r="O797" i="1"/>
  <c r="O798" i="1" s="1"/>
  <c r="O799" i="1"/>
  <c r="O800" i="1" s="1"/>
  <c r="O801" i="1"/>
  <c r="O802" i="1" s="1"/>
  <c r="O803" i="1"/>
  <c r="O804" i="1" s="1"/>
  <c r="O805" i="1" s="1"/>
  <c r="O806" i="1" s="1"/>
  <c r="O807" i="1"/>
  <c r="O808" i="1" s="1"/>
  <c r="O809" i="1"/>
  <c r="O810" i="1" s="1"/>
  <c r="O811" i="1"/>
  <c r="O812" i="1" s="1"/>
  <c r="O813" i="1"/>
  <c r="O814" i="1" s="1"/>
  <c r="O815" i="1"/>
  <c r="O816" i="1" s="1"/>
  <c r="O817" i="1"/>
  <c r="O818" i="1" s="1"/>
  <c r="O819" i="1"/>
  <c r="O820" i="1" s="1"/>
  <c r="O821" i="1"/>
  <c r="O822" i="1" s="1"/>
  <c r="O823" i="1"/>
  <c r="O824" i="1" s="1"/>
  <c r="O825" i="1"/>
  <c r="O826" i="1" s="1"/>
  <c r="O827" i="1"/>
  <c r="O828" i="1" s="1"/>
  <c r="O829" i="1" s="1"/>
  <c r="O830" i="1" s="1"/>
  <c r="O831" i="1"/>
  <c r="O832" i="1" s="1"/>
  <c r="O833" i="1" s="1"/>
  <c r="O834" i="1" s="1"/>
  <c r="O835" i="1"/>
  <c r="O836" i="1" s="1"/>
  <c r="O837" i="1" s="1"/>
  <c r="O838" i="1" s="1"/>
  <c r="O839" i="1"/>
  <c r="O840" i="1" s="1"/>
  <c r="O841" i="1"/>
  <c r="O842" i="1" s="1"/>
  <c r="O843" i="1" s="1"/>
  <c r="O844" i="1" s="1"/>
  <c r="O845" i="1"/>
  <c r="O846" i="1" s="1"/>
  <c r="O847" i="1" s="1"/>
  <c r="O848" i="1" s="1"/>
  <c r="O849" i="1"/>
  <c r="O850" i="1" s="1"/>
  <c r="O851" i="1" s="1"/>
  <c r="O852" i="1" s="1"/>
  <c r="O853" i="1" s="1"/>
  <c r="O854" i="1" s="1"/>
  <c r="O855" i="1" s="1"/>
  <c r="O856" i="1" s="1"/>
  <c r="O857" i="1" s="1"/>
  <c r="O858" i="1" s="1"/>
  <c r="O859" i="1"/>
  <c r="O860" i="1" s="1"/>
  <c r="O861" i="1" s="1"/>
  <c r="O862" i="1" s="1"/>
  <c r="O863" i="1" s="1"/>
  <c r="O864" i="1" s="1"/>
  <c r="O865" i="1" s="1"/>
  <c r="O866" i="1" s="1"/>
  <c r="O867" i="1" s="1"/>
  <c r="O868" i="1" s="1"/>
  <c r="O869" i="1"/>
  <c r="O870" i="1" s="1"/>
  <c r="O871" i="1" s="1"/>
  <c r="O872" i="1" s="1"/>
  <c r="O873" i="1" s="1"/>
  <c r="O874" i="1" s="1"/>
  <c r="O875" i="1" s="1"/>
  <c r="O876" i="1" s="1"/>
  <c r="O877" i="1" s="1"/>
  <c r="O878" i="1" s="1"/>
  <c r="O879" i="1"/>
  <c r="O880" i="1" s="1"/>
  <c r="O881" i="1" s="1"/>
  <c r="O882" i="1" s="1"/>
  <c r="O883" i="1" s="1"/>
  <c r="O884" i="1" s="1"/>
  <c r="O885" i="1" s="1"/>
  <c r="O886" i="1" s="1"/>
  <c r="O887" i="1"/>
  <c r="O888" i="1" s="1"/>
  <c r="O889" i="1" s="1"/>
  <c r="O890" i="1" s="1"/>
  <c r="O891" i="1" s="1"/>
  <c r="O892" i="1" s="1"/>
  <c r="O893" i="1" s="1"/>
  <c r="O894" i="1" s="1"/>
  <c r="O895" i="1" s="1"/>
  <c r="O896" i="1" s="1"/>
  <c r="O897" i="1" s="1"/>
  <c r="O898" i="1" s="1"/>
  <c r="O899" i="1"/>
  <c r="O900" i="1" s="1"/>
  <c r="O901" i="1" s="1"/>
  <c r="O902" i="1" s="1"/>
  <c r="O903" i="1" s="1"/>
  <c r="O904" i="1" s="1"/>
  <c r="O905" i="1" s="1"/>
  <c r="O906" i="1" s="1"/>
  <c r="O907" i="1"/>
  <c r="O908" i="1" s="1"/>
  <c r="O909" i="1" s="1"/>
  <c r="O910" i="1" s="1"/>
  <c r="O911" i="1" s="1"/>
  <c r="O912" i="1" s="1"/>
  <c r="O913" i="1" s="1"/>
  <c r="O914" i="1" s="1"/>
  <c r="O915" i="1"/>
  <c r="O916" i="1" s="1"/>
  <c r="O917" i="1" s="1"/>
  <c r="O918" i="1" s="1"/>
  <c r="O919" i="1" s="1"/>
  <c r="O920" i="1" s="1"/>
  <c r="O921" i="1" s="1"/>
  <c r="O922" i="1" s="1"/>
  <c r="O923" i="1"/>
  <c r="O924" i="1" s="1"/>
  <c r="O925" i="1" s="1"/>
  <c r="O926" i="1" s="1"/>
  <c r="O927" i="1" s="1"/>
  <c r="O928" i="1" s="1"/>
  <c r="O929" i="1" s="1"/>
  <c r="O930" i="1" s="1"/>
  <c r="O931" i="1"/>
  <c r="O932" i="1" s="1"/>
  <c r="O933" i="1" s="1"/>
  <c r="O934" i="1" s="1"/>
  <c r="O935" i="1" s="1"/>
  <c r="O936" i="1" s="1"/>
  <c r="O937" i="1" s="1"/>
  <c r="O938" i="1" s="1"/>
  <c r="O939" i="1"/>
  <c r="O940" i="1" s="1"/>
  <c r="O941" i="1" s="1"/>
  <c r="O942" i="1" s="1"/>
  <c r="O943" i="1" s="1"/>
  <c r="O944" i="1" s="1"/>
  <c r="O945" i="1" s="1"/>
  <c r="O946" i="1" s="1"/>
  <c r="O947" i="1"/>
  <c r="O948" i="1" s="1"/>
  <c r="O949" i="1" s="1"/>
  <c r="O950" i="1" s="1"/>
  <c r="O951" i="1" s="1"/>
  <c r="O952" i="1" s="1"/>
  <c r="O953" i="1" s="1"/>
  <c r="O954" i="1" s="1"/>
  <c r="O955" i="1"/>
  <c r="O956" i="1" s="1"/>
  <c r="O957" i="1" s="1"/>
  <c r="O958" i="1" s="1"/>
  <c r="O959" i="1" s="1"/>
  <c r="O960" i="1" s="1"/>
  <c r="O961" i="1" s="1"/>
  <c r="O962" i="1" s="1"/>
  <c r="O963" i="1"/>
  <c r="O964" i="1" s="1"/>
  <c r="O965" i="1" s="1"/>
  <c r="O966" i="1" s="1"/>
  <c r="O967" i="1" s="1"/>
  <c r="O968" i="1" s="1"/>
  <c r="O969" i="1" s="1"/>
  <c r="O970" i="1" s="1"/>
  <c r="O971" i="1" s="1"/>
  <c r="O972" i="1" s="1"/>
  <c r="O973" i="1" s="1"/>
  <c r="O974" i="1" s="1"/>
  <c r="O975" i="1" s="1"/>
  <c r="O976" i="1" s="1"/>
  <c r="O977" i="1"/>
  <c r="O978" i="1" s="1"/>
  <c r="O979" i="1" s="1"/>
  <c r="O980" i="1" s="1"/>
  <c r="O981" i="1" s="1"/>
  <c r="O982" i="1" s="1"/>
  <c r="O983" i="1" s="1"/>
  <c r="O984" i="1" s="1"/>
  <c r="O985" i="1"/>
  <c r="O986" i="1" s="1"/>
  <c r="O987" i="1" s="1"/>
  <c r="O988" i="1" s="1"/>
  <c r="O989" i="1" s="1"/>
  <c r="O990" i="1" s="1"/>
  <c r="O991" i="1" s="1"/>
  <c r="O992" i="1" s="1"/>
  <c r="O993" i="1"/>
  <c r="O994" i="1" s="1"/>
  <c r="O995" i="1" s="1"/>
  <c r="O996" i="1" s="1"/>
  <c r="O997" i="1" s="1"/>
  <c r="O998" i="1" s="1"/>
  <c r="O999" i="1" s="1"/>
  <c r="O1000" i="1" s="1"/>
  <c r="O1001" i="1" s="1"/>
  <c r="O1002" i="1" s="1"/>
  <c r="O1003" i="1" s="1"/>
  <c r="O1004" i="1" s="1"/>
  <c r="O1005" i="1"/>
  <c r="O1006" i="1" s="1"/>
  <c r="O1007" i="1" s="1"/>
  <c r="O1008" i="1" s="1"/>
  <c r="O1009" i="1" s="1"/>
  <c r="O1010" i="1" s="1"/>
  <c r="O1011" i="1" s="1"/>
  <c r="O1012" i="1" s="1"/>
  <c r="O1013" i="1" s="1"/>
  <c r="O1014" i="1" s="1"/>
  <c r="O1015" i="1" s="1"/>
  <c r="O1016" i="1"/>
  <c r="O1017" i="1" s="1"/>
  <c r="O1018" i="1" s="1"/>
  <c r="O1019" i="1" s="1"/>
  <c r="O1020" i="1" s="1"/>
  <c r="O1021" i="1" s="1"/>
  <c r="O1022" i="1" s="1"/>
  <c r="O1023" i="1" s="1"/>
  <c r="O1024" i="1"/>
  <c r="O1025" i="1" s="1"/>
  <c r="O1026" i="1" s="1"/>
  <c r="O1027" i="1" s="1"/>
  <c r="O1028" i="1"/>
  <c r="O1029" i="1" s="1"/>
  <c r="O1030" i="1" s="1"/>
  <c r="O1031" i="1"/>
  <c r="O1032" i="1" s="1"/>
  <c r="O1033" i="1" s="1"/>
  <c r="O1034" i="1" s="1"/>
  <c r="O1035" i="1" s="1"/>
  <c r="O1036" i="1" s="1"/>
  <c r="O1037" i="1" s="1"/>
  <c r="O1038" i="1" s="1"/>
  <c r="O1039" i="1" s="1"/>
  <c r="O1040" i="1" s="1"/>
  <c r="O1041" i="1" s="1"/>
  <c r="O1042" i="1" s="1"/>
  <c r="O1043" i="1" s="1"/>
  <c r="O1044" i="1" s="1"/>
  <c r="O1045" i="1" s="1"/>
  <c r="O1046" i="1" s="1"/>
  <c r="O1047" i="1"/>
  <c r="O1048" i="1" s="1"/>
  <c r="O1049" i="1" s="1"/>
  <c r="O1050" i="1" s="1"/>
  <c r="O1051" i="1" s="1"/>
  <c r="O1052" i="1" s="1"/>
  <c r="O1053" i="1" s="1"/>
  <c r="O1054" i="1" s="1"/>
  <c r="O1055" i="1" s="1"/>
  <c r="O1056" i="1" s="1"/>
  <c r="O1057" i="1" s="1"/>
  <c r="O1058" i="1" s="1"/>
  <c r="N1058" i="1" l="1"/>
  <c r="R1058" i="1" s="1"/>
  <c r="L1058" i="1"/>
  <c r="N1057" i="1"/>
  <c r="R1057" i="1" s="1"/>
  <c r="L1057" i="1"/>
  <c r="N1056" i="1"/>
  <c r="R1056" i="1" s="1"/>
  <c r="L1056" i="1"/>
  <c r="S1058" i="1"/>
  <c r="N1055" i="1"/>
  <c r="R1055" i="1" s="1"/>
  <c r="L1055" i="1"/>
  <c r="S1057" i="1"/>
  <c r="L1054" i="1"/>
  <c r="N1054" i="1"/>
  <c r="R1054" i="1" s="1"/>
  <c r="S1056" i="1"/>
  <c r="N1053" i="1"/>
  <c r="R1053" i="1" s="1"/>
  <c r="L1053" i="1"/>
  <c r="S1055" i="1"/>
  <c r="N1052" i="1"/>
  <c r="R1052" i="1" s="1"/>
  <c r="L1052" i="1"/>
  <c r="S1054" i="1"/>
  <c r="N1051" i="1"/>
  <c r="R1051" i="1" s="1"/>
  <c r="L1051" i="1"/>
  <c r="S1053" i="1"/>
  <c r="N1050" i="1"/>
  <c r="R1050" i="1" s="1"/>
  <c r="L1050" i="1"/>
  <c r="S1052" i="1"/>
  <c r="N1049" i="1"/>
  <c r="R1049" i="1" s="1"/>
  <c r="L1049" i="1"/>
  <c r="S1051" i="1"/>
  <c r="N1048" i="1"/>
  <c r="R1048" i="1" s="1"/>
  <c r="L1048" i="1"/>
  <c r="S1050" i="1"/>
  <c r="N1047" i="1"/>
  <c r="R1047" i="1" s="1"/>
  <c r="L1047" i="1"/>
  <c r="S1049" i="1"/>
  <c r="N1046" i="1"/>
  <c r="R1046" i="1" s="1"/>
  <c r="L1046" i="1"/>
  <c r="S1048" i="1"/>
  <c r="N1045" i="1"/>
  <c r="R1045" i="1" s="1"/>
  <c r="L1045" i="1"/>
  <c r="S1047" i="1"/>
  <c r="N1044" i="1"/>
  <c r="R1044" i="1" s="1"/>
  <c r="L1044" i="1"/>
  <c r="S1046" i="1"/>
  <c r="N1043" i="1"/>
  <c r="R1043" i="1" s="1"/>
  <c r="L1043" i="1"/>
  <c r="S1045" i="1"/>
  <c r="N1042" i="1"/>
  <c r="R1042" i="1" s="1"/>
  <c r="L1042" i="1"/>
  <c r="S1044" i="1"/>
  <c r="N1041" i="1"/>
  <c r="R1041" i="1" s="1"/>
  <c r="L1041" i="1"/>
  <c r="S1043" i="1"/>
  <c r="N1040" i="1"/>
  <c r="R1040" i="1" s="1"/>
  <c r="L1040" i="1"/>
  <c r="S1042" i="1"/>
  <c r="N1039" i="1"/>
  <c r="R1039" i="1" s="1"/>
  <c r="L1039" i="1"/>
  <c r="S1041" i="1"/>
  <c r="N1038" i="1"/>
  <c r="R1038" i="1" s="1"/>
  <c r="L1038" i="1"/>
  <c r="S1040" i="1"/>
  <c r="N1037" i="1"/>
  <c r="R1037" i="1" s="1"/>
  <c r="L1037" i="1"/>
  <c r="S1039" i="1"/>
  <c r="N1036" i="1"/>
  <c r="R1036" i="1" s="1"/>
  <c r="L1036" i="1"/>
  <c r="S1038" i="1"/>
  <c r="N1035" i="1"/>
  <c r="R1035" i="1" s="1"/>
  <c r="L1035" i="1"/>
  <c r="S1037" i="1"/>
  <c r="N1034" i="1"/>
  <c r="R1034" i="1" s="1"/>
  <c r="L1034" i="1"/>
  <c r="S1036" i="1"/>
  <c r="N1033" i="1"/>
  <c r="R1033" i="1" s="1"/>
  <c r="L1033" i="1"/>
  <c r="S1035" i="1"/>
  <c r="N1032" i="1"/>
  <c r="R1032" i="1" s="1"/>
  <c r="L1032" i="1"/>
  <c r="S1034" i="1"/>
  <c r="N1031" i="1"/>
  <c r="R1031" i="1" s="1"/>
  <c r="L1031" i="1"/>
  <c r="S1033" i="1"/>
  <c r="N1030" i="1"/>
  <c r="R1030" i="1" s="1"/>
  <c r="L1030" i="1"/>
  <c r="S1032" i="1"/>
  <c r="N1029" i="1"/>
  <c r="R1029" i="1" s="1"/>
  <c r="L1029" i="1"/>
  <c r="S1031" i="1"/>
  <c r="N1028" i="1"/>
  <c r="R1028" i="1" s="1"/>
  <c r="L1028" i="1"/>
  <c r="S1030" i="1"/>
  <c r="N1027" i="1"/>
  <c r="R1027" i="1" s="1"/>
  <c r="L1027" i="1"/>
  <c r="S1029" i="1"/>
  <c r="N1026" i="1"/>
  <c r="R1026" i="1" s="1"/>
  <c r="L1026" i="1"/>
  <c r="S1028" i="1"/>
  <c r="N1025" i="1"/>
  <c r="R1025" i="1" s="1"/>
  <c r="L1025" i="1"/>
  <c r="S1027" i="1"/>
  <c r="N1024" i="1"/>
  <c r="R1024" i="1" s="1"/>
  <c r="L1024" i="1"/>
  <c r="S1026" i="1"/>
  <c r="N1023" i="1"/>
  <c r="R1023" i="1" s="1"/>
  <c r="L1023" i="1"/>
  <c r="S1025" i="1"/>
  <c r="N1022" i="1"/>
  <c r="R1022" i="1" s="1"/>
  <c r="L1022" i="1"/>
  <c r="S1024" i="1"/>
  <c r="N1021" i="1"/>
  <c r="R1021" i="1" s="1"/>
  <c r="L1021" i="1"/>
  <c r="S1023" i="1"/>
  <c r="N1020" i="1"/>
  <c r="R1020" i="1" s="1"/>
  <c r="L1020" i="1"/>
  <c r="S1022" i="1"/>
  <c r="N1019" i="1"/>
  <c r="R1019" i="1" s="1"/>
  <c r="L1019" i="1"/>
  <c r="S1021" i="1"/>
  <c r="N1018" i="1"/>
  <c r="R1018" i="1" s="1"/>
  <c r="L1018" i="1"/>
  <c r="S1020" i="1"/>
  <c r="N1017" i="1"/>
  <c r="R1017" i="1" s="1"/>
  <c r="L1017" i="1"/>
  <c r="S1019" i="1"/>
  <c r="N1016" i="1"/>
  <c r="R1016" i="1" s="1"/>
  <c r="L1016" i="1"/>
  <c r="S1018" i="1"/>
  <c r="N1015" i="1"/>
  <c r="R1015" i="1" s="1"/>
  <c r="L1015" i="1"/>
  <c r="S1017" i="1"/>
  <c r="N1014" i="1"/>
  <c r="R1014" i="1" s="1"/>
  <c r="L1014" i="1"/>
  <c r="S1016" i="1"/>
  <c r="N1013" i="1"/>
  <c r="R1013" i="1" s="1"/>
  <c r="L1013" i="1"/>
  <c r="S1015" i="1"/>
  <c r="N1012" i="1"/>
  <c r="R1012" i="1" s="1"/>
  <c r="L1012" i="1"/>
  <c r="S1014" i="1"/>
  <c r="N1011" i="1"/>
  <c r="R1011" i="1" s="1"/>
  <c r="L1011" i="1"/>
  <c r="S1013" i="1"/>
  <c r="N1010" i="1"/>
  <c r="R1010" i="1" s="1"/>
  <c r="L1010" i="1"/>
  <c r="S1012" i="1"/>
  <c r="N1009" i="1"/>
  <c r="R1009" i="1" s="1"/>
  <c r="L1009" i="1"/>
  <c r="S1011" i="1"/>
  <c r="N1008" i="1"/>
  <c r="R1008" i="1" s="1"/>
  <c r="L1008" i="1"/>
  <c r="S1010" i="1"/>
  <c r="N1007" i="1"/>
  <c r="R1007" i="1" s="1"/>
  <c r="L1007" i="1"/>
  <c r="S1009" i="1"/>
  <c r="N1006" i="1"/>
  <c r="R1006" i="1" s="1"/>
  <c r="L1006" i="1"/>
  <c r="S1008" i="1"/>
  <c r="N1005" i="1"/>
  <c r="R1005" i="1" s="1"/>
  <c r="L1005" i="1"/>
  <c r="S1007" i="1"/>
  <c r="N1004" i="1"/>
  <c r="R1004" i="1" s="1"/>
  <c r="L1004" i="1"/>
  <c r="S1006" i="1"/>
  <c r="N1003" i="1"/>
  <c r="R1003" i="1" s="1"/>
  <c r="L1003" i="1"/>
  <c r="S1005" i="1"/>
  <c r="N1002" i="1"/>
  <c r="R1002" i="1" s="1"/>
  <c r="L1002" i="1"/>
  <c r="S1004" i="1"/>
  <c r="N1001" i="1"/>
  <c r="R1001" i="1" s="1"/>
  <c r="L1001" i="1"/>
  <c r="S1003" i="1"/>
  <c r="N1000" i="1"/>
  <c r="R1000" i="1" s="1"/>
  <c r="L1000" i="1"/>
  <c r="S1002" i="1"/>
  <c r="N999" i="1"/>
  <c r="R999" i="1" s="1"/>
  <c r="L999" i="1"/>
  <c r="S1001" i="1"/>
  <c r="N998" i="1"/>
  <c r="R998" i="1" s="1"/>
  <c r="L998" i="1"/>
  <c r="S1000" i="1"/>
  <c r="N997" i="1"/>
  <c r="R997" i="1" s="1"/>
  <c r="L997" i="1"/>
  <c r="S999" i="1"/>
  <c r="N996" i="1"/>
  <c r="R996" i="1" s="1"/>
  <c r="L996" i="1"/>
  <c r="S998" i="1"/>
  <c r="N995" i="1"/>
  <c r="R995" i="1" s="1"/>
  <c r="L995" i="1"/>
  <c r="S997" i="1"/>
  <c r="N994" i="1"/>
  <c r="R994" i="1" s="1"/>
  <c r="L994" i="1"/>
  <c r="S996" i="1"/>
  <c r="N993" i="1"/>
  <c r="R993" i="1" s="1"/>
  <c r="L993" i="1"/>
  <c r="S995" i="1"/>
  <c r="N992" i="1"/>
  <c r="R992" i="1" s="1"/>
  <c r="L992" i="1"/>
  <c r="S994" i="1"/>
  <c r="N991" i="1"/>
  <c r="R991" i="1" s="1"/>
  <c r="L991" i="1"/>
  <c r="S993" i="1"/>
  <c r="L990" i="1"/>
  <c r="N990" i="1"/>
  <c r="R990" i="1" s="1"/>
  <c r="S992" i="1"/>
  <c r="N989" i="1"/>
  <c r="R989" i="1" s="1"/>
  <c r="L989" i="1"/>
  <c r="S991" i="1"/>
  <c r="N988" i="1"/>
  <c r="R988" i="1" s="1"/>
  <c r="L988" i="1"/>
  <c r="S990" i="1"/>
  <c r="N987" i="1"/>
  <c r="R987" i="1" s="1"/>
  <c r="L987" i="1"/>
  <c r="S989" i="1"/>
  <c r="N986" i="1"/>
  <c r="R986" i="1" s="1"/>
  <c r="L986" i="1"/>
  <c r="S988" i="1"/>
  <c r="N985" i="1"/>
  <c r="R985" i="1" s="1"/>
  <c r="L985" i="1"/>
  <c r="S987" i="1"/>
  <c r="N984" i="1"/>
  <c r="R984" i="1" s="1"/>
  <c r="L984" i="1"/>
  <c r="S986" i="1"/>
  <c r="N983" i="1"/>
  <c r="R983" i="1" s="1"/>
  <c r="L983" i="1"/>
  <c r="S985" i="1"/>
  <c r="N982" i="1"/>
  <c r="R982" i="1" s="1"/>
  <c r="L982" i="1"/>
  <c r="S984" i="1"/>
  <c r="N981" i="1"/>
  <c r="R981" i="1" s="1"/>
  <c r="L981" i="1"/>
  <c r="S983" i="1"/>
  <c r="N980" i="1"/>
  <c r="R980" i="1" s="1"/>
  <c r="L980" i="1"/>
  <c r="S982" i="1"/>
  <c r="N979" i="1"/>
  <c r="R979" i="1" s="1"/>
  <c r="L979" i="1"/>
  <c r="S981" i="1"/>
  <c r="N978" i="1"/>
  <c r="R978" i="1" s="1"/>
  <c r="L978" i="1"/>
  <c r="S980" i="1"/>
  <c r="N977" i="1"/>
  <c r="R977" i="1" s="1"/>
  <c r="L977" i="1"/>
  <c r="S979" i="1"/>
  <c r="N976" i="1"/>
  <c r="R976" i="1" s="1"/>
  <c r="L976" i="1"/>
  <c r="S978" i="1"/>
  <c r="N975" i="1"/>
  <c r="R975" i="1" s="1"/>
  <c r="L975" i="1"/>
  <c r="S977" i="1"/>
  <c r="N974" i="1"/>
  <c r="R974" i="1" s="1"/>
  <c r="L974" i="1"/>
  <c r="S976" i="1"/>
  <c r="N973" i="1"/>
  <c r="R973" i="1" s="1"/>
  <c r="L973" i="1"/>
  <c r="S975" i="1"/>
  <c r="N972" i="1"/>
  <c r="R972" i="1" s="1"/>
  <c r="L972" i="1"/>
  <c r="S974" i="1"/>
  <c r="N971" i="1"/>
  <c r="R971" i="1" s="1"/>
  <c r="L971" i="1"/>
  <c r="S973" i="1"/>
  <c r="N970" i="1"/>
  <c r="R970" i="1" s="1"/>
  <c r="L970" i="1"/>
  <c r="S972" i="1"/>
  <c r="N969" i="1"/>
  <c r="R969" i="1" s="1"/>
  <c r="L969" i="1"/>
  <c r="S971" i="1"/>
  <c r="N968" i="1"/>
  <c r="R968" i="1" s="1"/>
  <c r="L968" i="1"/>
  <c r="S970" i="1"/>
  <c r="N967" i="1"/>
  <c r="R967" i="1" s="1"/>
  <c r="L967" i="1"/>
  <c r="S969" i="1"/>
  <c r="N966" i="1"/>
  <c r="R966" i="1" s="1"/>
  <c r="L966" i="1"/>
  <c r="S968" i="1"/>
  <c r="N965" i="1"/>
  <c r="R965" i="1" s="1"/>
  <c r="L965" i="1"/>
  <c r="S967" i="1"/>
  <c r="N964" i="1"/>
  <c r="R964" i="1" s="1"/>
  <c r="L964" i="1"/>
  <c r="S966" i="1"/>
  <c r="N963" i="1"/>
  <c r="R963" i="1" s="1"/>
  <c r="L963" i="1"/>
  <c r="S965" i="1"/>
  <c r="N962" i="1"/>
  <c r="R962" i="1" s="1"/>
  <c r="L962" i="1"/>
  <c r="S964" i="1"/>
  <c r="N961" i="1"/>
  <c r="R961" i="1" s="1"/>
  <c r="L961" i="1"/>
  <c r="S963" i="1"/>
  <c r="N960" i="1"/>
  <c r="R960" i="1" s="1"/>
  <c r="L960" i="1"/>
  <c r="S962" i="1"/>
  <c r="N959" i="1"/>
  <c r="R959" i="1" s="1"/>
  <c r="L959" i="1"/>
  <c r="S961" i="1"/>
  <c r="N958" i="1"/>
  <c r="R958" i="1" s="1"/>
  <c r="L958" i="1"/>
  <c r="S960" i="1"/>
  <c r="N957" i="1"/>
  <c r="R957" i="1" s="1"/>
  <c r="L957" i="1"/>
  <c r="S959" i="1"/>
  <c r="N956" i="1"/>
  <c r="R956" i="1" s="1"/>
  <c r="L956" i="1"/>
  <c r="S958" i="1"/>
  <c r="N955" i="1"/>
  <c r="R955" i="1" s="1"/>
  <c r="L955" i="1"/>
  <c r="S957" i="1"/>
  <c r="N954" i="1"/>
  <c r="R954" i="1" s="1"/>
  <c r="L954" i="1"/>
  <c r="S956" i="1"/>
  <c r="N953" i="1"/>
  <c r="R953" i="1" s="1"/>
  <c r="L953" i="1"/>
  <c r="S955" i="1"/>
  <c r="N952" i="1"/>
  <c r="R952" i="1" s="1"/>
  <c r="L952" i="1"/>
  <c r="S954" i="1"/>
  <c r="N951" i="1"/>
  <c r="R951" i="1" s="1"/>
  <c r="L951" i="1"/>
  <c r="S953" i="1"/>
  <c r="N950" i="1"/>
  <c r="R950" i="1" s="1"/>
  <c r="L950" i="1"/>
  <c r="S952" i="1"/>
  <c r="N949" i="1"/>
  <c r="R949" i="1" s="1"/>
  <c r="L949" i="1"/>
  <c r="S951" i="1"/>
  <c r="N948" i="1"/>
  <c r="R948" i="1" s="1"/>
  <c r="L948" i="1"/>
  <c r="S950" i="1"/>
  <c r="N947" i="1"/>
  <c r="R947" i="1" s="1"/>
  <c r="L947" i="1"/>
  <c r="S949" i="1"/>
  <c r="N946" i="1"/>
  <c r="R946" i="1" s="1"/>
  <c r="L946" i="1"/>
  <c r="S948" i="1"/>
  <c r="N945" i="1"/>
  <c r="R945" i="1" s="1"/>
  <c r="L945" i="1"/>
  <c r="S947" i="1"/>
  <c r="N944" i="1"/>
  <c r="R944" i="1" s="1"/>
  <c r="L944" i="1"/>
  <c r="S946" i="1"/>
  <c r="N943" i="1"/>
  <c r="R943" i="1" s="1"/>
  <c r="L943" i="1"/>
  <c r="S945" i="1"/>
  <c r="N942" i="1"/>
  <c r="R942" i="1" s="1"/>
  <c r="L942" i="1"/>
  <c r="S944" i="1"/>
  <c r="N941" i="1"/>
  <c r="R941" i="1" s="1"/>
  <c r="L941" i="1"/>
  <c r="S943" i="1"/>
  <c r="N940" i="1"/>
  <c r="R940" i="1" s="1"/>
  <c r="L940" i="1"/>
  <c r="S942" i="1"/>
  <c r="N939" i="1"/>
  <c r="R939" i="1" s="1"/>
  <c r="L939" i="1"/>
  <c r="S941" i="1"/>
  <c r="N938" i="1"/>
  <c r="R938" i="1" s="1"/>
  <c r="L938" i="1"/>
  <c r="S940" i="1"/>
  <c r="N937" i="1"/>
  <c r="R937" i="1" s="1"/>
  <c r="L937" i="1"/>
  <c r="S939" i="1"/>
  <c r="N936" i="1"/>
  <c r="R936" i="1" s="1"/>
  <c r="L936" i="1"/>
  <c r="S938" i="1"/>
  <c r="N935" i="1"/>
  <c r="R935" i="1" s="1"/>
  <c r="L935" i="1"/>
  <c r="S937" i="1"/>
  <c r="N934" i="1"/>
  <c r="R934" i="1" s="1"/>
  <c r="L934" i="1"/>
  <c r="S936" i="1"/>
  <c r="N933" i="1"/>
  <c r="R933" i="1" s="1"/>
  <c r="L933" i="1"/>
  <c r="S935" i="1"/>
  <c r="N932" i="1"/>
  <c r="R932" i="1" s="1"/>
  <c r="L932" i="1"/>
  <c r="S934" i="1"/>
  <c r="N931" i="1"/>
  <c r="R931" i="1" s="1"/>
  <c r="L931" i="1"/>
  <c r="S933" i="1"/>
  <c r="N930" i="1"/>
  <c r="R930" i="1" s="1"/>
  <c r="L930" i="1"/>
  <c r="S932" i="1"/>
  <c r="N929" i="1"/>
  <c r="R929" i="1" s="1"/>
  <c r="L929" i="1"/>
  <c r="S931" i="1"/>
  <c r="N928" i="1"/>
  <c r="R928" i="1" s="1"/>
  <c r="L928" i="1"/>
  <c r="S930" i="1"/>
  <c r="N927" i="1"/>
  <c r="R927" i="1" s="1"/>
  <c r="L927" i="1"/>
  <c r="S929" i="1"/>
  <c r="L926" i="1"/>
  <c r="N926" i="1"/>
  <c r="R926" i="1" s="1"/>
  <c r="S928" i="1"/>
  <c r="N925" i="1"/>
  <c r="R925" i="1" s="1"/>
  <c r="L925" i="1"/>
  <c r="S927" i="1"/>
  <c r="N924" i="1"/>
  <c r="R924" i="1" s="1"/>
  <c r="L924" i="1"/>
  <c r="S926" i="1"/>
  <c r="N923" i="1"/>
  <c r="R923" i="1" s="1"/>
  <c r="L923" i="1"/>
  <c r="S925" i="1"/>
  <c r="N922" i="1"/>
  <c r="R922" i="1" s="1"/>
  <c r="L922" i="1"/>
  <c r="S924" i="1"/>
  <c r="N921" i="1"/>
  <c r="R921" i="1" s="1"/>
  <c r="L921" i="1"/>
  <c r="S923" i="1"/>
  <c r="N920" i="1"/>
  <c r="R920" i="1" s="1"/>
  <c r="L920" i="1"/>
  <c r="S922" i="1"/>
  <c r="N919" i="1"/>
  <c r="R919" i="1" s="1"/>
  <c r="L919" i="1"/>
  <c r="S921" i="1"/>
  <c r="N918" i="1"/>
  <c r="R918" i="1" s="1"/>
  <c r="L918" i="1"/>
  <c r="S920" i="1"/>
  <c r="N917" i="1"/>
  <c r="R917" i="1" s="1"/>
  <c r="L917" i="1"/>
  <c r="S919" i="1"/>
  <c r="N916" i="1"/>
  <c r="R916" i="1" s="1"/>
  <c r="L916" i="1"/>
  <c r="S918" i="1"/>
  <c r="N915" i="1"/>
  <c r="R915" i="1" s="1"/>
  <c r="L915" i="1"/>
  <c r="S917" i="1"/>
  <c r="N914" i="1"/>
  <c r="R914" i="1" s="1"/>
  <c r="L914" i="1"/>
  <c r="S916" i="1"/>
  <c r="N913" i="1"/>
  <c r="R913" i="1" s="1"/>
  <c r="L913" i="1"/>
  <c r="S915" i="1"/>
  <c r="N912" i="1"/>
  <c r="R912" i="1" s="1"/>
  <c r="L912" i="1"/>
  <c r="S914" i="1"/>
  <c r="N911" i="1"/>
  <c r="R911" i="1" s="1"/>
  <c r="L911" i="1"/>
  <c r="S913" i="1"/>
  <c r="N910" i="1"/>
  <c r="R910" i="1" s="1"/>
  <c r="L910" i="1"/>
  <c r="S912" i="1"/>
  <c r="N909" i="1"/>
  <c r="R909" i="1" s="1"/>
  <c r="L909" i="1"/>
  <c r="S911" i="1"/>
  <c r="N908" i="1"/>
  <c r="R908" i="1" s="1"/>
  <c r="L908" i="1"/>
  <c r="S910" i="1"/>
  <c r="N907" i="1"/>
  <c r="R907" i="1" s="1"/>
  <c r="L907" i="1"/>
  <c r="S909" i="1"/>
  <c r="N906" i="1"/>
  <c r="R906" i="1" s="1"/>
  <c r="L906" i="1"/>
  <c r="S908" i="1"/>
  <c r="N905" i="1"/>
  <c r="R905" i="1" s="1"/>
  <c r="L905" i="1"/>
  <c r="S907" i="1"/>
  <c r="N904" i="1"/>
  <c r="R904" i="1" s="1"/>
  <c r="L904" i="1"/>
  <c r="S906" i="1"/>
  <c r="N903" i="1"/>
  <c r="R903" i="1" s="1"/>
  <c r="L903" i="1"/>
  <c r="S905" i="1"/>
  <c r="N902" i="1"/>
  <c r="R902" i="1" s="1"/>
  <c r="L902" i="1"/>
  <c r="S904" i="1"/>
  <c r="N901" i="1"/>
  <c r="R901" i="1" s="1"/>
  <c r="L901" i="1"/>
  <c r="S903" i="1"/>
  <c r="N900" i="1"/>
  <c r="R900" i="1" s="1"/>
  <c r="L900" i="1"/>
  <c r="S902" i="1"/>
  <c r="N899" i="1"/>
  <c r="R899" i="1" s="1"/>
  <c r="L899" i="1"/>
  <c r="S901" i="1"/>
  <c r="N898" i="1"/>
  <c r="R898" i="1" s="1"/>
  <c r="L898" i="1"/>
  <c r="S900" i="1"/>
  <c r="N897" i="1"/>
  <c r="R897" i="1" s="1"/>
  <c r="L897" i="1"/>
  <c r="S899" i="1"/>
  <c r="N896" i="1"/>
  <c r="R896" i="1" s="1"/>
  <c r="L896" i="1"/>
  <c r="S898" i="1"/>
  <c r="N895" i="1"/>
  <c r="R895" i="1" s="1"/>
  <c r="L895" i="1"/>
  <c r="S897" i="1"/>
  <c r="N894" i="1"/>
  <c r="R894" i="1" s="1"/>
  <c r="L894" i="1"/>
  <c r="S896" i="1"/>
  <c r="N893" i="1"/>
  <c r="R893" i="1" s="1"/>
  <c r="L893" i="1"/>
  <c r="S895" i="1"/>
  <c r="N892" i="1"/>
  <c r="R892" i="1" s="1"/>
  <c r="L892" i="1"/>
  <c r="S894" i="1"/>
  <c r="N891" i="1"/>
  <c r="R891" i="1" s="1"/>
  <c r="L891" i="1"/>
  <c r="S893" i="1"/>
  <c r="N890" i="1"/>
  <c r="R890" i="1" s="1"/>
  <c r="L890" i="1"/>
  <c r="S892" i="1"/>
  <c r="N889" i="1"/>
  <c r="R889" i="1" s="1"/>
  <c r="L889" i="1"/>
  <c r="S891" i="1"/>
  <c r="N888" i="1"/>
  <c r="R888" i="1" s="1"/>
  <c r="L888" i="1"/>
  <c r="S890" i="1"/>
  <c r="N887" i="1"/>
  <c r="R887" i="1" s="1"/>
  <c r="L887" i="1"/>
  <c r="S889" i="1"/>
  <c r="N886" i="1"/>
  <c r="R886" i="1" s="1"/>
  <c r="L886" i="1"/>
  <c r="S888" i="1"/>
  <c r="N885" i="1"/>
  <c r="R885" i="1" s="1"/>
  <c r="L885" i="1"/>
  <c r="S887" i="1"/>
  <c r="N884" i="1"/>
  <c r="R884" i="1" s="1"/>
  <c r="L884" i="1"/>
  <c r="S886" i="1"/>
  <c r="N883" i="1"/>
  <c r="R883" i="1" s="1"/>
  <c r="L883" i="1"/>
  <c r="S885" i="1"/>
  <c r="N882" i="1"/>
  <c r="R882" i="1" s="1"/>
  <c r="L882" i="1"/>
  <c r="S884" i="1"/>
  <c r="N881" i="1"/>
  <c r="R881" i="1" s="1"/>
  <c r="L881" i="1"/>
  <c r="S883" i="1"/>
  <c r="N880" i="1"/>
  <c r="R880" i="1" s="1"/>
  <c r="L880" i="1"/>
  <c r="S882" i="1"/>
  <c r="N879" i="1"/>
  <c r="R879" i="1" s="1"/>
  <c r="L879" i="1"/>
  <c r="S881" i="1"/>
  <c r="N878" i="1"/>
  <c r="R878" i="1" s="1"/>
  <c r="L878" i="1"/>
  <c r="S880" i="1"/>
  <c r="N877" i="1"/>
  <c r="R877" i="1" s="1"/>
  <c r="L877" i="1"/>
  <c r="S879" i="1"/>
  <c r="N876" i="1"/>
  <c r="R876" i="1" s="1"/>
  <c r="L876" i="1"/>
  <c r="S878" i="1"/>
  <c r="N875" i="1"/>
  <c r="R875" i="1" s="1"/>
  <c r="L875" i="1"/>
  <c r="S877" i="1"/>
  <c r="N874" i="1"/>
  <c r="R874" i="1" s="1"/>
  <c r="L874" i="1"/>
  <c r="S876" i="1"/>
  <c r="N873" i="1"/>
  <c r="R873" i="1" s="1"/>
  <c r="L873" i="1"/>
  <c r="S875" i="1"/>
  <c r="N872" i="1"/>
  <c r="R872" i="1" s="1"/>
  <c r="L872" i="1"/>
  <c r="S874" i="1"/>
  <c r="N871" i="1"/>
  <c r="R871" i="1" s="1"/>
  <c r="L871" i="1"/>
  <c r="S873" i="1"/>
  <c r="N870" i="1"/>
  <c r="R870" i="1" s="1"/>
  <c r="L870" i="1"/>
  <c r="S872" i="1"/>
  <c r="N869" i="1"/>
  <c r="R869" i="1" s="1"/>
  <c r="L869" i="1"/>
  <c r="S871" i="1"/>
  <c r="N868" i="1"/>
  <c r="R868" i="1" s="1"/>
  <c r="L868" i="1"/>
  <c r="S870" i="1"/>
  <c r="N867" i="1"/>
  <c r="R867" i="1" s="1"/>
  <c r="L867" i="1"/>
  <c r="S869" i="1"/>
  <c r="N866" i="1"/>
  <c r="R866" i="1" s="1"/>
  <c r="L866" i="1"/>
  <c r="S868" i="1"/>
  <c r="N865" i="1"/>
  <c r="R865" i="1" s="1"/>
  <c r="L865" i="1"/>
  <c r="S867" i="1"/>
  <c r="N864" i="1"/>
  <c r="R864" i="1" s="1"/>
  <c r="L864" i="1"/>
  <c r="S866" i="1"/>
  <c r="L863" i="1"/>
  <c r="N863" i="1"/>
  <c r="R863" i="1" s="1"/>
  <c r="S865" i="1"/>
  <c r="N862" i="1"/>
  <c r="R862" i="1" s="1"/>
  <c r="L862" i="1"/>
  <c r="S864" i="1"/>
  <c r="N861" i="1"/>
  <c r="R861" i="1" s="1"/>
  <c r="L861" i="1"/>
  <c r="S863" i="1"/>
  <c r="N860" i="1"/>
  <c r="R860" i="1" s="1"/>
  <c r="L860" i="1"/>
  <c r="S862" i="1"/>
  <c r="N859" i="1"/>
  <c r="R859" i="1" s="1"/>
  <c r="L859" i="1"/>
  <c r="S861" i="1"/>
  <c r="N858" i="1"/>
  <c r="R858" i="1" s="1"/>
  <c r="L858" i="1"/>
  <c r="S860" i="1"/>
  <c r="N857" i="1"/>
  <c r="R857" i="1" s="1"/>
  <c r="L857" i="1"/>
  <c r="S859" i="1"/>
  <c r="N856" i="1"/>
  <c r="R856" i="1" s="1"/>
  <c r="L856" i="1"/>
  <c r="S858" i="1"/>
  <c r="N855" i="1"/>
  <c r="R855" i="1" s="1"/>
  <c r="L855" i="1"/>
  <c r="S857" i="1"/>
  <c r="N854" i="1"/>
  <c r="R854" i="1" s="1"/>
  <c r="L854" i="1"/>
  <c r="S856" i="1"/>
  <c r="N853" i="1"/>
  <c r="R853" i="1" s="1"/>
  <c r="L853" i="1"/>
  <c r="S855" i="1"/>
  <c r="N852" i="1"/>
  <c r="R852" i="1" s="1"/>
  <c r="L852" i="1"/>
  <c r="S854" i="1"/>
  <c r="N851" i="1"/>
  <c r="R851" i="1" s="1"/>
  <c r="L851" i="1"/>
  <c r="S853" i="1"/>
  <c r="N850" i="1"/>
  <c r="R850" i="1" s="1"/>
  <c r="L850" i="1"/>
  <c r="S852" i="1"/>
  <c r="N849" i="1"/>
  <c r="R849" i="1" s="1"/>
  <c r="L849" i="1"/>
  <c r="S851" i="1"/>
  <c r="N848" i="1"/>
  <c r="R848" i="1" s="1"/>
  <c r="L848" i="1"/>
  <c r="S850" i="1"/>
  <c r="N847" i="1"/>
  <c r="R847" i="1" s="1"/>
  <c r="L847" i="1"/>
  <c r="S849" i="1"/>
  <c r="N846" i="1"/>
  <c r="R846" i="1" s="1"/>
  <c r="L846" i="1"/>
  <c r="S848" i="1"/>
  <c r="N845" i="1"/>
  <c r="R845" i="1" s="1"/>
  <c r="L845" i="1"/>
  <c r="S847" i="1"/>
  <c r="N844" i="1"/>
  <c r="R844" i="1" s="1"/>
  <c r="L844" i="1"/>
  <c r="S846" i="1"/>
  <c r="N843" i="1"/>
  <c r="R843" i="1" s="1"/>
  <c r="L843" i="1"/>
  <c r="S845" i="1"/>
  <c r="L842" i="1"/>
  <c r="N842" i="1"/>
  <c r="R842" i="1" s="1"/>
  <c r="S844" i="1"/>
  <c r="N841" i="1"/>
  <c r="R841" i="1" s="1"/>
  <c r="L841" i="1"/>
  <c r="S843" i="1"/>
  <c r="N840" i="1"/>
  <c r="R840" i="1" s="1"/>
  <c r="L840" i="1"/>
  <c r="S842" i="1"/>
  <c r="N839" i="1"/>
  <c r="R839" i="1" s="1"/>
  <c r="L839" i="1"/>
  <c r="S841" i="1"/>
  <c r="N838" i="1"/>
  <c r="R838" i="1" s="1"/>
  <c r="L838" i="1"/>
  <c r="S840" i="1"/>
  <c r="N837" i="1"/>
  <c r="R837" i="1" s="1"/>
  <c r="L837" i="1"/>
  <c r="S839" i="1"/>
  <c r="N836" i="1"/>
  <c r="R836" i="1" s="1"/>
  <c r="L836" i="1"/>
  <c r="S838" i="1"/>
  <c r="N835" i="1"/>
  <c r="R835" i="1" s="1"/>
  <c r="L835" i="1"/>
  <c r="S837" i="1"/>
  <c r="N834" i="1"/>
  <c r="R834" i="1" s="1"/>
  <c r="L834" i="1"/>
  <c r="S836" i="1"/>
  <c r="N833" i="1"/>
  <c r="R833" i="1" s="1"/>
  <c r="L833" i="1"/>
  <c r="S835" i="1"/>
  <c r="N832" i="1"/>
  <c r="R832" i="1" s="1"/>
  <c r="L832" i="1"/>
  <c r="S834" i="1"/>
  <c r="L831" i="1"/>
  <c r="N831" i="1"/>
  <c r="R831" i="1" s="1"/>
  <c r="S833" i="1"/>
  <c r="N830" i="1"/>
  <c r="R830" i="1" s="1"/>
  <c r="L830" i="1"/>
  <c r="S832" i="1"/>
  <c r="N829" i="1"/>
  <c r="R829" i="1" s="1"/>
  <c r="L829" i="1"/>
  <c r="S831" i="1"/>
  <c r="N828" i="1"/>
  <c r="R828" i="1" s="1"/>
  <c r="L828" i="1"/>
  <c r="S830" i="1"/>
  <c r="N827" i="1"/>
  <c r="R827" i="1" s="1"/>
  <c r="L827" i="1"/>
  <c r="S829" i="1"/>
  <c r="N826" i="1"/>
  <c r="R826" i="1" s="1"/>
  <c r="L826" i="1"/>
  <c r="S828" i="1"/>
  <c r="N825" i="1"/>
  <c r="R825" i="1" s="1"/>
  <c r="L825" i="1"/>
  <c r="S827" i="1"/>
  <c r="N824" i="1"/>
  <c r="R824" i="1" s="1"/>
  <c r="L824" i="1"/>
  <c r="S826" i="1"/>
  <c r="N823" i="1"/>
  <c r="R823" i="1" s="1"/>
  <c r="L823" i="1"/>
  <c r="S825" i="1"/>
  <c r="N822" i="1"/>
  <c r="R822" i="1" s="1"/>
  <c r="L822" i="1"/>
  <c r="S824" i="1"/>
  <c r="N821" i="1"/>
  <c r="R821" i="1" s="1"/>
  <c r="L821" i="1"/>
  <c r="S823" i="1"/>
  <c r="N820" i="1"/>
  <c r="R820" i="1" s="1"/>
  <c r="L820" i="1"/>
  <c r="S822" i="1"/>
  <c r="N819" i="1"/>
  <c r="R819" i="1" s="1"/>
  <c r="L819" i="1"/>
  <c r="S821" i="1"/>
  <c r="N818" i="1"/>
  <c r="R818" i="1" s="1"/>
  <c r="L818" i="1"/>
  <c r="S820" i="1"/>
  <c r="N817" i="1"/>
  <c r="R817" i="1" s="1"/>
  <c r="L817" i="1"/>
  <c r="S819" i="1"/>
  <c r="N816" i="1"/>
  <c r="R816" i="1" s="1"/>
  <c r="L816" i="1"/>
  <c r="S818" i="1"/>
  <c r="N815" i="1"/>
  <c r="R815" i="1" s="1"/>
  <c r="L815" i="1"/>
  <c r="S817" i="1"/>
  <c r="N814" i="1"/>
  <c r="R814" i="1" s="1"/>
  <c r="L814" i="1"/>
  <c r="S816" i="1"/>
  <c r="N813" i="1"/>
  <c r="R813" i="1" s="1"/>
  <c r="L813" i="1"/>
  <c r="S815" i="1"/>
  <c r="N812" i="1"/>
  <c r="R812" i="1" s="1"/>
  <c r="L812" i="1"/>
  <c r="S814" i="1"/>
  <c r="N811" i="1"/>
  <c r="R811" i="1" s="1"/>
  <c r="L811" i="1"/>
  <c r="S813" i="1"/>
  <c r="N810" i="1"/>
  <c r="R810" i="1" s="1"/>
  <c r="L810" i="1"/>
  <c r="S812" i="1"/>
  <c r="N809" i="1"/>
  <c r="R809" i="1" s="1"/>
  <c r="L809" i="1"/>
  <c r="S811" i="1"/>
  <c r="N808" i="1"/>
  <c r="R808" i="1" s="1"/>
  <c r="L808" i="1"/>
  <c r="S810" i="1"/>
  <c r="N807" i="1"/>
  <c r="R807" i="1" s="1"/>
  <c r="L807" i="1"/>
  <c r="S809" i="1"/>
  <c r="N806" i="1"/>
  <c r="R806" i="1" s="1"/>
  <c r="L806" i="1"/>
  <c r="S808" i="1"/>
  <c r="N805" i="1"/>
  <c r="R805" i="1" s="1"/>
  <c r="L805" i="1"/>
  <c r="S807" i="1"/>
  <c r="N804" i="1"/>
  <c r="R804" i="1" s="1"/>
  <c r="L804" i="1"/>
  <c r="S806" i="1"/>
  <c r="N803" i="1"/>
  <c r="R803" i="1" s="1"/>
  <c r="L803" i="1"/>
  <c r="S805" i="1"/>
  <c r="N802" i="1"/>
  <c r="R802" i="1" s="1"/>
  <c r="L802" i="1"/>
  <c r="S804" i="1"/>
  <c r="N801" i="1"/>
  <c r="R801" i="1" s="1"/>
  <c r="L801" i="1"/>
  <c r="S803" i="1"/>
  <c r="N800" i="1"/>
  <c r="R800" i="1" s="1"/>
  <c r="L800" i="1"/>
  <c r="S802" i="1"/>
  <c r="L799" i="1"/>
  <c r="N799" i="1"/>
  <c r="R799" i="1" s="1"/>
  <c r="S801" i="1"/>
  <c r="N798" i="1"/>
  <c r="R798" i="1" s="1"/>
  <c r="L798" i="1"/>
  <c r="S800" i="1"/>
  <c r="N797" i="1"/>
  <c r="R797" i="1" s="1"/>
  <c r="L797" i="1"/>
  <c r="S799" i="1"/>
  <c r="N796" i="1"/>
  <c r="R796" i="1" s="1"/>
  <c r="L796" i="1"/>
  <c r="S798" i="1"/>
  <c r="N795" i="1"/>
  <c r="R795" i="1" s="1"/>
  <c r="L795" i="1"/>
  <c r="S797" i="1"/>
  <c r="N794" i="1"/>
  <c r="R794" i="1" s="1"/>
  <c r="L794" i="1"/>
  <c r="S796" i="1"/>
  <c r="N793" i="1"/>
  <c r="R793" i="1" s="1"/>
  <c r="L793" i="1"/>
  <c r="S795" i="1"/>
  <c r="N792" i="1"/>
  <c r="R792" i="1" s="1"/>
  <c r="L792" i="1"/>
  <c r="S794" i="1"/>
  <c r="N791" i="1"/>
  <c r="R791" i="1" s="1"/>
  <c r="L791" i="1"/>
  <c r="S793" i="1"/>
  <c r="N790" i="1"/>
  <c r="R790" i="1" s="1"/>
  <c r="L790" i="1"/>
  <c r="S792" i="1"/>
  <c r="N789" i="1"/>
  <c r="R789" i="1" s="1"/>
  <c r="L789" i="1"/>
  <c r="S791" i="1"/>
  <c r="N788" i="1"/>
  <c r="R788" i="1" s="1"/>
  <c r="L788" i="1"/>
  <c r="S790" i="1"/>
  <c r="N787" i="1"/>
  <c r="R787" i="1" s="1"/>
  <c r="L787" i="1"/>
  <c r="S789" i="1"/>
  <c r="N786" i="1"/>
  <c r="R786" i="1" s="1"/>
  <c r="L786" i="1"/>
  <c r="S788" i="1"/>
  <c r="N785" i="1"/>
  <c r="R785" i="1" s="1"/>
  <c r="L785" i="1"/>
  <c r="S787" i="1"/>
  <c r="N784" i="1"/>
  <c r="R784" i="1" s="1"/>
  <c r="L784" i="1"/>
  <c r="S786" i="1"/>
  <c r="N783" i="1"/>
  <c r="R783" i="1" s="1"/>
  <c r="L783" i="1"/>
  <c r="S785" i="1"/>
  <c r="N782" i="1"/>
  <c r="R782" i="1" s="1"/>
  <c r="L782" i="1"/>
  <c r="S784" i="1"/>
  <c r="N781" i="1"/>
  <c r="R781" i="1" s="1"/>
  <c r="L781" i="1"/>
  <c r="S783" i="1"/>
  <c r="N780" i="1"/>
  <c r="R780" i="1" s="1"/>
  <c r="L780" i="1"/>
  <c r="S782" i="1"/>
  <c r="N779" i="1"/>
  <c r="R779" i="1" s="1"/>
  <c r="L779" i="1"/>
  <c r="S781" i="1"/>
  <c r="L778" i="1"/>
  <c r="N778" i="1"/>
  <c r="R778" i="1" s="1"/>
  <c r="S780" i="1"/>
  <c r="N777" i="1"/>
  <c r="R777" i="1" s="1"/>
  <c r="L777" i="1"/>
  <c r="S779" i="1"/>
  <c r="N776" i="1"/>
  <c r="R776" i="1" s="1"/>
  <c r="L776" i="1"/>
  <c r="S778" i="1"/>
  <c r="N775" i="1"/>
  <c r="R775" i="1" s="1"/>
  <c r="L775" i="1"/>
  <c r="S777" i="1"/>
  <c r="N774" i="1"/>
  <c r="R774" i="1" s="1"/>
  <c r="L774" i="1"/>
  <c r="S776" i="1"/>
  <c r="N773" i="1"/>
  <c r="R773" i="1" s="1"/>
  <c r="L773" i="1"/>
  <c r="S775" i="1"/>
  <c r="N772" i="1"/>
  <c r="R772" i="1" s="1"/>
  <c r="L772" i="1"/>
  <c r="S774" i="1"/>
  <c r="N771" i="1"/>
  <c r="R771" i="1" s="1"/>
  <c r="L771" i="1"/>
  <c r="S773" i="1"/>
  <c r="N770" i="1"/>
  <c r="R770" i="1" s="1"/>
  <c r="L770" i="1"/>
  <c r="S772" i="1"/>
  <c r="N769" i="1"/>
  <c r="R769" i="1" s="1"/>
  <c r="L769" i="1"/>
  <c r="S771" i="1"/>
  <c r="N768" i="1"/>
  <c r="R768" i="1" s="1"/>
  <c r="L768" i="1"/>
  <c r="S770" i="1"/>
  <c r="L767" i="1"/>
  <c r="N767" i="1"/>
  <c r="R767" i="1" s="1"/>
  <c r="S769" i="1"/>
  <c r="N766" i="1"/>
  <c r="R766" i="1" s="1"/>
  <c r="L766" i="1"/>
  <c r="S768" i="1"/>
  <c r="N765" i="1"/>
  <c r="R765" i="1" s="1"/>
  <c r="L765" i="1"/>
  <c r="S767" i="1"/>
  <c r="N764" i="1"/>
  <c r="L764" i="1"/>
  <c r="S766" i="1"/>
  <c r="N763" i="1"/>
  <c r="L763" i="1"/>
  <c r="S765" i="1"/>
  <c r="N762" i="1"/>
  <c r="L762" i="1"/>
  <c r="N761" i="1"/>
  <c r="L761" i="1"/>
  <c r="N760" i="1"/>
  <c r="L760" i="1"/>
  <c r="N759" i="1"/>
  <c r="L759" i="1"/>
  <c r="N758" i="1"/>
  <c r="L758" i="1"/>
  <c r="N757" i="1"/>
  <c r="L757" i="1"/>
  <c r="N756" i="1"/>
  <c r="L756" i="1"/>
  <c r="N755" i="1"/>
  <c r="L755" i="1"/>
  <c r="N754" i="1"/>
  <c r="L754" i="1"/>
  <c r="N753" i="1"/>
  <c r="L753" i="1"/>
  <c r="N752" i="1"/>
  <c r="L752" i="1"/>
  <c r="N751" i="1"/>
  <c r="L751" i="1"/>
  <c r="N750" i="1"/>
  <c r="L750" i="1"/>
  <c r="N749" i="1"/>
  <c r="L749" i="1"/>
  <c r="N748" i="1"/>
  <c r="L748" i="1"/>
  <c r="N747" i="1"/>
  <c r="L747" i="1"/>
  <c r="L746" i="1"/>
  <c r="N746" i="1"/>
  <c r="N745" i="1"/>
  <c r="L745" i="1"/>
  <c r="N744" i="1"/>
  <c r="L744" i="1"/>
  <c r="N743" i="1"/>
  <c r="L743" i="1"/>
  <c r="N742" i="1"/>
  <c r="L742" i="1"/>
  <c r="N741" i="1"/>
  <c r="L741" i="1"/>
  <c r="N740" i="1"/>
  <c r="L740" i="1"/>
  <c r="N739" i="1"/>
  <c r="L739" i="1"/>
  <c r="N738" i="1"/>
  <c r="L738" i="1"/>
  <c r="N737" i="1"/>
  <c r="L737" i="1"/>
  <c r="N736" i="1"/>
  <c r="L736" i="1"/>
  <c r="L735" i="1"/>
  <c r="N735" i="1"/>
  <c r="N734" i="1"/>
  <c r="L734" i="1"/>
  <c r="N733" i="1"/>
  <c r="L733" i="1"/>
  <c r="N732" i="1"/>
  <c r="L732" i="1"/>
  <c r="N731" i="1"/>
  <c r="L731" i="1"/>
  <c r="N730" i="1"/>
  <c r="L730" i="1"/>
  <c r="N729" i="1"/>
  <c r="L729" i="1"/>
  <c r="N728" i="1"/>
  <c r="L728" i="1"/>
  <c r="N727" i="1"/>
  <c r="L727" i="1"/>
  <c r="N726" i="1"/>
  <c r="L726" i="1"/>
  <c r="N725" i="1"/>
  <c r="L725" i="1"/>
  <c r="N724" i="1"/>
  <c r="L724" i="1"/>
  <c r="N723" i="1"/>
  <c r="L723" i="1"/>
  <c r="N722" i="1"/>
  <c r="L722" i="1"/>
  <c r="N721" i="1"/>
  <c r="L721" i="1"/>
  <c r="N720" i="1"/>
  <c r="L720" i="1"/>
  <c r="N719" i="1"/>
  <c r="L719" i="1"/>
  <c r="N718" i="1"/>
  <c r="L718" i="1"/>
  <c r="N717" i="1"/>
  <c r="L717" i="1"/>
  <c r="N716" i="1"/>
  <c r="L716" i="1"/>
  <c r="N715" i="1"/>
  <c r="L715" i="1"/>
  <c r="N714" i="1"/>
  <c r="L714" i="1"/>
  <c r="N713" i="1"/>
  <c r="L713" i="1"/>
  <c r="N712" i="1"/>
  <c r="L712" i="1"/>
  <c r="N711" i="1"/>
  <c r="L711" i="1"/>
  <c r="N710" i="1"/>
  <c r="L710" i="1"/>
  <c r="N709" i="1"/>
  <c r="L709" i="1"/>
  <c r="N708" i="1"/>
  <c r="L708" i="1"/>
  <c r="N707" i="1"/>
  <c r="L707" i="1"/>
  <c r="N706" i="1"/>
  <c r="L706" i="1"/>
  <c r="N705" i="1"/>
  <c r="L705" i="1"/>
  <c r="N704" i="1"/>
  <c r="L704" i="1"/>
  <c r="N703" i="1"/>
  <c r="L703" i="1"/>
  <c r="N702" i="1"/>
  <c r="L702" i="1"/>
  <c r="N701" i="1"/>
  <c r="L701" i="1"/>
  <c r="N700" i="1"/>
  <c r="L700" i="1"/>
  <c r="N699" i="1"/>
  <c r="L699" i="1"/>
  <c r="N698" i="1"/>
  <c r="L698" i="1"/>
  <c r="N697" i="1"/>
  <c r="L697" i="1"/>
  <c r="N696" i="1"/>
  <c r="L696" i="1"/>
  <c r="N695" i="1"/>
  <c r="L695" i="1"/>
  <c r="N694" i="1"/>
  <c r="L694" i="1"/>
  <c r="N693" i="1"/>
  <c r="L693" i="1"/>
  <c r="L692" i="1"/>
  <c r="N692" i="1"/>
  <c r="N691" i="1"/>
  <c r="L691" i="1"/>
  <c r="N690" i="1"/>
  <c r="L690" i="1"/>
  <c r="N689" i="1"/>
  <c r="L689" i="1"/>
  <c r="N688" i="1"/>
  <c r="L688" i="1"/>
  <c r="N687" i="1"/>
  <c r="L687" i="1"/>
  <c r="N686" i="1"/>
  <c r="L686" i="1"/>
  <c r="N685" i="1"/>
  <c r="L685" i="1"/>
  <c r="N684" i="1"/>
  <c r="L684" i="1"/>
  <c r="N683" i="1"/>
  <c r="L683" i="1"/>
  <c r="L682" i="1"/>
  <c r="N682" i="1"/>
  <c r="N681" i="1"/>
  <c r="L681" i="1"/>
  <c r="N680" i="1"/>
  <c r="L680" i="1"/>
  <c r="N679" i="1"/>
  <c r="L679" i="1"/>
  <c r="N678" i="1"/>
  <c r="L678" i="1"/>
  <c r="N677" i="1"/>
  <c r="L677" i="1"/>
  <c r="N676" i="1"/>
  <c r="L676" i="1"/>
  <c r="N675" i="1"/>
  <c r="L675" i="1"/>
  <c r="N674" i="1"/>
  <c r="L674" i="1"/>
  <c r="N673" i="1"/>
  <c r="L673" i="1"/>
  <c r="N672" i="1"/>
  <c r="L672" i="1"/>
  <c r="L671" i="1"/>
  <c r="N671" i="1"/>
  <c r="N670" i="1"/>
  <c r="L670" i="1"/>
  <c r="N669" i="1"/>
  <c r="L669" i="1"/>
  <c r="N668" i="1"/>
  <c r="L668" i="1"/>
  <c r="N667" i="1"/>
  <c r="L667" i="1"/>
  <c r="N666" i="1"/>
  <c r="L666" i="1"/>
  <c r="N665" i="1"/>
  <c r="L665" i="1"/>
  <c r="N664" i="1"/>
  <c r="L664" i="1"/>
  <c r="N663" i="1"/>
  <c r="L663" i="1"/>
  <c r="N662" i="1"/>
  <c r="L662" i="1"/>
  <c r="N661" i="1"/>
  <c r="L661" i="1"/>
  <c r="N660" i="1"/>
  <c r="L660" i="1"/>
  <c r="N659" i="1"/>
  <c r="L659" i="1"/>
  <c r="N658" i="1"/>
  <c r="L658" i="1"/>
  <c r="N657" i="1"/>
  <c r="L657" i="1"/>
  <c r="N656" i="1"/>
  <c r="L656" i="1"/>
  <c r="N655" i="1"/>
  <c r="L655" i="1"/>
  <c r="N654" i="1"/>
  <c r="L654" i="1"/>
  <c r="N653" i="1"/>
  <c r="L653" i="1"/>
  <c r="N652" i="1"/>
  <c r="L652" i="1"/>
  <c r="N651" i="1"/>
  <c r="L651" i="1"/>
  <c r="N650" i="1"/>
  <c r="L650" i="1"/>
  <c r="N649" i="1"/>
  <c r="L649" i="1"/>
  <c r="L648" i="1"/>
  <c r="N648" i="1"/>
  <c r="N647" i="1"/>
  <c r="L647" i="1"/>
  <c r="N646" i="1"/>
  <c r="L646" i="1"/>
  <c r="N645" i="1"/>
  <c r="L645" i="1"/>
  <c r="N644" i="1"/>
  <c r="L644" i="1"/>
  <c r="N643" i="1"/>
  <c r="L643" i="1"/>
  <c r="N642" i="1"/>
  <c r="L642" i="1"/>
  <c r="N641" i="1"/>
  <c r="L641" i="1"/>
  <c r="N640" i="1"/>
  <c r="L640" i="1"/>
  <c r="N639" i="1"/>
  <c r="L639" i="1"/>
  <c r="N638" i="1"/>
  <c r="L638" i="1"/>
  <c r="N637" i="1"/>
  <c r="L637" i="1"/>
  <c r="N636" i="1"/>
  <c r="L636" i="1"/>
  <c r="N635" i="1"/>
  <c r="L635" i="1"/>
  <c r="N634" i="1"/>
  <c r="L634" i="1"/>
  <c r="N633" i="1"/>
  <c r="L633" i="1"/>
  <c r="L632" i="1"/>
  <c r="N632" i="1"/>
  <c r="N631" i="1"/>
  <c r="L631" i="1"/>
  <c r="N630" i="1"/>
  <c r="L630" i="1"/>
  <c r="N629" i="1"/>
  <c r="L629" i="1"/>
  <c r="N628" i="1"/>
  <c r="L628" i="1"/>
  <c r="N627" i="1"/>
  <c r="L627" i="1"/>
  <c r="N626" i="1"/>
  <c r="L626" i="1"/>
  <c r="N625" i="1"/>
  <c r="L625" i="1"/>
  <c r="N624" i="1"/>
  <c r="L624" i="1"/>
  <c r="N623" i="1"/>
  <c r="L623" i="1"/>
  <c r="N622" i="1"/>
  <c r="L622" i="1"/>
  <c r="N621" i="1"/>
  <c r="L621" i="1"/>
  <c r="N620" i="1"/>
  <c r="L620" i="1"/>
  <c r="N619" i="1"/>
  <c r="L619" i="1"/>
  <c r="N618" i="1"/>
  <c r="L618" i="1"/>
  <c r="N617" i="1"/>
  <c r="L617" i="1"/>
  <c r="N616" i="1"/>
  <c r="L616" i="1"/>
  <c r="N615" i="1"/>
  <c r="L615" i="1"/>
  <c r="N614" i="1"/>
  <c r="L614" i="1"/>
  <c r="N613" i="1"/>
  <c r="L613" i="1"/>
  <c r="N612" i="1"/>
  <c r="L612" i="1"/>
  <c r="N611" i="1"/>
  <c r="L611" i="1"/>
  <c r="N610" i="1"/>
  <c r="L610" i="1"/>
  <c r="N609" i="1"/>
  <c r="L609" i="1"/>
  <c r="N608" i="1"/>
  <c r="L608" i="1"/>
  <c r="N607" i="1"/>
  <c r="L607" i="1"/>
  <c r="N606" i="1"/>
  <c r="L606" i="1"/>
  <c r="N605" i="1"/>
  <c r="L605" i="1"/>
  <c r="N604" i="1"/>
  <c r="L604" i="1"/>
  <c r="N603" i="1"/>
  <c r="L603" i="1"/>
  <c r="N602" i="1"/>
  <c r="L602" i="1"/>
  <c r="N601" i="1"/>
  <c r="L601" i="1"/>
  <c r="N600" i="1"/>
  <c r="L600" i="1"/>
  <c r="N599" i="1"/>
  <c r="L599" i="1"/>
  <c r="N598" i="1"/>
  <c r="L598" i="1"/>
  <c r="N597" i="1"/>
  <c r="L597" i="1"/>
  <c r="N596" i="1"/>
  <c r="L596" i="1"/>
  <c r="N595" i="1"/>
  <c r="L595" i="1"/>
  <c r="N594" i="1"/>
  <c r="L594" i="1"/>
  <c r="N593" i="1"/>
  <c r="L593" i="1"/>
  <c r="N592" i="1"/>
  <c r="L592" i="1"/>
  <c r="N591" i="1"/>
  <c r="L591" i="1"/>
  <c r="N590" i="1"/>
  <c r="L590" i="1"/>
  <c r="N589" i="1"/>
  <c r="L589" i="1"/>
  <c r="N588" i="1"/>
  <c r="L588" i="1"/>
  <c r="N587" i="1"/>
  <c r="L587" i="1"/>
  <c r="N586" i="1"/>
  <c r="L586" i="1"/>
  <c r="N585" i="1"/>
  <c r="L585" i="1"/>
  <c r="N584" i="1"/>
  <c r="L584" i="1"/>
  <c r="N583" i="1"/>
  <c r="L583" i="1"/>
  <c r="N582" i="1"/>
  <c r="L582" i="1"/>
  <c r="N581" i="1"/>
  <c r="L581" i="1"/>
  <c r="N580" i="1"/>
  <c r="L580" i="1"/>
  <c r="N579" i="1"/>
  <c r="L579" i="1"/>
  <c r="N578" i="1"/>
  <c r="L578" i="1"/>
  <c r="N577" i="1"/>
  <c r="L577" i="1"/>
  <c r="L576" i="1"/>
  <c r="N576" i="1"/>
  <c r="N575" i="1"/>
  <c r="L575" i="1"/>
  <c r="N574" i="1"/>
  <c r="L574" i="1"/>
  <c r="N573" i="1"/>
  <c r="L573" i="1"/>
  <c r="N572" i="1"/>
  <c r="L572" i="1"/>
  <c r="N571" i="1"/>
  <c r="L571" i="1"/>
  <c r="N570" i="1"/>
  <c r="L570" i="1"/>
  <c r="N569" i="1"/>
  <c r="L569" i="1"/>
  <c r="N568" i="1"/>
  <c r="L568" i="1"/>
  <c r="N567" i="1"/>
  <c r="L567" i="1"/>
  <c r="N566" i="1"/>
  <c r="L566" i="1"/>
  <c r="N565" i="1"/>
  <c r="L565" i="1"/>
  <c r="N564" i="1"/>
  <c r="L564" i="1"/>
  <c r="N563" i="1"/>
  <c r="L563" i="1"/>
  <c r="N562" i="1"/>
  <c r="L562" i="1"/>
  <c r="N561" i="1"/>
  <c r="L561" i="1"/>
  <c r="N560" i="1"/>
  <c r="L560" i="1"/>
  <c r="N559" i="1"/>
  <c r="L559" i="1"/>
  <c r="N558" i="1"/>
  <c r="L558" i="1"/>
  <c r="N557" i="1"/>
  <c r="L557" i="1"/>
  <c r="L556" i="1"/>
  <c r="N556" i="1"/>
  <c r="N555" i="1"/>
  <c r="L555" i="1"/>
  <c r="N554" i="1"/>
  <c r="L554" i="1"/>
  <c r="N553" i="1"/>
  <c r="L553" i="1"/>
  <c r="N552" i="1"/>
  <c r="L552" i="1"/>
  <c r="N551" i="1"/>
  <c r="L551" i="1"/>
  <c r="N550" i="1"/>
  <c r="L550" i="1"/>
  <c r="N549" i="1"/>
  <c r="L549" i="1"/>
  <c r="N548" i="1"/>
  <c r="L548" i="1"/>
  <c r="N547" i="1"/>
  <c r="L547" i="1"/>
  <c r="N546" i="1"/>
  <c r="L546" i="1"/>
  <c r="N545" i="1"/>
  <c r="L545" i="1"/>
  <c r="N544" i="1"/>
  <c r="L544" i="1"/>
  <c r="N543" i="1"/>
  <c r="L543" i="1"/>
  <c r="N542" i="1"/>
  <c r="L542" i="1"/>
  <c r="N541" i="1"/>
  <c r="L541" i="1"/>
  <c r="N540" i="1"/>
  <c r="L540" i="1"/>
  <c r="N539" i="1"/>
  <c r="L539" i="1"/>
  <c r="N538" i="1"/>
  <c r="L538" i="1"/>
  <c r="N537" i="1"/>
  <c r="L537" i="1"/>
  <c r="N536" i="1"/>
  <c r="L536" i="1"/>
  <c r="N535" i="1"/>
  <c r="L535" i="1"/>
  <c r="N534" i="1"/>
  <c r="L534" i="1"/>
  <c r="N533" i="1"/>
  <c r="L533" i="1"/>
  <c r="N532" i="1"/>
  <c r="L532" i="1"/>
  <c r="N531" i="1"/>
  <c r="L531" i="1"/>
  <c r="N530" i="1"/>
  <c r="L530" i="1"/>
  <c r="N529" i="1"/>
  <c r="L529" i="1"/>
  <c r="N528" i="1"/>
  <c r="L528" i="1"/>
  <c r="N527" i="1"/>
  <c r="L527" i="1"/>
  <c r="N526" i="1"/>
  <c r="L526" i="1"/>
  <c r="N525" i="1"/>
  <c r="L525" i="1"/>
  <c r="N524" i="1"/>
  <c r="L524" i="1"/>
  <c r="N523" i="1"/>
  <c r="L523" i="1"/>
  <c r="N522" i="1"/>
  <c r="L522" i="1"/>
  <c r="N521" i="1"/>
  <c r="L521" i="1"/>
  <c r="N520" i="1"/>
  <c r="L520" i="1"/>
  <c r="N519" i="1"/>
  <c r="L519" i="1"/>
  <c r="N518" i="1"/>
  <c r="L518" i="1"/>
  <c r="N517" i="1"/>
  <c r="L517" i="1"/>
  <c r="N516" i="1"/>
  <c r="L516" i="1"/>
  <c r="N515" i="1"/>
  <c r="L515" i="1"/>
  <c r="N514" i="1"/>
  <c r="L514" i="1"/>
  <c r="N513" i="1"/>
  <c r="L513" i="1"/>
  <c r="L512" i="1"/>
  <c r="N512" i="1"/>
  <c r="N511" i="1"/>
  <c r="L511" i="1"/>
  <c r="N510" i="1"/>
  <c r="L510" i="1"/>
  <c r="N509" i="1"/>
  <c r="L509" i="1"/>
  <c r="N508" i="1"/>
  <c r="L508" i="1"/>
  <c r="N507" i="1"/>
  <c r="L507" i="1"/>
  <c r="N506" i="1"/>
  <c r="L506" i="1"/>
  <c r="N505" i="1"/>
  <c r="L505" i="1"/>
  <c r="N504" i="1"/>
  <c r="L504" i="1"/>
  <c r="N503" i="1"/>
  <c r="L503" i="1"/>
  <c r="N502" i="1"/>
  <c r="L502" i="1"/>
  <c r="N501" i="1"/>
  <c r="L501" i="1"/>
  <c r="N500" i="1"/>
  <c r="L500" i="1"/>
  <c r="N499" i="1"/>
  <c r="L499" i="1"/>
  <c r="N498" i="1"/>
  <c r="L498" i="1"/>
  <c r="N497" i="1"/>
  <c r="L497" i="1"/>
  <c r="N496" i="1"/>
  <c r="L496" i="1"/>
  <c r="N495" i="1"/>
  <c r="L495" i="1"/>
  <c r="N494" i="1"/>
  <c r="L494" i="1"/>
  <c r="N493" i="1"/>
  <c r="L493" i="1"/>
  <c r="N492" i="1"/>
  <c r="L492" i="1"/>
  <c r="N491" i="1"/>
  <c r="L491" i="1"/>
  <c r="N490" i="1"/>
  <c r="L490" i="1"/>
  <c r="N489" i="1"/>
  <c r="L489" i="1"/>
  <c r="N488" i="1"/>
  <c r="L488" i="1"/>
  <c r="N487" i="1"/>
  <c r="L487" i="1"/>
  <c r="N486" i="1"/>
  <c r="L486" i="1"/>
  <c r="N485" i="1"/>
  <c r="L485" i="1"/>
  <c r="N484" i="1"/>
  <c r="L484" i="1"/>
  <c r="N483" i="1"/>
  <c r="L483" i="1"/>
  <c r="N482" i="1"/>
  <c r="L482" i="1"/>
  <c r="N481" i="1"/>
  <c r="L481" i="1"/>
  <c r="N480" i="1"/>
  <c r="L480" i="1"/>
  <c r="N479" i="1"/>
  <c r="L479" i="1"/>
  <c r="N478" i="1"/>
  <c r="L478" i="1"/>
  <c r="N477" i="1"/>
  <c r="L477" i="1"/>
  <c r="N476" i="1"/>
  <c r="L476" i="1"/>
  <c r="N475" i="1"/>
  <c r="L475" i="1"/>
  <c r="N474" i="1"/>
  <c r="L474" i="1"/>
  <c r="N473" i="1"/>
  <c r="L473" i="1"/>
  <c r="N472" i="1"/>
  <c r="L472" i="1"/>
  <c r="N471" i="1"/>
  <c r="L471" i="1"/>
  <c r="N470" i="1"/>
  <c r="L470" i="1"/>
  <c r="N469" i="1"/>
  <c r="L469" i="1"/>
  <c r="N468" i="1"/>
  <c r="L468" i="1"/>
  <c r="N467" i="1"/>
  <c r="L467" i="1"/>
  <c r="N466" i="1"/>
  <c r="L466" i="1"/>
  <c r="N465" i="1"/>
  <c r="L465" i="1"/>
  <c r="N464" i="1"/>
  <c r="L464" i="1"/>
  <c r="N463" i="1"/>
  <c r="L463" i="1"/>
  <c r="N462" i="1"/>
  <c r="L462" i="1"/>
  <c r="N461" i="1"/>
  <c r="L461" i="1"/>
  <c r="N460" i="1"/>
  <c r="L460" i="1"/>
  <c r="N459" i="1"/>
  <c r="L459" i="1"/>
  <c r="N458" i="1"/>
  <c r="L458" i="1"/>
  <c r="N457" i="1"/>
  <c r="L457" i="1"/>
  <c r="N456" i="1"/>
  <c r="L456" i="1"/>
  <c r="N455" i="1"/>
  <c r="L455" i="1"/>
  <c r="N454" i="1"/>
  <c r="L454" i="1"/>
  <c r="N453" i="1"/>
  <c r="L453" i="1"/>
  <c r="N452" i="1"/>
  <c r="L452" i="1"/>
  <c r="N451" i="1"/>
  <c r="L451" i="1"/>
  <c r="N450" i="1"/>
  <c r="L450" i="1"/>
  <c r="N449" i="1"/>
  <c r="L449" i="1"/>
  <c r="N448" i="1"/>
  <c r="L448" i="1"/>
  <c r="N447" i="1"/>
  <c r="L447" i="1"/>
  <c r="N446" i="1"/>
  <c r="L446" i="1"/>
  <c r="N445" i="1"/>
  <c r="L445" i="1"/>
  <c r="N444" i="1"/>
  <c r="L444" i="1"/>
  <c r="N443" i="1"/>
  <c r="L443" i="1"/>
  <c r="N442" i="1"/>
  <c r="L442" i="1"/>
  <c r="N441" i="1"/>
  <c r="L441" i="1"/>
  <c r="N440" i="1"/>
  <c r="L440" i="1"/>
  <c r="N439" i="1"/>
  <c r="L439" i="1"/>
  <c r="N438" i="1"/>
  <c r="L438" i="1"/>
  <c r="N437" i="1"/>
  <c r="L437" i="1"/>
  <c r="N436" i="1"/>
  <c r="L436" i="1"/>
  <c r="N435" i="1"/>
  <c r="L435" i="1"/>
  <c r="N434" i="1"/>
  <c r="L434" i="1"/>
  <c r="N433" i="1"/>
  <c r="L433" i="1"/>
  <c r="N432" i="1"/>
  <c r="L432" i="1"/>
  <c r="N431" i="1"/>
  <c r="L431" i="1"/>
  <c r="N430" i="1"/>
  <c r="L430" i="1"/>
  <c r="N429" i="1"/>
  <c r="L429" i="1"/>
  <c r="N428" i="1"/>
  <c r="L428" i="1"/>
  <c r="N427" i="1"/>
  <c r="L427" i="1"/>
  <c r="N426" i="1"/>
  <c r="L426" i="1"/>
  <c r="N425" i="1"/>
  <c r="L425" i="1"/>
  <c r="N424" i="1"/>
  <c r="L424" i="1"/>
  <c r="N423" i="1"/>
  <c r="L423" i="1"/>
  <c r="N422" i="1"/>
  <c r="L422" i="1"/>
  <c r="N421" i="1"/>
  <c r="L421" i="1"/>
  <c r="N420" i="1"/>
  <c r="L420" i="1"/>
  <c r="N419" i="1"/>
  <c r="L419" i="1"/>
  <c r="N418" i="1"/>
  <c r="L418" i="1"/>
  <c r="N417" i="1"/>
  <c r="L417" i="1"/>
  <c r="N416" i="1"/>
  <c r="L416" i="1"/>
  <c r="N415" i="1"/>
  <c r="L415" i="1"/>
  <c r="N414" i="1"/>
  <c r="L414" i="1"/>
  <c r="N413" i="1"/>
  <c r="L413" i="1"/>
  <c r="N412" i="1"/>
  <c r="L412" i="1"/>
  <c r="N411" i="1"/>
  <c r="L411" i="1"/>
  <c r="N410" i="1"/>
  <c r="L410" i="1"/>
  <c r="N409" i="1"/>
  <c r="L409" i="1"/>
  <c r="N408" i="1"/>
  <c r="L408" i="1"/>
  <c r="N407" i="1"/>
  <c r="L407" i="1"/>
  <c r="N406" i="1"/>
  <c r="L406" i="1"/>
  <c r="N405" i="1"/>
  <c r="L405" i="1"/>
  <c r="N404" i="1"/>
  <c r="L404" i="1"/>
  <c r="N403" i="1"/>
  <c r="L403" i="1"/>
  <c r="N402" i="1"/>
  <c r="L402" i="1"/>
  <c r="N401" i="1"/>
  <c r="L401" i="1"/>
  <c r="N400" i="1"/>
  <c r="L400" i="1"/>
  <c r="N399" i="1"/>
  <c r="L399" i="1"/>
  <c r="N398" i="1"/>
  <c r="L398" i="1"/>
  <c r="N397" i="1"/>
  <c r="L397" i="1"/>
  <c r="N396" i="1"/>
  <c r="L396" i="1"/>
  <c r="N395" i="1"/>
  <c r="L395" i="1"/>
  <c r="N394" i="1"/>
  <c r="L394" i="1"/>
  <c r="N393" i="1"/>
  <c r="L393" i="1"/>
  <c r="N392" i="1"/>
  <c r="L392" i="1"/>
  <c r="N391" i="1"/>
  <c r="L391" i="1"/>
  <c r="N390" i="1"/>
  <c r="L390" i="1"/>
  <c r="N389" i="1"/>
  <c r="L389" i="1"/>
  <c r="N388" i="1"/>
  <c r="L388" i="1"/>
  <c r="N387" i="1"/>
  <c r="L387" i="1"/>
  <c r="N386" i="1"/>
  <c r="L386" i="1"/>
  <c r="N385" i="1"/>
  <c r="L385" i="1"/>
  <c r="L384" i="1"/>
  <c r="N384" i="1"/>
  <c r="N383" i="1"/>
  <c r="L383" i="1"/>
  <c r="N382" i="1"/>
  <c r="L382" i="1"/>
  <c r="N381" i="1"/>
  <c r="L381" i="1"/>
  <c r="N380" i="1"/>
  <c r="L380" i="1"/>
  <c r="N379" i="1"/>
  <c r="L379" i="1"/>
  <c r="N378" i="1"/>
  <c r="L378" i="1"/>
  <c r="N377" i="1"/>
  <c r="L377" i="1"/>
  <c r="N376" i="1"/>
  <c r="L376" i="1"/>
  <c r="N375" i="1"/>
  <c r="L375" i="1"/>
  <c r="N374" i="1"/>
  <c r="L374" i="1"/>
  <c r="N373" i="1"/>
  <c r="L373" i="1"/>
  <c r="N372" i="1"/>
  <c r="L372" i="1"/>
  <c r="N371" i="1"/>
  <c r="L371" i="1"/>
  <c r="N370" i="1"/>
  <c r="L370" i="1"/>
  <c r="N369" i="1"/>
  <c r="L369" i="1"/>
  <c r="N368" i="1"/>
  <c r="L368" i="1"/>
  <c r="N367" i="1"/>
  <c r="L367" i="1"/>
  <c r="N366" i="1"/>
  <c r="L366" i="1"/>
  <c r="N365" i="1"/>
  <c r="L365" i="1"/>
  <c r="N364" i="1"/>
  <c r="L364" i="1"/>
  <c r="N363" i="1"/>
  <c r="L363" i="1"/>
  <c r="N362" i="1"/>
  <c r="L362" i="1"/>
  <c r="N361" i="1"/>
  <c r="L361" i="1"/>
  <c r="N360" i="1"/>
  <c r="L360" i="1"/>
  <c r="N359" i="1"/>
  <c r="L359" i="1"/>
  <c r="N358" i="1"/>
  <c r="L358" i="1"/>
  <c r="N357" i="1"/>
  <c r="L357" i="1"/>
  <c r="N356" i="1"/>
  <c r="L356" i="1"/>
  <c r="N355" i="1"/>
  <c r="L355" i="1"/>
  <c r="N354" i="1"/>
  <c r="L354" i="1"/>
  <c r="N353" i="1"/>
  <c r="L353" i="1"/>
  <c r="N352" i="1"/>
  <c r="L352" i="1"/>
  <c r="N351" i="1"/>
  <c r="L351" i="1"/>
  <c r="N350" i="1"/>
  <c r="L350" i="1"/>
  <c r="N349" i="1"/>
  <c r="L349" i="1"/>
  <c r="N348" i="1"/>
  <c r="L348" i="1"/>
  <c r="N347" i="1"/>
  <c r="L347" i="1"/>
  <c r="N346" i="1"/>
  <c r="L346" i="1"/>
  <c r="N345" i="1"/>
  <c r="L345" i="1"/>
  <c r="N344" i="1"/>
  <c r="L344" i="1"/>
  <c r="N343" i="1"/>
  <c r="L343" i="1"/>
  <c r="N342" i="1"/>
  <c r="L342" i="1"/>
  <c r="N341" i="1"/>
  <c r="L341" i="1"/>
  <c r="N340" i="1"/>
  <c r="L340" i="1"/>
  <c r="N339" i="1"/>
  <c r="L339" i="1"/>
  <c r="N338" i="1"/>
  <c r="L338" i="1"/>
  <c r="N337" i="1"/>
  <c r="L337" i="1"/>
  <c r="N336" i="1"/>
  <c r="L336" i="1"/>
  <c r="N335" i="1"/>
  <c r="L335" i="1"/>
  <c r="N334" i="1"/>
  <c r="L334" i="1"/>
  <c r="N333" i="1"/>
  <c r="L333" i="1"/>
  <c r="N332" i="1"/>
  <c r="L332" i="1"/>
  <c r="N331" i="1"/>
  <c r="L331" i="1"/>
  <c r="N330" i="1"/>
  <c r="L330" i="1"/>
  <c r="N329" i="1"/>
  <c r="L329" i="1"/>
  <c r="N328" i="1"/>
  <c r="L328" i="1"/>
  <c r="N327" i="1"/>
  <c r="L327" i="1"/>
  <c r="N326" i="1"/>
  <c r="L326" i="1"/>
  <c r="N325" i="1"/>
  <c r="L325" i="1"/>
  <c r="N324" i="1"/>
  <c r="L324" i="1"/>
  <c r="N323" i="1"/>
  <c r="L323" i="1"/>
  <c r="N322" i="1"/>
  <c r="L322" i="1"/>
  <c r="N321" i="1"/>
  <c r="L321" i="1"/>
  <c r="N320" i="1"/>
  <c r="L320" i="1"/>
  <c r="N319" i="1"/>
  <c r="L319" i="1"/>
  <c r="N318" i="1"/>
  <c r="L318" i="1"/>
  <c r="N317" i="1"/>
  <c r="L317" i="1"/>
  <c r="N316" i="1"/>
  <c r="L316" i="1"/>
  <c r="N315" i="1"/>
  <c r="L315" i="1"/>
  <c r="N314" i="1"/>
  <c r="L314" i="1"/>
  <c r="N313" i="1"/>
  <c r="L313" i="1"/>
  <c r="N312" i="1"/>
  <c r="L312" i="1"/>
  <c r="N311" i="1"/>
  <c r="L311" i="1"/>
  <c r="N310" i="1"/>
  <c r="L310" i="1"/>
  <c r="N309" i="1"/>
  <c r="L309" i="1"/>
  <c r="N308" i="1"/>
  <c r="L308" i="1"/>
  <c r="N307" i="1"/>
  <c r="L307" i="1"/>
  <c r="N306" i="1"/>
  <c r="L306" i="1"/>
  <c r="N305" i="1"/>
  <c r="L305" i="1"/>
  <c r="N304" i="1"/>
  <c r="L304" i="1"/>
  <c r="N303" i="1"/>
  <c r="L303" i="1"/>
  <c r="N302" i="1"/>
  <c r="L302" i="1"/>
  <c r="N301" i="1"/>
  <c r="L301" i="1"/>
  <c r="N300" i="1"/>
  <c r="L300" i="1"/>
  <c r="N299" i="1"/>
  <c r="L299" i="1"/>
  <c r="N298" i="1"/>
  <c r="L298" i="1"/>
  <c r="N297" i="1"/>
  <c r="L297" i="1"/>
  <c r="N296" i="1"/>
  <c r="L296" i="1"/>
  <c r="N295" i="1"/>
  <c r="L295" i="1"/>
  <c r="N294" i="1"/>
  <c r="L294" i="1"/>
  <c r="N293" i="1"/>
  <c r="L293" i="1"/>
  <c r="N292" i="1"/>
  <c r="L292" i="1"/>
  <c r="N291" i="1"/>
  <c r="L291" i="1"/>
  <c r="N290" i="1"/>
  <c r="L290" i="1"/>
  <c r="N289" i="1"/>
  <c r="L289" i="1"/>
  <c r="N288" i="1"/>
  <c r="L288" i="1"/>
  <c r="N287" i="1"/>
  <c r="L287" i="1"/>
  <c r="N286" i="1"/>
  <c r="L286" i="1"/>
  <c r="N285" i="1"/>
  <c r="L285" i="1"/>
  <c r="N284" i="1"/>
  <c r="L284" i="1"/>
  <c r="N283" i="1"/>
  <c r="L283" i="1"/>
  <c r="N282" i="1"/>
  <c r="L282" i="1"/>
  <c r="N281" i="1"/>
  <c r="L281" i="1"/>
  <c r="N280" i="1"/>
  <c r="L280" i="1"/>
  <c r="N279" i="1"/>
  <c r="L279" i="1"/>
  <c r="N278" i="1"/>
  <c r="L278" i="1"/>
  <c r="N277" i="1"/>
  <c r="L277" i="1"/>
  <c r="N276" i="1"/>
  <c r="L276" i="1"/>
  <c r="N275" i="1"/>
  <c r="L275" i="1"/>
  <c r="N274" i="1"/>
  <c r="L274" i="1"/>
  <c r="N273" i="1"/>
  <c r="L273" i="1"/>
  <c r="N272" i="1"/>
  <c r="L272" i="1"/>
  <c r="N271" i="1"/>
  <c r="L271" i="1"/>
  <c r="N270" i="1"/>
  <c r="L270" i="1"/>
  <c r="N269" i="1"/>
  <c r="L269" i="1"/>
  <c r="N268" i="1"/>
  <c r="L268" i="1"/>
  <c r="N267" i="1"/>
  <c r="L267" i="1"/>
  <c r="N266" i="1"/>
  <c r="L266" i="1"/>
  <c r="N265" i="1"/>
  <c r="L265" i="1"/>
  <c r="N264" i="1"/>
  <c r="L264" i="1"/>
  <c r="N263" i="1"/>
  <c r="L263" i="1"/>
  <c r="N262" i="1"/>
  <c r="L262" i="1"/>
  <c r="N261" i="1"/>
  <c r="L261" i="1"/>
  <c r="N260" i="1"/>
  <c r="L260" i="1"/>
  <c r="N259" i="1"/>
  <c r="L259" i="1"/>
  <c r="N258" i="1"/>
  <c r="L258" i="1"/>
  <c r="N257" i="1"/>
  <c r="L257" i="1"/>
  <c r="N256" i="1"/>
  <c r="L256" i="1"/>
  <c r="N255" i="1"/>
  <c r="L255" i="1"/>
  <c r="N254" i="1"/>
  <c r="L254" i="1"/>
  <c r="N253" i="1"/>
  <c r="L253" i="1"/>
  <c r="N252" i="1"/>
  <c r="L252" i="1"/>
  <c r="N251" i="1"/>
  <c r="L251" i="1"/>
  <c r="N250" i="1"/>
  <c r="L250" i="1"/>
  <c r="N249" i="1"/>
  <c r="L249" i="1"/>
  <c r="N248" i="1"/>
  <c r="L248" i="1"/>
  <c r="N247" i="1"/>
  <c r="L247" i="1"/>
  <c r="N246" i="1"/>
  <c r="L246" i="1"/>
  <c r="N245" i="1"/>
  <c r="L245" i="1"/>
  <c r="N244" i="1"/>
  <c r="L244" i="1"/>
  <c r="N243" i="1"/>
  <c r="L243" i="1"/>
  <c r="N242" i="1"/>
  <c r="L242" i="1"/>
  <c r="N241" i="1"/>
  <c r="L241" i="1"/>
  <c r="N240" i="1"/>
  <c r="L240" i="1"/>
  <c r="N239" i="1"/>
  <c r="L239" i="1"/>
  <c r="N238" i="1"/>
  <c r="L238" i="1"/>
  <c r="N237" i="1"/>
  <c r="L237" i="1"/>
  <c r="N236" i="1"/>
  <c r="L236" i="1"/>
  <c r="N235" i="1"/>
  <c r="L235" i="1"/>
  <c r="N234" i="1"/>
  <c r="L234" i="1"/>
  <c r="N233" i="1"/>
  <c r="L233" i="1"/>
  <c r="N232" i="1"/>
  <c r="L232" i="1"/>
  <c r="N231" i="1"/>
  <c r="L231" i="1"/>
  <c r="N230" i="1"/>
  <c r="L230" i="1"/>
  <c r="N229" i="1"/>
  <c r="L229" i="1"/>
  <c r="N228" i="1"/>
  <c r="L228" i="1"/>
  <c r="N227" i="1"/>
  <c r="L227" i="1"/>
  <c r="N226" i="1"/>
  <c r="L226" i="1"/>
  <c r="N225" i="1"/>
  <c r="L225" i="1"/>
  <c r="N224" i="1"/>
  <c r="L224" i="1"/>
  <c r="N223" i="1"/>
  <c r="L223" i="1"/>
  <c r="N222" i="1"/>
  <c r="L222" i="1"/>
  <c r="N221" i="1"/>
  <c r="L221" i="1"/>
  <c r="N220" i="1"/>
  <c r="L220" i="1"/>
  <c r="N219" i="1"/>
  <c r="L219" i="1"/>
  <c r="N218" i="1"/>
  <c r="L218" i="1"/>
  <c r="N217" i="1"/>
  <c r="L217" i="1"/>
  <c r="N216" i="1"/>
  <c r="L216" i="1"/>
  <c r="N215" i="1"/>
  <c r="L215" i="1"/>
  <c r="N214" i="1"/>
  <c r="L214" i="1"/>
  <c r="N213" i="1"/>
  <c r="L213" i="1"/>
  <c r="N212" i="1"/>
  <c r="L212" i="1"/>
  <c r="N211" i="1"/>
  <c r="L211" i="1"/>
  <c r="N210" i="1"/>
  <c r="L210" i="1"/>
  <c r="N209" i="1"/>
  <c r="L209" i="1"/>
  <c r="N208" i="1"/>
  <c r="L208" i="1"/>
  <c r="N207" i="1"/>
  <c r="L207" i="1"/>
  <c r="N206" i="1"/>
  <c r="L206" i="1"/>
  <c r="N205" i="1"/>
  <c r="L205" i="1"/>
  <c r="N204" i="1"/>
  <c r="L204" i="1"/>
  <c r="N203" i="1"/>
  <c r="L203" i="1"/>
  <c r="N202" i="1"/>
  <c r="L202" i="1"/>
  <c r="N201" i="1"/>
  <c r="L201" i="1"/>
  <c r="N200" i="1"/>
  <c r="L200" i="1"/>
  <c r="N199" i="1"/>
  <c r="L199" i="1"/>
  <c r="N198" i="1"/>
  <c r="L198" i="1"/>
  <c r="N197" i="1"/>
  <c r="L197" i="1"/>
  <c r="N196" i="1"/>
  <c r="L196" i="1"/>
  <c r="N195" i="1"/>
  <c r="L195" i="1"/>
  <c r="N194" i="1"/>
  <c r="L194" i="1"/>
  <c r="N193" i="1"/>
  <c r="L193" i="1"/>
  <c r="N192" i="1"/>
  <c r="L192" i="1"/>
  <c r="N191" i="1"/>
  <c r="L191" i="1"/>
  <c r="N190" i="1"/>
  <c r="L190" i="1"/>
  <c r="N189" i="1"/>
  <c r="L189" i="1"/>
  <c r="N188" i="1"/>
  <c r="L188" i="1"/>
  <c r="N187" i="1"/>
  <c r="L187" i="1"/>
  <c r="N186" i="1"/>
  <c r="L186" i="1"/>
  <c r="N185" i="1"/>
  <c r="L185" i="1"/>
  <c r="N184" i="1"/>
  <c r="L184" i="1"/>
  <c r="N183" i="1"/>
  <c r="L183" i="1"/>
  <c r="N182" i="1"/>
  <c r="L182" i="1"/>
  <c r="N181" i="1"/>
  <c r="L181" i="1"/>
  <c r="N180" i="1"/>
  <c r="L180" i="1"/>
  <c r="N179" i="1"/>
  <c r="L179" i="1"/>
  <c r="N178" i="1"/>
  <c r="L178" i="1"/>
  <c r="N177" i="1"/>
  <c r="L177" i="1"/>
  <c r="N176" i="1"/>
  <c r="L176" i="1"/>
  <c r="N175" i="1"/>
  <c r="L175" i="1"/>
  <c r="N174" i="1"/>
  <c r="L174" i="1"/>
  <c r="N173" i="1"/>
  <c r="L173" i="1"/>
  <c r="N172" i="1"/>
  <c r="L172" i="1"/>
  <c r="N171" i="1"/>
  <c r="L171" i="1"/>
  <c r="N170" i="1"/>
  <c r="L170" i="1"/>
  <c r="N169" i="1"/>
  <c r="L169" i="1"/>
  <c r="N168" i="1"/>
  <c r="L168" i="1"/>
  <c r="N167" i="1"/>
  <c r="L167" i="1"/>
  <c r="N166" i="1"/>
  <c r="L166" i="1"/>
  <c r="N165" i="1"/>
  <c r="L165" i="1"/>
  <c r="N164" i="1"/>
  <c r="L164" i="1"/>
  <c r="N163" i="1"/>
  <c r="L163" i="1"/>
  <c r="N162" i="1"/>
  <c r="L162" i="1"/>
  <c r="N161" i="1"/>
  <c r="L161" i="1"/>
  <c r="N160" i="1"/>
  <c r="L160" i="1"/>
  <c r="N159" i="1"/>
  <c r="L159" i="1"/>
  <c r="N158" i="1"/>
  <c r="L158" i="1"/>
  <c r="N157" i="1"/>
  <c r="L157" i="1"/>
  <c r="N156" i="1"/>
  <c r="L156" i="1"/>
  <c r="N155" i="1"/>
  <c r="L155" i="1"/>
  <c r="N154" i="1"/>
  <c r="L154" i="1"/>
  <c r="N153" i="1"/>
  <c r="L153" i="1"/>
  <c r="N152" i="1"/>
  <c r="L152" i="1"/>
  <c r="N151" i="1"/>
  <c r="L151" i="1"/>
  <c r="N150" i="1"/>
  <c r="L150" i="1"/>
  <c r="N149" i="1"/>
  <c r="L149" i="1"/>
  <c r="N148" i="1"/>
  <c r="L148" i="1"/>
  <c r="N147" i="1"/>
  <c r="L147" i="1"/>
  <c r="N146" i="1"/>
  <c r="L146" i="1"/>
  <c r="N145" i="1"/>
  <c r="L145" i="1"/>
  <c r="N144" i="1"/>
  <c r="L144" i="1"/>
  <c r="N143" i="1"/>
  <c r="L143" i="1"/>
  <c r="N142" i="1"/>
  <c r="L142" i="1"/>
  <c r="N141" i="1"/>
  <c r="L141" i="1"/>
  <c r="N140" i="1"/>
  <c r="L140" i="1"/>
  <c r="N139" i="1"/>
  <c r="L139" i="1"/>
  <c r="N138" i="1"/>
  <c r="L138" i="1"/>
  <c r="N137" i="1"/>
  <c r="L137" i="1"/>
  <c r="N136" i="1"/>
  <c r="L136" i="1"/>
  <c r="N135" i="1"/>
  <c r="L135" i="1"/>
  <c r="N134" i="1"/>
  <c r="L134" i="1"/>
  <c r="N133" i="1"/>
  <c r="L133" i="1"/>
  <c r="N132" i="1"/>
  <c r="L132" i="1"/>
  <c r="N131" i="1"/>
  <c r="L131" i="1"/>
  <c r="N130" i="1"/>
  <c r="L130" i="1"/>
  <c r="N129" i="1"/>
  <c r="L129" i="1"/>
  <c r="N128" i="1"/>
  <c r="L128" i="1"/>
  <c r="N127" i="1"/>
  <c r="L127" i="1"/>
  <c r="N126" i="1"/>
  <c r="L126" i="1"/>
  <c r="N125" i="1"/>
  <c r="L125" i="1"/>
  <c r="N124" i="1"/>
  <c r="L124" i="1"/>
  <c r="N123" i="1"/>
  <c r="L123" i="1"/>
  <c r="N122" i="1"/>
  <c r="L122" i="1"/>
  <c r="N121" i="1"/>
  <c r="L121" i="1"/>
  <c r="N120" i="1"/>
  <c r="L120" i="1"/>
  <c r="N119" i="1"/>
  <c r="L119" i="1"/>
  <c r="N118" i="1"/>
  <c r="L118" i="1"/>
  <c r="L117" i="1"/>
  <c r="N117" i="1"/>
  <c r="N116" i="1"/>
  <c r="L116" i="1"/>
  <c r="N115" i="1"/>
  <c r="L115" i="1"/>
  <c r="N114" i="1"/>
  <c r="L114" i="1"/>
  <c r="N113" i="1"/>
  <c r="L113" i="1"/>
  <c r="N112" i="1"/>
  <c r="L112" i="1"/>
  <c r="N111" i="1"/>
  <c r="L111" i="1"/>
  <c r="N110" i="1"/>
  <c r="L110" i="1"/>
  <c r="L109" i="1"/>
  <c r="N109" i="1"/>
  <c r="N108" i="1"/>
  <c r="L108" i="1"/>
  <c r="N107" i="1"/>
  <c r="L107" i="1"/>
  <c r="N106" i="1"/>
  <c r="L106" i="1"/>
  <c r="N105" i="1"/>
  <c r="L105" i="1"/>
  <c r="N104" i="1"/>
  <c r="L104" i="1"/>
  <c r="N103" i="1"/>
  <c r="L103" i="1"/>
  <c r="N102" i="1"/>
  <c r="L102" i="1"/>
  <c r="L101" i="1"/>
  <c r="N101" i="1"/>
  <c r="N100" i="1"/>
  <c r="L100" i="1"/>
  <c r="N99" i="1"/>
  <c r="L99" i="1"/>
  <c r="N98" i="1"/>
  <c r="L98" i="1"/>
  <c r="N97" i="1"/>
  <c r="L97" i="1"/>
  <c r="N96" i="1"/>
  <c r="L96" i="1"/>
  <c r="N95" i="1"/>
  <c r="L95" i="1"/>
  <c r="N94" i="1"/>
  <c r="L94" i="1"/>
  <c r="N93" i="1"/>
  <c r="L93" i="1"/>
  <c r="N92" i="1"/>
  <c r="L92" i="1"/>
  <c r="N91" i="1"/>
  <c r="L91" i="1"/>
  <c r="N90" i="1"/>
  <c r="L90" i="1"/>
  <c r="N89" i="1"/>
  <c r="L89" i="1"/>
  <c r="N88" i="1"/>
  <c r="L88" i="1"/>
  <c r="N87" i="1"/>
  <c r="L87" i="1"/>
  <c r="N86" i="1"/>
  <c r="L86" i="1"/>
  <c r="N85" i="1"/>
  <c r="L85" i="1"/>
  <c r="N84" i="1"/>
  <c r="L84" i="1"/>
  <c r="N83" i="1"/>
  <c r="L83" i="1"/>
  <c r="N82" i="1"/>
  <c r="L82" i="1"/>
  <c r="N81" i="1"/>
  <c r="L81" i="1"/>
  <c r="N80" i="1"/>
  <c r="L80" i="1"/>
  <c r="N79" i="1"/>
  <c r="L79" i="1"/>
  <c r="N78" i="1"/>
  <c r="L78" i="1"/>
  <c r="N77" i="1"/>
  <c r="L77" i="1"/>
  <c r="N76" i="1"/>
  <c r="L76" i="1"/>
  <c r="N75" i="1"/>
  <c r="L75" i="1"/>
  <c r="N74" i="1"/>
  <c r="L74" i="1"/>
  <c r="N73" i="1"/>
  <c r="L73" i="1"/>
  <c r="N72" i="1"/>
  <c r="L72" i="1"/>
  <c r="N71" i="1"/>
  <c r="L71" i="1"/>
  <c r="N70" i="1"/>
  <c r="L70" i="1"/>
  <c r="L69" i="1"/>
  <c r="N69" i="1"/>
  <c r="N68" i="1"/>
  <c r="L68" i="1"/>
  <c r="N67" i="1"/>
  <c r="L67" i="1"/>
  <c r="N66" i="1"/>
  <c r="L66" i="1"/>
  <c r="N65" i="1"/>
  <c r="L65" i="1"/>
  <c r="N64" i="1"/>
  <c r="L64" i="1"/>
  <c r="N63" i="1"/>
  <c r="L63" i="1"/>
  <c r="N62" i="1"/>
  <c r="L62" i="1"/>
  <c r="L61" i="1"/>
  <c r="N61" i="1"/>
  <c r="N60" i="1"/>
  <c r="L60" i="1"/>
  <c r="N59" i="1"/>
  <c r="L59" i="1"/>
  <c r="N58" i="1"/>
  <c r="L58" i="1"/>
  <c r="N57" i="1"/>
  <c r="L57" i="1"/>
  <c r="N56" i="1"/>
  <c r="L56" i="1"/>
  <c r="N55" i="1"/>
  <c r="L55" i="1"/>
  <c r="N54" i="1"/>
  <c r="L54" i="1"/>
  <c r="L53" i="1"/>
  <c r="N53" i="1"/>
  <c r="N52" i="1"/>
  <c r="L52" i="1"/>
  <c r="N51" i="1"/>
  <c r="L51" i="1"/>
  <c r="N50" i="1"/>
  <c r="L50" i="1"/>
  <c r="N49" i="1"/>
  <c r="L49" i="1"/>
  <c r="N48" i="1"/>
  <c r="L48" i="1"/>
  <c r="N47" i="1"/>
  <c r="L47" i="1"/>
  <c r="N46" i="1"/>
  <c r="L46" i="1"/>
  <c r="L45" i="1"/>
  <c r="N45" i="1"/>
  <c r="N44" i="1"/>
  <c r="L44" i="1"/>
  <c r="N43" i="1"/>
  <c r="L43" i="1"/>
  <c r="N42" i="1"/>
  <c r="L42" i="1"/>
  <c r="N41" i="1"/>
  <c r="L41" i="1"/>
  <c r="N40" i="1"/>
  <c r="L40" i="1"/>
  <c r="N39" i="1"/>
  <c r="L39" i="1"/>
  <c r="N38" i="1"/>
  <c r="L38" i="1"/>
  <c r="L37" i="1"/>
  <c r="N37" i="1"/>
  <c r="N36" i="1"/>
  <c r="L36" i="1"/>
  <c r="N35" i="1"/>
  <c r="L35" i="1"/>
  <c r="N34" i="1"/>
  <c r="L34" i="1"/>
  <c r="N33" i="1"/>
  <c r="L33" i="1"/>
  <c r="N32" i="1"/>
  <c r="L32" i="1"/>
  <c r="N31" i="1"/>
  <c r="L31" i="1"/>
  <c r="N30" i="1"/>
  <c r="L30" i="1"/>
  <c r="N29" i="1"/>
  <c r="L29" i="1"/>
  <c r="N28" i="1"/>
  <c r="L28" i="1"/>
  <c r="N27" i="1"/>
  <c r="L27" i="1"/>
  <c r="N26" i="1"/>
  <c r="L26" i="1"/>
  <c r="N25" i="1"/>
  <c r="L25" i="1"/>
  <c r="N24" i="1"/>
  <c r="L24" i="1"/>
  <c r="N23" i="1"/>
  <c r="L23" i="1"/>
  <c r="N22" i="1"/>
  <c r="L22" i="1"/>
  <c r="N21" i="1"/>
  <c r="L21" i="1"/>
  <c r="N20" i="1"/>
  <c r="L20" i="1"/>
  <c r="N19" i="1"/>
  <c r="L19" i="1"/>
  <c r="N18" i="1"/>
  <c r="L18" i="1"/>
  <c r="N17" i="1"/>
  <c r="L17" i="1"/>
  <c r="N16" i="1"/>
  <c r="L16" i="1"/>
  <c r="N15" i="1"/>
  <c r="L15" i="1"/>
  <c r="N14" i="1"/>
  <c r="L14" i="1"/>
  <c r="N13" i="1"/>
  <c r="L13" i="1"/>
  <c r="K13" i="1"/>
  <c r="K14" i="1" s="1"/>
  <c r="K15" i="1" s="1"/>
  <c r="K16" i="1" l="1"/>
  <c r="K17" i="1" l="1"/>
  <c r="K18" i="1" l="1"/>
  <c r="K19" i="1" l="1"/>
  <c r="K20" i="1" l="1"/>
  <c r="K21" i="1" l="1"/>
  <c r="K22" i="1" l="1"/>
  <c r="K23" i="1" l="1"/>
  <c r="K24" i="1" l="1"/>
  <c r="Q3" i="11"/>
  <c r="P11" i="11"/>
  <c r="P12" i="11" s="1"/>
  <c r="P13" i="11" s="1"/>
  <c r="P14" i="11" s="1"/>
  <c r="P10" i="11"/>
  <c r="P9" i="11"/>
  <c r="P8" i="11"/>
  <c r="P7" i="11"/>
  <c r="P6" i="11"/>
  <c r="P5" i="11"/>
  <c r="P3" i="11"/>
  <c r="P4" i="11" s="1"/>
  <c r="K25" i="1" l="1"/>
  <c r="L4" i="11"/>
  <c r="M4" i="11"/>
  <c r="N4" i="11"/>
  <c r="O4" i="11"/>
  <c r="L5" i="11"/>
  <c r="M5" i="11"/>
  <c r="N5" i="11"/>
  <c r="O5" i="11"/>
  <c r="M6" i="11"/>
  <c r="N6" i="11"/>
  <c r="O6" i="11"/>
  <c r="M7" i="11"/>
  <c r="N7" i="11"/>
  <c r="O7" i="11"/>
  <c r="N8" i="11"/>
  <c r="O8" i="11"/>
  <c r="N9" i="11"/>
  <c r="N10" i="11" s="1"/>
  <c r="O9" i="11"/>
  <c r="O10" i="11"/>
  <c r="O11" i="11"/>
  <c r="I29" i="11"/>
  <c r="J2" i="11"/>
  <c r="K3" i="11"/>
  <c r="K4" i="11" s="1"/>
  <c r="L3" i="11"/>
  <c r="M3" i="11"/>
  <c r="N3" i="11"/>
  <c r="O3" i="11"/>
  <c r="M8" i="11"/>
  <c r="G18" i="11"/>
  <c r="G19" i="11"/>
  <c r="G20" i="11"/>
  <c r="G21" i="11"/>
  <c r="G22" i="11"/>
  <c r="G23" i="11"/>
  <c r="G24" i="11"/>
  <c r="G25" i="11"/>
  <c r="G26" i="11"/>
  <c r="G27" i="11"/>
  <c r="G28" i="11"/>
  <c r="G17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K26" i="1" l="1"/>
  <c r="L6" i="11"/>
  <c r="O12" i="11"/>
  <c r="O13" i="11" s="1"/>
  <c r="Q4" i="11"/>
  <c r="Q5" i="11" s="1"/>
  <c r="Q6" i="11" s="1"/>
  <c r="Q7" i="11" s="1"/>
  <c r="Q8" i="11" s="1"/>
  <c r="Q9" i="11" s="1"/>
  <c r="Q10" i="11" s="1"/>
  <c r="K27" i="1" l="1"/>
  <c r="Q11" i="11"/>
  <c r="Q12" i="11" s="1"/>
  <c r="Q13" i="11" s="1"/>
  <c r="Q14" i="11" s="1"/>
  <c r="A18" i="1"/>
  <c r="B17" i="1"/>
  <c r="A17" i="1"/>
  <c r="A15" i="1"/>
  <c r="L12" i="1"/>
  <c r="K12" i="1"/>
  <c r="J12" i="1"/>
  <c r="I12" i="1"/>
  <c r="H12" i="1"/>
  <c r="Q11" i="1"/>
  <c r="P11" i="1"/>
  <c r="O11" i="1"/>
  <c r="N11" i="1"/>
  <c r="K11" i="1"/>
  <c r="J11" i="1"/>
  <c r="I11" i="1"/>
  <c r="B5" i="1"/>
  <c r="B4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Q13" i="1"/>
  <c r="Q14" i="1" s="1"/>
  <c r="Q15" i="1"/>
  <c r="Q16" i="1" s="1"/>
  <c r="Q17" i="1"/>
  <c r="Q18" i="1" s="1"/>
  <c r="Q19" i="1"/>
  <c r="Q20" i="1" s="1"/>
  <c r="Q21" i="1"/>
  <c r="Q22" i="1" s="1"/>
  <c r="Q23" i="1"/>
  <c r="Q24" i="1" s="1"/>
  <c r="Q25" i="1"/>
  <c r="Q26" i="1" s="1"/>
  <c r="Q27" i="1"/>
  <c r="P13" i="1"/>
  <c r="P14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P15" i="1"/>
  <c r="P16" i="1" s="1"/>
  <c r="P17" i="1"/>
  <c r="P18" i="1" s="1"/>
  <c r="P19" i="1"/>
  <c r="P20" i="1" s="1"/>
  <c r="P21" i="1"/>
  <c r="P22" i="1" s="1"/>
  <c r="P23" i="1"/>
  <c r="P24" i="1" s="1"/>
  <c r="P25" i="1"/>
  <c r="P26" i="1" s="1"/>
  <c r="P27" i="1"/>
  <c r="P28" i="1" s="1"/>
  <c r="P29" i="1" s="1"/>
  <c r="P30" i="1" s="1"/>
  <c r="P31" i="1" s="1"/>
  <c r="P32" i="1" s="1"/>
  <c r="P33" i="1" s="1"/>
  <c r="P34" i="1" s="1"/>
  <c r="O30" i="1"/>
  <c r="O31" i="1" s="1"/>
  <c r="O32" i="1" s="1"/>
  <c r="O33" i="1" s="1"/>
  <c r="O34" i="1" s="1"/>
  <c r="O35" i="1" s="1"/>
  <c r="O36" i="1" s="1"/>
  <c r="O37" i="1" s="1"/>
  <c r="P35" i="1"/>
  <c r="P36" i="1" s="1"/>
  <c r="P37" i="1" s="1"/>
  <c r="P38" i="1" s="1"/>
  <c r="P39" i="1" s="1"/>
  <c r="P40" i="1" s="1"/>
  <c r="P41" i="1" s="1"/>
  <c r="P42" i="1" s="1"/>
  <c r="O38" i="1"/>
  <c r="O39" i="1" s="1"/>
  <c r="O40" i="1" s="1"/>
  <c r="O41" i="1" s="1"/>
  <c r="O42" i="1" s="1"/>
  <c r="O43" i="1" s="1"/>
  <c r="O44" i="1" s="1"/>
  <c r="O45" i="1" s="1"/>
  <c r="P43" i="1"/>
  <c r="P44" i="1" s="1"/>
  <c r="P45" i="1" s="1"/>
  <c r="P46" i="1" s="1"/>
  <c r="P47" i="1" s="1"/>
  <c r="P48" i="1" s="1"/>
  <c r="P49" i="1" s="1"/>
  <c r="P50" i="1" s="1"/>
  <c r="O46" i="1"/>
  <c r="O47" i="1" s="1"/>
  <c r="O48" i="1" s="1"/>
  <c r="O49" i="1" s="1"/>
  <c r="O50" i="1" s="1"/>
  <c r="O51" i="1" s="1"/>
  <c r="O52" i="1" s="1"/>
  <c r="O53" i="1" s="1"/>
  <c r="P51" i="1"/>
  <c r="P52" i="1" s="1"/>
  <c r="P53" i="1" s="1"/>
  <c r="P54" i="1" s="1"/>
  <c r="P55" i="1" s="1"/>
  <c r="P56" i="1" s="1"/>
  <c r="P57" i="1" s="1"/>
  <c r="P58" i="1" s="1"/>
  <c r="O54" i="1"/>
  <c r="O55" i="1" s="1"/>
  <c r="O56" i="1" s="1"/>
  <c r="O57" i="1" s="1"/>
  <c r="O58" i="1" s="1"/>
  <c r="O59" i="1" s="1"/>
  <c r="O60" i="1" s="1"/>
  <c r="O61" i="1" s="1"/>
  <c r="P59" i="1"/>
  <c r="P60" i="1" s="1"/>
  <c r="P61" i="1" s="1"/>
  <c r="P62" i="1" s="1"/>
  <c r="P63" i="1" s="1"/>
  <c r="P64" i="1" s="1"/>
  <c r="P65" i="1" s="1"/>
  <c r="P66" i="1" s="1"/>
  <c r="O62" i="1"/>
  <c r="O63" i="1" s="1"/>
  <c r="O64" i="1" s="1"/>
  <c r="O65" i="1" s="1"/>
  <c r="O66" i="1" s="1"/>
  <c r="O67" i="1" s="1"/>
  <c r="O68" i="1" s="1"/>
  <c r="O69" i="1" s="1"/>
  <c r="P67" i="1"/>
  <c r="P68" i="1" s="1"/>
  <c r="P69" i="1" s="1"/>
  <c r="P70" i="1" s="1"/>
  <c r="P71" i="1" s="1"/>
  <c r="P72" i="1" s="1"/>
  <c r="P73" i="1" s="1"/>
  <c r="P74" i="1" s="1"/>
  <c r="O70" i="1"/>
  <c r="O71" i="1" s="1"/>
  <c r="O72" i="1" s="1"/>
  <c r="O73" i="1" s="1"/>
  <c r="O74" i="1" s="1"/>
  <c r="O75" i="1" s="1"/>
  <c r="O76" i="1" s="1"/>
  <c r="O77" i="1" s="1"/>
  <c r="P75" i="1"/>
  <c r="P76" i="1" s="1"/>
  <c r="P77" i="1" s="1"/>
  <c r="P78" i="1" s="1"/>
  <c r="P79" i="1" s="1"/>
  <c r="P80" i="1" s="1"/>
  <c r="P81" i="1" s="1"/>
  <c r="P82" i="1" s="1"/>
  <c r="O78" i="1"/>
  <c r="O79" i="1" s="1"/>
  <c r="O80" i="1" s="1"/>
  <c r="O81" i="1" s="1"/>
  <c r="O82" i="1" s="1"/>
  <c r="O83" i="1" s="1"/>
  <c r="O84" i="1" s="1"/>
  <c r="O85" i="1" s="1"/>
  <c r="P83" i="1"/>
  <c r="P84" i="1" s="1"/>
  <c r="P85" i="1" s="1"/>
  <c r="P86" i="1" s="1"/>
  <c r="P87" i="1" s="1"/>
  <c r="P88" i="1" s="1"/>
  <c r="P89" i="1" s="1"/>
  <c r="P90" i="1" s="1"/>
  <c r="O86" i="1"/>
  <c r="O87" i="1" s="1"/>
  <c r="O88" i="1" s="1"/>
  <c r="O89" i="1" s="1"/>
  <c r="O90" i="1" s="1"/>
  <c r="O91" i="1" s="1"/>
  <c r="O92" i="1" s="1"/>
  <c r="O93" i="1" s="1"/>
  <c r="P91" i="1"/>
  <c r="P92" i="1" s="1"/>
  <c r="P93" i="1" s="1"/>
  <c r="P94" i="1" s="1"/>
  <c r="P95" i="1" s="1"/>
  <c r="P96" i="1" s="1"/>
  <c r="P97" i="1" s="1"/>
  <c r="P98" i="1" s="1"/>
  <c r="O94" i="1"/>
  <c r="O95" i="1" s="1"/>
  <c r="O96" i="1" s="1"/>
  <c r="O97" i="1" s="1"/>
  <c r="O98" i="1" s="1"/>
  <c r="O99" i="1" s="1"/>
  <c r="O100" i="1" s="1"/>
  <c r="O101" i="1" s="1"/>
  <c r="P99" i="1"/>
  <c r="P100" i="1" s="1"/>
  <c r="P101" i="1" s="1"/>
  <c r="P102" i="1" s="1"/>
  <c r="P103" i="1" s="1"/>
  <c r="P104" i="1" s="1"/>
  <c r="P105" i="1" s="1"/>
  <c r="P106" i="1" s="1"/>
  <c r="O102" i="1"/>
  <c r="O103" i="1" s="1"/>
  <c r="O104" i="1" s="1"/>
  <c r="O105" i="1" s="1"/>
  <c r="O106" i="1" s="1"/>
  <c r="O107" i="1" s="1"/>
  <c r="O108" i="1" s="1"/>
  <c r="O109" i="1" s="1"/>
  <c r="P107" i="1"/>
  <c r="P108" i="1" s="1"/>
  <c r="P109" i="1" s="1"/>
  <c r="P110" i="1" s="1"/>
  <c r="P111" i="1" s="1"/>
  <c r="P112" i="1" s="1"/>
  <c r="P113" i="1" s="1"/>
  <c r="P114" i="1" s="1"/>
  <c r="O110" i="1"/>
  <c r="O111" i="1" s="1"/>
  <c r="O112" i="1" s="1"/>
  <c r="O113" i="1" s="1"/>
  <c r="O114" i="1" s="1"/>
  <c r="O115" i="1" s="1"/>
  <c r="O116" i="1" s="1"/>
  <c r="O117" i="1" s="1"/>
  <c r="P115" i="1"/>
  <c r="P116" i="1" s="1"/>
  <c r="P117" i="1" s="1"/>
  <c r="P118" i="1" s="1"/>
  <c r="P119" i="1" s="1"/>
  <c r="P120" i="1" s="1"/>
  <c r="P121" i="1" s="1"/>
  <c r="P122" i="1" s="1"/>
  <c r="O118" i="1"/>
  <c r="O119" i="1" s="1"/>
  <c r="O120" i="1" s="1"/>
  <c r="O121" i="1" s="1"/>
  <c r="O122" i="1" s="1"/>
  <c r="O123" i="1" s="1"/>
  <c r="O124" i="1" s="1"/>
  <c r="O125" i="1" s="1"/>
  <c r="P123" i="1"/>
  <c r="P124" i="1" s="1"/>
  <c r="P125" i="1" s="1"/>
  <c r="P126" i="1" s="1"/>
  <c r="P127" i="1" s="1"/>
  <c r="P128" i="1" s="1"/>
  <c r="P129" i="1" s="1"/>
  <c r="P130" i="1" s="1"/>
  <c r="O126" i="1"/>
  <c r="O127" i="1" s="1"/>
  <c r="O128" i="1" s="1"/>
  <c r="O129" i="1" s="1"/>
  <c r="O130" i="1" s="1"/>
  <c r="O131" i="1" s="1"/>
  <c r="O132" i="1" s="1"/>
  <c r="O133" i="1" s="1"/>
  <c r="P131" i="1"/>
  <c r="P132" i="1" s="1"/>
  <c r="P133" i="1" s="1"/>
  <c r="P134" i="1" s="1"/>
  <c r="P135" i="1" s="1"/>
  <c r="P136" i="1" s="1"/>
  <c r="P137" i="1" s="1"/>
  <c r="P138" i="1" s="1"/>
  <c r="O134" i="1"/>
  <c r="O135" i="1" s="1"/>
  <c r="O136" i="1" s="1"/>
  <c r="O137" i="1" s="1"/>
  <c r="O138" i="1" s="1"/>
  <c r="O139" i="1" s="1"/>
  <c r="O140" i="1" s="1"/>
  <c r="O141" i="1" s="1"/>
  <c r="P139" i="1"/>
  <c r="P140" i="1" s="1"/>
  <c r="P141" i="1" s="1"/>
  <c r="P142" i="1" s="1"/>
  <c r="P143" i="1" s="1"/>
  <c r="P144" i="1" s="1"/>
  <c r="P145" i="1" s="1"/>
  <c r="P146" i="1" s="1"/>
  <c r="O142" i="1"/>
  <c r="O143" i="1" s="1"/>
  <c r="O144" i="1" s="1"/>
  <c r="O145" i="1" s="1"/>
  <c r="O146" i="1" s="1"/>
  <c r="O147" i="1" s="1"/>
  <c r="O148" i="1" s="1"/>
  <c r="O149" i="1" s="1"/>
  <c r="P147" i="1"/>
  <c r="P148" i="1" s="1"/>
  <c r="P149" i="1" s="1"/>
  <c r="P150" i="1" s="1"/>
  <c r="P151" i="1" s="1"/>
  <c r="P152" i="1" s="1"/>
  <c r="P153" i="1" s="1"/>
  <c r="P154" i="1" s="1"/>
  <c r="O150" i="1"/>
  <c r="O151" i="1" s="1"/>
  <c r="O152" i="1" s="1"/>
  <c r="O153" i="1" s="1"/>
  <c r="O154" i="1" s="1"/>
  <c r="O155" i="1" s="1"/>
  <c r="O156" i="1" s="1"/>
  <c r="O157" i="1" s="1"/>
  <c r="P155" i="1"/>
  <c r="P156" i="1" s="1"/>
  <c r="P157" i="1" s="1"/>
  <c r="P158" i="1" s="1"/>
  <c r="P159" i="1" s="1"/>
  <c r="P160" i="1" s="1"/>
  <c r="P161" i="1" s="1"/>
  <c r="P162" i="1" s="1"/>
  <c r="O158" i="1"/>
  <c r="O159" i="1" s="1"/>
  <c r="O160" i="1" s="1"/>
  <c r="O161" i="1" s="1"/>
  <c r="O162" i="1" s="1"/>
  <c r="O163" i="1" s="1"/>
  <c r="O164" i="1" s="1"/>
  <c r="O165" i="1" s="1"/>
  <c r="P163" i="1"/>
  <c r="P164" i="1" s="1"/>
  <c r="P165" i="1" s="1"/>
  <c r="P166" i="1" s="1"/>
  <c r="P167" i="1" s="1"/>
  <c r="P168" i="1" s="1"/>
  <c r="P169" i="1" s="1"/>
  <c r="P170" i="1" s="1"/>
  <c r="O166" i="1"/>
  <c r="O167" i="1" s="1"/>
  <c r="O168" i="1" s="1"/>
  <c r="O169" i="1" s="1"/>
  <c r="O170" i="1" s="1"/>
  <c r="O171" i="1" s="1"/>
  <c r="O172" i="1" s="1"/>
  <c r="O173" i="1" s="1"/>
  <c r="P171" i="1"/>
  <c r="P172" i="1" s="1"/>
  <c r="P173" i="1" s="1"/>
  <c r="P174" i="1" s="1"/>
  <c r="P175" i="1" s="1"/>
  <c r="P176" i="1" s="1"/>
  <c r="P177" i="1" s="1"/>
  <c r="P178" i="1" s="1"/>
  <c r="O174" i="1"/>
  <c r="O175" i="1" s="1"/>
  <c r="O176" i="1" s="1"/>
  <c r="O177" i="1" s="1"/>
  <c r="O178" i="1" s="1"/>
  <c r="O179" i="1" s="1"/>
  <c r="O180" i="1" s="1"/>
  <c r="O181" i="1" s="1"/>
  <c r="P179" i="1"/>
  <c r="P180" i="1" s="1"/>
  <c r="P181" i="1" s="1"/>
  <c r="P182" i="1" s="1"/>
  <c r="P183" i="1" s="1"/>
  <c r="P184" i="1" s="1"/>
  <c r="P185" i="1" s="1"/>
  <c r="P186" i="1" s="1"/>
  <c r="O182" i="1"/>
  <c r="O183" i="1" s="1"/>
  <c r="O184" i="1" s="1"/>
  <c r="O185" i="1" s="1"/>
  <c r="O186" i="1" s="1"/>
  <c r="O187" i="1" s="1"/>
  <c r="O188" i="1" s="1"/>
  <c r="O189" i="1" s="1"/>
  <c r="P187" i="1"/>
  <c r="P188" i="1" s="1"/>
  <c r="P189" i="1" s="1"/>
  <c r="P190" i="1" s="1"/>
  <c r="P191" i="1" s="1"/>
  <c r="P192" i="1" s="1"/>
  <c r="P193" i="1" s="1"/>
  <c r="P194" i="1" s="1"/>
  <c r="O190" i="1"/>
  <c r="O191" i="1" s="1"/>
  <c r="O192" i="1" s="1"/>
  <c r="O193" i="1" s="1"/>
  <c r="O194" i="1" s="1"/>
  <c r="O195" i="1" s="1"/>
  <c r="O196" i="1" s="1"/>
  <c r="O197" i="1" s="1"/>
  <c r="P195" i="1"/>
  <c r="P196" i="1" s="1"/>
  <c r="P197" i="1" s="1"/>
  <c r="P198" i="1" s="1"/>
  <c r="P199" i="1" s="1"/>
  <c r="P200" i="1" s="1"/>
  <c r="P201" i="1" s="1"/>
  <c r="P202" i="1" s="1"/>
  <c r="O198" i="1"/>
  <c r="O199" i="1" s="1"/>
  <c r="O200" i="1" s="1"/>
  <c r="O201" i="1" s="1"/>
  <c r="O202" i="1" s="1"/>
  <c r="O203" i="1" s="1"/>
  <c r="O204" i="1" s="1"/>
  <c r="O205" i="1" s="1"/>
  <c r="P203" i="1"/>
  <c r="P204" i="1" s="1"/>
  <c r="P205" i="1" s="1"/>
  <c r="P206" i="1" s="1"/>
  <c r="P207" i="1" s="1"/>
  <c r="P208" i="1" s="1"/>
  <c r="P209" i="1" s="1"/>
  <c r="P210" i="1" s="1"/>
  <c r="O206" i="1"/>
  <c r="O207" i="1" s="1"/>
  <c r="O208" i="1" s="1"/>
  <c r="O209" i="1" s="1"/>
  <c r="O210" i="1" s="1"/>
  <c r="O211" i="1" s="1"/>
  <c r="O212" i="1" s="1"/>
  <c r="O213" i="1" s="1"/>
  <c r="P211" i="1"/>
  <c r="P212" i="1" s="1"/>
  <c r="P213" i="1" s="1"/>
  <c r="P214" i="1" s="1"/>
  <c r="P215" i="1" s="1"/>
  <c r="P216" i="1" s="1"/>
  <c r="P217" i="1" s="1"/>
  <c r="P218" i="1" s="1"/>
  <c r="O214" i="1"/>
  <c r="O215" i="1" s="1"/>
  <c r="O216" i="1" s="1"/>
  <c r="O217" i="1" s="1"/>
  <c r="O218" i="1" s="1"/>
  <c r="O219" i="1" s="1"/>
  <c r="O220" i="1" s="1"/>
  <c r="O221" i="1" s="1"/>
  <c r="P219" i="1"/>
  <c r="P220" i="1" s="1"/>
  <c r="P221" i="1" s="1"/>
  <c r="P222" i="1" s="1"/>
  <c r="P223" i="1" s="1"/>
  <c r="P224" i="1" s="1"/>
  <c r="P225" i="1" s="1"/>
  <c r="P226" i="1" s="1"/>
  <c r="O222" i="1"/>
  <c r="O223" i="1" s="1"/>
  <c r="O224" i="1" s="1"/>
  <c r="O225" i="1" s="1"/>
  <c r="O226" i="1" s="1"/>
  <c r="O227" i="1" s="1"/>
  <c r="O228" i="1" s="1"/>
  <c r="O229" i="1" s="1"/>
  <c r="P227" i="1"/>
  <c r="P228" i="1" s="1"/>
  <c r="P229" i="1" s="1"/>
  <c r="P230" i="1" s="1"/>
  <c r="P231" i="1" s="1"/>
  <c r="P232" i="1" s="1"/>
  <c r="P233" i="1" s="1"/>
  <c r="P234" i="1" s="1"/>
  <c r="O230" i="1"/>
  <c r="O231" i="1" s="1"/>
  <c r="O232" i="1" s="1"/>
  <c r="O233" i="1" s="1"/>
  <c r="O234" i="1" s="1"/>
  <c r="O235" i="1" s="1"/>
  <c r="O236" i="1" s="1"/>
  <c r="O237" i="1" s="1"/>
  <c r="P235" i="1"/>
  <c r="P236" i="1" s="1"/>
  <c r="P237" i="1" s="1"/>
  <c r="P238" i="1" s="1"/>
  <c r="P239" i="1" s="1"/>
  <c r="P240" i="1" s="1"/>
  <c r="P241" i="1" s="1"/>
  <c r="P242" i="1" s="1"/>
  <c r="O238" i="1"/>
  <c r="O239" i="1" s="1"/>
  <c r="O240" i="1" s="1"/>
  <c r="O241" i="1" s="1"/>
  <c r="O242" i="1" s="1"/>
  <c r="O243" i="1" s="1"/>
  <c r="O244" i="1" s="1"/>
  <c r="O245" i="1" s="1"/>
  <c r="P243" i="1"/>
  <c r="P244" i="1" s="1"/>
  <c r="P245" i="1" s="1"/>
  <c r="P246" i="1" s="1"/>
  <c r="P247" i="1" s="1"/>
  <c r="P248" i="1" s="1"/>
  <c r="P249" i="1" s="1"/>
  <c r="P250" i="1" s="1"/>
  <c r="O246" i="1"/>
  <c r="O247" i="1" s="1"/>
  <c r="O248" i="1" s="1"/>
  <c r="O249" i="1" s="1"/>
  <c r="O250" i="1" s="1"/>
  <c r="O251" i="1" s="1"/>
  <c r="O252" i="1" s="1"/>
  <c r="O253" i="1" s="1"/>
  <c r="P251" i="1"/>
  <c r="P252" i="1" s="1"/>
  <c r="P253" i="1" s="1"/>
  <c r="P254" i="1" s="1"/>
  <c r="P255" i="1" s="1"/>
  <c r="P256" i="1" s="1"/>
  <c r="P257" i="1" s="1"/>
  <c r="P258" i="1" s="1"/>
  <c r="O254" i="1"/>
  <c r="O255" i="1" s="1"/>
  <c r="O256" i="1" s="1"/>
  <c r="O257" i="1" s="1"/>
  <c r="O258" i="1" s="1"/>
  <c r="O259" i="1" s="1"/>
  <c r="O260" i="1" s="1"/>
  <c r="O261" i="1" s="1"/>
  <c r="P259" i="1"/>
  <c r="P260" i="1" s="1"/>
  <c r="P261" i="1" s="1"/>
  <c r="P262" i="1" s="1"/>
  <c r="P263" i="1" s="1"/>
  <c r="O262" i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P264" i="1"/>
  <c r="P265" i="1" s="1"/>
  <c r="P266" i="1"/>
  <c r="P267" i="1" s="1"/>
  <c r="P268" i="1"/>
  <c r="P269" i="1" s="1"/>
  <c r="P270" i="1"/>
  <c r="P271" i="1" s="1"/>
  <c r="P272" i="1"/>
  <c r="P273" i="1" s="1"/>
  <c r="P274" i="1"/>
  <c r="P275" i="1" s="1"/>
  <c r="P276" i="1"/>
  <c r="P277" i="1" s="1"/>
  <c r="P278" i="1"/>
  <c r="P279" i="1" s="1"/>
  <c r="P280" i="1"/>
  <c r="P281" i="1" s="1"/>
  <c r="P282" i="1"/>
  <c r="P283" i="1" s="1"/>
  <c r="P284" i="1"/>
  <c r="P285" i="1" s="1"/>
  <c r="P286" i="1"/>
  <c r="P287" i="1" s="1"/>
  <c r="P288" i="1"/>
  <c r="P289" i="1" s="1"/>
  <c r="P290" i="1"/>
  <c r="P291" i="1" s="1"/>
  <c r="P292" i="1"/>
  <c r="P293" i="1" s="1"/>
  <c r="P294" i="1"/>
  <c r="P295" i="1" s="1"/>
  <c r="P296" i="1"/>
  <c r="P297" i="1" s="1"/>
  <c r="P298" i="1"/>
  <c r="P299" i="1" s="1"/>
  <c r="P300" i="1"/>
  <c r="P301" i="1" s="1"/>
  <c r="P302" i="1"/>
  <c r="P303" i="1" s="1"/>
  <c r="P304" i="1"/>
  <c r="P305" i="1" s="1"/>
  <c r="P306" i="1"/>
  <c r="P307" i="1" s="1"/>
  <c r="P308" i="1"/>
  <c r="P309" i="1" s="1"/>
  <c r="P310" i="1" s="1"/>
  <c r="P311" i="1" s="1"/>
  <c r="O310" i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P312" i="1"/>
  <c r="P313" i="1" s="1"/>
  <c r="P314" i="1"/>
  <c r="P315" i="1" s="1"/>
  <c r="P316" i="1"/>
  <c r="P317" i="1" s="1"/>
  <c r="P318" i="1"/>
  <c r="P319" i="1" s="1"/>
  <c r="P320" i="1"/>
  <c r="P321" i="1" s="1"/>
  <c r="P322" i="1"/>
  <c r="P323" i="1" s="1"/>
  <c r="P324" i="1"/>
  <c r="P325" i="1" s="1"/>
  <c r="P326" i="1"/>
  <c r="P327" i="1" s="1"/>
  <c r="P328" i="1"/>
  <c r="P329" i="1" s="1"/>
  <c r="P330" i="1"/>
  <c r="P331" i="1" s="1"/>
  <c r="P332" i="1"/>
  <c r="P333" i="1" s="1"/>
  <c r="P334" i="1"/>
  <c r="P335" i="1" s="1"/>
  <c r="P336" i="1"/>
  <c r="P337" i="1" s="1"/>
  <c r="P338" i="1"/>
  <c r="P339" i="1" s="1"/>
  <c r="P340" i="1"/>
  <c r="P341" i="1" s="1"/>
  <c r="P342" i="1"/>
  <c r="P343" i="1" s="1"/>
  <c r="P344" i="1"/>
  <c r="P345" i="1" s="1"/>
  <c r="P346" i="1"/>
  <c r="P347" i="1" s="1"/>
  <c r="P348" i="1"/>
  <c r="P349" i="1" s="1"/>
  <c r="P350" i="1"/>
  <c r="P351" i="1" s="1"/>
  <c r="P352" i="1"/>
  <c r="P353" i="1" s="1"/>
  <c r="P354" i="1"/>
  <c r="P355" i="1" s="1"/>
  <c r="P356" i="1"/>
  <c r="P357" i="1" s="1"/>
  <c r="P358" i="1"/>
  <c r="P359" i="1" s="1"/>
  <c r="P360" i="1"/>
  <c r="P361" i="1" s="1"/>
  <c r="P362" i="1"/>
  <c r="P363" i="1" s="1"/>
  <c r="P364" i="1"/>
  <c r="P365" i="1" s="1"/>
  <c r="P366" i="1"/>
  <c r="P367" i="1" s="1"/>
  <c r="P368" i="1"/>
  <c r="P369" i="1" s="1"/>
  <c r="P370" i="1"/>
  <c r="P371" i="1" s="1"/>
  <c r="P372" i="1"/>
  <c r="P373" i="1" s="1"/>
  <c r="P374" i="1"/>
  <c r="P375" i="1" s="1"/>
  <c r="P376" i="1"/>
  <c r="P377" i="1" s="1"/>
  <c r="P378" i="1"/>
  <c r="P379" i="1" s="1"/>
  <c r="P380" i="1"/>
  <c r="P381" i="1" s="1"/>
  <c r="P382" i="1"/>
  <c r="P383" i="1" s="1"/>
  <c r="P384" i="1"/>
  <c r="O384" i="1"/>
  <c r="P385" i="1"/>
  <c r="O385" i="1"/>
  <c r="P386" i="1"/>
  <c r="P387" i="1" s="1"/>
  <c r="P388" i="1" s="1"/>
  <c r="O386" i="1"/>
  <c r="O387" i="1" s="1"/>
  <c r="O388" i="1" s="1"/>
  <c r="O389" i="1" s="1"/>
  <c r="O390" i="1" s="1"/>
  <c r="O391" i="1" s="1"/>
  <c r="O392" i="1" s="1"/>
  <c r="O393" i="1" s="1"/>
  <c r="P389" i="1"/>
  <c r="P390" i="1" s="1"/>
  <c r="P391" i="1" s="1"/>
  <c r="P392" i="1" s="1"/>
  <c r="P393" i="1" s="1"/>
  <c r="P394" i="1" s="1"/>
  <c r="P395" i="1" s="1"/>
  <c r="P396" i="1" s="1"/>
  <c r="O394" i="1"/>
  <c r="O395" i="1" s="1"/>
  <c r="O396" i="1" s="1"/>
  <c r="O397" i="1" s="1"/>
  <c r="O398" i="1" s="1"/>
  <c r="P397" i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P438" i="1" s="1"/>
  <c r="P439" i="1" s="1"/>
  <c r="P440" i="1" s="1"/>
  <c r="P441" i="1" s="1"/>
  <c r="P442" i="1" s="1"/>
  <c r="P443" i="1" s="1"/>
  <c r="P444" i="1" s="1"/>
  <c r="P445" i="1" s="1"/>
  <c r="P446" i="1" s="1"/>
  <c r="P447" i="1" s="1"/>
  <c r="P448" i="1" s="1"/>
  <c r="P449" i="1" s="1"/>
  <c r="P450" i="1" s="1"/>
  <c r="P451" i="1" s="1"/>
  <c r="P452" i="1" s="1"/>
  <c r="P453" i="1" s="1"/>
  <c r="P454" i="1" s="1"/>
  <c r="P455" i="1" s="1"/>
  <c r="P456" i="1" s="1"/>
  <c r="P457" i="1" s="1"/>
  <c r="P458" i="1" s="1"/>
  <c r="P459" i="1" s="1"/>
  <c r="P460" i="1" s="1"/>
  <c r="P461" i="1" s="1"/>
  <c r="P462" i="1" s="1"/>
  <c r="P463" i="1" s="1"/>
  <c r="P464" i="1" s="1"/>
  <c r="P465" i="1" s="1"/>
  <c r="P466" i="1" s="1"/>
  <c r="P467" i="1" s="1"/>
  <c r="P468" i="1" s="1"/>
  <c r="P469" i="1" s="1"/>
  <c r="P470" i="1" s="1"/>
  <c r="P471" i="1" s="1"/>
  <c r="P472" i="1" s="1"/>
  <c r="P473" i="1" s="1"/>
  <c r="P474" i="1" s="1"/>
  <c r="P475" i="1" s="1"/>
  <c r="P476" i="1" s="1"/>
  <c r="P477" i="1" s="1"/>
  <c r="P478" i="1" s="1"/>
  <c r="P479" i="1" s="1"/>
  <c r="P480" i="1" s="1"/>
  <c r="P481" i="1" s="1"/>
  <c r="P482" i="1" s="1"/>
  <c r="P483" i="1" s="1"/>
  <c r="P484" i="1" s="1"/>
  <c r="P485" i="1" s="1"/>
  <c r="P486" i="1" s="1"/>
  <c r="P487" i="1" s="1"/>
  <c r="P488" i="1" s="1"/>
  <c r="P489" i="1" s="1"/>
  <c r="P490" i="1" s="1"/>
  <c r="P491" i="1" s="1"/>
  <c r="P492" i="1" s="1"/>
  <c r="P493" i="1" s="1"/>
  <c r="P494" i="1" s="1"/>
  <c r="P495" i="1" s="1"/>
  <c r="P496" i="1" s="1"/>
  <c r="P497" i="1" s="1"/>
  <c r="P498" i="1" s="1"/>
  <c r="P499" i="1" s="1"/>
  <c r="P500" i="1" s="1"/>
  <c r="P501" i="1" s="1"/>
  <c r="P502" i="1" s="1"/>
  <c r="P503" i="1" s="1"/>
  <c r="P504" i="1" s="1"/>
  <c r="P505" i="1" s="1"/>
  <c r="P506" i="1" s="1"/>
  <c r="P507" i="1" s="1"/>
  <c r="P508" i="1" s="1"/>
  <c r="P509" i="1" s="1"/>
  <c r="P510" i="1" s="1"/>
  <c r="P511" i="1" s="1"/>
  <c r="P512" i="1" s="1"/>
  <c r="P513" i="1" s="1"/>
  <c r="P514" i="1" s="1"/>
  <c r="P515" i="1" s="1"/>
  <c r="P516" i="1" s="1"/>
  <c r="P517" i="1" s="1"/>
  <c r="P518" i="1" s="1"/>
  <c r="P519" i="1" s="1"/>
  <c r="P520" i="1" s="1"/>
  <c r="P521" i="1" s="1"/>
  <c r="P522" i="1" s="1"/>
  <c r="P523" i="1" s="1"/>
  <c r="P524" i="1" s="1"/>
  <c r="P525" i="1" s="1"/>
  <c r="P526" i="1" s="1"/>
  <c r="P527" i="1" s="1"/>
  <c r="P528" i="1" s="1"/>
  <c r="P529" i="1" s="1"/>
  <c r="P530" i="1" s="1"/>
  <c r="P531" i="1" s="1"/>
  <c r="P532" i="1" s="1"/>
  <c r="P533" i="1" s="1"/>
  <c r="P534" i="1" s="1"/>
  <c r="P535" i="1" s="1"/>
  <c r="P536" i="1" s="1"/>
  <c r="P537" i="1" s="1"/>
  <c r="P538" i="1" s="1"/>
  <c r="P539" i="1" s="1"/>
  <c r="P540" i="1" s="1"/>
  <c r="P541" i="1" s="1"/>
  <c r="P542" i="1" s="1"/>
  <c r="P543" i="1" s="1"/>
  <c r="P544" i="1" s="1"/>
  <c r="P545" i="1" s="1"/>
  <c r="P546" i="1" s="1"/>
  <c r="P547" i="1" s="1"/>
  <c r="P548" i="1" s="1"/>
  <c r="P549" i="1" s="1"/>
  <c r="P550" i="1" s="1"/>
  <c r="P551" i="1" s="1"/>
  <c r="P552" i="1" s="1"/>
  <c r="P553" i="1" s="1"/>
  <c r="P554" i="1" s="1"/>
  <c r="P555" i="1" s="1"/>
  <c r="P556" i="1" s="1"/>
  <c r="P557" i="1" s="1"/>
  <c r="P558" i="1" s="1"/>
  <c r="P559" i="1" s="1"/>
  <c r="P560" i="1" s="1"/>
  <c r="P561" i="1" s="1"/>
  <c r="P562" i="1" s="1"/>
  <c r="P563" i="1" s="1"/>
  <c r="P564" i="1" s="1"/>
  <c r="P565" i="1" s="1"/>
  <c r="P566" i="1" s="1"/>
  <c r="P567" i="1" s="1"/>
  <c r="P568" i="1" s="1"/>
  <c r="P569" i="1" s="1"/>
  <c r="P570" i="1" s="1"/>
  <c r="P571" i="1" s="1"/>
  <c r="P572" i="1" s="1"/>
  <c r="P573" i="1" s="1"/>
  <c r="P574" i="1" s="1"/>
  <c r="P575" i="1" s="1"/>
  <c r="P576" i="1" s="1"/>
  <c r="P577" i="1" s="1"/>
  <c r="P578" i="1" s="1"/>
  <c r="P579" i="1" s="1"/>
  <c r="P580" i="1" s="1"/>
  <c r="P581" i="1" s="1"/>
  <c r="P582" i="1" s="1"/>
  <c r="P583" i="1" s="1"/>
  <c r="P584" i="1" s="1"/>
  <c r="P585" i="1" s="1"/>
  <c r="P586" i="1" s="1"/>
  <c r="P587" i="1" s="1"/>
  <c r="P588" i="1" s="1"/>
  <c r="P589" i="1" s="1"/>
  <c r="P590" i="1" s="1"/>
  <c r="P591" i="1" s="1"/>
  <c r="P592" i="1" s="1"/>
  <c r="P593" i="1" s="1"/>
  <c r="P594" i="1" s="1"/>
  <c r="P595" i="1" s="1"/>
  <c r="P596" i="1" s="1"/>
  <c r="P597" i="1" s="1"/>
  <c r="P598" i="1" s="1"/>
  <c r="P599" i="1" s="1"/>
  <c r="P600" i="1" s="1"/>
  <c r="P601" i="1" s="1"/>
  <c r="P602" i="1" s="1"/>
  <c r="P603" i="1" s="1"/>
  <c r="P604" i="1" s="1"/>
  <c r="P605" i="1" s="1"/>
  <c r="P606" i="1" s="1"/>
  <c r="P607" i="1" s="1"/>
  <c r="P608" i="1" s="1"/>
  <c r="P609" i="1" s="1"/>
  <c r="P610" i="1" s="1"/>
  <c r="P611" i="1" s="1"/>
  <c r="P612" i="1" s="1"/>
  <c r="P613" i="1" s="1"/>
  <c r="P614" i="1" s="1"/>
  <c r="P615" i="1" s="1"/>
  <c r="P616" i="1" s="1"/>
  <c r="P617" i="1" s="1"/>
  <c r="P618" i="1" s="1"/>
  <c r="P619" i="1" s="1"/>
  <c r="P620" i="1" s="1"/>
  <c r="P621" i="1" s="1"/>
  <c r="P622" i="1" s="1"/>
  <c r="P623" i="1" s="1"/>
  <c r="P624" i="1" s="1"/>
  <c r="P625" i="1" s="1"/>
  <c r="P626" i="1" s="1"/>
  <c r="P627" i="1" s="1"/>
  <c r="P628" i="1" s="1"/>
  <c r="P629" i="1" s="1"/>
  <c r="P630" i="1" s="1"/>
  <c r="P631" i="1" s="1"/>
  <c r="P632" i="1" s="1"/>
  <c r="P633" i="1" s="1"/>
  <c r="P634" i="1" s="1"/>
  <c r="P635" i="1" s="1"/>
  <c r="P636" i="1" s="1"/>
  <c r="P637" i="1" s="1"/>
  <c r="P638" i="1" s="1"/>
  <c r="P639" i="1" s="1"/>
  <c r="P640" i="1" s="1"/>
  <c r="P641" i="1" s="1"/>
  <c r="O399" i="1"/>
  <c r="O400" i="1" s="1"/>
  <c r="O401" i="1"/>
  <c r="O402" i="1" s="1"/>
  <c r="O403" i="1"/>
  <c r="O404" i="1" s="1"/>
  <c r="O405" i="1"/>
  <c r="O406" i="1" s="1"/>
  <c r="O407" i="1"/>
  <c r="O408" i="1" s="1"/>
  <c r="O409" i="1"/>
  <c r="O410" i="1" s="1"/>
  <c r="O411" i="1"/>
  <c r="O412" i="1" s="1"/>
  <c r="O413" i="1"/>
  <c r="O414" i="1" s="1"/>
  <c r="O415" i="1"/>
  <c r="O416" i="1" s="1"/>
  <c r="O417" i="1"/>
  <c r="O418" i="1" s="1"/>
  <c r="O419" i="1"/>
  <c r="O420" i="1" s="1"/>
  <c r="O421" i="1"/>
  <c r="O422" i="1" s="1"/>
  <c r="O423" i="1"/>
  <c r="O424" i="1" s="1"/>
  <c r="O425" i="1" s="1"/>
  <c r="O426" i="1" s="1"/>
  <c r="O427" i="1"/>
  <c r="O428" i="1" s="1"/>
  <c r="O429" i="1"/>
  <c r="O430" i="1" s="1"/>
  <c r="O431" i="1"/>
  <c r="O432" i="1" s="1"/>
  <c r="O433" i="1"/>
  <c r="O434" i="1" s="1"/>
  <c r="O435" i="1"/>
  <c r="O436" i="1" s="1"/>
  <c r="O437" i="1"/>
  <c r="O438" i="1" s="1"/>
  <c r="O439" i="1"/>
  <c r="O440" i="1" s="1"/>
  <c r="O441" i="1"/>
  <c r="O442" i="1" s="1"/>
  <c r="O443" i="1"/>
  <c r="O444" i="1" s="1"/>
  <c r="O445" i="1"/>
  <c r="O446" i="1" s="1"/>
  <c r="O447" i="1"/>
  <c r="O448" i="1" s="1"/>
  <c r="O449" i="1"/>
  <c r="O450" i="1" s="1"/>
  <c r="O451" i="1"/>
  <c r="O452" i="1" s="1"/>
  <c r="O453" i="1"/>
  <c r="O454" i="1" s="1"/>
  <c r="O455" i="1"/>
  <c r="O456" i="1" s="1"/>
  <c r="O457" i="1"/>
  <c r="O458" i="1" s="1"/>
  <c r="O459" i="1"/>
  <c r="O460" i="1" s="1"/>
  <c r="O461" i="1"/>
  <c r="O462" i="1" s="1"/>
  <c r="O463" i="1"/>
  <c r="O464" i="1" s="1"/>
  <c r="O465" i="1"/>
  <c r="O466" i="1" s="1"/>
  <c r="O467" i="1"/>
  <c r="O468" i="1" s="1"/>
  <c r="O469" i="1"/>
  <c r="O470" i="1" s="1"/>
  <c r="O471" i="1"/>
  <c r="O472" i="1" s="1"/>
  <c r="O473" i="1"/>
  <c r="O474" i="1" s="1"/>
  <c r="O475" i="1"/>
  <c r="O476" i="1" s="1"/>
  <c r="O477" i="1"/>
  <c r="O478" i="1" s="1"/>
  <c r="O479" i="1"/>
  <c r="O480" i="1" s="1"/>
  <c r="O481" i="1"/>
  <c r="O482" i="1" s="1"/>
  <c r="O483" i="1"/>
  <c r="O484" i="1" s="1"/>
  <c r="O485" i="1"/>
  <c r="O486" i="1" s="1"/>
  <c r="O487" i="1"/>
  <c r="O488" i="1" s="1"/>
  <c r="O489" i="1" s="1"/>
  <c r="O490" i="1" s="1"/>
  <c r="O491" i="1"/>
  <c r="O492" i="1" s="1"/>
  <c r="O493" i="1"/>
  <c r="O494" i="1" s="1"/>
  <c r="O495" i="1"/>
  <c r="O496" i="1" s="1"/>
  <c r="O497" i="1"/>
  <c r="O498" i="1" s="1"/>
  <c r="O499" i="1"/>
  <c r="O500" i="1" s="1"/>
  <c r="O501" i="1"/>
  <c r="O502" i="1" s="1"/>
  <c r="O503" i="1"/>
  <c r="O504" i="1" s="1"/>
  <c r="O505" i="1"/>
  <c r="O506" i="1" s="1"/>
  <c r="O507" i="1"/>
  <c r="O508" i="1" s="1"/>
  <c r="O509" i="1"/>
  <c r="O510" i="1" s="1"/>
  <c r="O511" i="1"/>
  <c r="O512" i="1" s="1"/>
  <c r="O513" i="1"/>
  <c r="O514" i="1" s="1"/>
  <c r="O515" i="1"/>
  <c r="O516" i="1" s="1"/>
  <c r="O517" i="1"/>
  <c r="O518" i="1" s="1"/>
  <c r="O519" i="1"/>
  <c r="O520" i="1" s="1"/>
  <c r="O521" i="1"/>
  <c r="O522" i="1" s="1"/>
  <c r="O523" i="1"/>
  <c r="O524" i="1" s="1"/>
  <c r="O525" i="1"/>
  <c r="O526" i="1" s="1"/>
  <c r="O527" i="1"/>
  <c r="O528" i="1" s="1"/>
  <c r="O529" i="1"/>
  <c r="O530" i="1" s="1"/>
  <c r="O531" i="1"/>
  <c r="O532" i="1" s="1"/>
  <c r="O533" i="1"/>
  <c r="O534" i="1" s="1"/>
  <c r="O535" i="1"/>
  <c r="O536" i="1" s="1"/>
  <c r="O537" i="1"/>
  <c r="O538" i="1" s="1"/>
  <c r="O539" i="1"/>
  <c r="O540" i="1" s="1"/>
  <c r="O541" i="1"/>
  <c r="O542" i="1" s="1"/>
  <c r="O543" i="1"/>
  <c r="O544" i="1" s="1"/>
  <c r="O545" i="1"/>
  <c r="O546" i="1" s="1"/>
  <c r="O547" i="1"/>
  <c r="O548" i="1" s="1"/>
  <c r="O549" i="1"/>
  <c r="O550" i="1" s="1"/>
  <c r="O551" i="1"/>
  <c r="O552" i="1" s="1"/>
  <c r="O553" i="1" s="1"/>
  <c r="O554" i="1" s="1"/>
  <c r="O555" i="1"/>
  <c r="O556" i="1" s="1"/>
  <c r="O557" i="1"/>
  <c r="O558" i="1" s="1"/>
  <c r="O559" i="1"/>
  <c r="O560" i="1" s="1"/>
  <c r="O561" i="1"/>
  <c r="O562" i="1" s="1"/>
  <c r="O563" i="1"/>
  <c r="O564" i="1" s="1"/>
  <c r="O565" i="1"/>
  <c r="O566" i="1" s="1"/>
  <c r="O567" i="1"/>
  <c r="O568" i="1" s="1"/>
  <c r="O569" i="1"/>
  <c r="O570" i="1" s="1"/>
  <c r="O571" i="1"/>
  <c r="O572" i="1" s="1"/>
  <c r="O573" i="1"/>
  <c r="O574" i="1" s="1"/>
  <c r="O575" i="1"/>
  <c r="O576" i="1" s="1"/>
  <c r="O577" i="1"/>
  <c r="O578" i="1" s="1"/>
  <c r="O579" i="1"/>
  <c r="O580" i="1" s="1"/>
  <c r="O581" i="1"/>
  <c r="O582" i="1" s="1"/>
  <c r="O583" i="1"/>
  <c r="O584" i="1" s="1"/>
  <c r="O585" i="1"/>
  <c r="O586" i="1" s="1"/>
  <c r="O587" i="1"/>
  <c r="O588" i="1" s="1"/>
  <c r="O589" i="1"/>
  <c r="O590" i="1" s="1"/>
  <c r="O591" i="1"/>
  <c r="O592" i="1" s="1"/>
  <c r="O593" i="1"/>
  <c r="O594" i="1" s="1"/>
  <c r="O595" i="1"/>
  <c r="O596" i="1" s="1"/>
  <c r="O597" i="1"/>
  <c r="O598" i="1" s="1"/>
  <c r="O599" i="1"/>
  <c r="O600" i="1" s="1"/>
  <c r="O601" i="1"/>
  <c r="O602" i="1" s="1"/>
  <c r="O603" i="1"/>
  <c r="O604" i="1" s="1"/>
  <c r="O605" i="1"/>
  <c r="O606" i="1" s="1"/>
  <c r="O607" i="1"/>
  <c r="O608" i="1" s="1"/>
  <c r="O609" i="1"/>
  <c r="O610" i="1" s="1"/>
  <c r="O611" i="1"/>
  <c r="O612" i="1" s="1"/>
  <c r="O613" i="1"/>
  <c r="O614" i="1" s="1"/>
  <c r="O615" i="1"/>
  <c r="O616" i="1" s="1"/>
  <c r="O617" i="1"/>
  <c r="O618" i="1" s="1"/>
  <c r="O619" i="1"/>
  <c r="O620" i="1" s="1"/>
  <c r="O621" i="1"/>
  <c r="O622" i="1" s="1"/>
  <c r="O623" i="1"/>
  <c r="O624" i="1" s="1"/>
  <c r="O625" i="1"/>
  <c r="O626" i="1" s="1"/>
  <c r="O627" i="1"/>
  <c r="O628" i="1" s="1"/>
  <c r="O629" i="1"/>
  <c r="O630" i="1" s="1"/>
  <c r="O631" i="1"/>
  <c r="O632" i="1" s="1"/>
  <c r="O633" i="1"/>
  <c r="O634" i="1" s="1"/>
  <c r="O635" i="1"/>
  <c r="O636" i="1" s="1"/>
  <c r="O637" i="1"/>
  <c r="O638" i="1" s="1"/>
  <c r="O639" i="1"/>
  <c r="O640" i="1" s="1"/>
  <c r="O641" i="1"/>
  <c r="O642" i="1" s="1"/>
  <c r="O643" i="1"/>
  <c r="O644" i="1" s="1"/>
  <c r="O645" i="1"/>
  <c r="O646" i="1" s="1"/>
  <c r="P642" i="1"/>
  <c r="P643" i="1"/>
  <c r="O647" i="1"/>
  <c r="P644" i="1"/>
  <c r="O648" i="1"/>
  <c r="P645" i="1"/>
  <c r="P646" i="1" s="1"/>
  <c r="P647" i="1" s="1"/>
  <c r="P648" i="1" s="1"/>
  <c r="P649" i="1" s="1"/>
  <c r="P650" i="1" s="1"/>
  <c r="P651" i="1" s="1"/>
  <c r="P652" i="1" s="1"/>
  <c r="P653" i="1" s="1"/>
  <c r="P654" i="1" s="1"/>
  <c r="P655" i="1" s="1"/>
  <c r="P656" i="1" s="1"/>
  <c r="P657" i="1" s="1"/>
  <c r="P658" i="1" s="1"/>
  <c r="P659" i="1" s="1"/>
  <c r="P660" i="1" s="1"/>
  <c r="P661" i="1" s="1"/>
  <c r="P662" i="1" s="1"/>
  <c r="P663" i="1" s="1"/>
  <c r="P664" i="1" s="1"/>
  <c r="P665" i="1" s="1"/>
  <c r="P666" i="1" s="1"/>
  <c r="P667" i="1" s="1"/>
  <c r="P668" i="1" s="1"/>
  <c r="P669" i="1" s="1"/>
  <c r="P670" i="1" s="1"/>
  <c r="P671" i="1" s="1"/>
  <c r="P672" i="1" s="1"/>
  <c r="P673" i="1" s="1"/>
  <c r="P674" i="1" s="1"/>
  <c r="P675" i="1" s="1"/>
  <c r="P676" i="1" s="1"/>
  <c r="P677" i="1" s="1"/>
  <c r="P678" i="1" s="1"/>
  <c r="P679" i="1" s="1"/>
  <c r="P680" i="1" s="1"/>
  <c r="P681" i="1" s="1"/>
  <c r="P682" i="1" s="1"/>
  <c r="P683" i="1" s="1"/>
  <c r="P684" i="1" s="1"/>
  <c r="P685" i="1" s="1"/>
  <c r="P686" i="1" s="1"/>
  <c r="P687" i="1" s="1"/>
  <c r="P688" i="1" s="1"/>
  <c r="P689" i="1" s="1"/>
  <c r="P690" i="1" s="1"/>
  <c r="P691" i="1" s="1"/>
  <c r="P692" i="1" s="1"/>
  <c r="P693" i="1" s="1"/>
  <c r="P694" i="1" s="1"/>
  <c r="P695" i="1" s="1"/>
  <c r="P696" i="1" s="1"/>
  <c r="P697" i="1" s="1"/>
  <c r="P698" i="1" s="1"/>
  <c r="P699" i="1" s="1"/>
  <c r="P700" i="1" s="1"/>
  <c r="P701" i="1" s="1"/>
  <c r="P702" i="1" s="1"/>
  <c r="P703" i="1" s="1"/>
  <c r="P704" i="1" s="1"/>
  <c r="P705" i="1" s="1"/>
  <c r="P706" i="1" s="1"/>
  <c r="P707" i="1" s="1"/>
  <c r="P708" i="1" s="1"/>
  <c r="O649" i="1"/>
  <c r="O650" i="1" s="1"/>
  <c r="O651" i="1" s="1"/>
  <c r="O652" i="1" s="1"/>
  <c r="O653" i="1"/>
  <c r="O654" i="1" s="1"/>
  <c r="O655" i="1" s="1"/>
  <c r="O656" i="1" s="1"/>
  <c r="O657" i="1"/>
  <c r="O658" i="1" s="1"/>
  <c r="O659" i="1" s="1"/>
  <c r="O660" i="1" s="1"/>
  <c r="O661" i="1"/>
  <c r="O662" i="1" s="1"/>
  <c r="O663" i="1" s="1"/>
  <c r="O664" i="1" s="1"/>
  <c r="O665" i="1"/>
  <c r="O666" i="1" s="1"/>
  <c r="O667" i="1" s="1"/>
  <c r="O668" i="1" s="1"/>
  <c r="O669" i="1"/>
  <c r="O670" i="1" s="1"/>
  <c r="O671" i="1" s="1"/>
  <c r="O672" i="1" s="1"/>
  <c r="O673" i="1"/>
  <c r="O674" i="1" s="1"/>
  <c r="O675" i="1" s="1"/>
  <c r="O676" i="1" s="1"/>
  <c r="O677" i="1"/>
  <c r="O678" i="1" s="1"/>
  <c r="O679" i="1" s="1"/>
  <c r="O680" i="1" s="1"/>
  <c r="O681" i="1"/>
  <c r="O682" i="1" s="1"/>
  <c r="O683" i="1" s="1"/>
  <c r="O684" i="1" s="1"/>
  <c r="O685" i="1"/>
  <c r="O686" i="1" s="1"/>
  <c r="O687" i="1" s="1"/>
  <c r="O688" i="1" s="1"/>
  <c r="O689" i="1"/>
  <c r="O690" i="1" s="1"/>
  <c r="O691" i="1" s="1"/>
  <c r="O692" i="1" s="1"/>
  <c r="O693" i="1"/>
  <c r="O694" i="1" s="1"/>
  <c r="O695" i="1" s="1"/>
  <c r="O696" i="1" s="1"/>
  <c r="O697" i="1"/>
  <c r="O698" i="1" s="1"/>
  <c r="O699" i="1" s="1"/>
  <c r="O700" i="1" s="1"/>
  <c r="O701" i="1" s="1"/>
  <c r="O702" i="1" s="1"/>
  <c r="O703" i="1"/>
  <c r="O704" i="1" s="1"/>
  <c r="O705" i="1" s="1"/>
  <c r="O706" i="1"/>
  <c r="O707" i="1" s="1"/>
  <c r="O708" i="1" s="1"/>
  <c r="O709" i="1" s="1"/>
  <c r="O710" i="1" s="1"/>
  <c r="O711" i="1" s="1"/>
  <c r="O712" i="1" s="1"/>
  <c r="O713" i="1" s="1"/>
  <c r="O714" i="1" s="1"/>
  <c r="O715" i="1" s="1"/>
  <c r="O716" i="1" s="1"/>
  <c r="O717" i="1" s="1"/>
  <c r="O718" i="1" s="1"/>
  <c r="O719" i="1" s="1"/>
  <c r="O720" i="1" s="1"/>
  <c r="O721" i="1" s="1"/>
  <c r="O722" i="1" s="1"/>
  <c r="O723" i="1" s="1"/>
  <c r="O724" i="1" s="1"/>
  <c r="O725" i="1" s="1"/>
  <c r="O726" i="1" s="1"/>
  <c r="O727" i="1" s="1"/>
  <c r="P709" i="1"/>
  <c r="P710" i="1" s="1"/>
  <c r="P711" i="1" s="1"/>
  <c r="P712" i="1" s="1"/>
  <c r="P713" i="1" s="1"/>
  <c r="P714" i="1" s="1"/>
  <c r="P715" i="1" s="1"/>
  <c r="P716" i="1" s="1"/>
  <c r="P717" i="1" s="1"/>
  <c r="P718" i="1" s="1"/>
  <c r="P719" i="1" s="1"/>
  <c r="P720" i="1" s="1"/>
  <c r="P721" i="1"/>
  <c r="P722" i="1" s="1"/>
  <c r="P723" i="1" s="1"/>
  <c r="P724" i="1" s="1"/>
  <c r="P725" i="1" s="1"/>
  <c r="P726" i="1" s="1"/>
  <c r="P727" i="1" s="1"/>
  <c r="P728" i="1" s="1"/>
  <c r="P729" i="1" s="1"/>
  <c r="P730" i="1" s="1"/>
  <c r="O728" i="1"/>
  <c r="O729" i="1" s="1"/>
  <c r="O730" i="1" s="1"/>
  <c r="O731" i="1" s="1"/>
  <c r="O732" i="1" s="1"/>
  <c r="O733" i="1" s="1"/>
  <c r="O734" i="1" s="1"/>
  <c r="O735" i="1" s="1"/>
  <c r="O736" i="1" s="1"/>
  <c r="O737" i="1" s="1"/>
  <c r="O738" i="1" s="1"/>
  <c r="P731" i="1"/>
  <c r="P732" i="1" s="1"/>
  <c r="P733" i="1" s="1"/>
  <c r="P734" i="1" s="1"/>
  <c r="P735" i="1" s="1"/>
  <c r="P736" i="1" s="1"/>
  <c r="P737" i="1" s="1"/>
  <c r="P738" i="1" s="1"/>
  <c r="P739" i="1" s="1"/>
  <c r="P740" i="1" s="1"/>
  <c r="P741" i="1" s="1"/>
  <c r="P742" i="1" s="1"/>
  <c r="P743" i="1" s="1"/>
  <c r="P744" i="1" s="1"/>
  <c r="O739" i="1"/>
  <c r="O740" i="1" s="1"/>
  <c r="O741" i="1" s="1"/>
  <c r="O742" i="1" s="1"/>
  <c r="O743" i="1" s="1"/>
  <c r="O744" i="1" s="1"/>
  <c r="O745" i="1" s="1"/>
  <c r="O746" i="1" s="1"/>
  <c r="O747" i="1"/>
  <c r="O748" i="1" s="1"/>
  <c r="O749" i="1" s="1"/>
  <c r="O750" i="1" s="1"/>
  <c r="O751" i="1" s="1"/>
  <c r="O752" i="1" s="1"/>
  <c r="O753" i="1" s="1"/>
  <c r="O754" i="1" s="1"/>
  <c r="O755" i="1"/>
  <c r="O756" i="1" s="1"/>
  <c r="O757" i="1" s="1"/>
  <c r="O758" i="1" s="1"/>
  <c r="O759" i="1" s="1"/>
  <c r="O760" i="1" s="1"/>
  <c r="O761" i="1" s="1"/>
  <c r="O762" i="1" s="1"/>
  <c r="O763" i="1"/>
  <c r="P745" i="1"/>
  <c r="P746" i="1" s="1"/>
  <c r="P747" i="1" s="1"/>
  <c r="P748" i="1" s="1"/>
  <c r="P749" i="1" s="1"/>
  <c r="P750" i="1" s="1"/>
  <c r="P751" i="1" s="1"/>
  <c r="P752" i="1" s="1"/>
  <c r="P753" i="1" s="1"/>
  <c r="P754" i="1" s="1"/>
  <c r="P755" i="1" s="1"/>
  <c r="P756" i="1" s="1"/>
  <c r="P757" i="1" s="1"/>
  <c r="P758" i="1"/>
  <c r="P759" i="1" s="1"/>
  <c r="P760" i="1" s="1"/>
  <c r="P761" i="1" s="1"/>
  <c r="P762" i="1" s="1"/>
  <c r="P763" i="1" s="1"/>
  <c r="P764" i="1" s="1"/>
  <c r="O764" i="1"/>
  <c r="S764" i="1" l="1"/>
  <c r="R764" i="1"/>
  <c r="S763" i="1"/>
  <c r="R763" i="1"/>
  <c r="S762" i="1"/>
  <c r="R762" i="1"/>
  <c r="S761" i="1"/>
  <c r="R761" i="1"/>
  <c r="S760" i="1"/>
  <c r="R760" i="1"/>
  <c r="S759" i="1"/>
  <c r="R759" i="1"/>
  <c r="R758" i="1"/>
  <c r="S758" i="1"/>
  <c r="S757" i="1"/>
  <c r="R757" i="1"/>
  <c r="S756" i="1"/>
  <c r="R756" i="1"/>
  <c r="S755" i="1"/>
  <c r="R755" i="1"/>
  <c r="S754" i="1"/>
  <c r="R754" i="1"/>
  <c r="S753" i="1"/>
  <c r="R753" i="1"/>
  <c r="S752" i="1"/>
  <c r="R752" i="1"/>
  <c r="S751" i="1"/>
  <c r="R751" i="1"/>
  <c r="S750" i="1"/>
  <c r="R750" i="1"/>
  <c r="S749" i="1"/>
  <c r="R749" i="1"/>
  <c r="S748" i="1"/>
  <c r="R748" i="1"/>
  <c r="S747" i="1"/>
  <c r="R747" i="1"/>
  <c r="S746" i="1"/>
  <c r="R746" i="1"/>
  <c r="S745" i="1"/>
  <c r="R745" i="1"/>
  <c r="S744" i="1"/>
  <c r="R744" i="1"/>
  <c r="S743" i="1"/>
  <c r="R743" i="1"/>
  <c r="S742" i="1"/>
  <c r="R742" i="1"/>
  <c r="S741" i="1"/>
  <c r="R741" i="1"/>
  <c r="S740" i="1"/>
  <c r="R740" i="1"/>
  <c r="S739" i="1"/>
  <c r="R739" i="1"/>
  <c r="S738" i="1"/>
  <c r="R738" i="1"/>
  <c r="S737" i="1"/>
  <c r="R737" i="1"/>
  <c r="S736" i="1"/>
  <c r="R736" i="1"/>
  <c r="S735" i="1"/>
  <c r="R735" i="1"/>
  <c r="S734" i="1"/>
  <c r="R734" i="1"/>
  <c r="S733" i="1"/>
  <c r="R733" i="1"/>
  <c r="S732" i="1"/>
  <c r="R732" i="1"/>
  <c r="S731" i="1"/>
  <c r="R731" i="1"/>
  <c r="S730" i="1"/>
  <c r="R730" i="1"/>
  <c r="S729" i="1"/>
  <c r="R729" i="1"/>
  <c r="S728" i="1"/>
  <c r="R728" i="1"/>
  <c r="S727" i="1"/>
  <c r="R727" i="1"/>
  <c r="S726" i="1"/>
  <c r="R726" i="1"/>
  <c r="S725" i="1"/>
  <c r="R725" i="1"/>
  <c r="S724" i="1"/>
  <c r="R724" i="1"/>
  <c r="S723" i="1"/>
  <c r="R723" i="1"/>
  <c r="S722" i="1"/>
  <c r="R722" i="1"/>
  <c r="S721" i="1"/>
  <c r="R721" i="1"/>
  <c r="S720" i="1"/>
  <c r="R720" i="1"/>
  <c r="S719" i="1"/>
  <c r="R719" i="1"/>
  <c r="S718" i="1"/>
  <c r="R718" i="1"/>
  <c r="S717" i="1"/>
  <c r="R717" i="1"/>
  <c r="S716" i="1"/>
  <c r="R716" i="1"/>
  <c r="S715" i="1"/>
  <c r="R715" i="1"/>
  <c r="S714" i="1"/>
  <c r="R714" i="1"/>
  <c r="S713" i="1"/>
  <c r="R713" i="1"/>
  <c r="S712" i="1"/>
  <c r="R712" i="1"/>
  <c r="S711" i="1"/>
  <c r="R711" i="1"/>
  <c r="S710" i="1"/>
  <c r="R710" i="1"/>
  <c r="S709" i="1"/>
  <c r="R709" i="1"/>
  <c r="S708" i="1"/>
  <c r="R708" i="1"/>
  <c r="S707" i="1"/>
  <c r="R707" i="1"/>
  <c r="S706" i="1"/>
  <c r="R706" i="1"/>
  <c r="S705" i="1"/>
  <c r="R705" i="1"/>
  <c r="S704" i="1"/>
  <c r="R704" i="1"/>
  <c r="S703" i="1"/>
  <c r="R703" i="1"/>
  <c r="S702" i="1"/>
  <c r="R702" i="1"/>
  <c r="S701" i="1"/>
  <c r="R701" i="1"/>
  <c r="S700" i="1"/>
  <c r="R700" i="1"/>
  <c r="S699" i="1"/>
  <c r="R699" i="1"/>
  <c r="S698" i="1"/>
  <c r="R698" i="1"/>
  <c r="S697" i="1"/>
  <c r="R697" i="1"/>
  <c r="S696" i="1"/>
  <c r="R696" i="1"/>
  <c r="S695" i="1"/>
  <c r="R695" i="1"/>
  <c r="R694" i="1"/>
  <c r="S694" i="1"/>
  <c r="S693" i="1"/>
  <c r="R693" i="1"/>
  <c r="S692" i="1"/>
  <c r="R692" i="1"/>
  <c r="S691" i="1"/>
  <c r="R691" i="1"/>
  <c r="S690" i="1"/>
  <c r="R690" i="1"/>
  <c r="S689" i="1"/>
  <c r="R689" i="1"/>
  <c r="S688" i="1"/>
  <c r="R688" i="1"/>
  <c r="S687" i="1"/>
  <c r="R687" i="1"/>
  <c r="S686" i="1"/>
  <c r="R686" i="1"/>
  <c r="S685" i="1"/>
  <c r="R685" i="1"/>
  <c r="S684" i="1"/>
  <c r="R684" i="1"/>
  <c r="S683" i="1"/>
  <c r="R683" i="1"/>
  <c r="S682" i="1"/>
  <c r="R682" i="1"/>
  <c r="S681" i="1"/>
  <c r="R681" i="1"/>
  <c r="S680" i="1"/>
  <c r="R680" i="1"/>
  <c r="S679" i="1"/>
  <c r="R679" i="1"/>
  <c r="S678" i="1"/>
  <c r="R678" i="1"/>
  <c r="S677" i="1"/>
  <c r="R677" i="1"/>
  <c r="S676" i="1"/>
  <c r="R676" i="1"/>
  <c r="S675" i="1"/>
  <c r="R675" i="1"/>
  <c r="S674" i="1"/>
  <c r="R674" i="1"/>
  <c r="S673" i="1"/>
  <c r="R673" i="1"/>
  <c r="S672" i="1"/>
  <c r="R672" i="1"/>
  <c r="S671" i="1"/>
  <c r="R671" i="1"/>
  <c r="S670" i="1"/>
  <c r="R670" i="1"/>
  <c r="S669" i="1"/>
  <c r="R669" i="1"/>
  <c r="S668" i="1"/>
  <c r="R668" i="1"/>
  <c r="S667" i="1"/>
  <c r="R667" i="1"/>
  <c r="S666" i="1"/>
  <c r="R666" i="1"/>
  <c r="S665" i="1"/>
  <c r="R665" i="1"/>
  <c r="S664" i="1"/>
  <c r="R664" i="1"/>
  <c r="S663" i="1"/>
  <c r="R663" i="1"/>
  <c r="S662" i="1"/>
  <c r="R662" i="1"/>
  <c r="S661" i="1"/>
  <c r="R661" i="1"/>
  <c r="S660" i="1"/>
  <c r="R660" i="1"/>
  <c r="S659" i="1"/>
  <c r="R659" i="1"/>
  <c r="S658" i="1"/>
  <c r="R658" i="1"/>
  <c r="S657" i="1"/>
  <c r="R657" i="1"/>
  <c r="S656" i="1"/>
  <c r="R656" i="1"/>
  <c r="S655" i="1"/>
  <c r="R655" i="1"/>
  <c r="S654" i="1"/>
  <c r="R654" i="1"/>
  <c r="S653" i="1"/>
  <c r="R653" i="1"/>
  <c r="S652" i="1"/>
  <c r="R652" i="1"/>
  <c r="S651" i="1"/>
  <c r="R651" i="1"/>
  <c r="S650" i="1"/>
  <c r="R650" i="1"/>
  <c r="S649" i="1"/>
  <c r="R649" i="1"/>
  <c r="S648" i="1"/>
  <c r="R648" i="1"/>
  <c r="S647" i="1"/>
  <c r="R647" i="1"/>
  <c r="S646" i="1"/>
  <c r="R646" i="1"/>
  <c r="S645" i="1"/>
  <c r="R645" i="1"/>
  <c r="S644" i="1"/>
  <c r="R644" i="1"/>
  <c r="S643" i="1"/>
  <c r="R643" i="1"/>
  <c r="S642" i="1"/>
  <c r="R642" i="1"/>
  <c r="S641" i="1"/>
  <c r="R641" i="1"/>
  <c r="S640" i="1"/>
  <c r="R640" i="1"/>
  <c r="S639" i="1"/>
  <c r="R639" i="1"/>
  <c r="S638" i="1"/>
  <c r="R638" i="1"/>
  <c r="S637" i="1"/>
  <c r="R637" i="1"/>
  <c r="S636" i="1"/>
  <c r="R636" i="1"/>
  <c r="S635" i="1"/>
  <c r="R635" i="1"/>
  <c r="S634" i="1"/>
  <c r="R634" i="1"/>
  <c r="S633" i="1"/>
  <c r="R633" i="1"/>
  <c r="S632" i="1"/>
  <c r="R632" i="1"/>
  <c r="S631" i="1"/>
  <c r="R631" i="1"/>
  <c r="S630" i="1"/>
  <c r="R630" i="1"/>
  <c r="S629" i="1"/>
  <c r="R629" i="1"/>
  <c r="S628" i="1"/>
  <c r="R628" i="1"/>
  <c r="S627" i="1"/>
  <c r="R627" i="1"/>
  <c r="S626" i="1"/>
  <c r="R626" i="1"/>
  <c r="S625" i="1"/>
  <c r="R625" i="1"/>
  <c r="S624" i="1"/>
  <c r="R624" i="1"/>
  <c r="S623" i="1"/>
  <c r="R623" i="1"/>
  <c r="S622" i="1"/>
  <c r="R622" i="1"/>
  <c r="S621" i="1"/>
  <c r="R621" i="1"/>
  <c r="S620" i="1"/>
  <c r="R620" i="1"/>
  <c r="S619" i="1"/>
  <c r="R619" i="1"/>
  <c r="S618" i="1"/>
  <c r="R618" i="1"/>
  <c r="S617" i="1"/>
  <c r="R617" i="1"/>
  <c r="S616" i="1"/>
  <c r="R616" i="1"/>
  <c r="S615" i="1"/>
  <c r="R615" i="1"/>
  <c r="S614" i="1"/>
  <c r="R614" i="1"/>
  <c r="S613" i="1"/>
  <c r="R613" i="1"/>
  <c r="S612" i="1"/>
  <c r="R612" i="1"/>
  <c r="S611" i="1"/>
  <c r="R611" i="1"/>
  <c r="S610" i="1"/>
  <c r="R610" i="1"/>
  <c r="S609" i="1"/>
  <c r="R609" i="1"/>
  <c r="S608" i="1"/>
  <c r="R608" i="1"/>
  <c r="S607" i="1"/>
  <c r="R607" i="1"/>
  <c r="S606" i="1"/>
  <c r="R606" i="1"/>
  <c r="S605" i="1"/>
  <c r="R605" i="1"/>
  <c r="S604" i="1"/>
  <c r="R604" i="1"/>
  <c r="S603" i="1"/>
  <c r="R603" i="1"/>
  <c r="S602" i="1"/>
  <c r="R602" i="1"/>
  <c r="S601" i="1"/>
  <c r="R601" i="1"/>
  <c r="S600" i="1"/>
  <c r="R600" i="1"/>
  <c r="S599" i="1"/>
  <c r="R599" i="1"/>
  <c r="S598" i="1"/>
  <c r="R598" i="1"/>
  <c r="S597" i="1"/>
  <c r="R597" i="1"/>
  <c r="S596" i="1"/>
  <c r="R596" i="1"/>
  <c r="S595" i="1"/>
  <c r="R595" i="1"/>
  <c r="S594" i="1"/>
  <c r="R594" i="1"/>
  <c r="S593" i="1"/>
  <c r="R593" i="1"/>
  <c r="S592" i="1"/>
  <c r="R592" i="1"/>
  <c r="S591" i="1"/>
  <c r="R591" i="1"/>
  <c r="S590" i="1"/>
  <c r="R590" i="1"/>
  <c r="S589" i="1"/>
  <c r="R589" i="1"/>
  <c r="S588" i="1"/>
  <c r="R588" i="1"/>
  <c r="S587" i="1"/>
  <c r="R587" i="1"/>
  <c r="S586" i="1"/>
  <c r="R586" i="1"/>
  <c r="S585" i="1"/>
  <c r="R585" i="1"/>
  <c r="S584" i="1"/>
  <c r="R584" i="1"/>
  <c r="S583" i="1"/>
  <c r="R583" i="1"/>
  <c r="S582" i="1"/>
  <c r="R582" i="1"/>
  <c r="S581" i="1"/>
  <c r="R581" i="1"/>
  <c r="S580" i="1"/>
  <c r="R580" i="1"/>
  <c r="S579" i="1"/>
  <c r="R579" i="1"/>
  <c r="S578" i="1"/>
  <c r="R578" i="1"/>
  <c r="S577" i="1"/>
  <c r="R577" i="1"/>
  <c r="S576" i="1"/>
  <c r="R576" i="1"/>
  <c r="S575" i="1"/>
  <c r="R575" i="1"/>
  <c r="S574" i="1"/>
  <c r="R574" i="1"/>
  <c r="S573" i="1"/>
  <c r="R573" i="1"/>
  <c r="S572" i="1"/>
  <c r="R572" i="1"/>
  <c r="S571" i="1"/>
  <c r="R571" i="1"/>
  <c r="S570" i="1"/>
  <c r="R570" i="1"/>
  <c r="S569" i="1"/>
  <c r="R569" i="1"/>
  <c r="S568" i="1"/>
  <c r="R568" i="1"/>
  <c r="S567" i="1"/>
  <c r="R567" i="1"/>
  <c r="S566" i="1"/>
  <c r="R566" i="1"/>
  <c r="S565" i="1"/>
  <c r="R565" i="1"/>
  <c r="S564" i="1"/>
  <c r="R564" i="1"/>
  <c r="S563" i="1"/>
  <c r="R563" i="1"/>
  <c r="S562" i="1"/>
  <c r="R562" i="1"/>
  <c r="S561" i="1"/>
  <c r="R561" i="1"/>
  <c r="S560" i="1"/>
  <c r="R560" i="1"/>
  <c r="S559" i="1"/>
  <c r="R559" i="1"/>
  <c r="S558" i="1"/>
  <c r="R558" i="1"/>
  <c r="S557" i="1"/>
  <c r="R557" i="1"/>
  <c r="S556" i="1"/>
  <c r="R556" i="1"/>
  <c r="S555" i="1"/>
  <c r="R555" i="1"/>
  <c r="S554" i="1"/>
  <c r="R554" i="1"/>
  <c r="S553" i="1"/>
  <c r="R553" i="1"/>
  <c r="S552" i="1"/>
  <c r="R552" i="1"/>
  <c r="S551" i="1"/>
  <c r="R551" i="1"/>
  <c r="S550" i="1"/>
  <c r="R550" i="1"/>
  <c r="S549" i="1"/>
  <c r="R549" i="1"/>
  <c r="S548" i="1"/>
  <c r="R548" i="1"/>
  <c r="S547" i="1"/>
  <c r="R547" i="1"/>
  <c r="S546" i="1"/>
  <c r="R546" i="1"/>
  <c r="S545" i="1"/>
  <c r="R545" i="1"/>
  <c r="S544" i="1"/>
  <c r="R544" i="1"/>
  <c r="S543" i="1"/>
  <c r="R543" i="1"/>
  <c r="S542" i="1"/>
  <c r="R542" i="1"/>
  <c r="S541" i="1"/>
  <c r="R541" i="1"/>
  <c r="S540" i="1"/>
  <c r="R540" i="1"/>
  <c r="S539" i="1"/>
  <c r="R539" i="1"/>
  <c r="S538" i="1"/>
  <c r="R538" i="1"/>
  <c r="S537" i="1"/>
  <c r="R537" i="1"/>
  <c r="S536" i="1"/>
  <c r="R536" i="1"/>
  <c r="S535" i="1"/>
  <c r="R535" i="1"/>
  <c r="S534" i="1"/>
  <c r="R534" i="1"/>
  <c r="S533" i="1"/>
  <c r="R533" i="1"/>
  <c r="S532" i="1"/>
  <c r="R532" i="1"/>
  <c r="S531" i="1"/>
  <c r="R531" i="1"/>
  <c r="S530" i="1"/>
  <c r="R530" i="1"/>
  <c r="S529" i="1"/>
  <c r="R529" i="1"/>
  <c r="S528" i="1"/>
  <c r="R528" i="1"/>
  <c r="S527" i="1"/>
  <c r="R527" i="1"/>
  <c r="S526" i="1"/>
  <c r="R526" i="1"/>
  <c r="S525" i="1"/>
  <c r="R525" i="1"/>
  <c r="S524" i="1"/>
  <c r="R524" i="1"/>
  <c r="S523" i="1"/>
  <c r="R523" i="1"/>
  <c r="S522" i="1"/>
  <c r="R522" i="1"/>
  <c r="S521" i="1"/>
  <c r="R521" i="1"/>
  <c r="S520" i="1"/>
  <c r="R520" i="1"/>
  <c r="S519" i="1"/>
  <c r="R519" i="1"/>
  <c r="S518" i="1"/>
  <c r="R518" i="1"/>
  <c r="S517" i="1"/>
  <c r="R517" i="1"/>
  <c r="S516" i="1"/>
  <c r="R516" i="1"/>
  <c r="S515" i="1"/>
  <c r="R515" i="1"/>
  <c r="S514" i="1"/>
  <c r="R514" i="1"/>
  <c r="S513" i="1"/>
  <c r="R513" i="1"/>
  <c r="S512" i="1"/>
  <c r="R512" i="1"/>
  <c r="S511" i="1"/>
  <c r="R511" i="1"/>
  <c r="S510" i="1"/>
  <c r="R510" i="1"/>
  <c r="S509" i="1"/>
  <c r="R509" i="1"/>
  <c r="S508" i="1"/>
  <c r="R508" i="1"/>
  <c r="S507" i="1"/>
  <c r="R507" i="1"/>
  <c r="S506" i="1"/>
  <c r="R506" i="1"/>
  <c r="S505" i="1"/>
  <c r="R505" i="1"/>
  <c r="S504" i="1"/>
  <c r="R504" i="1"/>
  <c r="S503" i="1"/>
  <c r="R503" i="1"/>
  <c r="S502" i="1"/>
  <c r="R502" i="1"/>
  <c r="S501" i="1"/>
  <c r="R501" i="1"/>
  <c r="S500" i="1"/>
  <c r="R500" i="1"/>
  <c r="S499" i="1"/>
  <c r="R499" i="1"/>
  <c r="S498" i="1"/>
  <c r="R498" i="1"/>
  <c r="S497" i="1"/>
  <c r="R497" i="1"/>
  <c r="S496" i="1"/>
  <c r="R496" i="1"/>
  <c r="S495" i="1"/>
  <c r="R495" i="1"/>
  <c r="S494" i="1"/>
  <c r="R494" i="1"/>
  <c r="S493" i="1"/>
  <c r="R493" i="1"/>
  <c r="S492" i="1"/>
  <c r="R492" i="1"/>
  <c r="S491" i="1"/>
  <c r="R491" i="1"/>
  <c r="S490" i="1"/>
  <c r="R490" i="1"/>
  <c r="S489" i="1"/>
  <c r="R489" i="1"/>
  <c r="S488" i="1"/>
  <c r="R488" i="1"/>
  <c r="S487" i="1"/>
  <c r="R487" i="1"/>
  <c r="S486" i="1"/>
  <c r="R486" i="1"/>
  <c r="S485" i="1"/>
  <c r="R485" i="1"/>
  <c r="S484" i="1"/>
  <c r="R484" i="1"/>
  <c r="S483" i="1"/>
  <c r="R483" i="1"/>
  <c r="S482" i="1"/>
  <c r="R482" i="1"/>
  <c r="S481" i="1"/>
  <c r="R481" i="1"/>
  <c r="S480" i="1"/>
  <c r="R480" i="1"/>
  <c r="S479" i="1"/>
  <c r="R479" i="1"/>
  <c r="S478" i="1"/>
  <c r="R478" i="1"/>
  <c r="S477" i="1"/>
  <c r="R477" i="1"/>
  <c r="S476" i="1"/>
  <c r="R476" i="1"/>
  <c r="S475" i="1"/>
  <c r="R475" i="1"/>
  <c r="S474" i="1"/>
  <c r="R474" i="1"/>
  <c r="S473" i="1"/>
  <c r="R473" i="1"/>
  <c r="S472" i="1"/>
  <c r="R472" i="1"/>
  <c r="S471" i="1"/>
  <c r="R471" i="1"/>
  <c r="S470" i="1"/>
  <c r="R470" i="1"/>
  <c r="S469" i="1"/>
  <c r="R469" i="1"/>
  <c r="S468" i="1"/>
  <c r="R468" i="1"/>
  <c r="S467" i="1"/>
  <c r="R467" i="1"/>
  <c r="S466" i="1"/>
  <c r="R466" i="1"/>
  <c r="S465" i="1"/>
  <c r="R465" i="1"/>
  <c r="S464" i="1"/>
  <c r="R464" i="1"/>
  <c r="S463" i="1"/>
  <c r="R463" i="1"/>
  <c r="S462" i="1"/>
  <c r="R462" i="1"/>
  <c r="S461" i="1"/>
  <c r="R461" i="1"/>
  <c r="S460" i="1"/>
  <c r="R460" i="1"/>
  <c r="S459" i="1"/>
  <c r="R459" i="1"/>
  <c r="S458" i="1"/>
  <c r="R458" i="1"/>
  <c r="S457" i="1"/>
  <c r="R457" i="1"/>
  <c r="S456" i="1"/>
  <c r="R456" i="1"/>
  <c r="S455" i="1"/>
  <c r="R455" i="1"/>
  <c r="S454" i="1"/>
  <c r="R454" i="1"/>
  <c r="S453" i="1"/>
  <c r="R453" i="1"/>
  <c r="S452" i="1"/>
  <c r="R452" i="1"/>
  <c r="S451" i="1"/>
  <c r="R451" i="1"/>
  <c r="S450" i="1"/>
  <c r="R450" i="1"/>
  <c r="S449" i="1"/>
  <c r="R449" i="1"/>
  <c r="S448" i="1"/>
  <c r="R448" i="1"/>
  <c r="S447" i="1"/>
  <c r="R447" i="1"/>
  <c r="S446" i="1"/>
  <c r="R446" i="1"/>
  <c r="S445" i="1"/>
  <c r="R445" i="1"/>
  <c r="S444" i="1"/>
  <c r="R444" i="1"/>
  <c r="S443" i="1"/>
  <c r="R443" i="1"/>
  <c r="S442" i="1"/>
  <c r="R442" i="1"/>
  <c r="S441" i="1"/>
  <c r="R441" i="1"/>
  <c r="S440" i="1"/>
  <c r="R440" i="1"/>
  <c r="S439" i="1"/>
  <c r="R439" i="1"/>
  <c r="S438" i="1"/>
  <c r="R438" i="1"/>
  <c r="S437" i="1"/>
  <c r="R437" i="1"/>
  <c r="S436" i="1"/>
  <c r="R436" i="1"/>
  <c r="S435" i="1"/>
  <c r="R435" i="1"/>
  <c r="S434" i="1"/>
  <c r="R434" i="1"/>
  <c r="S433" i="1"/>
  <c r="R433" i="1"/>
  <c r="S432" i="1"/>
  <c r="R432" i="1"/>
  <c r="S431" i="1"/>
  <c r="R431" i="1"/>
  <c r="S430" i="1"/>
  <c r="R430" i="1"/>
  <c r="S429" i="1"/>
  <c r="R429" i="1"/>
  <c r="S428" i="1"/>
  <c r="R428" i="1"/>
  <c r="S427" i="1"/>
  <c r="R427" i="1"/>
  <c r="S426" i="1"/>
  <c r="R426" i="1"/>
  <c r="S425" i="1"/>
  <c r="R425" i="1"/>
  <c r="S424" i="1"/>
  <c r="R424" i="1"/>
  <c r="S423" i="1"/>
  <c r="R423" i="1"/>
  <c r="S422" i="1"/>
  <c r="R422" i="1"/>
  <c r="S421" i="1"/>
  <c r="R421" i="1"/>
  <c r="S420" i="1"/>
  <c r="R420" i="1"/>
  <c r="S419" i="1"/>
  <c r="R419" i="1"/>
  <c r="S418" i="1"/>
  <c r="R418" i="1"/>
  <c r="S417" i="1"/>
  <c r="R417" i="1"/>
  <c r="S416" i="1"/>
  <c r="R416" i="1"/>
  <c r="S415" i="1"/>
  <c r="R415" i="1"/>
  <c r="S414" i="1"/>
  <c r="R414" i="1"/>
  <c r="S413" i="1"/>
  <c r="R413" i="1"/>
  <c r="S412" i="1"/>
  <c r="R412" i="1"/>
  <c r="S411" i="1"/>
  <c r="R411" i="1"/>
  <c r="S410" i="1"/>
  <c r="R410" i="1"/>
  <c r="S409" i="1"/>
  <c r="R409" i="1"/>
  <c r="S408" i="1"/>
  <c r="R408" i="1"/>
  <c r="S407" i="1"/>
  <c r="R407" i="1"/>
  <c r="S406" i="1"/>
  <c r="R406" i="1"/>
  <c r="S405" i="1"/>
  <c r="R405" i="1"/>
  <c r="S404" i="1"/>
  <c r="R404" i="1"/>
  <c r="S403" i="1"/>
  <c r="R403" i="1"/>
  <c r="S402" i="1"/>
  <c r="R402" i="1"/>
  <c r="S401" i="1"/>
  <c r="R401" i="1"/>
  <c r="S400" i="1"/>
  <c r="R400" i="1"/>
  <c r="S399" i="1"/>
  <c r="R399" i="1"/>
  <c r="S398" i="1"/>
  <c r="R398" i="1"/>
  <c r="S397" i="1"/>
  <c r="R397" i="1"/>
  <c r="S396" i="1"/>
  <c r="R396" i="1"/>
  <c r="S395" i="1"/>
  <c r="R395" i="1"/>
  <c r="S394" i="1"/>
  <c r="R394" i="1"/>
  <c r="S393" i="1"/>
  <c r="R393" i="1"/>
  <c r="S392" i="1"/>
  <c r="R392" i="1"/>
  <c r="S391" i="1"/>
  <c r="R391" i="1"/>
  <c r="S390" i="1"/>
  <c r="R390" i="1"/>
  <c r="S389" i="1"/>
  <c r="R389" i="1"/>
  <c r="S388" i="1"/>
  <c r="R388" i="1"/>
  <c r="S387" i="1"/>
  <c r="R387" i="1"/>
  <c r="S386" i="1"/>
  <c r="R386" i="1"/>
  <c r="S385" i="1"/>
  <c r="R385" i="1"/>
  <c r="S384" i="1"/>
  <c r="R384" i="1"/>
  <c r="S383" i="1"/>
  <c r="R383" i="1"/>
  <c r="S382" i="1"/>
  <c r="R382" i="1"/>
  <c r="S381" i="1"/>
  <c r="R381" i="1"/>
  <c r="S380" i="1"/>
  <c r="R380" i="1"/>
  <c r="S379" i="1"/>
  <c r="R379" i="1"/>
  <c r="S378" i="1"/>
  <c r="R378" i="1"/>
  <c r="S377" i="1"/>
  <c r="R377" i="1"/>
  <c r="S376" i="1"/>
  <c r="R376" i="1"/>
  <c r="S375" i="1"/>
  <c r="R375" i="1"/>
  <c r="S374" i="1"/>
  <c r="R374" i="1"/>
  <c r="S373" i="1"/>
  <c r="R373" i="1"/>
  <c r="S372" i="1"/>
  <c r="R372" i="1"/>
  <c r="S371" i="1"/>
  <c r="R371" i="1"/>
  <c r="S370" i="1"/>
  <c r="R370" i="1"/>
  <c r="S369" i="1"/>
  <c r="R369" i="1"/>
  <c r="S368" i="1"/>
  <c r="R368" i="1"/>
  <c r="S367" i="1"/>
  <c r="R367" i="1"/>
  <c r="S366" i="1"/>
  <c r="R366" i="1"/>
  <c r="S365" i="1"/>
  <c r="R365" i="1"/>
  <c r="S364" i="1"/>
  <c r="R364" i="1"/>
  <c r="S363" i="1"/>
  <c r="R363" i="1"/>
  <c r="S362" i="1"/>
  <c r="R362" i="1"/>
  <c r="S361" i="1"/>
  <c r="R361" i="1"/>
  <c r="S360" i="1"/>
  <c r="R360" i="1"/>
  <c r="S359" i="1"/>
  <c r="R359" i="1"/>
  <c r="S358" i="1"/>
  <c r="R358" i="1"/>
  <c r="S357" i="1"/>
  <c r="R357" i="1"/>
  <c r="S356" i="1"/>
  <c r="R356" i="1"/>
  <c r="S355" i="1"/>
  <c r="R355" i="1"/>
  <c r="S354" i="1"/>
  <c r="R354" i="1"/>
  <c r="S353" i="1"/>
  <c r="R353" i="1"/>
  <c r="S352" i="1"/>
  <c r="R352" i="1"/>
  <c r="S351" i="1"/>
  <c r="R351" i="1"/>
  <c r="S350" i="1"/>
  <c r="R350" i="1"/>
  <c r="S349" i="1"/>
  <c r="R349" i="1"/>
  <c r="S348" i="1"/>
  <c r="R348" i="1"/>
  <c r="S347" i="1"/>
  <c r="R347" i="1"/>
  <c r="S346" i="1"/>
  <c r="R346" i="1"/>
  <c r="S345" i="1"/>
  <c r="R345" i="1"/>
  <c r="S344" i="1"/>
  <c r="R344" i="1"/>
  <c r="S343" i="1"/>
  <c r="R343" i="1"/>
  <c r="S342" i="1"/>
  <c r="R342" i="1"/>
  <c r="S341" i="1"/>
  <c r="R341" i="1"/>
  <c r="S340" i="1"/>
  <c r="R340" i="1"/>
  <c r="S339" i="1"/>
  <c r="R339" i="1"/>
  <c r="S338" i="1"/>
  <c r="R338" i="1"/>
  <c r="S337" i="1"/>
  <c r="R337" i="1"/>
  <c r="S336" i="1"/>
  <c r="R336" i="1"/>
  <c r="S335" i="1"/>
  <c r="R335" i="1"/>
  <c r="S334" i="1"/>
  <c r="R334" i="1"/>
  <c r="S333" i="1"/>
  <c r="R333" i="1"/>
  <c r="S332" i="1"/>
  <c r="R332" i="1"/>
  <c r="S331" i="1"/>
  <c r="R331" i="1"/>
  <c r="S330" i="1"/>
  <c r="R330" i="1"/>
  <c r="S329" i="1"/>
  <c r="R329" i="1"/>
  <c r="S328" i="1"/>
  <c r="R328" i="1"/>
  <c r="S327" i="1"/>
  <c r="R327" i="1"/>
  <c r="S326" i="1"/>
  <c r="R326" i="1"/>
  <c r="S325" i="1"/>
  <c r="R325" i="1"/>
  <c r="S324" i="1"/>
  <c r="R324" i="1"/>
  <c r="S323" i="1"/>
  <c r="R323" i="1"/>
  <c r="S322" i="1"/>
  <c r="R322" i="1"/>
  <c r="S321" i="1"/>
  <c r="R321" i="1"/>
  <c r="S320" i="1"/>
  <c r="R320" i="1"/>
  <c r="S319" i="1"/>
  <c r="R319" i="1"/>
  <c r="S318" i="1"/>
  <c r="R318" i="1"/>
  <c r="S317" i="1"/>
  <c r="R317" i="1"/>
  <c r="S316" i="1"/>
  <c r="R316" i="1"/>
  <c r="S315" i="1"/>
  <c r="R315" i="1"/>
  <c r="S314" i="1"/>
  <c r="R314" i="1"/>
  <c r="S313" i="1"/>
  <c r="R313" i="1"/>
  <c r="S312" i="1"/>
  <c r="R312" i="1"/>
  <c r="S311" i="1"/>
  <c r="R311" i="1"/>
  <c r="R310" i="1"/>
  <c r="S310" i="1"/>
  <c r="S309" i="1"/>
  <c r="R309" i="1"/>
  <c r="S308" i="1"/>
  <c r="R308" i="1"/>
  <c r="S307" i="1"/>
  <c r="R307" i="1"/>
  <c r="S306" i="1"/>
  <c r="R306" i="1"/>
  <c r="S305" i="1"/>
  <c r="R305" i="1"/>
  <c r="S304" i="1"/>
  <c r="R304" i="1"/>
  <c r="S303" i="1"/>
  <c r="R303" i="1"/>
  <c r="S302" i="1"/>
  <c r="R302" i="1"/>
  <c r="S301" i="1"/>
  <c r="R301" i="1"/>
  <c r="S300" i="1"/>
  <c r="R300" i="1"/>
  <c r="S299" i="1"/>
  <c r="R299" i="1"/>
  <c r="S298" i="1"/>
  <c r="R298" i="1"/>
  <c r="S297" i="1"/>
  <c r="R297" i="1"/>
  <c r="S296" i="1"/>
  <c r="R296" i="1"/>
  <c r="S295" i="1"/>
  <c r="R295" i="1"/>
  <c r="S294" i="1"/>
  <c r="R294" i="1"/>
  <c r="S293" i="1"/>
  <c r="R293" i="1"/>
  <c r="S292" i="1"/>
  <c r="R292" i="1"/>
  <c r="S291" i="1"/>
  <c r="R291" i="1"/>
  <c r="S290" i="1"/>
  <c r="R290" i="1"/>
  <c r="S289" i="1"/>
  <c r="R289" i="1"/>
  <c r="S288" i="1"/>
  <c r="R288" i="1"/>
  <c r="S287" i="1"/>
  <c r="R287" i="1"/>
  <c r="S286" i="1"/>
  <c r="R286" i="1"/>
  <c r="S285" i="1"/>
  <c r="R285" i="1"/>
  <c r="S284" i="1"/>
  <c r="R284" i="1"/>
  <c r="S283" i="1"/>
  <c r="R283" i="1"/>
  <c r="S282" i="1"/>
  <c r="R282" i="1"/>
  <c r="S281" i="1"/>
  <c r="R281" i="1"/>
  <c r="S280" i="1"/>
  <c r="R280" i="1"/>
  <c r="S279" i="1"/>
  <c r="R279" i="1"/>
  <c r="S278" i="1"/>
  <c r="R278" i="1"/>
  <c r="S277" i="1"/>
  <c r="R277" i="1"/>
  <c r="S276" i="1"/>
  <c r="R276" i="1"/>
  <c r="S275" i="1"/>
  <c r="R275" i="1"/>
  <c r="S274" i="1"/>
  <c r="R274" i="1"/>
  <c r="S273" i="1"/>
  <c r="R273" i="1"/>
  <c r="S272" i="1"/>
  <c r="R272" i="1"/>
  <c r="S271" i="1"/>
  <c r="R271" i="1"/>
  <c r="S270" i="1"/>
  <c r="R270" i="1"/>
  <c r="S269" i="1"/>
  <c r="R269" i="1"/>
  <c r="S268" i="1"/>
  <c r="R268" i="1"/>
  <c r="S267" i="1"/>
  <c r="R267" i="1"/>
  <c r="S266" i="1"/>
  <c r="R266" i="1"/>
  <c r="S265" i="1"/>
  <c r="R265" i="1"/>
  <c r="S264" i="1"/>
  <c r="R264" i="1"/>
  <c r="S263" i="1"/>
  <c r="R263" i="1"/>
  <c r="R262" i="1"/>
  <c r="S262" i="1"/>
  <c r="R261" i="1"/>
  <c r="S261" i="1"/>
  <c r="R260" i="1"/>
  <c r="S260" i="1"/>
  <c r="R259" i="1"/>
  <c r="S259" i="1"/>
  <c r="R258" i="1"/>
  <c r="S258" i="1"/>
  <c r="R257" i="1"/>
  <c r="S257" i="1"/>
  <c r="R256" i="1"/>
  <c r="S256" i="1"/>
  <c r="R255" i="1"/>
  <c r="S255" i="1"/>
  <c r="R254" i="1"/>
  <c r="S254" i="1"/>
  <c r="R253" i="1"/>
  <c r="S253" i="1"/>
  <c r="R252" i="1"/>
  <c r="S252" i="1"/>
  <c r="R251" i="1"/>
  <c r="S251" i="1"/>
  <c r="R250" i="1"/>
  <c r="S250" i="1"/>
  <c r="R249" i="1"/>
  <c r="S249" i="1"/>
  <c r="R248" i="1"/>
  <c r="S248" i="1"/>
  <c r="R247" i="1"/>
  <c r="S247" i="1"/>
  <c r="R246" i="1"/>
  <c r="S246" i="1"/>
  <c r="R245" i="1"/>
  <c r="S245" i="1"/>
  <c r="R244" i="1"/>
  <c r="S244" i="1"/>
  <c r="R243" i="1"/>
  <c r="S243" i="1"/>
  <c r="R242" i="1"/>
  <c r="S242" i="1"/>
  <c r="R241" i="1"/>
  <c r="S241" i="1"/>
  <c r="R240" i="1"/>
  <c r="S240" i="1"/>
  <c r="R239" i="1"/>
  <c r="S239" i="1"/>
  <c r="R238" i="1"/>
  <c r="S238" i="1"/>
  <c r="R237" i="1"/>
  <c r="S237" i="1"/>
  <c r="R236" i="1"/>
  <c r="S236" i="1"/>
  <c r="R235" i="1"/>
  <c r="S235" i="1"/>
  <c r="R234" i="1"/>
  <c r="S234" i="1"/>
  <c r="R233" i="1"/>
  <c r="S233" i="1"/>
  <c r="R232" i="1"/>
  <c r="S232" i="1"/>
  <c r="R231" i="1"/>
  <c r="S231" i="1"/>
  <c r="R230" i="1"/>
  <c r="S230" i="1"/>
  <c r="R229" i="1"/>
  <c r="S229" i="1"/>
  <c r="R228" i="1"/>
  <c r="S228" i="1"/>
  <c r="R227" i="1"/>
  <c r="S227" i="1"/>
  <c r="R226" i="1"/>
  <c r="S226" i="1"/>
  <c r="R225" i="1"/>
  <c r="S225" i="1"/>
  <c r="R224" i="1"/>
  <c r="S224" i="1"/>
  <c r="R223" i="1"/>
  <c r="S223" i="1"/>
  <c r="R222" i="1"/>
  <c r="S222" i="1"/>
  <c r="R221" i="1"/>
  <c r="S221" i="1"/>
  <c r="R220" i="1"/>
  <c r="S220" i="1"/>
  <c r="R219" i="1"/>
  <c r="S219" i="1"/>
  <c r="R218" i="1"/>
  <c r="S218" i="1"/>
  <c r="R217" i="1"/>
  <c r="S217" i="1"/>
  <c r="R216" i="1"/>
  <c r="S216" i="1"/>
  <c r="R215" i="1"/>
  <c r="S215" i="1"/>
  <c r="R214" i="1"/>
  <c r="S214" i="1"/>
  <c r="R213" i="1"/>
  <c r="S213" i="1"/>
  <c r="R212" i="1"/>
  <c r="S212" i="1"/>
  <c r="R211" i="1"/>
  <c r="S211" i="1"/>
  <c r="R210" i="1"/>
  <c r="S210" i="1"/>
  <c r="R209" i="1"/>
  <c r="S209" i="1"/>
  <c r="R208" i="1"/>
  <c r="S208" i="1"/>
  <c r="R207" i="1"/>
  <c r="S207" i="1"/>
  <c r="R206" i="1"/>
  <c r="S206" i="1"/>
  <c r="R205" i="1"/>
  <c r="S205" i="1"/>
  <c r="R204" i="1"/>
  <c r="S204" i="1"/>
  <c r="R203" i="1"/>
  <c r="S203" i="1"/>
  <c r="R202" i="1"/>
  <c r="S202" i="1"/>
  <c r="R201" i="1"/>
  <c r="S201" i="1"/>
  <c r="R200" i="1"/>
  <c r="S200" i="1"/>
  <c r="R199" i="1"/>
  <c r="S199" i="1"/>
  <c r="R198" i="1"/>
  <c r="S198" i="1"/>
  <c r="R197" i="1"/>
  <c r="S197" i="1"/>
  <c r="R196" i="1"/>
  <c r="S196" i="1"/>
  <c r="R195" i="1"/>
  <c r="S195" i="1"/>
  <c r="R194" i="1"/>
  <c r="S194" i="1"/>
  <c r="R193" i="1"/>
  <c r="S193" i="1"/>
  <c r="R192" i="1"/>
  <c r="S192" i="1"/>
  <c r="R191" i="1"/>
  <c r="S191" i="1"/>
  <c r="R190" i="1"/>
  <c r="S190" i="1"/>
  <c r="R189" i="1"/>
  <c r="S189" i="1"/>
  <c r="R188" i="1"/>
  <c r="S188" i="1"/>
  <c r="R187" i="1"/>
  <c r="S187" i="1"/>
  <c r="R186" i="1"/>
  <c r="S186" i="1"/>
  <c r="R185" i="1"/>
  <c r="S185" i="1"/>
  <c r="R184" i="1"/>
  <c r="S184" i="1"/>
  <c r="R183" i="1"/>
  <c r="S183" i="1"/>
  <c r="R182" i="1"/>
  <c r="S182" i="1"/>
  <c r="R181" i="1"/>
  <c r="S181" i="1"/>
  <c r="R180" i="1"/>
  <c r="S180" i="1"/>
  <c r="R179" i="1"/>
  <c r="S179" i="1"/>
  <c r="R178" i="1"/>
  <c r="S178" i="1"/>
  <c r="R177" i="1"/>
  <c r="S177" i="1"/>
  <c r="R176" i="1"/>
  <c r="S176" i="1"/>
  <c r="R175" i="1"/>
  <c r="S175" i="1"/>
  <c r="R174" i="1"/>
  <c r="S174" i="1"/>
  <c r="R173" i="1"/>
  <c r="S173" i="1"/>
  <c r="R172" i="1"/>
  <c r="S172" i="1"/>
  <c r="R171" i="1"/>
  <c r="S171" i="1"/>
  <c r="R170" i="1"/>
  <c r="S170" i="1"/>
  <c r="R169" i="1"/>
  <c r="S169" i="1"/>
  <c r="R168" i="1"/>
  <c r="S168" i="1"/>
  <c r="R167" i="1"/>
  <c r="S167" i="1"/>
  <c r="R166" i="1"/>
  <c r="S166" i="1"/>
  <c r="R165" i="1"/>
  <c r="S165" i="1"/>
  <c r="R164" i="1"/>
  <c r="S164" i="1"/>
  <c r="R163" i="1"/>
  <c r="S163" i="1"/>
  <c r="R162" i="1"/>
  <c r="S162" i="1"/>
  <c r="R161" i="1"/>
  <c r="S161" i="1"/>
  <c r="R160" i="1"/>
  <c r="S160" i="1"/>
  <c r="R159" i="1"/>
  <c r="S159" i="1"/>
  <c r="R158" i="1"/>
  <c r="S158" i="1"/>
  <c r="R157" i="1"/>
  <c r="S157" i="1"/>
  <c r="R156" i="1"/>
  <c r="S156" i="1"/>
  <c r="R155" i="1"/>
  <c r="S155" i="1"/>
  <c r="R154" i="1"/>
  <c r="S154" i="1"/>
  <c r="R153" i="1"/>
  <c r="S153" i="1"/>
  <c r="R152" i="1"/>
  <c r="S152" i="1"/>
  <c r="R151" i="1"/>
  <c r="S151" i="1"/>
  <c r="R150" i="1"/>
  <c r="S150" i="1"/>
  <c r="R149" i="1"/>
  <c r="S149" i="1"/>
  <c r="R148" i="1"/>
  <c r="S148" i="1"/>
  <c r="R147" i="1"/>
  <c r="S147" i="1"/>
  <c r="R146" i="1"/>
  <c r="S146" i="1"/>
  <c r="R145" i="1"/>
  <c r="S145" i="1"/>
  <c r="R144" i="1"/>
  <c r="S144" i="1"/>
  <c r="R143" i="1"/>
  <c r="S143" i="1"/>
  <c r="R142" i="1"/>
  <c r="S142" i="1"/>
  <c r="R141" i="1"/>
  <c r="S141" i="1"/>
  <c r="R140" i="1"/>
  <c r="S140" i="1"/>
  <c r="R139" i="1"/>
  <c r="S139" i="1"/>
  <c r="R138" i="1"/>
  <c r="S138" i="1"/>
  <c r="R137" i="1"/>
  <c r="S137" i="1"/>
  <c r="R136" i="1"/>
  <c r="S136" i="1"/>
  <c r="R135" i="1"/>
  <c r="S135" i="1"/>
  <c r="R134" i="1"/>
  <c r="S134" i="1"/>
  <c r="R133" i="1"/>
  <c r="S133" i="1"/>
  <c r="R132" i="1"/>
  <c r="S132" i="1"/>
  <c r="R131" i="1"/>
  <c r="S131" i="1"/>
  <c r="R130" i="1"/>
  <c r="S130" i="1"/>
  <c r="R129" i="1"/>
  <c r="S129" i="1"/>
  <c r="R128" i="1"/>
  <c r="S128" i="1"/>
  <c r="R127" i="1"/>
  <c r="S127" i="1"/>
  <c r="R126" i="1"/>
  <c r="S126" i="1"/>
  <c r="R125" i="1"/>
  <c r="S125" i="1"/>
  <c r="R124" i="1"/>
  <c r="S124" i="1"/>
  <c r="R123" i="1"/>
  <c r="S123" i="1"/>
  <c r="R122" i="1"/>
  <c r="S122" i="1"/>
  <c r="R121" i="1"/>
  <c r="S121" i="1"/>
  <c r="R120" i="1"/>
  <c r="S120" i="1"/>
  <c r="R119" i="1"/>
  <c r="S119" i="1"/>
  <c r="R118" i="1"/>
  <c r="S118" i="1"/>
  <c r="R117" i="1"/>
  <c r="S117" i="1"/>
  <c r="R116" i="1"/>
  <c r="S116" i="1"/>
  <c r="R115" i="1"/>
  <c r="S115" i="1"/>
  <c r="R114" i="1"/>
  <c r="S114" i="1"/>
  <c r="R113" i="1"/>
  <c r="S113" i="1"/>
  <c r="R112" i="1"/>
  <c r="S112" i="1"/>
  <c r="R111" i="1"/>
  <c r="S111" i="1"/>
  <c r="R110" i="1"/>
  <c r="S110" i="1"/>
  <c r="R109" i="1"/>
  <c r="S109" i="1"/>
  <c r="R108" i="1"/>
  <c r="S108" i="1"/>
  <c r="R107" i="1"/>
  <c r="S107" i="1"/>
  <c r="R106" i="1"/>
  <c r="S106" i="1"/>
  <c r="R105" i="1"/>
  <c r="S105" i="1"/>
  <c r="R104" i="1"/>
  <c r="S104" i="1"/>
  <c r="R103" i="1"/>
  <c r="S103" i="1"/>
  <c r="R102" i="1"/>
  <c r="S102" i="1"/>
  <c r="R101" i="1"/>
  <c r="S101" i="1"/>
  <c r="R100" i="1"/>
  <c r="S100" i="1"/>
  <c r="R99" i="1"/>
  <c r="S99" i="1"/>
  <c r="R98" i="1"/>
  <c r="S98" i="1"/>
  <c r="R97" i="1"/>
  <c r="S97" i="1"/>
  <c r="R96" i="1"/>
  <c r="S96" i="1"/>
  <c r="R95" i="1"/>
  <c r="S95" i="1"/>
  <c r="R94" i="1"/>
  <c r="S94" i="1"/>
  <c r="R93" i="1"/>
  <c r="S93" i="1"/>
  <c r="R92" i="1"/>
  <c r="S92" i="1"/>
  <c r="R91" i="1"/>
  <c r="S91" i="1"/>
  <c r="R90" i="1"/>
  <c r="S90" i="1"/>
  <c r="R89" i="1"/>
  <c r="S89" i="1"/>
  <c r="R88" i="1"/>
  <c r="S88" i="1"/>
  <c r="R87" i="1"/>
  <c r="S87" i="1"/>
  <c r="R86" i="1"/>
  <c r="S86" i="1"/>
  <c r="R85" i="1"/>
  <c r="S85" i="1"/>
  <c r="R84" i="1"/>
  <c r="S84" i="1"/>
  <c r="R83" i="1"/>
  <c r="S83" i="1"/>
  <c r="R82" i="1"/>
  <c r="S82" i="1"/>
  <c r="R81" i="1"/>
  <c r="S81" i="1"/>
  <c r="R80" i="1"/>
  <c r="S80" i="1"/>
  <c r="R79" i="1"/>
  <c r="S79" i="1"/>
  <c r="R78" i="1"/>
  <c r="S78" i="1"/>
  <c r="R77" i="1"/>
  <c r="S77" i="1"/>
  <c r="R76" i="1"/>
  <c r="S76" i="1"/>
  <c r="R75" i="1"/>
  <c r="S75" i="1"/>
  <c r="R74" i="1"/>
  <c r="S74" i="1"/>
  <c r="R73" i="1"/>
  <c r="S73" i="1"/>
  <c r="R72" i="1"/>
  <c r="S72" i="1"/>
  <c r="R71" i="1"/>
  <c r="S71" i="1"/>
  <c r="R70" i="1"/>
  <c r="S70" i="1"/>
  <c r="R69" i="1"/>
  <c r="S69" i="1"/>
  <c r="R68" i="1"/>
  <c r="S68" i="1"/>
  <c r="R67" i="1"/>
  <c r="S67" i="1"/>
  <c r="R66" i="1"/>
  <c r="S66" i="1"/>
  <c r="R65" i="1"/>
  <c r="S65" i="1"/>
  <c r="R64" i="1"/>
  <c r="S64" i="1"/>
  <c r="R63" i="1"/>
  <c r="S63" i="1"/>
  <c r="R62" i="1"/>
  <c r="S62" i="1"/>
  <c r="R61" i="1"/>
  <c r="S61" i="1"/>
  <c r="R60" i="1"/>
  <c r="S60" i="1"/>
  <c r="R59" i="1"/>
  <c r="S59" i="1"/>
  <c r="R58" i="1"/>
  <c r="S58" i="1"/>
  <c r="R57" i="1"/>
  <c r="S57" i="1"/>
  <c r="R56" i="1"/>
  <c r="S56" i="1"/>
  <c r="R55" i="1"/>
  <c r="S55" i="1"/>
  <c r="R54" i="1"/>
  <c r="S54" i="1"/>
  <c r="R53" i="1"/>
  <c r="S53" i="1"/>
  <c r="R52" i="1"/>
  <c r="S52" i="1"/>
  <c r="R51" i="1"/>
  <c r="S51" i="1"/>
  <c r="R50" i="1"/>
  <c r="S50" i="1"/>
  <c r="R49" i="1"/>
  <c r="S49" i="1"/>
  <c r="R48" i="1"/>
  <c r="S48" i="1"/>
  <c r="R47" i="1"/>
  <c r="S47" i="1"/>
  <c r="R46" i="1"/>
  <c r="S46" i="1"/>
  <c r="R45" i="1"/>
  <c r="S45" i="1"/>
  <c r="R44" i="1"/>
  <c r="S44" i="1"/>
  <c r="R43" i="1"/>
  <c r="S43" i="1"/>
  <c r="R42" i="1"/>
  <c r="S42" i="1"/>
  <c r="R41" i="1"/>
  <c r="S41" i="1"/>
  <c r="R40" i="1"/>
  <c r="S40" i="1"/>
  <c r="R39" i="1"/>
  <c r="S39" i="1"/>
  <c r="R38" i="1"/>
  <c r="S38" i="1"/>
  <c r="R37" i="1"/>
  <c r="S37" i="1"/>
  <c r="R36" i="1"/>
  <c r="S36" i="1"/>
  <c r="R35" i="1"/>
  <c r="S35" i="1"/>
  <c r="R34" i="1"/>
  <c r="S34" i="1"/>
  <c r="R33" i="1"/>
  <c r="S33" i="1"/>
  <c r="R32" i="1"/>
  <c r="S32" i="1"/>
  <c r="R31" i="1"/>
  <c r="S31" i="1"/>
  <c r="R30" i="1"/>
  <c r="S30" i="1"/>
  <c r="R29" i="1"/>
  <c r="S29" i="1"/>
  <c r="R28" i="1"/>
  <c r="S28" i="1"/>
  <c r="R27" i="1"/>
  <c r="S27" i="1"/>
  <c r="R26" i="1"/>
  <c r="S26" i="1"/>
  <c r="R25" i="1"/>
  <c r="S25" i="1"/>
  <c r="R24" i="1"/>
  <c r="S24" i="1"/>
  <c r="R23" i="1"/>
  <c r="S23" i="1"/>
  <c r="R22" i="1"/>
  <c r="S22" i="1"/>
  <c r="R21" i="1"/>
  <c r="S21" i="1"/>
  <c r="R20" i="1"/>
  <c r="S20" i="1"/>
  <c r="R19" i="1"/>
  <c r="S19" i="1"/>
  <c r="R18" i="1"/>
  <c r="S18" i="1"/>
  <c r="R17" i="1"/>
  <c r="S17" i="1"/>
  <c r="R16" i="1"/>
  <c r="S16" i="1"/>
  <c r="R15" i="1"/>
  <c r="S15" i="1"/>
  <c r="R14" i="1"/>
  <c r="S14" i="1"/>
  <c r="S13" i="1"/>
  <c r="R13" i="1"/>
  <c r="K28" i="1"/>
  <c r="A19" i="1"/>
  <c r="A22" i="1" s="1"/>
  <c r="A23" i="1" s="1"/>
  <c r="Q28" i="1"/>
  <c r="K29" i="1" l="1"/>
  <c r="Q29" i="1"/>
  <c r="K30" i="1" l="1"/>
  <c r="Q30" i="1"/>
  <c r="K31" i="1" l="1"/>
  <c r="Q31" i="1"/>
  <c r="K32" i="1" l="1"/>
  <c r="Q32" i="1"/>
  <c r="K33" i="1" l="1"/>
  <c r="Q33" i="1"/>
  <c r="K34" i="1" l="1"/>
  <c r="Q34" i="1"/>
  <c r="K35" i="1" l="1"/>
  <c r="Q35" i="1"/>
  <c r="K36" i="1" l="1"/>
  <c r="Q36" i="1"/>
  <c r="K37" i="1" l="1"/>
  <c r="Q37" i="1"/>
  <c r="K38" i="1" l="1"/>
  <c r="Q38" i="1"/>
  <c r="K39" i="1" l="1"/>
  <c r="Q39" i="1"/>
  <c r="K40" i="1" l="1"/>
  <c r="Q40" i="1"/>
  <c r="K41" i="1" l="1"/>
  <c r="Q41" i="1"/>
  <c r="K42" i="1" l="1"/>
  <c r="Q42" i="1"/>
  <c r="K43" i="1" l="1"/>
  <c r="Q43" i="1"/>
  <c r="K44" i="1" l="1"/>
  <c r="Q44" i="1"/>
  <c r="K45" i="1" l="1"/>
  <c r="Q45" i="1"/>
  <c r="K46" i="1" l="1"/>
  <c r="Q46" i="1"/>
  <c r="K47" i="1" l="1"/>
  <c r="Q47" i="1"/>
  <c r="K48" i="1" l="1"/>
  <c r="Q48" i="1"/>
  <c r="K49" i="1" l="1"/>
  <c r="Q49" i="1"/>
  <c r="K50" i="1" l="1"/>
  <c r="Q50" i="1"/>
  <c r="K51" i="1" l="1"/>
  <c r="Q51" i="1"/>
  <c r="K52" i="1" l="1"/>
  <c r="Q52" i="1"/>
  <c r="K53" i="1" l="1"/>
  <c r="Q53" i="1"/>
  <c r="K54" i="1" l="1"/>
  <c r="Q54" i="1"/>
  <c r="K55" i="1" l="1"/>
  <c r="Q55" i="1"/>
  <c r="K56" i="1" l="1"/>
  <c r="Q56" i="1"/>
  <c r="K57" i="1" l="1"/>
  <c r="Q57" i="1"/>
  <c r="K58" i="1" l="1"/>
  <c r="Q58" i="1"/>
  <c r="K59" i="1" l="1"/>
  <c r="Q59" i="1"/>
  <c r="K60" i="1" l="1"/>
  <c r="Q60" i="1"/>
  <c r="K61" i="1" l="1"/>
  <c r="Q61" i="1"/>
  <c r="K62" i="1" l="1"/>
  <c r="Q62" i="1"/>
  <c r="K63" i="1" l="1"/>
  <c r="Q63" i="1"/>
  <c r="K64" i="1" l="1"/>
  <c r="Q64" i="1"/>
  <c r="K65" i="1" l="1"/>
  <c r="Q65" i="1"/>
  <c r="K66" i="1" l="1"/>
  <c r="Q66" i="1"/>
  <c r="K67" i="1" l="1"/>
  <c r="Q67" i="1"/>
  <c r="K68" i="1" l="1"/>
  <c r="Q68" i="1"/>
  <c r="K69" i="1" l="1"/>
  <c r="Q69" i="1"/>
  <c r="K70" i="1" l="1"/>
  <c r="Q70" i="1"/>
  <c r="K71" i="1" l="1"/>
  <c r="Q71" i="1"/>
  <c r="K72" i="1" l="1"/>
  <c r="Q72" i="1"/>
  <c r="K73" i="1" l="1"/>
  <c r="Q73" i="1"/>
  <c r="K74" i="1" l="1"/>
  <c r="Q74" i="1"/>
  <c r="K75" i="1" l="1"/>
  <c r="Q75" i="1"/>
  <c r="K76" i="1" l="1"/>
  <c r="Q76" i="1"/>
  <c r="K77" i="1" l="1"/>
  <c r="Q77" i="1"/>
  <c r="K78" i="1" l="1"/>
  <c r="Q78" i="1"/>
  <c r="K79" i="1" l="1"/>
  <c r="Q79" i="1"/>
  <c r="K80" i="1" l="1"/>
  <c r="Q80" i="1"/>
  <c r="K81" i="1" l="1"/>
  <c r="Q81" i="1"/>
  <c r="K82" i="1" l="1"/>
  <c r="Q82" i="1"/>
  <c r="K83" i="1" l="1"/>
  <c r="Q83" i="1"/>
  <c r="K84" i="1" l="1"/>
  <c r="Q84" i="1"/>
  <c r="K85" i="1" l="1"/>
  <c r="Q85" i="1"/>
  <c r="K86" i="1" l="1"/>
  <c r="Q86" i="1"/>
  <c r="K87" i="1" l="1"/>
  <c r="Q87" i="1"/>
  <c r="K88" i="1" l="1"/>
  <c r="Q88" i="1"/>
  <c r="K89" i="1" l="1"/>
  <c r="Q89" i="1"/>
  <c r="K90" i="1" l="1"/>
  <c r="Q90" i="1"/>
  <c r="K91" i="1" l="1"/>
  <c r="Q91" i="1"/>
  <c r="K92" i="1" l="1"/>
  <c r="Q92" i="1"/>
  <c r="K93" i="1" l="1"/>
  <c r="Q93" i="1"/>
  <c r="K94" i="1" l="1"/>
  <c r="Q94" i="1"/>
  <c r="K95" i="1" l="1"/>
  <c r="Q95" i="1"/>
  <c r="K96" i="1" l="1"/>
  <c r="Q96" i="1"/>
  <c r="K97" i="1" l="1"/>
  <c r="Q97" i="1"/>
  <c r="K98" i="1" l="1"/>
  <c r="Q98" i="1"/>
  <c r="K99" i="1" l="1"/>
  <c r="Q99" i="1"/>
  <c r="K100" i="1" l="1"/>
  <c r="Q100" i="1"/>
  <c r="K101" i="1" l="1"/>
  <c r="Q101" i="1"/>
  <c r="K102" i="1" l="1"/>
  <c r="Q102" i="1"/>
  <c r="K103" i="1" l="1"/>
  <c r="Q103" i="1"/>
  <c r="K104" i="1" l="1"/>
  <c r="Q104" i="1"/>
  <c r="K105" i="1" l="1"/>
  <c r="Q105" i="1"/>
  <c r="K106" i="1" l="1"/>
  <c r="Q106" i="1"/>
  <c r="K107" i="1" l="1"/>
  <c r="Q107" i="1"/>
  <c r="K108" i="1" l="1"/>
  <c r="Q108" i="1"/>
  <c r="K109" i="1" l="1"/>
  <c r="Q109" i="1"/>
  <c r="K110" i="1" l="1"/>
  <c r="Q110" i="1"/>
  <c r="K111" i="1" l="1"/>
  <c r="Q111" i="1"/>
  <c r="K112" i="1" l="1"/>
  <c r="Q112" i="1"/>
  <c r="K113" i="1" l="1"/>
  <c r="Q113" i="1"/>
  <c r="K114" i="1" l="1"/>
  <c r="Q114" i="1"/>
  <c r="K115" i="1" l="1"/>
  <c r="Q115" i="1"/>
  <c r="K116" i="1" l="1"/>
  <c r="Q116" i="1"/>
  <c r="K117" i="1" l="1"/>
  <c r="Q117" i="1"/>
  <c r="K118" i="1" l="1"/>
  <c r="Q118" i="1"/>
  <c r="K119" i="1" l="1"/>
  <c r="Q119" i="1"/>
  <c r="K120" i="1" l="1"/>
  <c r="Q120" i="1"/>
  <c r="K121" i="1" l="1"/>
  <c r="Q121" i="1"/>
  <c r="K122" i="1" l="1"/>
  <c r="Q122" i="1"/>
  <c r="K123" i="1" l="1"/>
  <c r="Q123" i="1"/>
  <c r="K124" i="1" l="1"/>
  <c r="Q124" i="1"/>
  <c r="K125" i="1" l="1"/>
  <c r="Q125" i="1"/>
  <c r="K126" i="1" l="1"/>
  <c r="Q126" i="1"/>
  <c r="K127" i="1" l="1"/>
  <c r="Q127" i="1"/>
  <c r="K128" i="1" l="1"/>
  <c r="Q128" i="1"/>
  <c r="K129" i="1" l="1"/>
  <c r="Q129" i="1"/>
  <c r="K130" i="1" l="1"/>
  <c r="Q130" i="1"/>
  <c r="K131" i="1" l="1"/>
  <c r="Q131" i="1"/>
  <c r="K132" i="1" l="1"/>
  <c r="Q132" i="1"/>
  <c r="K133" i="1" l="1"/>
  <c r="Q133" i="1"/>
  <c r="K134" i="1" l="1"/>
  <c r="Q134" i="1"/>
  <c r="K135" i="1" l="1"/>
  <c r="Q135" i="1"/>
  <c r="K136" i="1" l="1"/>
  <c r="Q136" i="1"/>
  <c r="K137" i="1" l="1"/>
  <c r="Q137" i="1"/>
  <c r="K138" i="1" l="1"/>
  <c r="Q138" i="1"/>
  <c r="K139" i="1" l="1"/>
  <c r="Q139" i="1"/>
  <c r="K140" i="1" l="1"/>
  <c r="Q140" i="1"/>
  <c r="K141" i="1" l="1"/>
  <c r="Q141" i="1"/>
  <c r="K142" i="1" l="1"/>
  <c r="Q142" i="1"/>
  <c r="K143" i="1" l="1"/>
  <c r="Q143" i="1"/>
  <c r="K144" i="1" l="1"/>
  <c r="Q144" i="1"/>
  <c r="K145" i="1" l="1"/>
  <c r="Q145" i="1"/>
  <c r="K146" i="1" l="1"/>
  <c r="Q146" i="1"/>
  <c r="K147" i="1" l="1"/>
  <c r="Q147" i="1"/>
  <c r="K148" i="1" l="1"/>
  <c r="Q148" i="1"/>
  <c r="K149" i="1" l="1"/>
  <c r="Q149" i="1"/>
  <c r="K150" i="1" l="1"/>
  <c r="Q150" i="1"/>
  <c r="K151" i="1" l="1"/>
  <c r="Q151" i="1"/>
  <c r="K152" i="1" l="1"/>
  <c r="Q152" i="1"/>
  <c r="K153" i="1" l="1"/>
  <c r="Q153" i="1"/>
  <c r="K154" i="1" l="1"/>
  <c r="Q154" i="1"/>
  <c r="K155" i="1" l="1"/>
  <c r="Q155" i="1"/>
  <c r="K156" i="1" l="1"/>
  <c r="Q156" i="1"/>
  <c r="K157" i="1" l="1"/>
  <c r="Q157" i="1"/>
  <c r="K158" i="1" l="1"/>
  <c r="Q158" i="1"/>
  <c r="K159" i="1" l="1"/>
  <c r="Q159" i="1"/>
  <c r="K160" i="1" l="1"/>
  <c r="Q160" i="1"/>
  <c r="K161" i="1" l="1"/>
  <c r="Q161" i="1"/>
  <c r="K162" i="1" l="1"/>
  <c r="Q162" i="1"/>
  <c r="K163" i="1" l="1"/>
  <c r="Q163" i="1"/>
  <c r="K164" i="1" l="1"/>
  <c r="Q164" i="1"/>
  <c r="K165" i="1" l="1"/>
  <c r="Q165" i="1"/>
  <c r="K166" i="1" l="1"/>
  <c r="Q166" i="1"/>
  <c r="K167" i="1" l="1"/>
  <c r="Q167" i="1"/>
  <c r="K168" i="1" l="1"/>
  <c r="Q168" i="1"/>
  <c r="K169" i="1" l="1"/>
  <c r="Q169" i="1"/>
  <c r="K170" i="1" l="1"/>
  <c r="Q170" i="1"/>
  <c r="K171" i="1" l="1"/>
  <c r="Q171" i="1"/>
  <c r="K172" i="1" l="1"/>
  <c r="Q172" i="1"/>
  <c r="K173" i="1" l="1"/>
  <c r="Q173" i="1"/>
  <c r="K174" i="1" l="1"/>
  <c r="Q174" i="1"/>
  <c r="K175" i="1" l="1"/>
  <c r="Q175" i="1"/>
  <c r="K176" i="1" l="1"/>
  <c r="Q176" i="1"/>
  <c r="K177" i="1" l="1"/>
  <c r="Q177" i="1"/>
  <c r="K178" i="1" l="1"/>
  <c r="Q178" i="1"/>
  <c r="K179" i="1" l="1"/>
  <c r="Q179" i="1"/>
  <c r="K180" i="1" l="1"/>
  <c r="Q180" i="1"/>
  <c r="K181" i="1" l="1"/>
  <c r="Q181" i="1"/>
  <c r="K182" i="1" l="1"/>
  <c r="Q182" i="1"/>
  <c r="K183" i="1" l="1"/>
  <c r="Q183" i="1"/>
  <c r="K184" i="1" l="1"/>
  <c r="Q184" i="1"/>
  <c r="K185" i="1" l="1"/>
  <c r="Q185" i="1"/>
  <c r="K186" i="1" l="1"/>
  <c r="Q186" i="1"/>
  <c r="K187" i="1" l="1"/>
  <c r="Q187" i="1"/>
  <c r="K188" i="1" l="1"/>
  <c r="Q188" i="1"/>
  <c r="K189" i="1" l="1"/>
  <c r="Q189" i="1"/>
  <c r="K190" i="1" l="1"/>
  <c r="Q190" i="1"/>
  <c r="K191" i="1" l="1"/>
  <c r="Q191" i="1"/>
  <c r="K192" i="1" l="1"/>
  <c r="Q192" i="1"/>
  <c r="K193" i="1" l="1"/>
  <c r="Q193" i="1"/>
  <c r="K194" i="1" l="1"/>
  <c r="Q194" i="1"/>
  <c r="K195" i="1" l="1"/>
  <c r="Q195" i="1"/>
  <c r="K196" i="1" l="1"/>
  <c r="Q196" i="1"/>
  <c r="K197" i="1" l="1"/>
  <c r="Q197" i="1"/>
  <c r="K198" i="1" l="1"/>
  <c r="Q198" i="1"/>
  <c r="K199" i="1" l="1"/>
  <c r="Q199" i="1"/>
  <c r="K200" i="1" l="1"/>
  <c r="Q200" i="1"/>
  <c r="K201" i="1" l="1"/>
  <c r="Q201" i="1"/>
  <c r="K202" i="1" l="1"/>
  <c r="Q202" i="1"/>
  <c r="K203" i="1" l="1"/>
  <c r="Q203" i="1"/>
  <c r="K204" i="1" l="1"/>
  <c r="Q204" i="1"/>
  <c r="K205" i="1" l="1"/>
  <c r="Q205" i="1"/>
  <c r="K206" i="1" l="1"/>
  <c r="Q206" i="1"/>
  <c r="K207" i="1" l="1"/>
  <c r="Q207" i="1"/>
  <c r="K208" i="1" l="1"/>
  <c r="Q208" i="1"/>
  <c r="K209" i="1" l="1"/>
  <c r="Q209" i="1"/>
  <c r="K210" i="1" l="1"/>
  <c r="Q210" i="1"/>
  <c r="K211" i="1" l="1"/>
  <c r="Q211" i="1"/>
  <c r="K212" i="1" l="1"/>
  <c r="Q212" i="1"/>
  <c r="K213" i="1" l="1"/>
  <c r="Q213" i="1"/>
  <c r="K214" i="1" l="1"/>
  <c r="Q214" i="1"/>
  <c r="K215" i="1" l="1"/>
  <c r="Q215" i="1"/>
  <c r="K216" i="1" l="1"/>
  <c r="Q216" i="1"/>
  <c r="K217" i="1" l="1"/>
  <c r="Q217" i="1"/>
  <c r="K218" i="1" l="1"/>
  <c r="Q218" i="1"/>
  <c r="K219" i="1" l="1"/>
  <c r="Q219" i="1"/>
  <c r="K220" i="1" l="1"/>
  <c r="Q220" i="1"/>
  <c r="K221" i="1" l="1"/>
  <c r="Q221" i="1"/>
  <c r="K222" i="1" l="1"/>
  <c r="Q222" i="1"/>
  <c r="K223" i="1" l="1"/>
  <c r="Q223" i="1"/>
  <c r="K224" i="1" l="1"/>
  <c r="Q224" i="1"/>
  <c r="K225" i="1" l="1"/>
  <c r="Q225" i="1"/>
  <c r="K226" i="1" l="1"/>
  <c r="Q226" i="1"/>
  <c r="K227" i="1" l="1"/>
  <c r="Q227" i="1"/>
  <c r="K228" i="1" l="1"/>
  <c r="Q228" i="1"/>
  <c r="K229" i="1" l="1"/>
  <c r="Q229" i="1"/>
  <c r="K230" i="1" l="1"/>
  <c r="Q230" i="1"/>
  <c r="K231" i="1" l="1"/>
  <c r="Q231" i="1"/>
  <c r="K232" i="1" l="1"/>
  <c r="Q232" i="1"/>
  <c r="K233" i="1" l="1"/>
  <c r="Q233" i="1"/>
  <c r="K234" i="1" l="1"/>
  <c r="Q234" i="1"/>
  <c r="K235" i="1" l="1"/>
  <c r="Q235" i="1"/>
  <c r="K236" i="1" l="1"/>
  <c r="Q236" i="1"/>
  <c r="K237" i="1" l="1"/>
  <c r="Q237" i="1"/>
  <c r="K238" i="1" l="1"/>
  <c r="Q238" i="1"/>
  <c r="K239" i="1" l="1"/>
  <c r="Q239" i="1"/>
  <c r="K240" i="1" l="1"/>
  <c r="Q240" i="1"/>
  <c r="K241" i="1" l="1"/>
  <c r="Q241" i="1"/>
  <c r="K242" i="1" l="1"/>
  <c r="Q242" i="1"/>
  <c r="K243" i="1" l="1"/>
  <c r="Q243" i="1"/>
  <c r="K244" i="1" l="1"/>
  <c r="Q244" i="1"/>
  <c r="K245" i="1" l="1"/>
  <c r="Q245" i="1"/>
  <c r="K246" i="1" l="1"/>
  <c r="Q246" i="1"/>
  <c r="K247" i="1" l="1"/>
  <c r="Q247" i="1"/>
  <c r="K248" i="1" l="1"/>
  <c r="Q248" i="1"/>
  <c r="K249" i="1" l="1"/>
  <c r="Q249" i="1"/>
  <c r="K250" i="1" l="1"/>
  <c r="Q250" i="1"/>
  <c r="K251" i="1" l="1"/>
  <c r="Q251" i="1"/>
  <c r="K252" i="1" l="1"/>
  <c r="Q252" i="1"/>
  <c r="K253" i="1" l="1"/>
  <c r="Q253" i="1"/>
  <c r="K254" i="1" l="1"/>
  <c r="Q254" i="1"/>
  <c r="K255" i="1" l="1"/>
  <c r="Q255" i="1"/>
  <c r="K256" i="1" l="1"/>
  <c r="Q256" i="1"/>
  <c r="K257" i="1" l="1"/>
  <c r="Q257" i="1"/>
  <c r="K258" i="1" l="1"/>
  <c r="Q258" i="1"/>
  <c r="K259" i="1" l="1"/>
  <c r="Q259" i="1"/>
  <c r="K260" i="1" l="1"/>
  <c r="Q260" i="1"/>
  <c r="K261" i="1" l="1"/>
  <c r="Q261" i="1"/>
  <c r="K262" i="1" l="1"/>
  <c r="Q262" i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Q389" i="1" s="1"/>
  <c r="Q390" i="1" s="1"/>
  <c r="Q391" i="1" s="1"/>
  <c r="Q392" i="1" s="1"/>
  <c r="Q393" i="1" s="1"/>
  <c r="Q394" i="1" s="1"/>
  <c r="Q395" i="1" s="1"/>
  <c r="Q396" i="1" s="1"/>
  <c r="Q397" i="1" s="1"/>
  <c r="Q398" i="1" s="1"/>
  <c r="Q399" i="1" s="1"/>
  <c r="Q400" i="1" s="1"/>
  <c r="Q401" i="1" s="1"/>
  <c r="Q402" i="1" s="1"/>
  <c r="Q403" i="1" s="1"/>
  <c r="Q404" i="1" s="1"/>
  <c r="Q405" i="1" s="1"/>
  <c r="Q406" i="1" s="1"/>
  <c r="Q407" i="1" s="1"/>
  <c r="Q408" i="1" s="1"/>
  <c r="Q409" i="1" s="1"/>
  <c r="Q410" i="1" s="1"/>
  <c r="Q411" i="1" s="1"/>
  <c r="Q412" i="1" s="1"/>
  <c r="Q413" i="1" s="1"/>
  <c r="Q414" i="1" s="1"/>
  <c r="Q415" i="1" s="1"/>
  <c r="Q416" i="1" s="1"/>
  <c r="Q417" i="1" s="1"/>
  <c r="Q418" i="1" s="1"/>
  <c r="Q419" i="1" s="1"/>
  <c r="Q420" i="1" s="1"/>
  <c r="Q421" i="1" s="1"/>
  <c r="Q422" i="1" s="1"/>
  <c r="Q423" i="1" s="1"/>
  <c r="Q424" i="1" s="1"/>
  <c r="Q425" i="1" s="1"/>
  <c r="Q426" i="1" s="1"/>
  <c r="Q427" i="1" s="1"/>
  <c r="Q428" i="1" s="1"/>
  <c r="Q429" i="1" s="1"/>
  <c r="Q430" i="1" s="1"/>
  <c r="Q431" i="1" s="1"/>
  <c r="Q432" i="1" s="1"/>
  <c r="Q433" i="1" s="1"/>
  <c r="Q434" i="1" s="1"/>
  <c r="Q435" i="1" s="1"/>
  <c r="Q436" i="1" s="1"/>
  <c r="Q437" i="1" s="1"/>
  <c r="Q438" i="1" s="1"/>
  <c r="Q439" i="1" s="1"/>
  <c r="Q440" i="1" s="1"/>
  <c r="Q441" i="1" s="1"/>
  <c r="Q442" i="1" s="1"/>
  <c r="Q443" i="1" s="1"/>
  <c r="Q444" i="1" s="1"/>
  <c r="Q445" i="1" s="1"/>
  <c r="Q446" i="1" s="1"/>
  <c r="Q447" i="1" s="1"/>
  <c r="Q448" i="1" s="1"/>
  <c r="Q449" i="1" s="1"/>
  <c r="Q450" i="1" s="1"/>
  <c r="Q451" i="1" s="1"/>
  <c r="Q452" i="1" s="1"/>
  <c r="Q453" i="1" s="1"/>
  <c r="Q454" i="1" s="1"/>
  <c r="Q455" i="1" s="1"/>
  <c r="Q456" i="1" s="1"/>
  <c r="Q457" i="1" s="1"/>
  <c r="Q458" i="1" s="1"/>
  <c r="Q459" i="1" s="1"/>
  <c r="Q460" i="1" s="1"/>
  <c r="Q461" i="1" s="1"/>
  <c r="Q462" i="1" s="1"/>
  <c r="Q463" i="1" s="1"/>
  <c r="Q464" i="1" s="1"/>
  <c r="Q465" i="1" s="1"/>
  <c r="Q466" i="1" s="1"/>
  <c r="Q467" i="1" s="1"/>
  <c r="Q468" i="1" s="1"/>
  <c r="Q469" i="1" s="1"/>
  <c r="Q470" i="1" s="1"/>
  <c r="Q471" i="1" s="1"/>
  <c r="Q472" i="1" s="1"/>
  <c r="Q473" i="1" s="1"/>
  <c r="Q474" i="1" s="1"/>
  <c r="Q475" i="1" s="1"/>
  <c r="Q476" i="1" s="1"/>
  <c r="Q477" i="1" s="1"/>
  <c r="Q478" i="1" s="1"/>
  <c r="Q479" i="1" s="1"/>
  <c r="Q480" i="1" s="1"/>
  <c r="Q481" i="1" s="1"/>
  <c r="Q482" i="1" s="1"/>
  <c r="Q483" i="1" s="1"/>
  <c r="Q484" i="1" s="1"/>
  <c r="Q485" i="1" s="1"/>
  <c r="Q486" i="1" s="1"/>
  <c r="Q487" i="1" s="1"/>
  <c r="Q488" i="1" s="1"/>
  <c r="Q489" i="1" s="1"/>
  <c r="Q490" i="1" s="1"/>
  <c r="Q491" i="1" s="1"/>
  <c r="Q492" i="1" s="1"/>
  <c r="Q493" i="1" s="1"/>
  <c r="Q494" i="1" s="1"/>
  <c r="Q495" i="1" s="1"/>
  <c r="Q496" i="1" s="1"/>
  <c r="Q497" i="1" s="1"/>
  <c r="Q498" i="1" s="1"/>
  <c r="Q499" i="1" s="1"/>
  <c r="Q500" i="1" s="1"/>
  <c r="Q501" i="1" s="1"/>
  <c r="Q502" i="1" s="1"/>
  <c r="Q503" i="1" s="1"/>
  <c r="Q504" i="1" s="1"/>
  <c r="Q505" i="1" s="1"/>
  <c r="Q506" i="1" s="1"/>
  <c r="Q507" i="1" s="1"/>
  <c r="Q508" i="1" s="1"/>
  <c r="Q509" i="1" s="1"/>
  <c r="Q510" i="1" s="1"/>
  <c r="Q511" i="1" s="1"/>
  <c r="Q512" i="1" s="1"/>
  <c r="Q513" i="1" s="1"/>
  <c r="Q514" i="1" s="1"/>
  <c r="Q515" i="1" s="1"/>
  <c r="Q516" i="1" s="1"/>
  <c r="Q517" i="1" s="1"/>
  <c r="Q518" i="1" s="1"/>
  <c r="Q519" i="1" s="1"/>
  <c r="Q520" i="1" s="1"/>
  <c r="Q521" i="1" s="1"/>
  <c r="Q522" i="1" s="1"/>
  <c r="Q523" i="1" s="1"/>
  <c r="Q524" i="1" s="1"/>
  <c r="Q525" i="1" s="1"/>
  <c r="Q526" i="1" s="1"/>
  <c r="Q527" i="1" s="1"/>
  <c r="Q528" i="1" s="1"/>
  <c r="Q529" i="1" s="1"/>
  <c r="Q530" i="1" s="1"/>
  <c r="Q531" i="1" s="1"/>
  <c r="Q532" i="1" s="1"/>
  <c r="Q533" i="1" s="1"/>
  <c r="Q534" i="1" s="1"/>
  <c r="Q535" i="1" s="1"/>
  <c r="Q536" i="1" s="1"/>
  <c r="Q537" i="1" s="1"/>
  <c r="Q538" i="1" s="1"/>
  <c r="Q539" i="1" s="1"/>
  <c r="Q540" i="1" s="1"/>
  <c r="Q541" i="1" s="1"/>
  <c r="Q542" i="1" s="1"/>
  <c r="Q543" i="1" s="1"/>
  <c r="Q544" i="1" s="1"/>
  <c r="Q545" i="1" s="1"/>
  <c r="Q546" i="1" s="1"/>
  <c r="Q547" i="1" s="1"/>
  <c r="Q548" i="1" s="1"/>
  <c r="Q549" i="1" s="1"/>
  <c r="Q550" i="1" s="1"/>
  <c r="Q551" i="1" s="1"/>
  <c r="Q552" i="1" s="1"/>
  <c r="Q553" i="1" s="1"/>
  <c r="Q554" i="1" s="1"/>
  <c r="Q555" i="1" s="1"/>
  <c r="Q556" i="1" s="1"/>
  <c r="Q557" i="1" s="1"/>
  <c r="Q558" i="1" s="1"/>
  <c r="Q559" i="1" s="1"/>
  <c r="Q560" i="1" s="1"/>
  <c r="Q561" i="1" s="1"/>
  <c r="Q562" i="1" s="1"/>
  <c r="Q563" i="1" s="1"/>
  <c r="Q564" i="1" s="1"/>
  <c r="Q565" i="1" s="1"/>
  <c r="Q566" i="1" s="1"/>
  <c r="Q567" i="1" s="1"/>
  <c r="Q568" i="1" s="1"/>
  <c r="Q569" i="1" s="1"/>
  <c r="Q570" i="1" s="1"/>
  <c r="Q571" i="1" s="1"/>
  <c r="Q572" i="1" s="1"/>
  <c r="Q573" i="1" s="1"/>
  <c r="Q574" i="1" s="1"/>
  <c r="Q575" i="1" s="1"/>
  <c r="Q576" i="1" s="1"/>
  <c r="Q577" i="1" s="1"/>
  <c r="Q578" i="1" s="1"/>
  <c r="Q579" i="1" s="1"/>
  <c r="Q580" i="1" s="1"/>
  <c r="Q581" i="1" s="1"/>
  <c r="Q582" i="1" s="1"/>
  <c r="Q583" i="1" s="1"/>
  <c r="Q584" i="1" s="1"/>
  <c r="Q585" i="1" s="1"/>
  <c r="Q586" i="1" s="1"/>
  <c r="Q587" i="1" s="1"/>
  <c r="Q588" i="1" s="1"/>
  <c r="Q589" i="1" s="1"/>
  <c r="Q590" i="1" s="1"/>
  <c r="Q591" i="1" s="1"/>
  <c r="Q592" i="1" s="1"/>
  <c r="Q593" i="1" s="1"/>
  <c r="Q594" i="1" s="1"/>
  <c r="Q595" i="1" s="1"/>
  <c r="Q596" i="1" s="1"/>
  <c r="Q597" i="1" s="1"/>
  <c r="Q598" i="1" s="1"/>
  <c r="Q599" i="1" s="1"/>
  <c r="Q600" i="1" s="1"/>
  <c r="Q601" i="1" s="1"/>
  <c r="Q602" i="1" s="1"/>
  <c r="Q603" i="1" s="1"/>
  <c r="Q604" i="1" s="1"/>
  <c r="Q605" i="1" s="1"/>
  <c r="Q606" i="1" s="1"/>
  <c r="Q607" i="1" s="1"/>
  <c r="Q608" i="1" s="1"/>
  <c r="Q609" i="1" s="1"/>
  <c r="Q610" i="1" s="1"/>
  <c r="Q611" i="1" s="1"/>
  <c r="Q612" i="1" s="1"/>
  <c r="Q613" i="1" s="1"/>
  <c r="Q614" i="1" s="1"/>
  <c r="Q615" i="1" s="1"/>
  <c r="Q616" i="1" s="1"/>
  <c r="Q617" i="1" s="1"/>
  <c r="Q618" i="1" s="1"/>
  <c r="Q619" i="1" s="1"/>
  <c r="Q620" i="1" s="1"/>
  <c r="Q621" i="1" s="1"/>
  <c r="Q622" i="1" s="1"/>
  <c r="Q623" i="1" s="1"/>
  <c r="Q624" i="1" s="1"/>
  <c r="Q625" i="1" s="1"/>
  <c r="Q626" i="1" s="1"/>
  <c r="Q627" i="1" s="1"/>
  <c r="Q628" i="1" s="1"/>
  <c r="Q629" i="1" s="1"/>
  <c r="Q630" i="1" s="1"/>
  <c r="Q631" i="1" s="1"/>
  <c r="Q632" i="1" s="1"/>
  <c r="Q633" i="1" s="1"/>
  <c r="Q634" i="1" s="1"/>
  <c r="Q635" i="1" s="1"/>
  <c r="Q636" i="1" s="1"/>
  <c r="Q637" i="1" s="1"/>
  <c r="Q638" i="1" s="1"/>
  <c r="Q639" i="1" s="1"/>
  <c r="Q640" i="1" s="1"/>
  <c r="Q641" i="1" s="1"/>
  <c r="Q642" i="1" s="1"/>
  <c r="Q643" i="1" s="1"/>
  <c r="Q644" i="1" s="1"/>
  <c r="Q645" i="1" s="1"/>
  <c r="Q646" i="1" s="1"/>
  <c r="Q647" i="1" s="1"/>
  <c r="Q648" i="1" s="1"/>
  <c r="Q649" i="1" s="1"/>
  <c r="Q650" i="1" s="1"/>
  <c r="Q651" i="1" s="1"/>
  <c r="Q652" i="1" s="1"/>
  <c r="Q653" i="1" s="1"/>
  <c r="Q654" i="1" s="1"/>
  <c r="Q655" i="1" s="1"/>
  <c r="Q656" i="1" s="1"/>
  <c r="Q657" i="1" s="1"/>
  <c r="Q658" i="1" s="1"/>
  <c r="Q659" i="1" s="1"/>
  <c r="Q660" i="1" s="1"/>
  <c r="Q661" i="1" s="1"/>
  <c r="Q662" i="1" s="1"/>
  <c r="Q663" i="1" s="1"/>
  <c r="Q664" i="1" s="1"/>
  <c r="Q665" i="1" s="1"/>
  <c r="Q666" i="1" s="1"/>
  <c r="Q667" i="1" s="1"/>
  <c r="Q668" i="1" s="1"/>
  <c r="Q669" i="1" s="1"/>
  <c r="Q670" i="1" s="1"/>
  <c r="Q671" i="1" s="1"/>
  <c r="Q672" i="1" s="1"/>
  <c r="Q673" i="1" s="1"/>
  <c r="Q674" i="1" s="1"/>
  <c r="Q675" i="1" s="1"/>
  <c r="Q676" i="1" s="1"/>
  <c r="Q677" i="1" s="1"/>
  <c r="Q678" i="1" s="1"/>
  <c r="Q679" i="1" s="1"/>
  <c r="Q680" i="1" s="1"/>
  <c r="Q681" i="1" s="1"/>
  <c r="Q682" i="1" s="1"/>
  <c r="Q683" i="1" s="1"/>
  <c r="Q684" i="1" s="1"/>
  <c r="Q685" i="1" s="1"/>
  <c r="Q686" i="1" s="1"/>
  <c r="Q687" i="1" s="1"/>
  <c r="Q688" i="1" s="1"/>
  <c r="Q689" i="1" s="1"/>
  <c r="Q690" i="1" s="1"/>
  <c r="Q691" i="1" s="1"/>
  <c r="Q692" i="1" s="1"/>
  <c r="Q693" i="1" s="1"/>
  <c r="Q694" i="1" s="1"/>
  <c r="Q695" i="1" s="1"/>
  <c r="Q696" i="1" s="1"/>
  <c r="Q697" i="1" s="1"/>
  <c r="Q698" i="1" s="1"/>
  <c r="Q699" i="1" s="1"/>
  <c r="Q700" i="1" s="1"/>
  <c r="Q701" i="1" s="1"/>
  <c r="Q702" i="1" s="1"/>
  <c r="Q703" i="1" s="1"/>
  <c r="Q704" i="1" s="1"/>
  <c r="Q705" i="1" s="1"/>
  <c r="Q706" i="1" s="1"/>
  <c r="Q707" i="1" s="1"/>
  <c r="Q708" i="1" s="1"/>
  <c r="Q709" i="1" s="1"/>
  <c r="Q710" i="1" s="1"/>
  <c r="Q711" i="1" s="1"/>
  <c r="Q712" i="1" s="1"/>
  <c r="Q713" i="1" s="1"/>
  <c r="Q714" i="1" s="1"/>
  <c r="Q715" i="1" s="1"/>
  <c r="Q716" i="1" s="1"/>
  <c r="Q717" i="1" s="1"/>
  <c r="Q718" i="1" s="1"/>
  <c r="Q719" i="1" s="1"/>
  <c r="Q720" i="1" s="1"/>
  <c r="Q721" i="1" s="1"/>
  <c r="Q722" i="1" s="1"/>
  <c r="Q723" i="1" s="1"/>
  <c r="Q724" i="1" s="1"/>
  <c r="Q725" i="1" s="1"/>
  <c r="Q726" i="1" s="1"/>
  <c r="Q727" i="1" s="1"/>
  <c r="Q728" i="1" s="1"/>
  <c r="Q729" i="1" s="1"/>
  <c r="Q730" i="1" s="1"/>
  <c r="Q731" i="1" s="1"/>
  <c r="Q732" i="1" s="1"/>
  <c r="Q733" i="1" s="1"/>
  <c r="Q734" i="1" s="1"/>
  <c r="Q735" i="1" s="1"/>
  <c r="Q736" i="1" s="1"/>
  <c r="Q737" i="1" s="1"/>
  <c r="Q738" i="1" s="1"/>
  <c r="Q739" i="1" s="1"/>
  <c r="Q740" i="1" s="1"/>
  <c r="Q741" i="1" s="1"/>
  <c r="Q742" i="1" s="1"/>
  <c r="Q743" i="1" s="1"/>
  <c r="Q744" i="1" s="1"/>
  <c r="Q745" i="1" s="1"/>
  <c r="Q746" i="1" s="1"/>
  <c r="Q747" i="1" s="1"/>
  <c r="Q748" i="1" s="1"/>
  <c r="Q749" i="1" s="1"/>
  <c r="Q750" i="1" s="1"/>
  <c r="Q751" i="1" s="1"/>
  <c r="Q752" i="1" s="1"/>
  <c r="Q753" i="1" s="1"/>
  <c r="Q754" i="1" s="1"/>
  <c r="Q755" i="1" s="1"/>
  <c r="Q756" i="1" s="1"/>
  <c r="Q757" i="1" s="1"/>
  <c r="Q758" i="1" s="1"/>
  <c r="Q759" i="1" s="1"/>
  <c r="Q760" i="1" s="1"/>
  <c r="Q761" i="1" s="1"/>
  <c r="Q762" i="1" s="1"/>
  <c r="Q763" i="1" s="1"/>
  <c r="Q764" i="1" s="1"/>
  <c r="K263" i="1" l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Q766" i="1"/>
  <c r="K767" i="1" l="1"/>
  <c r="Q767" i="1"/>
  <c r="K768" i="1" l="1"/>
  <c r="Q768" i="1"/>
  <c r="K769" i="1" l="1"/>
  <c r="Q769" i="1"/>
  <c r="K770" i="1" l="1"/>
  <c r="Q770" i="1"/>
  <c r="K771" i="1" l="1"/>
  <c r="Q771" i="1"/>
  <c r="K772" i="1" l="1"/>
  <c r="Q772" i="1"/>
  <c r="K773" i="1" l="1"/>
  <c r="Q773" i="1"/>
  <c r="K774" i="1" l="1"/>
  <c r="Q774" i="1"/>
  <c r="K775" i="1" l="1"/>
  <c r="Q775" i="1"/>
  <c r="K776" i="1" l="1"/>
  <c r="Q776" i="1"/>
  <c r="K777" i="1" l="1"/>
  <c r="Q777" i="1"/>
  <c r="K778" i="1" l="1"/>
  <c r="Q778" i="1"/>
  <c r="K779" i="1" l="1"/>
  <c r="Q779" i="1"/>
  <c r="K780" i="1" l="1"/>
  <c r="Q780" i="1"/>
  <c r="K781" i="1" l="1"/>
  <c r="Q781" i="1"/>
  <c r="K782" i="1" l="1"/>
  <c r="Q782" i="1"/>
  <c r="K783" i="1" l="1"/>
  <c r="Q783" i="1"/>
  <c r="K784" i="1" l="1"/>
  <c r="Q784" i="1"/>
  <c r="K785" i="1" l="1"/>
  <c r="Q785" i="1"/>
  <c r="K786" i="1" l="1"/>
  <c r="Q786" i="1"/>
  <c r="K787" i="1" l="1"/>
  <c r="Q787" i="1"/>
  <c r="K788" i="1" l="1"/>
  <c r="Q788" i="1"/>
  <c r="K789" i="1" l="1"/>
  <c r="Q789" i="1"/>
  <c r="K790" i="1" l="1"/>
  <c r="Q790" i="1"/>
  <c r="K791" i="1" l="1"/>
  <c r="Q791" i="1"/>
  <c r="K792" i="1" l="1"/>
  <c r="Q792" i="1"/>
  <c r="K793" i="1" l="1"/>
  <c r="Q793" i="1"/>
  <c r="K794" i="1" l="1"/>
  <c r="Q794" i="1"/>
  <c r="K795" i="1" l="1"/>
  <c r="Q795" i="1"/>
  <c r="K796" i="1" l="1"/>
  <c r="Q796" i="1"/>
  <c r="K797" i="1" l="1"/>
  <c r="Q797" i="1"/>
  <c r="K798" i="1" l="1"/>
  <c r="Q798" i="1"/>
  <c r="K799" i="1" l="1"/>
  <c r="Q799" i="1"/>
  <c r="K800" i="1" l="1"/>
  <c r="Q800" i="1"/>
  <c r="K801" i="1" l="1"/>
  <c r="Q801" i="1"/>
  <c r="K802" i="1" l="1"/>
  <c r="Q802" i="1"/>
  <c r="K803" i="1" l="1"/>
  <c r="Q803" i="1"/>
  <c r="K804" i="1" l="1"/>
  <c r="Q804" i="1"/>
  <c r="K805" i="1" l="1"/>
  <c r="Q805" i="1"/>
  <c r="K806" i="1" l="1"/>
  <c r="Q806" i="1"/>
  <c r="K807" i="1" l="1"/>
  <c r="Q807" i="1"/>
  <c r="K808" i="1" l="1"/>
  <c r="Q808" i="1"/>
  <c r="K809" i="1" l="1"/>
  <c r="Q809" i="1"/>
  <c r="K810" i="1" l="1"/>
  <c r="Q810" i="1"/>
  <c r="K811" i="1" l="1"/>
  <c r="Q811" i="1"/>
  <c r="K812" i="1" l="1"/>
  <c r="Q812" i="1"/>
  <c r="K813" i="1" l="1"/>
  <c r="Q813" i="1"/>
  <c r="K814" i="1" l="1"/>
  <c r="Q814" i="1"/>
  <c r="K815" i="1" l="1"/>
  <c r="Q815" i="1"/>
  <c r="K816" i="1" l="1"/>
  <c r="Q816" i="1"/>
  <c r="K817" i="1" l="1"/>
  <c r="Q817" i="1"/>
  <c r="K818" i="1" l="1"/>
  <c r="Q818" i="1"/>
  <c r="K819" i="1" l="1"/>
  <c r="Q819" i="1"/>
  <c r="K820" i="1" l="1"/>
  <c r="Q820" i="1"/>
  <c r="K821" i="1" l="1"/>
  <c r="Q821" i="1"/>
  <c r="K822" i="1" l="1"/>
  <c r="Q822" i="1"/>
  <c r="K823" i="1" l="1"/>
  <c r="Q823" i="1"/>
  <c r="K824" i="1" l="1"/>
  <c r="Q824" i="1"/>
  <c r="K825" i="1" l="1"/>
  <c r="Q825" i="1"/>
  <c r="K826" i="1" l="1"/>
  <c r="Q826" i="1"/>
  <c r="K827" i="1" l="1"/>
  <c r="Q827" i="1"/>
  <c r="K828" i="1" l="1"/>
  <c r="Q828" i="1"/>
  <c r="K829" i="1" l="1"/>
  <c r="Q829" i="1"/>
  <c r="K830" i="1" l="1"/>
  <c r="Q830" i="1"/>
  <c r="K831" i="1" l="1"/>
  <c r="Q831" i="1"/>
  <c r="K832" i="1" l="1"/>
  <c r="Q832" i="1"/>
  <c r="K833" i="1" l="1"/>
  <c r="Q833" i="1"/>
  <c r="K834" i="1" l="1"/>
  <c r="Q834" i="1"/>
  <c r="K835" i="1" l="1"/>
  <c r="Q835" i="1"/>
  <c r="K836" i="1" l="1"/>
  <c r="Q836" i="1"/>
  <c r="K837" i="1" l="1"/>
  <c r="Q837" i="1"/>
  <c r="K838" i="1" l="1"/>
  <c r="Q838" i="1"/>
  <c r="K839" i="1" l="1"/>
  <c r="Q839" i="1"/>
  <c r="K840" i="1" l="1"/>
  <c r="Q840" i="1"/>
  <c r="K841" i="1" l="1"/>
  <c r="Q841" i="1"/>
  <c r="K842" i="1" l="1"/>
  <c r="Q842" i="1"/>
  <c r="K843" i="1" l="1"/>
  <c r="Q843" i="1"/>
  <c r="K844" i="1" l="1"/>
  <c r="Q844" i="1"/>
  <c r="K845" i="1" l="1"/>
  <c r="Q845" i="1"/>
  <c r="K846" i="1" l="1"/>
  <c r="Q846" i="1"/>
  <c r="K847" i="1" l="1"/>
  <c r="Q847" i="1"/>
  <c r="K848" i="1" l="1"/>
  <c r="Q848" i="1"/>
  <c r="K849" i="1" l="1"/>
  <c r="Q849" i="1"/>
  <c r="K850" i="1" l="1"/>
  <c r="Q850" i="1"/>
  <c r="K851" i="1" l="1"/>
  <c r="Q851" i="1"/>
  <c r="K852" i="1" l="1"/>
  <c r="Q852" i="1"/>
  <c r="K853" i="1" l="1"/>
  <c r="Q853" i="1"/>
  <c r="K854" i="1" l="1"/>
  <c r="Q854" i="1"/>
  <c r="K855" i="1" l="1"/>
  <c r="Q855" i="1"/>
  <c r="K856" i="1" l="1"/>
  <c r="Q856" i="1"/>
  <c r="K857" i="1" l="1"/>
  <c r="Q857" i="1"/>
  <c r="K858" i="1" l="1"/>
  <c r="Q858" i="1"/>
  <c r="K859" i="1" l="1"/>
  <c r="Q859" i="1"/>
  <c r="K860" i="1" l="1"/>
  <c r="Q860" i="1"/>
  <c r="K861" i="1" l="1"/>
  <c r="Q861" i="1"/>
  <c r="K862" i="1" l="1"/>
  <c r="Q862" i="1"/>
  <c r="K863" i="1" l="1"/>
  <c r="Q863" i="1"/>
  <c r="K864" i="1" l="1"/>
  <c r="Q864" i="1"/>
  <c r="K865" i="1" l="1"/>
  <c r="Q865" i="1"/>
  <c r="K866" i="1" l="1"/>
  <c r="Q866" i="1"/>
  <c r="K867" i="1" l="1"/>
  <c r="Q867" i="1"/>
  <c r="K868" i="1" l="1"/>
  <c r="Q868" i="1"/>
  <c r="K869" i="1" l="1"/>
  <c r="Q869" i="1"/>
  <c r="K870" i="1" l="1"/>
  <c r="Q870" i="1"/>
  <c r="K871" i="1" l="1"/>
  <c r="Q871" i="1"/>
  <c r="K872" i="1" l="1"/>
  <c r="Q872" i="1"/>
  <c r="K873" i="1" l="1"/>
  <c r="Q873" i="1"/>
  <c r="K874" i="1" l="1"/>
  <c r="Q874" i="1"/>
  <c r="K875" i="1" l="1"/>
  <c r="Q875" i="1"/>
  <c r="K876" i="1" l="1"/>
  <c r="Q876" i="1"/>
  <c r="K877" i="1" l="1"/>
  <c r="Q877" i="1"/>
  <c r="K878" i="1" l="1"/>
  <c r="Q878" i="1"/>
  <c r="K879" i="1" l="1"/>
  <c r="Q879" i="1"/>
  <c r="K880" i="1" l="1"/>
  <c r="Q880" i="1"/>
  <c r="K881" i="1" l="1"/>
  <c r="Q881" i="1"/>
  <c r="K882" i="1" l="1"/>
  <c r="Q882" i="1"/>
  <c r="K883" i="1" l="1"/>
  <c r="Q883" i="1"/>
  <c r="K884" i="1" l="1"/>
  <c r="Q884" i="1"/>
  <c r="K885" i="1" l="1"/>
  <c r="Q885" i="1"/>
  <c r="K886" i="1" l="1"/>
  <c r="Q886" i="1"/>
  <c r="K887" i="1" l="1"/>
  <c r="Q887" i="1"/>
  <c r="K888" i="1" l="1"/>
  <c r="Q888" i="1"/>
  <c r="K889" i="1" l="1"/>
  <c r="Q889" i="1"/>
  <c r="K890" i="1" l="1"/>
  <c r="Q890" i="1"/>
  <c r="K891" i="1" l="1"/>
  <c r="Q891" i="1"/>
  <c r="K892" i="1" l="1"/>
  <c r="Q892" i="1"/>
  <c r="K893" i="1" l="1"/>
  <c r="Q893" i="1"/>
  <c r="K894" i="1" l="1"/>
  <c r="Q894" i="1"/>
  <c r="K895" i="1" l="1"/>
  <c r="Q895" i="1"/>
  <c r="K896" i="1" l="1"/>
  <c r="Q896" i="1"/>
  <c r="K897" i="1" l="1"/>
  <c r="Q897" i="1"/>
  <c r="K898" i="1" l="1"/>
  <c r="Q898" i="1"/>
  <c r="K899" i="1" l="1"/>
  <c r="Q899" i="1"/>
  <c r="K900" i="1" l="1"/>
  <c r="Q900" i="1"/>
  <c r="K901" i="1" l="1"/>
  <c r="Q901" i="1"/>
  <c r="K902" i="1" l="1"/>
  <c r="Q902" i="1"/>
  <c r="K903" i="1" l="1"/>
  <c r="Q903" i="1"/>
  <c r="K904" i="1" l="1"/>
  <c r="Q904" i="1"/>
  <c r="K905" i="1" l="1"/>
  <c r="Q905" i="1"/>
  <c r="K906" i="1" l="1"/>
  <c r="Q906" i="1"/>
  <c r="K907" i="1" l="1"/>
  <c r="Q907" i="1"/>
  <c r="K908" i="1" l="1"/>
  <c r="Q908" i="1"/>
  <c r="K909" i="1" l="1"/>
  <c r="Q909" i="1"/>
  <c r="K910" i="1" l="1"/>
  <c r="Q910" i="1"/>
  <c r="K911" i="1" l="1"/>
  <c r="Q911" i="1"/>
  <c r="K912" i="1" l="1"/>
  <c r="Q912" i="1"/>
  <c r="K913" i="1" l="1"/>
  <c r="Q913" i="1"/>
  <c r="K914" i="1" l="1"/>
  <c r="Q914" i="1"/>
  <c r="K915" i="1" l="1"/>
  <c r="Q915" i="1"/>
  <c r="K916" i="1" l="1"/>
  <c r="Q916" i="1"/>
  <c r="K917" i="1" l="1"/>
  <c r="Q917" i="1"/>
  <c r="K918" i="1" l="1"/>
  <c r="Q918" i="1"/>
  <c r="K919" i="1" l="1"/>
  <c r="Q919" i="1"/>
  <c r="K920" i="1" l="1"/>
  <c r="Q920" i="1"/>
  <c r="K921" i="1" l="1"/>
  <c r="Q921" i="1"/>
  <c r="K922" i="1" l="1"/>
  <c r="Q922" i="1"/>
  <c r="K923" i="1" l="1"/>
  <c r="Q923" i="1"/>
  <c r="K924" i="1" l="1"/>
  <c r="Q924" i="1"/>
  <c r="K925" i="1" l="1"/>
  <c r="Q925" i="1"/>
  <c r="K926" i="1" l="1"/>
  <c r="Q926" i="1"/>
  <c r="K927" i="1" l="1"/>
  <c r="Q927" i="1"/>
  <c r="K928" i="1" l="1"/>
  <c r="Q928" i="1"/>
  <c r="K929" i="1" l="1"/>
  <c r="Q929" i="1"/>
  <c r="K930" i="1" l="1"/>
  <c r="Q930" i="1"/>
  <c r="K931" i="1" l="1"/>
  <c r="Q931" i="1"/>
  <c r="K932" i="1" l="1"/>
  <c r="Q932" i="1"/>
  <c r="K933" i="1" l="1"/>
  <c r="Q933" i="1"/>
  <c r="K934" i="1" l="1"/>
  <c r="Q934" i="1"/>
  <c r="K935" i="1" l="1"/>
  <c r="Q935" i="1"/>
  <c r="K936" i="1" l="1"/>
  <c r="Q936" i="1"/>
  <c r="K937" i="1" l="1"/>
  <c r="Q937" i="1"/>
  <c r="K938" i="1" l="1"/>
  <c r="Q938" i="1"/>
  <c r="K939" i="1" l="1"/>
  <c r="Q939" i="1"/>
  <c r="K940" i="1" l="1"/>
  <c r="Q940" i="1"/>
  <c r="K941" i="1" l="1"/>
  <c r="Q941" i="1"/>
  <c r="K942" i="1" l="1"/>
  <c r="Q942" i="1"/>
  <c r="K943" i="1" l="1"/>
  <c r="Q943" i="1"/>
  <c r="K944" i="1" l="1"/>
  <c r="Q944" i="1"/>
  <c r="K945" i="1" l="1"/>
  <c r="Q945" i="1"/>
  <c r="K946" i="1" l="1"/>
  <c r="Q946" i="1"/>
  <c r="K947" i="1" l="1"/>
  <c r="Q947" i="1"/>
  <c r="K948" i="1" l="1"/>
  <c r="Q948" i="1"/>
  <c r="K949" i="1" l="1"/>
  <c r="Q949" i="1"/>
  <c r="K950" i="1" l="1"/>
  <c r="Q950" i="1"/>
  <c r="K951" i="1" l="1"/>
  <c r="Q951" i="1"/>
  <c r="K952" i="1" l="1"/>
  <c r="Q952" i="1"/>
  <c r="K953" i="1" l="1"/>
  <c r="Q953" i="1"/>
  <c r="K954" i="1" l="1"/>
  <c r="Q954" i="1"/>
  <c r="K955" i="1" l="1"/>
  <c r="Q955" i="1"/>
  <c r="K956" i="1" l="1"/>
  <c r="Q956" i="1"/>
  <c r="K957" i="1" l="1"/>
  <c r="Q957" i="1"/>
  <c r="K958" i="1" l="1"/>
  <c r="Q958" i="1"/>
  <c r="K959" i="1" l="1"/>
  <c r="Q959" i="1"/>
  <c r="K960" i="1" l="1"/>
  <c r="Q960" i="1"/>
  <c r="K961" i="1" l="1"/>
  <c r="Q961" i="1"/>
  <c r="K962" i="1" l="1"/>
  <c r="Q962" i="1"/>
  <c r="K963" i="1" l="1"/>
  <c r="Q963" i="1"/>
  <c r="K964" i="1" l="1"/>
  <c r="Q964" i="1"/>
  <c r="K965" i="1" l="1"/>
  <c r="Q965" i="1"/>
  <c r="K966" i="1" l="1"/>
  <c r="Q966" i="1"/>
  <c r="K967" i="1" l="1"/>
  <c r="Q967" i="1"/>
  <c r="K968" i="1" l="1"/>
  <c r="Q968" i="1"/>
  <c r="K969" i="1" l="1"/>
  <c r="Q969" i="1"/>
  <c r="K970" i="1" l="1"/>
  <c r="Q970" i="1"/>
  <c r="K971" i="1" l="1"/>
  <c r="Q971" i="1"/>
  <c r="K972" i="1" l="1"/>
  <c r="Q972" i="1"/>
  <c r="K973" i="1" l="1"/>
  <c r="Q973" i="1"/>
  <c r="K974" i="1" l="1"/>
  <c r="Q974" i="1"/>
  <c r="K975" i="1" l="1"/>
  <c r="Q975" i="1"/>
  <c r="K976" i="1" l="1"/>
  <c r="Q976" i="1"/>
  <c r="K977" i="1" l="1"/>
  <c r="Q977" i="1"/>
  <c r="K978" i="1" l="1"/>
  <c r="Q978" i="1"/>
  <c r="K979" i="1" l="1"/>
  <c r="Q979" i="1"/>
  <c r="K980" i="1" l="1"/>
  <c r="Q980" i="1"/>
  <c r="K981" i="1" l="1"/>
  <c r="Q981" i="1"/>
  <c r="K982" i="1" l="1"/>
  <c r="Q982" i="1"/>
  <c r="K983" i="1" l="1"/>
  <c r="Q983" i="1"/>
  <c r="K984" i="1" l="1"/>
  <c r="Q984" i="1"/>
  <c r="K985" i="1" l="1"/>
  <c r="Q985" i="1"/>
  <c r="K986" i="1" l="1"/>
  <c r="Q986" i="1"/>
  <c r="K987" i="1" l="1"/>
  <c r="Q987" i="1"/>
  <c r="K988" i="1" l="1"/>
  <c r="Q988" i="1"/>
  <c r="K989" i="1" l="1"/>
  <c r="Q989" i="1"/>
  <c r="K990" i="1" l="1"/>
  <c r="Q990" i="1"/>
  <c r="K991" i="1" l="1"/>
  <c r="Q991" i="1"/>
  <c r="K992" i="1" l="1"/>
  <c r="Q992" i="1"/>
  <c r="K993" i="1" l="1"/>
  <c r="Q993" i="1"/>
  <c r="K994" i="1" l="1"/>
  <c r="Q994" i="1"/>
  <c r="K995" i="1" l="1"/>
  <c r="Q995" i="1"/>
  <c r="K996" i="1" l="1"/>
  <c r="Q996" i="1"/>
  <c r="K997" i="1" l="1"/>
  <c r="Q997" i="1"/>
  <c r="K998" i="1" l="1"/>
  <c r="Q998" i="1"/>
  <c r="K999" i="1" l="1"/>
  <c r="Q999" i="1"/>
  <c r="K1000" i="1" l="1"/>
  <c r="Q1000" i="1"/>
  <c r="K1001" i="1" l="1"/>
  <c r="Q1001" i="1"/>
  <c r="K1002" i="1" l="1"/>
  <c r="Q1002" i="1"/>
  <c r="K1003" i="1" l="1"/>
  <c r="Q1003" i="1"/>
  <c r="K1004" i="1" l="1"/>
  <c r="Q1004" i="1"/>
  <c r="K1005" i="1" l="1"/>
  <c r="Q1005" i="1"/>
  <c r="K1006" i="1" l="1"/>
  <c r="Q1006" i="1"/>
  <c r="K1007" i="1" l="1"/>
  <c r="Q1007" i="1"/>
  <c r="K1008" i="1" l="1"/>
  <c r="Q1008" i="1"/>
  <c r="K1009" i="1" l="1"/>
  <c r="Q1009" i="1"/>
  <c r="K1010" i="1" l="1"/>
  <c r="Q1010" i="1"/>
  <c r="K1011" i="1" l="1"/>
  <c r="Q1011" i="1"/>
  <c r="K1012" i="1" l="1"/>
  <c r="Q1012" i="1"/>
  <c r="K1013" i="1" l="1"/>
  <c r="Q1013" i="1"/>
  <c r="K1014" i="1" l="1"/>
  <c r="Q1014" i="1"/>
  <c r="K1015" i="1" l="1"/>
  <c r="Q1015" i="1"/>
  <c r="Q1016" i="1" s="1"/>
  <c r="Q1017" i="1" s="1"/>
  <c r="Q1018" i="1" s="1"/>
  <c r="Q1019" i="1" s="1"/>
  <c r="Q1020" i="1" s="1"/>
  <c r="Q1021" i="1" s="1"/>
  <c r="Q1022" i="1" s="1"/>
  <c r="Q1023" i="1" s="1"/>
  <c r="Q1024" i="1" s="1"/>
  <c r="Q1025" i="1" s="1"/>
  <c r="Q1026" i="1" s="1"/>
  <c r="Q1027" i="1" s="1"/>
  <c r="Q1028" i="1" s="1"/>
  <c r="Q1029" i="1" s="1"/>
  <c r="Q1030" i="1" s="1"/>
  <c r="Q1031" i="1" s="1"/>
  <c r="Q1032" i="1" s="1"/>
  <c r="Q1033" i="1" s="1"/>
  <c r="Q1034" i="1" s="1"/>
  <c r="Q1035" i="1" s="1"/>
  <c r="Q1036" i="1" s="1"/>
  <c r="Q1037" i="1" s="1"/>
  <c r="Q1038" i="1" s="1"/>
  <c r="Q1039" i="1" s="1"/>
  <c r="Q1040" i="1" s="1"/>
  <c r="Q1041" i="1" s="1"/>
  <c r="Q1042" i="1" s="1"/>
  <c r="Q1043" i="1" s="1"/>
  <c r="Q1044" i="1" s="1"/>
  <c r="Q1045" i="1" s="1"/>
  <c r="Q1046" i="1" s="1"/>
  <c r="Q1047" i="1" s="1"/>
  <c r="Q1048" i="1" s="1"/>
  <c r="Q1049" i="1" s="1"/>
  <c r="Q1050" i="1" s="1"/>
  <c r="Q1051" i="1" s="1"/>
  <c r="Q1052" i="1" s="1"/>
  <c r="Q1053" i="1" s="1"/>
  <c r="Q1054" i="1" s="1"/>
  <c r="Q1055" i="1" s="1"/>
  <c r="Q1056" i="1" s="1"/>
  <c r="Q1057" i="1" s="1"/>
  <c r="Q1058" i="1" s="1"/>
  <c r="K1016" i="1" l="1"/>
  <c r="K1017" i="1" s="1"/>
  <c r="K1018" i="1" s="1"/>
  <c r="K1019" i="1" s="1"/>
  <c r="K1020" i="1" s="1"/>
  <c r="K1021" i="1" s="1"/>
  <c r="K1022" i="1" s="1"/>
  <c r="K1023" i="1" s="1"/>
  <c r="K1024" i="1" s="1"/>
  <c r="K1025" i="1" s="1"/>
  <c r="K1026" i="1" s="1"/>
  <c r="K1027" i="1" s="1"/>
  <c r="K1028" i="1" s="1"/>
  <c r="K1029" i="1" s="1"/>
  <c r="K1030" i="1" s="1"/>
  <c r="K1031" i="1" s="1"/>
  <c r="K1032" i="1" s="1"/>
  <c r="K1033" i="1" s="1"/>
  <c r="K1034" i="1" s="1"/>
  <c r="K1035" i="1" s="1"/>
  <c r="K1036" i="1" s="1"/>
  <c r="K1037" i="1" s="1"/>
  <c r="K1038" i="1" s="1"/>
  <c r="K1039" i="1" s="1"/>
  <c r="K1040" i="1" s="1"/>
  <c r="K1041" i="1" s="1"/>
  <c r="K1042" i="1" s="1"/>
  <c r="K1043" i="1" s="1"/>
  <c r="K1044" i="1" s="1"/>
  <c r="K1045" i="1" s="1"/>
  <c r="K1046" i="1" s="1"/>
  <c r="K1047" i="1" s="1"/>
  <c r="K1048" i="1" s="1"/>
  <c r="K1049" i="1" s="1"/>
  <c r="K1050" i="1" s="1"/>
  <c r="K1051" i="1" s="1"/>
  <c r="K1052" i="1" s="1"/>
  <c r="K1053" i="1" s="1"/>
  <c r="K1054" i="1" s="1"/>
  <c r="K1055" i="1" s="1"/>
  <c r="K1056" i="1" s="1"/>
  <c r="K1057" i="1" s="1"/>
  <c r="K1058" i="1" s="1"/>
</calcChain>
</file>

<file path=xl/sharedStrings.xml><?xml version="1.0" encoding="utf-8"?>
<sst xmlns="http://schemas.openxmlformats.org/spreadsheetml/2006/main" count="113" uniqueCount="85">
  <si>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</si>
  <si>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</si>
  <si>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</si>
  <si>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</si>
  <si>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</si>
  <si>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</si>
  <si>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</si>
  <si>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</si>
  <si>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</si>
  <si>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</si>
  <si>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</si>
  <si>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</si>
  <si>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</si>
  <si>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</si>
  <si>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</si>
  <si>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</si>
  <si>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</si>
  <si>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</si>
  <si>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</si>
  <si>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</si>
  <si>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</si>
  <si>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</si>
  <si>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</si>
  <si>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</si>
  <si>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</si>
  <si>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</si>
  <si>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</si>
  <si>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</si>
  <si>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</si>
  <si>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</si>
  <si>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</si>
  <si>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</si>
  <si>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</si>
  <si>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</si>
  <si>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</si>
  <si>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</si>
  <si>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</si>
  <si>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</si>
  <si>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</si>
  <si>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</si>
  <si>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</si>
  <si>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</si>
  <si>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</si>
  <si>
    <t>Cattle</t>
  </si>
  <si>
    <t>Hogs</t>
  </si>
  <si>
    <t>SaleMonth</t>
  </si>
  <si>
    <t>Product</t>
  </si>
  <si>
    <t>Cash</t>
  </si>
  <si>
    <t>Option</t>
  </si>
  <si>
    <t>Bushels</t>
  </si>
  <si>
    <t>Bot</t>
  </si>
  <si>
    <t>Sold</t>
  </si>
  <si>
    <t>PL</t>
  </si>
  <si>
    <t>Mar</t>
  </si>
  <si>
    <t>May</t>
  </si>
  <si>
    <t>Jul</t>
  </si>
  <si>
    <t>Sep</t>
  </si>
  <si>
    <t>Dec</t>
  </si>
  <si>
    <t>Total</t>
  </si>
  <si>
    <t>Portfolio</t>
  </si>
  <si>
    <t>Percent of PL</t>
  </si>
  <si>
    <t>Total Months To Run Hedge</t>
  </si>
  <si>
    <t>Constant DHP + Sell off Long Futures</t>
  </si>
  <si>
    <t>Sell off DHP + Sell off Long Futures</t>
  </si>
  <si>
    <t># of contracts (5000 bushels / contract)</t>
  </si>
  <si>
    <t>January</t>
  </si>
  <si>
    <t>CH16</t>
  </si>
  <si>
    <t>February</t>
  </si>
  <si>
    <t>March</t>
  </si>
  <si>
    <t>CK16</t>
  </si>
  <si>
    <t>April</t>
  </si>
  <si>
    <t>CN16</t>
  </si>
  <si>
    <t>June</t>
  </si>
  <si>
    <t>July</t>
  </si>
  <si>
    <t>CU16</t>
  </si>
  <si>
    <t>August</t>
  </si>
  <si>
    <t>September</t>
  </si>
  <si>
    <t>CZ16</t>
  </si>
  <si>
    <t>October</t>
  </si>
  <si>
    <t>November</t>
  </si>
  <si>
    <t>December</t>
  </si>
  <si>
    <t>CH17</t>
  </si>
  <si>
    <t>Average Price Over Selling Month</t>
  </si>
  <si>
    <t>Selling Month In 2016</t>
  </si>
  <si>
    <t>Mar17'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</si>
</sst>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  <xf numFmtId="0" fontId="0" fillId="3" borderId="0" xfId="0" applyFill="1"/>
    <xf numFmtId="0" fontId="0" fillId="0" borderId="0" xfId="0" applyFill="1"/>
    <xf numFmtId="9" fontId="0" fillId="0" borderId="0" xfId="3" applyFont="1"/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164" fontId="0" fillId="0" borderId="0" xfId="1" applyNumberFormat="1" applyFont="1" applyAlignment="1">
      <alignment wrapText="1"/>
    </xf>
    <xf numFmtId="0" fontId="0" fillId="0" borderId="0" xfId="0" applyNumberFormat="1" applyAlignment="1">
      <alignment wrapText="1"/>
    </xf>
    <xf numFmtId="8" fontId="0" fillId="0" borderId="0" xfId="0" applyNumberFormat="1"/>
    <xf numFmtId="16" fontId="0" fillId="0" borderId="0" xfId="0" quotePrefix="1" applyNumberFormat="1"/>
    <xf numFmtId="0" fontId="0" fillId="0" borderId="0" xfId="0" quotePrefix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styles" Target="styles.xml"/><Relationship Id="rId5" Type="http://schemas.openxmlformats.org/officeDocument/2006/relationships/chartsheet" Target="chartsheets/sheet5.xml"/><Relationship Id="rId10" Type="http://schemas.openxmlformats.org/officeDocument/2006/relationships/theme" Target="theme/theme1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3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-266400</c:v>
                </c:pt>
                <c:pt idx="20">
                  <c:v>-288000</c:v>
                </c:pt>
                <c:pt idx="21">
                  <c:v>-270000</c:v>
                </c:pt>
                <c:pt idx="22">
                  <c:v>-244800</c:v>
                </c:pt>
                <c:pt idx="23">
                  <c:v>-208800</c:v>
                </c:pt>
                <c:pt idx="24">
                  <c:v>-140400</c:v>
                </c:pt>
                <c:pt idx="25">
                  <c:v>-126000</c:v>
                </c:pt>
                <c:pt idx="26">
                  <c:v>-122400</c:v>
                </c:pt>
                <c:pt idx="27">
                  <c:v>-115200</c:v>
                </c:pt>
                <c:pt idx="28">
                  <c:v>-97200</c:v>
                </c:pt>
                <c:pt idx="29">
                  <c:v>-133200</c:v>
                </c:pt>
                <c:pt idx="30">
                  <c:v>-216000</c:v>
                </c:pt>
                <c:pt idx="31">
                  <c:v>-205200</c:v>
                </c:pt>
                <c:pt idx="32">
                  <c:v>-198000</c:v>
                </c:pt>
                <c:pt idx="33">
                  <c:v>-226800</c:v>
                </c:pt>
                <c:pt idx="34">
                  <c:v>-144000</c:v>
                </c:pt>
                <c:pt idx="35">
                  <c:v>-118800</c:v>
                </c:pt>
                <c:pt idx="36">
                  <c:v>-57600</c:v>
                </c:pt>
                <c:pt idx="37">
                  <c:v>-28800</c:v>
                </c:pt>
                <c:pt idx="38">
                  <c:v>-21600</c:v>
                </c:pt>
                <c:pt idx="39">
                  <c:v>-43200</c:v>
                </c:pt>
                <c:pt idx="40">
                  <c:v>-32400</c:v>
                </c:pt>
                <c:pt idx="41">
                  <c:v>-14400</c:v>
                </c:pt>
                <c:pt idx="42">
                  <c:v>-36000</c:v>
                </c:pt>
                <c:pt idx="43">
                  <c:v>-57600</c:v>
                </c:pt>
                <c:pt idx="44">
                  <c:v>-86400</c:v>
                </c:pt>
                <c:pt idx="45">
                  <c:v>-108000</c:v>
                </c:pt>
                <c:pt idx="46">
                  <c:v>-147600</c:v>
                </c:pt>
                <c:pt idx="47">
                  <c:v>-198000</c:v>
                </c:pt>
                <c:pt idx="48">
                  <c:v>-273600</c:v>
                </c:pt>
                <c:pt idx="49">
                  <c:v>-270000</c:v>
                </c:pt>
                <c:pt idx="50">
                  <c:v>-255600</c:v>
                </c:pt>
                <c:pt idx="51">
                  <c:v>-262800</c:v>
                </c:pt>
                <c:pt idx="52">
                  <c:v>-241200</c:v>
                </c:pt>
                <c:pt idx="53">
                  <c:v>-280800</c:v>
                </c:pt>
                <c:pt idx="54">
                  <c:v>-284400</c:v>
                </c:pt>
                <c:pt idx="55">
                  <c:v>-262800</c:v>
                </c:pt>
                <c:pt idx="56">
                  <c:v>-284400</c:v>
                </c:pt>
                <c:pt idx="57">
                  <c:v>-288000</c:v>
                </c:pt>
                <c:pt idx="58">
                  <c:v>-309600</c:v>
                </c:pt>
                <c:pt idx="59">
                  <c:v>-320400</c:v>
                </c:pt>
                <c:pt idx="60">
                  <c:v>-280800</c:v>
                </c:pt>
                <c:pt idx="61">
                  <c:v>21600</c:v>
                </c:pt>
                <c:pt idx="62">
                  <c:v>-21600</c:v>
                </c:pt>
                <c:pt idx="63">
                  <c:v>-68400</c:v>
                </c:pt>
                <c:pt idx="64">
                  <c:v>-82800</c:v>
                </c:pt>
                <c:pt idx="65">
                  <c:v>-118800</c:v>
                </c:pt>
                <c:pt idx="66">
                  <c:v>-165600</c:v>
                </c:pt>
                <c:pt idx="67">
                  <c:v>-172800</c:v>
                </c:pt>
                <c:pt idx="68">
                  <c:v>-97200</c:v>
                </c:pt>
                <c:pt idx="69">
                  <c:v>-136800</c:v>
                </c:pt>
                <c:pt idx="70">
                  <c:v>-345600</c:v>
                </c:pt>
                <c:pt idx="71">
                  <c:v>-345600</c:v>
                </c:pt>
                <c:pt idx="72">
                  <c:v>-432000</c:v>
                </c:pt>
                <c:pt idx="73">
                  <c:v>-450000</c:v>
                </c:pt>
                <c:pt idx="74">
                  <c:v>-500400</c:v>
                </c:pt>
                <c:pt idx="75">
                  <c:v>-594000</c:v>
                </c:pt>
                <c:pt idx="76">
                  <c:v>-579600</c:v>
                </c:pt>
                <c:pt idx="77">
                  <c:v>-342000</c:v>
                </c:pt>
                <c:pt idx="78">
                  <c:v>-442800</c:v>
                </c:pt>
                <c:pt idx="79">
                  <c:v>-439200</c:v>
                </c:pt>
                <c:pt idx="80">
                  <c:v>-410400</c:v>
                </c:pt>
                <c:pt idx="81">
                  <c:v>-532800</c:v>
                </c:pt>
                <c:pt idx="82">
                  <c:v>-561600</c:v>
                </c:pt>
                <c:pt idx="83">
                  <c:v>-536400</c:v>
                </c:pt>
                <c:pt idx="84">
                  <c:v>-388800</c:v>
                </c:pt>
                <c:pt idx="85">
                  <c:v>-356400</c:v>
                </c:pt>
                <c:pt idx="86">
                  <c:v>-306000</c:v>
                </c:pt>
                <c:pt idx="87">
                  <c:v>-367200</c:v>
                </c:pt>
                <c:pt idx="88">
                  <c:v>-284400</c:v>
                </c:pt>
                <c:pt idx="89">
                  <c:v>-406800</c:v>
                </c:pt>
                <c:pt idx="90">
                  <c:v>-320400</c:v>
                </c:pt>
                <c:pt idx="91">
                  <c:v>-482400</c:v>
                </c:pt>
                <c:pt idx="92">
                  <c:v>-525600</c:v>
                </c:pt>
                <c:pt idx="93">
                  <c:v>-550800</c:v>
                </c:pt>
                <c:pt idx="94">
                  <c:v>-619200</c:v>
                </c:pt>
                <c:pt idx="95">
                  <c:v>-655200</c:v>
                </c:pt>
                <c:pt idx="96">
                  <c:v>-507600</c:v>
                </c:pt>
                <c:pt idx="97">
                  <c:v>-561600</c:v>
                </c:pt>
                <c:pt idx="98">
                  <c:v>-622800</c:v>
                </c:pt>
                <c:pt idx="99">
                  <c:v>-669600</c:v>
                </c:pt>
                <c:pt idx="100">
                  <c:v>-723600</c:v>
                </c:pt>
                <c:pt idx="101">
                  <c:v>-777600</c:v>
                </c:pt>
                <c:pt idx="102">
                  <c:v>-838800</c:v>
                </c:pt>
                <c:pt idx="103">
                  <c:v>-748800</c:v>
                </c:pt>
                <c:pt idx="104">
                  <c:v>-846000</c:v>
                </c:pt>
                <c:pt idx="105">
                  <c:v>-907200</c:v>
                </c:pt>
                <c:pt idx="106">
                  <c:v>-918000</c:v>
                </c:pt>
                <c:pt idx="107">
                  <c:v>-1058400</c:v>
                </c:pt>
                <c:pt idx="108">
                  <c:v>-1054800</c:v>
                </c:pt>
                <c:pt idx="109">
                  <c:v>-1134000</c:v>
                </c:pt>
                <c:pt idx="110">
                  <c:v>-1040400</c:v>
                </c:pt>
                <c:pt idx="111">
                  <c:v>-990000</c:v>
                </c:pt>
                <c:pt idx="112">
                  <c:v>-1087200</c:v>
                </c:pt>
                <c:pt idx="113">
                  <c:v>-1152000</c:v>
                </c:pt>
                <c:pt idx="114">
                  <c:v>-1112400</c:v>
                </c:pt>
                <c:pt idx="115">
                  <c:v>-1022400</c:v>
                </c:pt>
                <c:pt idx="116">
                  <c:v>-1159200</c:v>
                </c:pt>
                <c:pt idx="117">
                  <c:v>-997200</c:v>
                </c:pt>
                <c:pt idx="118">
                  <c:v>-630000</c:v>
                </c:pt>
                <c:pt idx="119">
                  <c:v>-626400</c:v>
                </c:pt>
                <c:pt idx="120">
                  <c:v>-493200</c:v>
                </c:pt>
                <c:pt idx="121">
                  <c:v>-406800</c:v>
                </c:pt>
                <c:pt idx="122">
                  <c:v>-446400</c:v>
                </c:pt>
                <c:pt idx="123">
                  <c:v>-460800</c:v>
                </c:pt>
                <c:pt idx="124">
                  <c:v>-291600</c:v>
                </c:pt>
                <c:pt idx="125">
                  <c:v>-86400</c:v>
                </c:pt>
                <c:pt idx="126">
                  <c:v>7200</c:v>
                </c:pt>
                <c:pt idx="127">
                  <c:v>172800</c:v>
                </c:pt>
                <c:pt idx="128">
                  <c:v>223200</c:v>
                </c:pt>
                <c:pt idx="129">
                  <c:v>259200</c:v>
                </c:pt>
                <c:pt idx="130">
                  <c:v>68400</c:v>
                </c:pt>
                <c:pt idx="131">
                  <c:v>147600</c:v>
                </c:pt>
                <c:pt idx="132">
                  <c:v>46800</c:v>
                </c:pt>
                <c:pt idx="133">
                  <c:v>-93600</c:v>
                </c:pt>
                <c:pt idx="134">
                  <c:v>-39600</c:v>
                </c:pt>
                <c:pt idx="135">
                  <c:v>36000</c:v>
                </c:pt>
                <c:pt idx="136">
                  <c:v>3600</c:v>
                </c:pt>
                <c:pt idx="137">
                  <c:v>172800</c:v>
                </c:pt>
                <c:pt idx="138">
                  <c:v>288000</c:v>
                </c:pt>
                <c:pt idx="139">
                  <c:v>295200</c:v>
                </c:pt>
                <c:pt idx="140">
                  <c:v>291600</c:v>
                </c:pt>
                <c:pt idx="141">
                  <c:v>313200</c:v>
                </c:pt>
                <c:pt idx="142">
                  <c:v>345600</c:v>
                </c:pt>
                <c:pt idx="143">
                  <c:v>280800</c:v>
                </c:pt>
                <c:pt idx="144">
                  <c:v>370800</c:v>
                </c:pt>
                <c:pt idx="145">
                  <c:v>316800</c:v>
                </c:pt>
                <c:pt idx="146">
                  <c:v>392400</c:v>
                </c:pt>
                <c:pt idx="147">
                  <c:v>489600</c:v>
                </c:pt>
                <c:pt idx="148">
                  <c:v>439200</c:v>
                </c:pt>
                <c:pt idx="149">
                  <c:v>475200</c:v>
                </c:pt>
                <c:pt idx="150">
                  <c:v>471600</c:v>
                </c:pt>
                <c:pt idx="151">
                  <c:v>442800</c:v>
                </c:pt>
                <c:pt idx="152">
                  <c:v>450000</c:v>
                </c:pt>
                <c:pt idx="153">
                  <c:v>442800</c:v>
                </c:pt>
                <c:pt idx="154">
                  <c:v>489600</c:v>
                </c:pt>
                <c:pt idx="155">
                  <c:v>529200</c:v>
                </c:pt>
                <c:pt idx="156">
                  <c:v>406800</c:v>
                </c:pt>
                <c:pt idx="157">
                  <c:v>396000</c:v>
                </c:pt>
                <c:pt idx="158">
                  <c:v>388800</c:v>
                </c:pt>
                <c:pt idx="159">
                  <c:v>356400</c:v>
                </c:pt>
                <c:pt idx="160">
                  <c:v>302400</c:v>
                </c:pt>
                <c:pt idx="161">
                  <c:v>320400</c:v>
                </c:pt>
                <c:pt idx="162">
                  <c:v>378000</c:v>
                </c:pt>
                <c:pt idx="163">
                  <c:v>410400</c:v>
                </c:pt>
                <c:pt idx="164">
                  <c:v>460800</c:v>
                </c:pt>
                <c:pt idx="165">
                  <c:v>540000</c:v>
                </c:pt>
                <c:pt idx="166">
                  <c:v>633600</c:v>
                </c:pt>
                <c:pt idx="167">
                  <c:v>716400</c:v>
                </c:pt>
                <c:pt idx="168">
                  <c:v>756000</c:v>
                </c:pt>
                <c:pt idx="169">
                  <c:v>666000</c:v>
                </c:pt>
                <c:pt idx="170">
                  <c:v>565200</c:v>
                </c:pt>
                <c:pt idx="171">
                  <c:v>568800</c:v>
                </c:pt>
                <c:pt idx="172">
                  <c:v>504000</c:v>
                </c:pt>
                <c:pt idx="173">
                  <c:v>421200</c:v>
                </c:pt>
                <c:pt idx="174">
                  <c:v>367200</c:v>
                </c:pt>
                <c:pt idx="175">
                  <c:v>403200</c:v>
                </c:pt>
                <c:pt idx="176">
                  <c:v>540000</c:v>
                </c:pt>
                <c:pt idx="177">
                  <c:v>532800</c:v>
                </c:pt>
                <c:pt idx="178">
                  <c:v>558000</c:v>
                </c:pt>
                <c:pt idx="179">
                  <c:v>442800</c:v>
                </c:pt>
                <c:pt idx="180">
                  <c:v>475200</c:v>
                </c:pt>
                <c:pt idx="181">
                  <c:v>396000</c:v>
                </c:pt>
                <c:pt idx="182">
                  <c:v>396000</c:v>
                </c:pt>
                <c:pt idx="183">
                  <c:v>464400</c:v>
                </c:pt>
                <c:pt idx="184">
                  <c:v>471600</c:v>
                </c:pt>
                <c:pt idx="185">
                  <c:v>554400</c:v>
                </c:pt>
                <c:pt idx="186">
                  <c:v>525600</c:v>
                </c:pt>
                <c:pt idx="187">
                  <c:v>554400</c:v>
                </c:pt>
                <c:pt idx="188">
                  <c:v>554400</c:v>
                </c:pt>
                <c:pt idx="189">
                  <c:v>486000</c:v>
                </c:pt>
                <c:pt idx="190">
                  <c:v>324000</c:v>
                </c:pt>
                <c:pt idx="191">
                  <c:v>284400</c:v>
                </c:pt>
                <c:pt idx="192">
                  <c:v>280800</c:v>
                </c:pt>
                <c:pt idx="193">
                  <c:v>392400</c:v>
                </c:pt>
                <c:pt idx="194">
                  <c:v>374400</c:v>
                </c:pt>
                <c:pt idx="195">
                  <c:v>320400</c:v>
                </c:pt>
                <c:pt idx="196">
                  <c:v>424800</c:v>
                </c:pt>
                <c:pt idx="197">
                  <c:v>298800</c:v>
                </c:pt>
                <c:pt idx="198">
                  <c:v>154800</c:v>
                </c:pt>
                <c:pt idx="199">
                  <c:v>226800</c:v>
                </c:pt>
                <c:pt idx="200">
                  <c:v>208800</c:v>
                </c:pt>
                <c:pt idx="201">
                  <c:v>162000</c:v>
                </c:pt>
                <c:pt idx="202">
                  <c:v>234000</c:v>
                </c:pt>
                <c:pt idx="203">
                  <c:v>234000</c:v>
                </c:pt>
                <c:pt idx="204">
                  <c:v>284400</c:v>
                </c:pt>
                <c:pt idx="205">
                  <c:v>277200</c:v>
                </c:pt>
                <c:pt idx="206">
                  <c:v>198000</c:v>
                </c:pt>
                <c:pt idx="207">
                  <c:v>162000</c:v>
                </c:pt>
                <c:pt idx="208">
                  <c:v>183600</c:v>
                </c:pt>
                <c:pt idx="209">
                  <c:v>172800</c:v>
                </c:pt>
                <c:pt idx="210">
                  <c:v>277200</c:v>
                </c:pt>
                <c:pt idx="211">
                  <c:v>334800</c:v>
                </c:pt>
                <c:pt idx="212">
                  <c:v>302400</c:v>
                </c:pt>
                <c:pt idx="213">
                  <c:v>295200</c:v>
                </c:pt>
                <c:pt idx="214">
                  <c:v>324000</c:v>
                </c:pt>
                <c:pt idx="215">
                  <c:v>219600</c:v>
                </c:pt>
                <c:pt idx="216">
                  <c:v>374400</c:v>
                </c:pt>
                <c:pt idx="217">
                  <c:v>381600</c:v>
                </c:pt>
                <c:pt idx="218">
                  <c:v>435600</c:v>
                </c:pt>
                <c:pt idx="219">
                  <c:v>385200</c:v>
                </c:pt>
                <c:pt idx="220">
                  <c:v>414000</c:v>
                </c:pt>
                <c:pt idx="221">
                  <c:v>374400</c:v>
                </c:pt>
                <c:pt idx="222">
                  <c:v>334800</c:v>
                </c:pt>
                <c:pt idx="223">
                  <c:v>270000</c:v>
                </c:pt>
                <c:pt idx="224">
                  <c:v>252000</c:v>
                </c:pt>
                <c:pt idx="225">
                  <c:v>262800</c:v>
                </c:pt>
                <c:pt idx="226">
                  <c:v>252000</c:v>
                </c:pt>
                <c:pt idx="227">
                  <c:v>277200</c:v>
                </c:pt>
                <c:pt idx="228">
                  <c:v>432000</c:v>
                </c:pt>
                <c:pt idx="229">
                  <c:v>432000</c:v>
                </c:pt>
                <c:pt idx="230">
                  <c:v>529200</c:v>
                </c:pt>
                <c:pt idx="231">
                  <c:v>450000</c:v>
                </c:pt>
                <c:pt idx="232">
                  <c:v>284400</c:v>
                </c:pt>
                <c:pt idx="233">
                  <c:v>284400</c:v>
                </c:pt>
                <c:pt idx="234">
                  <c:v>259200</c:v>
                </c:pt>
                <c:pt idx="235">
                  <c:v>288000</c:v>
                </c:pt>
                <c:pt idx="236">
                  <c:v>266400</c:v>
                </c:pt>
                <c:pt idx="237">
                  <c:v>212400</c:v>
                </c:pt>
                <c:pt idx="238">
                  <c:v>169200</c:v>
                </c:pt>
                <c:pt idx="239">
                  <c:v>187200</c:v>
                </c:pt>
                <c:pt idx="240">
                  <c:v>241200</c:v>
                </c:pt>
                <c:pt idx="241">
                  <c:v>259200</c:v>
                </c:pt>
                <c:pt idx="242">
                  <c:v>234000</c:v>
                </c:pt>
                <c:pt idx="243">
                  <c:v>284400</c:v>
                </c:pt>
                <c:pt idx="244">
                  <c:v>374400</c:v>
                </c:pt>
                <c:pt idx="245">
                  <c:v>388800</c:v>
                </c:pt>
                <c:pt idx="246">
                  <c:v>381600</c:v>
                </c:pt>
                <c:pt idx="247">
                  <c:v>277200</c:v>
                </c:pt>
                <c:pt idx="248">
                  <c:v>370800</c:v>
                </c:pt>
                <c:pt idx="249">
                  <c:v>342000</c:v>
                </c:pt>
                <c:pt idx="250">
                  <c:v>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-266400</c:v>
                </c:pt>
                <c:pt idx="20">
                  <c:v>-288000</c:v>
                </c:pt>
                <c:pt idx="21">
                  <c:v>-270000</c:v>
                </c:pt>
                <c:pt idx="22">
                  <c:v>-244800</c:v>
                </c:pt>
                <c:pt idx="23">
                  <c:v>-208800</c:v>
                </c:pt>
                <c:pt idx="24">
                  <c:v>-140400</c:v>
                </c:pt>
                <c:pt idx="25">
                  <c:v>-126000</c:v>
                </c:pt>
                <c:pt idx="26">
                  <c:v>-122400</c:v>
                </c:pt>
                <c:pt idx="27">
                  <c:v>-115200</c:v>
                </c:pt>
                <c:pt idx="28">
                  <c:v>-97200</c:v>
                </c:pt>
                <c:pt idx="29">
                  <c:v>-133200</c:v>
                </c:pt>
                <c:pt idx="30">
                  <c:v>-216000</c:v>
                </c:pt>
                <c:pt idx="31">
                  <c:v>-205200</c:v>
                </c:pt>
                <c:pt idx="32">
                  <c:v>-198000</c:v>
                </c:pt>
                <c:pt idx="33">
                  <c:v>-226800</c:v>
                </c:pt>
                <c:pt idx="34">
                  <c:v>-144000</c:v>
                </c:pt>
                <c:pt idx="35">
                  <c:v>-118800</c:v>
                </c:pt>
                <c:pt idx="36">
                  <c:v>-57600</c:v>
                </c:pt>
                <c:pt idx="37">
                  <c:v>-28800</c:v>
                </c:pt>
                <c:pt idx="38">
                  <c:v>-21600</c:v>
                </c:pt>
                <c:pt idx="39">
                  <c:v>-43200</c:v>
                </c:pt>
                <c:pt idx="40">
                  <c:v>-32400</c:v>
                </c:pt>
                <c:pt idx="41">
                  <c:v>-14400</c:v>
                </c:pt>
                <c:pt idx="42">
                  <c:v>-36000</c:v>
                </c:pt>
                <c:pt idx="43">
                  <c:v>-57600</c:v>
                </c:pt>
                <c:pt idx="44">
                  <c:v>-86400</c:v>
                </c:pt>
                <c:pt idx="45">
                  <c:v>-108000</c:v>
                </c:pt>
                <c:pt idx="46">
                  <c:v>-147600</c:v>
                </c:pt>
                <c:pt idx="47">
                  <c:v>-198000</c:v>
                </c:pt>
                <c:pt idx="48">
                  <c:v>-273600</c:v>
                </c:pt>
                <c:pt idx="49">
                  <c:v>-270000</c:v>
                </c:pt>
                <c:pt idx="50">
                  <c:v>-255600</c:v>
                </c:pt>
                <c:pt idx="51">
                  <c:v>-262800</c:v>
                </c:pt>
                <c:pt idx="52">
                  <c:v>-241200</c:v>
                </c:pt>
                <c:pt idx="53">
                  <c:v>-280800</c:v>
                </c:pt>
                <c:pt idx="54">
                  <c:v>-284400</c:v>
                </c:pt>
                <c:pt idx="55">
                  <c:v>-262800</c:v>
                </c:pt>
                <c:pt idx="56">
                  <c:v>-284400</c:v>
                </c:pt>
                <c:pt idx="57">
                  <c:v>-288000</c:v>
                </c:pt>
                <c:pt idx="58">
                  <c:v>-309600</c:v>
                </c:pt>
                <c:pt idx="59">
                  <c:v>-320400</c:v>
                </c:pt>
                <c:pt idx="60">
                  <c:v>-280800</c:v>
                </c:pt>
                <c:pt idx="61">
                  <c:v>21600</c:v>
                </c:pt>
                <c:pt idx="62">
                  <c:v>-21600</c:v>
                </c:pt>
                <c:pt idx="63">
                  <c:v>-68400</c:v>
                </c:pt>
                <c:pt idx="64">
                  <c:v>-82800</c:v>
                </c:pt>
                <c:pt idx="65">
                  <c:v>-118800</c:v>
                </c:pt>
                <c:pt idx="66">
                  <c:v>-165600</c:v>
                </c:pt>
                <c:pt idx="67">
                  <c:v>-172800</c:v>
                </c:pt>
                <c:pt idx="68">
                  <c:v>-97200</c:v>
                </c:pt>
                <c:pt idx="69">
                  <c:v>-136800</c:v>
                </c:pt>
                <c:pt idx="70">
                  <c:v>-345600</c:v>
                </c:pt>
                <c:pt idx="71">
                  <c:v>-345600</c:v>
                </c:pt>
                <c:pt idx="72">
                  <c:v>-432000</c:v>
                </c:pt>
                <c:pt idx="73">
                  <c:v>-450000</c:v>
                </c:pt>
                <c:pt idx="74">
                  <c:v>-500400</c:v>
                </c:pt>
                <c:pt idx="75">
                  <c:v>-594000</c:v>
                </c:pt>
                <c:pt idx="76">
                  <c:v>-579600</c:v>
                </c:pt>
                <c:pt idx="77">
                  <c:v>-342000</c:v>
                </c:pt>
                <c:pt idx="78">
                  <c:v>-442800</c:v>
                </c:pt>
                <c:pt idx="79">
                  <c:v>-439200</c:v>
                </c:pt>
                <c:pt idx="80">
                  <c:v>-410400</c:v>
                </c:pt>
                <c:pt idx="81">
                  <c:v>-532800</c:v>
                </c:pt>
                <c:pt idx="82">
                  <c:v>-561600</c:v>
                </c:pt>
                <c:pt idx="83">
                  <c:v>-536400</c:v>
                </c:pt>
                <c:pt idx="84">
                  <c:v>-388800</c:v>
                </c:pt>
                <c:pt idx="85">
                  <c:v>-356400</c:v>
                </c:pt>
                <c:pt idx="86">
                  <c:v>-306000</c:v>
                </c:pt>
                <c:pt idx="87">
                  <c:v>-367200</c:v>
                </c:pt>
                <c:pt idx="88">
                  <c:v>-284400</c:v>
                </c:pt>
                <c:pt idx="89">
                  <c:v>-406800</c:v>
                </c:pt>
                <c:pt idx="90">
                  <c:v>-320400</c:v>
                </c:pt>
                <c:pt idx="91">
                  <c:v>-482400</c:v>
                </c:pt>
                <c:pt idx="92">
                  <c:v>-525600</c:v>
                </c:pt>
                <c:pt idx="93">
                  <c:v>-550800</c:v>
                </c:pt>
                <c:pt idx="94">
                  <c:v>-619200</c:v>
                </c:pt>
                <c:pt idx="95">
                  <c:v>-655200</c:v>
                </c:pt>
                <c:pt idx="96">
                  <c:v>-507600</c:v>
                </c:pt>
                <c:pt idx="97">
                  <c:v>-561600</c:v>
                </c:pt>
                <c:pt idx="98">
                  <c:v>-622800</c:v>
                </c:pt>
                <c:pt idx="99">
                  <c:v>-669600</c:v>
                </c:pt>
                <c:pt idx="100">
                  <c:v>-723600</c:v>
                </c:pt>
                <c:pt idx="101">
                  <c:v>-777600</c:v>
                </c:pt>
                <c:pt idx="102">
                  <c:v>-838800</c:v>
                </c:pt>
                <c:pt idx="103">
                  <c:v>-748800</c:v>
                </c:pt>
                <c:pt idx="104">
                  <c:v>-846000</c:v>
                </c:pt>
                <c:pt idx="105">
                  <c:v>-907200</c:v>
                </c:pt>
                <c:pt idx="106">
                  <c:v>-918000</c:v>
                </c:pt>
                <c:pt idx="107">
                  <c:v>-1058400</c:v>
                </c:pt>
                <c:pt idx="108">
                  <c:v>-1054800</c:v>
                </c:pt>
                <c:pt idx="109">
                  <c:v>-1134000</c:v>
                </c:pt>
                <c:pt idx="110">
                  <c:v>-1040400</c:v>
                </c:pt>
                <c:pt idx="111">
                  <c:v>-990000</c:v>
                </c:pt>
                <c:pt idx="112">
                  <c:v>-1087200</c:v>
                </c:pt>
                <c:pt idx="113">
                  <c:v>-1152000</c:v>
                </c:pt>
                <c:pt idx="114">
                  <c:v>-1112400</c:v>
                </c:pt>
                <c:pt idx="115">
                  <c:v>-1022400</c:v>
                </c:pt>
                <c:pt idx="116">
                  <c:v>-1159200</c:v>
                </c:pt>
                <c:pt idx="117">
                  <c:v>-997200</c:v>
                </c:pt>
                <c:pt idx="118">
                  <c:v>-630000</c:v>
                </c:pt>
                <c:pt idx="119">
                  <c:v>-626400</c:v>
                </c:pt>
                <c:pt idx="120">
                  <c:v>-493200</c:v>
                </c:pt>
                <c:pt idx="121">
                  <c:v>-406800</c:v>
                </c:pt>
                <c:pt idx="122">
                  <c:v>-446400</c:v>
                </c:pt>
                <c:pt idx="123">
                  <c:v>-460800</c:v>
                </c:pt>
                <c:pt idx="124">
                  <c:v>-291600</c:v>
                </c:pt>
                <c:pt idx="125">
                  <c:v>-86400</c:v>
                </c:pt>
                <c:pt idx="126">
                  <c:v>7200</c:v>
                </c:pt>
                <c:pt idx="127">
                  <c:v>172800</c:v>
                </c:pt>
                <c:pt idx="128">
                  <c:v>223200</c:v>
                </c:pt>
                <c:pt idx="129">
                  <c:v>259200</c:v>
                </c:pt>
                <c:pt idx="130">
                  <c:v>68400</c:v>
                </c:pt>
                <c:pt idx="131">
                  <c:v>147600</c:v>
                </c:pt>
                <c:pt idx="132">
                  <c:v>46800</c:v>
                </c:pt>
                <c:pt idx="133">
                  <c:v>-93600</c:v>
                </c:pt>
                <c:pt idx="134">
                  <c:v>-39600</c:v>
                </c:pt>
                <c:pt idx="135">
                  <c:v>36000</c:v>
                </c:pt>
                <c:pt idx="136">
                  <c:v>3600</c:v>
                </c:pt>
                <c:pt idx="137">
                  <c:v>172800</c:v>
                </c:pt>
                <c:pt idx="138">
                  <c:v>288000</c:v>
                </c:pt>
                <c:pt idx="139">
                  <c:v>295200</c:v>
                </c:pt>
                <c:pt idx="140">
                  <c:v>291600</c:v>
                </c:pt>
                <c:pt idx="141">
                  <c:v>313200</c:v>
                </c:pt>
                <c:pt idx="142">
                  <c:v>345600</c:v>
                </c:pt>
                <c:pt idx="143">
                  <c:v>280800</c:v>
                </c:pt>
                <c:pt idx="144">
                  <c:v>370800</c:v>
                </c:pt>
                <c:pt idx="145">
                  <c:v>316800</c:v>
                </c:pt>
                <c:pt idx="146">
                  <c:v>392400</c:v>
                </c:pt>
                <c:pt idx="147">
                  <c:v>489600</c:v>
                </c:pt>
                <c:pt idx="148">
                  <c:v>439200</c:v>
                </c:pt>
                <c:pt idx="149">
                  <c:v>475200</c:v>
                </c:pt>
                <c:pt idx="150">
                  <c:v>471600</c:v>
                </c:pt>
                <c:pt idx="151">
                  <c:v>442800</c:v>
                </c:pt>
                <c:pt idx="152">
                  <c:v>450000</c:v>
                </c:pt>
                <c:pt idx="153">
                  <c:v>442800</c:v>
                </c:pt>
                <c:pt idx="154">
                  <c:v>489600</c:v>
                </c:pt>
                <c:pt idx="155">
                  <c:v>529200</c:v>
                </c:pt>
                <c:pt idx="156">
                  <c:v>406800</c:v>
                </c:pt>
                <c:pt idx="157">
                  <c:v>396000</c:v>
                </c:pt>
                <c:pt idx="158">
                  <c:v>388800</c:v>
                </c:pt>
                <c:pt idx="159">
                  <c:v>356400</c:v>
                </c:pt>
                <c:pt idx="160">
                  <c:v>302400</c:v>
                </c:pt>
                <c:pt idx="161">
                  <c:v>320400</c:v>
                </c:pt>
                <c:pt idx="162">
                  <c:v>378000</c:v>
                </c:pt>
                <c:pt idx="163">
                  <c:v>410400</c:v>
                </c:pt>
                <c:pt idx="164">
                  <c:v>460800</c:v>
                </c:pt>
                <c:pt idx="165">
                  <c:v>540000</c:v>
                </c:pt>
                <c:pt idx="166">
                  <c:v>633600</c:v>
                </c:pt>
                <c:pt idx="167">
                  <c:v>716400</c:v>
                </c:pt>
                <c:pt idx="168">
                  <c:v>756000</c:v>
                </c:pt>
                <c:pt idx="169">
                  <c:v>666000</c:v>
                </c:pt>
                <c:pt idx="170">
                  <c:v>565200</c:v>
                </c:pt>
                <c:pt idx="171">
                  <c:v>568800</c:v>
                </c:pt>
                <c:pt idx="172">
                  <c:v>504000</c:v>
                </c:pt>
                <c:pt idx="173">
                  <c:v>421200</c:v>
                </c:pt>
                <c:pt idx="174">
                  <c:v>367200</c:v>
                </c:pt>
                <c:pt idx="175">
                  <c:v>403200</c:v>
                </c:pt>
                <c:pt idx="176">
                  <c:v>540000</c:v>
                </c:pt>
                <c:pt idx="177">
                  <c:v>532800</c:v>
                </c:pt>
                <c:pt idx="178">
                  <c:v>558000</c:v>
                </c:pt>
                <c:pt idx="179">
                  <c:v>442800</c:v>
                </c:pt>
                <c:pt idx="180">
                  <c:v>475200</c:v>
                </c:pt>
                <c:pt idx="181">
                  <c:v>396000</c:v>
                </c:pt>
                <c:pt idx="182">
                  <c:v>396000</c:v>
                </c:pt>
                <c:pt idx="183">
                  <c:v>464400</c:v>
                </c:pt>
                <c:pt idx="184">
                  <c:v>471600</c:v>
                </c:pt>
                <c:pt idx="185">
                  <c:v>554400</c:v>
                </c:pt>
                <c:pt idx="186">
                  <c:v>525600</c:v>
                </c:pt>
                <c:pt idx="187">
                  <c:v>554400</c:v>
                </c:pt>
                <c:pt idx="188">
                  <c:v>554400</c:v>
                </c:pt>
                <c:pt idx="189">
                  <c:v>486000</c:v>
                </c:pt>
                <c:pt idx="190">
                  <c:v>324000</c:v>
                </c:pt>
                <c:pt idx="191">
                  <c:v>284400</c:v>
                </c:pt>
                <c:pt idx="192">
                  <c:v>280800</c:v>
                </c:pt>
                <c:pt idx="193">
                  <c:v>392400</c:v>
                </c:pt>
                <c:pt idx="194">
                  <c:v>374400</c:v>
                </c:pt>
                <c:pt idx="195">
                  <c:v>320400</c:v>
                </c:pt>
                <c:pt idx="196">
                  <c:v>424800</c:v>
                </c:pt>
                <c:pt idx="197">
                  <c:v>298800</c:v>
                </c:pt>
                <c:pt idx="198">
                  <c:v>154800</c:v>
                </c:pt>
                <c:pt idx="199">
                  <c:v>226800</c:v>
                </c:pt>
                <c:pt idx="200">
                  <c:v>208800</c:v>
                </c:pt>
                <c:pt idx="201">
                  <c:v>162000</c:v>
                </c:pt>
                <c:pt idx="202">
                  <c:v>234000</c:v>
                </c:pt>
                <c:pt idx="203">
                  <c:v>234000</c:v>
                </c:pt>
                <c:pt idx="204">
                  <c:v>284400</c:v>
                </c:pt>
                <c:pt idx="205">
                  <c:v>277200</c:v>
                </c:pt>
                <c:pt idx="206">
                  <c:v>198000</c:v>
                </c:pt>
                <c:pt idx="207">
                  <c:v>162000</c:v>
                </c:pt>
                <c:pt idx="208">
                  <c:v>183600</c:v>
                </c:pt>
                <c:pt idx="209">
                  <c:v>172800</c:v>
                </c:pt>
                <c:pt idx="210">
                  <c:v>277200</c:v>
                </c:pt>
                <c:pt idx="211">
                  <c:v>334800</c:v>
                </c:pt>
                <c:pt idx="212">
                  <c:v>302400</c:v>
                </c:pt>
                <c:pt idx="213">
                  <c:v>295200</c:v>
                </c:pt>
                <c:pt idx="214">
                  <c:v>324000</c:v>
                </c:pt>
                <c:pt idx="215">
                  <c:v>219600</c:v>
                </c:pt>
                <c:pt idx="216">
                  <c:v>374400</c:v>
                </c:pt>
                <c:pt idx="217">
                  <c:v>381600</c:v>
                </c:pt>
                <c:pt idx="218">
                  <c:v>435600</c:v>
                </c:pt>
                <c:pt idx="219">
                  <c:v>385200</c:v>
                </c:pt>
                <c:pt idx="220">
                  <c:v>414000</c:v>
                </c:pt>
                <c:pt idx="221">
                  <c:v>374400</c:v>
                </c:pt>
                <c:pt idx="222">
                  <c:v>334800</c:v>
                </c:pt>
                <c:pt idx="223">
                  <c:v>270000</c:v>
                </c:pt>
                <c:pt idx="224">
                  <c:v>252000</c:v>
                </c:pt>
                <c:pt idx="225">
                  <c:v>262800</c:v>
                </c:pt>
                <c:pt idx="226">
                  <c:v>252000</c:v>
                </c:pt>
                <c:pt idx="227">
                  <c:v>277200</c:v>
                </c:pt>
                <c:pt idx="228">
                  <c:v>432000</c:v>
                </c:pt>
                <c:pt idx="229">
                  <c:v>432000</c:v>
                </c:pt>
                <c:pt idx="230">
                  <c:v>529200</c:v>
                </c:pt>
                <c:pt idx="231">
                  <c:v>450000</c:v>
                </c:pt>
                <c:pt idx="232">
                  <c:v>284400</c:v>
                </c:pt>
                <c:pt idx="233">
                  <c:v>284400</c:v>
                </c:pt>
                <c:pt idx="234">
                  <c:v>259200</c:v>
                </c:pt>
                <c:pt idx="235">
                  <c:v>288000</c:v>
                </c:pt>
                <c:pt idx="236">
                  <c:v>266400</c:v>
                </c:pt>
                <c:pt idx="237">
                  <c:v>212400</c:v>
                </c:pt>
                <c:pt idx="238">
                  <c:v>169200</c:v>
                </c:pt>
                <c:pt idx="239">
                  <c:v>187200</c:v>
                </c:pt>
                <c:pt idx="240">
                  <c:v>241200</c:v>
                </c:pt>
                <c:pt idx="241">
                  <c:v>259200</c:v>
                </c:pt>
                <c:pt idx="242">
                  <c:v>234000</c:v>
                </c:pt>
                <c:pt idx="243">
                  <c:v>284400</c:v>
                </c:pt>
                <c:pt idx="244">
                  <c:v>374400</c:v>
                </c:pt>
                <c:pt idx="245">
                  <c:v>388800</c:v>
                </c:pt>
                <c:pt idx="246">
                  <c:v>381600</c:v>
                </c:pt>
                <c:pt idx="247">
                  <c:v>277200</c:v>
                </c:pt>
                <c:pt idx="248">
                  <c:v>370800</c:v>
                </c:pt>
                <c:pt idx="249">
                  <c:v>342000</c:v>
                </c:pt>
                <c:pt idx="250">
                  <c:v>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-266400</c:v>
                </c:pt>
                <c:pt idx="20">
                  <c:v>-288000</c:v>
                </c:pt>
                <c:pt idx="21">
                  <c:v>-270000</c:v>
                </c:pt>
                <c:pt idx="22">
                  <c:v>-244800</c:v>
                </c:pt>
                <c:pt idx="23">
                  <c:v>-208800</c:v>
                </c:pt>
                <c:pt idx="24">
                  <c:v>-140400</c:v>
                </c:pt>
                <c:pt idx="25">
                  <c:v>-126000</c:v>
                </c:pt>
                <c:pt idx="26">
                  <c:v>-122400</c:v>
                </c:pt>
                <c:pt idx="27">
                  <c:v>-115200</c:v>
                </c:pt>
                <c:pt idx="28">
                  <c:v>-97200</c:v>
                </c:pt>
                <c:pt idx="29">
                  <c:v>-133200</c:v>
                </c:pt>
                <c:pt idx="30">
                  <c:v>-216000</c:v>
                </c:pt>
                <c:pt idx="31">
                  <c:v>-205200</c:v>
                </c:pt>
                <c:pt idx="32">
                  <c:v>-198000</c:v>
                </c:pt>
                <c:pt idx="33">
                  <c:v>-226800</c:v>
                </c:pt>
                <c:pt idx="34">
                  <c:v>-144000</c:v>
                </c:pt>
                <c:pt idx="35">
                  <c:v>-118800</c:v>
                </c:pt>
                <c:pt idx="36">
                  <c:v>-57600</c:v>
                </c:pt>
                <c:pt idx="37">
                  <c:v>-28800</c:v>
                </c:pt>
                <c:pt idx="38">
                  <c:v>-21600</c:v>
                </c:pt>
                <c:pt idx="39">
                  <c:v>-43200</c:v>
                </c:pt>
                <c:pt idx="40">
                  <c:v>-32400</c:v>
                </c:pt>
                <c:pt idx="41">
                  <c:v>-14400</c:v>
                </c:pt>
                <c:pt idx="42">
                  <c:v>-36000</c:v>
                </c:pt>
                <c:pt idx="43">
                  <c:v>-57600</c:v>
                </c:pt>
                <c:pt idx="44">
                  <c:v>-86400</c:v>
                </c:pt>
                <c:pt idx="45">
                  <c:v>-108000</c:v>
                </c:pt>
                <c:pt idx="46">
                  <c:v>-147600</c:v>
                </c:pt>
                <c:pt idx="47">
                  <c:v>-198000</c:v>
                </c:pt>
                <c:pt idx="48">
                  <c:v>-273600</c:v>
                </c:pt>
                <c:pt idx="49">
                  <c:v>-270000</c:v>
                </c:pt>
                <c:pt idx="50">
                  <c:v>-255600</c:v>
                </c:pt>
                <c:pt idx="51">
                  <c:v>-262800</c:v>
                </c:pt>
                <c:pt idx="52">
                  <c:v>-241200</c:v>
                </c:pt>
                <c:pt idx="53">
                  <c:v>-280800</c:v>
                </c:pt>
                <c:pt idx="54">
                  <c:v>-284400</c:v>
                </c:pt>
                <c:pt idx="55">
                  <c:v>-262800</c:v>
                </c:pt>
                <c:pt idx="56">
                  <c:v>-284400</c:v>
                </c:pt>
                <c:pt idx="57">
                  <c:v>-288000</c:v>
                </c:pt>
                <c:pt idx="58">
                  <c:v>-309600</c:v>
                </c:pt>
                <c:pt idx="59">
                  <c:v>-320400</c:v>
                </c:pt>
                <c:pt idx="60">
                  <c:v>-280800</c:v>
                </c:pt>
                <c:pt idx="61">
                  <c:v>21600</c:v>
                </c:pt>
                <c:pt idx="62">
                  <c:v>-21600</c:v>
                </c:pt>
                <c:pt idx="63">
                  <c:v>-68400</c:v>
                </c:pt>
                <c:pt idx="64">
                  <c:v>-82800</c:v>
                </c:pt>
                <c:pt idx="65">
                  <c:v>-118800</c:v>
                </c:pt>
                <c:pt idx="66">
                  <c:v>-165600</c:v>
                </c:pt>
                <c:pt idx="67">
                  <c:v>-172800</c:v>
                </c:pt>
                <c:pt idx="68">
                  <c:v>-97200</c:v>
                </c:pt>
                <c:pt idx="69">
                  <c:v>-136800</c:v>
                </c:pt>
                <c:pt idx="70">
                  <c:v>-345600</c:v>
                </c:pt>
                <c:pt idx="71">
                  <c:v>-345600</c:v>
                </c:pt>
                <c:pt idx="72">
                  <c:v>-432000</c:v>
                </c:pt>
                <c:pt idx="73">
                  <c:v>-450000</c:v>
                </c:pt>
                <c:pt idx="74">
                  <c:v>-500400</c:v>
                </c:pt>
                <c:pt idx="75">
                  <c:v>-594000</c:v>
                </c:pt>
                <c:pt idx="76">
                  <c:v>-579600</c:v>
                </c:pt>
                <c:pt idx="77">
                  <c:v>-342000</c:v>
                </c:pt>
                <c:pt idx="78">
                  <c:v>-442800</c:v>
                </c:pt>
                <c:pt idx="79">
                  <c:v>-439200</c:v>
                </c:pt>
                <c:pt idx="80">
                  <c:v>-410400</c:v>
                </c:pt>
                <c:pt idx="81">
                  <c:v>-532800</c:v>
                </c:pt>
                <c:pt idx="82">
                  <c:v>-561600</c:v>
                </c:pt>
                <c:pt idx="83">
                  <c:v>-536400</c:v>
                </c:pt>
                <c:pt idx="84">
                  <c:v>-388800</c:v>
                </c:pt>
                <c:pt idx="85">
                  <c:v>-356400</c:v>
                </c:pt>
                <c:pt idx="86">
                  <c:v>-306000</c:v>
                </c:pt>
                <c:pt idx="87">
                  <c:v>-367200</c:v>
                </c:pt>
                <c:pt idx="88">
                  <c:v>-284400</c:v>
                </c:pt>
                <c:pt idx="89">
                  <c:v>-406800</c:v>
                </c:pt>
                <c:pt idx="90">
                  <c:v>-320400</c:v>
                </c:pt>
                <c:pt idx="91">
                  <c:v>-482400</c:v>
                </c:pt>
                <c:pt idx="92">
                  <c:v>-525600</c:v>
                </c:pt>
                <c:pt idx="93">
                  <c:v>-550800</c:v>
                </c:pt>
                <c:pt idx="94">
                  <c:v>-619200</c:v>
                </c:pt>
                <c:pt idx="95">
                  <c:v>-655200</c:v>
                </c:pt>
                <c:pt idx="96">
                  <c:v>-507600</c:v>
                </c:pt>
                <c:pt idx="97">
                  <c:v>-561600</c:v>
                </c:pt>
                <c:pt idx="98">
                  <c:v>-622800</c:v>
                </c:pt>
                <c:pt idx="99">
                  <c:v>-669600</c:v>
                </c:pt>
                <c:pt idx="100">
                  <c:v>-723600</c:v>
                </c:pt>
                <c:pt idx="101">
                  <c:v>-777600</c:v>
                </c:pt>
                <c:pt idx="102">
                  <c:v>-838800</c:v>
                </c:pt>
                <c:pt idx="103">
                  <c:v>-748800</c:v>
                </c:pt>
                <c:pt idx="104">
                  <c:v>-846000</c:v>
                </c:pt>
                <c:pt idx="105">
                  <c:v>-907200</c:v>
                </c:pt>
                <c:pt idx="106">
                  <c:v>-918000</c:v>
                </c:pt>
                <c:pt idx="107">
                  <c:v>-1058400</c:v>
                </c:pt>
                <c:pt idx="108">
                  <c:v>-1054800</c:v>
                </c:pt>
                <c:pt idx="109">
                  <c:v>-1134000</c:v>
                </c:pt>
                <c:pt idx="110">
                  <c:v>-1040400</c:v>
                </c:pt>
                <c:pt idx="111">
                  <c:v>-990000</c:v>
                </c:pt>
                <c:pt idx="112">
                  <c:v>-1087200</c:v>
                </c:pt>
                <c:pt idx="113">
                  <c:v>-1152000</c:v>
                </c:pt>
                <c:pt idx="114">
                  <c:v>-1112400</c:v>
                </c:pt>
                <c:pt idx="115">
                  <c:v>-1022400</c:v>
                </c:pt>
                <c:pt idx="116">
                  <c:v>-1159200</c:v>
                </c:pt>
                <c:pt idx="117">
                  <c:v>-997200</c:v>
                </c:pt>
                <c:pt idx="118">
                  <c:v>-630000</c:v>
                </c:pt>
                <c:pt idx="119">
                  <c:v>-626400</c:v>
                </c:pt>
                <c:pt idx="120">
                  <c:v>-493200</c:v>
                </c:pt>
                <c:pt idx="121">
                  <c:v>-406800</c:v>
                </c:pt>
                <c:pt idx="122">
                  <c:v>-446400</c:v>
                </c:pt>
                <c:pt idx="123">
                  <c:v>-460800</c:v>
                </c:pt>
                <c:pt idx="124">
                  <c:v>-291600</c:v>
                </c:pt>
                <c:pt idx="125">
                  <c:v>-86400</c:v>
                </c:pt>
                <c:pt idx="126">
                  <c:v>7200</c:v>
                </c:pt>
                <c:pt idx="127">
                  <c:v>172800</c:v>
                </c:pt>
                <c:pt idx="128">
                  <c:v>223200</c:v>
                </c:pt>
                <c:pt idx="129">
                  <c:v>259200</c:v>
                </c:pt>
                <c:pt idx="130">
                  <c:v>68400</c:v>
                </c:pt>
                <c:pt idx="131">
                  <c:v>147600</c:v>
                </c:pt>
                <c:pt idx="132">
                  <c:v>46800</c:v>
                </c:pt>
                <c:pt idx="133">
                  <c:v>-93600</c:v>
                </c:pt>
                <c:pt idx="134">
                  <c:v>-39600</c:v>
                </c:pt>
                <c:pt idx="135">
                  <c:v>36000</c:v>
                </c:pt>
                <c:pt idx="136">
                  <c:v>3600</c:v>
                </c:pt>
                <c:pt idx="137">
                  <c:v>172800</c:v>
                </c:pt>
                <c:pt idx="138">
                  <c:v>288000</c:v>
                </c:pt>
                <c:pt idx="139">
                  <c:v>295200</c:v>
                </c:pt>
                <c:pt idx="140">
                  <c:v>291600</c:v>
                </c:pt>
                <c:pt idx="141">
                  <c:v>313200</c:v>
                </c:pt>
                <c:pt idx="142">
                  <c:v>345600</c:v>
                </c:pt>
                <c:pt idx="143">
                  <c:v>280800</c:v>
                </c:pt>
                <c:pt idx="144">
                  <c:v>370800</c:v>
                </c:pt>
                <c:pt idx="145">
                  <c:v>316800</c:v>
                </c:pt>
                <c:pt idx="146">
                  <c:v>392400</c:v>
                </c:pt>
                <c:pt idx="147">
                  <c:v>489600</c:v>
                </c:pt>
                <c:pt idx="148">
                  <c:v>439200</c:v>
                </c:pt>
                <c:pt idx="149">
                  <c:v>475200</c:v>
                </c:pt>
                <c:pt idx="150">
                  <c:v>471600</c:v>
                </c:pt>
                <c:pt idx="151">
                  <c:v>442800</c:v>
                </c:pt>
                <c:pt idx="152">
                  <c:v>450000</c:v>
                </c:pt>
                <c:pt idx="153">
                  <c:v>442800</c:v>
                </c:pt>
                <c:pt idx="154">
                  <c:v>489600</c:v>
                </c:pt>
                <c:pt idx="155">
                  <c:v>529200</c:v>
                </c:pt>
                <c:pt idx="156">
                  <c:v>406800</c:v>
                </c:pt>
                <c:pt idx="157">
                  <c:v>396000</c:v>
                </c:pt>
                <c:pt idx="158">
                  <c:v>388800</c:v>
                </c:pt>
                <c:pt idx="159">
                  <c:v>356400</c:v>
                </c:pt>
                <c:pt idx="160">
                  <c:v>302400</c:v>
                </c:pt>
                <c:pt idx="161">
                  <c:v>320400</c:v>
                </c:pt>
                <c:pt idx="162">
                  <c:v>378000</c:v>
                </c:pt>
                <c:pt idx="163">
                  <c:v>410400</c:v>
                </c:pt>
                <c:pt idx="164">
                  <c:v>460800</c:v>
                </c:pt>
                <c:pt idx="165">
                  <c:v>540000</c:v>
                </c:pt>
                <c:pt idx="166">
                  <c:v>633600</c:v>
                </c:pt>
                <c:pt idx="167">
                  <c:v>716400</c:v>
                </c:pt>
                <c:pt idx="168">
                  <c:v>756000</c:v>
                </c:pt>
                <c:pt idx="169">
                  <c:v>666000</c:v>
                </c:pt>
                <c:pt idx="170">
                  <c:v>565200</c:v>
                </c:pt>
                <c:pt idx="171">
                  <c:v>568800</c:v>
                </c:pt>
                <c:pt idx="172">
                  <c:v>504000</c:v>
                </c:pt>
                <c:pt idx="173">
                  <c:v>421200</c:v>
                </c:pt>
                <c:pt idx="174">
                  <c:v>367200</c:v>
                </c:pt>
                <c:pt idx="175">
                  <c:v>403200</c:v>
                </c:pt>
                <c:pt idx="176">
                  <c:v>540000</c:v>
                </c:pt>
                <c:pt idx="177">
                  <c:v>532800</c:v>
                </c:pt>
                <c:pt idx="178">
                  <c:v>558000</c:v>
                </c:pt>
                <c:pt idx="179">
                  <c:v>442800</c:v>
                </c:pt>
                <c:pt idx="180">
                  <c:v>475200</c:v>
                </c:pt>
                <c:pt idx="181">
                  <c:v>396000</c:v>
                </c:pt>
                <c:pt idx="182">
                  <c:v>396000</c:v>
                </c:pt>
                <c:pt idx="183">
                  <c:v>464400</c:v>
                </c:pt>
                <c:pt idx="184">
                  <c:v>471600</c:v>
                </c:pt>
                <c:pt idx="185">
                  <c:v>554400</c:v>
                </c:pt>
                <c:pt idx="186">
                  <c:v>525600</c:v>
                </c:pt>
                <c:pt idx="187">
                  <c:v>554400</c:v>
                </c:pt>
                <c:pt idx="188">
                  <c:v>554400</c:v>
                </c:pt>
                <c:pt idx="189">
                  <c:v>486000</c:v>
                </c:pt>
                <c:pt idx="190">
                  <c:v>324000</c:v>
                </c:pt>
                <c:pt idx="191">
                  <c:v>284400</c:v>
                </c:pt>
                <c:pt idx="192">
                  <c:v>280800</c:v>
                </c:pt>
                <c:pt idx="193">
                  <c:v>392400</c:v>
                </c:pt>
                <c:pt idx="194">
                  <c:v>374400</c:v>
                </c:pt>
                <c:pt idx="195">
                  <c:v>320400</c:v>
                </c:pt>
                <c:pt idx="196">
                  <c:v>424800</c:v>
                </c:pt>
                <c:pt idx="197">
                  <c:v>298800</c:v>
                </c:pt>
                <c:pt idx="198">
                  <c:v>154800</c:v>
                </c:pt>
                <c:pt idx="199">
                  <c:v>226800</c:v>
                </c:pt>
                <c:pt idx="200">
                  <c:v>208800</c:v>
                </c:pt>
                <c:pt idx="201">
                  <c:v>162000</c:v>
                </c:pt>
                <c:pt idx="202">
                  <c:v>234000</c:v>
                </c:pt>
                <c:pt idx="203">
                  <c:v>234000</c:v>
                </c:pt>
                <c:pt idx="204">
                  <c:v>284400</c:v>
                </c:pt>
                <c:pt idx="205">
                  <c:v>277200</c:v>
                </c:pt>
                <c:pt idx="206">
                  <c:v>198000</c:v>
                </c:pt>
                <c:pt idx="207">
                  <c:v>162000</c:v>
                </c:pt>
                <c:pt idx="208">
                  <c:v>183600</c:v>
                </c:pt>
                <c:pt idx="209">
                  <c:v>172800</c:v>
                </c:pt>
                <c:pt idx="210">
                  <c:v>277200</c:v>
                </c:pt>
                <c:pt idx="211">
                  <c:v>334800</c:v>
                </c:pt>
                <c:pt idx="212">
                  <c:v>302400</c:v>
                </c:pt>
                <c:pt idx="213">
                  <c:v>295200</c:v>
                </c:pt>
                <c:pt idx="214">
                  <c:v>324000</c:v>
                </c:pt>
                <c:pt idx="215">
                  <c:v>219600</c:v>
                </c:pt>
                <c:pt idx="216">
                  <c:v>374400</c:v>
                </c:pt>
                <c:pt idx="217">
                  <c:v>381600</c:v>
                </c:pt>
                <c:pt idx="218">
                  <c:v>435600</c:v>
                </c:pt>
                <c:pt idx="219">
                  <c:v>385200</c:v>
                </c:pt>
                <c:pt idx="220">
                  <c:v>414000</c:v>
                </c:pt>
                <c:pt idx="221">
                  <c:v>374400</c:v>
                </c:pt>
                <c:pt idx="222">
                  <c:v>334800</c:v>
                </c:pt>
                <c:pt idx="223">
                  <c:v>270000</c:v>
                </c:pt>
                <c:pt idx="224">
                  <c:v>252000</c:v>
                </c:pt>
                <c:pt idx="225">
                  <c:v>262800</c:v>
                </c:pt>
                <c:pt idx="226">
                  <c:v>252000</c:v>
                </c:pt>
                <c:pt idx="227">
                  <c:v>277200</c:v>
                </c:pt>
                <c:pt idx="228">
                  <c:v>432000</c:v>
                </c:pt>
                <c:pt idx="229">
                  <c:v>432000</c:v>
                </c:pt>
                <c:pt idx="230">
                  <c:v>529200</c:v>
                </c:pt>
                <c:pt idx="231">
                  <c:v>450000</c:v>
                </c:pt>
                <c:pt idx="232">
                  <c:v>284400</c:v>
                </c:pt>
                <c:pt idx="233">
                  <c:v>284400</c:v>
                </c:pt>
                <c:pt idx="234">
                  <c:v>259200</c:v>
                </c:pt>
                <c:pt idx="235">
                  <c:v>288000</c:v>
                </c:pt>
                <c:pt idx="236">
                  <c:v>266400</c:v>
                </c:pt>
                <c:pt idx="237">
                  <c:v>212400</c:v>
                </c:pt>
                <c:pt idx="238">
                  <c:v>169200</c:v>
                </c:pt>
                <c:pt idx="239">
                  <c:v>187200</c:v>
                </c:pt>
                <c:pt idx="240">
                  <c:v>241200</c:v>
                </c:pt>
                <c:pt idx="241">
                  <c:v>259200</c:v>
                </c:pt>
                <c:pt idx="242">
                  <c:v>234000</c:v>
                </c:pt>
                <c:pt idx="243">
                  <c:v>284400</c:v>
                </c:pt>
                <c:pt idx="244">
                  <c:v>374400</c:v>
                </c:pt>
                <c:pt idx="245">
                  <c:v>388800</c:v>
                </c:pt>
                <c:pt idx="246">
                  <c:v>381600</c:v>
                </c:pt>
                <c:pt idx="247">
                  <c:v>277200</c:v>
                </c:pt>
                <c:pt idx="248">
                  <c:v>370800</c:v>
                </c:pt>
                <c:pt idx="249">
                  <c:v>342000</c:v>
                </c:pt>
                <c:pt idx="250">
                  <c:v>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278755</c:v>
                </c:pt>
                <c:pt idx="20">
                  <c:v>290975</c:v>
                </c:pt>
                <c:pt idx="21">
                  <c:v>275460</c:v>
                </c:pt>
                <c:pt idx="22">
                  <c:v>257435</c:v>
                </c:pt>
                <c:pt idx="23">
                  <c:v>228050</c:v>
                </c:pt>
                <c:pt idx="24">
                  <c:v>171200</c:v>
                </c:pt>
                <c:pt idx="25">
                  <c:v>158550</c:v>
                </c:pt>
                <c:pt idx="26">
                  <c:v>155300</c:v>
                </c:pt>
                <c:pt idx="27">
                  <c:v>148765</c:v>
                </c:pt>
                <c:pt idx="28">
                  <c:v>132655</c:v>
                </c:pt>
                <c:pt idx="29">
                  <c:v>164560</c:v>
                </c:pt>
                <c:pt idx="30">
                  <c:v>252295</c:v>
                </c:pt>
                <c:pt idx="31">
                  <c:v>239185</c:v>
                </c:pt>
                <c:pt idx="32">
                  <c:v>228660</c:v>
                </c:pt>
                <c:pt idx="33">
                  <c:v>257705</c:v>
                </c:pt>
                <c:pt idx="34">
                  <c:v>187610</c:v>
                </c:pt>
                <c:pt idx="35">
                  <c:v>163320</c:v>
                </c:pt>
                <c:pt idx="36">
                  <c:v>114790</c:v>
                </c:pt>
                <c:pt idx="37">
                  <c:v>91030</c:v>
                </c:pt>
                <c:pt idx="38">
                  <c:v>84285</c:v>
                </c:pt>
                <c:pt idx="39">
                  <c:v>105745</c:v>
                </c:pt>
                <c:pt idx="40">
                  <c:v>93895</c:v>
                </c:pt>
                <c:pt idx="41">
                  <c:v>76455</c:v>
                </c:pt>
                <c:pt idx="42">
                  <c:v>106805</c:v>
                </c:pt>
                <c:pt idx="43">
                  <c:v>139500</c:v>
                </c:pt>
                <c:pt idx="44">
                  <c:v>166445</c:v>
                </c:pt>
                <c:pt idx="45">
                  <c:v>187240</c:v>
                </c:pt>
                <c:pt idx="46">
                  <c:v>224320</c:v>
                </c:pt>
                <c:pt idx="47">
                  <c:v>269575</c:v>
                </c:pt>
                <c:pt idx="48">
                  <c:v>339365</c:v>
                </c:pt>
                <c:pt idx="49">
                  <c:v>336430</c:v>
                </c:pt>
                <c:pt idx="50">
                  <c:v>325705</c:v>
                </c:pt>
                <c:pt idx="51">
                  <c:v>330595</c:v>
                </c:pt>
                <c:pt idx="52">
                  <c:v>311725</c:v>
                </c:pt>
                <c:pt idx="53">
                  <c:v>343870</c:v>
                </c:pt>
                <c:pt idx="54">
                  <c:v>346840</c:v>
                </c:pt>
                <c:pt idx="55">
                  <c:v>325590</c:v>
                </c:pt>
                <c:pt idx="56">
                  <c:v>345370</c:v>
                </c:pt>
                <c:pt idx="57">
                  <c:v>348550</c:v>
                </c:pt>
                <c:pt idx="58">
                  <c:v>367770</c:v>
                </c:pt>
                <c:pt idx="59">
                  <c:v>376785</c:v>
                </c:pt>
                <c:pt idx="60">
                  <c:v>343905</c:v>
                </c:pt>
                <c:pt idx="61">
                  <c:v>93725</c:v>
                </c:pt>
                <c:pt idx="62">
                  <c:v>137135</c:v>
                </c:pt>
                <c:pt idx="63">
                  <c:v>184390</c:v>
                </c:pt>
                <c:pt idx="64">
                  <c:v>198615</c:v>
                </c:pt>
                <c:pt idx="65">
                  <c:v>240810</c:v>
                </c:pt>
                <c:pt idx="66">
                  <c:v>295030</c:v>
                </c:pt>
                <c:pt idx="67">
                  <c:v>304540</c:v>
                </c:pt>
                <c:pt idx="68">
                  <c:v>212910</c:v>
                </c:pt>
                <c:pt idx="69">
                  <c:v>252440</c:v>
                </c:pt>
                <c:pt idx="70">
                  <c:v>495540</c:v>
                </c:pt>
                <c:pt idx="71">
                  <c:v>493860</c:v>
                </c:pt>
                <c:pt idx="72">
                  <c:v>570180</c:v>
                </c:pt>
                <c:pt idx="73">
                  <c:v>583665</c:v>
                </c:pt>
                <c:pt idx="74">
                  <c:v>625000</c:v>
                </c:pt>
                <c:pt idx="75">
                  <c:v>699420</c:v>
                </c:pt>
                <c:pt idx="76">
                  <c:v>683340</c:v>
                </c:pt>
                <c:pt idx="77">
                  <c:v>471220</c:v>
                </c:pt>
                <c:pt idx="78">
                  <c:v>573910</c:v>
                </c:pt>
                <c:pt idx="79">
                  <c:v>569085</c:v>
                </c:pt>
                <c:pt idx="80">
                  <c:v>539025</c:v>
                </c:pt>
                <c:pt idx="81">
                  <c:v>642875</c:v>
                </c:pt>
                <c:pt idx="82">
                  <c:v>671710</c:v>
                </c:pt>
                <c:pt idx="83">
                  <c:v>649940</c:v>
                </c:pt>
                <c:pt idx="84">
                  <c:v>523025</c:v>
                </c:pt>
                <c:pt idx="85">
                  <c:v>491360</c:v>
                </c:pt>
                <c:pt idx="86">
                  <c:v>450900</c:v>
                </c:pt>
                <c:pt idx="87">
                  <c:v>505345</c:v>
                </c:pt>
                <c:pt idx="88">
                  <c:v>431190</c:v>
                </c:pt>
                <c:pt idx="89">
                  <c:v>532310</c:v>
                </c:pt>
                <c:pt idx="90">
                  <c:v>446155</c:v>
                </c:pt>
                <c:pt idx="91">
                  <c:v>607770</c:v>
                </c:pt>
                <c:pt idx="92">
                  <c:v>650410</c:v>
                </c:pt>
                <c:pt idx="93">
                  <c:v>682855</c:v>
                </c:pt>
                <c:pt idx="94">
                  <c:v>750660</c:v>
                </c:pt>
                <c:pt idx="95">
                  <c:v>789425</c:v>
                </c:pt>
                <c:pt idx="96">
                  <c:v>631430</c:v>
                </c:pt>
                <c:pt idx="97">
                  <c:v>682945</c:v>
                </c:pt>
                <c:pt idx="98">
                  <c:v>744180</c:v>
                </c:pt>
                <c:pt idx="99">
                  <c:v>790945</c:v>
                </c:pt>
                <c:pt idx="100">
                  <c:v>844665</c:v>
                </c:pt>
                <c:pt idx="101">
                  <c:v>895095</c:v>
                </c:pt>
                <c:pt idx="102">
                  <c:v>952515</c:v>
                </c:pt>
                <c:pt idx="103">
                  <c:v>865910</c:v>
                </c:pt>
                <c:pt idx="104">
                  <c:v>949775</c:v>
                </c:pt>
                <c:pt idx="105">
                  <c:v>1008455</c:v>
                </c:pt>
                <c:pt idx="106">
                  <c:v>1018415</c:v>
                </c:pt>
                <c:pt idx="107">
                  <c:v>1153320</c:v>
                </c:pt>
                <c:pt idx="108">
                  <c:v>1151715</c:v>
                </c:pt>
                <c:pt idx="109">
                  <c:v>1220730</c:v>
                </c:pt>
                <c:pt idx="110">
                  <c:v>1129685</c:v>
                </c:pt>
                <c:pt idx="111">
                  <c:v>1080370</c:v>
                </c:pt>
                <c:pt idx="112">
                  <c:v>1172320</c:v>
                </c:pt>
                <c:pt idx="113">
                  <c:v>1241565</c:v>
                </c:pt>
                <c:pt idx="114">
                  <c:v>1202420</c:v>
                </c:pt>
                <c:pt idx="115">
                  <c:v>1120645</c:v>
                </c:pt>
                <c:pt idx="116">
                  <c:v>1252055</c:v>
                </c:pt>
                <c:pt idx="117">
                  <c:v>1095270</c:v>
                </c:pt>
                <c:pt idx="118">
                  <c:v>771155</c:v>
                </c:pt>
                <c:pt idx="119">
                  <c:v>765770</c:v>
                </c:pt>
                <c:pt idx="120">
                  <c:v>631205</c:v>
                </c:pt>
                <c:pt idx="121">
                  <c:v>545750</c:v>
                </c:pt>
                <c:pt idx="122">
                  <c:v>582305</c:v>
                </c:pt>
                <c:pt idx="123">
                  <c:v>594185</c:v>
                </c:pt>
                <c:pt idx="124">
                  <c:v>462050</c:v>
                </c:pt>
                <c:pt idx="125">
                  <c:v>305360</c:v>
                </c:pt>
                <c:pt idx="126">
                  <c:v>243435</c:v>
                </c:pt>
                <c:pt idx="127">
                  <c:v>111610</c:v>
                </c:pt>
                <c:pt idx="128">
                  <c:v>77905</c:v>
                </c:pt>
                <c:pt idx="129">
                  <c:v>42955</c:v>
                </c:pt>
                <c:pt idx="130">
                  <c:v>225565</c:v>
                </c:pt>
                <c:pt idx="131">
                  <c:v>145700</c:v>
                </c:pt>
                <c:pt idx="132">
                  <c:v>241145</c:v>
                </c:pt>
                <c:pt idx="133">
                  <c:v>381615</c:v>
                </c:pt>
                <c:pt idx="134">
                  <c:v>330695</c:v>
                </c:pt>
                <c:pt idx="135">
                  <c:v>261150</c:v>
                </c:pt>
                <c:pt idx="136">
                  <c:v>292220</c:v>
                </c:pt>
                <c:pt idx="137">
                  <c:v>123405</c:v>
                </c:pt>
                <c:pt idx="138">
                  <c:v>5755</c:v>
                </c:pt>
                <c:pt idx="139">
                  <c:v>-885</c:v>
                </c:pt>
                <c:pt idx="140">
                  <c:v>3240</c:v>
                </c:pt>
                <c:pt idx="141">
                  <c:v>-18850</c:v>
                </c:pt>
                <c:pt idx="142">
                  <c:v>-48975</c:v>
                </c:pt>
                <c:pt idx="143">
                  <c:v>16315</c:v>
                </c:pt>
                <c:pt idx="144">
                  <c:v>-80335</c:v>
                </c:pt>
                <c:pt idx="145">
                  <c:v>-33300</c:v>
                </c:pt>
                <c:pt idx="146">
                  <c:v>-109005</c:v>
                </c:pt>
                <c:pt idx="147">
                  <c:v>-201585</c:v>
                </c:pt>
                <c:pt idx="148">
                  <c:v>-153530</c:v>
                </c:pt>
                <c:pt idx="149">
                  <c:v>-189950</c:v>
                </c:pt>
                <c:pt idx="150">
                  <c:v>-186175</c:v>
                </c:pt>
                <c:pt idx="151">
                  <c:v>-161365</c:v>
                </c:pt>
                <c:pt idx="152">
                  <c:v>-168635</c:v>
                </c:pt>
                <c:pt idx="153">
                  <c:v>-161750</c:v>
                </c:pt>
                <c:pt idx="154">
                  <c:v>-209950</c:v>
                </c:pt>
                <c:pt idx="155">
                  <c:v>-249235</c:v>
                </c:pt>
                <c:pt idx="156">
                  <c:v>-114585</c:v>
                </c:pt>
                <c:pt idx="157">
                  <c:v>-102280</c:v>
                </c:pt>
                <c:pt idx="158">
                  <c:v>-93610</c:v>
                </c:pt>
                <c:pt idx="159">
                  <c:v>-58655</c:v>
                </c:pt>
                <c:pt idx="160">
                  <c:v>-8645</c:v>
                </c:pt>
                <c:pt idx="161">
                  <c:v>-24510</c:v>
                </c:pt>
                <c:pt idx="162">
                  <c:v>-67690</c:v>
                </c:pt>
                <c:pt idx="163">
                  <c:v>-90360</c:v>
                </c:pt>
                <c:pt idx="164">
                  <c:v>-129700</c:v>
                </c:pt>
                <c:pt idx="165">
                  <c:v>-194130</c:v>
                </c:pt>
                <c:pt idx="166">
                  <c:v>-271665</c:v>
                </c:pt>
                <c:pt idx="167">
                  <c:v>-360765</c:v>
                </c:pt>
                <c:pt idx="168">
                  <c:v>-403200</c:v>
                </c:pt>
                <c:pt idx="169">
                  <c:v>-303120</c:v>
                </c:pt>
                <c:pt idx="170">
                  <c:v>-190490</c:v>
                </c:pt>
                <c:pt idx="171">
                  <c:v>-194370</c:v>
                </c:pt>
                <c:pt idx="172">
                  <c:v>-127295</c:v>
                </c:pt>
                <c:pt idx="173">
                  <c:v>-42745</c:v>
                </c:pt>
                <c:pt idx="174">
                  <c:v>4990</c:v>
                </c:pt>
                <c:pt idx="175">
                  <c:v>-27685</c:v>
                </c:pt>
                <c:pt idx="176">
                  <c:v>-131935</c:v>
                </c:pt>
                <c:pt idx="177">
                  <c:v>-125785</c:v>
                </c:pt>
                <c:pt idx="178">
                  <c:v>-147240</c:v>
                </c:pt>
                <c:pt idx="179">
                  <c:v>-50765</c:v>
                </c:pt>
                <c:pt idx="180">
                  <c:v>-81730</c:v>
                </c:pt>
                <c:pt idx="181">
                  <c:v>-15585</c:v>
                </c:pt>
                <c:pt idx="182">
                  <c:v>-17685</c:v>
                </c:pt>
                <c:pt idx="183">
                  <c:v>-69495</c:v>
                </c:pt>
                <c:pt idx="184">
                  <c:v>-72320</c:v>
                </c:pt>
                <c:pt idx="185">
                  <c:v>-135380</c:v>
                </c:pt>
                <c:pt idx="186">
                  <c:v>-111235</c:v>
                </c:pt>
                <c:pt idx="187">
                  <c:v>-136640</c:v>
                </c:pt>
                <c:pt idx="188">
                  <c:v>-135590</c:v>
                </c:pt>
                <c:pt idx="189">
                  <c:v>-74155</c:v>
                </c:pt>
                <c:pt idx="190">
                  <c:v>76960</c:v>
                </c:pt>
                <c:pt idx="191">
                  <c:v>119325</c:v>
                </c:pt>
                <c:pt idx="192">
                  <c:v>122925</c:v>
                </c:pt>
                <c:pt idx="193">
                  <c:v>7230</c:v>
                </c:pt>
                <c:pt idx="194">
                  <c:v>25230</c:v>
                </c:pt>
                <c:pt idx="195">
                  <c:v>84480</c:v>
                </c:pt>
                <c:pt idx="196">
                  <c:v>-32870</c:v>
                </c:pt>
                <c:pt idx="197">
                  <c:v>84905</c:v>
                </c:pt>
                <c:pt idx="198">
                  <c:v>253055</c:v>
                </c:pt>
                <c:pt idx="199">
                  <c:v>176120</c:v>
                </c:pt>
                <c:pt idx="200">
                  <c:v>192160</c:v>
                </c:pt>
                <c:pt idx="201">
                  <c:v>240885</c:v>
                </c:pt>
                <c:pt idx="202">
                  <c:v>166225</c:v>
                </c:pt>
                <c:pt idx="203">
                  <c:v>166890</c:v>
                </c:pt>
                <c:pt idx="204">
                  <c:v>113480</c:v>
                </c:pt>
                <c:pt idx="205">
                  <c:v>120470</c:v>
                </c:pt>
                <c:pt idx="206">
                  <c:v>199670</c:v>
                </c:pt>
                <c:pt idx="207">
                  <c:v>235495</c:v>
                </c:pt>
                <c:pt idx="208">
                  <c:v>215155</c:v>
                </c:pt>
                <c:pt idx="209">
                  <c:v>224590</c:v>
                </c:pt>
                <c:pt idx="210">
                  <c:v>127505</c:v>
                </c:pt>
                <c:pt idx="211">
                  <c:v>81140</c:v>
                </c:pt>
                <c:pt idx="212">
                  <c:v>107170</c:v>
                </c:pt>
                <c:pt idx="213">
                  <c:v>113075</c:v>
                </c:pt>
                <c:pt idx="214">
                  <c:v>91450</c:v>
                </c:pt>
                <c:pt idx="215">
                  <c:v>170440</c:v>
                </c:pt>
                <c:pt idx="216">
                  <c:v>28835</c:v>
                </c:pt>
                <c:pt idx="217">
                  <c:v>23560</c:v>
                </c:pt>
                <c:pt idx="218">
                  <c:v>-22635</c:v>
                </c:pt>
                <c:pt idx="219">
                  <c:v>26190</c:v>
                </c:pt>
                <c:pt idx="220">
                  <c:v>-2995</c:v>
                </c:pt>
                <c:pt idx="221">
                  <c:v>31705</c:v>
                </c:pt>
                <c:pt idx="222">
                  <c:v>70745</c:v>
                </c:pt>
                <c:pt idx="223">
                  <c:v>138520</c:v>
                </c:pt>
                <c:pt idx="224">
                  <c:v>150920</c:v>
                </c:pt>
                <c:pt idx="225">
                  <c:v>141975</c:v>
                </c:pt>
                <c:pt idx="226">
                  <c:v>151095</c:v>
                </c:pt>
                <c:pt idx="227">
                  <c:v>129850</c:v>
                </c:pt>
                <c:pt idx="228">
                  <c:v>740</c:v>
                </c:pt>
                <c:pt idx="229">
                  <c:v>460</c:v>
                </c:pt>
                <c:pt idx="230">
                  <c:v>-96915</c:v>
                </c:pt>
                <c:pt idx="231">
                  <c:v>-21040</c:v>
                </c:pt>
                <c:pt idx="232">
                  <c:v>144385</c:v>
                </c:pt>
                <c:pt idx="233">
                  <c:v>143895</c:v>
                </c:pt>
                <c:pt idx="234">
                  <c:v>169515</c:v>
                </c:pt>
                <c:pt idx="235">
                  <c:v>149220</c:v>
                </c:pt>
                <c:pt idx="236">
                  <c:v>162245</c:v>
                </c:pt>
                <c:pt idx="237">
                  <c:v>211100</c:v>
                </c:pt>
                <c:pt idx="238">
                  <c:v>250800</c:v>
                </c:pt>
                <c:pt idx="239">
                  <c:v>238960</c:v>
                </c:pt>
                <c:pt idx="240">
                  <c:v>208620</c:v>
                </c:pt>
                <c:pt idx="241">
                  <c:v>200035</c:v>
                </c:pt>
                <c:pt idx="242">
                  <c:v>220020</c:v>
                </c:pt>
                <c:pt idx="243">
                  <c:v>186315</c:v>
                </c:pt>
                <c:pt idx="244">
                  <c:v>122460</c:v>
                </c:pt>
                <c:pt idx="245">
                  <c:v>109390</c:v>
                </c:pt>
                <c:pt idx="246">
                  <c:v>115785</c:v>
                </c:pt>
                <c:pt idx="247">
                  <c:v>218785</c:v>
                </c:pt>
                <c:pt idx="248">
                  <c:v>129210</c:v>
                </c:pt>
                <c:pt idx="249">
                  <c:v>155000</c:v>
                </c:pt>
                <c:pt idx="250">
                  <c:v>173980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12390</c:v>
                </c:pt>
                <c:pt idx="20">
                  <c:v>3791.6666666666679</c:v>
                </c:pt>
                <c:pt idx="21">
                  <c:v>6069.5833333333339</c:v>
                </c:pt>
                <c:pt idx="22">
                  <c:v>12646.666666666668</c:v>
                </c:pt>
                <c:pt idx="23">
                  <c:v>18710.416666666668</c:v>
                </c:pt>
                <c:pt idx="24">
                  <c:v>29297.916666666668</c:v>
                </c:pt>
                <c:pt idx="25">
                  <c:v>30902.083333333336</c:v>
                </c:pt>
                <c:pt idx="26">
                  <c:v>31222.916666666668</c:v>
                </c:pt>
                <c:pt idx="27">
                  <c:v>31832.5</c:v>
                </c:pt>
                <c:pt idx="28">
                  <c:v>33565</c:v>
                </c:pt>
                <c:pt idx="29">
                  <c:v>29811.25</c:v>
                </c:pt>
                <c:pt idx="30">
                  <c:v>34335</c:v>
                </c:pt>
                <c:pt idx="31">
                  <c:v>32217.5</c:v>
                </c:pt>
                <c:pt idx="32">
                  <c:v>29169.583333333332</c:v>
                </c:pt>
                <c:pt idx="33">
                  <c:v>29394.166666666664</c:v>
                </c:pt>
                <c:pt idx="34">
                  <c:v>41040.416666666664</c:v>
                </c:pt>
                <c:pt idx="35">
                  <c:v>41874.583333333328</c:v>
                </c:pt>
                <c:pt idx="36">
                  <c:v>53488.749999999993</c:v>
                </c:pt>
                <c:pt idx="37">
                  <c:v>58108.749999999993</c:v>
                </c:pt>
                <c:pt idx="38">
                  <c:v>58525.833333333328</c:v>
                </c:pt>
                <c:pt idx="39">
                  <c:v>58409.166666666664</c:v>
                </c:pt>
                <c:pt idx="40">
                  <c:v>57534.166666666664</c:v>
                </c:pt>
                <c:pt idx="41">
                  <c:v>58000.833333333328</c:v>
                </c:pt>
                <c:pt idx="42">
                  <c:v>65292.499999999993</c:v>
                </c:pt>
                <c:pt idx="43">
                  <c:v>74538.333333333328</c:v>
                </c:pt>
                <c:pt idx="44">
                  <c:v>72992.5</c:v>
                </c:pt>
                <c:pt idx="45">
                  <c:v>72321.666666666672</c:v>
                </c:pt>
                <c:pt idx="46">
                  <c:v>70221.666666666672</c:v>
                </c:pt>
                <c:pt idx="47">
                  <c:v>65934.166666666672</c:v>
                </c:pt>
                <c:pt idx="48">
                  <c:v>61092.500000000007</c:v>
                </c:pt>
                <c:pt idx="49">
                  <c:v>61646.666666666672</c:v>
                </c:pt>
                <c:pt idx="50">
                  <c:v>64709.166666666672</c:v>
                </c:pt>
                <c:pt idx="51">
                  <c:v>62784.166666666672</c:v>
                </c:pt>
                <c:pt idx="52">
                  <c:v>65059.166666666672</c:v>
                </c:pt>
                <c:pt idx="53">
                  <c:v>58846.666666666672</c:v>
                </c:pt>
                <c:pt idx="54">
                  <c:v>58321.666666666672</c:v>
                </c:pt>
                <c:pt idx="55">
                  <c:v>58613.333333333336</c:v>
                </c:pt>
                <c:pt idx="56">
                  <c:v>57096.666666666672</c:v>
                </c:pt>
                <c:pt idx="57">
                  <c:v>56746.666666666672</c:v>
                </c:pt>
                <c:pt idx="58">
                  <c:v>54763.333333333336</c:v>
                </c:pt>
                <c:pt idx="59">
                  <c:v>53275.833333333336</c:v>
                </c:pt>
                <c:pt idx="60">
                  <c:v>58875.833333333336</c:v>
                </c:pt>
                <c:pt idx="61">
                  <c:v>102392.5</c:v>
                </c:pt>
                <c:pt idx="62">
                  <c:v>102550</c:v>
                </c:pt>
                <c:pt idx="63">
                  <c:v>102891.25</c:v>
                </c:pt>
                <c:pt idx="64">
                  <c:v>102760</c:v>
                </c:pt>
                <c:pt idx="65">
                  <c:v>107406.25</c:v>
                </c:pt>
                <c:pt idx="66">
                  <c:v>112971.25</c:v>
                </c:pt>
                <c:pt idx="67">
                  <c:v>114703.75</c:v>
                </c:pt>
                <c:pt idx="68">
                  <c:v>102681.25</c:v>
                </c:pt>
                <c:pt idx="69">
                  <c:v>102628.75</c:v>
                </c:pt>
                <c:pt idx="70">
                  <c:v>128353.75</c:v>
                </c:pt>
                <c:pt idx="71">
                  <c:v>127093.75</c:v>
                </c:pt>
                <c:pt idx="72">
                  <c:v>119533.75</c:v>
                </c:pt>
                <c:pt idx="73">
                  <c:v>116147.5</c:v>
                </c:pt>
                <c:pt idx="74">
                  <c:v>109348.75</c:v>
                </c:pt>
                <c:pt idx="75">
                  <c:v>94963.75</c:v>
                </c:pt>
                <c:pt idx="76">
                  <c:v>93703.75</c:v>
                </c:pt>
                <c:pt idx="77">
                  <c:v>112813.75</c:v>
                </c:pt>
                <c:pt idx="78">
                  <c:v>114231.25</c:v>
                </c:pt>
                <c:pt idx="79">
                  <c:v>113312.5</c:v>
                </c:pt>
                <c:pt idx="80">
                  <c:v>112367.5</c:v>
                </c:pt>
                <c:pt idx="81">
                  <c:v>98455</c:v>
                </c:pt>
                <c:pt idx="82">
                  <c:v>98481.25</c:v>
                </c:pt>
                <c:pt idx="83">
                  <c:v>100767.91666666667</c:v>
                </c:pt>
                <c:pt idx="84">
                  <c:v>114557.91666666667</c:v>
                </c:pt>
                <c:pt idx="85">
                  <c:v>115047.91666666667</c:v>
                </c:pt>
                <c:pt idx="86">
                  <c:v>121674.58333333334</c:v>
                </c:pt>
                <c:pt idx="87">
                  <c:v>117171.25000000001</c:v>
                </c:pt>
                <c:pt idx="88">
                  <c:v>122934.58333333334</c:v>
                </c:pt>
                <c:pt idx="89">
                  <c:v>108747.91666666667</c:v>
                </c:pt>
                <c:pt idx="90">
                  <c:v>108911.25</c:v>
                </c:pt>
                <c:pt idx="91">
                  <c:v>108654.58333333333</c:v>
                </c:pt>
                <c:pt idx="92">
                  <c:v>108281.25</c:v>
                </c:pt>
                <c:pt idx="93">
                  <c:v>113111.25</c:v>
                </c:pt>
                <c:pt idx="94">
                  <c:v>112714.58333333333</c:v>
                </c:pt>
                <c:pt idx="95">
                  <c:v>114557.91666666666</c:v>
                </c:pt>
                <c:pt idx="96">
                  <c:v>107627.91666666666</c:v>
                </c:pt>
                <c:pt idx="97">
                  <c:v>105971.24999999999</c:v>
                </c:pt>
                <c:pt idx="98">
                  <c:v>105994.58333333331</c:v>
                </c:pt>
                <c:pt idx="99">
                  <c:v>105971.24999999999</c:v>
                </c:pt>
                <c:pt idx="100">
                  <c:v>105784.58333333331</c:v>
                </c:pt>
                <c:pt idx="101">
                  <c:v>103404.58333333331</c:v>
                </c:pt>
                <c:pt idx="102">
                  <c:v>100884.58333333331</c:v>
                </c:pt>
                <c:pt idx="103">
                  <c:v>103147.91666666664</c:v>
                </c:pt>
                <c:pt idx="104">
                  <c:v>95369.166666666642</c:v>
                </c:pt>
                <c:pt idx="105">
                  <c:v>93899.166666666642</c:v>
                </c:pt>
                <c:pt idx="106">
                  <c:v>93409.166666666642</c:v>
                </c:pt>
                <c:pt idx="107">
                  <c:v>90203.749999999971</c:v>
                </c:pt>
                <c:pt idx="108">
                  <c:v>91367.499999999971</c:v>
                </c:pt>
                <c:pt idx="109">
                  <c:v>85426.249999999971</c:v>
                </c:pt>
                <c:pt idx="110">
                  <c:v>86916.666666666642</c:v>
                </c:pt>
                <c:pt idx="111">
                  <c:v>87549.583333333314</c:v>
                </c:pt>
                <c:pt idx="112">
                  <c:v>84487.083333333314</c:v>
                </c:pt>
                <c:pt idx="113">
                  <c:v>87079.999999999985</c:v>
                </c:pt>
                <c:pt idx="114">
                  <c:v>87345.416666666657</c:v>
                </c:pt>
                <c:pt idx="115">
                  <c:v>92143.333333333328</c:v>
                </c:pt>
                <c:pt idx="116">
                  <c:v>88999.166666666657</c:v>
                </c:pt>
                <c:pt idx="117">
                  <c:v>92041.249999999985</c:v>
                </c:pt>
                <c:pt idx="118">
                  <c:v>117174.16666666666</c:v>
                </c:pt>
                <c:pt idx="119">
                  <c:v>116132.91666666666</c:v>
                </c:pt>
                <c:pt idx="120">
                  <c:v>115336.66666666666</c:v>
                </c:pt>
                <c:pt idx="121">
                  <c:v>115887.91666666666</c:v>
                </c:pt>
                <c:pt idx="122">
                  <c:v>114111.66666666666</c:v>
                </c:pt>
                <c:pt idx="123">
                  <c:v>112641.66666666666</c:v>
                </c:pt>
                <c:pt idx="124">
                  <c:v>134262.91666666666</c:v>
                </c:pt>
                <c:pt idx="125">
                  <c:v>162560.41666666666</c:v>
                </c:pt>
                <c:pt idx="126">
                  <c:v>178397.91666666666</c:v>
                </c:pt>
                <c:pt idx="127">
                  <c:v>195285.41666666666</c:v>
                </c:pt>
                <c:pt idx="128">
                  <c:v>203632.91666666666</c:v>
                </c:pt>
                <c:pt idx="129">
                  <c:v>204157.91666666666</c:v>
                </c:pt>
                <c:pt idx="130">
                  <c:v>200062.91666666666</c:v>
                </c:pt>
                <c:pt idx="131">
                  <c:v>199730.41666666666</c:v>
                </c:pt>
                <c:pt idx="132">
                  <c:v>197052.91666666666</c:v>
                </c:pt>
                <c:pt idx="133">
                  <c:v>197087.91666666666</c:v>
                </c:pt>
                <c:pt idx="134">
                  <c:v>198627.91666666666</c:v>
                </c:pt>
                <c:pt idx="135">
                  <c:v>201655.41666666666</c:v>
                </c:pt>
                <c:pt idx="136">
                  <c:v>200990.41666666666</c:v>
                </c:pt>
                <c:pt idx="137">
                  <c:v>201182.91666666666</c:v>
                </c:pt>
                <c:pt idx="138">
                  <c:v>199957.91666666666</c:v>
                </c:pt>
                <c:pt idx="139">
                  <c:v>200237.91666666666</c:v>
                </c:pt>
                <c:pt idx="140">
                  <c:v>200500.41666666666</c:v>
                </c:pt>
                <c:pt idx="141">
                  <c:v>200255.41666666666</c:v>
                </c:pt>
                <c:pt idx="142">
                  <c:v>201392.91666666666</c:v>
                </c:pt>
                <c:pt idx="143">
                  <c:v>201637.91666666666</c:v>
                </c:pt>
                <c:pt idx="144">
                  <c:v>198312.91666666666</c:v>
                </c:pt>
                <c:pt idx="145">
                  <c:v>194830.41666666666</c:v>
                </c:pt>
                <c:pt idx="146">
                  <c:v>194786.66666666666</c:v>
                </c:pt>
                <c:pt idx="147">
                  <c:v>196711.66666666666</c:v>
                </c:pt>
                <c:pt idx="148">
                  <c:v>195734.58333333331</c:v>
                </c:pt>
                <c:pt idx="149">
                  <c:v>195559.58333333331</c:v>
                </c:pt>
                <c:pt idx="150">
                  <c:v>195632.49999999997</c:v>
                </c:pt>
                <c:pt idx="151">
                  <c:v>193969.99999999997</c:v>
                </c:pt>
                <c:pt idx="152">
                  <c:v>193940.83333333331</c:v>
                </c:pt>
                <c:pt idx="153">
                  <c:v>193809.58333333331</c:v>
                </c:pt>
                <c:pt idx="154">
                  <c:v>193226.24999999997</c:v>
                </c:pt>
                <c:pt idx="155">
                  <c:v>193357.49999999997</c:v>
                </c:pt>
                <c:pt idx="156">
                  <c:v>198461.66666666663</c:v>
                </c:pt>
                <c:pt idx="157">
                  <c:v>199088.74999999997</c:v>
                </c:pt>
                <c:pt idx="158">
                  <c:v>199701.24999999997</c:v>
                </c:pt>
                <c:pt idx="159">
                  <c:v>200765.83333333331</c:v>
                </c:pt>
                <c:pt idx="160">
                  <c:v>199103.33333333331</c:v>
                </c:pt>
                <c:pt idx="161">
                  <c:v>199992.91666666666</c:v>
                </c:pt>
                <c:pt idx="162">
                  <c:v>206001.25</c:v>
                </c:pt>
                <c:pt idx="163">
                  <c:v>210055.41666666666</c:v>
                </c:pt>
                <c:pt idx="164">
                  <c:v>214663.75</c:v>
                </c:pt>
                <c:pt idx="165">
                  <c:v>220817.91666666666</c:v>
                </c:pt>
                <c:pt idx="166">
                  <c:v>227511.66666666666</c:v>
                </c:pt>
                <c:pt idx="167">
                  <c:v>224886.66666666666</c:v>
                </c:pt>
                <c:pt idx="168">
                  <c:v>223705.41666666666</c:v>
                </c:pt>
                <c:pt idx="169">
                  <c:v>227065.41666666666</c:v>
                </c:pt>
                <c:pt idx="170">
                  <c:v>231008.75</c:v>
                </c:pt>
                <c:pt idx="171">
                  <c:v>230915.41666666666</c:v>
                </c:pt>
                <c:pt idx="172">
                  <c:v>231673.75</c:v>
                </c:pt>
                <c:pt idx="173">
                  <c:v>232257.08333333334</c:v>
                </c:pt>
                <c:pt idx="174">
                  <c:v>230168.75</c:v>
                </c:pt>
                <c:pt idx="175">
                  <c:v>231277.08333333334</c:v>
                </c:pt>
                <c:pt idx="176">
                  <c:v>242127.08333333334</c:v>
                </c:pt>
                <c:pt idx="177">
                  <c:v>241777.08333333334</c:v>
                </c:pt>
                <c:pt idx="178">
                  <c:v>243025.41666666669</c:v>
                </c:pt>
                <c:pt idx="179">
                  <c:v>236783.75000000003</c:v>
                </c:pt>
                <c:pt idx="180">
                  <c:v>237262.08333333337</c:v>
                </c:pt>
                <c:pt idx="181">
                  <c:v>232910.41666666672</c:v>
                </c:pt>
                <c:pt idx="182">
                  <c:v>232210.41666666672</c:v>
                </c:pt>
                <c:pt idx="183">
                  <c:v>237740.41666666672</c:v>
                </c:pt>
                <c:pt idx="184">
                  <c:v>239198.75000000006</c:v>
                </c:pt>
                <c:pt idx="185">
                  <c:v>245778.75000000006</c:v>
                </c:pt>
                <c:pt idx="186">
                  <c:v>244227.0833333334</c:v>
                </c:pt>
                <c:pt idx="187">
                  <c:v>245358.75000000006</c:v>
                </c:pt>
                <c:pt idx="188">
                  <c:v>245708.75000000006</c:v>
                </c:pt>
                <c:pt idx="189">
                  <c:v>243387.0833333334</c:v>
                </c:pt>
                <c:pt idx="190">
                  <c:v>240665.8333333334</c:v>
                </c:pt>
                <c:pt idx="191">
                  <c:v>241357.0833333334</c:v>
                </c:pt>
                <c:pt idx="192">
                  <c:v>241357.0833333334</c:v>
                </c:pt>
                <c:pt idx="193">
                  <c:v>240333.3333333334</c:v>
                </c:pt>
                <c:pt idx="194">
                  <c:v>240333.3333333334</c:v>
                </c:pt>
                <c:pt idx="195">
                  <c:v>241645.8333333334</c:v>
                </c:pt>
                <c:pt idx="196">
                  <c:v>238408.3333333334</c:v>
                </c:pt>
                <c:pt idx="197">
                  <c:v>236352.0833333334</c:v>
                </c:pt>
                <c:pt idx="198">
                  <c:v>242389.5833333334</c:v>
                </c:pt>
                <c:pt idx="199">
                  <c:v>241155.8333333334</c:v>
                </c:pt>
                <c:pt idx="200">
                  <c:v>240665.8333333334</c:v>
                </c:pt>
                <c:pt idx="201">
                  <c:v>241147.0833333334</c:v>
                </c:pt>
                <c:pt idx="202">
                  <c:v>240482.0833333334</c:v>
                </c:pt>
                <c:pt idx="203">
                  <c:v>240648.3333333334</c:v>
                </c:pt>
                <c:pt idx="204">
                  <c:v>239895.8333333334</c:v>
                </c:pt>
                <c:pt idx="205">
                  <c:v>239843.3333333334</c:v>
                </c:pt>
                <c:pt idx="206">
                  <c:v>239843.3333333334</c:v>
                </c:pt>
                <c:pt idx="207">
                  <c:v>239799.5833333334</c:v>
                </c:pt>
                <c:pt idx="208">
                  <c:v>240114.5833333334</c:v>
                </c:pt>
                <c:pt idx="209">
                  <c:v>239773.3333333334</c:v>
                </c:pt>
                <c:pt idx="210">
                  <c:v>240992.50000000006</c:v>
                </c:pt>
                <c:pt idx="211">
                  <c:v>242865.00000000006</c:v>
                </c:pt>
                <c:pt idx="212">
                  <c:v>241803.3333333334</c:v>
                </c:pt>
                <c:pt idx="213">
                  <c:v>241587.50000000006</c:v>
                </c:pt>
                <c:pt idx="214">
                  <c:v>242783.3333333334</c:v>
                </c:pt>
                <c:pt idx="215">
                  <c:v>238548.3333333334</c:v>
                </c:pt>
                <c:pt idx="216">
                  <c:v>240747.50000000006</c:v>
                </c:pt>
                <c:pt idx="217">
                  <c:v>241068.3333333334</c:v>
                </c:pt>
                <c:pt idx="218">
                  <c:v>242369.16666666674</c:v>
                </c:pt>
                <c:pt idx="219">
                  <c:v>242106.66666666674</c:v>
                </c:pt>
                <c:pt idx="220">
                  <c:v>242042.50000000009</c:v>
                </c:pt>
                <c:pt idx="221">
                  <c:v>241225.83333333343</c:v>
                </c:pt>
                <c:pt idx="222">
                  <c:v>241132.50000000009</c:v>
                </c:pt>
                <c:pt idx="223">
                  <c:v>241628.33333333343</c:v>
                </c:pt>
                <c:pt idx="224">
                  <c:v>240695.00000000009</c:v>
                </c:pt>
                <c:pt idx="225">
                  <c:v>241004.16666666674</c:v>
                </c:pt>
                <c:pt idx="226">
                  <c:v>240724.16666666674</c:v>
                </c:pt>
                <c:pt idx="227">
                  <c:v>241383.3333333334</c:v>
                </c:pt>
                <c:pt idx="228">
                  <c:v>245665.00000000006</c:v>
                </c:pt>
                <c:pt idx="229">
                  <c:v>245618.3333333334</c:v>
                </c:pt>
                <c:pt idx="230">
                  <c:v>245603.75000000006</c:v>
                </c:pt>
                <c:pt idx="231">
                  <c:v>245326.66666666672</c:v>
                </c:pt>
                <c:pt idx="232">
                  <c:v>245312.08333333337</c:v>
                </c:pt>
                <c:pt idx="233">
                  <c:v>245271.25000000003</c:v>
                </c:pt>
                <c:pt idx="234">
                  <c:v>245306.25000000003</c:v>
                </c:pt>
                <c:pt idx="235">
                  <c:v>246015.00000000003</c:v>
                </c:pt>
                <c:pt idx="236">
                  <c:v>245300.41666666669</c:v>
                </c:pt>
                <c:pt idx="237">
                  <c:v>244871.66666666669</c:v>
                </c:pt>
                <c:pt idx="238">
                  <c:v>244580.00000000003</c:v>
                </c:pt>
                <c:pt idx="239">
                  <c:v>245093.33333333337</c:v>
                </c:pt>
                <c:pt idx="240">
                  <c:v>247065.00000000003</c:v>
                </c:pt>
                <c:pt idx="241">
                  <c:v>247849.58333333337</c:v>
                </c:pt>
                <c:pt idx="242">
                  <c:v>247415.00000000003</c:v>
                </c:pt>
                <c:pt idx="243">
                  <c:v>248806.25000000003</c:v>
                </c:pt>
                <c:pt idx="244">
                  <c:v>250985.00000000003</c:v>
                </c:pt>
                <c:pt idx="245">
                  <c:v>251095.83333333337</c:v>
                </c:pt>
                <c:pt idx="246">
                  <c:v>251028.75000000003</c:v>
                </c:pt>
                <c:pt idx="247">
                  <c:v>250912.08333333337</c:v>
                </c:pt>
                <c:pt idx="248">
                  <c:v>251247.50000000003</c:v>
                </c:pt>
                <c:pt idx="249">
                  <c:v>250996.66666666669</c:v>
                </c:pt>
                <c:pt idx="250">
                  <c:v>251078.33333333334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1-42DB-89DA-EE863FD8F365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267000</c:v>
                </c:pt>
                <c:pt idx="20">
                  <c:v>286800</c:v>
                </c:pt>
                <c:pt idx="21">
                  <c:v>270300</c:v>
                </c:pt>
                <c:pt idx="22">
                  <c:v>247200</c:v>
                </c:pt>
                <c:pt idx="23">
                  <c:v>214200</c:v>
                </c:pt>
                <c:pt idx="24">
                  <c:v>151500</c:v>
                </c:pt>
                <c:pt idx="25">
                  <c:v>138300</c:v>
                </c:pt>
                <c:pt idx="26">
                  <c:v>135000</c:v>
                </c:pt>
                <c:pt idx="27">
                  <c:v>128400</c:v>
                </c:pt>
                <c:pt idx="28">
                  <c:v>111900</c:v>
                </c:pt>
                <c:pt idx="29">
                  <c:v>144900</c:v>
                </c:pt>
                <c:pt idx="30">
                  <c:v>220800</c:v>
                </c:pt>
                <c:pt idx="31">
                  <c:v>210900</c:v>
                </c:pt>
                <c:pt idx="32">
                  <c:v>204300</c:v>
                </c:pt>
                <c:pt idx="33">
                  <c:v>230700</c:v>
                </c:pt>
                <c:pt idx="34">
                  <c:v>154800</c:v>
                </c:pt>
                <c:pt idx="35">
                  <c:v>131700</c:v>
                </c:pt>
                <c:pt idx="36">
                  <c:v>75600</c:v>
                </c:pt>
                <c:pt idx="37">
                  <c:v>49200</c:v>
                </c:pt>
                <c:pt idx="38">
                  <c:v>42600</c:v>
                </c:pt>
                <c:pt idx="39">
                  <c:v>60600</c:v>
                </c:pt>
                <c:pt idx="40">
                  <c:v>51600</c:v>
                </c:pt>
                <c:pt idx="41">
                  <c:v>36600</c:v>
                </c:pt>
                <c:pt idx="42">
                  <c:v>54600</c:v>
                </c:pt>
                <c:pt idx="43">
                  <c:v>72600</c:v>
                </c:pt>
                <c:pt idx="44">
                  <c:v>96600</c:v>
                </c:pt>
                <c:pt idx="45">
                  <c:v>114600</c:v>
                </c:pt>
                <c:pt idx="46">
                  <c:v>147600</c:v>
                </c:pt>
                <c:pt idx="47">
                  <c:v>189600</c:v>
                </c:pt>
                <c:pt idx="48">
                  <c:v>252600</c:v>
                </c:pt>
                <c:pt idx="49">
                  <c:v>249600</c:v>
                </c:pt>
                <c:pt idx="50">
                  <c:v>237600</c:v>
                </c:pt>
                <c:pt idx="51">
                  <c:v>243600</c:v>
                </c:pt>
                <c:pt idx="52">
                  <c:v>225600</c:v>
                </c:pt>
                <c:pt idx="53">
                  <c:v>258600</c:v>
                </c:pt>
                <c:pt idx="54">
                  <c:v>261600</c:v>
                </c:pt>
                <c:pt idx="55">
                  <c:v>243600</c:v>
                </c:pt>
                <c:pt idx="56">
                  <c:v>261600</c:v>
                </c:pt>
                <c:pt idx="57">
                  <c:v>264600</c:v>
                </c:pt>
                <c:pt idx="58">
                  <c:v>282600</c:v>
                </c:pt>
                <c:pt idx="59">
                  <c:v>291600</c:v>
                </c:pt>
                <c:pt idx="60">
                  <c:v>258600</c:v>
                </c:pt>
                <c:pt idx="61">
                  <c:v>6600</c:v>
                </c:pt>
                <c:pt idx="62">
                  <c:v>39000</c:v>
                </c:pt>
                <c:pt idx="63">
                  <c:v>74100</c:v>
                </c:pt>
                <c:pt idx="64">
                  <c:v>84900</c:v>
                </c:pt>
                <c:pt idx="65">
                  <c:v>111900</c:v>
                </c:pt>
                <c:pt idx="66">
                  <c:v>147000</c:v>
                </c:pt>
                <c:pt idx="67">
                  <c:v>152400</c:v>
                </c:pt>
                <c:pt idx="68">
                  <c:v>95700</c:v>
                </c:pt>
                <c:pt idx="69">
                  <c:v>125400</c:v>
                </c:pt>
                <c:pt idx="70">
                  <c:v>282000</c:v>
                </c:pt>
                <c:pt idx="71">
                  <c:v>282000</c:v>
                </c:pt>
                <c:pt idx="72">
                  <c:v>346800</c:v>
                </c:pt>
                <c:pt idx="73">
                  <c:v>360300</c:v>
                </c:pt>
                <c:pt idx="74">
                  <c:v>398100</c:v>
                </c:pt>
                <c:pt idx="75">
                  <c:v>468300</c:v>
                </c:pt>
                <c:pt idx="76">
                  <c:v>457500</c:v>
                </c:pt>
                <c:pt idx="77">
                  <c:v>279300</c:v>
                </c:pt>
                <c:pt idx="78">
                  <c:v>354900</c:v>
                </c:pt>
                <c:pt idx="79">
                  <c:v>352200</c:v>
                </c:pt>
                <c:pt idx="80">
                  <c:v>330600</c:v>
                </c:pt>
                <c:pt idx="81">
                  <c:v>422400</c:v>
                </c:pt>
                <c:pt idx="82">
                  <c:v>444000</c:v>
                </c:pt>
                <c:pt idx="83">
                  <c:v>427200</c:v>
                </c:pt>
                <c:pt idx="84">
                  <c:v>328800</c:v>
                </c:pt>
                <c:pt idx="85">
                  <c:v>307200</c:v>
                </c:pt>
                <c:pt idx="86">
                  <c:v>273600</c:v>
                </c:pt>
                <c:pt idx="87">
                  <c:v>314400</c:v>
                </c:pt>
                <c:pt idx="88">
                  <c:v>259200</c:v>
                </c:pt>
                <c:pt idx="89">
                  <c:v>340800</c:v>
                </c:pt>
                <c:pt idx="90">
                  <c:v>283200</c:v>
                </c:pt>
                <c:pt idx="91">
                  <c:v>391200</c:v>
                </c:pt>
                <c:pt idx="92">
                  <c:v>420000</c:v>
                </c:pt>
                <c:pt idx="93">
                  <c:v>436800</c:v>
                </c:pt>
                <c:pt idx="94">
                  <c:v>482400</c:v>
                </c:pt>
                <c:pt idx="95">
                  <c:v>506400</c:v>
                </c:pt>
                <c:pt idx="96">
                  <c:v>408000</c:v>
                </c:pt>
                <c:pt idx="97">
                  <c:v>444000</c:v>
                </c:pt>
                <c:pt idx="98">
                  <c:v>484800</c:v>
                </c:pt>
                <c:pt idx="99">
                  <c:v>516000</c:v>
                </c:pt>
                <c:pt idx="100">
                  <c:v>552000</c:v>
                </c:pt>
                <c:pt idx="101">
                  <c:v>588000</c:v>
                </c:pt>
                <c:pt idx="102">
                  <c:v>628800</c:v>
                </c:pt>
                <c:pt idx="103">
                  <c:v>568800</c:v>
                </c:pt>
                <c:pt idx="104">
                  <c:v>625500</c:v>
                </c:pt>
                <c:pt idx="105">
                  <c:v>661200</c:v>
                </c:pt>
                <c:pt idx="106">
                  <c:v>667500</c:v>
                </c:pt>
                <c:pt idx="107">
                  <c:v>749400</c:v>
                </c:pt>
                <c:pt idx="108">
                  <c:v>747300</c:v>
                </c:pt>
                <c:pt idx="109">
                  <c:v>793500</c:v>
                </c:pt>
                <c:pt idx="110">
                  <c:v>738900</c:v>
                </c:pt>
                <c:pt idx="111">
                  <c:v>709500</c:v>
                </c:pt>
                <c:pt idx="112">
                  <c:v>766200</c:v>
                </c:pt>
                <c:pt idx="113">
                  <c:v>804000</c:v>
                </c:pt>
                <c:pt idx="114">
                  <c:v>780900</c:v>
                </c:pt>
                <c:pt idx="115">
                  <c:v>728400</c:v>
                </c:pt>
                <c:pt idx="116">
                  <c:v>808200</c:v>
                </c:pt>
                <c:pt idx="117">
                  <c:v>713700</c:v>
                </c:pt>
                <c:pt idx="118">
                  <c:v>499500</c:v>
                </c:pt>
                <c:pt idx="119">
                  <c:v>497400</c:v>
                </c:pt>
                <c:pt idx="120">
                  <c:v>419700</c:v>
                </c:pt>
                <c:pt idx="121">
                  <c:v>369300</c:v>
                </c:pt>
                <c:pt idx="122">
                  <c:v>392400</c:v>
                </c:pt>
                <c:pt idx="123">
                  <c:v>400800</c:v>
                </c:pt>
                <c:pt idx="124">
                  <c:v>302100</c:v>
                </c:pt>
                <c:pt idx="125">
                  <c:v>182400</c:v>
                </c:pt>
                <c:pt idx="126">
                  <c:v>135600</c:v>
                </c:pt>
                <c:pt idx="127">
                  <c:v>52800</c:v>
                </c:pt>
                <c:pt idx="128">
                  <c:v>27600</c:v>
                </c:pt>
                <c:pt idx="129">
                  <c:v>9600</c:v>
                </c:pt>
                <c:pt idx="130">
                  <c:v>105000</c:v>
                </c:pt>
                <c:pt idx="131">
                  <c:v>65400</c:v>
                </c:pt>
                <c:pt idx="132">
                  <c:v>115800</c:v>
                </c:pt>
                <c:pt idx="133">
                  <c:v>186000</c:v>
                </c:pt>
                <c:pt idx="134">
                  <c:v>159000</c:v>
                </c:pt>
                <c:pt idx="135">
                  <c:v>121200</c:v>
                </c:pt>
                <c:pt idx="136">
                  <c:v>137400</c:v>
                </c:pt>
                <c:pt idx="137">
                  <c:v>52800</c:v>
                </c:pt>
                <c:pt idx="138">
                  <c:v>-4800</c:v>
                </c:pt>
                <c:pt idx="139">
                  <c:v>-8400</c:v>
                </c:pt>
                <c:pt idx="140">
                  <c:v>-6600</c:v>
                </c:pt>
                <c:pt idx="141">
                  <c:v>-17400</c:v>
                </c:pt>
                <c:pt idx="142">
                  <c:v>-33600</c:v>
                </c:pt>
                <c:pt idx="143">
                  <c:v>-1200</c:v>
                </c:pt>
                <c:pt idx="144">
                  <c:v>-46200</c:v>
                </c:pt>
                <c:pt idx="145">
                  <c:v>-19200</c:v>
                </c:pt>
                <c:pt idx="146">
                  <c:v>-50700</c:v>
                </c:pt>
                <c:pt idx="147">
                  <c:v>-91200</c:v>
                </c:pt>
                <c:pt idx="148">
                  <c:v>-70200</c:v>
                </c:pt>
                <c:pt idx="149">
                  <c:v>-85200</c:v>
                </c:pt>
                <c:pt idx="150">
                  <c:v>-83700</c:v>
                </c:pt>
                <c:pt idx="151">
                  <c:v>-71700</c:v>
                </c:pt>
                <c:pt idx="152">
                  <c:v>-74700</c:v>
                </c:pt>
                <c:pt idx="153">
                  <c:v>-71700</c:v>
                </c:pt>
                <c:pt idx="154">
                  <c:v>-91200</c:v>
                </c:pt>
                <c:pt idx="155">
                  <c:v>-107700</c:v>
                </c:pt>
                <c:pt idx="156">
                  <c:v>-56700</c:v>
                </c:pt>
                <c:pt idx="157">
                  <c:v>-52200</c:v>
                </c:pt>
                <c:pt idx="158">
                  <c:v>-49200</c:v>
                </c:pt>
                <c:pt idx="159">
                  <c:v>-35700</c:v>
                </c:pt>
                <c:pt idx="160">
                  <c:v>-13200</c:v>
                </c:pt>
                <c:pt idx="161">
                  <c:v>-20700</c:v>
                </c:pt>
                <c:pt idx="162">
                  <c:v>-44700</c:v>
                </c:pt>
                <c:pt idx="163">
                  <c:v>-58200</c:v>
                </c:pt>
                <c:pt idx="164">
                  <c:v>-79200</c:v>
                </c:pt>
                <c:pt idx="165">
                  <c:v>-112200</c:v>
                </c:pt>
                <c:pt idx="166">
                  <c:v>-151200</c:v>
                </c:pt>
                <c:pt idx="167">
                  <c:v>-185700</c:v>
                </c:pt>
                <c:pt idx="168">
                  <c:v>-202200</c:v>
                </c:pt>
                <c:pt idx="169">
                  <c:v>-172200</c:v>
                </c:pt>
                <c:pt idx="170">
                  <c:v>-138600</c:v>
                </c:pt>
                <c:pt idx="171">
                  <c:v>-139800</c:v>
                </c:pt>
                <c:pt idx="172">
                  <c:v>-118200</c:v>
                </c:pt>
                <c:pt idx="173">
                  <c:v>-90600</c:v>
                </c:pt>
                <c:pt idx="174">
                  <c:v>-72600</c:v>
                </c:pt>
                <c:pt idx="175">
                  <c:v>-84600</c:v>
                </c:pt>
                <c:pt idx="176">
                  <c:v>-130200</c:v>
                </c:pt>
                <c:pt idx="177">
                  <c:v>-127800</c:v>
                </c:pt>
                <c:pt idx="178">
                  <c:v>-136200</c:v>
                </c:pt>
                <c:pt idx="179">
                  <c:v>-97800</c:v>
                </c:pt>
                <c:pt idx="180">
                  <c:v>-108600</c:v>
                </c:pt>
                <c:pt idx="181">
                  <c:v>-82200</c:v>
                </c:pt>
                <c:pt idx="182">
                  <c:v>-82200</c:v>
                </c:pt>
                <c:pt idx="183">
                  <c:v>-105000</c:v>
                </c:pt>
                <c:pt idx="184">
                  <c:v>-107400</c:v>
                </c:pt>
                <c:pt idx="185">
                  <c:v>-135000</c:v>
                </c:pt>
                <c:pt idx="186">
                  <c:v>-125400</c:v>
                </c:pt>
                <c:pt idx="187">
                  <c:v>-135000</c:v>
                </c:pt>
                <c:pt idx="188">
                  <c:v>-135000</c:v>
                </c:pt>
                <c:pt idx="189">
                  <c:v>-112200</c:v>
                </c:pt>
                <c:pt idx="190">
                  <c:v>-71700</c:v>
                </c:pt>
                <c:pt idx="191">
                  <c:v>-61800</c:v>
                </c:pt>
                <c:pt idx="192">
                  <c:v>-60900</c:v>
                </c:pt>
                <c:pt idx="193">
                  <c:v>-88800</c:v>
                </c:pt>
                <c:pt idx="194">
                  <c:v>-84300</c:v>
                </c:pt>
                <c:pt idx="195">
                  <c:v>-70800</c:v>
                </c:pt>
                <c:pt idx="196">
                  <c:v>-96900</c:v>
                </c:pt>
                <c:pt idx="197">
                  <c:v>-65400</c:v>
                </c:pt>
                <c:pt idx="198">
                  <c:v>-29400</c:v>
                </c:pt>
                <c:pt idx="199">
                  <c:v>-47400</c:v>
                </c:pt>
                <c:pt idx="200">
                  <c:v>-42900</c:v>
                </c:pt>
                <c:pt idx="201">
                  <c:v>-31200</c:v>
                </c:pt>
                <c:pt idx="202">
                  <c:v>-49200</c:v>
                </c:pt>
                <c:pt idx="203">
                  <c:v>-49200</c:v>
                </c:pt>
                <c:pt idx="204">
                  <c:v>-61800</c:v>
                </c:pt>
                <c:pt idx="205">
                  <c:v>-60000</c:v>
                </c:pt>
                <c:pt idx="206">
                  <c:v>-40200</c:v>
                </c:pt>
                <c:pt idx="207">
                  <c:v>-31200</c:v>
                </c:pt>
                <c:pt idx="208">
                  <c:v>-36600</c:v>
                </c:pt>
                <c:pt idx="209">
                  <c:v>-33900</c:v>
                </c:pt>
                <c:pt idx="210">
                  <c:v>-51300</c:v>
                </c:pt>
                <c:pt idx="211">
                  <c:v>-60900</c:v>
                </c:pt>
                <c:pt idx="212">
                  <c:v>-55500</c:v>
                </c:pt>
                <c:pt idx="213">
                  <c:v>-54300</c:v>
                </c:pt>
                <c:pt idx="214">
                  <c:v>-59100</c:v>
                </c:pt>
                <c:pt idx="215">
                  <c:v>-41700</c:v>
                </c:pt>
                <c:pt idx="216">
                  <c:v>-67500</c:v>
                </c:pt>
                <c:pt idx="217">
                  <c:v>-68700</c:v>
                </c:pt>
                <c:pt idx="218">
                  <c:v>-77700</c:v>
                </c:pt>
                <c:pt idx="219">
                  <c:v>-69300</c:v>
                </c:pt>
                <c:pt idx="220">
                  <c:v>-74100</c:v>
                </c:pt>
                <c:pt idx="221">
                  <c:v>-67500</c:v>
                </c:pt>
                <c:pt idx="222">
                  <c:v>-60900</c:v>
                </c:pt>
                <c:pt idx="223">
                  <c:v>-50100</c:v>
                </c:pt>
                <c:pt idx="224">
                  <c:v>-47100</c:v>
                </c:pt>
                <c:pt idx="225">
                  <c:v>-48900</c:v>
                </c:pt>
                <c:pt idx="226">
                  <c:v>-47100</c:v>
                </c:pt>
                <c:pt idx="227">
                  <c:v>-51300</c:v>
                </c:pt>
                <c:pt idx="228">
                  <c:v>-77100</c:v>
                </c:pt>
                <c:pt idx="229">
                  <c:v>-77100</c:v>
                </c:pt>
                <c:pt idx="230">
                  <c:v>-85200</c:v>
                </c:pt>
                <c:pt idx="231">
                  <c:v>-78600</c:v>
                </c:pt>
                <c:pt idx="232">
                  <c:v>-64800</c:v>
                </c:pt>
                <c:pt idx="233">
                  <c:v>-64800</c:v>
                </c:pt>
                <c:pt idx="234">
                  <c:v>-62700</c:v>
                </c:pt>
                <c:pt idx="235">
                  <c:v>-65100</c:v>
                </c:pt>
                <c:pt idx="236">
                  <c:v>-63300</c:v>
                </c:pt>
                <c:pt idx="237">
                  <c:v>-58800</c:v>
                </c:pt>
                <c:pt idx="238">
                  <c:v>-55200</c:v>
                </c:pt>
                <c:pt idx="239">
                  <c:v>-56700</c:v>
                </c:pt>
                <c:pt idx="240">
                  <c:v>-61200</c:v>
                </c:pt>
                <c:pt idx="241">
                  <c:v>-62700</c:v>
                </c:pt>
                <c:pt idx="242">
                  <c:v>-60600</c:v>
                </c:pt>
                <c:pt idx="243">
                  <c:v>-64800</c:v>
                </c:pt>
                <c:pt idx="244">
                  <c:v>-72300</c:v>
                </c:pt>
                <c:pt idx="245">
                  <c:v>-73500</c:v>
                </c:pt>
                <c:pt idx="246">
                  <c:v>-72900</c:v>
                </c:pt>
                <c:pt idx="247">
                  <c:v>-64200</c:v>
                </c:pt>
                <c:pt idx="248">
                  <c:v>-72000</c:v>
                </c:pt>
                <c:pt idx="249">
                  <c:v>-69600</c:v>
                </c:pt>
                <c:pt idx="250">
                  <c:v>-68100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1-42DB-89DA-EE863FD8F365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-267000</c:v>
                </c:pt>
                <c:pt idx="20">
                  <c:v>-286800</c:v>
                </c:pt>
                <c:pt idx="21">
                  <c:v>-270300</c:v>
                </c:pt>
                <c:pt idx="22">
                  <c:v>-247200</c:v>
                </c:pt>
                <c:pt idx="23">
                  <c:v>-214200</c:v>
                </c:pt>
                <c:pt idx="24">
                  <c:v>-151500</c:v>
                </c:pt>
                <c:pt idx="25">
                  <c:v>-138300</c:v>
                </c:pt>
                <c:pt idx="26">
                  <c:v>-135000</c:v>
                </c:pt>
                <c:pt idx="27">
                  <c:v>-128400</c:v>
                </c:pt>
                <c:pt idx="28">
                  <c:v>-111900</c:v>
                </c:pt>
                <c:pt idx="29">
                  <c:v>-144900</c:v>
                </c:pt>
                <c:pt idx="30">
                  <c:v>-220800</c:v>
                </c:pt>
                <c:pt idx="31">
                  <c:v>-210900</c:v>
                </c:pt>
                <c:pt idx="32">
                  <c:v>-204300</c:v>
                </c:pt>
                <c:pt idx="33">
                  <c:v>-230700</c:v>
                </c:pt>
                <c:pt idx="34">
                  <c:v>-154800</c:v>
                </c:pt>
                <c:pt idx="35">
                  <c:v>-131700</c:v>
                </c:pt>
                <c:pt idx="36">
                  <c:v>-75600</c:v>
                </c:pt>
                <c:pt idx="37">
                  <c:v>-49200</c:v>
                </c:pt>
                <c:pt idx="38">
                  <c:v>-42600</c:v>
                </c:pt>
                <c:pt idx="39">
                  <c:v>-60600</c:v>
                </c:pt>
                <c:pt idx="40">
                  <c:v>-51600</c:v>
                </c:pt>
                <c:pt idx="41">
                  <c:v>-36600</c:v>
                </c:pt>
                <c:pt idx="42">
                  <c:v>-54600</c:v>
                </c:pt>
                <c:pt idx="43">
                  <c:v>-72600</c:v>
                </c:pt>
                <c:pt idx="44">
                  <c:v>-96600</c:v>
                </c:pt>
                <c:pt idx="45">
                  <c:v>-114600</c:v>
                </c:pt>
                <c:pt idx="46">
                  <c:v>-147600</c:v>
                </c:pt>
                <c:pt idx="47">
                  <c:v>-189600</c:v>
                </c:pt>
                <c:pt idx="48">
                  <c:v>-252600</c:v>
                </c:pt>
                <c:pt idx="49">
                  <c:v>-249600</c:v>
                </c:pt>
                <c:pt idx="50">
                  <c:v>-237600</c:v>
                </c:pt>
                <c:pt idx="51">
                  <c:v>-243600</c:v>
                </c:pt>
                <c:pt idx="52">
                  <c:v>-225600</c:v>
                </c:pt>
                <c:pt idx="53">
                  <c:v>-258600</c:v>
                </c:pt>
                <c:pt idx="54">
                  <c:v>-261600</c:v>
                </c:pt>
                <c:pt idx="55">
                  <c:v>-243600</c:v>
                </c:pt>
                <c:pt idx="56">
                  <c:v>-261600</c:v>
                </c:pt>
                <c:pt idx="57">
                  <c:v>-264600</c:v>
                </c:pt>
                <c:pt idx="58">
                  <c:v>-282600</c:v>
                </c:pt>
                <c:pt idx="59">
                  <c:v>-291600</c:v>
                </c:pt>
                <c:pt idx="60">
                  <c:v>-258600</c:v>
                </c:pt>
                <c:pt idx="61">
                  <c:v>-6600</c:v>
                </c:pt>
                <c:pt idx="62">
                  <c:v>-39000</c:v>
                </c:pt>
                <c:pt idx="63">
                  <c:v>-74100</c:v>
                </c:pt>
                <c:pt idx="64">
                  <c:v>-84900</c:v>
                </c:pt>
                <c:pt idx="65">
                  <c:v>-111900</c:v>
                </c:pt>
                <c:pt idx="66">
                  <c:v>-147000</c:v>
                </c:pt>
                <c:pt idx="67">
                  <c:v>-152400</c:v>
                </c:pt>
                <c:pt idx="68">
                  <c:v>-95700</c:v>
                </c:pt>
                <c:pt idx="69">
                  <c:v>-125400</c:v>
                </c:pt>
                <c:pt idx="70">
                  <c:v>-282000</c:v>
                </c:pt>
                <c:pt idx="71">
                  <c:v>-282000</c:v>
                </c:pt>
                <c:pt idx="72">
                  <c:v>-346800</c:v>
                </c:pt>
                <c:pt idx="73">
                  <c:v>-360300</c:v>
                </c:pt>
                <c:pt idx="74">
                  <c:v>-398100</c:v>
                </c:pt>
                <c:pt idx="75">
                  <c:v>-468300</c:v>
                </c:pt>
                <c:pt idx="76">
                  <c:v>-457500</c:v>
                </c:pt>
                <c:pt idx="77">
                  <c:v>-279300</c:v>
                </c:pt>
                <c:pt idx="78">
                  <c:v>-354900</c:v>
                </c:pt>
                <c:pt idx="79">
                  <c:v>-352200</c:v>
                </c:pt>
                <c:pt idx="80">
                  <c:v>-330600</c:v>
                </c:pt>
                <c:pt idx="81">
                  <c:v>-422400</c:v>
                </c:pt>
                <c:pt idx="82">
                  <c:v>-444000</c:v>
                </c:pt>
                <c:pt idx="83">
                  <c:v>-427200</c:v>
                </c:pt>
                <c:pt idx="84">
                  <c:v>-328800</c:v>
                </c:pt>
                <c:pt idx="85">
                  <c:v>-307200</c:v>
                </c:pt>
                <c:pt idx="86">
                  <c:v>-273600</c:v>
                </c:pt>
                <c:pt idx="87">
                  <c:v>-314400</c:v>
                </c:pt>
                <c:pt idx="88">
                  <c:v>-259200</c:v>
                </c:pt>
                <c:pt idx="89">
                  <c:v>-340800</c:v>
                </c:pt>
                <c:pt idx="90">
                  <c:v>-283200</c:v>
                </c:pt>
                <c:pt idx="91">
                  <c:v>-391200</c:v>
                </c:pt>
                <c:pt idx="92">
                  <c:v>-420000</c:v>
                </c:pt>
                <c:pt idx="93">
                  <c:v>-436800</c:v>
                </c:pt>
                <c:pt idx="94">
                  <c:v>-482400</c:v>
                </c:pt>
                <c:pt idx="95">
                  <c:v>-506400</c:v>
                </c:pt>
                <c:pt idx="96">
                  <c:v>-408000</c:v>
                </c:pt>
                <c:pt idx="97">
                  <c:v>-444000</c:v>
                </c:pt>
                <c:pt idx="98">
                  <c:v>-484800</c:v>
                </c:pt>
                <c:pt idx="99">
                  <c:v>-516000</c:v>
                </c:pt>
                <c:pt idx="100">
                  <c:v>-552000</c:v>
                </c:pt>
                <c:pt idx="101">
                  <c:v>-588000</c:v>
                </c:pt>
                <c:pt idx="102">
                  <c:v>-628800</c:v>
                </c:pt>
                <c:pt idx="103">
                  <c:v>-568800</c:v>
                </c:pt>
                <c:pt idx="104">
                  <c:v>-625500</c:v>
                </c:pt>
                <c:pt idx="105">
                  <c:v>-661200</c:v>
                </c:pt>
                <c:pt idx="106">
                  <c:v>-667500</c:v>
                </c:pt>
                <c:pt idx="107">
                  <c:v>-749400</c:v>
                </c:pt>
                <c:pt idx="108">
                  <c:v>-747300</c:v>
                </c:pt>
                <c:pt idx="109">
                  <c:v>-793500</c:v>
                </c:pt>
                <c:pt idx="110">
                  <c:v>-738900</c:v>
                </c:pt>
                <c:pt idx="111">
                  <c:v>-709500</c:v>
                </c:pt>
                <c:pt idx="112">
                  <c:v>-766200</c:v>
                </c:pt>
                <c:pt idx="113">
                  <c:v>-804000</c:v>
                </c:pt>
                <c:pt idx="114">
                  <c:v>-780900</c:v>
                </c:pt>
                <c:pt idx="115">
                  <c:v>-728400</c:v>
                </c:pt>
                <c:pt idx="116">
                  <c:v>-808200</c:v>
                </c:pt>
                <c:pt idx="117">
                  <c:v>-713700</c:v>
                </c:pt>
                <c:pt idx="118">
                  <c:v>-499500</c:v>
                </c:pt>
                <c:pt idx="119">
                  <c:v>-497400</c:v>
                </c:pt>
                <c:pt idx="120">
                  <c:v>-419700</c:v>
                </c:pt>
                <c:pt idx="121">
                  <c:v>-369300</c:v>
                </c:pt>
                <c:pt idx="122">
                  <c:v>-392400</c:v>
                </c:pt>
                <c:pt idx="123">
                  <c:v>-400800</c:v>
                </c:pt>
                <c:pt idx="124">
                  <c:v>-302100</c:v>
                </c:pt>
                <c:pt idx="125">
                  <c:v>-182400</c:v>
                </c:pt>
                <c:pt idx="126">
                  <c:v>-135600</c:v>
                </c:pt>
                <c:pt idx="127">
                  <c:v>-52800</c:v>
                </c:pt>
                <c:pt idx="128">
                  <c:v>-27600</c:v>
                </c:pt>
                <c:pt idx="129">
                  <c:v>-9600</c:v>
                </c:pt>
                <c:pt idx="130">
                  <c:v>-105000</c:v>
                </c:pt>
                <c:pt idx="131">
                  <c:v>-65400</c:v>
                </c:pt>
                <c:pt idx="132">
                  <c:v>-115800</c:v>
                </c:pt>
                <c:pt idx="133">
                  <c:v>-186000</c:v>
                </c:pt>
                <c:pt idx="134">
                  <c:v>-159000</c:v>
                </c:pt>
                <c:pt idx="135">
                  <c:v>-121200</c:v>
                </c:pt>
                <c:pt idx="136">
                  <c:v>-137400</c:v>
                </c:pt>
                <c:pt idx="137">
                  <c:v>-52800</c:v>
                </c:pt>
                <c:pt idx="138">
                  <c:v>4800</c:v>
                </c:pt>
                <c:pt idx="139">
                  <c:v>8400</c:v>
                </c:pt>
                <c:pt idx="140">
                  <c:v>6600</c:v>
                </c:pt>
                <c:pt idx="141">
                  <c:v>17400</c:v>
                </c:pt>
                <c:pt idx="142">
                  <c:v>33600</c:v>
                </c:pt>
                <c:pt idx="143">
                  <c:v>1200</c:v>
                </c:pt>
                <c:pt idx="144">
                  <c:v>46200</c:v>
                </c:pt>
                <c:pt idx="145">
                  <c:v>19200</c:v>
                </c:pt>
                <c:pt idx="146">
                  <c:v>50700</c:v>
                </c:pt>
                <c:pt idx="147">
                  <c:v>91200</c:v>
                </c:pt>
                <c:pt idx="148">
                  <c:v>70200</c:v>
                </c:pt>
                <c:pt idx="149">
                  <c:v>85200</c:v>
                </c:pt>
                <c:pt idx="150">
                  <c:v>83700</c:v>
                </c:pt>
                <c:pt idx="151">
                  <c:v>71700</c:v>
                </c:pt>
                <c:pt idx="152">
                  <c:v>74700</c:v>
                </c:pt>
                <c:pt idx="153">
                  <c:v>71700</c:v>
                </c:pt>
                <c:pt idx="154">
                  <c:v>91200</c:v>
                </c:pt>
                <c:pt idx="155">
                  <c:v>107700</c:v>
                </c:pt>
                <c:pt idx="156">
                  <c:v>56700</c:v>
                </c:pt>
                <c:pt idx="157">
                  <c:v>52200</c:v>
                </c:pt>
                <c:pt idx="158">
                  <c:v>49200</c:v>
                </c:pt>
                <c:pt idx="159">
                  <c:v>35700</c:v>
                </c:pt>
                <c:pt idx="160">
                  <c:v>13200</c:v>
                </c:pt>
                <c:pt idx="161">
                  <c:v>20700</c:v>
                </c:pt>
                <c:pt idx="162">
                  <c:v>44700</c:v>
                </c:pt>
                <c:pt idx="163">
                  <c:v>58200</c:v>
                </c:pt>
                <c:pt idx="164">
                  <c:v>79200</c:v>
                </c:pt>
                <c:pt idx="165">
                  <c:v>112200</c:v>
                </c:pt>
                <c:pt idx="166">
                  <c:v>151200</c:v>
                </c:pt>
                <c:pt idx="167">
                  <c:v>185700</c:v>
                </c:pt>
                <c:pt idx="168">
                  <c:v>202200</c:v>
                </c:pt>
                <c:pt idx="169">
                  <c:v>172200</c:v>
                </c:pt>
                <c:pt idx="170">
                  <c:v>138600</c:v>
                </c:pt>
                <c:pt idx="171">
                  <c:v>139800</c:v>
                </c:pt>
                <c:pt idx="172">
                  <c:v>118200</c:v>
                </c:pt>
                <c:pt idx="173">
                  <c:v>90600</c:v>
                </c:pt>
                <c:pt idx="174">
                  <c:v>72600</c:v>
                </c:pt>
                <c:pt idx="175">
                  <c:v>84600</c:v>
                </c:pt>
                <c:pt idx="176">
                  <c:v>130200</c:v>
                </c:pt>
                <c:pt idx="177">
                  <c:v>127800</c:v>
                </c:pt>
                <c:pt idx="178">
                  <c:v>136200</c:v>
                </c:pt>
                <c:pt idx="179">
                  <c:v>97800</c:v>
                </c:pt>
                <c:pt idx="180">
                  <c:v>108600</c:v>
                </c:pt>
                <c:pt idx="181">
                  <c:v>82200</c:v>
                </c:pt>
                <c:pt idx="182">
                  <c:v>82200</c:v>
                </c:pt>
                <c:pt idx="183">
                  <c:v>105000</c:v>
                </c:pt>
                <c:pt idx="184">
                  <c:v>107400</c:v>
                </c:pt>
                <c:pt idx="185">
                  <c:v>135000</c:v>
                </c:pt>
                <c:pt idx="186">
                  <c:v>125400</c:v>
                </c:pt>
                <c:pt idx="187">
                  <c:v>135000</c:v>
                </c:pt>
                <c:pt idx="188">
                  <c:v>135000</c:v>
                </c:pt>
                <c:pt idx="189">
                  <c:v>112200</c:v>
                </c:pt>
                <c:pt idx="190">
                  <c:v>71700</c:v>
                </c:pt>
                <c:pt idx="191">
                  <c:v>61800</c:v>
                </c:pt>
                <c:pt idx="192">
                  <c:v>60900</c:v>
                </c:pt>
                <c:pt idx="193">
                  <c:v>88800</c:v>
                </c:pt>
                <c:pt idx="194">
                  <c:v>84300</c:v>
                </c:pt>
                <c:pt idx="195">
                  <c:v>70800</c:v>
                </c:pt>
                <c:pt idx="196">
                  <c:v>96900</c:v>
                </c:pt>
                <c:pt idx="197">
                  <c:v>65400</c:v>
                </c:pt>
                <c:pt idx="198">
                  <c:v>29400</c:v>
                </c:pt>
                <c:pt idx="199">
                  <c:v>47400</c:v>
                </c:pt>
                <c:pt idx="200">
                  <c:v>42900</c:v>
                </c:pt>
                <c:pt idx="201">
                  <c:v>31200</c:v>
                </c:pt>
                <c:pt idx="202">
                  <c:v>49200</c:v>
                </c:pt>
                <c:pt idx="203">
                  <c:v>49200</c:v>
                </c:pt>
                <c:pt idx="204">
                  <c:v>61800</c:v>
                </c:pt>
                <c:pt idx="205">
                  <c:v>60000</c:v>
                </c:pt>
                <c:pt idx="206">
                  <c:v>40200</c:v>
                </c:pt>
                <c:pt idx="207">
                  <c:v>31200</c:v>
                </c:pt>
                <c:pt idx="208">
                  <c:v>36600</c:v>
                </c:pt>
                <c:pt idx="209">
                  <c:v>33900</c:v>
                </c:pt>
                <c:pt idx="210">
                  <c:v>51300</c:v>
                </c:pt>
                <c:pt idx="211">
                  <c:v>60900</c:v>
                </c:pt>
                <c:pt idx="212">
                  <c:v>55500</c:v>
                </c:pt>
                <c:pt idx="213">
                  <c:v>54300</c:v>
                </c:pt>
                <c:pt idx="214">
                  <c:v>59100</c:v>
                </c:pt>
                <c:pt idx="215">
                  <c:v>41700</c:v>
                </c:pt>
                <c:pt idx="216">
                  <c:v>67500</c:v>
                </c:pt>
                <c:pt idx="217">
                  <c:v>68700</c:v>
                </c:pt>
                <c:pt idx="218">
                  <c:v>77700</c:v>
                </c:pt>
                <c:pt idx="219">
                  <c:v>69300</c:v>
                </c:pt>
                <c:pt idx="220">
                  <c:v>74100</c:v>
                </c:pt>
                <c:pt idx="221">
                  <c:v>67500</c:v>
                </c:pt>
                <c:pt idx="222">
                  <c:v>60900</c:v>
                </c:pt>
                <c:pt idx="223">
                  <c:v>50100</c:v>
                </c:pt>
                <c:pt idx="224">
                  <c:v>47100</c:v>
                </c:pt>
                <c:pt idx="225">
                  <c:v>48900</c:v>
                </c:pt>
                <c:pt idx="226">
                  <c:v>47100</c:v>
                </c:pt>
                <c:pt idx="227">
                  <c:v>51300</c:v>
                </c:pt>
                <c:pt idx="228">
                  <c:v>77100</c:v>
                </c:pt>
                <c:pt idx="229">
                  <c:v>77100</c:v>
                </c:pt>
                <c:pt idx="230">
                  <c:v>85200</c:v>
                </c:pt>
                <c:pt idx="231">
                  <c:v>78600</c:v>
                </c:pt>
                <c:pt idx="232">
                  <c:v>64800</c:v>
                </c:pt>
                <c:pt idx="233">
                  <c:v>64800</c:v>
                </c:pt>
                <c:pt idx="234">
                  <c:v>62700</c:v>
                </c:pt>
                <c:pt idx="235">
                  <c:v>65100</c:v>
                </c:pt>
                <c:pt idx="236">
                  <c:v>63300</c:v>
                </c:pt>
                <c:pt idx="237">
                  <c:v>58800</c:v>
                </c:pt>
                <c:pt idx="238">
                  <c:v>55200</c:v>
                </c:pt>
                <c:pt idx="239">
                  <c:v>56700</c:v>
                </c:pt>
                <c:pt idx="240">
                  <c:v>61200</c:v>
                </c:pt>
                <c:pt idx="241">
                  <c:v>62700</c:v>
                </c:pt>
                <c:pt idx="242">
                  <c:v>60600</c:v>
                </c:pt>
                <c:pt idx="243">
                  <c:v>64800</c:v>
                </c:pt>
                <c:pt idx="244">
                  <c:v>72300</c:v>
                </c:pt>
                <c:pt idx="245">
                  <c:v>73500</c:v>
                </c:pt>
                <c:pt idx="246">
                  <c:v>72900</c:v>
                </c:pt>
                <c:pt idx="247">
                  <c:v>64200</c:v>
                </c:pt>
                <c:pt idx="248">
                  <c:v>72000</c:v>
                </c:pt>
                <c:pt idx="249">
                  <c:v>69600</c:v>
                </c:pt>
                <c:pt idx="250">
                  <c:v>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1-42DB-89DA-EE863FD8F365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279355</c:v>
                </c:pt>
                <c:pt idx="20">
                  <c:v>289775</c:v>
                </c:pt>
                <c:pt idx="21">
                  <c:v>275760</c:v>
                </c:pt>
                <c:pt idx="22">
                  <c:v>259835</c:v>
                </c:pt>
                <c:pt idx="23">
                  <c:v>233450</c:v>
                </c:pt>
                <c:pt idx="24">
                  <c:v>182300</c:v>
                </c:pt>
                <c:pt idx="25">
                  <c:v>170850</c:v>
                </c:pt>
                <c:pt idx="26">
                  <c:v>167900</c:v>
                </c:pt>
                <c:pt idx="27">
                  <c:v>161965</c:v>
                </c:pt>
                <c:pt idx="28">
                  <c:v>147355</c:v>
                </c:pt>
                <c:pt idx="29">
                  <c:v>176260</c:v>
                </c:pt>
                <c:pt idx="30">
                  <c:v>257095</c:v>
                </c:pt>
                <c:pt idx="31">
                  <c:v>244885</c:v>
                </c:pt>
                <c:pt idx="32">
                  <c:v>234960</c:v>
                </c:pt>
                <c:pt idx="33">
                  <c:v>261605</c:v>
                </c:pt>
                <c:pt idx="34">
                  <c:v>198410</c:v>
                </c:pt>
                <c:pt idx="35">
                  <c:v>176220</c:v>
                </c:pt>
                <c:pt idx="36">
                  <c:v>132790</c:v>
                </c:pt>
                <c:pt idx="37">
                  <c:v>111430</c:v>
                </c:pt>
                <c:pt idx="38">
                  <c:v>105285</c:v>
                </c:pt>
                <c:pt idx="39">
                  <c:v>123145</c:v>
                </c:pt>
                <c:pt idx="40">
                  <c:v>113095</c:v>
                </c:pt>
                <c:pt idx="41">
                  <c:v>98655</c:v>
                </c:pt>
                <c:pt idx="42">
                  <c:v>125405</c:v>
                </c:pt>
                <c:pt idx="43">
                  <c:v>154500</c:v>
                </c:pt>
                <c:pt idx="44">
                  <c:v>176645</c:v>
                </c:pt>
                <c:pt idx="45">
                  <c:v>193840</c:v>
                </c:pt>
                <c:pt idx="46">
                  <c:v>224320</c:v>
                </c:pt>
                <c:pt idx="47">
                  <c:v>261175</c:v>
                </c:pt>
                <c:pt idx="48">
                  <c:v>318365</c:v>
                </c:pt>
                <c:pt idx="49">
                  <c:v>316030</c:v>
                </c:pt>
                <c:pt idx="50">
                  <c:v>307705</c:v>
                </c:pt>
                <c:pt idx="51">
                  <c:v>311395</c:v>
                </c:pt>
                <c:pt idx="52">
                  <c:v>296125</c:v>
                </c:pt>
                <c:pt idx="53">
                  <c:v>321670</c:v>
                </c:pt>
                <c:pt idx="54">
                  <c:v>324040</c:v>
                </c:pt>
                <c:pt idx="55">
                  <c:v>306390</c:v>
                </c:pt>
                <c:pt idx="56">
                  <c:v>322570</c:v>
                </c:pt>
                <c:pt idx="57">
                  <c:v>325150</c:v>
                </c:pt>
                <c:pt idx="58">
                  <c:v>340770</c:v>
                </c:pt>
                <c:pt idx="59">
                  <c:v>347985</c:v>
                </c:pt>
                <c:pt idx="60">
                  <c:v>321705</c:v>
                </c:pt>
                <c:pt idx="61">
                  <c:v>121925</c:v>
                </c:pt>
                <c:pt idx="62">
                  <c:v>154535</c:v>
                </c:pt>
                <c:pt idx="63">
                  <c:v>190090</c:v>
                </c:pt>
                <c:pt idx="64">
                  <c:v>200715</c:v>
                </c:pt>
                <c:pt idx="65">
                  <c:v>233910</c:v>
                </c:pt>
                <c:pt idx="66">
                  <c:v>276430</c:v>
                </c:pt>
                <c:pt idx="67">
                  <c:v>284140</c:v>
                </c:pt>
                <c:pt idx="68">
                  <c:v>211410</c:v>
                </c:pt>
                <c:pt idx="69">
                  <c:v>241040</c:v>
                </c:pt>
                <c:pt idx="70">
                  <c:v>431940</c:v>
                </c:pt>
                <c:pt idx="71">
                  <c:v>430260</c:v>
                </c:pt>
                <c:pt idx="72">
                  <c:v>484980</c:v>
                </c:pt>
                <c:pt idx="73">
                  <c:v>493965</c:v>
                </c:pt>
                <c:pt idx="74">
                  <c:v>522700</c:v>
                </c:pt>
                <c:pt idx="75">
                  <c:v>573720</c:v>
                </c:pt>
                <c:pt idx="76">
                  <c:v>561240</c:v>
                </c:pt>
                <c:pt idx="77">
                  <c:v>408520</c:v>
                </c:pt>
                <c:pt idx="78">
                  <c:v>486010</c:v>
                </c:pt>
                <c:pt idx="79">
                  <c:v>482085</c:v>
                </c:pt>
                <c:pt idx="80">
                  <c:v>459225</c:v>
                </c:pt>
                <c:pt idx="81">
                  <c:v>532475</c:v>
                </c:pt>
                <c:pt idx="82">
                  <c:v>554110</c:v>
                </c:pt>
                <c:pt idx="83">
                  <c:v>540740</c:v>
                </c:pt>
                <c:pt idx="84">
                  <c:v>463025</c:v>
                </c:pt>
                <c:pt idx="85">
                  <c:v>442160</c:v>
                </c:pt>
                <c:pt idx="86">
                  <c:v>418500</c:v>
                </c:pt>
                <c:pt idx="87">
                  <c:v>452545</c:v>
                </c:pt>
                <c:pt idx="88">
                  <c:v>405990</c:v>
                </c:pt>
                <c:pt idx="89">
                  <c:v>466310</c:v>
                </c:pt>
                <c:pt idx="90">
                  <c:v>408955</c:v>
                </c:pt>
                <c:pt idx="91">
                  <c:v>516570</c:v>
                </c:pt>
                <c:pt idx="92">
                  <c:v>544810</c:v>
                </c:pt>
                <c:pt idx="93">
                  <c:v>568855</c:v>
                </c:pt>
                <c:pt idx="94">
                  <c:v>613860</c:v>
                </c:pt>
                <c:pt idx="95">
                  <c:v>640625</c:v>
                </c:pt>
                <c:pt idx="96">
                  <c:v>531830</c:v>
                </c:pt>
                <c:pt idx="97">
                  <c:v>565345</c:v>
                </c:pt>
                <c:pt idx="98">
                  <c:v>606180</c:v>
                </c:pt>
                <c:pt idx="99">
                  <c:v>637345</c:v>
                </c:pt>
                <c:pt idx="100">
                  <c:v>673065</c:v>
                </c:pt>
                <c:pt idx="101">
                  <c:v>705495</c:v>
                </c:pt>
                <c:pt idx="102">
                  <c:v>742515</c:v>
                </c:pt>
                <c:pt idx="103">
                  <c:v>685910</c:v>
                </c:pt>
                <c:pt idx="104">
                  <c:v>729275</c:v>
                </c:pt>
                <c:pt idx="105">
                  <c:v>762455</c:v>
                </c:pt>
                <c:pt idx="106">
                  <c:v>767915</c:v>
                </c:pt>
                <c:pt idx="107">
                  <c:v>844320</c:v>
                </c:pt>
                <c:pt idx="108">
                  <c:v>844215</c:v>
                </c:pt>
                <c:pt idx="109">
                  <c:v>880230</c:v>
                </c:pt>
                <c:pt idx="110">
                  <c:v>828185</c:v>
                </c:pt>
                <c:pt idx="111">
                  <c:v>799870</c:v>
                </c:pt>
                <c:pt idx="112">
                  <c:v>851320</c:v>
                </c:pt>
                <c:pt idx="113">
                  <c:v>893565</c:v>
                </c:pt>
                <c:pt idx="114">
                  <c:v>870920</c:v>
                </c:pt>
                <c:pt idx="115">
                  <c:v>826645</c:v>
                </c:pt>
                <c:pt idx="116">
                  <c:v>901055</c:v>
                </c:pt>
                <c:pt idx="117">
                  <c:v>811770</c:v>
                </c:pt>
                <c:pt idx="118">
                  <c:v>640655</c:v>
                </c:pt>
                <c:pt idx="119">
                  <c:v>636770</c:v>
                </c:pt>
                <c:pt idx="120">
                  <c:v>557705</c:v>
                </c:pt>
                <c:pt idx="121">
                  <c:v>508250</c:v>
                </c:pt>
                <c:pt idx="122">
                  <c:v>528305</c:v>
                </c:pt>
                <c:pt idx="123">
                  <c:v>534185</c:v>
                </c:pt>
                <c:pt idx="124">
                  <c:v>472550</c:v>
                </c:pt>
                <c:pt idx="125">
                  <c:v>401360</c:v>
                </c:pt>
                <c:pt idx="126">
                  <c:v>386235</c:v>
                </c:pt>
                <c:pt idx="127">
                  <c:v>337210</c:v>
                </c:pt>
                <c:pt idx="128">
                  <c:v>328705</c:v>
                </c:pt>
                <c:pt idx="129">
                  <c:v>311755</c:v>
                </c:pt>
                <c:pt idx="130">
                  <c:v>398965</c:v>
                </c:pt>
                <c:pt idx="131">
                  <c:v>358700</c:v>
                </c:pt>
                <c:pt idx="132">
                  <c:v>403745</c:v>
                </c:pt>
                <c:pt idx="133">
                  <c:v>474015</c:v>
                </c:pt>
                <c:pt idx="134">
                  <c:v>450095</c:v>
                </c:pt>
                <c:pt idx="135">
                  <c:v>418350</c:v>
                </c:pt>
                <c:pt idx="136">
                  <c:v>433220</c:v>
                </c:pt>
                <c:pt idx="137">
                  <c:v>349005</c:v>
                </c:pt>
                <c:pt idx="138">
                  <c:v>288955</c:v>
                </c:pt>
                <c:pt idx="139">
                  <c:v>285915</c:v>
                </c:pt>
                <c:pt idx="140">
                  <c:v>288240</c:v>
                </c:pt>
                <c:pt idx="141">
                  <c:v>276950</c:v>
                </c:pt>
                <c:pt idx="142">
                  <c:v>263025</c:v>
                </c:pt>
                <c:pt idx="143">
                  <c:v>295915</c:v>
                </c:pt>
                <c:pt idx="144">
                  <c:v>244265</c:v>
                </c:pt>
                <c:pt idx="145">
                  <c:v>264300</c:v>
                </c:pt>
                <c:pt idx="146">
                  <c:v>232695</c:v>
                </c:pt>
                <c:pt idx="147">
                  <c:v>196815</c:v>
                </c:pt>
                <c:pt idx="148">
                  <c:v>215470</c:v>
                </c:pt>
                <c:pt idx="149">
                  <c:v>200050</c:v>
                </c:pt>
                <c:pt idx="150">
                  <c:v>201725</c:v>
                </c:pt>
                <c:pt idx="151">
                  <c:v>209735</c:v>
                </c:pt>
                <c:pt idx="152">
                  <c:v>206665</c:v>
                </c:pt>
                <c:pt idx="153">
                  <c:v>209350</c:v>
                </c:pt>
                <c:pt idx="154">
                  <c:v>188450</c:v>
                </c:pt>
                <c:pt idx="155">
                  <c:v>172265</c:v>
                </c:pt>
                <c:pt idx="156">
                  <c:v>235515</c:v>
                </c:pt>
                <c:pt idx="157">
                  <c:v>241520</c:v>
                </c:pt>
                <c:pt idx="158">
                  <c:v>245990</c:v>
                </c:pt>
                <c:pt idx="159">
                  <c:v>262045</c:v>
                </c:pt>
                <c:pt idx="160">
                  <c:v>280555</c:v>
                </c:pt>
                <c:pt idx="161">
                  <c:v>275190</c:v>
                </c:pt>
                <c:pt idx="162">
                  <c:v>265610</c:v>
                </c:pt>
                <c:pt idx="163">
                  <c:v>261840</c:v>
                </c:pt>
                <c:pt idx="164">
                  <c:v>251900</c:v>
                </c:pt>
                <c:pt idx="165">
                  <c:v>233670</c:v>
                </c:pt>
                <c:pt idx="166">
                  <c:v>210735</c:v>
                </c:pt>
                <c:pt idx="167">
                  <c:v>169935</c:v>
                </c:pt>
                <c:pt idx="168">
                  <c:v>150600</c:v>
                </c:pt>
                <c:pt idx="169">
                  <c:v>190680</c:v>
                </c:pt>
                <c:pt idx="170">
                  <c:v>236110</c:v>
                </c:pt>
                <c:pt idx="171">
                  <c:v>234630</c:v>
                </c:pt>
                <c:pt idx="172">
                  <c:v>258505</c:v>
                </c:pt>
                <c:pt idx="173">
                  <c:v>287855</c:v>
                </c:pt>
                <c:pt idx="174">
                  <c:v>299590</c:v>
                </c:pt>
                <c:pt idx="175">
                  <c:v>290915</c:v>
                </c:pt>
                <c:pt idx="176">
                  <c:v>277865</c:v>
                </c:pt>
                <c:pt idx="177">
                  <c:v>279215</c:v>
                </c:pt>
                <c:pt idx="178">
                  <c:v>274560</c:v>
                </c:pt>
                <c:pt idx="179">
                  <c:v>294235</c:v>
                </c:pt>
                <c:pt idx="180">
                  <c:v>284870</c:v>
                </c:pt>
                <c:pt idx="181">
                  <c:v>298215</c:v>
                </c:pt>
                <c:pt idx="182">
                  <c:v>296115</c:v>
                </c:pt>
                <c:pt idx="183">
                  <c:v>289905</c:v>
                </c:pt>
                <c:pt idx="184">
                  <c:v>291880</c:v>
                </c:pt>
                <c:pt idx="185">
                  <c:v>284020</c:v>
                </c:pt>
                <c:pt idx="186">
                  <c:v>288965</c:v>
                </c:pt>
                <c:pt idx="187">
                  <c:v>282760</c:v>
                </c:pt>
                <c:pt idx="188">
                  <c:v>283810</c:v>
                </c:pt>
                <c:pt idx="189">
                  <c:v>299645</c:v>
                </c:pt>
                <c:pt idx="190">
                  <c:v>329260</c:v>
                </c:pt>
                <c:pt idx="191">
                  <c:v>341925</c:v>
                </c:pt>
                <c:pt idx="192">
                  <c:v>342825</c:v>
                </c:pt>
                <c:pt idx="193">
                  <c:v>310830</c:v>
                </c:pt>
                <c:pt idx="194">
                  <c:v>315330</c:v>
                </c:pt>
                <c:pt idx="195">
                  <c:v>334080</c:v>
                </c:pt>
                <c:pt idx="196">
                  <c:v>295030</c:v>
                </c:pt>
                <c:pt idx="197">
                  <c:v>318305</c:v>
                </c:pt>
                <c:pt idx="198">
                  <c:v>378455</c:v>
                </c:pt>
                <c:pt idx="199">
                  <c:v>355520</c:v>
                </c:pt>
                <c:pt idx="200">
                  <c:v>358060</c:v>
                </c:pt>
                <c:pt idx="201">
                  <c:v>371685</c:v>
                </c:pt>
                <c:pt idx="202">
                  <c:v>351025</c:v>
                </c:pt>
                <c:pt idx="203">
                  <c:v>351690</c:v>
                </c:pt>
                <c:pt idx="204">
                  <c:v>336080</c:v>
                </c:pt>
                <c:pt idx="205">
                  <c:v>337670</c:v>
                </c:pt>
                <c:pt idx="206">
                  <c:v>357470</c:v>
                </c:pt>
                <c:pt idx="207">
                  <c:v>366295</c:v>
                </c:pt>
                <c:pt idx="208">
                  <c:v>362155</c:v>
                </c:pt>
                <c:pt idx="209">
                  <c:v>363490</c:v>
                </c:pt>
                <c:pt idx="210">
                  <c:v>353405</c:v>
                </c:pt>
                <c:pt idx="211">
                  <c:v>355040</c:v>
                </c:pt>
                <c:pt idx="212">
                  <c:v>354070</c:v>
                </c:pt>
                <c:pt idx="213">
                  <c:v>353975</c:v>
                </c:pt>
                <c:pt idx="214">
                  <c:v>356350</c:v>
                </c:pt>
                <c:pt idx="215">
                  <c:v>348340</c:v>
                </c:pt>
                <c:pt idx="216">
                  <c:v>335735</c:v>
                </c:pt>
                <c:pt idx="217">
                  <c:v>336460</c:v>
                </c:pt>
                <c:pt idx="218">
                  <c:v>335265</c:v>
                </c:pt>
                <c:pt idx="219">
                  <c:v>342090</c:v>
                </c:pt>
                <c:pt idx="220">
                  <c:v>336905</c:v>
                </c:pt>
                <c:pt idx="221">
                  <c:v>338605</c:v>
                </c:pt>
                <c:pt idx="222">
                  <c:v>344645</c:v>
                </c:pt>
                <c:pt idx="223">
                  <c:v>358420</c:v>
                </c:pt>
                <c:pt idx="224">
                  <c:v>355820</c:v>
                </c:pt>
                <c:pt idx="225">
                  <c:v>355875</c:v>
                </c:pt>
                <c:pt idx="226">
                  <c:v>355995</c:v>
                </c:pt>
                <c:pt idx="227">
                  <c:v>355750</c:v>
                </c:pt>
                <c:pt idx="228">
                  <c:v>355640</c:v>
                </c:pt>
                <c:pt idx="229">
                  <c:v>355360</c:v>
                </c:pt>
                <c:pt idx="230">
                  <c:v>347085</c:v>
                </c:pt>
                <c:pt idx="231">
                  <c:v>350360</c:v>
                </c:pt>
                <c:pt idx="232">
                  <c:v>363985</c:v>
                </c:pt>
                <c:pt idx="233">
                  <c:v>363495</c:v>
                </c:pt>
                <c:pt idx="234">
                  <c:v>366015</c:v>
                </c:pt>
                <c:pt idx="235">
                  <c:v>372120</c:v>
                </c:pt>
                <c:pt idx="236">
                  <c:v>365345</c:v>
                </c:pt>
                <c:pt idx="237">
                  <c:v>364700</c:v>
                </c:pt>
                <c:pt idx="238">
                  <c:v>364800</c:v>
                </c:pt>
                <c:pt idx="239">
                  <c:v>369460</c:v>
                </c:pt>
                <c:pt idx="240">
                  <c:v>388620</c:v>
                </c:pt>
                <c:pt idx="241">
                  <c:v>396535</c:v>
                </c:pt>
                <c:pt idx="242">
                  <c:v>393420</c:v>
                </c:pt>
                <c:pt idx="243">
                  <c:v>405915</c:v>
                </c:pt>
                <c:pt idx="244">
                  <c:v>424560</c:v>
                </c:pt>
                <c:pt idx="245">
                  <c:v>424690</c:v>
                </c:pt>
                <c:pt idx="246">
                  <c:v>424485</c:v>
                </c:pt>
                <c:pt idx="247">
                  <c:v>431785</c:v>
                </c:pt>
                <c:pt idx="248">
                  <c:v>428010</c:v>
                </c:pt>
                <c:pt idx="249">
                  <c:v>427400</c:v>
                </c:pt>
                <c:pt idx="250">
                  <c:v>429880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1-42DB-89DA-EE863FD8F365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[0]!dhpLongFuturesExoRangeSelloffBoth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279390</c:v>
                </c:pt>
                <c:pt idx="20">
                  <c:v>290591.66666666669</c:v>
                </c:pt>
                <c:pt idx="21">
                  <c:v>276369.58333333331</c:v>
                </c:pt>
                <c:pt idx="22">
                  <c:v>259846.66666666666</c:v>
                </c:pt>
                <c:pt idx="23">
                  <c:v>232910.41666666666</c:v>
                </c:pt>
                <c:pt idx="24">
                  <c:v>180797.91666666666</c:v>
                </c:pt>
                <c:pt idx="25">
                  <c:v>169202.08333333334</c:v>
                </c:pt>
                <c:pt idx="26">
                  <c:v>166222.91666666666</c:v>
                </c:pt>
                <c:pt idx="27">
                  <c:v>160232.5</c:v>
                </c:pt>
                <c:pt idx="28">
                  <c:v>145465</c:v>
                </c:pt>
                <c:pt idx="29">
                  <c:v>174711.25</c:v>
                </c:pt>
                <c:pt idx="30">
                  <c:v>255135</c:v>
                </c:pt>
                <c:pt idx="31">
                  <c:v>243117.5</c:v>
                </c:pt>
                <c:pt idx="32">
                  <c:v>233469.58333333334</c:v>
                </c:pt>
                <c:pt idx="33">
                  <c:v>260094.16666666666</c:v>
                </c:pt>
                <c:pt idx="34">
                  <c:v>195840.41666666666</c:v>
                </c:pt>
                <c:pt idx="35">
                  <c:v>173574.58333333331</c:v>
                </c:pt>
                <c:pt idx="36">
                  <c:v>129088.75</c:v>
                </c:pt>
                <c:pt idx="37">
                  <c:v>107308.75</c:v>
                </c:pt>
                <c:pt idx="38">
                  <c:v>101125.83333333333</c:v>
                </c:pt>
                <c:pt idx="39">
                  <c:v>119009.16666666666</c:v>
                </c:pt>
                <c:pt idx="40">
                  <c:v>109134.16666666666</c:v>
                </c:pt>
                <c:pt idx="41">
                  <c:v>94600.833333333328</c:v>
                </c:pt>
                <c:pt idx="42">
                  <c:v>119892.5</c:v>
                </c:pt>
                <c:pt idx="43">
                  <c:v>147138.33333333331</c:v>
                </c:pt>
                <c:pt idx="44">
                  <c:v>169592.5</c:v>
                </c:pt>
                <c:pt idx="45">
                  <c:v>186921.66666666669</c:v>
                </c:pt>
                <c:pt idx="46">
                  <c:v>217821.66666666669</c:v>
                </c:pt>
                <c:pt idx="47">
                  <c:v>255534.16666666669</c:v>
                </c:pt>
                <c:pt idx="48">
                  <c:v>313692.5</c:v>
                </c:pt>
                <c:pt idx="49">
                  <c:v>311246.66666666669</c:v>
                </c:pt>
                <c:pt idx="50">
                  <c:v>302309.16666666669</c:v>
                </c:pt>
                <c:pt idx="51">
                  <c:v>306384.16666666669</c:v>
                </c:pt>
                <c:pt idx="52">
                  <c:v>290659.16666666669</c:v>
                </c:pt>
                <c:pt idx="53">
                  <c:v>317446.66666666669</c:v>
                </c:pt>
                <c:pt idx="54">
                  <c:v>319921.66666666669</c:v>
                </c:pt>
                <c:pt idx="55">
                  <c:v>302213.33333333331</c:v>
                </c:pt>
                <c:pt idx="56">
                  <c:v>318696.66666666669</c:v>
                </c:pt>
                <c:pt idx="57">
                  <c:v>321346.66666666669</c:v>
                </c:pt>
                <c:pt idx="58">
                  <c:v>337363.33333333331</c:v>
                </c:pt>
                <c:pt idx="59">
                  <c:v>344875.83333333331</c:v>
                </c:pt>
                <c:pt idx="60">
                  <c:v>317475.83333333331</c:v>
                </c:pt>
                <c:pt idx="61">
                  <c:v>108992.5</c:v>
                </c:pt>
                <c:pt idx="62">
                  <c:v>141550</c:v>
                </c:pt>
                <c:pt idx="63">
                  <c:v>176991.25</c:v>
                </c:pt>
                <c:pt idx="64">
                  <c:v>187660</c:v>
                </c:pt>
                <c:pt idx="65">
                  <c:v>219306.25</c:v>
                </c:pt>
                <c:pt idx="66">
                  <c:v>259971.25</c:v>
                </c:pt>
                <c:pt idx="67">
                  <c:v>267103.75</c:v>
                </c:pt>
                <c:pt idx="68">
                  <c:v>198381.25</c:v>
                </c:pt>
                <c:pt idx="69">
                  <c:v>228028.75</c:v>
                </c:pt>
                <c:pt idx="70">
                  <c:v>410353.75</c:v>
                </c:pt>
                <c:pt idx="71">
                  <c:v>409093.75</c:v>
                </c:pt>
                <c:pt idx="72">
                  <c:v>466333.75</c:v>
                </c:pt>
                <c:pt idx="73">
                  <c:v>476447.5</c:v>
                </c:pt>
                <c:pt idx="74">
                  <c:v>507448.75</c:v>
                </c:pt>
                <c:pt idx="75">
                  <c:v>563263.75</c:v>
                </c:pt>
                <c:pt idx="76">
                  <c:v>551203.75</c:v>
                </c:pt>
                <c:pt idx="77">
                  <c:v>392113.75</c:v>
                </c:pt>
                <c:pt idx="78">
                  <c:v>469131.25</c:v>
                </c:pt>
                <c:pt idx="79">
                  <c:v>465512.5</c:v>
                </c:pt>
                <c:pt idx="80">
                  <c:v>442967.5</c:v>
                </c:pt>
                <c:pt idx="81">
                  <c:v>520855</c:v>
                </c:pt>
                <c:pt idx="82">
                  <c:v>542481.25</c:v>
                </c:pt>
                <c:pt idx="83">
                  <c:v>527967.91666666663</c:v>
                </c:pt>
                <c:pt idx="84">
                  <c:v>443357.91666666669</c:v>
                </c:pt>
                <c:pt idx="85">
                  <c:v>422247.91666666669</c:v>
                </c:pt>
                <c:pt idx="86">
                  <c:v>395274.58333333337</c:v>
                </c:pt>
                <c:pt idx="87">
                  <c:v>431571.25</c:v>
                </c:pt>
                <c:pt idx="88">
                  <c:v>382134.58333333337</c:v>
                </c:pt>
                <c:pt idx="89">
                  <c:v>449547.91666666669</c:v>
                </c:pt>
                <c:pt idx="90">
                  <c:v>392111.25</c:v>
                </c:pt>
                <c:pt idx="91">
                  <c:v>499854.58333333331</c:v>
                </c:pt>
                <c:pt idx="92">
                  <c:v>528281.25</c:v>
                </c:pt>
                <c:pt idx="93">
                  <c:v>549911.25</c:v>
                </c:pt>
                <c:pt idx="94">
                  <c:v>595114.58333333337</c:v>
                </c:pt>
                <c:pt idx="95">
                  <c:v>620957.91666666663</c:v>
                </c:pt>
                <c:pt idx="96">
                  <c:v>515627.91666666663</c:v>
                </c:pt>
                <c:pt idx="97">
                  <c:v>549971.25</c:v>
                </c:pt>
                <c:pt idx="98">
                  <c:v>590794.58333333326</c:v>
                </c:pt>
                <c:pt idx="99">
                  <c:v>621971.25</c:v>
                </c:pt>
                <c:pt idx="100">
                  <c:v>657784.58333333326</c:v>
                </c:pt>
                <c:pt idx="101">
                  <c:v>691404.58333333326</c:v>
                </c:pt>
                <c:pt idx="102">
                  <c:v>729684.58333333326</c:v>
                </c:pt>
                <c:pt idx="103">
                  <c:v>671947.91666666663</c:v>
                </c:pt>
                <c:pt idx="104">
                  <c:v>720869.16666666663</c:v>
                </c:pt>
                <c:pt idx="105">
                  <c:v>755099.16666666663</c:v>
                </c:pt>
                <c:pt idx="106">
                  <c:v>760909.16666666663</c:v>
                </c:pt>
                <c:pt idx="107">
                  <c:v>839603.75</c:v>
                </c:pt>
                <c:pt idx="108">
                  <c:v>838667.5</c:v>
                </c:pt>
                <c:pt idx="109">
                  <c:v>878926.25</c:v>
                </c:pt>
                <c:pt idx="110">
                  <c:v>825816.66666666663</c:v>
                </c:pt>
                <c:pt idx="111">
                  <c:v>797049.58333333326</c:v>
                </c:pt>
                <c:pt idx="112">
                  <c:v>850687.08333333326</c:v>
                </c:pt>
                <c:pt idx="113">
                  <c:v>891080</c:v>
                </c:pt>
                <c:pt idx="114">
                  <c:v>868245.41666666663</c:v>
                </c:pt>
                <c:pt idx="115">
                  <c:v>820543.33333333337</c:v>
                </c:pt>
                <c:pt idx="116">
                  <c:v>897199.16666666663</c:v>
                </c:pt>
                <c:pt idx="117">
                  <c:v>805741.25</c:v>
                </c:pt>
                <c:pt idx="118">
                  <c:v>616674.16666666663</c:v>
                </c:pt>
                <c:pt idx="119">
                  <c:v>613532.91666666663</c:v>
                </c:pt>
                <c:pt idx="120">
                  <c:v>535036.66666666663</c:v>
                </c:pt>
                <c:pt idx="121">
                  <c:v>485187.91666666663</c:v>
                </c:pt>
                <c:pt idx="122">
                  <c:v>506511.66666666663</c:v>
                </c:pt>
                <c:pt idx="123">
                  <c:v>513441.66666666663</c:v>
                </c:pt>
                <c:pt idx="124">
                  <c:v>436362.91666666663</c:v>
                </c:pt>
                <c:pt idx="125">
                  <c:v>344960.41666666663</c:v>
                </c:pt>
                <c:pt idx="126">
                  <c:v>313997.91666666663</c:v>
                </c:pt>
                <c:pt idx="127">
                  <c:v>248085.41666666666</c:v>
                </c:pt>
                <c:pt idx="128">
                  <c:v>231232.91666666666</c:v>
                </c:pt>
                <c:pt idx="129">
                  <c:v>213757.91666666666</c:v>
                </c:pt>
                <c:pt idx="130">
                  <c:v>305062.91666666663</c:v>
                </c:pt>
                <c:pt idx="131">
                  <c:v>265130.41666666663</c:v>
                </c:pt>
                <c:pt idx="132">
                  <c:v>312852.91666666663</c:v>
                </c:pt>
                <c:pt idx="133">
                  <c:v>383087.91666666663</c:v>
                </c:pt>
                <c:pt idx="134">
                  <c:v>357627.91666666663</c:v>
                </c:pt>
                <c:pt idx="135">
                  <c:v>322855.41666666663</c:v>
                </c:pt>
                <c:pt idx="136">
                  <c:v>338390.41666666663</c:v>
                </c:pt>
                <c:pt idx="137">
                  <c:v>253982.91666666666</c:v>
                </c:pt>
                <c:pt idx="138">
                  <c:v>195157.91666666666</c:v>
                </c:pt>
                <c:pt idx="139">
                  <c:v>191837.91666666666</c:v>
                </c:pt>
                <c:pt idx="140">
                  <c:v>193900.41666666666</c:v>
                </c:pt>
                <c:pt idx="141">
                  <c:v>182855.41666666666</c:v>
                </c:pt>
                <c:pt idx="142">
                  <c:v>167792.91666666666</c:v>
                </c:pt>
                <c:pt idx="143">
                  <c:v>200437.91666666666</c:v>
                </c:pt>
                <c:pt idx="144">
                  <c:v>152112.91666666666</c:v>
                </c:pt>
                <c:pt idx="145">
                  <c:v>175630.41666666666</c:v>
                </c:pt>
                <c:pt idx="146">
                  <c:v>144086.66666666666</c:v>
                </c:pt>
                <c:pt idx="147">
                  <c:v>105511.66666666666</c:v>
                </c:pt>
                <c:pt idx="148">
                  <c:v>125534.58333333331</c:v>
                </c:pt>
                <c:pt idx="149">
                  <c:v>110359.58333333331</c:v>
                </c:pt>
                <c:pt idx="150">
                  <c:v>111932.49999999997</c:v>
                </c:pt>
                <c:pt idx="151">
                  <c:v>122269.99999999997</c:v>
                </c:pt>
                <c:pt idx="152">
                  <c:v>119240.83333333331</c:v>
                </c:pt>
                <c:pt idx="153">
                  <c:v>122109.58333333331</c:v>
                </c:pt>
                <c:pt idx="154">
                  <c:v>102026.24999999997</c:v>
                </c:pt>
                <c:pt idx="155">
                  <c:v>85657.499999999971</c:v>
                </c:pt>
                <c:pt idx="156">
                  <c:v>141761.66666666663</c:v>
                </c:pt>
                <c:pt idx="157">
                  <c:v>146888.74999999997</c:v>
                </c:pt>
                <c:pt idx="158">
                  <c:v>150501.24999999997</c:v>
                </c:pt>
                <c:pt idx="159">
                  <c:v>165065.83333333331</c:v>
                </c:pt>
                <c:pt idx="160">
                  <c:v>185903.33333333331</c:v>
                </c:pt>
                <c:pt idx="161">
                  <c:v>179292.91666666666</c:v>
                </c:pt>
                <c:pt idx="162">
                  <c:v>161301.25</c:v>
                </c:pt>
                <c:pt idx="163">
                  <c:v>151855.41666666666</c:v>
                </c:pt>
                <c:pt idx="164">
                  <c:v>135463.75</c:v>
                </c:pt>
                <c:pt idx="165">
                  <c:v>108617.91666666666</c:v>
                </c:pt>
                <c:pt idx="166">
                  <c:v>76311.666666666657</c:v>
                </c:pt>
                <c:pt idx="167">
                  <c:v>39186.666666666657</c:v>
                </c:pt>
                <c:pt idx="168">
                  <c:v>21505.416666666657</c:v>
                </c:pt>
                <c:pt idx="169">
                  <c:v>54865.416666666657</c:v>
                </c:pt>
                <c:pt idx="170">
                  <c:v>92408.75</c:v>
                </c:pt>
                <c:pt idx="171">
                  <c:v>91115.416666666657</c:v>
                </c:pt>
                <c:pt idx="172">
                  <c:v>113473.75</c:v>
                </c:pt>
                <c:pt idx="173">
                  <c:v>141657.08333333334</c:v>
                </c:pt>
                <c:pt idx="174">
                  <c:v>157568.75</c:v>
                </c:pt>
                <c:pt idx="175">
                  <c:v>146677.08333333334</c:v>
                </c:pt>
                <c:pt idx="176">
                  <c:v>111927.08333333334</c:v>
                </c:pt>
                <c:pt idx="177">
                  <c:v>113977.08333333334</c:v>
                </c:pt>
                <c:pt idx="178">
                  <c:v>106825.41666666669</c:v>
                </c:pt>
                <c:pt idx="179">
                  <c:v>138983.75000000003</c:v>
                </c:pt>
                <c:pt idx="180">
                  <c:v>128662.08333333337</c:v>
                </c:pt>
                <c:pt idx="181">
                  <c:v>150710.41666666672</c:v>
                </c:pt>
                <c:pt idx="182">
                  <c:v>150010.41666666672</c:v>
                </c:pt>
                <c:pt idx="183">
                  <c:v>132740.41666666672</c:v>
                </c:pt>
                <c:pt idx="184">
                  <c:v>131798.75000000006</c:v>
                </c:pt>
                <c:pt idx="185">
                  <c:v>110778.75000000006</c:v>
                </c:pt>
                <c:pt idx="186">
                  <c:v>118827.0833333334</c:v>
                </c:pt>
                <c:pt idx="187">
                  <c:v>110358.75000000006</c:v>
                </c:pt>
                <c:pt idx="188">
                  <c:v>110708.75000000006</c:v>
                </c:pt>
                <c:pt idx="189">
                  <c:v>131187.0833333334</c:v>
                </c:pt>
                <c:pt idx="190">
                  <c:v>168965.8333333334</c:v>
                </c:pt>
                <c:pt idx="191">
                  <c:v>179557.0833333334</c:v>
                </c:pt>
                <c:pt idx="192">
                  <c:v>180457.0833333334</c:v>
                </c:pt>
                <c:pt idx="193">
                  <c:v>151533.3333333334</c:v>
                </c:pt>
                <c:pt idx="194">
                  <c:v>156033.3333333334</c:v>
                </c:pt>
                <c:pt idx="195">
                  <c:v>170845.8333333334</c:v>
                </c:pt>
                <c:pt idx="196">
                  <c:v>141508.3333333334</c:v>
                </c:pt>
                <c:pt idx="197">
                  <c:v>170952.0833333334</c:v>
                </c:pt>
                <c:pt idx="198">
                  <c:v>212989.5833333334</c:v>
                </c:pt>
                <c:pt idx="199">
                  <c:v>193755.8333333334</c:v>
                </c:pt>
                <c:pt idx="200">
                  <c:v>197765.8333333334</c:v>
                </c:pt>
                <c:pt idx="201">
                  <c:v>209947.0833333334</c:v>
                </c:pt>
                <c:pt idx="202">
                  <c:v>191282.0833333334</c:v>
                </c:pt>
                <c:pt idx="203">
                  <c:v>191448.3333333334</c:v>
                </c:pt>
                <c:pt idx="204">
                  <c:v>178095.8333333334</c:v>
                </c:pt>
                <c:pt idx="205">
                  <c:v>179843.3333333334</c:v>
                </c:pt>
                <c:pt idx="206">
                  <c:v>199643.3333333334</c:v>
                </c:pt>
                <c:pt idx="207">
                  <c:v>208599.5833333334</c:v>
                </c:pt>
                <c:pt idx="208">
                  <c:v>203514.5833333334</c:v>
                </c:pt>
                <c:pt idx="209">
                  <c:v>205873.3333333334</c:v>
                </c:pt>
                <c:pt idx="210">
                  <c:v>189692.50000000006</c:v>
                </c:pt>
                <c:pt idx="211">
                  <c:v>181965.00000000006</c:v>
                </c:pt>
                <c:pt idx="212">
                  <c:v>186303.3333333334</c:v>
                </c:pt>
                <c:pt idx="213">
                  <c:v>187287.50000000006</c:v>
                </c:pt>
                <c:pt idx="214">
                  <c:v>183683.3333333334</c:v>
                </c:pt>
                <c:pt idx="215">
                  <c:v>196848.3333333334</c:v>
                </c:pt>
                <c:pt idx="216">
                  <c:v>173247.50000000006</c:v>
                </c:pt>
                <c:pt idx="217">
                  <c:v>172368.3333333334</c:v>
                </c:pt>
                <c:pt idx="218">
                  <c:v>164669.16666666674</c:v>
                </c:pt>
                <c:pt idx="219">
                  <c:v>172806.66666666674</c:v>
                </c:pt>
                <c:pt idx="220">
                  <c:v>167942.50000000009</c:v>
                </c:pt>
                <c:pt idx="221">
                  <c:v>173725.83333333343</c:v>
                </c:pt>
                <c:pt idx="222">
                  <c:v>180232.50000000009</c:v>
                </c:pt>
                <c:pt idx="223">
                  <c:v>191528.33333333343</c:v>
                </c:pt>
                <c:pt idx="224">
                  <c:v>193595.00000000009</c:v>
                </c:pt>
                <c:pt idx="225">
                  <c:v>192104.16666666674</c:v>
                </c:pt>
                <c:pt idx="226">
                  <c:v>193624.16666666674</c:v>
                </c:pt>
                <c:pt idx="227">
                  <c:v>190083.3333333334</c:v>
                </c:pt>
                <c:pt idx="228">
                  <c:v>168565.00000000006</c:v>
                </c:pt>
                <c:pt idx="229">
                  <c:v>168518.3333333334</c:v>
                </c:pt>
                <c:pt idx="230">
                  <c:v>160403.75000000006</c:v>
                </c:pt>
                <c:pt idx="231">
                  <c:v>166726.66666666672</c:v>
                </c:pt>
                <c:pt idx="232">
                  <c:v>180512.08333333337</c:v>
                </c:pt>
                <c:pt idx="233">
                  <c:v>180471.25000000003</c:v>
                </c:pt>
                <c:pt idx="234">
                  <c:v>182606.25000000003</c:v>
                </c:pt>
                <c:pt idx="235">
                  <c:v>180915.00000000003</c:v>
                </c:pt>
                <c:pt idx="236">
                  <c:v>182000.41666666669</c:v>
                </c:pt>
                <c:pt idx="237">
                  <c:v>186071.66666666669</c:v>
                </c:pt>
                <c:pt idx="238">
                  <c:v>189380.00000000003</c:v>
                </c:pt>
                <c:pt idx="239">
                  <c:v>188393.33333333337</c:v>
                </c:pt>
                <c:pt idx="240">
                  <c:v>185865.00000000003</c:v>
                </c:pt>
                <c:pt idx="241">
                  <c:v>185149.58333333337</c:v>
                </c:pt>
                <c:pt idx="242">
                  <c:v>186815.00000000003</c:v>
                </c:pt>
                <c:pt idx="243">
                  <c:v>184006.25000000003</c:v>
                </c:pt>
                <c:pt idx="244">
                  <c:v>178685.00000000003</c:v>
                </c:pt>
                <c:pt idx="245">
                  <c:v>177595.83333333337</c:v>
                </c:pt>
                <c:pt idx="246">
                  <c:v>178128.75000000003</c:v>
                </c:pt>
                <c:pt idx="247">
                  <c:v>186712.08333333337</c:v>
                </c:pt>
                <c:pt idx="248">
                  <c:v>179247.50000000003</c:v>
                </c:pt>
                <c:pt idx="249">
                  <c:v>181396.66666666669</c:v>
                </c:pt>
                <c:pt idx="250">
                  <c:v>182978.33333333334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5-4BC5-A190-B72137781331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D5-4BC5-A190-B72137781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12390</c:v>
                </c:pt>
                <c:pt idx="20">
                  <c:v>3791.6666666666679</c:v>
                </c:pt>
                <c:pt idx="21">
                  <c:v>6069.5833333333339</c:v>
                </c:pt>
                <c:pt idx="22">
                  <c:v>12646.666666666668</c:v>
                </c:pt>
                <c:pt idx="23">
                  <c:v>18710.416666666668</c:v>
                </c:pt>
                <c:pt idx="24">
                  <c:v>29297.916666666668</c:v>
                </c:pt>
                <c:pt idx="25">
                  <c:v>30902.083333333336</c:v>
                </c:pt>
                <c:pt idx="26">
                  <c:v>31222.916666666668</c:v>
                </c:pt>
                <c:pt idx="27">
                  <c:v>31832.5</c:v>
                </c:pt>
                <c:pt idx="28">
                  <c:v>33565</c:v>
                </c:pt>
                <c:pt idx="29">
                  <c:v>29811.25</c:v>
                </c:pt>
                <c:pt idx="30">
                  <c:v>34335</c:v>
                </c:pt>
                <c:pt idx="31">
                  <c:v>32217.5</c:v>
                </c:pt>
                <c:pt idx="32">
                  <c:v>29169.583333333332</c:v>
                </c:pt>
                <c:pt idx="33">
                  <c:v>29394.166666666664</c:v>
                </c:pt>
                <c:pt idx="34">
                  <c:v>41040.416666666664</c:v>
                </c:pt>
                <c:pt idx="35">
                  <c:v>41874.583333333328</c:v>
                </c:pt>
                <c:pt idx="36">
                  <c:v>53488.749999999993</c:v>
                </c:pt>
                <c:pt idx="37">
                  <c:v>58108.749999999993</c:v>
                </c:pt>
                <c:pt idx="38">
                  <c:v>58525.833333333328</c:v>
                </c:pt>
                <c:pt idx="39">
                  <c:v>58409.166666666664</c:v>
                </c:pt>
                <c:pt idx="40">
                  <c:v>57534.166666666664</c:v>
                </c:pt>
                <c:pt idx="41">
                  <c:v>58000.833333333328</c:v>
                </c:pt>
                <c:pt idx="42">
                  <c:v>65292.499999999993</c:v>
                </c:pt>
                <c:pt idx="43">
                  <c:v>74538.333333333328</c:v>
                </c:pt>
                <c:pt idx="44">
                  <c:v>72992.5</c:v>
                </c:pt>
                <c:pt idx="45">
                  <c:v>72321.666666666672</c:v>
                </c:pt>
                <c:pt idx="46">
                  <c:v>70221.666666666672</c:v>
                </c:pt>
                <c:pt idx="47">
                  <c:v>65934.166666666672</c:v>
                </c:pt>
                <c:pt idx="48">
                  <c:v>61092.500000000007</c:v>
                </c:pt>
                <c:pt idx="49">
                  <c:v>61646.666666666672</c:v>
                </c:pt>
                <c:pt idx="50">
                  <c:v>64709.166666666672</c:v>
                </c:pt>
                <c:pt idx="51">
                  <c:v>62784.166666666672</c:v>
                </c:pt>
                <c:pt idx="52">
                  <c:v>65059.166666666672</c:v>
                </c:pt>
                <c:pt idx="53">
                  <c:v>58846.666666666672</c:v>
                </c:pt>
                <c:pt idx="54">
                  <c:v>58321.666666666672</c:v>
                </c:pt>
                <c:pt idx="55">
                  <c:v>58613.333333333336</c:v>
                </c:pt>
                <c:pt idx="56">
                  <c:v>57096.666666666672</c:v>
                </c:pt>
                <c:pt idx="57">
                  <c:v>56746.666666666672</c:v>
                </c:pt>
                <c:pt idx="58">
                  <c:v>54763.333333333336</c:v>
                </c:pt>
                <c:pt idx="59">
                  <c:v>53275.833333333336</c:v>
                </c:pt>
                <c:pt idx="60">
                  <c:v>58875.833333333336</c:v>
                </c:pt>
                <c:pt idx="61">
                  <c:v>102392.5</c:v>
                </c:pt>
                <c:pt idx="62">
                  <c:v>102550</c:v>
                </c:pt>
                <c:pt idx="63">
                  <c:v>102891.25</c:v>
                </c:pt>
                <c:pt idx="64">
                  <c:v>102760</c:v>
                </c:pt>
                <c:pt idx="65">
                  <c:v>107406.25</c:v>
                </c:pt>
                <c:pt idx="66">
                  <c:v>112971.25</c:v>
                </c:pt>
                <c:pt idx="67">
                  <c:v>114703.75</c:v>
                </c:pt>
                <c:pt idx="68">
                  <c:v>102681.25</c:v>
                </c:pt>
                <c:pt idx="69">
                  <c:v>102628.75</c:v>
                </c:pt>
                <c:pt idx="70">
                  <c:v>128353.75</c:v>
                </c:pt>
                <c:pt idx="71">
                  <c:v>127093.75</c:v>
                </c:pt>
                <c:pt idx="72">
                  <c:v>119533.75</c:v>
                </c:pt>
                <c:pt idx="73">
                  <c:v>116147.5</c:v>
                </c:pt>
                <c:pt idx="74">
                  <c:v>109348.75</c:v>
                </c:pt>
                <c:pt idx="75">
                  <c:v>94963.75</c:v>
                </c:pt>
                <c:pt idx="76">
                  <c:v>93703.75</c:v>
                </c:pt>
                <c:pt idx="77">
                  <c:v>112813.75</c:v>
                </c:pt>
                <c:pt idx="78">
                  <c:v>114231.25</c:v>
                </c:pt>
                <c:pt idx="79">
                  <c:v>113312.5</c:v>
                </c:pt>
                <c:pt idx="80">
                  <c:v>112367.5</c:v>
                </c:pt>
                <c:pt idx="81">
                  <c:v>98455</c:v>
                </c:pt>
                <c:pt idx="82">
                  <c:v>98481.25</c:v>
                </c:pt>
                <c:pt idx="83">
                  <c:v>100767.91666666667</c:v>
                </c:pt>
                <c:pt idx="84">
                  <c:v>114557.91666666667</c:v>
                </c:pt>
                <c:pt idx="85">
                  <c:v>115047.91666666667</c:v>
                </c:pt>
                <c:pt idx="86">
                  <c:v>121674.58333333334</c:v>
                </c:pt>
                <c:pt idx="87">
                  <c:v>117171.25000000001</c:v>
                </c:pt>
                <c:pt idx="88">
                  <c:v>122934.58333333334</c:v>
                </c:pt>
                <c:pt idx="89">
                  <c:v>108747.91666666667</c:v>
                </c:pt>
                <c:pt idx="90">
                  <c:v>108911.25</c:v>
                </c:pt>
                <c:pt idx="91">
                  <c:v>108654.58333333333</c:v>
                </c:pt>
                <c:pt idx="92">
                  <c:v>108281.25</c:v>
                </c:pt>
                <c:pt idx="93">
                  <c:v>113111.25</c:v>
                </c:pt>
                <c:pt idx="94">
                  <c:v>112714.58333333333</c:v>
                </c:pt>
                <c:pt idx="95">
                  <c:v>114557.91666666666</c:v>
                </c:pt>
                <c:pt idx="96">
                  <c:v>107627.91666666666</c:v>
                </c:pt>
                <c:pt idx="97">
                  <c:v>105971.24999999999</c:v>
                </c:pt>
                <c:pt idx="98">
                  <c:v>105994.58333333331</c:v>
                </c:pt>
                <c:pt idx="99">
                  <c:v>105971.24999999999</c:v>
                </c:pt>
                <c:pt idx="100">
                  <c:v>105784.58333333331</c:v>
                </c:pt>
                <c:pt idx="101">
                  <c:v>103404.58333333331</c:v>
                </c:pt>
                <c:pt idx="102">
                  <c:v>100884.58333333331</c:v>
                </c:pt>
                <c:pt idx="103">
                  <c:v>103147.91666666664</c:v>
                </c:pt>
                <c:pt idx="104">
                  <c:v>95369.166666666642</c:v>
                </c:pt>
                <c:pt idx="105">
                  <c:v>93899.166666666642</c:v>
                </c:pt>
                <c:pt idx="106">
                  <c:v>93409.166666666642</c:v>
                </c:pt>
                <c:pt idx="107">
                  <c:v>90203.749999999971</c:v>
                </c:pt>
                <c:pt idx="108">
                  <c:v>91367.499999999971</c:v>
                </c:pt>
                <c:pt idx="109">
                  <c:v>85426.249999999971</c:v>
                </c:pt>
                <c:pt idx="110">
                  <c:v>86916.666666666642</c:v>
                </c:pt>
                <c:pt idx="111">
                  <c:v>87549.583333333314</c:v>
                </c:pt>
                <c:pt idx="112">
                  <c:v>84487.083333333314</c:v>
                </c:pt>
                <c:pt idx="113">
                  <c:v>87079.999999999985</c:v>
                </c:pt>
                <c:pt idx="114">
                  <c:v>87345.416666666657</c:v>
                </c:pt>
                <c:pt idx="115">
                  <c:v>92143.333333333328</c:v>
                </c:pt>
                <c:pt idx="116">
                  <c:v>88999.166666666657</c:v>
                </c:pt>
                <c:pt idx="117">
                  <c:v>92041.249999999985</c:v>
                </c:pt>
                <c:pt idx="118">
                  <c:v>117174.16666666666</c:v>
                </c:pt>
                <c:pt idx="119">
                  <c:v>116132.91666666666</c:v>
                </c:pt>
                <c:pt idx="120">
                  <c:v>115336.66666666666</c:v>
                </c:pt>
                <c:pt idx="121">
                  <c:v>115887.91666666666</c:v>
                </c:pt>
                <c:pt idx="122">
                  <c:v>114111.66666666666</c:v>
                </c:pt>
                <c:pt idx="123">
                  <c:v>112641.66666666666</c:v>
                </c:pt>
                <c:pt idx="124">
                  <c:v>134262.91666666666</c:v>
                </c:pt>
                <c:pt idx="125">
                  <c:v>162560.41666666666</c:v>
                </c:pt>
                <c:pt idx="126">
                  <c:v>178397.91666666666</c:v>
                </c:pt>
                <c:pt idx="127">
                  <c:v>195285.41666666666</c:v>
                </c:pt>
                <c:pt idx="128">
                  <c:v>203632.91666666666</c:v>
                </c:pt>
                <c:pt idx="129">
                  <c:v>204157.91666666666</c:v>
                </c:pt>
                <c:pt idx="130">
                  <c:v>200062.91666666666</c:v>
                </c:pt>
                <c:pt idx="131">
                  <c:v>199730.41666666666</c:v>
                </c:pt>
                <c:pt idx="132">
                  <c:v>197052.91666666666</c:v>
                </c:pt>
                <c:pt idx="133">
                  <c:v>197087.91666666666</c:v>
                </c:pt>
                <c:pt idx="134">
                  <c:v>198627.91666666666</c:v>
                </c:pt>
                <c:pt idx="135">
                  <c:v>201655.41666666666</c:v>
                </c:pt>
                <c:pt idx="136">
                  <c:v>200990.41666666666</c:v>
                </c:pt>
                <c:pt idx="137">
                  <c:v>201182.91666666666</c:v>
                </c:pt>
                <c:pt idx="138">
                  <c:v>199957.91666666666</c:v>
                </c:pt>
                <c:pt idx="139">
                  <c:v>200237.91666666666</c:v>
                </c:pt>
                <c:pt idx="140">
                  <c:v>200500.41666666666</c:v>
                </c:pt>
                <c:pt idx="141">
                  <c:v>200255.41666666666</c:v>
                </c:pt>
                <c:pt idx="142">
                  <c:v>201392.91666666666</c:v>
                </c:pt>
                <c:pt idx="143">
                  <c:v>201637.91666666666</c:v>
                </c:pt>
                <c:pt idx="144">
                  <c:v>198312.91666666666</c:v>
                </c:pt>
                <c:pt idx="145">
                  <c:v>194830.41666666666</c:v>
                </c:pt>
                <c:pt idx="146">
                  <c:v>194786.66666666666</c:v>
                </c:pt>
                <c:pt idx="147">
                  <c:v>196711.66666666666</c:v>
                </c:pt>
                <c:pt idx="148">
                  <c:v>195734.58333333331</c:v>
                </c:pt>
                <c:pt idx="149">
                  <c:v>195559.58333333331</c:v>
                </c:pt>
                <c:pt idx="150">
                  <c:v>195632.49999999997</c:v>
                </c:pt>
                <c:pt idx="151">
                  <c:v>193969.99999999997</c:v>
                </c:pt>
                <c:pt idx="152">
                  <c:v>193940.83333333331</c:v>
                </c:pt>
                <c:pt idx="153">
                  <c:v>193809.58333333331</c:v>
                </c:pt>
                <c:pt idx="154">
                  <c:v>193226.24999999997</c:v>
                </c:pt>
                <c:pt idx="155">
                  <c:v>193357.49999999997</c:v>
                </c:pt>
                <c:pt idx="156">
                  <c:v>198461.66666666663</c:v>
                </c:pt>
                <c:pt idx="157">
                  <c:v>199088.74999999997</c:v>
                </c:pt>
                <c:pt idx="158">
                  <c:v>199701.24999999997</c:v>
                </c:pt>
                <c:pt idx="159">
                  <c:v>200765.83333333331</c:v>
                </c:pt>
                <c:pt idx="160">
                  <c:v>199103.33333333331</c:v>
                </c:pt>
                <c:pt idx="161">
                  <c:v>199992.91666666666</c:v>
                </c:pt>
                <c:pt idx="162">
                  <c:v>206001.25</c:v>
                </c:pt>
                <c:pt idx="163">
                  <c:v>210055.41666666666</c:v>
                </c:pt>
                <c:pt idx="164">
                  <c:v>214663.75</c:v>
                </c:pt>
                <c:pt idx="165">
                  <c:v>220817.91666666666</c:v>
                </c:pt>
                <c:pt idx="166">
                  <c:v>227511.66666666666</c:v>
                </c:pt>
                <c:pt idx="167">
                  <c:v>224886.66666666666</c:v>
                </c:pt>
                <c:pt idx="168">
                  <c:v>223705.41666666666</c:v>
                </c:pt>
                <c:pt idx="169">
                  <c:v>227065.41666666666</c:v>
                </c:pt>
                <c:pt idx="170">
                  <c:v>231008.75</c:v>
                </c:pt>
                <c:pt idx="171">
                  <c:v>230915.41666666666</c:v>
                </c:pt>
                <c:pt idx="172">
                  <c:v>231673.75</c:v>
                </c:pt>
                <c:pt idx="173">
                  <c:v>232257.08333333334</c:v>
                </c:pt>
                <c:pt idx="174">
                  <c:v>230168.75</c:v>
                </c:pt>
                <c:pt idx="175">
                  <c:v>231277.08333333334</c:v>
                </c:pt>
                <c:pt idx="176">
                  <c:v>242127.08333333334</c:v>
                </c:pt>
                <c:pt idx="177">
                  <c:v>241777.08333333334</c:v>
                </c:pt>
                <c:pt idx="178">
                  <c:v>243025.41666666669</c:v>
                </c:pt>
                <c:pt idx="179">
                  <c:v>236783.75000000003</c:v>
                </c:pt>
                <c:pt idx="180">
                  <c:v>237262.08333333337</c:v>
                </c:pt>
                <c:pt idx="181">
                  <c:v>232910.41666666672</c:v>
                </c:pt>
                <c:pt idx="182">
                  <c:v>232210.41666666672</c:v>
                </c:pt>
                <c:pt idx="183">
                  <c:v>237740.41666666672</c:v>
                </c:pt>
                <c:pt idx="184">
                  <c:v>239198.75000000006</c:v>
                </c:pt>
                <c:pt idx="185">
                  <c:v>245778.75000000006</c:v>
                </c:pt>
                <c:pt idx="186">
                  <c:v>244227.0833333334</c:v>
                </c:pt>
                <c:pt idx="187">
                  <c:v>245358.75000000006</c:v>
                </c:pt>
                <c:pt idx="188">
                  <c:v>245708.75000000006</c:v>
                </c:pt>
                <c:pt idx="189">
                  <c:v>243387.0833333334</c:v>
                </c:pt>
                <c:pt idx="190">
                  <c:v>240665.8333333334</c:v>
                </c:pt>
                <c:pt idx="191">
                  <c:v>241357.0833333334</c:v>
                </c:pt>
                <c:pt idx="192">
                  <c:v>241357.0833333334</c:v>
                </c:pt>
                <c:pt idx="193">
                  <c:v>240333.3333333334</c:v>
                </c:pt>
                <c:pt idx="194">
                  <c:v>240333.3333333334</c:v>
                </c:pt>
                <c:pt idx="195">
                  <c:v>241645.8333333334</c:v>
                </c:pt>
                <c:pt idx="196">
                  <c:v>238408.3333333334</c:v>
                </c:pt>
                <c:pt idx="197">
                  <c:v>236352.0833333334</c:v>
                </c:pt>
                <c:pt idx="198">
                  <c:v>242389.5833333334</c:v>
                </c:pt>
                <c:pt idx="199">
                  <c:v>241155.8333333334</c:v>
                </c:pt>
                <c:pt idx="200">
                  <c:v>240665.8333333334</c:v>
                </c:pt>
                <c:pt idx="201">
                  <c:v>241147.0833333334</c:v>
                </c:pt>
                <c:pt idx="202">
                  <c:v>240482.0833333334</c:v>
                </c:pt>
                <c:pt idx="203">
                  <c:v>240648.3333333334</c:v>
                </c:pt>
                <c:pt idx="204">
                  <c:v>239895.8333333334</c:v>
                </c:pt>
                <c:pt idx="205">
                  <c:v>239843.3333333334</c:v>
                </c:pt>
                <c:pt idx="206">
                  <c:v>239843.3333333334</c:v>
                </c:pt>
                <c:pt idx="207">
                  <c:v>239799.5833333334</c:v>
                </c:pt>
                <c:pt idx="208">
                  <c:v>240114.5833333334</c:v>
                </c:pt>
                <c:pt idx="209">
                  <c:v>239773.3333333334</c:v>
                </c:pt>
                <c:pt idx="210">
                  <c:v>240992.50000000006</c:v>
                </c:pt>
                <c:pt idx="211">
                  <c:v>242865.00000000006</c:v>
                </c:pt>
                <c:pt idx="212">
                  <c:v>241803.3333333334</c:v>
                </c:pt>
                <c:pt idx="213">
                  <c:v>241587.50000000006</c:v>
                </c:pt>
                <c:pt idx="214">
                  <c:v>242783.3333333334</c:v>
                </c:pt>
                <c:pt idx="215">
                  <c:v>238548.3333333334</c:v>
                </c:pt>
                <c:pt idx="216">
                  <c:v>240747.50000000006</c:v>
                </c:pt>
                <c:pt idx="217">
                  <c:v>241068.3333333334</c:v>
                </c:pt>
                <c:pt idx="218">
                  <c:v>242369.16666666674</c:v>
                </c:pt>
                <c:pt idx="219">
                  <c:v>242106.66666666674</c:v>
                </c:pt>
                <c:pt idx="220">
                  <c:v>242042.50000000009</c:v>
                </c:pt>
                <c:pt idx="221">
                  <c:v>241225.83333333343</c:v>
                </c:pt>
                <c:pt idx="222">
                  <c:v>241132.50000000009</c:v>
                </c:pt>
                <c:pt idx="223">
                  <c:v>241628.33333333343</c:v>
                </c:pt>
                <c:pt idx="224">
                  <c:v>240695.00000000009</c:v>
                </c:pt>
                <c:pt idx="225">
                  <c:v>241004.16666666674</c:v>
                </c:pt>
                <c:pt idx="226">
                  <c:v>240724.16666666674</c:v>
                </c:pt>
                <c:pt idx="227">
                  <c:v>241383.3333333334</c:v>
                </c:pt>
                <c:pt idx="228">
                  <c:v>245665.00000000006</c:v>
                </c:pt>
                <c:pt idx="229">
                  <c:v>245618.3333333334</c:v>
                </c:pt>
                <c:pt idx="230">
                  <c:v>245603.75000000006</c:v>
                </c:pt>
                <c:pt idx="231">
                  <c:v>245326.66666666672</c:v>
                </c:pt>
                <c:pt idx="232">
                  <c:v>245312.08333333337</c:v>
                </c:pt>
                <c:pt idx="233">
                  <c:v>245271.25000000003</c:v>
                </c:pt>
                <c:pt idx="234">
                  <c:v>245306.25000000003</c:v>
                </c:pt>
                <c:pt idx="235">
                  <c:v>246015.00000000003</c:v>
                </c:pt>
                <c:pt idx="236">
                  <c:v>245300.41666666669</c:v>
                </c:pt>
                <c:pt idx="237">
                  <c:v>244871.66666666669</c:v>
                </c:pt>
                <c:pt idx="238">
                  <c:v>244580.00000000003</c:v>
                </c:pt>
                <c:pt idx="239">
                  <c:v>245093.33333333337</c:v>
                </c:pt>
                <c:pt idx="240">
                  <c:v>247065.00000000003</c:v>
                </c:pt>
                <c:pt idx="241">
                  <c:v>247849.58333333337</c:v>
                </c:pt>
                <c:pt idx="242">
                  <c:v>247415.00000000003</c:v>
                </c:pt>
                <c:pt idx="243">
                  <c:v>248806.25000000003</c:v>
                </c:pt>
                <c:pt idx="244">
                  <c:v>250985.00000000003</c:v>
                </c:pt>
                <c:pt idx="245">
                  <c:v>251095.83333333337</c:v>
                </c:pt>
                <c:pt idx="246">
                  <c:v>251028.75000000003</c:v>
                </c:pt>
                <c:pt idx="247">
                  <c:v>250912.08333333337</c:v>
                </c:pt>
                <c:pt idx="248">
                  <c:v>251247.50000000003</c:v>
                </c:pt>
                <c:pt idx="249">
                  <c:v>250996.66666666669</c:v>
                </c:pt>
                <c:pt idx="250">
                  <c:v>251078.33333333334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2-448A-BD6A-26229808288F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267000</c:v>
                </c:pt>
                <c:pt idx="20">
                  <c:v>286800</c:v>
                </c:pt>
                <c:pt idx="21">
                  <c:v>270300</c:v>
                </c:pt>
                <c:pt idx="22">
                  <c:v>247200</c:v>
                </c:pt>
                <c:pt idx="23">
                  <c:v>214200</c:v>
                </c:pt>
                <c:pt idx="24">
                  <c:v>151500</c:v>
                </c:pt>
                <c:pt idx="25">
                  <c:v>138300</c:v>
                </c:pt>
                <c:pt idx="26">
                  <c:v>135000</c:v>
                </c:pt>
                <c:pt idx="27">
                  <c:v>128400</c:v>
                </c:pt>
                <c:pt idx="28">
                  <c:v>111900</c:v>
                </c:pt>
                <c:pt idx="29">
                  <c:v>144900</c:v>
                </c:pt>
                <c:pt idx="30">
                  <c:v>220800</c:v>
                </c:pt>
                <c:pt idx="31">
                  <c:v>210900</c:v>
                </c:pt>
                <c:pt idx="32">
                  <c:v>204300</c:v>
                </c:pt>
                <c:pt idx="33">
                  <c:v>230700</c:v>
                </c:pt>
                <c:pt idx="34">
                  <c:v>154800</c:v>
                </c:pt>
                <c:pt idx="35">
                  <c:v>131700</c:v>
                </c:pt>
                <c:pt idx="36">
                  <c:v>75600</c:v>
                </c:pt>
                <c:pt idx="37">
                  <c:v>49200</c:v>
                </c:pt>
                <c:pt idx="38">
                  <c:v>42600</c:v>
                </c:pt>
                <c:pt idx="39">
                  <c:v>60600</c:v>
                </c:pt>
                <c:pt idx="40">
                  <c:v>51600</c:v>
                </c:pt>
                <c:pt idx="41">
                  <c:v>36600</c:v>
                </c:pt>
                <c:pt idx="42">
                  <c:v>54600</c:v>
                </c:pt>
                <c:pt idx="43">
                  <c:v>72600</c:v>
                </c:pt>
                <c:pt idx="44">
                  <c:v>96600</c:v>
                </c:pt>
                <c:pt idx="45">
                  <c:v>114600</c:v>
                </c:pt>
                <c:pt idx="46">
                  <c:v>147600</c:v>
                </c:pt>
                <c:pt idx="47">
                  <c:v>189600</c:v>
                </c:pt>
                <c:pt idx="48">
                  <c:v>252600</c:v>
                </c:pt>
                <c:pt idx="49">
                  <c:v>249600</c:v>
                </c:pt>
                <c:pt idx="50">
                  <c:v>237600</c:v>
                </c:pt>
                <c:pt idx="51">
                  <c:v>243600</c:v>
                </c:pt>
                <c:pt idx="52">
                  <c:v>225600</c:v>
                </c:pt>
                <c:pt idx="53">
                  <c:v>258600</c:v>
                </c:pt>
                <c:pt idx="54">
                  <c:v>261600</c:v>
                </c:pt>
                <c:pt idx="55">
                  <c:v>243600</c:v>
                </c:pt>
                <c:pt idx="56">
                  <c:v>261600</c:v>
                </c:pt>
                <c:pt idx="57">
                  <c:v>264600</c:v>
                </c:pt>
                <c:pt idx="58">
                  <c:v>282600</c:v>
                </c:pt>
                <c:pt idx="59">
                  <c:v>291600</c:v>
                </c:pt>
                <c:pt idx="60">
                  <c:v>258600</c:v>
                </c:pt>
                <c:pt idx="61">
                  <c:v>6600</c:v>
                </c:pt>
                <c:pt idx="62">
                  <c:v>39000</c:v>
                </c:pt>
                <c:pt idx="63">
                  <c:v>74100</c:v>
                </c:pt>
                <c:pt idx="64">
                  <c:v>84900</c:v>
                </c:pt>
                <c:pt idx="65">
                  <c:v>111900</c:v>
                </c:pt>
                <c:pt idx="66">
                  <c:v>147000</c:v>
                </c:pt>
                <c:pt idx="67">
                  <c:v>152400</c:v>
                </c:pt>
                <c:pt idx="68">
                  <c:v>95700</c:v>
                </c:pt>
                <c:pt idx="69">
                  <c:v>125400</c:v>
                </c:pt>
                <c:pt idx="70">
                  <c:v>282000</c:v>
                </c:pt>
                <c:pt idx="71">
                  <c:v>282000</c:v>
                </c:pt>
                <c:pt idx="72">
                  <c:v>346800</c:v>
                </c:pt>
                <c:pt idx="73">
                  <c:v>360300</c:v>
                </c:pt>
                <c:pt idx="74">
                  <c:v>398100</c:v>
                </c:pt>
                <c:pt idx="75">
                  <c:v>468300</c:v>
                </c:pt>
                <c:pt idx="76">
                  <c:v>457500</c:v>
                </c:pt>
                <c:pt idx="77">
                  <c:v>279300</c:v>
                </c:pt>
                <c:pt idx="78">
                  <c:v>354900</c:v>
                </c:pt>
                <c:pt idx="79">
                  <c:v>352200</c:v>
                </c:pt>
                <c:pt idx="80">
                  <c:v>330600</c:v>
                </c:pt>
                <c:pt idx="81">
                  <c:v>422400</c:v>
                </c:pt>
                <c:pt idx="82">
                  <c:v>444000</c:v>
                </c:pt>
                <c:pt idx="83">
                  <c:v>427200</c:v>
                </c:pt>
                <c:pt idx="84">
                  <c:v>328800</c:v>
                </c:pt>
                <c:pt idx="85">
                  <c:v>307200</c:v>
                </c:pt>
                <c:pt idx="86">
                  <c:v>273600</c:v>
                </c:pt>
                <c:pt idx="87">
                  <c:v>314400</c:v>
                </c:pt>
                <c:pt idx="88">
                  <c:v>259200</c:v>
                </c:pt>
                <c:pt idx="89">
                  <c:v>340800</c:v>
                </c:pt>
                <c:pt idx="90">
                  <c:v>283200</c:v>
                </c:pt>
                <c:pt idx="91">
                  <c:v>391200</c:v>
                </c:pt>
                <c:pt idx="92">
                  <c:v>420000</c:v>
                </c:pt>
                <c:pt idx="93">
                  <c:v>436800</c:v>
                </c:pt>
                <c:pt idx="94">
                  <c:v>482400</c:v>
                </c:pt>
                <c:pt idx="95">
                  <c:v>506400</c:v>
                </c:pt>
                <c:pt idx="96">
                  <c:v>408000</c:v>
                </c:pt>
                <c:pt idx="97">
                  <c:v>444000</c:v>
                </c:pt>
                <c:pt idx="98">
                  <c:v>484800</c:v>
                </c:pt>
                <c:pt idx="99">
                  <c:v>516000</c:v>
                </c:pt>
                <c:pt idx="100">
                  <c:v>552000</c:v>
                </c:pt>
                <c:pt idx="101">
                  <c:v>588000</c:v>
                </c:pt>
                <c:pt idx="102">
                  <c:v>628800</c:v>
                </c:pt>
                <c:pt idx="103">
                  <c:v>568800</c:v>
                </c:pt>
                <c:pt idx="104">
                  <c:v>625500</c:v>
                </c:pt>
                <c:pt idx="105">
                  <c:v>661200</c:v>
                </c:pt>
                <c:pt idx="106">
                  <c:v>667500</c:v>
                </c:pt>
                <c:pt idx="107">
                  <c:v>749400</c:v>
                </c:pt>
                <c:pt idx="108">
                  <c:v>747300</c:v>
                </c:pt>
                <c:pt idx="109">
                  <c:v>793500</c:v>
                </c:pt>
                <c:pt idx="110">
                  <c:v>738900</c:v>
                </c:pt>
                <c:pt idx="111">
                  <c:v>709500</c:v>
                </c:pt>
                <c:pt idx="112">
                  <c:v>766200</c:v>
                </c:pt>
                <c:pt idx="113">
                  <c:v>804000</c:v>
                </c:pt>
                <c:pt idx="114">
                  <c:v>780900</c:v>
                </c:pt>
                <c:pt idx="115">
                  <c:v>728400</c:v>
                </c:pt>
                <c:pt idx="116">
                  <c:v>808200</c:v>
                </c:pt>
                <c:pt idx="117">
                  <c:v>713700</c:v>
                </c:pt>
                <c:pt idx="118">
                  <c:v>499500</c:v>
                </c:pt>
                <c:pt idx="119">
                  <c:v>497400</c:v>
                </c:pt>
                <c:pt idx="120">
                  <c:v>419700</c:v>
                </c:pt>
                <c:pt idx="121">
                  <c:v>369300</c:v>
                </c:pt>
                <c:pt idx="122">
                  <c:v>392400</c:v>
                </c:pt>
                <c:pt idx="123">
                  <c:v>400800</c:v>
                </c:pt>
                <c:pt idx="124">
                  <c:v>302100</c:v>
                </c:pt>
                <c:pt idx="125">
                  <c:v>182400</c:v>
                </c:pt>
                <c:pt idx="126">
                  <c:v>135600</c:v>
                </c:pt>
                <c:pt idx="127">
                  <c:v>52800</c:v>
                </c:pt>
                <c:pt idx="128">
                  <c:v>27600</c:v>
                </c:pt>
                <c:pt idx="129">
                  <c:v>9600</c:v>
                </c:pt>
                <c:pt idx="130">
                  <c:v>105000</c:v>
                </c:pt>
                <c:pt idx="131">
                  <c:v>65400</c:v>
                </c:pt>
                <c:pt idx="132">
                  <c:v>115800</c:v>
                </c:pt>
                <c:pt idx="133">
                  <c:v>186000</c:v>
                </c:pt>
                <c:pt idx="134">
                  <c:v>159000</c:v>
                </c:pt>
                <c:pt idx="135">
                  <c:v>121200</c:v>
                </c:pt>
                <c:pt idx="136">
                  <c:v>137400</c:v>
                </c:pt>
                <c:pt idx="137">
                  <c:v>52800</c:v>
                </c:pt>
                <c:pt idx="138">
                  <c:v>-4800</c:v>
                </c:pt>
                <c:pt idx="139">
                  <c:v>-8400</c:v>
                </c:pt>
                <c:pt idx="140">
                  <c:v>-6600</c:v>
                </c:pt>
                <c:pt idx="141">
                  <c:v>-17400</c:v>
                </c:pt>
                <c:pt idx="142">
                  <c:v>-33600</c:v>
                </c:pt>
                <c:pt idx="143">
                  <c:v>-1200</c:v>
                </c:pt>
                <c:pt idx="144">
                  <c:v>-46200</c:v>
                </c:pt>
                <c:pt idx="145">
                  <c:v>-19200</c:v>
                </c:pt>
                <c:pt idx="146">
                  <c:v>-50700</c:v>
                </c:pt>
                <c:pt idx="147">
                  <c:v>-91200</c:v>
                </c:pt>
                <c:pt idx="148">
                  <c:v>-70200</c:v>
                </c:pt>
                <c:pt idx="149">
                  <c:v>-85200</c:v>
                </c:pt>
                <c:pt idx="150">
                  <c:v>-83700</c:v>
                </c:pt>
                <c:pt idx="151">
                  <c:v>-71700</c:v>
                </c:pt>
                <c:pt idx="152">
                  <c:v>-74700</c:v>
                </c:pt>
                <c:pt idx="153">
                  <c:v>-71700</c:v>
                </c:pt>
                <c:pt idx="154">
                  <c:v>-91200</c:v>
                </c:pt>
                <c:pt idx="155">
                  <c:v>-107700</c:v>
                </c:pt>
                <c:pt idx="156">
                  <c:v>-56700</c:v>
                </c:pt>
                <c:pt idx="157">
                  <c:v>-52200</c:v>
                </c:pt>
                <c:pt idx="158">
                  <c:v>-49200</c:v>
                </c:pt>
                <c:pt idx="159">
                  <c:v>-35700</c:v>
                </c:pt>
                <c:pt idx="160">
                  <c:v>-13200</c:v>
                </c:pt>
                <c:pt idx="161">
                  <c:v>-20700</c:v>
                </c:pt>
                <c:pt idx="162">
                  <c:v>-44700</c:v>
                </c:pt>
                <c:pt idx="163">
                  <c:v>-58200</c:v>
                </c:pt>
                <c:pt idx="164">
                  <c:v>-79200</c:v>
                </c:pt>
                <c:pt idx="165">
                  <c:v>-112200</c:v>
                </c:pt>
                <c:pt idx="166">
                  <c:v>-151200</c:v>
                </c:pt>
                <c:pt idx="167">
                  <c:v>-185700</c:v>
                </c:pt>
                <c:pt idx="168">
                  <c:v>-202200</c:v>
                </c:pt>
                <c:pt idx="169">
                  <c:v>-172200</c:v>
                </c:pt>
                <c:pt idx="170">
                  <c:v>-138600</c:v>
                </c:pt>
                <c:pt idx="171">
                  <c:v>-139800</c:v>
                </c:pt>
                <c:pt idx="172">
                  <c:v>-118200</c:v>
                </c:pt>
                <c:pt idx="173">
                  <c:v>-90600</c:v>
                </c:pt>
                <c:pt idx="174">
                  <c:v>-72600</c:v>
                </c:pt>
                <c:pt idx="175">
                  <c:v>-84600</c:v>
                </c:pt>
                <c:pt idx="176">
                  <c:v>-130200</c:v>
                </c:pt>
                <c:pt idx="177">
                  <c:v>-127800</c:v>
                </c:pt>
                <c:pt idx="178">
                  <c:v>-136200</c:v>
                </c:pt>
                <c:pt idx="179">
                  <c:v>-97800</c:v>
                </c:pt>
                <c:pt idx="180">
                  <c:v>-108600</c:v>
                </c:pt>
                <c:pt idx="181">
                  <c:v>-82200</c:v>
                </c:pt>
                <c:pt idx="182">
                  <c:v>-82200</c:v>
                </c:pt>
                <c:pt idx="183">
                  <c:v>-105000</c:v>
                </c:pt>
                <c:pt idx="184">
                  <c:v>-107400</c:v>
                </c:pt>
                <c:pt idx="185">
                  <c:v>-135000</c:v>
                </c:pt>
                <c:pt idx="186">
                  <c:v>-125400</c:v>
                </c:pt>
                <c:pt idx="187">
                  <c:v>-135000</c:v>
                </c:pt>
                <c:pt idx="188">
                  <c:v>-135000</c:v>
                </c:pt>
                <c:pt idx="189">
                  <c:v>-112200</c:v>
                </c:pt>
                <c:pt idx="190">
                  <c:v>-71700</c:v>
                </c:pt>
                <c:pt idx="191">
                  <c:v>-61800</c:v>
                </c:pt>
                <c:pt idx="192">
                  <c:v>-60900</c:v>
                </c:pt>
                <c:pt idx="193">
                  <c:v>-88800</c:v>
                </c:pt>
                <c:pt idx="194">
                  <c:v>-84300</c:v>
                </c:pt>
                <c:pt idx="195">
                  <c:v>-70800</c:v>
                </c:pt>
                <c:pt idx="196">
                  <c:v>-96900</c:v>
                </c:pt>
                <c:pt idx="197">
                  <c:v>-65400</c:v>
                </c:pt>
                <c:pt idx="198">
                  <c:v>-29400</c:v>
                </c:pt>
                <c:pt idx="199">
                  <c:v>-47400</c:v>
                </c:pt>
                <c:pt idx="200">
                  <c:v>-42900</c:v>
                </c:pt>
                <c:pt idx="201">
                  <c:v>-31200</c:v>
                </c:pt>
                <c:pt idx="202">
                  <c:v>-49200</c:v>
                </c:pt>
                <c:pt idx="203">
                  <c:v>-49200</c:v>
                </c:pt>
                <c:pt idx="204">
                  <c:v>-61800</c:v>
                </c:pt>
                <c:pt idx="205">
                  <c:v>-60000</c:v>
                </c:pt>
                <c:pt idx="206">
                  <c:v>-40200</c:v>
                </c:pt>
                <c:pt idx="207">
                  <c:v>-31200</c:v>
                </c:pt>
                <c:pt idx="208">
                  <c:v>-36600</c:v>
                </c:pt>
                <c:pt idx="209">
                  <c:v>-33900</c:v>
                </c:pt>
                <c:pt idx="210">
                  <c:v>-51300</c:v>
                </c:pt>
                <c:pt idx="211">
                  <c:v>-60900</c:v>
                </c:pt>
                <c:pt idx="212">
                  <c:v>-55500</c:v>
                </c:pt>
                <c:pt idx="213">
                  <c:v>-54300</c:v>
                </c:pt>
                <c:pt idx="214">
                  <c:v>-59100</c:v>
                </c:pt>
                <c:pt idx="215">
                  <c:v>-41700</c:v>
                </c:pt>
                <c:pt idx="216">
                  <c:v>-67500</c:v>
                </c:pt>
                <c:pt idx="217">
                  <c:v>-68700</c:v>
                </c:pt>
                <c:pt idx="218">
                  <c:v>-77700</c:v>
                </c:pt>
                <c:pt idx="219">
                  <c:v>-69300</c:v>
                </c:pt>
                <c:pt idx="220">
                  <c:v>-74100</c:v>
                </c:pt>
                <c:pt idx="221">
                  <c:v>-67500</c:v>
                </c:pt>
                <c:pt idx="222">
                  <c:v>-60900</c:v>
                </c:pt>
                <c:pt idx="223">
                  <c:v>-50100</c:v>
                </c:pt>
                <c:pt idx="224">
                  <c:v>-47100</c:v>
                </c:pt>
                <c:pt idx="225">
                  <c:v>-48900</c:v>
                </c:pt>
                <c:pt idx="226">
                  <c:v>-47100</c:v>
                </c:pt>
                <c:pt idx="227">
                  <c:v>-51300</c:v>
                </c:pt>
                <c:pt idx="228">
                  <c:v>-77100</c:v>
                </c:pt>
                <c:pt idx="229">
                  <c:v>-77100</c:v>
                </c:pt>
                <c:pt idx="230">
                  <c:v>-85200</c:v>
                </c:pt>
                <c:pt idx="231">
                  <c:v>-78600</c:v>
                </c:pt>
                <c:pt idx="232">
                  <c:v>-64800</c:v>
                </c:pt>
                <c:pt idx="233">
                  <c:v>-64800</c:v>
                </c:pt>
                <c:pt idx="234">
                  <c:v>-62700</c:v>
                </c:pt>
                <c:pt idx="235">
                  <c:v>-65100</c:v>
                </c:pt>
                <c:pt idx="236">
                  <c:v>-63300</c:v>
                </c:pt>
                <c:pt idx="237">
                  <c:v>-58800</c:v>
                </c:pt>
                <c:pt idx="238">
                  <c:v>-55200</c:v>
                </c:pt>
                <c:pt idx="239">
                  <c:v>-56700</c:v>
                </c:pt>
                <c:pt idx="240">
                  <c:v>-61200</c:v>
                </c:pt>
                <c:pt idx="241">
                  <c:v>-62700</c:v>
                </c:pt>
                <c:pt idx="242">
                  <c:v>-60600</c:v>
                </c:pt>
                <c:pt idx="243">
                  <c:v>-64800</c:v>
                </c:pt>
                <c:pt idx="244">
                  <c:v>-72300</c:v>
                </c:pt>
                <c:pt idx="245">
                  <c:v>-73500</c:v>
                </c:pt>
                <c:pt idx="246">
                  <c:v>-72900</c:v>
                </c:pt>
                <c:pt idx="247">
                  <c:v>-64200</c:v>
                </c:pt>
                <c:pt idx="248">
                  <c:v>-72000</c:v>
                </c:pt>
                <c:pt idx="249">
                  <c:v>-69600</c:v>
                </c:pt>
                <c:pt idx="250">
                  <c:v>-68100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2-448A-BD6A-26229808288F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-267000</c:v>
                </c:pt>
                <c:pt idx="20">
                  <c:v>-286800</c:v>
                </c:pt>
                <c:pt idx="21">
                  <c:v>-270300</c:v>
                </c:pt>
                <c:pt idx="22">
                  <c:v>-247200</c:v>
                </c:pt>
                <c:pt idx="23">
                  <c:v>-214200</c:v>
                </c:pt>
                <c:pt idx="24">
                  <c:v>-151500</c:v>
                </c:pt>
                <c:pt idx="25">
                  <c:v>-138300</c:v>
                </c:pt>
                <c:pt idx="26">
                  <c:v>-135000</c:v>
                </c:pt>
                <c:pt idx="27">
                  <c:v>-128400</c:v>
                </c:pt>
                <c:pt idx="28">
                  <c:v>-111900</c:v>
                </c:pt>
                <c:pt idx="29">
                  <c:v>-144900</c:v>
                </c:pt>
                <c:pt idx="30">
                  <c:v>-220800</c:v>
                </c:pt>
                <c:pt idx="31">
                  <c:v>-210900</c:v>
                </c:pt>
                <c:pt idx="32">
                  <c:v>-204300</c:v>
                </c:pt>
                <c:pt idx="33">
                  <c:v>-230700</c:v>
                </c:pt>
                <c:pt idx="34">
                  <c:v>-154800</c:v>
                </c:pt>
                <c:pt idx="35">
                  <c:v>-131700</c:v>
                </c:pt>
                <c:pt idx="36">
                  <c:v>-75600</c:v>
                </c:pt>
                <c:pt idx="37">
                  <c:v>-49200</c:v>
                </c:pt>
                <c:pt idx="38">
                  <c:v>-42600</c:v>
                </c:pt>
                <c:pt idx="39">
                  <c:v>-60600</c:v>
                </c:pt>
                <c:pt idx="40">
                  <c:v>-51600</c:v>
                </c:pt>
                <c:pt idx="41">
                  <c:v>-36600</c:v>
                </c:pt>
                <c:pt idx="42">
                  <c:v>-54600</c:v>
                </c:pt>
                <c:pt idx="43">
                  <c:v>-72600</c:v>
                </c:pt>
                <c:pt idx="44">
                  <c:v>-96600</c:v>
                </c:pt>
                <c:pt idx="45">
                  <c:v>-114600</c:v>
                </c:pt>
                <c:pt idx="46">
                  <c:v>-147600</c:v>
                </c:pt>
                <c:pt idx="47">
                  <c:v>-189600</c:v>
                </c:pt>
                <c:pt idx="48">
                  <c:v>-252600</c:v>
                </c:pt>
                <c:pt idx="49">
                  <c:v>-249600</c:v>
                </c:pt>
                <c:pt idx="50">
                  <c:v>-237600</c:v>
                </c:pt>
                <c:pt idx="51">
                  <c:v>-243600</c:v>
                </c:pt>
                <c:pt idx="52">
                  <c:v>-225600</c:v>
                </c:pt>
                <c:pt idx="53">
                  <c:v>-258600</c:v>
                </c:pt>
                <c:pt idx="54">
                  <c:v>-261600</c:v>
                </c:pt>
                <c:pt idx="55">
                  <c:v>-243600</c:v>
                </c:pt>
                <c:pt idx="56">
                  <c:v>-261600</c:v>
                </c:pt>
                <c:pt idx="57">
                  <c:v>-264600</c:v>
                </c:pt>
                <c:pt idx="58">
                  <c:v>-282600</c:v>
                </c:pt>
                <c:pt idx="59">
                  <c:v>-291600</c:v>
                </c:pt>
                <c:pt idx="60">
                  <c:v>-258600</c:v>
                </c:pt>
                <c:pt idx="61">
                  <c:v>-6600</c:v>
                </c:pt>
                <c:pt idx="62">
                  <c:v>-39000</c:v>
                </c:pt>
                <c:pt idx="63">
                  <c:v>-74100</c:v>
                </c:pt>
                <c:pt idx="64">
                  <c:v>-84900</c:v>
                </c:pt>
                <c:pt idx="65">
                  <c:v>-111900</c:v>
                </c:pt>
                <c:pt idx="66">
                  <c:v>-147000</c:v>
                </c:pt>
                <c:pt idx="67">
                  <c:v>-152400</c:v>
                </c:pt>
                <c:pt idx="68">
                  <c:v>-95700</c:v>
                </c:pt>
                <c:pt idx="69">
                  <c:v>-125400</c:v>
                </c:pt>
                <c:pt idx="70">
                  <c:v>-282000</c:v>
                </c:pt>
                <c:pt idx="71">
                  <c:v>-282000</c:v>
                </c:pt>
                <c:pt idx="72">
                  <c:v>-346800</c:v>
                </c:pt>
                <c:pt idx="73">
                  <c:v>-360300</c:v>
                </c:pt>
                <c:pt idx="74">
                  <c:v>-398100</c:v>
                </c:pt>
                <c:pt idx="75">
                  <c:v>-468300</c:v>
                </c:pt>
                <c:pt idx="76">
                  <c:v>-457500</c:v>
                </c:pt>
                <c:pt idx="77">
                  <c:v>-279300</c:v>
                </c:pt>
                <c:pt idx="78">
                  <c:v>-354900</c:v>
                </c:pt>
                <c:pt idx="79">
                  <c:v>-352200</c:v>
                </c:pt>
                <c:pt idx="80">
                  <c:v>-330600</c:v>
                </c:pt>
                <c:pt idx="81">
                  <c:v>-422400</c:v>
                </c:pt>
                <c:pt idx="82">
                  <c:v>-444000</c:v>
                </c:pt>
                <c:pt idx="83">
                  <c:v>-427200</c:v>
                </c:pt>
                <c:pt idx="84">
                  <c:v>-328800</c:v>
                </c:pt>
                <c:pt idx="85">
                  <c:v>-307200</c:v>
                </c:pt>
                <c:pt idx="86">
                  <c:v>-273600</c:v>
                </c:pt>
                <c:pt idx="87">
                  <c:v>-314400</c:v>
                </c:pt>
                <c:pt idx="88">
                  <c:v>-259200</c:v>
                </c:pt>
                <c:pt idx="89">
                  <c:v>-340800</c:v>
                </c:pt>
                <c:pt idx="90">
                  <c:v>-283200</c:v>
                </c:pt>
                <c:pt idx="91">
                  <c:v>-391200</c:v>
                </c:pt>
                <c:pt idx="92">
                  <c:v>-420000</c:v>
                </c:pt>
                <c:pt idx="93">
                  <c:v>-436800</c:v>
                </c:pt>
                <c:pt idx="94">
                  <c:v>-482400</c:v>
                </c:pt>
                <c:pt idx="95">
                  <c:v>-506400</c:v>
                </c:pt>
                <c:pt idx="96">
                  <c:v>-408000</c:v>
                </c:pt>
                <c:pt idx="97">
                  <c:v>-444000</c:v>
                </c:pt>
                <c:pt idx="98">
                  <c:v>-484800</c:v>
                </c:pt>
                <c:pt idx="99">
                  <c:v>-516000</c:v>
                </c:pt>
                <c:pt idx="100">
                  <c:v>-552000</c:v>
                </c:pt>
                <c:pt idx="101">
                  <c:v>-588000</c:v>
                </c:pt>
                <c:pt idx="102">
                  <c:v>-628800</c:v>
                </c:pt>
                <c:pt idx="103">
                  <c:v>-568800</c:v>
                </c:pt>
                <c:pt idx="104">
                  <c:v>-625500</c:v>
                </c:pt>
                <c:pt idx="105">
                  <c:v>-661200</c:v>
                </c:pt>
                <c:pt idx="106">
                  <c:v>-667500</c:v>
                </c:pt>
                <c:pt idx="107">
                  <c:v>-749400</c:v>
                </c:pt>
                <c:pt idx="108">
                  <c:v>-747300</c:v>
                </c:pt>
                <c:pt idx="109">
                  <c:v>-793500</c:v>
                </c:pt>
                <c:pt idx="110">
                  <c:v>-738900</c:v>
                </c:pt>
                <c:pt idx="111">
                  <c:v>-709500</c:v>
                </c:pt>
                <c:pt idx="112">
                  <c:v>-766200</c:v>
                </c:pt>
                <c:pt idx="113">
                  <c:v>-804000</c:v>
                </c:pt>
                <c:pt idx="114">
                  <c:v>-780900</c:v>
                </c:pt>
                <c:pt idx="115">
                  <c:v>-728400</c:v>
                </c:pt>
                <c:pt idx="116">
                  <c:v>-808200</c:v>
                </c:pt>
                <c:pt idx="117">
                  <c:v>-713700</c:v>
                </c:pt>
                <c:pt idx="118">
                  <c:v>-499500</c:v>
                </c:pt>
                <c:pt idx="119">
                  <c:v>-497400</c:v>
                </c:pt>
                <c:pt idx="120">
                  <c:v>-419700</c:v>
                </c:pt>
                <c:pt idx="121">
                  <c:v>-369300</c:v>
                </c:pt>
                <c:pt idx="122">
                  <c:v>-392400</c:v>
                </c:pt>
                <c:pt idx="123">
                  <c:v>-400800</c:v>
                </c:pt>
                <c:pt idx="124">
                  <c:v>-302100</c:v>
                </c:pt>
                <c:pt idx="125">
                  <c:v>-182400</c:v>
                </c:pt>
                <c:pt idx="126">
                  <c:v>-135600</c:v>
                </c:pt>
                <c:pt idx="127">
                  <c:v>-52800</c:v>
                </c:pt>
                <c:pt idx="128">
                  <c:v>-27600</c:v>
                </c:pt>
                <c:pt idx="129">
                  <c:v>-9600</c:v>
                </c:pt>
                <c:pt idx="130">
                  <c:v>-105000</c:v>
                </c:pt>
                <c:pt idx="131">
                  <c:v>-65400</c:v>
                </c:pt>
                <c:pt idx="132">
                  <c:v>-115800</c:v>
                </c:pt>
                <c:pt idx="133">
                  <c:v>-186000</c:v>
                </c:pt>
                <c:pt idx="134">
                  <c:v>-159000</c:v>
                </c:pt>
                <c:pt idx="135">
                  <c:v>-121200</c:v>
                </c:pt>
                <c:pt idx="136">
                  <c:v>-137400</c:v>
                </c:pt>
                <c:pt idx="137">
                  <c:v>-52800</c:v>
                </c:pt>
                <c:pt idx="138">
                  <c:v>4800</c:v>
                </c:pt>
                <c:pt idx="139">
                  <c:v>8400</c:v>
                </c:pt>
                <c:pt idx="140">
                  <c:v>6600</c:v>
                </c:pt>
                <c:pt idx="141">
                  <c:v>17400</c:v>
                </c:pt>
                <c:pt idx="142">
                  <c:v>33600</c:v>
                </c:pt>
                <c:pt idx="143">
                  <c:v>1200</c:v>
                </c:pt>
                <c:pt idx="144">
                  <c:v>46200</c:v>
                </c:pt>
                <c:pt idx="145">
                  <c:v>19200</c:v>
                </c:pt>
                <c:pt idx="146">
                  <c:v>50700</c:v>
                </c:pt>
                <c:pt idx="147">
                  <c:v>91200</c:v>
                </c:pt>
                <c:pt idx="148">
                  <c:v>70200</c:v>
                </c:pt>
                <c:pt idx="149">
                  <c:v>85200</c:v>
                </c:pt>
                <c:pt idx="150">
                  <c:v>83700</c:v>
                </c:pt>
                <c:pt idx="151">
                  <c:v>71700</c:v>
                </c:pt>
                <c:pt idx="152">
                  <c:v>74700</c:v>
                </c:pt>
                <c:pt idx="153">
                  <c:v>71700</c:v>
                </c:pt>
                <c:pt idx="154">
                  <c:v>91200</c:v>
                </c:pt>
                <c:pt idx="155">
                  <c:v>107700</c:v>
                </c:pt>
                <c:pt idx="156">
                  <c:v>56700</c:v>
                </c:pt>
                <c:pt idx="157">
                  <c:v>52200</c:v>
                </c:pt>
                <c:pt idx="158">
                  <c:v>49200</c:v>
                </c:pt>
                <c:pt idx="159">
                  <c:v>35700</c:v>
                </c:pt>
                <c:pt idx="160">
                  <c:v>13200</c:v>
                </c:pt>
                <c:pt idx="161">
                  <c:v>20700</c:v>
                </c:pt>
                <c:pt idx="162">
                  <c:v>44700</c:v>
                </c:pt>
                <c:pt idx="163">
                  <c:v>58200</c:v>
                </c:pt>
                <c:pt idx="164">
                  <c:v>79200</c:v>
                </c:pt>
                <c:pt idx="165">
                  <c:v>112200</c:v>
                </c:pt>
                <c:pt idx="166">
                  <c:v>151200</c:v>
                </c:pt>
                <c:pt idx="167">
                  <c:v>185700</c:v>
                </c:pt>
                <c:pt idx="168">
                  <c:v>202200</c:v>
                </c:pt>
                <c:pt idx="169">
                  <c:v>172200</c:v>
                </c:pt>
                <c:pt idx="170">
                  <c:v>138600</c:v>
                </c:pt>
                <c:pt idx="171">
                  <c:v>139800</c:v>
                </c:pt>
                <c:pt idx="172">
                  <c:v>118200</c:v>
                </c:pt>
                <c:pt idx="173">
                  <c:v>90600</c:v>
                </c:pt>
                <c:pt idx="174">
                  <c:v>72600</c:v>
                </c:pt>
                <c:pt idx="175">
                  <c:v>84600</c:v>
                </c:pt>
                <c:pt idx="176">
                  <c:v>130200</c:v>
                </c:pt>
                <c:pt idx="177">
                  <c:v>127800</c:v>
                </c:pt>
                <c:pt idx="178">
                  <c:v>136200</c:v>
                </c:pt>
                <c:pt idx="179">
                  <c:v>97800</c:v>
                </c:pt>
                <c:pt idx="180">
                  <c:v>108600</c:v>
                </c:pt>
                <c:pt idx="181">
                  <c:v>82200</c:v>
                </c:pt>
                <c:pt idx="182">
                  <c:v>82200</c:v>
                </c:pt>
                <c:pt idx="183">
                  <c:v>105000</c:v>
                </c:pt>
                <c:pt idx="184">
                  <c:v>107400</c:v>
                </c:pt>
                <c:pt idx="185">
                  <c:v>135000</c:v>
                </c:pt>
                <c:pt idx="186">
                  <c:v>125400</c:v>
                </c:pt>
                <c:pt idx="187">
                  <c:v>135000</c:v>
                </c:pt>
                <c:pt idx="188">
                  <c:v>135000</c:v>
                </c:pt>
                <c:pt idx="189">
                  <c:v>112200</c:v>
                </c:pt>
                <c:pt idx="190">
                  <c:v>71700</c:v>
                </c:pt>
                <c:pt idx="191">
                  <c:v>61800</c:v>
                </c:pt>
                <c:pt idx="192">
                  <c:v>60900</c:v>
                </c:pt>
                <c:pt idx="193">
                  <c:v>88800</c:v>
                </c:pt>
                <c:pt idx="194">
                  <c:v>84300</c:v>
                </c:pt>
                <c:pt idx="195">
                  <c:v>70800</c:v>
                </c:pt>
                <c:pt idx="196">
                  <c:v>96900</c:v>
                </c:pt>
                <c:pt idx="197">
                  <c:v>65400</c:v>
                </c:pt>
                <c:pt idx="198">
                  <c:v>29400</c:v>
                </c:pt>
                <c:pt idx="199">
                  <c:v>47400</c:v>
                </c:pt>
                <c:pt idx="200">
                  <c:v>42900</c:v>
                </c:pt>
                <c:pt idx="201">
                  <c:v>31200</c:v>
                </c:pt>
                <c:pt idx="202">
                  <c:v>49200</c:v>
                </c:pt>
                <c:pt idx="203">
                  <c:v>49200</c:v>
                </c:pt>
                <c:pt idx="204">
                  <c:v>61800</c:v>
                </c:pt>
                <c:pt idx="205">
                  <c:v>60000</c:v>
                </c:pt>
                <c:pt idx="206">
                  <c:v>40200</c:v>
                </c:pt>
                <c:pt idx="207">
                  <c:v>31200</c:v>
                </c:pt>
                <c:pt idx="208">
                  <c:v>36600</c:v>
                </c:pt>
                <c:pt idx="209">
                  <c:v>33900</c:v>
                </c:pt>
                <c:pt idx="210">
                  <c:v>51300</c:v>
                </c:pt>
                <c:pt idx="211">
                  <c:v>60900</c:v>
                </c:pt>
                <c:pt idx="212">
                  <c:v>55500</c:v>
                </c:pt>
                <c:pt idx="213">
                  <c:v>54300</c:v>
                </c:pt>
                <c:pt idx="214">
                  <c:v>59100</c:v>
                </c:pt>
                <c:pt idx="215">
                  <c:v>41700</c:v>
                </c:pt>
                <c:pt idx="216">
                  <c:v>67500</c:v>
                </c:pt>
                <c:pt idx="217">
                  <c:v>68700</c:v>
                </c:pt>
                <c:pt idx="218">
                  <c:v>77700</c:v>
                </c:pt>
                <c:pt idx="219">
                  <c:v>69300</c:v>
                </c:pt>
                <c:pt idx="220">
                  <c:v>74100</c:v>
                </c:pt>
                <c:pt idx="221">
                  <c:v>67500</c:v>
                </c:pt>
                <c:pt idx="222">
                  <c:v>60900</c:v>
                </c:pt>
                <c:pt idx="223">
                  <c:v>50100</c:v>
                </c:pt>
                <c:pt idx="224">
                  <c:v>47100</c:v>
                </c:pt>
                <c:pt idx="225">
                  <c:v>48900</c:v>
                </c:pt>
                <c:pt idx="226">
                  <c:v>47100</c:v>
                </c:pt>
                <c:pt idx="227">
                  <c:v>51300</c:v>
                </c:pt>
                <c:pt idx="228">
                  <c:v>77100</c:v>
                </c:pt>
                <c:pt idx="229">
                  <c:v>77100</c:v>
                </c:pt>
                <c:pt idx="230">
                  <c:v>85200</c:v>
                </c:pt>
                <c:pt idx="231">
                  <c:v>78600</c:v>
                </c:pt>
                <c:pt idx="232">
                  <c:v>64800</c:v>
                </c:pt>
                <c:pt idx="233">
                  <c:v>64800</c:v>
                </c:pt>
                <c:pt idx="234">
                  <c:v>62700</c:v>
                </c:pt>
                <c:pt idx="235">
                  <c:v>65100</c:v>
                </c:pt>
                <c:pt idx="236">
                  <c:v>63300</c:v>
                </c:pt>
                <c:pt idx="237">
                  <c:v>58800</c:v>
                </c:pt>
                <c:pt idx="238">
                  <c:v>55200</c:v>
                </c:pt>
                <c:pt idx="239">
                  <c:v>56700</c:v>
                </c:pt>
                <c:pt idx="240">
                  <c:v>61200</c:v>
                </c:pt>
                <c:pt idx="241">
                  <c:v>62700</c:v>
                </c:pt>
                <c:pt idx="242">
                  <c:v>60600</c:v>
                </c:pt>
                <c:pt idx="243">
                  <c:v>64800</c:v>
                </c:pt>
                <c:pt idx="244">
                  <c:v>72300</c:v>
                </c:pt>
                <c:pt idx="245">
                  <c:v>73500</c:v>
                </c:pt>
                <c:pt idx="246">
                  <c:v>72900</c:v>
                </c:pt>
                <c:pt idx="247">
                  <c:v>64200</c:v>
                </c:pt>
                <c:pt idx="248">
                  <c:v>72000</c:v>
                </c:pt>
                <c:pt idx="249">
                  <c:v>69600</c:v>
                </c:pt>
                <c:pt idx="250">
                  <c:v>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02-448A-BD6A-26229808288F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279355</c:v>
                </c:pt>
                <c:pt idx="20">
                  <c:v>289775</c:v>
                </c:pt>
                <c:pt idx="21">
                  <c:v>275760</c:v>
                </c:pt>
                <c:pt idx="22">
                  <c:v>259835</c:v>
                </c:pt>
                <c:pt idx="23">
                  <c:v>233450</c:v>
                </c:pt>
                <c:pt idx="24">
                  <c:v>182300</c:v>
                </c:pt>
                <c:pt idx="25">
                  <c:v>170850</c:v>
                </c:pt>
                <c:pt idx="26">
                  <c:v>167900</c:v>
                </c:pt>
                <c:pt idx="27">
                  <c:v>161965</c:v>
                </c:pt>
                <c:pt idx="28">
                  <c:v>147355</c:v>
                </c:pt>
                <c:pt idx="29">
                  <c:v>176260</c:v>
                </c:pt>
                <c:pt idx="30">
                  <c:v>257095</c:v>
                </c:pt>
                <c:pt idx="31">
                  <c:v>244885</c:v>
                </c:pt>
                <c:pt idx="32">
                  <c:v>234960</c:v>
                </c:pt>
                <c:pt idx="33">
                  <c:v>261605</c:v>
                </c:pt>
                <c:pt idx="34">
                  <c:v>198410</c:v>
                </c:pt>
                <c:pt idx="35">
                  <c:v>176220</c:v>
                </c:pt>
                <c:pt idx="36">
                  <c:v>132790</c:v>
                </c:pt>
                <c:pt idx="37">
                  <c:v>111430</c:v>
                </c:pt>
                <c:pt idx="38">
                  <c:v>105285</c:v>
                </c:pt>
                <c:pt idx="39">
                  <c:v>123145</c:v>
                </c:pt>
                <c:pt idx="40">
                  <c:v>113095</c:v>
                </c:pt>
                <c:pt idx="41">
                  <c:v>98655</c:v>
                </c:pt>
                <c:pt idx="42">
                  <c:v>125405</c:v>
                </c:pt>
                <c:pt idx="43">
                  <c:v>154500</c:v>
                </c:pt>
                <c:pt idx="44">
                  <c:v>176645</c:v>
                </c:pt>
                <c:pt idx="45">
                  <c:v>193840</c:v>
                </c:pt>
                <c:pt idx="46">
                  <c:v>224320</c:v>
                </c:pt>
                <c:pt idx="47">
                  <c:v>261175</c:v>
                </c:pt>
                <c:pt idx="48">
                  <c:v>318365</c:v>
                </c:pt>
                <c:pt idx="49">
                  <c:v>316030</c:v>
                </c:pt>
                <c:pt idx="50">
                  <c:v>307705</c:v>
                </c:pt>
                <c:pt idx="51">
                  <c:v>311395</c:v>
                </c:pt>
                <c:pt idx="52">
                  <c:v>296125</c:v>
                </c:pt>
                <c:pt idx="53">
                  <c:v>321670</c:v>
                </c:pt>
                <c:pt idx="54">
                  <c:v>324040</c:v>
                </c:pt>
                <c:pt idx="55">
                  <c:v>306390</c:v>
                </c:pt>
                <c:pt idx="56">
                  <c:v>322570</c:v>
                </c:pt>
                <c:pt idx="57">
                  <c:v>325150</c:v>
                </c:pt>
                <c:pt idx="58">
                  <c:v>340770</c:v>
                </c:pt>
                <c:pt idx="59">
                  <c:v>347985</c:v>
                </c:pt>
                <c:pt idx="60">
                  <c:v>321705</c:v>
                </c:pt>
                <c:pt idx="61">
                  <c:v>121925</c:v>
                </c:pt>
                <c:pt idx="62">
                  <c:v>154535</c:v>
                </c:pt>
                <c:pt idx="63">
                  <c:v>190090</c:v>
                </c:pt>
                <c:pt idx="64">
                  <c:v>200715</c:v>
                </c:pt>
                <c:pt idx="65">
                  <c:v>233910</c:v>
                </c:pt>
                <c:pt idx="66">
                  <c:v>276430</c:v>
                </c:pt>
                <c:pt idx="67">
                  <c:v>284140</c:v>
                </c:pt>
                <c:pt idx="68">
                  <c:v>211410</c:v>
                </c:pt>
                <c:pt idx="69">
                  <c:v>241040</c:v>
                </c:pt>
                <c:pt idx="70">
                  <c:v>431940</c:v>
                </c:pt>
                <c:pt idx="71">
                  <c:v>430260</c:v>
                </c:pt>
                <c:pt idx="72">
                  <c:v>484980</c:v>
                </c:pt>
                <c:pt idx="73">
                  <c:v>493965</c:v>
                </c:pt>
                <c:pt idx="74">
                  <c:v>522700</c:v>
                </c:pt>
                <c:pt idx="75">
                  <c:v>573720</c:v>
                </c:pt>
                <c:pt idx="76">
                  <c:v>561240</c:v>
                </c:pt>
                <c:pt idx="77">
                  <c:v>408520</c:v>
                </c:pt>
                <c:pt idx="78">
                  <c:v>486010</c:v>
                </c:pt>
                <c:pt idx="79">
                  <c:v>482085</c:v>
                </c:pt>
                <c:pt idx="80">
                  <c:v>459225</c:v>
                </c:pt>
                <c:pt idx="81">
                  <c:v>532475</c:v>
                </c:pt>
                <c:pt idx="82">
                  <c:v>554110</c:v>
                </c:pt>
                <c:pt idx="83">
                  <c:v>540740</c:v>
                </c:pt>
                <c:pt idx="84">
                  <c:v>463025</c:v>
                </c:pt>
                <c:pt idx="85">
                  <c:v>442160</c:v>
                </c:pt>
                <c:pt idx="86">
                  <c:v>418500</c:v>
                </c:pt>
                <c:pt idx="87">
                  <c:v>452545</c:v>
                </c:pt>
                <c:pt idx="88">
                  <c:v>405990</c:v>
                </c:pt>
                <c:pt idx="89">
                  <c:v>466310</c:v>
                </c:pt>
                <c:pt idx="90">
                  <c:v>408955</c:v>
                </c:pt>
                <c:pt idx="91">
                  <c:v>516570</c:v>
                </c:pt>
                <c:pt idx="92">
                  <c:v>544810</c:v>
                </c:pt>
                <c:pt idx="93">
                  <c:v>568855</c:v>
                </c:pt>
                <c:pt idx="94">
                  <c:v>613860</c:v>
                </c:pt>
                <c:pt idx="95">
                  <c:v>640625</c:v>
                </c:pt>
                <c:pt idx="96">
                  <c:v>531830</c:v>
                </c:pt>
                <c:pt idx="97">
                  <c:v>565345</c:v>
                </c:pt>
                <c:pt idx="98">
                  <c:v>606180</c:v>
                </c:pt>
                <c:pt idx="99">
                  <c:v>637345</c:v>
                </c:pt>
                <c:pt idx="100">
                  <c:v>673065</c:v>
                </c:pt>
                <c:pt idx="101">
                  <c:v>705495</c:v>
                </c:pt>
                <c:pt idx="102">
                  <c:v>742515</c:v>
                </c:pt>
                <c:pt idx="103">
                  <c:v>685910</c:v>
                </c:pt>
                <c:pt idx="104">
                  <c:v>729275</c:v>
                </c:pt>
                <c:pt idx="105">
                  <c:v>762455</c:v>
                </c:pt>
                <c:pt idx="106">
                  <c:v>767915</c:v>
                </c:pt>
                <c:pt idx="107">
                  <c:v>844320</c:v>
                </c:pt>
                <c:pt idx="108">
                  <c:v>844215</c:v>
                </c:pt>
                <c:pt idx="109">
                  <c:v>880230</c:v>
                </c:pt>
                <c:pt idx="110">
                  <c:v>828185</c:v>
                </c:pt>
                <c:pt idx="111">
                  <c:v>799870</c:v>
                </c:pt>
                <c:pt idx="112">
                  <c:v>851320</c:v>
                </c:pt>
                <c:pt idx="113">
                  <c:v>893565</c:v>
                </c:pt>
                <c:pt idx="114">
                  <c:v>870920</c:v>
                </c:pt>
                <c:pt idx="115">
                  <c:v>826645</c:v>
                </c:pt>
                <c:pt idx="116">
                  <c:v>901055</c:v>
                </c:pt>
                <c:pt idx="117">
                  <c:v>811770</c:v>
                </c:pt>
                <c:pt idx="118">
                  <c:v>640655</c:v>
                </c:pt>
                <c:pt idx="119">
                  <c:v>636770</c:v>
                </c:pt>
                <c:pt idx="120">
                  <c:v>557705</c:v>
                </c:pt>
                <c:pt idx="121">
                  <c:v>508250</c:v>
                </c:pt>
                <c:pt idx="122">
                  <c:v>528305</c:v>
                </c:pt>
                <c:pt idx="123">
                  <c:v>534185</c:v>
                </c:pt>
                <c:pt idx="124">
                  <c:v>472550</c:v>
                </c:pt>
                <c:pt idx="125">
                  <c:v>401360</c:v>
                </c:pt>
                <c:pt idx="126">
                  <c:v>386235</c:v>
                </c:pt>
                <c:pt idx="127">
                  <c:v>337210</c:v>
                </c:pt>
                <c:pt idx="128">
                  <c:v>328705</c:v>
                </c:pt>
                <c:pt idx="129">
                  <c:v>311755</c:v>
                </c:pt>
                <c:pt idx="130">
                  <c:v>398965</c:v>
                </c:pt>
                <c:pt idx="131">
                  <c:v>358700</c:v>
                </c:pt>
                <c:pt idx="132">
                  <c:v>403745</c:v>
                </c:pt>
                <c:pt idx="133">
                  <c:v>474015</c:v>
                </c:pt>
                <c:pt idx="134">
                  <c:v>450095</c:v>
                </c:pt>
                <c:pt idx="135">
                  <c:v>418350</c:v>
                </c:pt>
                <c:pt idx="136">
                  <c:v>433220</c:v>
                </c:pt>
                <c:pt idx="137">
                  <c:v>349005</c:v>
                </c:pt>
                <c:pt idx="138">
                  <c:v>288955</c:v>
                </c:pt>
                <c:pt idx="139">
                  <c:v>285915</c:v>
                </c:pt>
                <c:pt idx="140">
                  <c:v>288240</c:v>
                </c:pt>
                <c:pt idx="141">
                  <c:v>276950</c:v>
                </c:pt>
                <c:pt idx="142">
                  <c:v>263025</c:v>
                </c:pt>
                <c:pt idx="143">
                  <c:v>295915</c:v>
                </c:pt>
                <c:pt idx="144">
                  <c:v>244265</c:v>
                </c:pt>
                <c:pt idx="145">
                  <c:v>264300</c:v>
                </c:pt>
                <c:pt idx="146">
                  <c:v>232695</c:v>
                </c:pt>
                <c:pt idx="147">
                  <c:v>196815</c:v>
                </c:pt>
                <c:pt idx="148">
                  <c:v>215470</c:v>
                </c:pt>
                <c:pt idx="149">
                  <c:v>200050</c:v>
                </c:pt>
                <c:pt idx="150">
                  <c:v>201725</c:v>
                </c:pt>
                <c:pt idx="151">
                  <c:v>209735</c:v>
                </c:pt>
                <c:pt idx="152">
                  <c:v>206665</c:v>
                </c:pt>
                <c:pt idx="153">
                  <c:v>209350</c:v>
                </c:pt>
                <c:pt idx="154">
                  <c:v>188450</c:v>
                </c:pt>
                <c:pt idx="155">
                  <c:v>172265</c:v>
                </c:pt>
                <c:pt idx="156">
                  <c:v>235515</c:v>
                </c:pt>
                <c:pt idx="157">
                  <c:v>241520</c:v>
                </c:pt>
                <c:pt idx="158">
                  <c:v>245990</c:v>
                </c:pt>
                <c:pt idx="159">
                  <c:v>262045</c:v>
                </c:pt>
                <c:pt idx="160">
                  <c:v>280555</c:v>
                </c:pt>
                <c:pt idx="161">
                  <c:v>275190</c:v>
                </c:pt>
                <c:pt idx="162">
                  <c:v>265610</c:v>
                </c:pt>
                <c:pt idx="163">
                  <c:v>261840</c:v>
                </c:pt>
                <c:pt idx="164">
                  <c:v>251900</c:v>
                </c:pt>
                <c:pt idx="165">
                  <c:v>233670</c:v>
                </c:pt>
                <c:pt idx="166">
                  <c:v>210735</c:v>
                </c:pt>
                <c:pt idx="167">
                  <c:v>169935</c:v>
                </c:pt>
                <c:pt idx="168">
                  <c:v>150600</c:v>
                </c:pt>
                <c:pt idx="169">
                  <c:v>190680</c:v>
                </c:pt>
                <c:pt idx="170">
                  <c:v>236110</c:v>
                </c:pt>
                <c:pt idx="171">
                  <c:v>234630</c:v>
                </c:pt>
                <c:pt idx="172">
                  <c:v>258505</c:v>
                </c:pt>
                <c:pt idx="173">
                  <c:v>287855</c:v>
                </c:pt>
                <c:pt idx="174">
                  <c:v>299590</c:v>
                </c:pt>
                <c:pt idx="175">
                  <c:v>290915</c:v>
                </c:pt>
                <c:pt idx="176">
                  <c:v>277865</c:v>
                </c:pt>
                <c:pt idx="177">
                  <c:v>279215</c:v>
                </c:pt>
                <c:pt idx="178">
                  <c:v>274560</c:v>
                </c:pt>
                <c:pt idx="179">
                  <c:v>294235</c:v>
                </c:pt>
                <c:pt idx="180">
                  <c:v>284870</c:v>
                </c:pt>
                <c:pt idx="181">
                  <c:v>298215</c:v>
                </c:pt>
                <c:pt idx="182">
                  <c:v>296115</c:v>
                </c:pt>
                <c:pt idx="183">
                  <c:v>289905</c:v>
                </c:pt>
                <c:pt idx="184">
                  <c:v>291880</c:v>
                </c:pt>
                <c:pt idx="185">
                  <c:v>284020</c:v>
                </c:pt>
                <c:pt idx="186">
                  <c:v>288965</c:v>
                </c:pt>
                <c:pt idx="187">
                  <c:v>282760</c:v>
                </c:pt>
                <c:pt idx="188">
                  <c:v>283810</c:v>
                </c:pt>
                <c:pt idx="189">
                  <c:v>299645</c:v>
                </c:pt>
                <c:pt idx="190">
                  <c:v>329260</c:v>
                </c:pt>
                <c:pt idx="191">
                  <c:v>341925</c:v>
                </c:pt>
                <c:pt idx="192">
                  <c:v>342825</c:v>
                </c:pt>
                <c:pt idx="193">
                  <c:v>310830</c:v>
                </c:pt>
                <c:pt idx="194">
                  <c:v>315330</c:v>
                </c:pt>
                <c:pt idx="195">
                  <c:v>334080</c:v>
                </c:pt>
                <c:pt idx="196">
                  <c:v>295030</c:v>
                </c:pt>
                <c:pt idx="197">
                  <c:v>318305</c:v>
                </c:pt>
                <c:pt idx="198">
                  <c:v>378455</c:v>
                </c:pt>
                <c:pt idx="199">
                  <c:v>355520</c:v>
                </c:pt>
                <c:pt idx="200">
                  <c:v>358060</c:v>
                </c:pt>
                <c:pt idx="201">
                  <c:v>371685</c:v>
                </c:pt>
                <c:pt idx="202">
                  <c:v>351025</c:v>
                </c:pt>
                <c:pt idx="203">
                  <c:v>351690</c:v>
                </c:pt>
                <c:pt idx="204">
                  <c:v>336080</c:v>
                </c:pt>
                <c:pt idx="205">
                  <c:v>337670</c:v>
                </c:pt>
                <c:pt idx="206">
                  <c:v>357470</c:v>
                </c:pt>
                <c:pt idx="207">
                  <c:v>366295</c:v>
                </c:pt>
                <c:pt idx="208">
                  <c:v>362155</c:v>
                </c:pt>
                <c:pt idx="209">
                  <c:v>363490</c:v>
                </c:pt>
                <c:pt idx="210">
                  <c:v>353405</c:v>
                </c:pt>
                <c:pt idx="211">
                  <c:v>355040</c:v>
                </c:pt>
                <c:pt idx="212">
                  <c:v>354070</c:v>
                </c:pt>
                <c:pt idx="213">
                  <c:v>353975</c:v>
                </c:pt>
                <c:pt idx="214">
                  <c:v>356350</c:v>
                </c:pt>
                <c:pt idx="215">
                  <c:v>348340</c:v>
                </c:pt>
                <c:pt idx="216">
                  <c:v>335735</c:v>
                </c:pt>
                <c:pt idx="217">
                  <c:v>336460</c:v>
                </c:pt>
                <c:pt idx="218">
                  <c:v>335265</c:v>
                </c:pt>
                <c:pt idx="219">
                  <c:v>342090</c:v>
                </c:pt>
                <c:pt idx="220">
                  <c:v>336905</c:v>
                </c:pt>
                <c:pt idx="221">
                  <c:v>338605</c:v>
                </c:pt>
                <c:pt idx="222">
                  <c:v>344645</c:v>
                </c:pt>
                <c:pt idx="223">
                  <c:v>358420</c:v>
                </c:pt>
                <c:pt idx="224">
                  <c:v>355820</c:v>
                </c:pt>
                <c:pt idx="225">
                  <c:v>355875</c:v>
                </c:pt>
                <c:pt idx="226">
                  <c:v>355995</c:v>
                </c:pt>
                <c:pt idx="227">
                  <c:v>355750</c:v>
                </c:pt>
                <c:pt idx="228">
                  <c:v>355640</c:v>
                </c:pt>
                <c:pt idx="229">
                  <c:v>355360</c:v>
                </c:pt>
                <c:pt idx="230">
                  <c:v>347085</c:v>
                </c:pt>
                <c:pt idx="231">
                  <c:v>350360</c:v>
                </c:pt>
                <c:pt idx="232">
                  <c:v>363985</c:v>
                </c:pt>
                <c:pt idx="233">
                  <c:v>363495</c:v>
                </c:pt>
                <c:pt idx="234">
                  <c:v>366015</c:v>
                </c:pt>
                <c:pt idx="235">
                  <c:v>372120</c:v>
                </c:pt>
                <c:pt idx="236">
                  <c:v>365345</c:v>
                </c:pt>
                <c:pt idx="237">
                  <c:v>364700</c:v>
                </c:pt>
                <c:pt idx="238">
                  <c:v>364800</c:v>
                </c:pt>
                <c:pt idx="239">
                  <c:v>369460</c:v>
                </c:pt>
                <c:pt idx="240">
                  <c:v>388620</c:v>
                </c:pt>
                <c:pt idx="241">
                  <c:v>396535</c:v>
                </c:pt>
                <c:pt idx="242">
                  <c:v>393420</c:v>
                </c:pt>
                <c:pt idx="243">
                  <c:v>405915</c:v>
                </c:pt>
                <c:pt idx="244">
                  <c:v>424560</c:v>
                </c:pt>
                <c:pt idx="245">
                  <c:v>424690</c:v>
                </c:pt>
                <c:pt idx="246">
                  <c:v>424485</c:v>
                </c:pt>
                <c:pt idx="247">
                  <c:v>431785</c:v>
                </c:pt>
                <c:pt idx="248">
                  <c:v>428010</c:v>
                </c:pt>
                <c:pt idx="249">
                  <c:v>427400</c:v>
                </c:pt>
                <c:pt idx="250">
                  <c:v>429880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02-448A-BD6A-26229808288F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[0]!dhpLongFuturesExoRangeSelloffBoth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279390</c:v>
                </c:pt>
                <c:pt idx="20">
                  <c:v>290591.66666666669</c:v>
                </c:pt>
                <c:pt idx="21">
                  <c:v>276369.58333333331</c:v>
                </c:pt>
                <c:pt idx="22">
                  <c:v>259846.66666666666</c:v>
                </c:pt>
                <c:pt idx="23">
                  <c:v>232910.41666666666</c:v>
                </c:pt>
                <c:pt idx="24">
                  <c:v>180797.91666666666</c:v>
                </c:pt>
                <c:pt idx="25">
                  <c:v>169202.08333333334</c:v>
                </c:pt>
                <c:pt idx="26">
                  <c:v>166222.91666666666</c:v>
                </c:pt>
                <c:pt idx="27">
                  <c:v>160232.5</c:v>
                </c:pt>
                <c:pt idx="28">
                  <c:v>145465</c:v>
                </c:pt>
                <c:pt idx="29">
                  <c:v>174711.25</c:v>
                </c:pt>
                <c:pt idx="30">
                  <c:v>255135</c:v>
                </c:pt>
                <c:pt idx="31">
                  <c:v>243117.5</c:v>
                </c:pt>
                <c:pt idx="32">
                  <c:v>233469.58333333334</c:v>
                </c:pt>
                <c:pt idx="33">
                  <c:v>260094.16666666666</c:v>
                </c:pt>
                <c:pt idx="34">
                  <c:v>195840.41666666666</c:v>
                </c:pt>
                <c:pt idx="35">
                  <c:v>173574.58333333331</c:v>
                </c:pt>
                <c:pt idx="36">
                  <c:v>129088.75</c:v>
                </c:pt>
                <c:pt idx="37">
                  <c:v>107308.75</c:v>
                </c:pt>
                <c:pt idx="38">
                  <c:v>101125.83333333333</c:v>
                </c:pt>
                <c:pt idx="39">
                  <c:v>119009.16666666666</c:v>
                </c:pt>
                <c:pt idx="40">
                  <c:v>109134.16666666666</c:v>
                </c:pt>
                <c:pt idx="41">
                  <c:v>94600.833333333328</c:v>
                </c:pt>
                <c:pt idx="42">
                  <c:v>119892.5</c:v>
                </c:pt>
                <c:pt idx="43">
                  <c:v>147138.33333333331</c:v>
                </c:pt>
                <c:pt idx="44">
                  <c:v>169592.5</c:v>
                </c:pt>
                <c:pt idx="45">
                  <c:v>186921.66666666669</c:v>
                </c:pt>
                <c:pt idx="46">
                  <c:v>217821.66666666669</c:v>
                </c:pt>
                <c:pt idx="47">
                  <c:v>255534.16666666669</c:v>
                </c:pt>
                <c:pt idx="48">
                  <c:v>313692.5</c:v>
                </c:pt>
                <c:pt idx="49">
                  <c:v>311246.66666666669</c:v>
                </c:pt>
                <c:pt idx="50">
                  <c:v>302309.16666666669</c:v>
                </c:pt>
                <c:pt idx="51">
                  <c:v>306384.16666666669</c:v>
                </c:pt>
                <c:pt idx="52">
                  <c:v>290659.16666666669</c:v>
                </c:pt>
                <c:pt idx="53">
                  <c:v>317446.66666666669</c:v>
                </c:pt>
                <c:pt idx="54">
                  <c:v>319921.66666666669</c:v>
                </c:pt>
                <c:pt idx="55">
                  <c:v>302213.33333333331</c:v>
                </c:pt>
                <c:pt idx="56">
                  <c:v>318696.66666666669</c:v>
                </c:pt>
                <c:pt idx="57">
                  <c:v>321346.66666666669</c:v>
                </c:pt>
                <c:pt idx="58">
                  <c:v>337363.33333333331</c:v>
                </c:pt>
                <c:pt idx="59">
                  <c:v>344875.83333333331</c:v>
                </c:pt>
                <c:pt idx="60">
                  <c:v>317475.83333333331</c:v>
                </c:pt>
                <c:pt idx="61">
                  <c:v>108992.5</c:v>
                </c:pt>
                <c:pt idx="62">
                  <c:v>141550</c:v>
                </c:pt>
                <c:pt idx="63">
                  <c:v>176991.25</c:v>
                </c:pt>
                <c:pt idx="64">
                  <c:v>187660</c:v>
                </c:pt>
                <c:pt idx="65">
                  <c:v>219306.25</c:v>
                </c:pt>
                <c:pt idx="66">
                  <c:v>259971.25</c:v>
                </c:pt>
                <c:pt idx="67">
                  <c:v>267103.75</c:v>
                </c:pt>
                <c:pt idx="68">
                  <c:v>198381.25</c:v>
                </c:pt>
                <c:pt idx="69">
                  <c:v>228028.75</c:v>
                </c:pt>
                <c:pt idx="70">
                  <c:v>410353.75</c:v>
                </c:pt>
                <c:pt idx="71">
                  <c:v>409093.75</c:v>
                </c:pt>
                <c:pt idx="72">
                  <c:v>466333.75</c:v>
                </c:pt>
                <c:pt idx="73">
                  <c:v>476447.5</c:v>
                </c:pt>
                <c:pt idx="74">
                  <c:v>507448.75</c:v>
                </c:pt>
                <c:pt idx="75">
                  <c:v>563263.75</c:v>
                </c:pt>
                <c:pt idx="76">
                  <c:v>551203.75</c:v>
                </c:pt>
                <c:pt idx="77">
                  <c:v>392113.75</c:v>
                </c:pt>
                <c:pt idx="78">
                  <c:v>469131.25</c:v>
                </c:pt>
                <c:pt idx="79">
                  <c:v>465512.5</c:v>
                </c:pt>
                <c:pt idx="80">
                  <c:v>442967.5</c:v>
                </c:pt>
                <c:pt idx="81">
                  <c:v>520855</c:v>
                </c:pt>
                <c:pt idx="82">
                  <c:v>542481.25</c:v>
                </c:pt>
                <c:pt idx="83">
                  <c:v>527967.91666666663</c:v>
                </c:pt>
                <c:pt idx="84">
                  <c:v>443357.91666666669</c:v>
                </c:pt>
                <c:pt idx="85">
                  <c:v>422247.91666666669</c:v>
                </c:pt>
                <c:pt idx="86">
                  <c:v>395274.58333333337</c:v>
                </c:pt>
                <c:pt idx="87">
                  <c:v>431571.25</c:v>
                </c:pt>
                <c:pt idx="88">
                  <c:v>382134.58333333337</c:v>
                </c:pt>
                <c:pt idx="89">
                  <c:v>449547.91666666669</c:v>
                </c:pt>
                <c:pt idx="90">
                  <c:v>392111.25</c:v>
                </c:pt>
                <c:pt idx="91">
                  <c:v>499854.58333333331</c:v>
                </c:pt>
                <c:pt idx="92">
                  <c:v>528281.25</c:v>
                </c:pt>
                <c:pt idx="93">
                  <c:v>549911.25</c:v>
                </c:pt>
                <c:pt idx="94">
                  <c:v>595114.58333333337</c:v>
                </c:pt>
                <c:pt idx="95">
                  <c:v>620957.91666666663</c:v>
                </c:pt>
                <c:pt idx="96">
                  <c:v>515627.91666666663</c:v>
                </c:pt>
                <c:pt idx="97">
                  <c:v>549971.25</c:v>
                </c:pt>
                <c:pt idx="98">
                  <c:v>590794.58333333326</c:v>
                </c:pt>
                <c:pt idx="99">
                  <c:v>621971.25</c:v>
                </c:pt>
                <c:pt idx="100">
                  <c:v>657784.58333333326</c:v>
                </c:pt>
                <c:pt idx="101">
                  <c:v>691404.58333333326</c:v>
                </c:pt>
                <c:pt idx="102">
                  <c:v>729684.58333333326</c:v>
                </c:pt>
                <c:pt idx="103">
                  <c:v>671947.91666666663</c:v>
                </c:pt>
                <c:pt idx="104">
                  <c:v>720869.16666666663</c:v>
                </c:pt>
                <c:pt idx="105">
                  <c:v>755099.16666666663</c:v>
                </c:pt>
                <c:pt idx="106">
                  <c:v>760909.16666666663</c:v>
                </c:pt>
                <c:pt idx="107">
                  <c:v>839603.75</c:v>
                </c:pt>
                <c:pt idx="108">
                  <c:v>838667.5</c:v>
                </c:pt>
                <c:pt idx="109">
                  <c:v>878926.25</c:v>
                </c:pt>
                <c:pt idx="110">
                  <c:v>825816.66666666663</c:v>
                </c:pt>
                <c:pt idx="111">
                  <c:v>797049.58333333326</c:v>
                </c:pt>
                <c:pt idx="112">
                  <c:v>850687.08333333326</c:v>
                </c:pt>
                <c:pt idx="113">
                  <c:v>891080</c:v>
                </c:pt>
                <c:pt idx="114">
                  <c:v>868245.41666666663</c:v>
                </c:pt>
                <c:pt idx="115">
                  <c:v>820543.33333333337</c:v>
                </c:pt>
                <c:pt idx="116">
                  <c:v>897199.16666666663</c:v>
                </c:pt>
                <c:pt idx="117">
                  <c:v>805741.25</c:v>
                </c:pt>
                <c:pt idx="118">
                  <c:v>616674.16666666663</c:v>
                </c:pt>
                <c:pt idx="119">
                  <c:v>613532.91666666663</c:v>
                </c:pt>
                <c:pt idx="120">
                  <c:v>535036.66666666663</c:v>
                </c:pt>
                <c:pt idx="121">
                  <c:v>485187.91666666663</c:v>
                </c:pt>
                <c:pt idx="122">
                  <c:v>506511.66666666663</c:v>
                </c:pt>
                <c:pt idx="123">
                  <c:v>513441.66666666663</c:v>
                </c:pt>
                <c:pt idx="124">
                  <c:v>436362.91666666663</c:v>
                </c:pt>
                <c:pt idx="125">
                  <c:v>344960.41666666663</c:v>
                </c:pt>
                <c:pt idx="126">
                  <c:v>313997.91666666663</c:v>
                </c:pt>
                <c:pt idx="127">
                  <c:v>248085.41666666666</c:v>
                </c:pt>
                <c:pt idx="128">
                  <c:v>231232.91666666666</c:v>
                </c:pt>
                <c:pt idx="129">
                  <c:v>213757.91666666666</c:v>
                </c:pt>
                <c:pt idx="130">
                  <c:v>305062.91666666663</c:v>
                </c:pt>
                <c:pt idx="131">
                  <c:v>265130.41666666663</c:v>
                </c:pt>
                <c:pt idx="132">
                  <c:v>312852.91666666663</c:v>
                </c:pt>
                <c:pt idx="133">
                  <c:v>383087.91666666663</c:v>
                </c:pt>
                <c:pt idx="134">
                  <c:v>357627.91666666663</c:v>
                </c:pt>
                <c:pt idx="135">
                  <c:v>322855.41666666663</c:v>
                </c:pt>
                <c:pt idx="136">
                  <c:v>338390.41666666663</c:v>
                </c:pt>
                <c:pt idx="137">
                  <c:v>253982.91666666666</c:v>
                </c:pt>
                <c:pt idx="138">
                  <c:v>195157.91666666666</c:v>
                </c:pt>
                <c:pt idx="139">
                  <c:v>191837.91666666666</c:v>
                </c:pt>
                <c:pt idx="140">
                  <c:v>193900.41666666666</c:v>
                </c:pt>
                <c:pt idx="141">
                  <c:v>182855.41666666666</c:v>
                </c:pt>
                <c:pt idx="142">
                  <c:v>167792.91666666666</c:v>
                </c:pt>
                <c:pt idx="143">
                  <c:v>200437.91666666666</c:v>
                </c:pt>
                <c:pt idx="144">
                  <c:v>152112.91666666666</c:v>
                </c:pt>
                <c:pt idx="145">
                  <c:v>175630.41666666666</c:v>
                </c:pt>
                <c:pt idx="146">
                  <c:v>144086.66666666666</c:v>
                </c:pt>
                <c:pt idx="147">
                  <c:v>105511.66666666666</c:v>
                </c:pt>
                <c:pt idx="148">
                  <c:v>125534.58333333331</c:v>
                </c:pt>
                <c:pt idx="149">
                  <c:v>110359.58333333331</c:v>
                </c:pt>
                <c:pt idx="150">
                  <c:v>111932.49999999997</c:v>
                </c:pt>
                <c:pt idx="151">
                  <c:v>122269.99999999997</c:v>
                </c:pt>
                <c:pt idx="152">
                  <c:v>119240.83333333331</c:v>
                </c:pt>
                <c:pt idx="153">
                  <c:v>122109.58333333331</c:v>
                </c:pt>
                <c:pt idx="154">
                  <c:v>102026.24999999997</c:v>
                </c:pt>
                <c:pt idx="155">
                  <c:v>85657.499999999971</c:v>
                </c:pt>
                <c:pt idx="156">
                  <c:v>141761.66666666663</c:v>
                </c:pt>
                <c:pt idx="157">
                  <c:v>146888.74999999997</c:v>
                </c:pt>
                <c:pt idx="158">
                  <c:v>150501.24999999997</c:v>
                </c:pt>
                <c:pt idx="159">
                  <c:v>165065.83333333331</c:v>
                </c:pt>
                <c:pt idx="160">
                  <c:v>185903.33333333331</c:v>
                </c:pt>
                <c:pt idx="161">
                  <c:v>179292.91666666666</c:v>
                </c:pt>
                <c:pt idx="162">
                  <c:v>161301.25</c:v>
                </c:pt>
                <c:pt idx="163">
                  <c:v>151855.41666666666</c:v>
                </c:pt>
                <c:pt idx="164">
                  <c:v>135463.75</c:v>
                </c:pt>
                <c:pt idx="165">
                  <c:v>108617.91666666666</c:v>
                </c:pt>
                <c:pt idx="166">
                  <c:v>76311.666666666657</c:v>
                </c:pt>
                <c:pt idx="167">
                  <c:v>39186.666666666657</c:v>
                </c:pt>
                <c:pt idx="168">
                  <c:v>21505.416666666657</c:v>
                </c:pt>
                <c:pt idx="169">
                  <c:v>54865.416666666657</c:v>
                </c:pt>
                <c:pt idx="170">
                  <c:v>92408.75</c:v>
                </c:pt>
                <c:pt idx="171">
                  <c:v>91115.416666666657</c:v>
                </c:pt>
                <c:pt idx="172">
                  <c:v>113473.75</c:v>
                </c:pt>
                <c:pt idx="173">
                  <c:v>141657.08333333334</c:v>
                </c:pt>
                <c:pt idx="174">
                  <c:v>157568.75</c:v>
                </c:pt>
                <c:pt idx="175">
                  <c:v>146677.08333333334</c:v>
                </c:pt>
                <c:pt idx="176">
                  <c:v>111927.08333333334</c:v>
                </c:pt>
                <c:pt idx="177">
                  <c:v>113977.08333333334</c:v>
                </c:pt>
                <c:pt idx="178">
                  <c:v>106825.41666666669</c:v>
                </c:pt>
                <c:pt idx="179">
                  <c:v>138983.75000000003</c:v>
                </c:pt>
                <c:pt idx="180">
                  <c:v>128662.08333333337</c:v>
                </c:pt>
                <c:pt idx="181">
                  <c:v>150710.41666666672</c:v>
                </c:pt>
                <c:pt idx="182">
                  <c:v>150010.41666666672</c:v>
                </c:pt>
                <c:pt idx="183">
                  <c:v>132740.41666666672</c:v>
                </c:pt>
                <c:pt idx="184">
                  <c:v>131798.75000000006</c:v>
                </c:pt>
                <c:pt idx="185">
                  <c:v>110778.75000000006</c:v>
                </c:pt>
                <c:pt idx="186">
                  <c:v>118827.0833333334</c:v>
                </c:pt>
                <c:pt idx="187">
                  <c:v>110358.75000000006</c:v>
                </c:pt>
                <c:pt idx="188">
                  <c:v>110708.75000000006</c:v>
                </c:pt>
                <c:pt idx="189">
                  <c:v>131187.0833333334</c:v>
                </c:pt>
                <c:pt idx="190">
                  <c:v>168965.8333333334</c:v>
                </c:pt>
                <c:pt idx="191">
                  <c:v>179557.0833333334</c:v>
                </c:pt>
                <c:pt idx="192">
                  <c:v>180457.0833333334</c:v>
                </c:pt>
                <c:pt idx="193">
                  <c:v>151533.3333333334</c:v>
                </c:pt>
                <c:pt idx="194">
                  <c:v>156033.3333333334</c:v>
                </c:pt>
                <c:pt idx="195">
                  <c:v>170845.8333333334</c:v>
                </c:pt>
                <c:pt idx="196">
                  <c:v>141508.3333333334</c:v>
                </c:pt>
                <c:pt idx="197">
                  <c:v>170952.0833333334</c:v>
                </c:pt>
                <c:pt idx="198">
                  <c:v>212989.5833333334</c:v>
                </c:pt>
                <c:pt idx="199">
                  <c:v>193755.8333333334</c:v>
                </c:pt>
                <c:pt idx="200">
                  <c:v>197765.8333333334</c:v>
                </c:pt>
                <c:pt idx="201">
                  <c:v>209947.0833333334</c:v>
                </c:pt>
                <c:pt idx="202">
                  <c:v>191282.0833333334</c:v>
                </c:pt>
                <c:pt idx="203">
                  <c:v>191448.3333333334</c:v>
                </c:pt>
                <c:pt idx="204">
                  <c:v>178095.8333333334</c:v>
                </c:pt>
                <c:pt idx="205">
                  <c:v>179843.3333333334</c:v>
                </c:pt>
                <c:pt idx="206">
                  <c:v>199643.3333333334</c:v>
                </c:pt>
                <c:pt idx="207">
                  <c:v>208599.5833333334</c:v>
                </c:pt>
                <c:pt idx="208">
                  <c:v>203514.5833333334</c:v>
                </c:pt>
                <c:pt idx="209">
                  <c:v>205873.3333333334</c:v>
                </c:pt>
                <c:pt idx="210">
                  <c:v>189692.50000000006</c:v>
                </c:pt>
                <c:pt idx="211">
                  <c:v>181965.00000000006</c:v>
                </c:pt>
                <c:pt idx="212">
                  <c:v>186303.3333333334</c:v>
                </c:pt>
                <c:pt idx="213">
                  <c:v>187287.50000000006</c:v>
                </c:pt>
                <c:pt idx="214">
                  <c:v>183683.3333333334</c:v>
                </c:pt>
                <c:pt idx="215">
                  <c:v>196848.3333333334</c:v>
                </c:pt>
                <c:pt idx="216">
                  <c:v>173247.50000000006</c:v>
                </c:pt>
                <c:pt idx="217">
                  <c:v>172368.3333333334</c:v>
                </c:pt>
                <c:pt idx="218">
                  <c:v>164669.16666666674</c:v>
                </c:pt>
                <c:pt idx="219">
                  <c:v>172806.66666666674</c:v>
                </c:pt>
                <c:pt idx="220">
                  <c:v>167942.50000000009</c:v>
                </c:pt>
                <c:pt idx="221">
                  <c:v>173725.83333333343</c:v>
                </c:pt>
                <c:pt idx="222">
                  <c:v>180232.50000000009</c:v>
                </c:pt>
                <c:pt idx="223">
                  <c:v>191528.33333333343</c:v>
                </c:pt>
                <c:pt idx="224">
                  <c:v>193595.00000000009</c:v>
                </c:pt>
                <c:pt idx="225">
                  <c:v>192104.16666666674</c:v>
                </c:pt>
                <c:pt idx="226">
                  <c:v>193624.16666666674</c:v>
                </c:pt>
                <c:pt idx="227">
                  <c:v>190083.3333333334</c:v>
                </c:pt>
                <c:pt idx="228">
                  <c:v>168565.00000000006</c:v>
                </c:pt>
                <c:pt idx="229">
                  <c:v>168518.3333333334</c:v>
                </c:pt>
                <c:pt idx="230">
                  <c:v>160403.75000000006</c:v>
                </c:pt>
                <c:pt idx="231">
                  <c:v>166726.66666666672</c:v>
                </c:pt>
                <c:pt idx="232">
                  <c:v>180512.08333333337</c:v>
                </c:pt>
                <c:pt idx="233">
                  <c:v>180471.25000000003</c:v>
                </c:pt>
                <c:pt idx="234">
                  <c:v>182606.25000000003</c:v>
                </c:pt>
                <c:pt idx="235">
                  <c:v>180915.00000000003</c:v>
                </c:pt>
                <c:pt idx="236">
                  <c:v>182000.41666666669</c:v>
                </c:pt>
                <c:pt idx="237">
                  <c:v>186071.66666666669</c:v>
                </c:pt>
                <c:pt idx="238">
                  <c:v>189380.00000000003</c:v>
                </c:pt>
                <c:pt idx="239">
                  <c:v>188393.33333333337</c:v>
                </c:pt>
                <c:pt idx="240">
                  <c:v>185865.00000000003</c:v>
                </c:pt>
                <c:pt idx="241">
                  <c:v>185149.58333333337</c:v>
                </c:pt>
                <c:pt idx="242">
                  <c:v>186815.00000000003</c:v>
                </c:pt>
                <c:pt idx="243">
                  <c:v>184006.25000000003</c:v>
                </c:pt>
                <c:pt idx="244">
                  <c:v>178685.00000000003</c:v>
                </c:pt>
                <c:pt idx="245">
                  <c:v>177595.83333333337</c:v>
                </c:pt>
                <c:pt idx="246">
                  <c:v>178128.75000000003</c:v>
                </c:pt>
                <c:pt idx="247">
                  <c:v>186712.08333333337</c:v>
                </c:pt>
                <c:pt idx="248">
                  <c:v>179247.50000000003</c:v>
                </c:pt>
                <c:pt idx="249">
                  <c:v>181396.66666666669</c:v>
                </c:pt>
                <c:pt idx="250">
                  <c:v>182978.33333333334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02-448A-BD6A-26229808288F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02-448A-BD6A-262298082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32992"/>
        <c:axId val="530234952"/>
      </c:lineChart>
      <c:lineChart>
        <c:grouping val="standard"/>
        <c:varyColors val="0"/>
        <c:ser>
          <c:idx val="6"/>
          <c:order val="6"/>
          <c:tx>
            <c:strRef>
              <c:f>'Current Hedge'!$Q$1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  <c:pt idx="3">
                  <c:v>-169305.47101449268</c:v>
                </c:pt>
                <c:pt idx="4">
                  <c:v>-213948.32815734978</c:v>
                </c:pt>
                <c:pt idx="5">
                  <c:v>-223628.44179371349</c:v>
                </c:pt>
                <c:pt idx="6">
                  <c:v>-201668.78270280446</c:v>
                </c:pt>
                <c:pt idx="7">
                  <c:v>-248230.09222661395</c:v>
                </c:pt>
                <c:pt idx="8">
                  <c:v>-330073.57048748352</c:v>
                </c:pt>
                <c:pt idx="9">
                  <c:v>-400908.79776021081</c:v>
                </c:pt>
                <c:pt idx="10">
                  <c:v>-443271.89299830602</c:v>
                </c:pt>
                <c:pt idx="11">
                  <c:v>-498861.66572557873</c:v>
                </c:pt>
                <c:pt idx="12">
                  <c:v>-552575.30208921502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02-448A-BD6A-26229808288F}"/>
            </c:ext>
          </c:extLst>
        </c:ser>
        <c:ser>
          <c:idx val="7"/>
          <c:order val="7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Hedge'!$K$2:$K$14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D02-448A-BD6A-26229808288F}"/>
            </c:ext>
          </c:extLst>
        </c:ser>
        <c:ser>
          <c:idx val="8"/>
          <c:order val="8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-58666.304347826124</c:v>
                </c:pt>
                <c:pt idx="4">
                  <c:v>-103309.16149068324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02-448A-BD6A-26229808288F}"/>
            </c:ext>
          </c:extLst>
        </c:ser>
        <c:ser>
          <c:idx val="9"/>
          <c:order val="9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-9680.1136363637052</c:v>
                </c:pt>
                <c:pt idx="6">
                  <c:v>12279.545454545332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02-448A-BD6A-26229808288F}"/>
            </c:ext>
          </c:extLst>
        </c:ser>
        <c:ser>
          <c:idx val="10"/>
          <c:order val="10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-46561.309523809505</c:v>
                </c:pt>
                <c:pt idx="8">
                  <c:v>-128404.78778467909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84-4095-A17D-E0CAA6C0E9C6}"/>
            </c:ext>
          </c:extLst>
        </c:ser>
        <c:ser>
          <c:idx val="11"/>
          <c:order val="11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-70835.227272727279</c:v>
                </c:pt>
                <c:pt idx="10">
                  <c:v>-113198.32251082249</c:v>
                </c:pt>
                <c:pt idx="11">
                  <c:v>-168788.09523809518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84-4095-A17D-E0CAA6C0E9C6}"/>
            </c:ext>
          </c:extLst>
        </c:ser>
        <c:ser>
          <c:idx val="12"/>
          <c:order val="12"/>
          <c:tx>
            <c:strRef>
              <c:f>'Current Hedge'!$P$1</c:f>
              <c:strCache>
                <c:ptCount val="1"/>
                <c:pt idx="0">
                  <c:v>Mar17'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-53713.636363636324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38-4624-913B-104D51C3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21296"/>
        <c:axId val="532816376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0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valAx>
        <c:axId val="532816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21296"/>
        <c:crosses val="max"/>
        <c:crossBetween val="between"/>
      </c:valAx>
      <c:dateAx>
        <c:axId val="532821296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16376"/>
        <c:crosses val="max"/>
        <c:auto val="0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Data!$J$12:$J$1015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E-43C8-83AE-FEF03A89D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229632"/>
        <c:axId val="327748672"/>
      </c:lineChart>
      <c:catAx>
        <c:axId val="332229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8672"/>
        <c:crosses val="autoZero"/>
        <c:auto val="1"/>
        <c:lblAlgn val="ctr"/>
        <c:lblOffset val="100"/>
        <c:noMultiLvlLbl val="0"/>
      </c:catAx>
      <c:valAx>
        <c:axId val="3277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Data!$O$12:$O$1015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12390</c:v>
                </c:pt>
                <c:pt idx="20">
                  <c:v>3791.6666666666679</c:v>
                </c:pt>
                <c:pt idx="21">
                  <c:v>6069.5833333333339</c:v>
                </c:pt>
                <c:pt idx="22">
                  <c:v>12646.666666666668</c:v>
                </c:pt>
                <c:pt idx="23">
                  <c:v>18710.416666666668</c:v>
                </c:pt>
                <c:pt idx="24">
                  <c:v>29297.916666666668</c:v>
                </c:pt>
                <c:pt idx="25">
                  <c:v>30902.083333333336</c:v>
                </c:pt>
                <c:pt idx="26">
                  <c:v>31222.916666666668</c:v>
                </c:pt>
                <c:pt idx="27">
                  <c:v>31832.5</c:v>
                </c:pt>
                <c:pt idx="28">
                  <c:v>33565</c:v>
                </c:pt>
                <c:pt idx="29">
                  <c:v>29811.25</c:v>
                </c:pt>
                <c:pt idx="30">
                  <c:v>34335</c:v>
                </c:pt>
                <c:pt idx="31">
                  <c:v>32217.5</c:v>
                </c:pt>
                <c:pt idx="32">
                  <c:v>29169.583333333332</c:v>
                </c:pt>
                <c:pt idx="33">
                  <c:v>29394.166666666664</c:v>
                </c:pt>
                <c:pt idx="34">
                  <c:v>41040.416666666664</c:v>
                </c:pt>
                <c:pt idx="35">
                  <c:v>41874.583333333328</c:v>
                </c:pt>
                <c:pt idx="36">
                  <c:v>53488.749999999993</c:v>
                </c:pt>
                <c:pt idx="37">
                  <c:v>58108.749999999993</c:v>
                </c:pt>
                <c:pt idx="38">
                  <c:v>58525.833333333328</c:v>
                </c:pt>
                <c:pt idx="39">
                  <c:v>58409.166666666664</c:v>
                </c:pt>
                <c:pt idx="40">
                  <c:v>57534.166666666664</c:v>
                </c:pt>
                <c:pt idx="41">
                  <c:v>58000.833333333328</c:v>
                </c:pt>
                <c:pt idx="42">
                  <c:v>65292.499999999993</c:v>
                </c:pt>
                <c:pt idx="43">
                  <c:v>74538.333333333328</c:v>
                </c:pt>
                <c:pt idx="44">
                  <c:v>72992.5</c:v>
                </c:pt>
                <c:pt idx="45">
                  <c:v>72321.666666666672</c:v>
                </c:pt>
                <c:pt idx="46">
                  <c:v>70221.666666666672</c:v>
                </c:pt>
                <c:pt idx="47">
                  <c:v>65934.166666666672</c:v>
                </c:pt>
                <c:pt idx="48">
                  <c:v>61092.500000000007</c:v>
                </c:pt>
                <c:pt idx="49">
                  <c:v>61646.666666666672</c:v>
                </c:pt>
                <c:pt idx="50">
                  <c:v>64709.166666666672</c:v>
                </c:pt>
                <c:pt idx="51">
                  <c:v>62784.166666666672</c:v>
                </c:pt>
                <c:pt idx="52">
                  <c:v>65059.166666666672</c:v>
                </c:pt>
                <c:pt idx="53">
                  <c:v>58846.666666666672</c:v>
                </c:pt>
                <c:pt idx="54">
                  <c:v>58321.666666666672</c:v>
                </c:pt>
                <c:pt idx="55">
                  <c:v>58613.333333333336</c:v>
                </c:pt>
                <c:pt idx="56">
                  <c:v>57096.666666666672</c:v>
                </c:pt>
                <c:pt idx="57">
                  <c:v>56746.666666666672</c:v>
                </c:pt>
                <c:pt idx="58">
                  <c:v>54763.333333333336</c:v>
                </c:pt>
                <c:pt idx="59">
                  <c:v>53275.833333333336</c:v>
                </c:pt>
                <c:pt idx="60">
                  <c:v>58875.833333333336</c:v>
                </c:pt>
                <c:pt idx="61">
                  <c:v>102392.5</c:v>
                </c:pt>
                <c:pt idx="62">
                  <c:v>102550</c:v>
                </c:pt>
                <c:pt idx="63">
                  <c:v>102891.25</c:v>
                </c:pt>
                <c:pt idx="64">
                  <c:v>102760</c:v>
                </c:pt>
                <c:pt idx="65">
                  <c:v>107406.25</c:v>
                </c:pt>
                <c:pt idx="66">
                  <c:v>112971.25</c:v>
                </c:pt>
                <c:pt idx="67">
                  <c:v>114703.75</c:v>
                </c:pt>
                <c:pt idx="68">
                  <c:v>102681.25</c:v>
                </c:pt>
                <c:pt idx="69">
                  <c:v>102628.75</c:v>
                </c:pt>
                <c:pt idx="70">
                  <c:v>128353.75</c:v>
                </c:pt>
                <c:pt idx="71">
                  <c:v>127093.75</c:v>
                </c:pt>
                <c:pt idx="72">
                  <c:v>119533.75</c:v>
                </c:pt>
                <c:pt idx="73">
                  <c:v>116147.5</c:v>
                </c:pt>
                <c:pt idx="74">
                  <c:v>109348.75</c:v>
                </c:pt>
                <c:pt idx="75">
                  <c:v>94963.75</c:v>
                </c:pt>
                <c:pt idx="76">
                  <c:v>93703.75</c:v>
                </c:pt>
                <c:pt idx="77">
                  <c:v>112813.75</c:v>
                </c:pt>
                <c:pt idx="78">
                  <c:v>114231.25</c:v>
                </c:pt>
                <c:pt idx="79">
                  <c:v>113312.5</c:v>
                </c:pt>
                <c:pt idx="80">
                  <c:v>112367.5</c:v>
                </c:pt>
                <c:pt idx="81">
                  <c:v>98455</c:v>
                </c:pt>
                <c:pt idx="82">
                  <c:v>98481.25</c:v>
                </c:pt>
                <c:pt idx="83">
                  <c:v>100767.91666666667</c:v>
                </c:pt>
                <c:pt idx="84">
                  <c:v>114557.91666666667</c:v>
                </c:pt>
                <c:pt idx="85">
                  <c:v>115047.91666666667</c:v>
                </c:pt>
                <c:pt idx="86">
                  <c:v>121674.58333333334</c:v>
                </c:pt>
                <c:pt idx="87">
                  <c:v>117171.25000000001</c:v>
                </c:pt>
                <c:pt idx="88">
                  <c:v>122934.58333333334</c:v>
                </c:pt>
                <c:pt idx="89">
                  <c:v>108747.91666666667</c:v>
                </c:pt>
                <c:pt idx="90">
                  <c:v>108911.25</c:v>
                </c:pt>
                <c:pt idx="91">
                  <c:v>108654.58333333333</c:v>
                </c:pt>
                <c:pt idx="92">
                  <c:v>108281.25</c:v>
                </c:pt>
                <c:pt idx="93">
                  <c:v>113111.25</c:v>
                </c:pt>
                <c:pt idx="94">
                  <c:v>112714.58333333333</c:v>
                </c:pt>
                <c:pt idx="95">
                  <c:v>114557.91666666666</c:v>
                </c:pt>
                <c:pt idx="96">
                  <c:v>107627.91666666666</c:v>
                </c:pt>
                <c:pt idx="97">
                  <c:v>105971.24999999999</c:v>
                </c:pt>
                <c:pt idx="98">
                  <c:v>105994.58333333331</c:v>
                </c:pt>
                <c:pt idx="99">
                  <c:v>105971.24999999999</c:v>
                </c:pt>
                <c:pt idx="100">
                  <c:v>105784.58333333331</c:v>
                </c:pt>
                <c:pt idx="101">
                  <c:v>103404.58333333331</c:v>
                </c:pt>
                <c:pt idx="102">
                  <c:v>100884.58333333331</c:v>
                </c:pt>
                <c:pt idx="103">
                  <c:v>103147.91666666664</c:v>
                </c:pt>
                <c:pt idx="104">
                  <c:v>95369.166666666642</c:v>
                </c:pt>
                <c:pt idx="105">
                  <c:v>93899.166666666642</c:v>
                </c:pt>
                <c:pt idx="106">
                  <c:v>93409.166666666642</c:v>
                </c:pt>
                <c:pt idx="107">
                  <c:v>90203.749999999971</c:v>
                </c:pt>
                <c:pt idx="108">
                  <c:v>91367.499999999971</c:v>
                </c:pt>
                <c:pt idx="109">
                  <c:v>85426.249999999971</c:v>
                </c:pt>
                <c:pt idx="110">
                  <c:v>86916.666666666642</c:v>
                </c:pt>
                <c:pt idx="111">
                  <c:v>87549.583333333314</c:v>
                </c:pt>
                <c:pt idx="112">
                  <c:v>84487.083333333314</c:v>
                </c:pt>
                <c:pt idx="113">
                  <c:v>87079.999999999985</c:v>
                </c:pt>
                <c:pt idx="114">
                  <c:v>87345.416666666657</c:v>
                </c:pt>
                <c:pt idx="115">
                  <c:v>92143.333333333328</c:v>
                </c:pt>
                <c:pt idx="116">
                  <c:v>88999.166666666657</c:v>
                </c:pt>
                <c:pt idx="117">
                  <c:v>92041.249999999985</c:v>
                </c:pt>
                <c:pt idx="118">
                  <c:v>117174.16666666666</c:v>
                </c:pt>
                <c:pt idx="119">
                  <c:v>116132.91666666666</c:v>
                </c:pt>
                <c:pt idx="120">
                  <c:v>115336.66666666666</c:v>
                </c:pt>
                <c:pt idx="121">
                  <c:v>115887.91666666666</c:v>
                </c:pt>
                <c:pt idx="122">
                  <c:v>114111.66666666666</c:v>
                </c:pt>
                <c:pt idx="123">
                  <c:v>112641.66666666666</c:v>
                </c:pt>
                <c:pt idx="124">
                  <c:v>134262.91666666666</c:v>
                </c:pt>
                <c:pt idx="125">
                  <c:v>162560.41666666666</c:v>
                </c:pt>
                <c:pt idx="126">
                  <c:v>178397.91666666666</c:v>
                </c:pt>
                <c:pt idx="127">
                  <c:v>195285.41666666666</c:v>
                </c:pt>
                <c:pt idx="128">
                  <c:v>203632.91666666666</c:v>
                </c:pt>
                <c:pt idx="129">
                  <c:v>204157.91666666666</c:v>
                </c:pt>
                <c:pt idx="130">
                  <c:v>200062.91666666666</c:v>
                </c:pt>
                <c:pt idx="131">
                  <c:v>199730.41666666666</c:v>
                </c:pt>
                <c:pt idx="132">
                  <c:v>197052.91666666666</c:v>
                </c:pt>
                <c:pt idx="133">
                  <c:v>197087.91666666666</c:v>
                </c:pt>
                <c:pt idx="134">
                  <c:v>198627.91666666666</c:v>
                </c:pt>
                <c:pt idx="135">
                  <c:v>201655.41666666666</c:v>
                </c:pt>
                <c:pt idx="136">
                  <c:v>200990.41666666666</c:v>
                </c:pt>
                <c:pt idx="137">
                  <c:v>201182.91666666666</c:v>
                </c:pt>
                <c:pt idx="138">
                  <c:v>199957.91666666666</c:v>
                </c:pt>
                <c:pt idx="139">
                  <c:v>200237.91666666666</c:v>
                </c:pt>
                <c:pt idx="140">
                  <c:v>200500.41666666666</c:v>
                </c:pt>
                <c:pt idx="141">
                  <c:v>200255.41666666666</c:v>
                </c:pt>
                <c:pt idx="142">
                  <c:v>201392.91666666666</c:v>
                </c:pt>
                <c:pt idx="143">
                  <c:v>201637.91666666666</c:v>
                </c:pt>
                <c:pt idx="144">
                  <c:v>198312.91666666666</c:v>
                </c:pt>
                <c:pt idx="145">
                  <c:v>194830.41666666666</c:v>
                </c:pt>
                <c:pt idx="146">
                  <c:v>194786.66666666666</c:v>
                </c:pt>
                <c:pt idx="147">
                  <c:v>196711.66666666666</c:v>
                </c:pt>
                <c:pt idx="148">
                  <c:v>195734.58333333331</c:v>
                </c:pt>
                <c:pt idx="149">
                  <c:v>195559.58333333331</c:v>
                </c:pt>
                <c:pt idx="150">
                  <c:v>195632.49999999997</c:v>
                </c:pt>
                <c:pt idx="151">
                  <c:v>193969.99999999997</c:v>
                </c:pt>
                <c:pt idx="152">
                  <c:v>193940.83333333331</c:v>
                </c:pt>
                <c:pt idx="153">
                  <c:v>193809.58333333331</c:v>
                </c:pt>
                <c:pt idx="154">
                  <c:v>193226.24999999997</c:v>
                </c:pt>
                <c:pt idx="155">
                  <c:v>193357.49999999997</c:v>
                </c:pt>
                <c:pt idx="156">
                  <c:v>198461.66666666663</c:v>
                </c:pt>
                <c:pt idx="157">
                  <c:v>199088.74999999997</c:v>
                </c:pt>
                <c:pt idx="158">
                  <c:v>199701.24999999997</c:v>
                </c:pt>
                <c:pt idx="159">
                  <c:v>200765.83333333331</c:v>
                </c:pt>
                <c:pt idx="160">
                  <c:v>199103.33333333331</c:v>
                </c:pt>
                <c:pt idx="161">
                  <c:v>199992.91666666666</c:v>
                </c:pt>
                <c:pt idx="162">
                  <c:v>206001.25</c:v>
                </c:pt>
                <c:pt idx="163">
                  <c:v>210055.41666666666</c:v>
                </c:pt>
                <c:pt idx="164">
                  <c:v>214663.75</c:v>
                </c:pt>
                <c:pt idx="165">
                  <c:v>220817.91666666666</c:v>
                </c:pt>
                <c:pt idx="166">
                  <c:v>227511.66666666666</c:v>
                </c:pt>
                <c:pt idx="167">
                  <c:v>224886.66666666666</c:v>
                </c:pt>
                <c:pt idx="168">
                  <c:v>223705.41666666666</c:v>
                </c:pt>
                <c:pt idx="169">
                  <c:v>227065.41666666666</c:v>
                </c:pt>
                <c:pt idx="170">
                  <c:v>231008.75</c:v>
                </c:pt>
                <c:pt idx="171">
                  <c:v>230915.41666666666</c:v>
                </c:pt>
                <c:pt idx="172">
                  <c:v>231673.75</c:v>
                </c:pt>
                <c:pt idx="173">
                  <c:v>232257.08333333334</c:v>
                </c:pt>
                <c:pt idx="174">
                  <c:v>230168.75</c:v>
                </c:pt>
                <c:pt idx="175">
                  <c:v>231277.08333333334</c:v>
                </c:pt>
                <c:pt idx="176">
                  <c:v>242127.08333333334</c:v>
                </c:pt>
                <c:pt idx="177">
                  <c:v>241777.08333333334</c:v>
                </c:pt>
                <c:pt idx="178">
                  <c:v>243025.41666666669</c:v>
                </c:pt>
                <c:pt idx="179">
                  <c:v>236783.75000000003</c:v>
                </c:pt>
                <c:pt idx="180">
                  <c:v>237262.08333333337</c:v>
                </c:pt>
                <c:pt idx="181">
                  <c:v>232910.41666666672</c:v>
                </c:pt>
                <c:pt idx="182">
                  <c:v>232210.41666666672</c:v>
                </c:pt>
                <c:pt idx="183">
                  <c:v>237740.41666666672</c:v>
                </c:pt>
                <c:pt idx="184">
                  <c:v>239198.75000000006</c:v>
                </c:pt>
                <c:pt idx="185">
                  <c:v>245778.75000000006</c:v>
                </c:pt>
                <c:pt idx="186">
                  <c:v>244227.0833333334</c:v>
                </c:pt>
                <c:pt idx="187">
                  <c:v>245358.75000000006</c:v>
                </c:pt>
                <c:pt idx="188">
                  <c:v>245708.75000000006</c:v>
                </c:pt>
                <c:pt idx="189">
                  <c:v>243387.0833333334</c:v>
                </c:pt>
                <c:pt idx="190">
                  <c:v>240665.8333333334</c:v>
                </c:pt>
                <c:pt idx="191">
                  <c:v>241357.0833333334</c:v>
                </c:pt>
                <c:pt idx="192">
                  <c:v>241357.0833333334</c:v>
                </c:pt>
                <c:pt idx="193">
                  <c:v>240333.3333333334</c:v>
                </c:pt>
                <c:pt idx="194">
                  <c:v>240333.3333333334</c:v>
                </c:pt>
                <c:pt idx="195">
                  <c:v>241645.8333333334</c:v>
                </c:pt>
                <c:pt idx="196">
                  <c:v>238408.3333333334</c:v>
                </c:pt>
                <c:pt idx="197">
                  <c:v>236352.0833333334</c:v>
                </c:pt>
                <c:pt idx="198">
                  <c:v>242389.5833333334</c:v>
                </c:pt>
                <c:pt idx="199">
                  <c:v>241155.8333333334</c:v>
                </c:pt>
                <c:pt idx="200">
                  <c:v>240665.8333333334</c:v>
                </c:pt>
                <c:pt idx="201">
                  <c:v>241147.0833333334</c:v>
                </c:pt>
                <c:pt idx="202">
                  <c:v>240482.0833333334</c:v>
                </c:pt>
                <c:pt idx="203">
                  <c:v>240648.3333333334</c:v>
                </c:pt>
                <c:pt idx="204">
                  <c:v>239895.8333333334</c:v>
                </c:pt>
                <c:pt idx="205">
                  <c:v>239843.3333333334</c:v>
                </c:pt>
                <c:pt idx="206">
                  <c:v>239843.3333333334</c:v>
                </c:pt>
                <c:pt idx="207">
                  <c:v>239799.5833333334</c:v>
                </c:pt>
                <c:pt idx="208">
                  <c:v>240114.5833333334</c:v>
                </c:pt>
                <c:pt idx="209">
                  <c:v>239773.3333333334</c:v>
                </c:pt>
                <c:pt idx="210">
                  <c:v>240992.50000000006</c:v>
                </c:pt>
                <c:pt idx="211">
                  <c:v>242865.00000000006</c:v>
                </c:pt>
                <c:pt idx="212">
                  <c:v>241803.3333333334</c:v>
                </c:pt>
                <c:pt idx="213">
                  <c:v>241587.50000000006</c:v>
                </c:pt>
                <c:pt idx="214">
                  <c:v>242783.3333333334</c:v>
                </c:pt>
                <c:pt idx="215">
                  <c:v>238548.3333333334</c:v>
                </c:pt>
                <c:pt idx="216">
                  <c:v>240747.50000000006</c:v>
                </c:pt>
                <c:pt idx="217">
                  <c:v>241068.3333333334</c:v>
                </c:pt>
                <c:pt idx="218">
                  <c:v>242369.16666666674</c:v>
                </c:pt>
                <c:pt idx="219">
                  <c:v>242106.66666666674</c:v>
                </c:pt>
                <c:pt idx="220">
                  <c:v>242042.50000000009</c:v>
                </c:pt>
                <c:pt idx="221">
                  <c:v>241225.83333333343</c:v>
                </c:pt>
                <c:pt idx="222">
                  <c:v>241132.50000000009</c:v>
                </c:pt>
                <c:pt idx="223">
                  <c:v>241628.33333333343</c:v>
                </c:pt>
                <c:pt idx="224">
                  <c:v>240695.00000000009</c:v>
                </c:pt>
                <c:pt idx="225">
                  <c:v>241004.16666666674</c:v>
                </c:pt>
                <c:pt idx="226">
                  <c:v>240724.16666666674</c:v>
                </c:pt>
                <c:pt idx="227">
                  <c:v>241383.3333333334</c:v>
                </c:pt>
                <c:pt idx="228">
                  <c:v>245665.00000000006</c:v>
                </c:pt>
                <c:pt idx="229">
                  <c:v>245618.3333333334</c:v>
                </c:pt>
                <c:pt idx="230">
                  <c:v>245603.75000000006</c:v>
                </c:pt>
                <c:pt idx="231">
                  <c:v>245326.66666666672</c:v>
                </c:pt>
                <c:pt idx="232">
                  <c:v>245312.08333333337</c:v>
                </c:pt>
                <c:pt idx="233">
                  <c:v>245271.25000000003</c:v>
                </c:pt>
                <c:pt idx="234">
                  <c:v>245306.25000000003</c:v>
                </c:pt>
                <c:pt idx="235">
                  <c:v>246015.00000000003</c:v>
                </c:pt>
                <c:pt idx="236">
                  <c:v>245300.41666666669</c:v>
                </c:pt>
                <c:pt idx="237">
                  <c:v>244871.66666666669</c:v>
                </c:pt>
                <c:pt idx="238">
                  <c:v>244580.00000000003</c:v>
                </c:pt>
                <c:pt idx="239">
                  <c:v>245093.33333333337</c:v>
                </c:pt>
                <c:pt idx="240">
                  <c:v>247065.00000000003</c:v>
                </c:pt>
                <c:pt idx="241">
                  <c:v>247849.58333333337</c:v>
                </c:pt>
                <c:pt idx="242">
                  <c:v>247415.00000000003</c:v>
                </c:pt>
                <c:pt idx="243">
                  <c:v>248806.25000000003</c:v>
                </c:pt>
                <c:pt idx="244">
                  <c:v>250985.00000000003</c:v>
                </c:pt>
                <c:pt idx="245">
                  <c:v>251095.83333333337</c:v>
                </c:pt>
                <c:pt idx="246">
                  <c:v>251028.75000000003</c:v>
                </c:pt>
                <c:pt idx="247">
                  <c:v>250912.08333333337</c:v>
                </c:pt>
                <c:pt idx="248">
                  <c:v>251247.50000000003</c:v>
                </c:pt>
                <c:pt idx="249">
                  <c:v>250996.66666666669</c:v>
                </c:pt>
                <c:pt idx="250">
                  <c:v>251078.33333333334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C-4A49-B7A1-A5994BCC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130792"/>
        <c:axId val="427131120"/>
      </c:lineChart>
      <c:catAx>
        <c:axId val="427130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1120"/>
        <c:crosses val="autoZero"/>
        <c:auto val="1"/>
        <c:lblAlgn val="ctr"/>
        <c:lblOffset val="100"/>
        <c:noMultiLvlLbl val="0"/>
      </c:catAx>
      <c:valAx>
        <c:axId val="42713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Data!$P$12:$P$1015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267000</c:v>
                </c:pt>
                <c:pt idx="20">
                  <c:v>286800</c:v>
                </c:pt>
                <c:pt idx="21">
                  <c:v>270300</c:v>
                </c:pt>
                <c:pt idx="22">
                  <c:v>247200</c:v>
                </c:pt>
                <c:pt idx="23">
                  <c:v>214200</c:v>
                </c:pt>
                <c:pt idx="24">
                  <c:v>151500</c:v>
                </c:pt>
                <c:pt idx="25">
                  <c:v>138300</c:v>
                </c:pt>
                <c:pt idx="26">
                  <c:v>135000</c:v>
                </c:pt>
                <c:pt idx="27">
                  <c:v>128400</c:v>
                </c:pt>
                <c:pt idx="28">
                  <c:v>111900</c:v>
                </c:pt>
                <c:pt idx="29">
                  <c:v>144900</c:v>
                </c:pt>
                <c:pt idx="30">
                  <c:v>220800</c:v>
                </c:pt>
                <c:pt idx="31">
                  <c:v>210900</c:v>
                </c:pt>
                <c:pt idx="32">
                  <c:v>204300</c:v>
                </c:pt>
                <c:pt idx="33">
                  <c:v>230700</c:v>
                </c:pt>
                <c:pt idx="34">
                  <c:v>154800</c:v>
                </c:pt>
                <c:pt idx="35">
                  <c:v>131700</c:v>
                </c:pt>
                <c:pt idx="36">
                  <c:v>75600</c:v>
                </c:pt>
                <c:pt idx="37">
                  <c:v>49200</c:v>
                </c:pt>
                <c:pt idx="38">
                  <c:v>42600</c:v>
                </c:pt>
                <c:pt idx="39">
                  <c:v>60600</c:v>
                </c:pt>
                <c:pt idx="40">
                  <c:v>51600</c:v>
                </c:pt>
                <c:pt idx="41">
                  <c:v>36600</c:v>
                </c:pt>
                <c:pt idx="42">
                  <c:v>54600</c:v>
                </c:pt>
                <c:pt idx="43">
                  <c:v>72600</c:v>
                </c:pt>
                <c:pt idx="44">
                  <c:v>96600</c:v>
                </c:pt>
                <c:pt idx="45">
                  <c:v>114600</c:v>
                </c:pt>
                <c:pt idx="46">
                  <c:v>147600</c:v>
                </c:pt>
                <c:pt idx="47">
                  <c:v>189600</c:v>
                </c:pt>
                <c:pt idx="48">
                  <c:v>252600</c:v>
                </c:pt>
                <c:pt idx="49">
                  <c:v>249600</c:v>
                </c:pt>
                <c:pt idx="50">
                  <c:v>237600</c:v>
                </c:pt>
                <c:pt idx="51">
                  <c:v>243600</c:v>
                </c:pt>
                <c:pt idx="52">
                  <c:v>225600</c:v>
                </c:pt>
                <c:pt idx="53">
                  <c:v>258600</c:v>
                </c:pt>
                <c:pt idx="54">
                  <c:v>261600</c:v>
                </c:pt>
                <c:pt idx="55">
                  <c:v>243600</c:v>
                </c:pt>
                <c:pt idx="56">
                  <c:v>261600</c:v>
                </c:pt>
                <c:pt idx="57">
                  <c:v>264600</c:v>
                </c:pt>
                <c:pt idx="58">
                  <c:v>282600</c:v>
                </c:pt>
                <c:pt idx="59">
                  <c:v>291600</c:v>
                </c:pt>
                <c:pt idx="60">
                  <c:v>258600</c:v>
                </c:pt>
                <c:pt idx="61">
                  <c:v>6600</c:v>
                </c:pt>
                <c:pt idx="62">
                  <c:v>39000</c:v>
                </c:pt>
                <c:pt idx="63">
                  <c:v>74100</c:v>
                </c:pt>
                <c:pt idx="64">
                  <c:v>84900</c:v>
                </c:pt>
                <c:pt idx="65">
                  <c:v>111900</c:v>
                </c:pt>
                <c:pt idx="66">
                  <c:v>147000</c:v>
                </c:pt>
                <c:pt idx="67">
                  <c:v>152400</c:v>
                </c:pt>
                <c:pt idx="68">
                  <c:v>95700</c:v>
                </c:pt>
                <c:pt idx="69">
                  <c:v>125400</c:v>
                </c:pt>
                <c:pt idx="70">
                  <c:v>282000</c:v>
                </c:pt>
                <c:pt idx="71">
                  <c:v>282000</c:v>
                </c:pt>
                <c:pt idx="72">
                  <c:v>346800</c:v>
                </c:pt>
                <c:pt idx="73">
                  <c:v>360300</c:v>
                </c:pt>
                <c:pt idx="74">
                  <c:v>398100</c:v>
                </c:pt>
                <c:pt idx="75">
                  <c:v>468300</c:v>
                </c:pt>
                <c:pt idx="76">
                  <c:v>457500</c:v>
                </c:pt>
                <c:pt idx="77">
                  <c:v>279300</c:v>
                </c:pt>
                <c:pt idx="78">
                  <c:v>354900</c:v>
                </c:pt>
                <c:pt idx="79">
                  <c:v>352200</c:v>
                </c:pt>
                <c:pt idx="80">
                  <c:v>330600</c:v>
                </c:pt>
                <c:pt idx="81">
                  <c:v>422400</c:v>
                </c:pt>
                <c:pt idx="82">
                  <c:v>444000</c:v>
                </c:pt>
                <c:pt idx="83">
                  <c:v>427200</c:v>
                </c:pt>
                <c:pt idx="84">
                  <c:v>328800</c:v>
                </c:pt>
                <c:pt idx="85">
                  <c:v>307200</c:v>
                </c:pt>
                <c:pt idx="86">
                  <c:v>273600</c:v>
                </c:pt>
                <c:pt idx="87">
                  <c:v>314400</c:v>
                </c:pt>
                <c:pt idx="88">
                  <c:v>259200</c:v>
                </c:pt>
                <c:pt idx="89">
                  <c:v>340800</c:v>
                </c:pt>
                <c:pt idx="90">
                  <c:v>283200</c:v>
                </c:pt>
                <c:pt idx="91">
                  <c:v>391200</c:v>
                </c:pt>
                <c:pt idx="92">
                  <c:v>420000</c:v>
                </c:pt>
                <c:pt idx="93">
                  <c:v>436800</c:v>
                </c:pt>
                <c:pt idx="94">
                  <c:v>482400</c:v>
                </c:pt>
                <c:pt idx="95">
                  <c:v>506400</c:v>
                </c:pt>
                <c:pt idx="96">
                  <c:v>408000</c:v>
                </c:pt>
                <c:pt idx="97">
                  <c:v>444000</c:v>
                </c:pt>
                <c:pt idx="98">
                  <c:v>484800</c:v>
                </c:pt>
                <c:pt idx="99">
                  <c:v>516000</c:v>
                </c:pt>
                <c:pt idx="100">
                  <c:v>552000</c:v>
                </c:pt>
                <c:pt idx="101">
                  <c:v>588000</c:v>
                </c:pt>
                <c:pt idx="102">
                  <c:v>628800</c:v>
                </c:pt>
                <c:pt idx="103">
                  <c:v>568800</c:v>
                </c:pt>
                <c:pt idx="104">
                  <c:v>625500</c:v>
                </c:pt>
                <c:pt idx="105">
                  <c:v>661200</c:v>
                </c:pt>
                <c:pt idx="106">
                  <c:v>667500</c:v>
                </c:pt>
                <c:pt idx="107">
                  <c:v>749400</c:v>
                </c:pt>
                <c:pt idx="108">
                  <c:v>747300</c:v>
                </c:pt>
                <c:pt idx="109">
                  <c:v>793500</c:v>
                </c:pt>
                <c:pt idx="110">
                  <c:v>738900</c:v>
                </c:pt>
                <c:pt idx="111">
                  <c:v>709500</c:v>
                </c:pt>
                <c:pt idx="112">
                  <c:v>766200</c:v>
                </c:pt>
                <c:pt idx="113">
                  <c:v>804000</c:v>
                </c:pt>
                <c:pt idx="114">
                  <c:v>780900</c:v>
                </c:pt>
                <c:pt idx="115">
                  <c:v>728400</c:v>
                </c:pt>
                <c:pt idx="116">
                  <c:v>808200</c:v>
                </c:pt>
                <c:pt idx="117">
                  <c:v>713700</c:v>
                </c:pt>
                <c:pt idx="118">
                  <c:v>499500</c:v>
                </c:pt>
                <c:pt idx="119">
                  <c:v>497400</c:v>
                </c:pt>
                <c:pt idx="120">
                  <c:v>419700</c:v>
                </c:pt>
                <c:pt idx="121">
                  <c:v>369300</c:v>
                </c:pt>
                <c:pt idx="122">
                  <c:v>392400</c:v>
                </c:pt>
                <c:pt idx="123">
                  <c:v>400800</c:v>
                </c:pt>
                <c:pt idx="124">
                  <c:v>302100</c:v>
                </c:pt>
                <c:pt idx="125">
                  <c:v>182400</c:v>
                </c:pt>
                <c:pt idx="126">
                  <c:v>135600</c:v>
                </c:pt>
                <c:pt idx="127">
                  <c:v>52800</c:v>
                </c:pt>
                <c:pt idx="128">
                  <c:v>27600</c:v>
                </c:pt>
                <c:pt idx="129">
                  <c:v>9600</c:v>
                </c:pt>
                <c:pt idx="130">
                  <c:v>105000</c:v>
                </c:pt>
                <c:pt idx="131">
                  <c:v>65400</c:v>
                </c:pt>
                <c:pt idx="132">
                  <c:v>115800</c:v>
                </c:pt>
                <c:pt idx="133">
                  <c:v>186000</c:v>
                </c:pt>
                <c:pt idx="134">
                  <c:v>159000</c:v>
                </c:pt>
                <c:pt idx="135">
                  <c:v>121200</c:v>
                </c:pt>
                <c:pt idx="136">
                  <c:v>137400</c:v>
                </c:pt>
                <c:pt idx="137">
                  <c:v>52800</c:v>
                </c:pt>
                <c:pt idx="138">
                  <c:v>-4800</c:v>
                </c:pt>
                <c:pt idx="139">
                  <c:v>-8400</c:v>
                </c:pt>
                <c:pt idx="140">
                  <c:v>-6600</c:v>
                </c:pt>
                <c:pt idx="141">
                  <c:v>-17400</c:v>
                </c:pt>
                <c:pt idx="142">
                  <c:v>-33600</c:v>
                </c:pt>
                <c:pt idx="143">
                  <c:v>-1200</c:v>
                </c:pt>
                <c:pt idx="144">
                  <c:v>-46200</c:v>
                </c:pt>
                <c:pt idx="145">
                  <c:v>-19200</c:v>
                </c:pt>
                <c:pt idx="146">
                  <c:v>-50700</c:v>
                </c:pt>
                <c:pt idx="147">
                  <c:v>-91200</c:v>
                </c:pt>
                <c:pt idx="148">
                  <c:v>-70200</c:v>
                </c:pt>
                <c:pt idx="149">
                  <c:v>-85200</c:v>
                </c:pt>
                <c:pt idx="150">
                  <c:v>-83700</c:v>
                </c:pt>
                <c:pt idx="151">
                  <c:v>-71700</c:v>
                </c:pt>
                <c:pt idx="152">
                  <c:v>-74700</c:v>
                </c:pt>
                <c:pt idx="153">
                  <c:v>-71700</c:v>
                </c:pt>
                <c:pt idx="154">
                  <c:v>-91200</c:v>
                </c:pt>
                <c:pt idx="155">
                  <c:v>-107700</c:v>
                </c:pt>
                <c:pt idx="156">
                  <c:v>-56700</c:v>
                </c:pt>
                <c:pt idx="157">
                  <c:v>-52200</c:v>
                </c:pt>
                <c:pt idx="158">
                  <c:v>-49200</c:v>
                </c:pt>
                <c:pt idx="159">
                  <c:v>-35700</c:v>
                </c:pt>
                <c:pt idx="160">
                  <c:v>-13200</c:v>
                </c:pt>
                <c:pt idx="161">
                  <c:v>-20700</c:v>
                </c:pt>
                <c:pt idx="162">
                  <c:v>-44700</c:v>
                </c:pt>
                <c:pt idx="163">
                  <c:v>-58200</c:v>
                </c:pt>
                <c:pt idx="164">
                  <c:v>-79200</c:v>
                </c:pt>
                <c:pt idx="165">
                  <c:v>-112200</c:v>
                </c:pt>
                <c:pt idx="166">
                  <c:v>-151200</c:v>
                </c:pt>
                <c:pt idx="167">
                  <c:v>-185700</c:v>
                </c:pt>
                <c:pt idx="168">
                  <c:v>-202200</c:v>
                </c:pt>
                <c:pt idx="169">
                  <c:v>-172200</c:v>
                </c:pt>
                <c:pt idx="170">
                  <c:v>-138600</c:v>
                </c:pt>
                <c:pt idx="171">
                  <c:v>-139800</c:v>
                </c:pt>
                <c:pt idx="172">
                  <c:v>-118200</c:v>
                </c:pt>
                <c:pt idx="173">
                  <c:v>-90600</c:v>
                </c:pt>
                <c:pt idx="174">
                  <c:v>-72600</c:v>
                </c:pt>
                <c:pt idx="175">
                  <c:v>-84600</c:v>
                </c:pt>
                <c:pt idx="176">
                  <c:v>-130200</c:v>
                </c:pt>
                <c:pt idx="177">
                  <c:v>-127800</c:v>
                </c:pt>
                <c:pt idx="178">
                  <c:v>-136200</c:v>
                </c:pt>
                <c:pt idx="179">
                  <c:v>-97800</c:v>
                </c:pt>
                <c:pt idx="180">
                  <c:v>-108600</c:v>
                </c:pt>
                <c:pt idx="181">
                  <c:v>-82200</c:v>
                </c:pt>
                <c:pt idx="182">
                  <c:v>-82200</c:v>
                </c:pt>
                <c:pt idx="183">
                  <c:v>-105000</c:v>
                </c:pt>
                <c:pt idx="184">
                  <c:v>-107400</c:v>
                </c:pt>
                <c:pt idx="185">
                  <c:v>-135000</c:v>
                </c:pt>
                <c:pt idx="186">
                  <c:v>-125400</c:v>
                </c:pt>
                <c:pt idx="187">
                  <c:v>-135000</c:v>
                </c:pt>
                <c:pt idx="188">
                  <c:v>-135000</c:v>
                </c:pt>
                <c:pt idx="189">
                  <c:v>-112200</c:v>
                </c:pt>
                <c:pt idx="190">
                  <c:v>-71700</c:v>
                </c:pt>
                <c:pt idx="191">
                  <c:v>-61800</c:v>
                </c:pt>
                <c:pt idx="192">
                  <c:v>-60900</c:v>
                </c:pt>
                <c:pt idx="193">
                  <c:v>-88800</c:v>
                </c:pt>
                <c:pt idx="194">
                  <c:v>-84300</c:v>
                </c:pt>
                <c:pt idx="195">
                  <c:v>-70800</c:v>
                </c:pt>
                <c:pt idx="196">
                  <c:v>-96900</c:v>
                </c:pt>
                <c:pt idx="197">
                  <c:v>-65400</c:v>
                </c:pt>
                <c:pt idx="198">
                  <c:v>-29400</c:v>
                </c:pt>
                <c:pt idx="199">
                  <c:v>-47400</c:v>
                </c:pt>
                <c:pt idx="200">
                  <c:v>-42900</c:v>
                </c:pt>
                <c:pt idx="201">
                  <c:v>-31200</c:v>
                </c:pt>
                <c:pt idx="202">
                  <c:v>-49200</c:v>
                </c:pt>
                <c:pt idx="203">
                  <c:v>-49200</c:v>
                </c:pt>
                <c:pt idx="204">
                  <c:v>-61800</c:v>
                </c:pt>
                <c:pt idx="205">
                  <c:v>-60000</c:v>
                </c:pt>
                <c:pt idx="206">
                  <c:v>-40200</c:v>
                </c:pt>
                <c:pt idx="207">
                  <c:v>-31200</c:v>
                </c:pt>
                <c:pt idx="208">
                  <c:v>-36600</c:v>
                </c:pt>
                <c:pt idx="209">
                  <c:v>-33900</c:v>
                </c:pt>
                <c:pt idx="210">
                  <c:v>-51300</c:v>
                </c:pt>
                <c:pt idx="211">
                  <c:v>-60900</c:v>
                </c:pt>
                <c:pt idx="212">
                  <c:v>-55500</c:v>
                </c:pt>
                <c:pt idx="213">
                  <c:v>-54300</c:v>
                </c:pt>
                <c:pt idx="214">
                  <c:v>-59100</c:v>
                </c:pt>
                <c:pt idx="215">
                  <c:v>-41700</c:v>
                </c:pt>
                <c:pt idx="216">
                  <c:v>-67500</c:v>
                </c:pt>
                <c:pt idx="217">
                  <c:v>-68700</c:v>
                </c:pt>
                <c:pt idx="218">
                  <c:v>-77700</c:v>
                </c:pt>
                <c:pt idx="219">
                  <c:v>-69300</c:v>
                </c:pt>
                <c:pt idx="220">
                  <c:v>-74100</c:v>
                </c:pt>
                <c:pt idx="221">
                  <c:v>-67500</c:v>
                </c:pt>
                <c:pt idx="222">
                  <c:v>-60900</c:v>
                </c:pt>
                <c:pt idx="223">
                  <c:v>-50100</c:v>
                </c:pt>
                <c:pt idx="224">
                  <c:v>-47100</c:v>
                </c:pt>
                <c:pt idx="225">
                  <c:v>-48900</c:v>
                </c:pt>
                <c:pt idx="226">
                  <c:v>-47100</c:v>
                </c:pt>
                <c:pt idx="227">
                  <c:v>-51300</c:v>
                </c:pt>
                <c:pt idx="228">
                  <c:v>-77100</c:v>
                </c:pt>
                <c:pt idx="229">
                  <c:v>-77100</c:v>
                </c:pt>
                <c:pt idx="230">
                  <c:v>-85200</c:v>
                </c:pt>
                <c:pt idx="231">
                  <c:v>-78600</c:v>
                </c:pt>
                <c:pt idx="232">
                  <c:v>-64800</c:v>
                </c:pt>
                <c:pt idx="233">
                  <c:v>-64800</c:v>
                </c:pt>
                <c:pt idx="234">
                  <c:v>-62700</c:v>
                </c:pt>
                <c:pt idx="235">
                  <c:v>-65100</c:v>
                </c:pt>
                <c:pt idx="236">
                  <c:v>-63300</c:v>
                </c:pt>
                <c:pt idx="237">
                  <c:v>-58800</c:v>
                </c:pt>
                <c:pt idx="238">
                  <c:v>-55200</c:v>
                </c:pt>
                <c:pt idx="239">
                  <c:v>-56700</c:v>
                </c:pt>
                <c:pt idx="240">
                  <c:v>-61200</c:v>
                </c:pt>
                <c:pt idx="241">
                  <c:v>-62700</c:v>
                </c:pt>
                <c:pt idx="242">
                  <c:v>-60600</c:v>
                </c:pt>
                <c:pt idx="243">
                  <c:v>-64800</c:v>
                </c:pt>
                <c:pt idx="244">
                  <c:v>-72300</c:v>
                </c:pt>
                <c:pt idx="245">
                  <c:v>-73500</c:v>
                </c:pt>
                <c:pt idx="246">
                  <c:v>-72900</c:v>
                </c:pt>
                <c:pt idx="247">
                  <c:v>-64200</c:v>
                </c:pt>
                <c:pt idx="248">
                  <c:v>-72000</c:v>
                </c:pt>
                <c:pt idx="249">
                  <c:v>-69600</c:v>
                </c:pt>
                <c:pt idx="250">
                  <c:v>-68100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2-4F6F-977B-A609DFF07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185592"/>
        <c:axId val="576378976"/>
      </c:lineChart>
      <c:catAx>
        <c:axId val="515185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78976"/>
        <c:crosses val="autoZero"/>
        <c:auto val="1"/>
        <c:lblAlgn val="ctr"/>
        <c:lblOffset val="100"/>
        <c:noMultiLvlLbl val="0"/>
      </c:catAx>
      <c:valAx>
        <c:axId val="5763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8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Hedge'!$K$2:$K$14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A-453C-9790-639FE210094E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-58666.304347826124</c:v>
                </c:pt>
                <c:pt idx="4">
                  <c:v>-103309.16149068324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A-453C-9790-639FE210094E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-9680.1136363637052</c:v>
                </c:pt>
                <c:pt idx="6">
                  <c:v>12279.545454545332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A-453C-9790-639FE210094E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-46561.309523809505</c:v>
                </c:pt>
                <c:pt idx="8">
                  <c:v>-128404.78778467909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0A-453C-9790-639FE210094E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-70835.227272727279</c:v>
                </c:pt>
                <c:pt idx="10">
                  <c:v>-113198.32251082249</c:v>
                </c:pt>
                <c:pt idx="11">
                  <c:v>-168788.09523809518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0A-453C-9790-639FE210094E}"/>
            </c:ext>
          </c:extLst>
        </c:ser>
        <c:ser>
          <c:idx val="6"/>
          <c:order val="5"/>
          <c:tx>
            <c:strRef>
              <c:f>'Current Hedge'!$P$1</c:f>
              <c:strCache>
                <c:ptCount val="1"/>
                <c:pt idx="0">
                  <c:v>Mar17'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-53713.636363636324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31E-49CC-AF6D-B0D57D88950A}"/>
            </c:ext>
          </c:extLst>
        </c:ser>
        <c:ser>
          <c:idx val="5"/>
          <c:order val="6"/>
          <c:tx>
            <c:strRef>
              <c:f>'Current Hedge'!$Q$1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  <c:pt idx="3">
                  <c:v>-169305.47101449268</c:v>
                </c:pt>
                <c:pt idx="4">
                  <c:v>-213948.32815734978</c:v>
                </c:pt>
                <c:pt idx="5">
                  <c:v>-223628.44179371349</c:v>
                </c:pt>
                <c:pt idx="6">
                  <c:v>-201668.78270280446</c:v>
                </c:pt>
                <c:pt idx="7">
                  <c:v>-248230.09222661395</c:v>
                </c:pt>
                <c:pt idx="8">
                  <c:v>-330073.57048748352</c:v>
                </c:pt>
                <c:pt idx="9">
                  <c:v>-400908.79776021081</c:v>
                </c:pt>
                <c:pt idx="10">
                  <c:v>-443271.89299830602</c:v>
                </c:pt>
                <c:pt idx="11">
                  <c:v>-498861.66572557873</c:v>
                </c:pt>
                <c:pt idx="12">
                  <c:v>-552575.30208921502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0A-453C-9790-639FE210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9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9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9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tabSelected="1" zoomScale="9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109537</xdr:colOff>
      <xdr:row>10</xdr:row>
      <xdr:rowOff>461962</xdr:rowOff>
    </xdr:from>
    <xdr:to>
      <xdr:col>6</xdr:col>
      <xdr:colOff>547687</xdr:colOff>
      <xdr:row>775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6051DC-42BB-4A73-8631-87ADB3BD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14287</xdr:colOff>
      <xdr:row>4</xdr:row>
      <xdr:rowOff>119062</xdr:rowOff>
    </xdr:from>
    <xdr:to>
      <xdr:col>13</xdr:col>
      <xdr:colOff>357187</xdr:colOff>
      <xdr:row>767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0551F3-4973-4552-8948-E52900577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223837</xdr:colOff>
      <xdr:row>5</xdr:row>
      <xdr:rowOff>109537</xdr:rowOff>
    </xdr:from>
    <xdr:to>
      <xdr:col>12</xdr:col>
      <xdr:colOff>461962</xdr:colOff>
      <xdr:row>768</xdr:row>
      <xdr:rowOff>166687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1D833C-72DF-4B78-87AC-02E0202B4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15</xdr:row>
      <xdr:rowOff>409576</xdr:rowOff>
    </xdr:from>
    <xdr:to>
      <xdr:col>16</xdr:col>
      <xdr:colOff>323850</xdr:colOff>
      <xdr:row>24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S1059"/>
  <sheetViews>
    <sheetView workbookViewId="0">
      <selection activeCell="B9" sqref="B9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4.1406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9.28515625" bestFit="1" customWidth="1"/>
    <col min="11" max="11" width="12.85546875" style="9" customWidth="1"/>
  </cols>
  <sheetData>
    <row r="1" spans="1:19" ht="30" customHeight="1" x14ac:dyDescent="0.25">
      <c r="B1" s="4" t="s">
        <v>28</v>
      </c>
    </row>
    <row r="2" spans="1:19" x14ac:dyDescent="0.25">
      <c r="A2" t="s">
        <v>7</v>
      </c>
      <c r="B2" t="s">
        <v>17</v>
      </c>
      <c r="D2" s="1"/>
      <c r="E2" s="10" t="s">
        <v>61</v>
      </c>
      <c r="F2" s="10">
        <v>12</v>
      </c>
    </row>
    <row r="3" spans="1:19" ht="15.75" thickBot="1" x14ac:dyDescent="0.3">
      <c r="A3" t="s">
        <v>23</v>
      </c>
      <c r="B3" t="s">
        <v>31</v>
      </c>
      <c r="C3" s="1"/>
      <c r="D3" s="1"/>
      <c r="F3" s="1"/>
    </row>
    <row r="4" spans="1:19" x14ac:dyDescent="0.25">
      <c r="A4" s="1" t="s">
        <v>0</v>
      </c>
      <c r="B4" s="2">
        <f>VLOOKUP(B3,DHP,2,FALSE)</f>
        <v>185</v>
      </c>
      <c r="C4" s="1" t="s">
        <v>28</v>
      </c>
      <c r="D4" s="1"/>
      <c r="F4" s="1"/>
    </row>
    <row r="5" spans="1:19" ht="15.75" thickBot="1" x14ac:dyDescent="0.3">
      <c r="A5" t="s">
        <v>1</v>
      </c>
      <c r="B5" s="3">
        <f>VLOOKUP(B2,Outright,2,FALSE)</f>
        <v>444</v>
      </c>
      <c r="C5" s="1" t="s">
        <v>28</v>
      </c>
      <c r="D5" s="1"/>
      <c r="F5" s="1"/>
    </row>
    <row r="6" spans="1:19" x14ac:dyDescent="0.25">
      <c r="A6" t="s">
        <v>2</v>
      </c>
      <c r="C6" s="1"/>
      <c r="D6" s="1"/>
      <c r="F6" s="1"/>
    </row>
    <row r="7" spans="1:19" ht="15.75" thickBot="1" x14ac:dyDescent="0.3">
      <c r="A7" s="1" t="s">
        <v>4</v>
      </c>
      <c r="B7">
        <v>0</v>
      </c>
      <c r="C7" s="1"/>
      <c r="D7" s="1"/>
      <c r="F7" s="1"/>
    </row>
    <row r="8" spans="1:19" x14ac:dyDescent="0.25">
      <c r="A8" s="1" t="s">
        <v>3</v>
      </c>
      <c r="B8" s="2">
        <v>35</v>
      </c>
      <c r="C8" s="1" t="s">
        <v>28</v>
      </c>
      <c r="D8" s="1"/>
      <c r="F8" s="1"/>
    </row>
    <row r="9" spans="1:19" ht="15.75" thickBot="1" x14ac:dyDescent="0.3">
      <c r="A9" s="1" t="s">
        <v>27</v>
      </c>
      <c r="B9" s="3">
        <v>288</v>
      </c>
      <c r="C9" s="1" t="s">
        <v>28</v>
      </c>
      <c r="D9" s="1"/>
      <c r="F9" s="1"/>
    </row>
    <row r="10" spans="1:19" x14ac:dyDescent="0.25">
      <c r="A10" s="1" t="s">
        <v>8</v>
      </c>
      <c r="B10">
        <v>0.3</v>
      </c>
      <c r="C10" s="1" t="s">
        <v>42</v>
      </c>
      <c r="D10" s="1"/>
      <c r="F10" s="1"/>
    </row>
    <row r="11" spans="1:19" s="15" customFormat="1" ht="75" x14ac:dyDescent="0.25">
      <c r="A11" s="14"/>
      <c r="C11" s="14"/>
      <c r="D11" s="14"/>
      <c r="E11" s="16"/>
      <c r="F11" s="14"/>
      <c r="G11" s="15">
        <v>1047</v>
      </c>
      <c r="H11" s="15" t="s">
        <v>6</v>
      </c>
      <c r="I11" s="15" t="str">
        <f xml:space="preserve"> dhpName</f>
        <v>Corn DHP</v>
      </c>
      <c r="J11" s="15" t="str">
        <f xml:space="preserve"> CONCATENATE("Long ", underlyingName," Futures")</f>
        <v>Long Corn Futures</v>
      </c>
      <c r="K11" s="17" t="str">
        <f xml:space="preserve"> CONCATENATE("Short ", underlyingName," Futures")</f>
        <v>Short Corn Futures</v>
      </c>
      <c r="L11" s="15" t="s">
        <v>5</v>
      </c>
      <c r="N11" s="15" t="str">
        <f>CONCATENATE("Constant ",dhpName)</f>
        <v>Constant Corn DHP</v>
      </c>
      <c r="O11" s="15" t="str">
        <f>CONCATENATE("Sell off ",dhpName)</f>
        <v>Sell off Corn DHP</v>
      </c>
      <c r="P11" s="15" t="str">
        <f xml:space="preserve"> CONCATENATE("Sell off Long ", underlyingName," Futures")</f>
        <v>Sell off Long Corn Futures</v>
      </c>
      <c r="Q11" s="17" t="str">
        <f xml:space="preserve"> CONCATENATE("Sell off Short ", underlyingName," Futures")</f>
        <v>Sell off Short Corn Futures</v>
      </c>
      <c r="R11" s="15" t="s">
        <v>62</v>
      </c>
      <c r="S11" s="15" t="s">
        <v>63</v>
      </c>
    </row>
    <row r="12" spans="1:19" hidden="1" x14ac:dyDescent="0.25">
      <c r="A12" s="1"/>
      <c r="C12" s="1"/>
      <c r="D12" s="1">
        <v>41276</v>
      </c>
      <c r="E12">
        <v>22699</v>
      </c>
      <c r="F12" s="1">
        <v>41276</v>
      </c>
      <c r="G12">
        <v>1900</v>
      </c>
      <c r="H12" s="1">
        <f>D12</f>
        <v>41276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  <c r="M12">
        <v>0</v>
      </c>
    </row>
    <row r="13" spans="1:19" hidden="1" x14ac:dyDescent="0.25">
      <c r="A13" s="1"/>
      <c r="C13" s="1"/>
      <c r="D13" s="1">
        <v>41277</v>
      </c>
      <c r="E13">
        <v>22660</v>
      </c>
      <c r="F13" s="1">
        <v>41277</v>
      </c>
      <c r="G13">
        <v>1950</v>
      </c>
      <c r="H13" s="1">
        <f t="shared" ref="H13:H76" si="0">D13</f>
        <v>41277</v>
      </c>
      <c r="I13">
        <f>IF(AND(MyRowHidden(ROW())=FALSE,MyRowHidden(ROW()-1)=TRUE),0,(E13-E12)*unitsOfDHp+I12)</f>
        <v>-1365</v>
      </c>
      <c r="J13">
        <f>IF(AND(MyRowHidden(ROW())=FALSE,MyRowHidden(ROW()-1)=TRUE),0,(G13-G12)*unitsOfExo+J12)</f>
        <v>14400</v>
      </c>
      <c r="K13" s="9">
        <f t="shared" ref="K13:K76" si="1">-(J13-J12)+K12</f>
        <v>-14400</v>
      </c>
      <c r="L13">
        <f t="shared" ref="L13:L76" si="2">I13+J13</f>
        <v>13035</v>
      </c>
      <c r="M13">
        <f>IF(AND(MyRowHidden(ROW())=FALSE,MyRowHidden(ROW()-1)=TRUE),0,IF(MONTH(H13)&lt;&gt;MONTH(H12),M12+1,M12))</f>
        <v>0</v>
      </c>
      <c r="N13">
        <f t="shared" ref="N13:N76" si="3">I13</f>
        <v>-1365</v>
      </c>
      <c r="O13">
        <f>IF(AND(MyRowHidden(ROW())=FALSE,MyRowHidden(ROW()-1)=TRUE),0,IF(M13&lt;totalMonths,(totalMonths-M13)/totalMonths *(I13-I12)+O12,0))</f>
        <v>-1365</v>
      </c>
      <c r="P13">
        <f>IF(AND(MyRowHidden(ROW())=FALSE,MyRowHidden(ROW()-1)=TRUE),0,IF(M13&lt;totalMonths,(totalMonths-M13)/totalMonths *(J13-J12)+P12,0))</f>
        <v>14400</v>
      </c>
      <c r="Q13">
        <f>IF(AND(MyRowHidden(ROW())=FALSE,MyRowHidden(ROW()-1)=TRUE),0,IF(M13&lt;totalMonths,(totalMonths-M13)/totalMonths *(K13-K12)+Q12,0))</f>
        <v>-14400</v>
      </c>
      <c r="R13">
        <f t="shared" ref="R13:R76" si="4">N13+P13</f>
        <v>13035</v>
      </c>
      <c r="S13">
        <f t="shared" ref="S13:S76" si="5">O13+P13</f>
        <v>13035</v>
      </c>
    </row>
    <row r="14" spans="1:19" hidden="1" x14ac:dyDescent="0.25">
      <c r="A14" s="1"/>
      <c r="C14" s="1"/>
      <c r="D14" s="1">
        <v>41278</v>
      </c>
      <c r="E14">
        <v>22498</v>
      </c>
      <c r="F14" s="1">
        <v>41278</v>
      </c>
      <c r="G14">
        <v>1575</v>
      </c>
      <c r="H14" s="1">
        <f t="shared" si="0"/>
        <v>41278</v>
      </c>
      <c r="I14">
        <f>IF(AND(MyRowHidden(ROW())=FALSE,MyRowHidden(ROW()-1)=TRUE),0,(E14-E13)*unitsOfDHp+I13)</f>
        <v>-7035</v>
      </c>
      <c r="J14">
        <f>IF(AND(MyRowHidden(ROW())=FALSE,MyRowHidden(ROW()-1)=TRUE),0,(G14-G13)*unitsOfExo+J13)</f>
        <v>-93600</v>
      </c>
      <c r="K14" s="9">
        <f t="shared" si="1"/>
        <v>93600</v>
      </c>
      <c r="L14">
        <f t="shared" si="2"/>
        <v>-100635</v>
      </c>
      <c r="M14">
        <f>IF(AND(MyRowHidden(ROW())=FALSE,MyRowHidden(ROW()-1)=TRUE),0,IF(MONTH(H14)&lt;&gt;MONTH(H13),M13+1,M13))</f>
        <v>0</v>
      </c>
      <c r="N14">
        <f t="shared" si="3"/>
        <v>-7035</v>
      </c>
      <c r="O14">
        <f>IF(AND(MyRowHidden(ROW())=FALSE,MyRowHidden(ROW()-1)=TRUE),0,IF(M14&lt;totalMonths,(totalMonths-M14)/totalMonths *(I14-I13)+O13,0))</f>
        <v>-7035</v>
      </c>
      <c r="P14">
        <f>IF(AND(MyRowHidden(ROW())=FALSE,MyRowHidden(ROW()-1)=TRUE),0,IF(M14&lt;totalMonths,(totalMonths-M14)/totalMonths *(J14-J13)+P13,0))</f>
        <v>-93600</v>
      </c>
      <c r="Q14">
        <f>IF(AND(MyRowHidden(ROW())=FALSE,MyRowHidden(ROW()-1)=TRUE),0,IF(M14&lt;totalMonths,(totalMonths-M14)/totalMonths *(K14-K13)+Q13,0))</f>
        <v>93600</v>
      </c>
      <c r="R14">
        <f t="shared" si="4"/>
        <v>-100635</v>
      </c>
      <c r="S14">
        <f t="shared" si="5"/>
        <v>-100635</v>
      </c>
    </row>
    <row r="15" spans="1:19" hidden="1" x14ac:dyDescent="0.25">
      <c r="A15" s="6">
        <f>unitsOfDHp*B15</f>
        <v>770000</v>
      </c>
      <c r="B15" s="5">
        <v>22000</v>
      </c>
      <c r="C15" s="1"/>
      <c r="D15" s="1">
        <v>41281</v>
      </c>
      <c r="E15">
        <v>22518</v>
      </c>
      <c r="F15" s="1">
        <v>41281</v>
      </c>
      <c r="G15">
        <v>1662.5</v>
      </c>
      <c r="H15" s="1">
        <f t="shared" si="0"/>
        <v>41281</v>
      </c>
      <c r="I15">
        <f>IF(AND(MyRowHidden(ROW())=FALSE,MyRowHidden(ROW()-1)=TRUE),0,(E15-E14)*unitsOfDHp+I14)</f>
        <v>-6335</v>
      </c>
      <c r="J15">
        <f>IF(AND(MyRowHidden(ROW())=FALSE,MyRowHidden(ROW()-1)=TRUE),0,(G15-G14)*unitsOfExo+J14)</f>
        <v>-68400</v>
      </c>
      <c r="K15" s="9">
        <f t="shared" si="1"/>
        <v>68400</v>
      </c>
      <c r="L15">
        <f t="shared" si="2"/>
        <v>-74735</v>
      </c>
      <c r="M15">
        <f>IF(AND(MyRowHidden(ROW())=FALSE,MyRowHidden(ROW()-1)=TRUE),0,IF(MONTH(H15)&lt;&gt;MONTH(H14),M14+1,M14))</f>
        <v>0</v>
      </c>
      <c r="N15">
        <f t="shared" si="3"/>
        <v>-6335</v>
      </c>
      <c r="O15">
        <f>IF(AND(MyRowHidden(ROW())=FALSE,MyRowHidden(ROW()-1)=TRUE),0,IF(M15&lt;totalMonths,(totalMonths-M15)/totalMonths *(I15-I14)+O14,0))</f>
        <v>-6335</v>
      </c>
      <c r="P15">
        <f>IF(AND(MyRowHidden(ROW())=FALSE,MyRowHidden(ROW()-1)=TRUE),0,IF(M15&lt;totalMonths,(totalMonths-M15)/totalMonths *(J15-J14)+P14,0))</f>
        <v>-68400</v>
      </c>
      <c r="Q15">
        <f>IF(AND(MyRowHidden(ROW())=FALSE,MyRowHidden(ROW()-1)=TRUE),0,IF(M15&lt;totalMonths,(totalMonths-M15)/totalMonths *(K15-K14)+Q14,0))</f>
        <v>68400</v>
      </c>
      <c r="R15">
        <f t="shared" si="4"/>
        <v>-74735</v>
      </c>
      <c r="S15">
        <f t="shared" si="5"/>
        <v>-74735</v>
      </c>
    </row>
    <row r="16" spans="1:19" hidden="1" x14ac:dyDescent="0.25">
      <c r="A16" s="1"/>
      <c r="C16" s="1"/>
      <c r="D16" s="1">
        <v>41282</v>
      </c>
      <c r="E16">
        <v>22497</v>
      </c>
      <c r="F16" s="1">
        <v>41282</v>
      </c>
      <c r="G16">
        <v>2000</v>
      </c>
      <c r="H16" s="1">
        <f t="shared" si="0"/>
        <v>41282</v>
      </c>
      <c r="I16">
        <f>IF(AND(MyRowHidden(ROW())=FALSE,MyRowHidden(ROW()-1)=TRUE),0,(E16-E15)*unitsOfDHp+I15)</f>
        <v>-7070</v>
      </c>
      <c r="J16">
        <f>IF(AND(MyRowHidden(ROW())=FALSE,MyRowHidden(ROW()-1)=TRUE),0,(G16-G15)*unitsOfExo+J15)</f>
        <v>28800</v>
      </c>
      <c r="K16" s="9">
        <f t="shared" si="1"/>
        <v>-28800</v>
      </c>
      <c r="L16">
        <f t="shared" si="2"/>
        <v>21730</v>
      </c>
      <c r="M16">
        <f>IF(AND(MyRowHidden(ROW())=FALSE,MyRowHidden(ROW()-1)=TRUE),0,IF(MONTH(H16)&lt;&gt;MONTH(H15),M15+1,M15))</f>
        <v>0</v>
      </c>
      <c r="N16">
        <f t="shared" si="3"/>
        <v>-7070</v>
      </c>
      <c r="O16">
        <f>IF(AND(MyRowHidden(ROW())=FALSE,MyRowHidden(ROW()-1)=TRUE),0,IF(M16&lt;totalMonths,(totalMonths-M16)/totalMonths *(I16-I15)+O15,0))</f>
        <v>-7070</v>
      </c>
      <c r="P16">
        <f>IF(AND(MyRowHidden(ROW())=FALSE,MyRowHidden(ROW()-1)=TRUE),0,IF(M16&lt;totalMonths,(totalMonths-M16)/totalMonths *(J16-J15)+P15,0))</f>
        <v>28800</v>
      </c>
      <c r="Q16">
        <f>IF(AND(MyRowHidden(ROW())=FALSE,MyRowHidden(ROW()-1)=TRUE),0,IF(M16&lt;totalMonths,(totalMonths-M16)/totalMonths *(K16-K15)+Q15,0))</f>
        <v>-28800</v>
      </c>
      <c r="R16">
        <f t="shared" si="4"/>
        <v>21730</v>
      </c>
      <c r="S16">
        <f t="shared" si="5"/>
        <v>21730</v>
      </c>
    </row>
    <row r="17" spans="1:19" hidden="1" x14ac:dyDescent="0.25">
      <c r="A17" s="6">
        <f>unitsOfExo*B17</f>
        <v>950400</v>
      </c>
      <c r="B17">
        <f>825*4</f>
        <v>3300</v>
      </c>
      <c r="C17" s="1"/>
      <c r="D17" s="1">
        <v>41283</v>
      </c>
      <c r="E17">
        <v>22461</v>
      </c>
      <c r="F17" s="1">
        <v>41283</v>
      </c>
      <c r="G17">
        <v>2125</v>
      </c>
      <c r="H17" s="1">
        <f t="shared" si="0"/>
        <v>41283</v>
      </c>
      <c r="I17">
        <f>IF(AND(MyRowHidden(ROW())=FALSE,MyRowHidden(ROW()-1)=TRUE),0,(E17-E16)*unitsOfDHp+I16)</f>
        <v>-8330</v>
      </c>
      <c r="J17">
        <f>IF(AND(MyRowHidden(ROW())=FALSE,MyRowHidden(ROW()-1)=TRUE),0,(G17-G16)*unitsOfExo+J16)</f>
        <v>64800</v>
      </c>
      <c r="K17" s="9">
        <f t="shared" si="1"/>
        <v>-64800</v>
      </c>
      <c r="L17">
        <f t="shared" si="2"/>
        <v>56470</v>
      </c>
      <c r="M17">
        <f>IF(AND(MyRowHidden(ROW())=FALSE,MyRowHidden(ROW()-1)=TRUE),0,IF(MONTH(H17)&lt;&gt;MONTH(H16),M16+1,M16))</f>
        <v>0</v>
      </c>
      <c r="N17">
        <f t="shared" si="3"/>
        <v>-8330</v>
      </c>
      <c r="O17">
        <f>IF(AND(MyRowHidden(ROW())=FALSE,MyRowHidden(ROW()-1)=TRUE),0,IF(M17&lt;totalMonths,(totalMonths-M17)/totalMonths *(I17-I16)+O16,0))</f>
        <v>-8330</v>
      </c>
      <c r="P17">
        <f>IF(AND(MyRowHidden(ROW())=FALSE,MyRowHidden(ROW()-1)=TRUE),0,IF(M17&lt;totalMonths,(totalMonths-M17)/totalMonths *(J17-J16)+P16,0))</f>
        <v>64800</v>
      </c>
      <c r="Q17">
        <f>IF(AND(MyRowHidden(ROW())=FALSE,MyRowHidden(ROW()-1)=TRUE),0,IF(M17&lt;totalMonths,(totalMonths-M17)/totalMonths *(K17-K16)+Q16,0))</f>
        <v>-64800</v>
      </c>
      <c r="R17">
        <f t="shared" si="4"/>
        <v>56470</v>
      </c>
      <c r="S17">
        <f t="shared" si="5"/>
        <v>56470</v>
      </c>
    </row>
    <row r="18" spans="1:19" hidden="1" x14ac:dyDescent="0.25">
      <c r="A18" s="6">
        <f>100*B18</f>
        <v>75000</v>
      </c>
      <c r="B18">
        <v>750</v>
      </c>
      <c r="C18" s="1"/>
      <c r="D18" s="1">
        <v>41284</v>
      </c>
      <c r="E18">
        <v>22435</v>
      </c>
      <c r="F18" s="1">
        <v>41284</v>
      </c>
      <c r="G18">
        <v>2312.5</v>
      </c>
      <c r="H18" s="1">
        <f t="shared" si="0"/>
        <v>41284</v>
      </c>
      <c r="I18">
        <f>IF(AND(MyRowHidden(ROW())=FALSE,MyRowHidden(ROW()-1)=TRUE),0,(E18-E17)*unitsOfDHp+I17)</f>
        <v>-9240</v>
      </c>
      <c r="J18">
        <f>IF(AND(MyRowHidden(ROW())=FALSE,MyRowHidden(ROW()-1)=TRUE),0,(G18-G17)*unitsOfExo+J17)</f>
        <v>118800</v>
      </c>
      <c r="K18" s="9">
        <f t="shared" si="1"/>
        <v>-118800</v>
      </c>
      <c r="L18">
        <f t="shared" si="2"/>
        <v>109560</v>
      </c>
      <c r="M18">
        <f>IF(AND(MyRowHidden(ROW())=FALSE,MyRowHidden(ROW()-1)=TRUE),0,IF(MONTH(H18)&lt;&gt;MONTH(H17),M17+1,M17))</f>
        <v>0</v>
      </c>
      <c r="N18">
        <f t="shared" si="3"/>
        <v>-9240</v>
      </c>
      <c r="O18">
        <f>IF(AND(MyRowHidden(ROW())=FALSE,MyRowHidden(ROW()-1)=TRUE),0,IF(M18&lt;totalMonths,(totalMonths-M18)/totalMonths *(I18-I17)+O17,0))</f>
        <v>-9240</v>
      </c>
      <c r="P18">
        <f>IF(AND(MyRowHidden(ROW())=FALSE,MyRowHidden(ROW()-1)=TRUE),0,IF(M18&lt;totalMonths,(totalMonths-M18)/totalMonths *(J18-J17)+P17,0))</f>
        <v>118800</v>
      </c>
      <c r="Q18">
        <f>IF(AND(MyRowHidden(ROW())=FALSE,MyRowHidden(ROW()-1)=TRUE),0,IF(M18&lt;totalMonths,(totalMonths-M18)/totalMonths *(K18-K17)+Q17,0))</f>
        <v>-118800</v>
      </c>
      <c r="R18">
        <f t="shared" si="4"/>
        <v>109560</v>
      </c>
      <c r="S18">
        <f t="shared" si="5"/>
        <v>109560</v>
      </c>
    </row>
    <row r="19" spans="1:19" hidden="1" x14ac:dyDescent="0.25">
      <c r="A19" s="7">
        <f>A17-A18</f>
        <v>875400</v>
      </c>
      <c r="C19" s="1"/>
      <c r="D19" s="1">
        <v>41285</v>
      </c>
      <c r="E19">
        <v>21665</v>
      </c>
      <c r="F19" s="1">
        <v>41285</v>
      </c>
      <c r="G19">
        <v>3162.5</v>
      </c>
      <c r="H19" s="1">
        <f t="shared" si="0"/>
        <v>41285</v>
      </c>
      <c r="I19">
        <f>IF(AND(MyRowHidden(ROW())=FALSE,MyRowHidden(ROW()-1)=TRUE),0,(E19-E18)*unitsOfDHp+I18)</f>
        <v>-36190</v>
      </c>
      <c r="J19">
        <f>IF(AND(MyRowHidden(ROW())=FALSE,MyRowHidden(ROW()-1)=TRUE),0,(G19-G18)*unitsOfExo+J18)</f>
        <v>363600</v>
      </c>
      <c r="K19" s="9">
        <f t="shared" si="1"/>
        <v>-363600</v>
      </c>
      <c r="L19">
        <f t="shared" si="2"/>
        <v>327410</v>
      </c>
      <c r="M19">
        <f>IF(AND(MyRowHidden(ROW())=FALSE,MyRowHidden(ROW()-1)=TRUE),0,IF(MONTH(H19)&lt;&gt;MONTH(H18),M18+1,M18))</f>
        <v>0</v>
      </c>
      <c r="N19">
        <f t="shared" si="3"/>
        <v>-36190</v>
      </c>
      <c r="O19">
        <f>IF(AND(MyRowHidden(ROW())=FALSE,MyRowHidden(ROW()-1)=TRUE),0,IF(M19&lt;totalMonths,(totalMonths-M19)/totalMonths *(I19-I18)+O18,0))</f>
        <v>-36190</v>
      </c>
      <c r="P19">
        <f>IF(AND(MyRowHidden(ROW())=FALSE,MyRowHidden(ROW()-1)=TRUE),0,IF(M19&lt;totalMonths,(totalMonths-M19)/totalMonths *(J19-J18)+P18,0))</f>
        <v>363600</v>
      </c>
      <c r="Q19">
        <f>IF(AND(MyRowHidden(ROW())=FALSE,MyRowHidden(ROW()-1)=TRUE),0,IF(M19&lt;totalMonths,(totalMonths-M19)/totalMonths *(K19-K18)+Q18,0))</f>
        <v>-363600</v>
      </c>
      <c r="R19">
        <f t="shared" si="4"/>
        <v>327410</v>
      </c>
      <c r="S19">
        <f t="shared" si="5"/>
        <v>327410</v>
      </c>
    </row>
    <row r="20" spans="1:19" hidden="1" x14ac:dyDescent="0.25">
      <c r="A20" s="1"/>
      <c r="C20" s="1"/>
      <c r="D20" s="1">
        <v>41288</v>
      </c>
      <c r="E20">
        <v>21711</v>
      </c>
      <c r="F20" s="1">
        <v>41288</v>
      </c>
      <c r="G20">
        <v>3550</v>
      </c>
      <c r="H20" s="1">
        <f t="shared" si="0"/>
        <v>41288</v>
      </c>
      <c r="I20">
        <f>IF(AND(MyRowHidden(ROW())=FALSE,MyRowHidden(ROW()-1)=TRUE),0,(E20-E19)*unitsOfDHp+I19)</f>
        <v>-34580</v>
      </c>
      <c r="J20">
        <f>IF(AND(MyRowHidden(ROW())=FALSE,MyRowHidden(ROW()-1)=TRUE),0,(G20-G19)*unitsOfExo+J19)</f>
        <v>475200</v>
      </c>
      <c r="K20" s="9">
        <f t="shared" si="1"/>
        <v>-475200</v>
      </c>
      <c r="L20">
        <f t="shared" si="2"/>
        <v>440620</v>
      </c>
      <c r="M20">
        <f>IF(AND(MyRowHidden(ROW())=FALSE,MyRowHidden(ROW()-1)=TRUE),0,IF(MONTH(H20)&lt;&gt;MONTH(H19),M19+1,M19))</f>
        <v>0</v>
      </c>
      <c r="N20">
        <f t="shared" si="3"/>
        <v>-34580</v>
      </c>
      <c r="O20">
        <f>IF(AND(MyRowHidden(ROW())=FALSE,MyRowHidden(ROW()-1)=TRUE),0,IF(M20&lt;totalMonths,(totalMonths-M20)/totalMonths *(I20-I19)+O19,0))</f>
        <v>-34580</v>
      </c>
      <c r="P20">
        <f>IF(AND(MyRowHidden(ROW())=FALSE,MyRowHidden(ROW()-1)=TRUE),0,IF(M20&lt;totalMonths,(totalMonths-M20)/totalMonths *(J20-J19)+P19,0))</f>
        <v>475200</v>
      </c>
      <c r="Q20">
        <f>IF(AND(MyRowHidden(ROW())=FALSE,MyRowHidden(ROW()-1)=TRUE),0,IF(M20&lt;totalMonths,(totalMonths-M20)/totalMonths *(K20-K19)+Q19,0))</f>
        <v>-475200</v>
      </c>
      <c r="R20">
        <f t="shared" si="4"/>
        <v>440620</v>
      </c>
      <c r="S20">
        <f t="shared" si="5"/>
        <v>440620</v>
      </c>
    </row>
    <row r="21" spans="1:19" hidden="1" x14ac:dyDescent="0.25">
      <c r="A21" s="1"/>
      <c r="C21" s="1"/>
      <c r="D21" s="1">
        <v>41289</v>
      </c>
      <c r="E21">
        <v>21727</v>
      </c>
      <c r="F21" s="1">
        <v>41289</v>
      </c>
      <c r="G21">
        <v>4000</v>
      </c>
      <c r="H21" s="1">
        <f t="shared" si="0"/>
        <v>41289</v>
      </c>
      <c r="I21">
        <f>IF(AND(MyRowHidden(ROW())=FALSE,MyRowHidden(ROW()-1)=TRUE),0,(E21-E20)*unitsOfDHp+I20)</f>
        <v>-34020</v>
      </c>
      <c r="J21">
        <f>IF(AND(MyRowHidden(ROW())=FALSE,MyRowHidden(ROW()-1)=TRUE),0,(G21-G20)*unitsOfExo+J20)</f>
        <v>604800</v>
      </c>
      <c r="K21" s="9">
        <f t="shared" si="1"/>
        <v>-604800</v>
      </c>
      <c r="L21">
        <f t="shared" si="2"/>
        <v>570780</v>
      </c>
      <c r="M21">
        <f>IF(AND(MyRowHidden(ROW())=FALSE,MyRowHidden(ROW()-1)=TRUE),0,IF(MONTH(H21)&lt;&gt;MONTH(H20),M20+1,M20))</f>
        <v>0</v>
      </c>
      <c r="N21">
        <f t="shared" si="3"/>
        <v>-34020</v>
      </c>
      <c r="O21">
        <f>IF(AND(MyRowHidden(ROW())=FALSE,MyRowHidden(ROW()-1)=TRUE),0,IF(M21&lt;totalMonths,(totalMonths-M21)/totalMonths *(I21-I20)+O20,0))</f>
        <v>-34020</v>
      </c>
      <c r="P21">
        <f>IF(AND(MyRowHidden(ROW())=FALSE,MyRowHidden(ROW()-1)=TRUE),0,IF(M21&lt;totalMonths,(totalMonths-M21)/totalMonths *(J21-J20)+P20,0))</f>
        <v>604800</v>
      </c>
      <c r="Q21">
        <f>IF(AND(MyRowHidden(ROW())=FALSE,MyRowHidden(ROW()-1)=TRUE),0,IF(M21&lt;totalMonths,(totalMonths-M21)/totalMonths *(K21-K20)+Q20,0))</f>
        <v>-604800</v>
      </c>
      <c r="R21">
        <f t="shared" si="4"/>
        <v>570780</v>
      </c>
      <c r="S21">
        <f t="shared" si="5"/>
        <v>570780</v>
      </c>
    </row>
    <row r="22" spans="1:19" hidden="1" x14ac:dyDescent="0.25">
      <c r="A22" s="8">
        <f>1500000/A19</f>
        <v>1.7135023989033584</v>
      </c>
      <c r="C22" s="1"/>
      <c r="D22" s="1">
        <v>41290</v>
      </c>
      <c r="E22">
        <v>21807</v>
      </c>
      <c r="F22" s="1">
        <v>41290</v>
      </c>
      <c r="G22">
        <v>3875</v>
      </c>
      <c r="H22" s="1">
        <f t="shared" si="0"/>
        <v>41290</v>
      </c>
      <c r="I22">
        <f>IF(AND(MyRowHidden(ROW())=FALSE,MyRowHidden(ROW()-1)=TRUE),0,(E22-E21)*unitsOfDHp+I21)</f>
        <v>-31220</v>
      </c>
      <c r="J22">
        <f>IF(AND(MyRowHidden(ROW())=FALSE,MyRowHidden(ROW()-1)=TRUE),0,(G22-G21)*unitsOfExo+J21)</f>
        <v>568800</v>
      </c>
      <c r="K22" s="9">
        <f t="shared" si="1"/>
        <v>-568800</v>
      </c>
      <c r="L22">
        <f t="shared" si="2"/>
        <v>537580</v>
      </c>
      <c r="M22">
        <f>IF(AND(MyRowHidden(ROW())=FALSE,MyRowHidden(ROW()-1)=TRUE),0,IF(MONTH(H22)&lt;&gt;MONTH(H21),M21+1,M21))</f>
        <v>0</v>
      </c>
      <c r="N22">
        <f t="shared" si="3"/>
        <v>-31220</v>
      </c>
      <c r="O22">
        <f>IF(AND(MyRowHidden(ROW())=FALSE,MyRowHidden(ROW()-1)=TRUE),0,IF(M22&lt;totalMonths,(totalMonths-M22)/totalMonths *(I22-I21)+O21,0))</f>
        <v>-31220</v>
      </c>
      <c r="P22">
        <f>IF(AND(MyRowHidden(ROW())=FALSE,MyRowHidden(ROW()-1)=TRUE),0,IF(M22&lt;totalMonths,(totalMonths-M22)/totalMonths *(J22-J21)+P21,0))</f>
        <v>568800</v>
      </c>
      <c r="Q22">
        <f>IF(AND(MyRowHidden(ROW())=FALSE,MyRowHidden(ROW()-1)=TRUE),0,IF(M22&lt;totalMonths,(totalMonths-M22)/totalMonths *(K22-K21)+Q21,0))</f>
        <v>-568800</v>
      </c>
      <c r="R22">
        <f t="shared" si="4"/>
        <v>537580</v>
      </c>
      <c r="S22">
        <f t="shared" si="5"/>
        <v>537580</v>
      </c>
    </row>
    <row r="23" spans="1:19" hidden="1" x14ac:dyDescent="0.25">
      <c r="A23" s="8">
        <f>A19*A22</f>
        <v>1500000</v>
      </c>
      <c r="C23" s="1"/>
      <c r="D23" s="1">
        <v>41291</v>
      </c>
      <c r="E23">
        <v>21889</v>
      </c>
      <c r="F23" s="1">
        <v>41291</v>
      </c>
      <c r="G23">
        <v>3787.5</v>
      </c>
      <c r="H23" s="1">
        <f t="shared" si="0"/>
        <v>41291</v>
      </c>
      <c r="I23">
        <f>IF(AND(MyRowHidden(ROW())=FALSE,MyRowHidden(ROW()-1)=TRUE),0,(E23-E22)*unitsOfDHp+I22)</f>
        <v>-28350</v>
      </c>
      <c r="J23">
        <f>IF(AND(MyRowHidden(ROW())=FALSE,MyRowHidden(ROW()-1)=TRUE),0,(G23-G22)*unitsOfExo+J22)</f>
        <v>543600</v>
      </c>
      <c r="K23" s="9">
        <f t="shared" si="1"/>
        <v>-543600</v>
      </c>
      <c r="L23">
        <f t="shared" si="2"/>
        <v>515250</v>
      </c>
      <c r="M23">
        <f>IF(AND(MyRowHidden(ROW())=FALSE,MyRowHidden(ROW()-1)=TRUE),0,IF(MONTH(H23)&lt;&gt;MONTH(H22),M22+1,M22))</f>
        <v>0</v>
      </c>
      <c r="N23">
        <f t="shared" si="3"/>
        <v>-28350</v>
      </c>
      <c r="O23">
        <f>IF(AND(MyRowHidden(ROW())=FALSE,MyRowHidden(ROW()-1)=TRUE),0,IF(M23&lt;totalMonths,(totalMonths-M23)/totalMonths *(I23-I22)+O22,0))</f>
        <v>-28350</v>
      </c>
      <c r="P23">
        <f>IF(AND(MyRowHidden(ROW())=FALSE,MyRowHidden(ROW()-1)=TRUE),0,IF(M23&lt;totalMonths,(totalMonths-M23)/totalMonths *(J23-J22)+P22,0))</f>
        <v>543600</v>
      </c>
      <c r="Q23">
        <f>IF(AND(MyRowHidden(ROW())=FALSE,MyRowHidden(ROW()-1)=TRUE),0,IF(M23&lt;totalMonths,(totalMonths-M23)/totalMonths *(K23-K22)+Q22,0))</f>
        <v>-543600</v>
      </c>
      <c r="R23">
        <f t="shared" si="4"/>
        <v>515250</v>
      </c>
      <c r="S23">
        <f t="shared" si="5"/>
        <v>515250</v>
      </c>
    </row>
    <row r="24" spans="1:19" hidden="1" x14ac:dyDescent="0.25">
      <c r="A24" s="1"/>
      <c r="C24" s="1"/>
      <c r="D24" s="1">
        <v>41292</v>
      </c>
      <c r="E24">
        <v>21972</v>
      </c>
      <c r="F24" s="1">
        <v>41292</v>
      </c>
      <c r="G24">
        <v>3837.5</v>
      </c>
      <c r="H24" s="1">
        <f t="shared" si="0"/>
        <v>41292</v>
      </c>
      <c r="I24">
        <f>IF(AND(MyRowHidden(ROW())=FALSE,MyRowHidden(ROW()-1)=TRUE),0,(E24-E23)*unitsOfDHp+I23)</f>
        <v>-25445</v>
      </c>
      <c r="J24">
        <f>IF(AND(MyRowHidden(ROW())=FALSE,MyRowHidden(ROW()-1)=TRUE),0,(G24-G23)*unitsOfExo+J23)</f>
        <v>558000</v>
      </c>
      <c r="K24" s="9">
        <f t="shared" si="1"/>
        <v>-558000</v>
      </c>
      <c r="L24">
        <f t="shared" si="2"/>
        <v>532555</v>
      </c>
      <c r="M24">
        <f>IF(AND(MyRowHidden(ROW())=FALSE,MyRowHidden(ROW()-1)=TRUE),0,IF(MONTH(H24)&lt;&gt;MONTH(H23),M23+1,M23))</f>
        <v>0</v>
      </c>
      <c r="N24">
        <f t="shared" si="3"/>
        <v>-25445</v>
      </c>
      <c r="O24">
        <f>IF(AND(MyRowHidden(ROW())=FALSE,MyRowHidden(ROW()-1)=TRUE),0,IF(M24&lt;totalMonths,(totalMonths-M24)/totalMonths *(I24-I23)+O23,0))</f>
        <v>-25445</v>
      </c>
      <c r="P24">
        <f>IF(AND(MyRowHidden(ROW())=FALSE,MyRowHidden(ROW()-1)=TRUE),0,IF(M24&lt;totalMonths,(totalMonths-M24)/totalMonths *(J24-J23)+P23,0))</f>
        <v>558000</v>
      </c>
      <c r="Q24">
        <f>IF(AND(MyRowHidden(ROW())=FALSE,MyRowHidden(ROW()-1)=TRUE),0,IF(M24&lt;totalMonths,(totalMonths-M24)/totalMonths *(K24-K23)+Q23,0))</f>
        <v>-558000</v>
      </c>
      <c r="R24">
        <f t="shared" si="4"/>
        <v>532555</v>
      </c>
      <c r="S24">
        <f t="shared" si="5"/>
        <v>532555</v>
      </c>
    </row>
    <row r="25" spans="1:19" hidden="1" x14ac:dyDescent="0.25">
      <c r="A25" s="1"/>
      <c r="C25" s="1"/>
      <c r="D25" s="1">
        <v>41296</v>
      </c>
      <c r="E25">
        <v>22004</v>
      </c>
      <c r="F25" s="1">
        <v>41296</v>
      </c>
      <c r="G25">
        <v>3937.5</v>
      </c>
      <c r="H25" s="1">
        <f t="shared" si="0"/>
        <v>41296</v>
      </c>
      <c r="I25">
        <f>IF(AND(MyRowHidden(ROW())=FALSE,MyRowHidden(ROW()-1)=TRUE),0,(E25-E24)*unitsOfDHp+I24)</f>
        <v>-24325</v>
      </c>
      <c r="J25">
        <f>IF(AND(MyRowHidden(ROW())=FALSE,MyRowHidden(ROW()-1)=TRUE),0,(G25-G24)*unitsOfExo+J24)</f>
        <v>586800</v>
      </c>
      <c r="K25" s="9">
        <f t="shared" si="1"/>
        <v>-586800</v>
      </c>
      <c r="L25">
        <f t="shared" si="2"/>
        <v>562475</v>
      </c>
      <c r="M25">
        <f>IF(AND(MyRowHidden(ROW())=FALSE,MyRowHidden(ROW()-1)=TRUE),0,IF(MONTH(H25)&lt;&gt;MONTH(H24),M24+1,M24))</f>
        <v>0</v>
      </c>
      <c r="N25">
        <f t="shared" si="3"/>
        <v>-24325</v>
      </c>
      <c r="O25">
        <f>IF(AND(MyRowHidden(ROW())=FALSE,MyRowHidden(ROW()-1)=TRUE),0,IF(M25&lt;totalMonths,(totalMonths-M25)/totalMonths *(I25-I24)+O24,0))</f>
        <v>-24325</v>
      </c>
      <c r="P25">
        <f>IF(AND(MyRowHidden(ROW())=FALSE,MyRowHidden(ROW()-1)=TRUE),0,IF(M25&lt;totalMonths,(totalMonths-M25)/totalMonths *(J25-J24)+P24,0))</f>
        <v>586800</v>
      </c>
      <c r="Q25">
        <f>IF(AND(MyRowHidden(ROW())=FALSE,MyRowHidden(ROW()-1)=TRUE),0,IF(M25&lt;totalMonths,(totalMonths-M25)/totalMonths *(K25-K24)+Q24,0))</f>
        <v>-586800</v>
      </c>
      <c r="R25">
        <f t="shared" si="4"/>
        <v>562475</v>
      </c>
      <c r="S25">
        <f t="shared" si="5"/>
        <v>562475</v>
      </c>
    </row>
    <row r="26" spans="1:19" hidden="1" x14ac:dyDescent="0.25">
      <c r="A26" s="1"/>
      <c r="C26" s="1"/>
      <c r="D26" s="1">
        <v>41297</v>
      </c>
      <c r="E26">
        <v>22214</v>
      </c>
      <c r="F26" s="1">
        <v>41297</v>
      </c>
      <c r="G26">
        <v>3587.5</v>
      </c>
      <c r="H26" s="1">
        <f t="shared" si="0"/>
        <v>41297</v>
      </c>
      <c r="I26">
        <f>IF(AND(MyRowHidden(ROW())=FALSE,MyRowHidden(ROW()-1)=TRUE),0,(E26-E25)*unitsOfDHp+I25)</f>
        <v>-16975</v>
      </c>
      <c r="J26">
        <f>IF(AND(MyRowHidden(ROW())=FALSE,MyRowHidden(ROW()-1)=TRUE),0,(G26-G25)*unitsOfExo+J25)</f>
        <v>486000</v>
      </c>
      <c r="K26" s="9">
        <f t="shared" si="1"/>
        <v>-486000</v>
      </c>
      <c r="L26">
        <f t="shared" si="2"/>
        <v>469025</v>
      </c>
      <c r="M26">
        <f>IF(AND(MyRowHidden(ROW())=FALSE,MyRowHidden(ROW()-1)=TRUE),0,IF(MONTH(H26)&lt;&gt;MONTH(H25),M25+1,M25))</f>
        <v>0</v>
      </c>
      <c r="N26">
        <f t="shared" si="3"/>
        <v>-16975</v>
      </c>
      <c r="O26">
        <f>IF(AND(MyRowHidden(ROW())=FALSE,MyRowHidden(ROW()-1)=TRUE),0,IF(M26&lt;totalMonths,(totalMonths-M26)/totalMonths *(I26-I25)+O25,0))</f>
        <v>-16975</v>
      </c>
      <c r="P26">
        <f>IF(AND(MyRowHidden(ROW())=FALSE,MyRowHidden(ROW()-1)=TRUE),0,IF(M26&lt;totalMonths,(totalMonths-M26)/totalMonths *(J26-J25)+P25,0))</f>
        <v>486000</v>
      </c>
      <c r="Q26">
        <f>IF(AND(MyRowHidden(ROW())=FALSE,MyRowHidden(ROW()-1)=TRUE),0,IF(M26&lt;totalMonths,(totalMonths-M26)/totalMonths *(K26-K25)+Q25,0))</f>
        <v>-486000</v>
      </c>
      <c r="R26">
        <f t="shared" si="4"/>
        <v>469025</v>
      </c>
      <c r="S26">
        <f t="shared" si="5"/>
        <v>469025</v>
      </c>
    </row>
    <row r="27" spans="1:19" hidden="1" x14ac:dyDescent="0.25">
      <c r="A27" s="1"/>
      <c r="C27" s="1"/>
      <c r="D27" s="1">
        <v>41298</v>
      </c>
      <c r="E27">
        <v>22276</v>
      </c>
      <c r="F27" s="1">
        <v>41298</v>
      </c>
      <c r="G27">
        <v>3487.5</v>
      </c>
      <c r="H27" s="1">
        <f t="shared" si="0"/>
        <v>41298</v>
      </c>
      <c r="I27">
        <f>IF(AND(MyRowHidden(ROW())=FALSE,MyRowHidden(ROW()-1)=TRUE),0,(E27-E26)*unitsOfDHp+I26)</f>
        <v>-14805</v>
      </c>
      <c r="J27">
        <f>IF(AND(MyRowHidden(ROW())=FALSE,MyRowHidden(ROW()-1)=TRUE),0,(G27-G26)*unitsOfExo+J26)</f>
        <v>457200</v>
      </c>
      <c r="K27" s="9">
        <f t="shared" si="1"/>
        <v>-457200</v>
      </c>
      <c r="L27">
        <f t="shared" si="2"/>
        <v>442395</v>
      </c>
      <c r="M27">
        <f>IF(AND(MyRowHidden(ROW())=FALSE,MyRowHidden(ROW()-1)=TRUE),0,IF(MONTH(H27)&lt;&gt;MONTH(H26),M26+1,M26))</f>
        <v>0</v>
      </c>
      <c r="N27">
        <f t="shared" si="3"/>
        <v>-14805</v>
      </c>
      <c r="O27">
        <f>IF(AND(MyRowHidden(ROW())=FALSE,MyRowHidden(ROW()-1)=TRUE),0,IF(M27&lt;totalMonths,(totalMonths-M27)/totalMonths *(I27-I26)+O26,0))</f>
        <v>-14805</v>
      </c>
      <c r="P27">
        <f>IF(AND(MyRowHidden(ROW())=FALSE,MyRowHidden(ROW()-1)=TRUE),0,IF(M27&lt;totalMonths,(totalMonths-M27)/totalMonths *(J27-J26)+P26,0))</f>
        <v>457200</v>
      </c>
      <c r="Q27">
        <f>IF(AND(MyRowHidden(ROW())=FALSE,MyRowHidden(ROW()-1)=TRUE),0,IF(M27&lt;totalMonths,(totalMonths-M27)/totalMonths *(K27-K26)+Q26,0))</f>
        <v>-457200</v>
      </c>
      <c r="R27">
        <f t="shared" si="4"/>
        <v>442395</v>
      </c>
      <c r="S27">
        <f t="shared" si="5"/>
        <v>442395</v>
      </c>
    </row>
    <row r="28" spans="1:19" hidden="1" x14ac:dyDescent="0.25">
      <c r="A28" s="1"/>
      <c r="C28" s="1"/>
      <c r="D28" s="1">
        <v>41299</v>
      </c>
      <c r="E28">
        <v>22203</v>
      </c>
      <c r="F28" s="1">
        <v>41299</v>
      </c>
      <c r="G28">
        <v>3450</v>
      </c>
      <c r="H28" s="1">
        <f t="shared" si="0"/>
        <v>41299</v>
      </c>
      <c r="I28">
        <f>IF(AND(MyRowHidden(ROW())=FALSE,MyRowHidden(ROW()-1)=TRUE),0,(E28-E27)*unitsOfDHp+I27)</f>
        <v>-17360</v>
      </c>
      <c r="J28">
        <f>IF(AND(MyRowHidden(ROW())=FALSE,MyRowHidden(ROW()-1)=TRUE),0,(G28-G27)*unitsOfExo+J27)</f>
        <v>446400</v>
      </c>
      <c r="K28" s="9">
        <f t="shared" si="1"/>
        <v>-446400</v>
      </c>
      <c r="L28">
        <f t="shared" si="2"/>
        <v>429040</v>
      </c>
      <c r="M28">
        <f>IF(AND(MyRowHidden(ROW())=FALSE,MyRowHidden(ROW()-1)=TRUE),0,IF(MONTH(H28)&lt;&gt;MONTH(H27),M27+1,M27))</f>
        <v>0</v>
      </c>
      <c r="N28">
        <f t="shared" si="3"/>
        <v>-17360</v>
      </c>
      <c r="O28">
        <f>IF(AND(MyRowHidden(ROW())=FALSE,MyRowHidden(ROW()-1)=TRUE),0,IF(M28&lt;totalMonths,(totalMonths-M28)/totalMonths *(I28-I27)+O27,0))</f>
        <v>-17360</v>
      </c>
      <c r="P28">
        <f>IF(AND(MyRowHidden(ROW())=FALSE,MyRowHidden(ROW()-1)=TRUE),0,IF(M28&lt;totalMonths,(totalMonths-M28)/totalMonths *(J28-J27)+P27,0))</f>
        <v>446400</v>
      </c>
      <c r="Q28">
        <f>IF(AND(MyRowHidden(ROW())=FALSE,MyRowHidden(ROW()-1)=TRUE),0,IF(M28&lt;totalMonths,(totalMonths-M28)/totalMonths *(K28-K27)+Q27,0))</f>
        <v>-446400</v>
      </c>
      <c r="R28">
        <f t="shared" si="4"/>
        <v>429040</v>
      </c>
      <c r="S28">
        <f t="shared" si="5"/>
        <v>429040</v>
      </c>
    </row>
    <row r="29" spans="1:19" hidden="1" x14ac:dyDescent="0.25">
      <c r="A29" s="1"/>
      <c r="C29" s="1"/>
      <c r="D29" s="1">
        <v>41302</v>
      </c>
      <c r="E29">
        <v>22380</v>
      </c>
      <c r="F29" s="1">
        <v>41302</v>
      </c>
      <c r="G29">
        <v>3600</v>
      </c>
      <c r="H29" s="1">
        <f t="shared" si="0"/>
        <v>41302</v>
      </c>
      <c r="I29">
        <f>IF(AND(MyRowHidden(ROW())=FALSE,MyRowHidden(ROW()-1)=TRUE),0,(E29-E28)*unitsOfDHp+I28)</f>
        <v>-11165</v>
      </c>
      <c r="J29">
        <f>IF(AND(MyRowHidden(ROW())=FALSE,MyRowHidden(ROW()-1)=TRUE),0,(G29-G28)*unitsOfExo+J28)</f>
        <v>489600</v>
      </c>
      <c r="K29" s="9">
        <f t="shared" si="1"/>
        <v>-489600</v>
      </c>
      <c r="L29">
        <f t="shared" si="2"/>
        <v>478435</v>
      </c>
      <c r="M29">
        <f>IF(AND(MyRowHidden(ROW())=FALSE,MyRowHidden(ROW()-1)=TRUE),0,IF(MONTH(H29)&lt;&gt;MONTH(H28),M28+1,M28))</f>
        <v>0</v>
      </c>
      <c r="N29">
        <f t="shared" si="3"/>
        <v>-11165</v>
      </c>
      <c r="O29">
        <f>IF(AND(MyRowHidden(ROW())=FALSE,MyRowHidden(ROW()-1)=TRUE),0,IF(M29&lt;totalMonths,(totalMonths-M29)/totalMonths *(I29-I28)+O28,0))</f>
        <v>-11165</v>
      </c>
      <c r="P29">
        <f>IF(AND(MyRowHidden(ROW())=FALSE,MyRowHidden(ROW()-1)=TRUE),0,IF(M29&lt;totalMonths,(totalMonths-M29)/totalMonths *(J29-J28)+P28,0))</f>
        <v>489600</v>
      </c>
      <c r="Q29">
        <f>IF(AND(MyRowHidden(ROW())=FALSE,MyRowHidden(ROW()-1)=TRUE),0,IF(M29&lt;totalMonths,(totalMonths-M29)/totalMonths *(K29-K28)+Q28,0))</f>
        <v>-489600</v>
      </c>
      <c r="R29">
        <f t="shared" si="4"/>
        <v>478435</v>
      </c>
      <c r="S29">
        <f t="shared" si="5"/>
        <v>478435</v>
      </c>
    </row>
    <row r="30" spans="1:19" hidden="1" x14ac:dyDescent="0.25">
      <c r="A30" s="1"/>
      <c r="C30" s="1"/>
      <c r="D30" s="1">
        <v>41303</v>
      </c>
      <c r="E30">
        <v>22566</v>
      </c>
      <c r="F30" s="1">
        <v>41303</v>
      </c>
      <c r="G30">
        <v>3962.5</v>
      </c>
      <c r="H30" s="1">
        <f t="shared" si="0"/>
        <v>41303</v>
      </c>
      <c r="I30">
        <f>IF(AND(MyRowHidden(ROW())=FALSE,MyRowHidden(ROW()-1)=TRUE),0,(E30-E29)*unitsOfDHp+I29)</f>
        <v>-4655</v>
      </c>
      <c r="J30">
        <f>IF(AND(MyRowHidden(ROW())=FALSE,MyRowHidden(ROW()-1)=TRUE),0,(G30-G29)*unitsOfExo+J29)</f>
        <v>594000</v>
      </c>
      <c r="K30" s="9">
        <f t="shared" si="1"/>
        <v>-594000</v>
      </c>
      <c r="L30">
        <f t="shared" si="2"/>
        <v>589345</v>
      </c>
      <c r="M30">
        <f>IF(AND(MyRowHidden(ROW())=FALSE,MyRowHidden(ROW()-1)=TRUE),0,IF(MONTH(H30)&lt;&gt;MONTH(H29),M29+1,M29))</f>
        <v>0</v>
      </c>
      <c r="N30">
        <f t="shared" si="3"/>
        <v>-4655</v>
      </c>
      <c r="O30">
        <f>IF(AND(MyRowHidden(ROW())=FALSE,MyRowHidden(ROW()-1)=TRUE),0,IF(M30&lt;totalMonths,(totalMonths-M30)/totalMonths *(I30-I29)+O29,0))</f>
        <v>-4655</v>
      </c>
      <c r="P30">
        <f>IF(AND(MyRowHidden(ROW())=FALSE,MyRowHidden(ROW()-1)=TRUE),0,IF(M30&lt;totalMonths,(totalMonths-M30)/totalMonths *(J30-J29)+P29,0))</f>
        <v>594000</v>
      </c>
      <c r="Q30">
        <f>IF(AND(MyRowHidden(ROW())=FALSE,MyRowHidden(ROW()-1)=TRUE),0,IF(M30&lt;totalMonths,(totalMonths-M30)/totalMonths *(K30-K29)+Q29,0))</f>
        <v>-594000</v>
      </c>
      <c r="R30">
        <f t="shared" si="4"/>
        <v>589345</v>
      </c>
      <c r="S30">
        <f t="shared" si="5"/>
        <v>589345</v>
      </c>
    </row>
    <row r="31" spans="1:19" hidden="1" x14ac:dyDescent="0.25">
      <c r="A31" s="1"/>
      <c r="C31" s="1"/>
      <c r="D31" s="1">
        <v>41304</v>
      </c>
      <c r="E31">
        <v>22775</v>
      </c>
      <c r="F31" s="1">
        <v>41304</v>
      </c>
      <c r="G31">
        <v>4437.5</v>
      </c>
      <c r="H31" s="1">
        <f t="shared" si="0"/>
        <v>41304</v>
      </c>
      <c r="I31">
        <f>IF(AND(MyRowHidden(ROW())=FALSE,MyRowHidden(ROW()-1)=TRUE),0,(E31-E30)*unitsOfDHp+I30)</f>
        <v>2660</v>
      </c>
      <c r="J31">
        <f>IF(AND(MyRowHidden(ROW())=FALSE,MyRowHidden(ROW()-1)=TRUE),0,(G31-G30)*unitsOfExo+J30)</f>
        <v>730800</v>
      </c>
      <c r="K31" s="9">
        <f t="shared" si="1"/>
        <v>-730800</v>
      </c>
      <c r="L31">
        <f t="shared" si="2"/>
        <v>733460</v>
      </c>
      <c r="M31">
        <f>IF(AND(MyRowHidden(ROW())=FALSE,MyRowHidden(ROW()-1)=TRUE),0,IF(MONTH(H31)&lt;&gt;MONTH(H30),M30+1,M30))</f>
        <v>0</v>
      </c>
      <c r="N31">
        <f t="shared" si="3"/>
        <v>2660</v>
      </c>
      <c r="O31">
        <f>IF(AND(MyRowHidden(ROW())=FALSE,MyRowHidden(ROW()-1)=TRUE),0,IF(M31&lt;totalMonths,(totalMonths-M31)/totalMonths *(I31-I30)+O30,0))</f>
        <v>2660</v>
      </c>
      <c r="P31">
        <f>IF(AND(MyRowHidden(ROW())=FALSE,MyRowHidden(ROW()-1)=TRUE),0,IF(M31&lt;totalMonths,(totalMonths-M31)/totalMonths *(J31-J30)+P30,0))</f>
        <v>730800</v>
      </c>
      <c r="Q31">
        <f>IF(AND(MyRowHidden(ROW())=FALSE,MyRowHidden(ROW()-1)=TRUE),0,IF(M31&lt;totalMonths,(totalMonths-M31)/totalMonths *(K31-K30)+Q30,0))</f>
        <v>-730800</v>
      </c>
      <c r="R31">
        <f t="shared" si="4"/>
        <v>733460</v>
      </c>
      <c r="S31">
        <f t="shared" si="5"/>
        <v>733460</v>
      </c>
    </row>
    <row r="32" spans="1:19" hidden="1" x14ac:dyDescent="0.25">
      <c r="A32" s="1"/>
      <c r="C32" s="1"/>
      <c r="D32" s="1">
        <v>41305</v>
      </c>
      <c r="E32">
        <v>22761</v>
      </c>
      <c r="F32" s="1">
        <v>41305</v>
      </c>
      <c r="G32">
        <v>4400</v>
      </c>
      <c r="H32" s="1">
        <f t="shared" si="0"/>
        <v>41305</v>
      </c>
      <c r="I32">
        <f>IF(AND(MyRowHidden(ROW())=FALSE,MyRowHidden(ROW()-1)=TRUE),0,(E32-E31)*unitsOfDHp+I31)</f>
        <v>2170</v>
      </c>
      <c r="J32">
        <f>IF(AND(MyRowHidden(ROW())=FALSE,MyRowHidden(ROW()-1)=TRUE),0,(G32-G31)*unitsOfExo+J31)</f>
        <v>720000</v>
      </c>
      <c r="K32" s="9">
        <f t="shared" si="1"/>
        <v>-720000</v>
      </c>
      <c r="L32">
        <f t="shared" si="2"/>
        <v>722170</v>
      </c>
      <c r="M32">
        <f>IF(AND(MyRowHidden(ROW())=FALSE,MyRowHidden(ROW()-1)=TRUE),0,IF(MONTH(H32)&lt;&gt;MONTH(H31),M31+1,M31))</f>
        <v>0</v>
      </c>
      <c r="N32">
        <f t="shared" si="3"/>
        <v>2170</v>
      </c>
      <c r="O32">
        <f>IF(AND(MyRowHidden(ROW())=FALSE,MyRowHidden(ROW()-1)=TRUE),0,IF(M32&lt;totalMonths,(totalMonths-M32)/totalMonths *(I32-I31)+O31,0))</f>
        <v>2170</v>
      </c>
      <c r="P32">
        <f>IF(AND(MyRowHidden(ROW())=FALSE,MyRowHidden(ROW()-1)=TRUE),0,IF(M32&lt;totalMonths,(totalMonths-M32)/totalMonths *(J32-J31)+P31,0))</f>
        <v>720000</v>
      </c>
      <c r="Q32">
        <f>IF(AND(MyRowHidden(ROW())=FALSE,MyRowHidden(ROW()-1)=TRUE),0,IF(M32&lt;totalMonths,(totalMonths-M32)/totalMonths *(K32-K31)+Q31,0))</f>
        <v>-720000</v>
      </c>
      <c r="R32">
        <f t="shared" si="4"/>
        <v>722170</v>
      </c>
      <c r="S32">
        <f t="shared" si="5"/>
        <v>722170</v>
      </c>
    </row>
    <row r="33" spans="1:19" hidden="1" x14ac:dyDescent="0.25">
      <c r="A33" s="1"/>
      <c r="C33" s="1"/>
      <c r="D33" s="1">
        <v>41306</v>
      </c>
      <c r="E33">
        <v>22854</v>
      </c>
      <c r="F33" s="1">
        <v>41306</v>
      </c>
      <c r="G33">
        <v>4325</v>
      </c>
      <c r="H33" s="1">
        <f t="shared" si="0"/>
        <v>41306</v>
      </c>
      <c r="I33">
        <f>IF(AND(MyRowHidden(ROW())=FALSE,MyRowHidden(ROW()-1)=TRUE),0,(E33-E32)*unitsOfDHp+I32)</f>
        <v>5425</v>
      </c>
      <c r="J33">
        <f>IF(AND(MyRowHidden(ROW())=FALSE,MyRowHidden(ROW()-1)=TRUE),0,(G33-G32)*unitsOfExo+J32)</f>
        <v>698400</v>
      </c>
      <c r="K33" s="9">
        <f t="shared" si="1"/>
        <v>-698400</v>
      </c>
      <c r="L33">
        <f t="shared" si="2"/>
        <v>703825</v>
      </c>
      <c r="M33">
        <f>IF(AND(MyRowHidden(ROW())=FALSE,MyRowHidden(ROW()-1)=TRUE),0,IF(MONTH(H33)&lt;&gt;MONTH(H32),M32+1,M32))</f>
        <v>1</v>
      </c>
      <c r="N33">
        <f t="shared" si="3"/>
        <v>5425</v>
      </c>
      <c r="O33">
        <f>IF(AND(MyRowHidden(ROW())=FALSE,MyRowHidden(ROW()-1)=TRUE),0,IF(M33&lt;totalMonths,(totalMonths-M33)/totalMonths *(I33-I32)+O32,0))</f>
        <v>5153.75</v>
      </c>
      <c r="P33">
        <f>IF(AND(MyRowHidden(ROW())=FALSE,MyRowHidden(ROW()-1)=TRUE),0,IF(M33&lt;totalMonths,(totalMonths-M33)/totalMonths *(J33-J32)+P32,0))</f>
        <v>700200</v>
      </c>
      <c r="Q33">
        <f>IF(AND(MyRowHidden(ROW())=FALSE,MyRowHidden(ROW()-1)=TRUE),0,IF(M33&lt;totalMonths,(totalMonths-M33)/totalMonths *(K33-K32)+Q32,0))</f>
        <v>-700200</v>
      </c>
      <c r="R33">
        <f t="shared" si="4"/>
        <v>705625</v>
      </c>
      <c r="S33">
        <f t="shared" si="5"/>
        <v>705353.75</v>
      </c>
    </row>
    <row r="34" spans="1:19" hidden="1" x14ac:dyDescent="0.25">
      <c r="A34" s="1"/>
      <c r="C34" s="1"/>
      <c r="D34" s="1">
        <v>41309</v>
      </c>
      <c r="E34">
        <v>23062</v>
      </c>
      <c r="F34" s="1">
        <v>41309</v>
      </c>
      <c r="G34">
        <v>4087.5</v>
      </c>
      <c r="H34" s="1">
        <f t="shared" si="0"/>
        <v>41309</v>
      </c>
      <c r="I34">
        <f>IF(AND(MyRowHidden(ROW())=FALSE,MyRowHidden(ROW()-1)=TRUE),0,(E34-E33)*unitsOfDHp+I33)</f>
        <v>12705</v>
      </c>
      <c r="J34">
        <f>IF(AND(MyRowHidden(ROW())=FALSE,MyRowHidden(ROW()-1)=TRUE),0,(G34-G33)*unitsOfExo+J33)</f>
        <v>630000</v>
      </c>
      <c r="K34" s="9">
        <f t="shared" si="1"/>
        <v>-630000</v>
      </c>
      <c r="L34">
        <f t="shared" si="2"/>
        <v>642705</v>
      </c>
      <c r="M34">
        <f>IF(AND(MyRowHidden(ROW())=FALSE,MyRowHidden(ROW()-1)=TRUE),0,IF(MONTH(H34)&lt;&gt;MONTH(H33),M33+1,M33))</f>
        <v>1</v>
      </c>
      <c r="N34">
        <f t="shared" si="3"/>
        <v>12705</v>
      </c>
      <c r="O34">
        <f>IF(AND(MyRowHidden(ROW())=FALSE,MyRowHidden(ROW()-1)=TRUE),0,IF(M34&lt;totalMonths,(totalMonths-M34)/totalMonths *(I34-I33)+O33,0))</f>
        <v>11827.083333333332</v>
      </c>
      <c r="P34">
        <f>IF(AND(MyRowHidden(ROW())=FALSE,MyRowHidden(ROW()-1)=TRUE),0,IF(M34&lt;totalMonths,(totalMonths-M34)/totalMonths *(J34-J33)+P33,0))</f>
        <v>637500</v>
      </c>
      <c r="Q34">
        <f>IF(AND(MyRowHidden(ROW())=FALSE,MyRowHidden(ROW()-1)=TRUE),0,IF(M34&lt;totalMonths,(totalMonths-M34)/totalMonths *(K34-K33)+Q33,0))</f>
        <v>-637500</v>
      </c>
      <c r="R34">
        <f t="shared" si="4"/>
        <v>650205</v>
      </c>
      <c r="S34">
        <f t="shared" si="5"/>
        <v>649327.08333333337</v>
      </c>
    </row>
    <row r="35" spans="1:19" hidden="1" x14ac:dyDescent="0.25">
      <c r="A35" s="1"/>
      <c r="C35" s="1"/>
      <c r="D35" s="1">
        <v>41310</v>
      </c>
      <c r="E35">
        <v>23099</v>
      </c>
      <c r="F35" s="1">
        <v>41310</v>
      </c>
      <c r="G35">
        <v>3775</v>
      </c>
      <c r="H35" s="1">
        <f t="shared" si="0"/>
        <v>41310</v>
      </c>
      <c r="I35">
        <f>IF(AND(MyRowHidden(ROW())=FALSE,MyRowHidden(ROW()-1)=TRUE),0,(E35-E34)*unitsOfDHp+I34)</f>
        <v>14000</v>
      </c>
      <c r="J35">
        <f>IF(AND(MyRowHidden(ROW())=FALSE,MyRowHidden(ROW()-1)=TRUE),0,(G35-G34)*unitsOfExo+J34)</f>
        <v>540000</v>
      </c>
      <c r="K35" s="9">
        <f t="shared" si="1"/>
        <v>-540000</v>
      </c>
      <c r="L35">
        <f t="shared" si="2"/>
        <v>554000</v>
      </c>
      <c r="M35">
        <f>IF(AND(MyRowHidden(ROW())=FALSE,MyRowHidden(ROW()-1)=TRUE),0,IF(MONTH(H35)&lt;&gt;MONTH(H34),M34+1,M34))</f>
        <v>1</v>
      </c>
      <c r="N35">
        <f t="shared" si="3"/>
        <v>14000</v>
      </c>
      <c r="O35">
        <f>IF(AND(MyRowHidden(ROW())=FALSE,MyRowHidden(ROW()-1)=TRUE),0,IF(M35&lt;totalMonths,(totalMonths-M35)/totalMonths *(I35-I34)+O34,0))</f>
        <v>13014.166666666666</v>
      </c>
      <c r="P35">
        <f>IF(AND(MyRowHidden(ROW())=FALSE,MyRowHidden(ROW()-1)=TRUE),0,IF(M35&lt;totalMonths,(totalMonths-M35)/totalMonths *(J35-J34)+P34,0))</f>
        <v>555000</v>
      </c>
      <c r="Q35">
        <f>IF(AND(MyRowHidden(ROW())=FALSE,MyRowHidden(ROW()-1)=TRUE),0,IF(M35&lt;totalMonths,(totalMonths-M35)/totalMonths *(K35-K34)+Q34,0))</f>
        <v>-555000</v>
      </c>
      <c r="R35">
        <f t="shared" si="4"/>
        <v>569000</v>
      </c>
      <c r="S35">
        <f t="shared" si="5"/>
        <v>568014.16666666663</v>
      </c>
    </row>
    <row r="36" spans="1:19" hidden="1" x14ac:dyDescent="0.25">
      <c r="A36" s="1"/>
      <c r="C36" s="1"/>
      <c r="D36" s="1">
        <v>41311</v>
      </c>
      <c r="E36">
        <v>23365</v>
      </c>
      <c r="F36" s="1">
        <v>41311</v>
      </c>
      <c r="G36">
        <v>3587.5</v>
      </c>
      <c r="H36" s="1">
        <f t="shared" si="0"/>
        <v>41311</v>
      </c>
      <c r="I36">
        <f>IF(AND(MyRowHidden(ROW())=FALSE,MyRowHidden(ROW()-1)=TRUE),0,(E36-E35)*unitsOfDHp+I35)</f>
        <v>23310</v>
      </c>
      <c r="J36">
        <f>IF(AND(MyRowHidden(ROW())=FALSE,MyRowHidden(ROW()-1)=TRUE),0,(G36-G35)*unitsOfExo+J35)</f>
        <v>486000</v>
      </c>
      <c r="K36" s="9">
        <f t="shared" si="1"/>
        <v>-486000</v>
      </c>
      <c r="L36">
        <f t="shared" si="2"/>
        <v>509310</v>
      </c>
      <c r="M36">
        <f>IF(AND(MyRowHidden(ROW())=FALSE,MyRowHidden(ROW()-1)=TRUE),0,IF(MONTH(H36)&lt;&gt;MONTH(H35),M35+1,M35))</f>
        <v>1</v>
      </c>
      <c r="N36">
        <f t="shared" si="3"/>
        <v>23310</v>
      </c>
      <c r="O36">
        <f>IF(AND(MyRowHidden(ROW())=FALSE,MyRowHidden(ROW()-1)=TRUE),0,IF(M36&lt;totalMonths,(totalMonths-M36)/totalMonths *(I36-I35)+O35,0))</f>
        <v>21548.333333333332</v>
      </c>
      <c r="P36">
        <f>IF(AND(MyRowHidden(ROW())=FALSE,MyRowHidden(ROW()-1)=TRUE),0,IF(M36&lt;totalMonths,(totalMonths-M36)/totalMonths *(J36-J35)+P35,0))</f>
        <v>505500</v>
      </c>
      <c r="Q36">
        <f>IF(AND(MyRowHidden(ROW())=FALSE,MyRowHidden(ROW()-1)=TRUE),0,IF(M36&lt;totalMonths,(totalMonths-M36)/totalMonths *(K36-K35)+Q35,0))</f>
        <v>-505500</v>
      </c>
      <c r="R36">
        <f t="shared" si="4"/>
        <v>528810</v>
      </c>
      <c r="S36">
        <f t="shared" si="5"/>
        <v>527048.33333333337</v>
      </c>
    </row>
    <row r="37" spans="1:19" hidden="1" x14ac:dyDescent="0.25">
      <c r="A37" s="1"/>
      <c r="C37" s="1"/>
      <c r="D37" s="1">
        <v>41312</v>
      </c>
      <c r="E37">
        <v>23798</v>
      </c>
      <c r="F37" s="1">
        <v>41312</v>
      </c>
      <c r="G37">
        <v>3137.5</v>
      </c>
      <c r="H37" s="1">
        <f t="shared" si="0"/>
        <v>41312</v>
      </c>
      <c r="I37">
        <f>IF(AND(MyRowHidden(ROW())=FALSE,MyRowHidden(ROW()-1)=TRUE),0,(E37-E36)*unitsOfDHp+I36)</f>
        <v>38465</v>
      </c>
      <c r="J37">
        <f>IF(AND(MyRowHidden(ROW())=FALSE,MyRowHidden(ROW()-1)=TRUE),0,(G37-G36)*unitsOfExo+J36)</f>
        <v>356400</v>
      </c>
      <c r="K37" s="9">
        <f t="shared" si="1"/>
        <v>-356400</v>
      </c>
      <c r="L37">
        <f t="shared" si="2"/>
        <v>394865</v>
      </c>
      <c r="M37">
        <f>IF(AND(MyRowHidden(ROW())=FALSE,MyRowHidden(ROW()-1)=TRUE),0,IF(MONTH(H37)&lt;&gt;MONTH(H36),M36+1,M36))</f>
        <v>1</v>
      </c>
      <c r="N37">
        <f t="shared" si="3"/>
        <v>38465</v>
      </c>
      <c r="O37">
        <f>IF(AND(MyRowHidden(ROW())=FALSE,MyRowHidden(ROW()-1)=TRUE),0,IF(M37&lt;totalMonths,(totalMonths-M37)/totalMonths *(I37-I36)+O36,0))</f>
        <v>35440.416666666664</v>
      </c>
      <c r="P37">
        <f>IF(AND(MyRowHidden(ROW())=FALSE,MyRowHidden(ROW()-1)=TRUE),0,IF(M37&lt;totalMonths,(totalMonths-M37)/totalMonths *(J37-J36)+P36,0))</f>
        <v>386700</v>
      </c>
      <c r="Q37">
        <f>IF(AND(MyRowHidden(ROW())=FALSE,MyRowHidden(ROW()-1)=TRUE),0,IF(M37&lt;totalMonths,(totalMonths-M37)/totalMonths *(K37-K36)+Q36,0))</f>
        <v>-386700</v>
      </c>
      <c r="R37">
        <f t="shared" si="4"/>
        <v>425165</v>
      </c>
      <c r="S37">
        <f t="shared" si="5"/>
        <v>422140.41666666669</v>
      </c>
    </row>
    <row r="38" spans="1:19" hidden="1" x14ac:dyDescent="0.25">
      <c r="A38" s="1"/>
      <c r="C38" s="1"/>
      <c r="D38" s="1">
        <v>41313</v>
      </c>
      <c r="E38">
        <v>23717</v>
      </c>
      <c r="F38" s="1">
        <v>41313</v>
      </c>
      <c r="G38">
        <v>3037.5</v>
      </c>
      <c r="H38" s="1">
        <f t="shared" si="0"/>
        <v>41313</v>
      </c>
      <c r="I38">
        <f>IF(AND(MyRowHidden(ROW())=FALSE,MyRowHidden(ROW()-1)=TRUE),0,(E38-E37)*unitsOfDHp+I37)</f>
        <v>35630</v>
      </c>
      <c r="J38">
        <f>IF(AND(MyRowHidden(ROW())=FALSE,MyRowHidden(ROW()-1)=TRUE),0,(G38-G37)*unitsOfExo+J37)</f>
        <v>327600</v>
      </c>
      <c r="K38" s="9">
        <f t="shared" si="1"/>
        <v>-327600</v>
      </c>
      <c r="L38">
        <f t="shared" si="2"/>
        <v>363230</v>
      </c>
      <c r="M38">
        <f>IF(AND(MyRowHidden(ROW())=FALSE,MyRowHidden(ROW()-1)=TRUE),0,IF(MONTH(H38)&lt;&gt;MONTH(H37),M37+1,M37))</f>
        <v>1</v>
      </c>
      <c r="N38">
        <f t="shared" si="3"/>
        <v>35630</v>
      </c>
      <c r="O38">
        <f>IF(AND(MyRowHidden(ROW())=FALSE,MyRowHidden(ROW()-1)=TRUE),0,IF(M38&lt;totalMonths,(totalMonths-M38)/totalMonths *(I38-I37)+O37,0))</f>
        <v>32841.666666666664</v>
      </c>
      <c r="P38">
        <f>IF(AND(MyRowHidden(ROW())=FALSE,MyRowHidden(ROW()-1)=TRUE),0,IF(M38&lt;totalMonths,(totalMonths-M38)/totalMonths *(J38-J37)+P37,0))</f>
        <v>360300</v>
      </c>
      <c r="Q38">
        <f>IF(AND(MyRowHidden(ROW())=FALSE,MyRowHidden(ROW()-1)=TRUE),0,IF(M38&lt;totalMonths,(totalMonths-M38)/totalMonths *(K38-K37)+Q37,0))</f>
        <v>-360300</v>
      </c>
      <c r="R38">
        <f t="shared" si="4"/>
        <v>395930</v>
      </c>
      <c r="S38">
        <f t="shared" si="5"/>
        <v>393141.66666666669</v>
      </c>
    </row>
    <row r="39" spans="1:19" hidden="1" x14ac:dyDescent="0.25">
      <c r="A39" s="1"/>
      <c r="C39" s="1"/>
      <c r="D39" s="1">
        <v>41316</v>
      </c>
      <c r="E39">
        <v>23295</v>
      </c>
      <c r="F39" s="1">
        <v>41316</v>
      </c>
      <c r="G39">
        <v>2512.5</v>
      </c>
      <c r="H39" s="1">
        <f t="shared" si="0"/>
        <v>41316</v>
      </c>
      <c r="I39">
        <f>IF(AND(MyRowHidden(ROW())=FALSE,MyRowHidden(ROW()-1)=TRUE),0,(E39-E38)*unitsOfDHp+I38)</f>
        <v>20860</v>
      </c>
      <c r="J39">
        <f>IF(AND(MyRowHidden(ROW())=FALSE,MyRowHidden(ROW()-1)=TRUE),0,(G39-G38)*unitsOfExo+J38)</f>
        <v>176400</v>
      </c>
      <c r="K39" s="9">
        <f t="shared" si="1"/>
        <v>-176400</v>
      </c>
      <c r="L39">
        <f t="shared" si="2"/>
        <v>197260</v>
      </c>
      <c r="M39">
        <f>IF(AND(MyRowHidden(ROW())=FALSE,MyRowHidden(ROW()-1)=TRUE),0,IF(MONTH(H39)&lt;&gt;MONTH(H38),M38+1,M38))</f>
        <v>1</v>
      </c>
      <c r="N39">
        <f t="shared" si="3"/>
        <v>20860</v>
      </c>
      <c r="O39">
        <f>IF(AND(MyRowHidden(ROW())=FALSE,MyRowHidden(ROW()-1)=TRUE),0,IF(M39&lt;totalMonths,(totalMonths-M39)/totalMonths *(I39-I38)+O38,0))</f>
        <v>19302.5</v>
      </c>
      <c r="P39">
        <f>IF(AND(MyRowHidden(ROW())=FALSE,MyRowHidden(ROW()-1)=TRUE),0,IF(M39&lt;totalMonths,(totalMonths-M39)/totalMonths *(J39-J38)+P38,0))</f>
        <v>221700</v>
      </c>
      <c r="Q39">
        <f>IF(AND(MyRowHidden(ROW())=FALSE,MyRowHidden(ROW()-1)=TRUE),0,IF(M39&lt;totalMonths,(totalMonths-M39)/totalMonths *(K39-K38)+Q38,0))</f>
        <v>-221700</v>
      </c>
      <c r="R39">
        <f t="shared" si="4"/>
        <v>242560</v>
      </c>
      <c r="S39">
        <f t="shared" si="5"/>
        <v>241002.5</v>
      </c>
    </row>
    <row r="40" spans="1:19" hidden="1" x14ac:dyDescent="0.25">
      <c r="A40" s="1"/>
      <c r="C40" s="1"/>
      <c r="D40" s="1">
        <v>41317</v>
      </c>
      <c r="E40">
        <v>22410</v>
      </c>
      <c r="F40" s="1">
        <v>41317</v>
      </c>
      <c r="G40">
        <v>2112.5</v>
      </c>
      <c r="H40" s="1">
        <f t="shared" si="0"/>
        <v>41317</v>
      </c>
      <c r="I40">
        <f>IF(AND(MyRowHidden(ROW())=FALSE,MyRowHidden(ROW()-1)=TRUE),0,(E40-E39)*unitsOfDHp+I39)</f>
        <v>-10115</v>
      </c>
      <c r="J40">
        <f>IF(AND(MyRowHidden(ROW())=FALSE,MyRowHidden(ROW()-1)=TRUE),0,(G40-G39)*unitsOfExo+J39)</f>
        <v>61200</v>
      </c>
      <c r="K40" s="9">
        <f t="shared" si="1"/>
        <v>-61200</v>
      </c>
      <c r="L40">
        <f t="shared" si="2"/>
        <v>51085</v>
      </c>
      <c r="M40">
        <f>IF(AND(MyRowHidden(ROW())=FALSE,MyRowHidden(ROW()-1)=TRUE),0,IF(MONTH(H40)&lt;&gt;MONTH(H39),M39+1,M39))</f>
        <v>1</v>
      </c>
      <c r="N40">
        <f t="shared" si="3"/>
        <v>-10115</v>
      </c>
      <c r="O40">
        <f>IF(AND(MyRowHidden(ROW())=FALSE,MyRowHidden(ROW()-1)=TRUE),0,IF(M40&lt;totalMonths,(totalMonths-M40)/totalMonths *(I40-I39)+O39,0))</f>
        <v>-9091.25</v>
      </c>
      <c r="P40">
        <f>IF(AND(MyRowHidden(ROW())=FALSE,MyRowHidden(ROW()-1)=TRUE),0,IF(M40&lt;totalMonths,(totalMonths-M40)/totalMonths *(J40-J39)+P39,0))</f>
        <v>116100</v>
      </c>
      <c r="Q40">
        <f>IF(AND(MyRowHidden(ROW())=FALSE,MyRowHidden(ROW()-1)=TRUE),0,IF(M40&lt;totalMonths,(totalMonths-M40)/totalMonths *(K40-K39)+Q39,0))</f>
        <v>-116100</v>
      </c>
      <c r="R40">
        <f t="shared" si="4"/>
        <v>105985</v>
      </c>
      <c r="S40">
        <f t="shared" si="5"/>
        <v>107008.75</v>
      </c>
    </row>
    <row r="41" spans="1:19" hidden="1" x14ac:dyDescent="0.25">
      <c r="A41" s="1"/>
      <c r="C41" s="1"/>
      <c r="D41" s="1">
        <v>41318</v>
      </c>
      <c r="E41">
        <v>22231</v>
      </c>
      <c r="F41" s="1">
        <v>41318</v>
      </c>
      <c r="G41">
        <v>2062.5</v>
      </c>
      <c r="H41" s="1">
        <f t="shared" si="0"/>
        <v>41318</v>
      </c>
      <c r="I41">
        <f>IF(AND(MyRowHidden(ROW())=FALSE,MyRowHidden(ROW()-1)=TRUE),0,(E41-E40)*unitsOfDHp+I40)</f>
        <v>-16380</v>
      </c>
      <c r="J41">
        <f>IF(AND(MyRowHidden(ROW())=FALSE,MyRowHidden(ROW()-1)=TRUE),0,(G41-G40)*unitsOfExo+J40)</f>
        <v>46800</v>
      </c>
      <c r="K41" s="9">
        <f t="shared" si="1"/>
        <v>-46800</v>
      </c>
      <c r="L41">
        <f t="shared" si="2"/>
        <v>30420</v>
      </c>
      <c r="M41">
        <f>IF(AND(MyRowHidden(ROW())=FALSE,MyRowHidden(ROW()-1)=TRUE),0,IF(MONTH(H41)&lt;&gt;MONTH(H40),M40+1,M40))</f>
        <v>1</v>
      </c>
      <c r="N41">
        <f t="shared" si="3"/>
        <v>-16380</v>
      </c>
      <c r="O41">
        <f>IF(AND(MyRowHidden(ROW())=FALSE,MyRowHidden(ROW()-1)=TRUE),0,IF(M41&lt;totalMonths,(totalMonths-M41)/totalMonths *(I41-I40)+O40,0))</f>
        <v>-14834.166666666666</v>
      </c>
      <c r="P41">
        <f>IF(AND(MyRowHidden(ROW())=FALSE,MyRowHidden(ROW()-1)=TRUE),0,IF(M41&lt;totalMonths,(totalMonths-M41)/totalMonths *(J41-J40)+P40,0))</f>
        <v>102900</v>
      </c>
      <c r="Q41">
        <f>IF(AND(MyRowHidden(ROW())=FALSE,MyRowHidden(ROW()-1)=TRUE),0,IF(M41&lt;totalMonths,(totalMonths-M41)/totalMonths *(K41-K40)+Q40,0))</f>
        <v>-102900</v>
      </c>
      <c r="R41">
        <f t="shared" si="4"/>
        <v>86520</v>
      </c>
      <c r="S41">
        <f t="shared" si="5"/>
        <v>88065.833333333328</v>
      </c>
    </row>
    <row r="42" spans="1:19" hidden="1" x14ac:dyDescent="0.25">
      <c r="A42" s="1"/>
      <c r="C42" s="1"/>
      <c r="D42" s="1">
        <v>41319</v>
      </c>
      <c r="E42">
        <v>22102</v>
      </c>
      <c r="F42" s="1">
        <v>41319</v>
      </c>
      <c r="G42">
        <v>1962.5</v>
      </c>
      <c r="H42" s="1">
        <f t="shared" si="0"/>
        <v>41319</v>
      </c>
      <c r="I42">
        <f>IF(AND(MyRowHidden(ROW())=FALSE,MyRowHidden(ROW()-1)=TRUE),0,(E42-E41)*unitsOfDHp+I41)</f>
        <v>-20895</v>
      </c>
      <c r="J42">
        <f>IF(AND(MyRowHidden(ROW())=FALSE,MyRowHidden(ROW()-1)=TRUE),0,(G42-G41)*unitsOfExo+J41)</f>
        <v>18000</v>
      </c>
      <c r="K42" s="9">
        <f t="shared" si="1"/>
        <v>-18000</v>
      </c>
      <c r="L42">
        <f t="shared" si="2"/>
        <v>-2895</v>
      </c>
      <c r="M42">
        <f>IF(AND(MyRowHidden(ROW())=FALSE,MyRowHidden(ROW()-1)=TRUE),0,IF(MONTH(H42)&lt;&gt;MONTH(H41),M41+1,M41))</f>
        <v>1</v>
      </c>
      <c r="N42">
        <f t="shared" si="3"/>
        <v>-20895</v>
      </c>
      <c r="O42">
        <f>IF(AND(MyRowHidden(ROW())=FALSE,MyRowHidden(ROW()-1)=TRUE),0,IF(M42&lt;totalMonths,(totalMonths-M42)/totalMonths *(I42-I41)+O41,0))</f>
        <v>-18972.916666666664</v>
      </c>
      <c r="P42">
        <f>IF(AND(MyRowHidden(ROW())=FALSE,MyRowHidden(ROW()-1)=TRUE),0,IF(M42&lt;totalMonths,(totalMonths-M42)/totalMonths *(J42-J41)+P41,0))</f>
        <v>76500</v>
      </c>
      <c r="Q42">
        <f>IF(AND(MyRowHidden(ROW())=FALSE,MyRowHidden(ROW()-1)=TRUE),0,IF(M42&lt;totalMonths,(totalMonths-M42)/totalMonths *(K42-K41)+Q41,0))</f>
        <v>-76500</v>
      </c>
      <c r="R42">
        <f t="shared" si="4"/>
        <v>55605</v>
      </c>
      <c r="S42">
        <f t="shared" si="5"/>
        <v>57527.083333333336</v>
      </c>
    </row>
    <row r="43" spans="1:19" hidden="1" x14ac:dyDescent="0.25">
      <c r="A43" s="1"/>
      <c r="C43" s="1"/>
      <c r="D43" s="1">
        <v>41320</v>
      </c>
      <c r="E43">
        <v>22458</v>
      </c>
      <c r="F43" s="1">
        <v>41320</v>
      </c>
      <c r="G43">
        <v>2287.5</v>
      </c>
      <c r="H43" s="1">
        <f t="shared" si="0"/>
        <v>41320</v>
      </c>
      <c r="I43">
        <f>IF(AND(MyRowHidden(ROW())=FALSE,MyRowHidden(ROW()-1)=TRUE),0,(E43-E42)*unitsOfDHp+I42)</f>
        <v>-8435</v>
      </c>
      <c r="J43">
        <f>IF(AND(MyRowHidden(ROW())=FALSE,MyRowHidden(ROW()-1)=TRUE),0,(G43-G42)*unitsOfExo+J42)</f>
        <v>111600</v>
      </c>
      <c r="K43" s="9">
        <f t="shared" si="1"/>
        <v>-111600</v>
      </c>
      <c r="L43">
        <f t="shared" si="2"/>
        <v>103165</v>
      </c>
      <c r="M43">
        <f>IF(AND(MyRowHidden(ROW())=FALSE,MyRowHidden(ROW()-1)=TRUE),0,IF(MONTH(H43)&lt;&gt;MONTH(H42),M42+1,M42))</f>
        <v>1</v>
      </c>
      <c r="N43">
        <f t="shared" si="3"/>
        <v>-8435</v>
      </c>
      <c r="O43">
        <f>IF(AND(MyRowHidden(ROW())=FALSE,MyRowHidden(ROW()-1)=TRUE),0,IF(M43&lt;totalMonths,(totalMonths-M43)/totalMonths *(I43-I42)+O42,0))</f>
        <v>-7551.2499999999982</v>
      </c>
      <c r="P43">
        <f>IF(AND(MyRowHidden(ROW())=FALSE,MyRowHidden(ROW()-1)=TRUE),0,IF(M43&lt;totalMonths,(totalMonths-M43)/totalMonths *(J43-J42)+P42,0))</f>
        <v>162300</v>
      </c>
      <c r="Q43">
        <f>IF(AND(MyRowHidden(ROW())=FALSE,MyRowHidden(ROW()-1)=TRUE),0,IF(M43&lt;totalMonths,(totalMonths-M43)/totalMonths *(K43-K42)+Q42,0))</f>
        <v>-162300</v>
      </c>
      <c r="R43">
        <f t="shared" si="4"/>
        <v>153865</v>
      </c>
      <c r="S43">
        <f t="shared" si="5"/>
        <v>154748.75</v>
      </c>
    </row>
    <row r="44" spans="1:19" hidden="1" x14ac:dyDescent="0.25">
      <c r="A44" s="1"/>
      <c r="C44" s="1"/>
      <c r="D44" s="1">
        <v>41324</v>
      </c>
      <c r="E44">
        <v>22123</v>
      </c>
      <c r="F44" s="1">
        <v>41324</v>
      </c>
      <c r="G44">
        <v>2087.5</v>
      </c>
      <c r="H44" s="1">
        <f t="shared" si="0"/>
        <v>41324</v>
      </c>
      <c r="I44">
        <f>IF(AND(MyRowHidden(ROW())=FALSE,MyRowHidden(ROW()-1)=TRUE),0,(E44-E43)*unitsOfDHp+I43)</f>
        <v>-20160</v>
      </c>
      <c r="J44">
        <f>IF(AND(MyRowHidden(ROW())=FALSE,MyRowHidden(ROW()-1)=TRUE),0,(G44-G43)*unitsOfExo+J43)</f>
        <v>54000</v>
      </c>
      <c r="K44" s="9">
        <f t="shared" si="1"/>
        <v>-54000</v>
      </c>
      <c r="L44">
        <f t="shared" si="2"/>
        <v>33840</v>
      </c>
      <c r="M44">
        <f>IF(AND(MyRowHidden(ROW())=FALSE,MyRowHidden(ROW()-1)=TRUE),0,IF(MONTH(H44)&lt;&gt;MONTH(H43),M43+1,M43))</f>
        <v>1</v>
      </c>
      <c r="N44">
        <f t="shared" si="3"/>
        <v>-20160</v>
      </c>
      <c r="O44">
        <f>IF(AND(MyRowHidden(ROW())=FALSE,MyRowHidden(ROW()-1)=TRUE),0,IF(M44&lt;totalMonths,(totalMonths-M44)/totalMonths *(I44-I43)+O43,0))</f>
        <v>-18299.166666666664</v>
      </c>
      <c r="P44">
        <f>IF(AND(MyRowHidden(ROW())=FALSE,MyRowHidden(ROW()-1)=TRUE),0,IF(M44&lt;totalMonths,(totalMonths-M44)/totalMonths *(J44-J43)+P43,0))</f>
        <v>109500</v>
      </c>
      <c r="Q44">
        <f>IF(AND(MyRowHidden(ROW())=FALSE,MyRowHidden(ROW()-1)=TRUE),0,IF(M44&lt;totalMonths,(totalMonths-M44)/totalMonths *(K44-K43)+Q43,0))</f>
        <v>-109500</v>
      </c>
      <c r="R44">
        <f t="shared" si="4"/>
        <v>89340</v>
      </c>
      <c r="S44">
        <f t="shared" si="5"/>
        <v>91200.833333333343</v>
      </c>
    </row>
    <row r="45" spans="1:19" hidden="1" x14ac:dyDescent="0.25">
      <c r="A45" s="1"/>
      <c r="C45" s="1"/>
      <c r="D45" s="1">
        <v>41325</v>
      </c>
      <c r="E45">
        <v>22244</v>
      </c>
      <c r="F45" s="1">
        <v>41325</v>
      </c>
      <c r="G45">
        <v>2375</v>
      </c>
      <c r="H45" s="1">
        <f t="shared" si="0"/>
        <v>41325</v>
      </c>
      <c r="I45">
        <f>IF(AND(MyRowHidden(ROW())=FALSE,MyRowHidden(ROW()-1)=TRUE),0,(E45-E44)*unitsOfDHp+I44)</f>
        <v>-15925</v>
      </c>
      <c r="J45">
        <f>IF(AND(MyRowHidden(ROW())=FALSE,MyRowHidden(ROW()-1)=TRUE),0,(G45-G44)*unitsOfExo+J44)</f>
        <v>136800</v>
      </c>
      <c r="K45" s="9">
        <f t="shared" si="1"/>
        <v>-136800</v>
      </c>
      <c r="L45">
        <f t="shared" si="2"/>
        <v>120875</v>
      </c>
      <c r="M45">
        <f>IF(AND(MyRowHidden(ROW())=FALSE,MyRowHidden(ROW()-1)=TRUE),0,IF(MONTH(H45)&lt;&gt;MONTH(H44),M44+1,M44))</f>
        <v>1</v>
      </c>
      <c r="N45">
        <f t="shared" si="3"/>
        <v>-15925</v>
      </c>
      <c r="O45">
        <f>IF(AND(MyRowHidden(ROW())=FALSE,MyRowHidden(ROW()-1)=TRUE),0,IF(M45&lt;totalMonths,(totalMonths-M45)/totalMonths *(I45-I44)+O44,0))</f>
        <v>-14417.083333333332</v>
      </c>
      <c r="P45">
        <f>IF(AND(MyRowHidden(ROW())=FALSE,MyRowHidden(ROW()-1)=TRUE),0,IF(M45&lt;totalMonths,(totalMonths-M45)/totalMonths *(J45-J44)+P44,0))</f>
        <v>185400</v>
      </c>
      <c r="Q45">
        <f>IF(AND(MyRowHidden(ROW())=FALSE,MyRowHidden(ROW()-1)=TRUE),0,IF(M45&lt;totalMonths,(totalMonths-M45)/totalMonths *(K45-K44)+Q44,0))</f>
        <v>-185400</v>
      </c>
      <c r="R45">
        <f t="shared" si="4"/>
        <v>169475</v>
      </c>
      <c r="S45">
        <f t="shared" si="5"/>
        <v>170982.91666666666</v>
      </c>
    </row>
    <row r="46" spans="1:19" hidden="1" x14ac:dyDescent="0.25">
      <c r="A46" s="1"/>
      <c r="C46" s="1"/>
      <c r="D46" s="1">
        <v>41326</v>
      </c>
      <c r="E46">
        <v>22403</v>
      </c>
      <c r="F46" s="1">
        <v>41326</v>
      </c>
      <c r="G46">
        <v>2100</v>
      </c>
      <c r="H46" s="1">
        <f t="shared" si="0"/>
        <v>41326</v>
      </c>
      <c r="I46">
        <f>IF(AND(MyRowHidden(ROW())=FALSE,MyRowHidden(ROW()-1)=TRUE),0,(E46-E45)*unitsOfDHp+I45)</f>
        <v>-10360</v>
      </c>
      <c r="J46">
        <f>IF(AND(MyRowHidden(ROW())=FALSE,MyRowHidden(ROW()-1)=TRUE),0,(G46-G45)*unitsOfExo+J45)</f>
        <v>57600</v>
      </c>
      <c r="K46" s="9">
        <f t="shared" si="1"/>
        <v>-57600</v>
      </c>
      <c r="L46">
        <f t="shared" si="2"/>
        <v>47240</v>
      </c>
      <c r="M46">
        <f>IF(AND(MyRowHidden(ROW())=FALSE,MyRowHidden(ROW()-1)=TRUE),0,IF(MONTH(H46)&lt;&gt;MONTH(H45),M45+1,M45))</f>
        <v>1</v>
      </c>
      <c r="N46">
        <f t="shared" si="3"/>
        <v>-10360</v>
      </c>
      <c r="O46">
        <f>IF(AND(MyRowHidden(ROW())=FALSE,MyRowHidden(ROW()-1)=TRUE),0,IF(M46&lt;totalMonths,(totalMonths-M46)/totalMonths *(I46-I45)+O45,0))</f>
        <v>-9315.8333333333321</v>
      </c>
      <c r="P46">
        <f>IF(AND(MyRowHidden(ROW())=FALSE,MyRowHidden(ROW()-1)=TRUE),0,IF(M46&lt;totalMonths,(totalMonths-M46)/totalMonths *(J46-J45)+P45,0))</f>
        <v>112800</v>
      </c>
      <c r="Q46">
        <f>IF(AND(MyRowHidden(ROW())=FALSE,MyRowHidden(ROW()-1)=TRUE),0,IF(M46&lt;totalMonths,(totalMonths-M46)/totalMonths *(K46-K45)+Q45,0))</f>
        <v>-112800</v>
      </c>
      <c r="R46">
        <f t="shared" si="4"/>
        <v>102440</v>
      </c>
      <c r="S46">
        <f t="shared" si="5"/>
        <v>103484.16666666667</v>
      </c>
    </row>
    <row r="47" spans="1:19" hidden="1" x14ac:dyDescent="0.25">
      <c r="A47" s="1"/>
      <c r="C47" s="1"/>
      <c r="D47" s="1">
        <v>41327</v>
      </c>
      <c r="E47">
        <v>22409</v>
      </c>
      <c r="F47" s="1">
        <v>41327</v>
      </c>
      <c r="G47">
        <v>2037.5</v>
      </c>
      <c r="H47" s="1">
        <f t="shared" si="0"/>
        <v>41327</v>
      </c>
      <c r="I47">
        <f>IF(AND(MyRowHidden(ROW())=FALSE,MyRowHidden(ROW()-1)=TRUE),0,(E47-E46)*unitsOfDHp+I46)</f>
        <v>-10150</v>
      </c>
      <c r="J47">
        <f>IF(AND(MyRowHidden(ROW())=FALSE,MyRowHidden(ROW()-1)=TRUE),0,(G47-G46)*unitsOfExo+J46)</f>
        <v>39600</v>
      </c>
      <c r="K47" s="9">
        <f t="shared" si="1"/>
        <v>-39600</v>
      </c>
      <c r="L47">
        <f t="shared" si="2"/>
        <v>29450</v>
      </c>
      <c r="M47">
        <f>IF(AND(MyRowHidden(ROW())=FALSE,MyRowHidden(ROW()-1)=TRUE),0,IF(MONTH(H47)&lt;&gt;MONTH(H46),M46+1,M46))</f>
        <v>1</v>
      </c>
      <c r="N47">
        <f t="shared" si="3"/>
        <v>-10150</v>
      </c>
      <c r="O47">
        <f>IF(AND(MyRowHidden(ROW())=FALSE,MyRowHidden(ROW()-1)=TRUE),0,IF(M47&lt;totalMonths,(totalMonths-M47)/totalMonths *(I47-I46)+O46,0))</f>
        <v>-9123.3333333333321</v>
      </c>
      <c r="P47">
        <f>IF(AND(MyRowHidden(ROW())=FALSE,MyRowHidden(ROW()-1)=TRUE),0,IF(M47&lt;totalMonths,(totalMonths-M47)/totalMonths *(J47-J46)+P46,0))</f>
        <v>96300</v>
      </c>
      <c r="Q47">
        <f>IF(AND(MyRowHidden(ROW())=FALSE,MyRowHidden(ROW()-1)=TRUE),0,IF(M47&lt;totalMonths,(totalMonths-M47)/totalMonths *(K47-K46)+Q46,0))</f>
        <v>-96300</v>
      </c>
      <c r="R47">
        <f t="shared" si="4"/>
        <v>86150</v>
      </c>
      <c r="S47">
        <f t="shared" si="5"/>
        <v>87176.666666666672</v>
      </c>
    </row>
    <row r="48" spans="1:19" hidden="1" x14ac:dyDescent="0.25">
      <c r="A48" s="1"/>
      <c r="C48" s="1"/>
      <c r="D48" s="1">
        <v>41330</v>
      </c>
      <c r="E48">
        <v>22485</v>
      </c>
      <c r="F48" s="1">
        <v>41330</v>
      </c>
      <c r="G48">
        <v>2137.5</v>
      </c>
      <c r="H48" s="1">
        <f t="shared" si="0"/>
        <v>41330</v>
      </c>
      <c r="I48">
        <f>IF(AND(MyRowHidden(ROW())=FALSE,MyRowHidden(ROW()-1)=TRUE),0,(E48-E47)*unitsOfDHp+I47)</f>
        <v>-7490</v>
      </c>
      <c r="J48">
        <f>IF(AND(MyRowHidden(ROW())=FALSE,MyRowHidden(ROW()-1)=TRUE),0,(G48-G47)*unitsOfExo+J47)</f>
        <v>68400</v>
      </c>
      <c r="K48" s="9">
        <f t="shared" si="1"/>
        <v>-68400</v>
      </c>
      <c r="L48">
        <f t="shared" si="2"/>
        <v>60910</v>
      </c>
      <c r="M48">
        <f>IF(AND(MyRowHidden(ROW())=FALSE,MyRowHidden(ROW()-1)=TRUE),0,IF(MONTH(H48)&lt;&gt;MONTH(H47),M47+1,M47))</f>
        <v>1</v>
      </c>
      <c r="N48">
        <f t="shared" si="3"/>
        <v>-7490</v>
      </c>
      <c r="O48">
        <f>IF(AND(MyRowHidden(ROW())=FALSE,MyRowHidden(ROW()-1)=TRUE),0,IF(M48&lt;totalMonths,(totalMonths-M48)/totalMonths *(I48-I47)+O47,0))</f>
        <v>-6684.9999999999991</v>
      </c>
      <c r="P48">
        <f>IF(AND(MyRowHidden(ROW())=FALSE,MyRowHidden(ROW()-1)=TRUE),0,IF(M48&lt;totalMonths,(totalMonths-M48)/totalMonths *(J48-J47)+P47,0))</f>
        <v>122700</v>
      </c>
      <c r="Q48">
        <f>IF(AND(MyRowHidden(ROW())=FALSE,MyRowHidden(ROW()-1)=TRUE),0,IF(M48&lt;totalMonths,(totalMonths-M48)/totalMonths *(K48-K47)+Q47,0))</f>
        <v>-122700</v>
      </c>
      <c r="R48">
        <f t="shared" si="4"/>
        <v>115210</v>
      </c>
      <c r="S48">
        <f t="shared" si="5"/>
        <v>116015</v>
      </c>
    </row>
    <row r="49" spans="1:19" hidden="1" x14ac:dyDescent="0.25">
      <c r="A49" s="1"/>
      <c r="C49" s="1"/>
      <c r="D49" s="1">
        <v>41331</v>
      </c>
      <c r="E49">
        <v>22677</v>
      </c>
      <c r="F49" s="1">
        <v>41331</v>
      </c>
      <c r="G49">
        <v>2562.5</v>
      </c>
      <c r="H49" s="1">
        <f t="shared" si="0"/>
        <v>41331</v>
      </c>
      <c r="I49">
        <f>IF(AND(MyRowHidden(ROW())=FALSE,MyRowHidden(ROW()-1)=TRUE),0,(E49-E48)*unitsOfDHp+I48)</f>
        <v>-770</v>
      </c>
      <c r="J49">
        <f>IF(AND(MyRowHidden(ROW())=FALSE,MyRowHidden(ROW()-1)=TRUE),0,(G49-G48)*unitsOfExo+J48)</f>
        <v>190800</v>
      </c>
      <c r="K49" s="9">
        <f t="shared" si="1"/>
        <v>-190800</v>
      </c>
      <c r="L49">
        <f t="shared" si="2"/>
        <v>190030</v>
      </c>
      <c r="M49">
        <f>IF(AND(MyRowHidden(ROW())=FALSE,MyRowHidden(ROW()-1)=TRUE),0,IF(MONTH(H49)&lt;&gt;MONTH(H48),M48+1,M48))</f>
        <v>1</v>
      </c>
      <c r="N49">
        <f t="shared" si="3"/>
        <v>-770</v>
      </c>
      <c r="O49">
        <f>IF(AND(MyRowHidden(ROW())=FALSE,MyRowHidden(ROW()-1)=TRUE),0,IF(M49&lt;totalMonths,(totalMonths-M49)/totalMonths *(I49-I48)+O48,0))</f>
        <v>-524.99999999999909</v>
      </c>
      <c r="P49">
        <f>IF(AND(MyRowHidden(ROW())=FALSE,MyRowHidden(ROW()-1)=TRUE),0,IF(M49&lt;totalMonths,(totalMonths-M49)/totalMonths *(J49-J48)+P48,0))</f>
        <v>234900</v>
      </c>
      <c r="Q49">
        <f>IF(AND(MyRowHidden(ROW())=FALSE,MyRowHidden(ROW()-1)=TRUE),0,IF(M49&lt;totalMonths,(totalMonths-M49)/totalMonths *(K49-K48)+Q48,0))</f>
        <v>-234900</v>
      </c>
      <c r="R49">
        <f t="shared" si="4"/>
        <v>234130</v>
      </c>
      <c r="S49">
        <f t="shared" si="5"/>
        <v>234375</v>
      </c>
    </row>
    <row r="50" spans="1:19" hidden="1" x14ac:dyDescent="0.25">
      <c r="A50" s="1"/>
      <c r="C50" s="1"/>
      <c r="D50" s="1">
        <v>41332</v>
      </c>
      <c r="E50">
        <v>22865</v>
      </c>
      <c r="F50" s="1">
        <v>41332</v>
      </c>
      <c r="G50">
        <v>2975</v>
      </c>
      <c r="H50" s="1">
        <f t="shared" si="0"/>
        <v>41332</v>
      </c>
      <c r="I50">
        <f>IF(AND(MyRowHidden(ROW())=FALSE,MyRowHidden(ROW()-1)=TRUE),0,(E50-E49)*unitsOfDHp+I49)</f>
        <v>5810</v>
      </c>
      <c r="J50">
        <f>IF(AND(MyRowHidden(ROW())=FALSE,MyRowHidden(ROW()-1)=TRUE),0,(G50-G49)*unitsOfExo+J49)</f>
        <v>309600</v>
      </c>
      <c r="K50" s="9">
        <f t="shared" si="1"/>
        <v>-309600</v>
      </c>
      <c r="L50">
        <f t="shared" si="2"/>
        <v>315410</v>
      </c>
      <c r="M50">
        <f>IF(AND(MyRowHidden(ROW())=FALSE,MyRowHidden(ROW()-1)=TRUE),0,IF(MONTH(H50)&lt;&gt;MONTH(H49),M49+1,M49))</f>
        <v>1</v>
      </c>
      <c r="N50">
        <f t="shared" si="3"/>
        <v>5810</v>
      </c>
      <c r="O50">
        <f>IF(AND(MyRowHidden(ROW())=FALSE,MyRowHidden(ROW()-1)=TRUE),0,IF(M50&lt;totalMonths,(totalMonths-M50)/totalMonths *(I50-I49)+O49,0))</f>
        <v>5506.666666666667</v>
      </c>
      <c r="P50">
        <f>IF(AND(MyRowHidden(ROW())=FALSE,MyRowHidden(ROW()-1)=TRUE),0,IF(M50&lt;totalMonths,(totalMonths-M50)/totalMonths *(J50-J49)+P49,0))</f>
        <v>343800</v>
      </c>
      <c r="Q50">
        <f>IF(AND(MyRowHidden(ROW())=FALSE,MyRowHidden(ROW()-1)=TRUE),0,IF(M50&lt;totalMonths,(totalMonths-M50)/totalMonths *(K50-K49)+Q49,0))</f>
        <v>-343800</v>
      </c>
      <c r="R50">
        <f t="shared" si="4"/>
        <v>349610</v>
      </c>
      <c r="S50">
        <f t="shared" si="5"/>
        <v>349306.66666666669</v>
      </c>
    </row>
    <row r="51" spans="1:19" hidden="1" x14ac:dyDescent="0.25">
      <c r="A51" s="1"/>
      <c r="C51" s="1"/>
      <c r="D51" s="1">
        <v>41333</v>
      </c>
      <c r="E51">
        <v>22876</v>
      </c>
      <c r="F51" s="1">
        <v>41333</v>
      </c>
      <c r="G51">
        <v>3375</v>
      </c>
      <c r="H51" s="1">
        <f t="shared" si="0"/>
        <v>41333</v>
      </c>
      <c r="I51">
        <f>IF(AND(MyRowHidden(ROW())=FALSE,MyRowHidden(ROW()-1)=TRUE),0,(E51-E50)*unitsOfDHp+I50)</f>
        <v>6195</v>
      </c>
      <c r="J51">
        <f>IF(AND(MyRowHidden(ROW())=FALSE,MyRowHidden(ROW()-1)=TRUE),0,(G51-G50)*unitsOfExo+J50)</f>
        <v>424800</v>
      </c>
      <c r="K51" s="9">
        <f t="shared" si="1"/>
        <v>-424800</v>
      </c>
      <c r="L51">
        <f t="shared" si="2"/>
        <v>430995</v>
      </c>
      <c r="M51">
        <f>IF(AND(MyRowHidden(ROW())=FALSE,MyRowHidden(ROW()-1)=TRUE),0,IF(MONTH(H51)&lt;&gt;MONTH(H50),M50+1,M50))</f>
        <v>1</v>
      </c>
      <c r="N51">
        <f t="shared" si="3"/>
        <v>6195</v>
      </c>
      <c r="O51">
        <f>IF(AND(MyRowHidden(ROW())=FALSE,MyRowHidden(ROW()-1)=TRUE),0,IF(M51&lt;totalMonths,(totalMonths-M51)/totalMonths *(I51-I50)+O50,0))</f>
        <v>5859.5833333333339</v>
      </c>
      <c r="P51">
        <f>IF(AND(MyRowHidden(ROW())=FALSE,MyRowHidden(ROW()-1)=TRUE),0,IF(M51&lt;totalMonths,(totalMonths-M51)/totalMonths *(J51-J50)+P50,0))</f>
        <v>449400</v>
      </c>
      <c r="Q51">
        <f>IF(AND(MyRowHidden(ROW())=FALSE,MyRowHidden(ROW()-1)=TRUE),0,IF(M51&lt;totalMonths,(totalMonths-M51)/totalMonths *(K51-K50)+Q50,0))</f>
        <v>-449400</v>
      </c>
      <c r="R51">
        <f t="shared" si="4"/>
        <v>455595</v>
      </c>
      <c r="S51">
        <f t="shared" si="5"/>
        <v>455259.58333333331</v>
      </c>
    </row>
    <row r="52" spans="1:19" hidden="1" x14ac:dyDescent="0.25">
      <c r="A52" s="1"/>
      <c r="C52" s="1"/>
      <c r="D52" s="1">
        <v>41334</v>
      </c>
      <c r="E52">
        <v>22582</v>
      </c>
      <c r="F52" s="1">
        <v>41334</v>
      </c>
      <c r="G52">
        <v>3725</v>
      </c>
      <c r="H52" s="1">
        <f t="shared" si="0"/>
        <v>41334</v>
      </c>
      <c r="I52">
        <f>IF(AND(MyRowHidden(ROW())=FALSE,MyRowHidden(ROW()-1)=TRUE),0,(E52-E51)*unitsOfDHp+I51)</f>
        <v>-4095</v>
      </c>
      <c r="J52">
        <f>IF(AND(MyRowHidden(ROW())=FALSE,MyRowHidden(ROW()-1)=TRUE),0,(G52-G51)*unitsOfExo+J51)</f>
        <v>525600</v>
      </c>
      <c r="K52" s="9">
        <f t="shared" si="1"/>
        <v>-525600</v>
      </c>
      <c r="L52">
        <f t="shared" si="2"/>
        <v>521505</v>
      </c>
      <c r="M52">
        <f>IF(AND(MyRowHidden(ROW())=FALSE,MyRowHidden(ROW()-1)=TRUE),0,IF(MONTH(H52)&lt;&gt;MONTH(H51),M51+1,M51))</f>
        <v>2</v>
      </c>
      <c r="N52">
        <f t="shared" si="3"/>
        <v>-4095</v>
      </c>
      <c r="O52">
        <f>IF(AND(MyRowHidden(ROW())=FALSE,MyRowHidden(ROW()-1)=TRUE),0,IF(M52&lt;totalMonths,(totalMonths-M52)/totalMonths *(I52-I51)+O51,0))</f>
        <v>-2715.4166666666661</v>
      </c>
      <c r="P52">
        <f>IF(AND(MyRowHidden(ROW())=FALSE,MyRowHidden(ROW()-1)=TRUE),0,IF(M52&lt;totalMonths,(totalMonths-M52)/totalMonths *(J52-J51)+P51,0))</f>
        <v>533400</v>
      </c>
      <c r="Q52">
        <f>IF(AND(MyRowHidden(ROW())=FALSE,MyRowHidden(ROW()-1)=TRUE),0,IF(M52&lt;totalMonths,(totalMonths-M52)/totalMonths *(K52-K51)+Q51,0))</f>
        <v>-533400</v>
      </c>
      <c r="R52">
        <f t="shared" si="4"/>
        <v>529305</v>
      </c>
      <c r="S52">
        <f t="shared" si="5"/>
        <v>530684.58333333337</v>
      </c>
    </row>
    <row r="53" spans="1:19" hidden="1" x14ac:dyDescent="0.25">
      <c r="A53" s="1"/>
      <c r="C53" s="1"/>
      <c r="D53" s="1">
        <v>41337</v>
      </c>
      <c r="E53">
        <v>23186</v>
      </c>
      <c r="F53" s="1">
        <v>41337</v>
      </c>
      <c r="G53">
        <v>3400</v>
      </c>
      <c r="H53" s="1">
        <f t="shared" si="0"/>
        <v>41337</v>
      </c>
      <c r="I53">
        <f>IF(AND(MyRowHidden(ROW())=FALSE,MyRowHidden(ROW()-1)=TRUE),0,(E53-E52)*unitsOfDHp+I52)</f>
        <v>17045</v>
      </c>
      <c r="J53">
        <f>IF(AND(MyRowHidden(ROW())=FALSE,MyRowHidden(ROW()-1)=TRUE),0,(G53-G52)*unitsOfExo+J52)</f>
        <v>432000</v>
      </c>
      <c r="K53" s="9">
        <f t="shared" si="1"/>
        <v>-432000</v>
      </c>
      <c r="L53">
        <f t="shared" si="2"/>
        <v>449045</v>
      </c>
      <c r="M53">
        <f>IF(AND(MyRowHidden(ROW())=FALSE,MyRowHidden(ROW()-1)=TRUE),0,IF(MONTH(H53)&lt;&gt;MONTH(H52),M52+1,M52))</f>
        <v>2</v>
      </c>
      <c r="N53">
        <f t="shared" si="3"/>
        <v>17045</v>
      </c>
      <c r="O53">
        <f>IF(AND(MyRowHidden(ROW())=FALSE,MyRowHidden(ROW()-1)=TRUE),0,IF(M53&lt;totalMonths,(totalMonths-M53)/totalMonths *(I53-I52)+O52,0))</f>
        <v>14901.250000000002</v>
      </c>
      <c r="P53">
        <f>IF(AND(MyRowHidden(ROW())=FALSE,MyRowHidden(ROW()-1)=TRUE),0,IF(M53&lt;totalMonths,(totalMonths-M53)/totalMonths *(J53-J52)+P52,0))</f>
        <v>455400</v>
      </c>
      <c r="Q53">
        <f>IF(AND(MyRowHidden(ROW())=FALSE,MyRowHidden(ROW()-1)=TRUE),0,IF(M53&lt;totalMonths,(totalMonths-M53)/totalMonths *(K53-K52)+Q52,0))</f>
        <v>-455400</v>
      </c>
      <c r="R53">
        <f t="shared" si="4"/>
        <v>472445</v>
      </c>
      <c r="S53">
        <f t="shared" si="5"/>
        <v>470301.25</v>
      </c>
    </row>
    <row r="54" spans="1:19" hidden="1" x14ac:dyDescent="0.25">
      <c r="A54" s="1"/>
      <c r="C54" s="1"/>
      <c r="D54" s="1">
        <v>41338</v>
      </c>
      <c r="E54">
        <v>22489</v>
      </c>
      <c r="F54" s="1">
        <v>41338</v>
      </c>
      <c r="G54">
        <v>3950</v>
      </c>
      <c r="H54" s="1">
        <f t="shared" si="0"/>
        <v>41338</v>
      </c>
      <c r="I54">
        <f>IF(AND(MyRowHidden(ROW())=FALSE,MyRowHidden(ROW()-1)=TRUE),0,(E54-E53)*unitsOfDHp+I53)</f>
        <v>-7350</v>
      </c>
      <c r="J54">
        <f>IF(AND(MyRowHidden(ROW())=FALSE,MyRowHidden(ROW()-1)=TRUE),0,(G54-G53)*unitsOfExo+J53)</f>
        <v>590400</v>
      </c>
      <c r="K54" s="9">
        <f t="shared" si="1"/>
        <v>-590400</v>
      </c>
      <c r="L54">
        <f t="shared" si="2"/>
        <v>583050</v>
      </c>
      <c r="M54">
        <f>IF(AND(MyRowHidden(ROW())=FALSE,MyRowHidden(ROW()-1)=TRUE),0,IF(MONTH(H54)&lt;&gt;MONTH(H53),M53+1,M53))</f>
        <v>2</v>
      </c>
      <c r="N54">
        <f t="shared" si="3"/>
        <v>-7350</v>
      </c>
      <c r="O54">
        <f>IF(AND(MyRowHidden(ROW())=FALSE,MyRowHidden(ROW()-1)=TRUE),0,IF(M54&lt;totalMonths,(totalMonths-M54)/totalMonths *(I54-I53)+O53,0))</f>
        <v>-5427.9166666666661</v>
      </c>
      <c r="P54">
        <f>IF(AND(MyRowHidden(ROW())=FALSE,MyRowHidden(ROW()-1)=TRUE),0,IF(M54&lt;totalMonths,(totalMonths-M54)/totalMonths *(J54-J53)+P53,0))</f>
        <v>587400</v>
      </c>
      <c r="Q54">
        <f>IF(AND(MyRowHidden(ROW())=FALSE,MyRowHidden(ROW()-1)=TRUE),0,IF(M54&lt;totalMonths,(totalMonths-M54)/totalMonths *(K54-K53)+Q53,0))</f>
        <v>-587400</v>
      </c>
      <c r="R54">
        <f t="shared" si="4"/>
        <v>580050</v>
      </c>
      <c r="S54">
        <f t="shared" si="5"/>
        <v>581972.08333333337</v>
      </c>
    </row>
    <row r="55" spans="1:19" hidden="1" x14ac:dyDescent="0.25">
      <c r="A55" s="1"/>
      <c r="C55" s="1"/>
      <c r="D55" s="1">
        <v>41339</v>
      </c>
      <c r="E55">
        <v>23528</v>
      </c>
      <c r="F55" s="1">
        <v>41339</v>
      </c>
      <c r="G55">
        <v>3012.5</v>
      </c>
      <c r="H55" s="1">
        <f t="shared" si="0"/>
        <v>41339</v>
      </c>
      <c r="I55">
        <f>IF(AND(MyRowHidden(ROW())=FALSE,MyRowHidden(ROW()-1)=TRUE),0,(E55-E54)*unitsOfDHp+I54)</f>
        <v>29015</v>
      </c>
      <c r="J55">
        <f>IF(AND(MyRowHidden(ROW())=FALSE,MyRowHidden(ROW()-1)=TRUE),0,(G55-G54)*unitsOfExo+J54)</f>
        <v>320400</v>
      </c>
      <c r="K55" s="9">
        <f t="shared" si="1"/>
        <v>-320400</v>
      </c>
      <c r="L55">
        <f t="shared" si="2"/>
        <v>349415</v>
      </c>
      <c r="M55">
        <f>IF(AND(MyRowHidden(ROW())=FALSE,MyRowHidden(ROW()-1)=TRUE),0,IF(MONTH(H55)&lt;&gt;MONTH(H54),M54+1,M54))</f>
        <v>2</v>
      </c>
      <c r="N55">
        <f t="shared" si="3"/>
        <v>29015</v>
      </c>
      <c r="O55">
        <f>IF(AND(MyRowHidden(ROW())=FALSE,MyRowHidden(ROW()-1)=TRUE),0,IF(M55&lt;totalMonths,(totalMonths-M55)/totalMonths *(I55-I54)+O54,0))</f>
        <v>24876.25</v>
      </c>
      <c r="P55">
        <f>IF(AND(MyRowHidden(ROW())=FALSE,MyRowHidden(ROW()-1)=TRUE),0,IF(M55&lt;totalMonths,(totalMonths-M55)/totalMonths *(J55-J54)+P54,0))</f>
        <v>362400</v>
      </c>
      <c r="Q55">
        <f>IF(AND(MyRowHidden(ROW())=FALSE,MyRowHidden(ROW()-1)=TRUE),0,IF(M55&lt;totalMonths,(totalMonths-M55)/totalMonths *(K55-K54)+Q54,0))</f>
        <v>-362400</v>
      </c>
      <c r="R55">
        <f t="shared" si="4"/>
        <v>391415</v>
      </c>
      <c r="S55">
        <f t="shared" si="5"/>
        <v>387276.25</v>
      </c>
    </row>
    <row r="56" spans="1:19" hidden="1" x14ac:dyDescent="0.25">
      <c r="A56" s="1"/>
      <c r="C56" s="1"/>
      <c r="D56" s="1">
        <v>41340</v>
      </c>
      <c r="E56">
        <v>24168</v>
      </c>
      <c r="F56" s="1">
        <v>41340</v>
      </c>
      <c r="G56">
        <v>2725</v>
      </c>
      <c r="H56" s="1">
        <f t="shared" si="0"/>
        <v>41340</v>
      </c>
      <c r="I56">
        <f>IF(AND(MyRowHidden(ROW())=FALSE,MyRowHidden(ROW()-1)=TRUE),0,(E56-E55)*unitsOfDHp+I55)</f>
        <v>51415</v>
      </c>
      <c r="J56">
        <f>IF(AND(MyRowHidden(ROW())=FALSE,MyRowHidden(ROW()-1)=TRUE),0,(G56-G55)*unitsOfExo+J55)</f>
        <v>237600</v>
      </c>
      <c r="K56" s="9">
        <f t="shared" si="1"/>
        <v>-237600</v>
      </c>
      <c r="L56">
        <f t="shared" si="2"/>
        <v>289015</v>
      </c>
      <c r="M56">
        <f>IF(AND(MyRowHidden(ROW())=FALSE,MyRowHidden(ROW()-1)=TRUE),0,IF(MONTH(H56)&lt;&gt;MONTH(H55),M55+1,M55))</f>
        <v>2</v>
      </c>
      <c r="N56">
        <f t="shared" si="3"/>
        <v>51415</v>
      </c>
      <c r="O56">
        <f>IF(AND(MyRowHidden(ROW())=FALSE,MyRowHidden(ROW()-1)=TRUE),0,IF(M56&lt;totalMonths,(totalMonths-M56)/totalMonths *(I56-I55)+O55,0))</f>
        <v>43542.916666666672</v>
      </c>
      <c r="P56">
        <f>IF(AND(MyRowHidden(ROW())=FALSE,MyRowHidden(ROW()-1)=TRUE),0,IF(M56&lt;totalMonths,(totalMonths-M56)/totalMonths *(J56-J55)+P55,0))</f>
        <v>293400</v>
      </c>
      <c r="Q56">
        <f>IF(AND(MyRowHidden(ROW())=FALSE,MyRowHidden(ROW()-1)=TRUE),0,IF(M56&lt;totalMonths,(totalMonths-M56)/totalMonths *(K56-K55)+Q55,0))</f>
        <v>-293400</v>
      </c>
      <c r="R56">
        <f t="shared" si="4"/>
        <v>344815</v>
      </c>
      <c r="S56">
        <f t="shared" si="5"/>
        <v>336942.91666666669</v>
      </c>
    </row>
    <row r="57" spans="1:19" hidden="1" x14ac:dyDescent="0.25">
      <c r="A57" s="1"/>
      <c r="C57" s="1"/>
      <c r="D57" s="1">
        <v>41341</v>
      </c>
      <c r="E57">
        <v>23093</v>
      </c>
      <c r="F57" s="1">
        <v>41341</v>
      </c>
      <c r="G57">
        <v>3425</v>
      </c>
      <c r="H57" s="1">
        <f t="shared" si="0"/>
        <v>41341</v>
      </c>
      <c r="I57">
        <f>IF(AND(MyRowHidden(ROW())=FALSE,MyRowHidden(ROW()-1)=TRUE),0,(E57-E56)*unitsOfDHp+I56)</f>
        <v>13790</v>
      </c>
      <c r="J57">
        <f>IF(AND(MyRowHidden(ROW())=FALSE,MyRowHidden(ROW()-1)=TRUE),0,(G57-G56)*unitsOfExo+J56)</f>
        <v>439200</v>
      </c>
      <c r="K57" s="9">
        <f t="shared" si="1"/>
        <v>-439200</v>
      </c>
      <c r="L57">
        <f t="shared" si="2"/>
        <v>452990</v>
      </c>
      <c r="M57">
        <f>IF(AND(MyRowHidden(ROW())=FALSE,MyRowHidden(ROW()-1)=TRUE),0,IF(MONTH(H57)&lt;&gt;MONTH(H56),M56+1,M56))</f>
        <v>2</v>
      </c>
      <c r="N57">
        <f t="shared" si="3"/>
        <v>13790</v>
      </c>
      <c r="O57">
        <f>IF(AND(MyRowHidden(ROW())=FALSE,MyRowHidden(ROW()-1)=TRUE),0,IF(M57&lt;totalMonths,(totalMonths-M57)/totalMonths *(I57-I56)+O56,0))</f>
        <v>12188.750000000004</v>
      </c>
      <c r="P57">
        <f>IF(AND(MyRowHidden(ROW())=FALSE,MyRowHidden(ROW()-1)=TRUE),0,IF(M57&lt;totalMonths,(totalMonths-M57)/totalMonths *(J57-J56)+P56,0))</f>
        <v>461400</v>
      </c>
      <c r="Q57">
        <f>IF(AND(MyRowHidden(ROW())=FALSE,MyRowHidden(ROW()-1)=TRUE),0,IF(M57&lt;totalMonths,(totalMonths-M57)/totalMonths *(K57-K56)+Q56,0))</f>
        <v>-461400</v>
      </c>
      <c r="R57">
        <f t="shared" si="4"/>
        <v>475190</v>
      </c>
      <c r="S57">
        <f t="shared" si="5"/>
        <v>473588.75</v>
      </c>
    </row>
    <row r="58" spans="1:19" hidden="1" x14ac:dyDescent="0.25">
      <c r="A58" s="1"/>
      <c r="C58" s="1"/>
      <c r="D58" s="1">
        <v>41344</v>
      </c>
      <c r="E58">
        <v>22714</v>
      </c>
      <c r="F58" s="1">
        <v>41344</v>
      </c>
      <c r="G58">
        <v>4187.5</v>
      </c>
      <c r="H58" s="1">
        <f t="shared" si="0"/>
        <v>41344</v>
      </c>
      <c r="I58">
        <f>IF(AND(MyRowHidden(ROW())=FALSE,MyRowHidden(ROW()-1)=TRUE),0,(E58-E57)*unitsOfDHp+I57)</f>
        <v>525</v>
      </c>
      <c r="J58">
        <f>IF(AND(MyRowHidden(ROW())=FALSE,MyRowHidden(ROW()-1)=TRUE),0,(G58-G57)*unitsOfExo+J57)</f>
        <v>658800</v>
      </c>
      <c r="K58" s="9">
        <f t="shared" si="1"/>
        <v>-658800</v>
      </c>
      <c r="L58">
        <f t="shared" si="2"/>
        <v>659325</v>
      </c>
      <c r="M58">
        <f>IF(AND(MyRowHidden(ROW())=FALSE,MyRowHidden(ROW()-1)=TRUE),0,IF(MONTH(H58)&lt;&gt;MONTH(H57),M57+1,M57))</f>
        <v>2</v>
      </c>
      <c r="N58">
        <f t="shared" si="3"/>
        <v>525</v>
      </c>
      <c r="O58">
        <f>IF(AND(MyRowHidden(ROW())=FALSE,MyRowHidden(ROW()-1)=TRUE),0,IF(M58&lt;totalMonths,(totalMonths-M58)/totalMonths *(I58-I57)+O57,0))</f>
        <v>1134.5833333333358</v>
      </c>
      <c r="P58">
        <f>IF(AND(MyRowHidden(ROW())=FALSE,MyRowHidden(ROW()-1)=TRUE),0,IF(M58&lt;totalMonths,(totalMonths-M58)/totalMonths *(J58-J57)+P57,0))</f>
        <v>644400</v>
      </c>
      <c r="Q58">
        <f>IF(AND(MyRowHidden(ROW())=FALSE,MyRowHidden(ROW()-1)=TRUE),0,IF(M58&lt;totalMonths,(totalMonths-M58)/totalMonths *(K58-K57)+Q57,0))</f>
        <v>-644400</v>
      </c>
      <c r="R58">
        <f t="shared" si="4"/>
        <v>644925</v>
      </c>
      <c r="S58">
        <f t="shared" si="5"/>
        <v>645534.58333333337</v>
      </c>
    </row>
    <row r="59" spans="1:19" hidden="1" x14ac:dyDescent="0.25">
      <c r="A59" s="1"/>
      <c r="C59" s="1"/>
      <c r="D59" s="1">
        <v>41345</v>
      </c>
      <c r="E59">
        <v>22689</v>
      </c>
      <c r="F59" s="1">
        <v>41345</v>
      </c>
      <c r="G59">
        <v>4512.5</v>
      </c>
      <c r="H59" s="1">
        <f t="shared" si="0"/>
        <v>41345</v>
      </c>
      <c r="I59">
        <f>IF(AND(MyRowHidden(ROW())=FALSE,MyRowHidden(ROW()-1)=TRUE),0,(E59-E58)*unitsOfDHp+I58)</f>
        <v>-350</v>
      </c>
      <c r="J59">
        <f>IF(AND(MyRowHidden(ROW())=FALSE,MyRowHidden(ROW()-1)=TRUE),0,(G59-G58)*unitsOfExo+J58)</f>
        <v>752400</v>
      </c>
      <c r="K59" s="9">
        <f t="shared" si="1"/>
        <v>-752400</v>
      </c>
      <c r="L59">
        <f t="shared" si="2"/>
        <v>752050</v>
      </c>
      <c r="M59">
        <f>IF(AND(MyRowHidden(ROW())=FALSE,MyRowHidden(ROW()-1)=TRUE),0,IF(MONTH(H59)&lt;&gt;MONTH(H58),M58+1,M58))</f>
        <v>2</v>
      </c>
      <c r="N59">
        <f t="shared" si="3"/>
        <v>-350</v>
      </c>
      <c r="O59">
        <f>IF(AND(MyRowHidden(ROW())=FALSE,MyRowHidden(ROW()-1)=TRUE),0,IF(M59&lt;totalMonths,(totalMonths-M59)/totalMonths *(I59-I58)+O58,0))</f>
        <v>405.41666666666902</v>
      </c>
      <c r="P59">
        <f>IF(AND(MyRowHidden(ROW())=FALSE,MyRowHidden(ROW()-1)=TRUE),0,IF(M59&lt;totalMonths,(totalMonths-M59)/totalMonths *(J59-J58)+P58,0))</f>
        <v>722400</v>
      </c>
      <c r="Q59">
        <f>IF(AND(MyRowHidden(ROW())=FALSE,MyRowHidden(ROW()-1)=TRUE),0,IF(M59&lt;totalMonths,(totalMonths-M59)/totalMonths *(K59-K58)+Q58,0))</f>
        <v>-722400</v>
      </c>
      <c r="R59">
        <f t="shared" si="4"/>
        <v>722050</v>
      </c>
      <c r="S59">
        <f t="shared" si="5"/>
        <v>722805.41666666663</v>
      </c>
    </row>
    <row r="60" spans="1:19" hidden="1" x14ac:dyDescent="0.25">
      <c r="A60" s="1"/>
      <c r="C60" s="1"/>
      <c r="D60" s="1">
        <v>41346</v>
      </c>
      <c r="E60">
        <v>22719</v>
      </c>
      <c r="F60" s="1">
        <v>41346</v>
      </c>
      <c r="G60">
        <v>4200</v>
      </c>
      <c r="H60" s="1">
        <f t="shared" si="0"/>
        <v>41346</v>
      </c>
      <c r="I60">
        <f>IF(AND(MyRowHidden(ROW())=FALSE,MyRowHidden(ROW()-1)=TRUE),0,(E60-E59)*unitsOfDHp+I59)</f>
        <v>700</v>
      </c>
      <c r="J60">
        <f>IF(AND(MyRowHidden(ROW())=FALSE,MyRowHidden(ROW()-1)=TRUE),0,(G60-G59)*unitsOfExo+J59)</f>
        <v>662400</v>
      </c>
      <c r="K60" s="9">
        <f t="shared" si="1"/>
        <v>-662400</v>
      </c>
      <c r="L60">
        <f t="shared" si="2"/>
        <v>663100</v>
      </c>
      <c r="M60">
        <f>IF(AND(MyRowHidden(ROW())=FALSE,MyRowHidden(ROW()-1)=TRUE),0,IF(MONTH(H60)&lt;&gt;MONTH(H59),M59+1,M59))</f>
        <v>2</v>
      </c>
      <c r="N60">
        <f t="shared" si="3"/>
        <v>700</v>
      </c>
      <c r="O60">
        <f>IF(AND(MyRowHidden(ROW())=FALSE,MyRowHidden(ROW()-1)=TRUE),0,IF(M60&lt;totalMonths,(totalMonths-M60)/totalMonths *(I60-I59)+O59,0))</f>
        <v>1280.416666666669</v>
      </c>
      <c r="P60">
        <f>IF(AND(MyRowHidden(ROW())=FALSE,MyRowHidden(ROW()-1)=TRUE),0,IF(M60&lt;totalMonths,(totalMonths-M60)/totalMonths *(J60-J59)+P59,0))</f>
        <v>647400</v>
      </c>
      <c r="Q60">
        <f>IF(AND(MyRowHidden(ROW())=FALSE,MyRowHidden(ROW()-1)=TRUE),0,IF(M60&lt;totalMonths,(totalMonths-M60)/totalMonths *(K60-K59)+Q59,0))</f>
        <v>-647400</v>
      </c>
      <c r="R60">
        <f t="shared" si="4"/>
        <v>648100</v>
      </c>
      <c r="S60">
        <f t="shared" si="5"/>
        <v>648680.41666666663</v>
      </c>
    </row>
    <row r="61" spans="1:19" hidden="1" x14ac:dyDescent="0.25">
      <c r="A61" s="1"/>
      <c r="C61" s="1"/>
      <c r="D61" s="1">
        <v>41347</v>
      </c>
      <c r="E61">
        <v>22443</v>
      </c>
      <c r="F61" s="1">
        <v>41347</v>
      </c>
      <c r="G61">
        <v>4487.5</v>
      </c>
      <c r="H61" s="1">
        <f t="shared" si="0"/>
        <v>41347</v>
      </c>
      <c r="I61">
        <f>IF(AND(MyRowHidden(ROW())=FALSE,MyRowHidden(ROW()-1)=TRUE),0,(E61-E60)*unitsOfDHp+I60)</f>
        <v>-8960</v>
      </c>
      <c r="J61">
        <f>IF(AND(MyRowHidden(ROW())=FALSE,MyRowHidden(ROW()-1)=TRUE),0,(G61-G60)*unitsOfExo+J60)</f>
        <v>745200</v>
      </c>
      <c r="K61" s="9">
        <f t="shared" si="1"/>
        <v>-745200</v>
      </c>
      <c r="L61">
        <f t="shared" si="2"/>
        <v>736240</v>
      </c>
      <c r="M61">
        <f>IF(AND(MyRowHidden(ROW())=FALSE,MyRowHidden(ROW()-1)=TRUE),0,IF(MONTH(H61)&lt;&gt;MONTH(H60),M60+1,M60))</f>
        <v>2</v>
      </c>
      <c r="N61">
        <f t="shared" si="3"/>
        <v>-8960</v>
      </c>
      <c r="O61">
        <f>IF(AND(MyRowHidden(ROW())=FALSE,MyRowHidden(ROW()-1)=TRUE),0,IF(M61&lt;totalMonths,(totalMonths-M61)/totalMonths *(I61-I60)+O60,0))</f>
        <v>-6769.5833333333312</v>
      </c>
      <c r="P61">
        <f>IF(AND(MyRowHidden(ROW())=FALSE,MyRowHidden(ROW()-1)=TRUE),0,IF(M61&lt;totalMonths,(totalMonths-M61)/totalMonths *(J61-J60)+P60,0))</f>
        <v>716400</v>
      </c>
      <c r="Q61">
        <f>IF(AND(MyRowHidden(ROW())=FALSE,MyRowHidden(ROW()-1)=TRUE),0,IF(M61&lt;totalMonths,(totalMonths-M61)/totalMonths *(K61-K60)+Q60,0))</f>
        <v>-716400</v>
      </c>
      <c r="R61">
        <f t="shared" si="4"/>
        <v>707440</v>
      </c>
      <c r="S61">
        <f t="shared" si="5"/>
        <v>709630.41666666663</v>
      </c>
    </row>
    <row r="62" spans="1:19" hidden="1" x14ac:dyDescent="0.25">
      <c r="A62" s="1"/>
      <c r="C62" s="1"/>
      <c r="D62" s="1">
        <v>41348</v>
      </c>
      <c r="E62">
        <v>22412</v>
      </c>
      <c r="F62" s="1">
        <v>41348</v>
      </c>
      <c r="G62">
        <v>4550</v>
      </c>
      <c r="H62" s="1">
        <f t="shared" si="0"/>
        <v>41348</v>
      </c>
      <c r="I62">
        <f>IF(AND(MyRowHidden(ROW())=FALSE,MyRowHidden(ROW()-1)=TRUE),0,(E62-E61)*unitsOfDHp+I61)</f>
        <v>-10045</v>
      </c>
      <c r="J62">
        <f>IF(AND(MyRowHidden(ROW())=FALSE,MyRowHidden(ROW()-1)=TRUE),0,(G62-G61)*unitsOfExo+J61)</f>
        <v>763200</v>
      </c>
      <c r="K62" s="9">
        <f t="shared" si="1"/>
        <v>-763200</v>
      </c>
      <c r="L62">
        <f t="shared" si="2"/>
        <v>753155</v>
      </c>
      <c r="M62">
        <f>IF(AND(MyRowHidden(ROW())=FALSE,MyRowHidden(ROW()-1)=TRUE),0,IF(MONTH(H62)&lt;&gt;MONTH(H61),M61+1,M61))</f>
        <v>2</v>
      </c>
      <c r="N62">
        <f t="shared" si="3"/>
        <v>-10045</v>
      </c>
      <c r="O62">
        <f>IF(AND(MyRowHidden(ROW())=FALSE,MyRowHidden(ROW()-1)=TRUE),0,IF(M62&lt;totalMonths,(totalMonths-M62)/totalMonths *(I62-I61)+O61,0))</f>
        <v>-7673.7499999999982</v>
      </c>
      <c r="P62">
        <f>IF(AND(MyRowHidden(ROW())=FALSE,MyRowHidden(ROW()-1)=TRUE),0,IF(M62&lt;totalMonths,(totalMonths-M62)/totalMonths *(J62-J61)+P61,0))</f>
        <v>731400</v>
      </c>
      <c r="Q62">
        <f>IF(AND(MyRowHidden(ROW())=FALSE,MyRowHidden(ROW()-1)=TRUE),0,IF(M62&lt;totalMonths,(totalMonths-M62)/totalMonths *(K62-K61)+Q61,0))</f>
        <v>-731400</v>
      </c>
      <c r="R62">
        <f t="shared" si="4"/>
        <v>721355</v>
      </c>
      <c r="S62">
        <f t="shared" si="5"/>
        <v>723726.25</v>
      </c>
    </row>
    <row r="63" spans="1:19" hidden="1" x14ac:dyDescent="0.25">
      <c r="A63" s="1"/>
      <c r="C63" s="1"/>
      <c r="D63" s="1">
        <v>41351</v>
      </c>
      <c r="E63">
        <v>22396</v>
      </c>
      <c r="F63" s="1">
        <v>41351</v>
      </c>
      <c r="G63">
        <v>4562.5</v>
      </c>
      <c r="H63" s="1">
        <f t="shared" si="0"/>
        <v>41351</v>
      </c>
      <c r="I63">
        <f>IF(AND(MyRowHidden(ROW())=FALSE,MyRowHidden(ROW()-1)=TRUE),0,(E63-E62)*unitsOfDHp+I62)</f>
        <v>-10605</v>
      </c>
      <c r="J63">
        <f>IF(AND(MyRowHidden(ROW())=FALSE,MyRowHidden(ROW()-1)=TRUE),0,(G63-G62)*unitsOfExo+J62)</f>
        <v>766800</v>
      </c>
      <c r="K63" s="9">
        <f t="shared" si="1"/>
        <v>-766800</v>
      </c>
      <c r="L63">
        <f t="shared" si="2"/>
        <v>756195</v>
      </c>
      <c r="M63">
        <f>IF(AND(MyRowHidden(ROW())=FALSE,MyRowHidden(ROW()-1)=TRUE),0,IF(MONTH(H63)&lt;&gt;MONTH(H62),M62+1,M62))</f>
        <v>2</v>
      </c>
      <c r="N63">
        <f t="shared" si="3"/>
        <v>-10605</v>
      </c>
      <c r="O63">
        <f>IF(AND(MyRowHidden(ROW())=FALSE,MyRowHidden(ROW()-1)=TRUE),0,IF(M63&lt;totalMonths,(totalMonths-M63)/totalMonths *(I63-I62)+O62,0))</f>
        <v>-8140.4166666666652</v>
      </c>
      <c r="P63">
        <f>IF(AND(MyRowHidden(ROW())=FALSE,MyRowHidden(ROW()-1)=TRUE),0,IF(M63&lt;totalMonths,(totalMonths-M63)/totalMonths *(J63-J62)+P62,0))</f>
        <v>734400</v>
      </c>
      <c r="Q63">
        <f>IF(AND(MyRowHidden(ROW())=FALSE,MyRowHidden(ROW()-1)=TRUE),0,IF(M63&lt;totalMonths,(totalMonths-M63)/totalMonths *(K63-K62)+Q62,0))</f>
        <v>-734400</v>
      </c>
      <c r="R63">
        <f t="shared" si="4"/>
        <v>723795</v>
      </c>
      <c r="S63">
        <f t="shared" si="5"/>
        <v>726259.58333333337</v>
      </c>
    </row>
    <row r="64" spans="1:19" hidden="1" x14ac:dyDescent="0.25">
      <c r="A64" s="1"/>
      <c r="C64" s="1"/>
      <c r="D64" s="1">
        <v>41352</v>
      </c>
      <c r="E64">
        <v>22266</v>
      </c>
      <c r="F64" s="1">
        <v>41352</v>
      </c>
      <c r="G64">
        <v>5012.5</v>
      </c>
      <c r="H64" s="1">
        <f t="shared" si="0"/>
        <v>41352</v>
      </c>
      <c r="I64">
        <f>IF(AND(MyRowHidden(ROW())=FALSE,MyRowHidden(ROW()-1)=TRUE),0,(E64-E63)*unitsOfDHp+I63)</f>
        <v>-15155</v>
      </c>
      <c r="J64">
        <f>IF(AND(MyRowHidden(ROW())=FALSE,MyRowHidden(ROW()-1)=TRUE),0,(G64-G63)*unitsOfExo+J63)</f>
        <v>896400</v>
      </c>
      <c r="K64" s="9">
        <f t="shared" si="1"/>
        <v>-896400</v>
      </c>
      <c r="L64">
        <f t="shared" si="2"/>
        <v>881245</v>
      </c>
      <c r="M64">
        <f>IF(AND(MyRowHidden(ROW())=FALSE,MyRowHidden(ROW()-1)=TRUE),0,IF(MONTH(H64)&lt;&gt;MONTH(H63),M63+1,M63))</f>
        <v>2</v>
      </c>
      <c r="N64">
        <f t="shared" si="3"/>
        <v>-15155</v>
      </c>
      <c r="O64">
        <f>IF(AND(MyRowHidden(ROW())=FALSE,MyRowHidden(ROW()-1)=TRUE),0,IF(M64&lt;totalMonths,(totalMonths-M64)/totalMonths *(I64-I63)+O63,0))</f>
        <v>-11932.083333333332</v>
      </c>
      <c r="P64">
        <f>IF(AND(MyRowHidden(ROW())=FALSE,MyRowHidden(ROW()-1)=TRUE),0,IF(M64&lt;totalMonths,(totalMonths-M64)/totalMonths *(J64-J63)+P63,0))</f>
        <v>842400</v>
      </c>
      <c r="Q64">
        <f>IF(AND(MyRowHidden(ROW())=FALSE,MyRowHidden(ROW()-1)=TRUE),0,IF(M64&lt;totalMonths,(totalMonths-M64)/totalMonths *(K64-K63)+Q63,0))</f>
        <v>-842400</v>
      </c>
      <c r="R64">
        <f t="shared" si="4"/>
        <v>827245</v>
      </c>
      <c r="S64">
        <f t="shared" si="5"/>
        <v>830467.91666666663</v>
      </c>
    </row>
    <row r="65" spans="1:19" hidden="1" x14ac:dyDescent="0.25">
      <c r="A65" s="1"/>
      <c r="C65" s="1"/>
      <c r="D65" s="1">
        <v>41353</v>
      </c>
      <c r="E65">
        <v>22217</v>
      </c>
      <c r="F65" s="1">
        <v>41353</v>
      </c>
      <c r="G65">
        <v>5275</v>
      </c>
      <c r="H65" s="1">
        <f t="shared" si="0"/>
        <v>41353</v>
      </c>
      <c r="I65">
        <f>IF(AND(MyRowHidden(ROW())=FALSE,MyRowHidden(ROW()-1)=TRUE),0,(E65-E64)*unitsOfDHp+I64)</f>
        <v>-16870</v>
      </c>
      <c r="J65">
        <f>IF(AND(MyRowHidden(ROW())=FALSE,MyRowHidden(ROW()-1)=TRUE),0,(G65-G64)*unitsOfExo+J64)</f>
        <v>972000</v>
      </c>
      <c r="K65" s="9">
        <f t="shared" si="1"/>
        <v>-972000</v>
      </c>
      <c r="L65">
        <f t="shared" si="2"/>
        <v>955130</v>
      </c>
      <c r="M65">
        <f>IF(AND(MyRowHidden(ROW())=FALSE,MyRowHidden(ROW()-1)=TRUE),0,IF(MONTH(H65)&lt;&gt;MONTH(H64),M64+1,M64))</f>
        <v>2</v>
      </c>
      <c r="N65">
        <f t="shared" si="3"/>
        <v>-16870</v>
      </c>
      <c r="O65">
        <f>IF(AND(MyRowHidden(ROW())=FALSE,MyRowHidden(ROW()-1)=TRUE),0,IF(M65&lt;totalMonths,(totalMonths-M65)/totalMonths *(I65-I64)+O64,0))</f>
        <v>-13361.249999999998</v>
      </c>
      <c r="P65">
        <f>IF(AND(MyRowHidden(ROW())=FALSE,MyRowHidden(ROW()-1)=TRUE),0,IF(M65&lt;totalMonths,(totalMonths-M65)/totalMonths *(J65-J64)+P64,0))</f>
        <v>905400</v>
      </c>
      <c r="Q65">
        <f>IF(AND(MyRowHidden(ROW())=FALSE,MyRowHidden(ROW()-1)=TRUE),0,IF(M65&lt;totalMonths,(totalMonths-M65)/totalMonths *(K65-K64)+Q64,0))</f>
        <v>-905400</v>
      </c>
      <c r="R65">
        <f t="shared" si="4"/>
        <v>888530</v>
      </c>
      <c r="S65">
        <f t="shared" si="5"/>
        <v>892038.75</v>
      </c>
    </row>
    <row r="66" spans="1:19" hidden="1" x14ac:dyDescent="0.25">
      <c r="A66" s="1"/>
      <c r="C66" s="1"/>
      <c r="D66" s="1">
        <v>41354</v>
      </c>
      <c r="E66">
        <v>22229</v>
      </c>
      <c r="F66" s="1">
        <v>41354</v>
      </c>
      <c r="G66">
        <v>5425</v>
      </c>
      <c r="H66" s="1">
        <f t="shared" si="0"/>
        <v>41354</v>
      </c>
      <c r="I66">
        <f>IF(AND(MyRowHidden(ROW())=FALSE,MyRowHidden(ROW()-1)=TRUE),0,(E66-E65)*unitsOfDHp+I65)</f>
        <v>-16450</v>
      </c>
      <c r="J66">
        <f>IF(AND(MyRowHidden(ROW())=FALSE,MyRowHidden(ROW()-1)=TRUE),0,(G66-G65)*unitsOfExo+J65)</f>
        <v>1015200</v>
      </c>
      <c r="K66" s="9">
        <f t="shared" si="1"/>
        <v>-1015200</v>
      </c>
      <c r="L66">
        <f t="shared" si="2"/>
        <v>998750</v>
      </c>
      <c r="M66">
        <f>IF(AND(MyRowHidden(ROW())=FALSE,MyRowHidden(ROW()-1)=TRUE),0,IF(MONTH(H66)&lt;&gt;MONTH(H65),M65+1,M65))</f>
        <v>2</v>
      </c>
      <c r="N66">
        <f t="shared" si="3"/>
        <v>-16450</v>
      </c>
      <c r="O66">
        <f>IF(AND(MyRowHidden(ROW())=FALSE,MyRowHidden(ROW()-1)=TRUE),0,IF(M66&lt;totalMonths,(totalMonths-M66)/totalMonths *(I66-I65)+O65,0))</f>
        <v>-13011.249999999998</v>
      </c>
      <c r="P66">
        <f>IF(AND(MyRowHidden(ROW())=FALSE,MyRowHidden(ROW()-1)=TRUE),0,IF(M66&lt;totalMonths,(totalMonths-M66)/totalMonths *(J66-J65)+P65,0))</f>
        <v>941400</v>
      </c>
      <c r="Q66">
        <f>IF(AND(MyRowHidden(ROW())=FALSE,MyRowHidden(ROW()-1)=TRUE),0,IF(M66&lt;totalMonths,(totalMonths-M66)/totalMonths *(K66-K65)+Q65,0))</f>
        <v>-941400</v>
      </c>
      <c r="R66">
        <f t="shared" si="4"/>
        <v>924950</v>
      </c>
      <c r="S66">
        <f t="shared" si="5"/>
        <v>928388.75</v>
      </c>
    </row>
    <row r="67" spans="1:19" hidden="1" x14ac:dyDescent="0.25">
      <c r="A67" s="1"/>
      <c r="C67" s="1"/>
      <c r="D67" s="1">
        <v>41355</v>
      </c>
      <c r="E67">
        <v>22185</v>
      </c>
      <c r="F67" s="1">
        <v>41355</v>
      </c>
      <c r="G67">
        <v>5075</v>
      </c>
      <c r="H67" s="1">
        <f t="shared" si="0"/>
        <v>41355</v>
      </c>
      <c r="I67">
        <f>IF(AND(MyRowHidden(ROW())=FALSE,MyRowHidden(ROW()-1)=TRUE),0,(E67-E66)*unitsOfDHp+I66)</f>
        <v>-17990</v>
      </c>
      <c r="J67">
        <f>IF(AND(MyRowHidden(ROW())=FALSE,MyRowHidden(ROW()-1)=TRUE),0,(G67-G66)*unitsOfExo+J66)</f>
        <v>914400</v>
      </c>
      <c r="K67" s="9">
        <f t="shared" si="1"/>
        <v>-914400</v>
      </c>
      <c r="L67">
        <f t="shared" si="2"/>
        <v>896410</v>
      </c>
      <c r="M67">
        <f>IF(AND(MyRowHidden(ROW())=FALSE,MyRowHidden(ROW()-1)=TRUE),0,IF(MONTH(H67)&lt;&gt;MONTH(H66),M66+1,M66))</f>
        <v>2</v>
      </c>
      <c r="N67">
        <f t="shared" si="3"/>
        <v>-17990</v>
      </c>
      <c r="O67">
        <f>IF(AND(MyRowHidden(ROW())=FALSE,MyRowHidden(ROW()-1)=TRUE),0,IF(M67&lt;totalMonths,(totalMonths-M67)/totalMonths *(I67-I66)+O66,0))</f>
        <v>-14294.583333333332</v>
      </c>
      <c r="P67">
        <f>IF(AND(MyRowHidden(ROW())=FALSE,MyRowHidden(ROW()-1)=TRUE),0,IF(M67&lt;totalMonths,(totalMonths-M67)/totalMonths *(J67-J66)+P66,0))</f>
        <v>857400</v>
      </c>
      <c r="Q67">
        <f>IF(AND(MyRowHidden(ROW())=FALSE,MyRowHidden(ROW()-1)=TRUE),0,IF(M67&lt;totalMonths,(totalMonths-M67)/totalMonths *(K67-K66)+Q66,0))</f>
        <v>-857400</v>
      </c>
      <c r="R67">
        <f t="shared" si="4"/>
        <v>839410</v>
      </c>
      <c r="S67">
        <f t="shared" si="5"/>
        <v>843105.41666666663</v>
      </c>
    </row>
    <row r="68" spans="1:19" hidden="1" x14ac:dyDescent="0.25">
      <c r="A68" s="1"/>
      <c r="C68" s="1"/>
      <c r="D68" s="1">
        <v>41358</v>
      </c>
      <c r="E68">
        <v>22134</v>
      </c>
      <c r="F68" s="1">
        <v>41358</v>
      </c>
      <c r="G68">
        <v>5262.5</v>
      </c>
      <c r="H68" s="1">
        <f t="shared" si="0"/>
        <v>41358</v>
      </c>
      <c r="I68">
        <f>IF(AND(MyRowHidden(ROW())=FALSE,MyRowHidden(ROW()-1)=TRUE),0,(E68-E67)*unitsOfDHp+I67)</f>
        <v>-19775</v>
      </c>
      <c r="J68">
        <f>IF(AND(MyRowHidden(ROW())=FALSE,MyRowHidden(ROW()-1)=TRUE),0,(G68-G67)*unitsOfExo+J67)</f>
        <v>968400</v>
      </c>
      <c r="K68" s="9">
        <f t="shared" si="1"/>
        <v>-968400</v>
      </c>
      <c r="L68">
        <f t="shared" si="2"/>
        <v>948625</v>
      </c>
      <c r="M68">
        <f>IF(AND(MyRowHidden(ROW())=FALSE,MyRowHidden(ROW()-1)=TRUE),0,IF(MONTH(H68)&lt;&gt;MONTH(H67),M67+1,M67))</f>
        <v>2</v>
      </c>
      <c r="N68">
        <f t="shared" si="3"/>
        <v>-19775</v>
      </c>
      <c r="O68">
        <f>IF(AND(MyRowHidden(ROW())=FALSE,MyRowHidden(ROW()-1)=TRUE),0,IF(M68&lt;totalMonths,(totalMonths-M68)/totalMonths *(I68-I67)+O67,0))</f>
        <v>-15782.083333333332</v>
      </c>
      <c r="P68">
        <f>IF(AND(MyRowHidden(ROW())=FALSE,MyRowHidden(ROW()-1)=TRUE),0,IF(M68&lt;totalMonths,(totalMonths-M68)/totalMonths *(J68-J67)+P67,0))</f>
        <v>902400</v>
      </c>
      <c r="Q68">
        <f>IF(AND(MyRowHidden(ROW())=FALSE,MyRowHidden(ROW()-1)=TRUE),0,IF(M68&lt;totalMonths,(totalMonths-M68)/totalMonths *(K68-K67)+Q67,0))</f>
        <v>-902400</v>
      </c>
      <c r="R68">
        <f t="shared" si="4"/>
        <v>882625</v>
      </c>
      <c r="S68">
        <f t="shared" si="5"/>
        <v>886617.91666666663</v>
      </c>
    </row>
    <row r="69" spans="1:19" hidden="1" x14ac:dyDescent="0.25">
      <c r="A69" s="1"/>
      <c r="C69" s="1"/>
      <c r="D69" s="1">
        <v>41359</v>
      </c>
      <c r="E69">
        <v>22112</v>
      </c>
      <c r="F69" s="1">
        <v>41359</v>
      </c>
      <c r="G69">
        <v>5137.5</v>
      </c>
      <c r="H69" s="1">
        <f t="shared" si="0"/>
        <v>41359</v>
      </c>
      <c r="I69">
        <f>IF(AND(MyRowHidden(ROW())=FALSE,MyRowHidden(ROW()-1)=TRUE),0,(E69-E68)*unitsOfDHp+I68)</f>
        <v>-20545</v>
      </c>
      <c r="J69">
        <f>IF(AND(MyRowHidden(ROW())=FALSE,MyRowHidden(ROW()-1)=TRUE),0,(G69-G68)*unitsOfExo+J68)</f>
        <v>932400</v>
      </c>
      <c r="K69" s="9">
        <f t="shared" si="1"/>
        <v>-932400</v>
      </c>
      <c r="L69">
        <f t="shared" si="2"/>
        <v>911855</v>
      </c>
      <c r="M69">
        <f>IF(AND(MyRowHidden(ROW())=FALSE,MyRowHidden(ROW()-1)=TRUE),0,IF(MONTH(H69)&lt;&gt;MONTH(H68),M68+1,M68))</f>
        <v>2</v>
      </c>
      <c r="N69">
        <f t="shared" si="3"/>
        <v>-20545</v>
      </c>
      <c r="O69">
        <f>IF(AND(MyRowHidden(ROW())=FALSE,MyRowHidden(ROW()-1)=TRUE),0,IF(M69&lt;totalMonths,(totalMonths-M69)/totalMonths *(I69-I68)+O68,0))</f>
        <v>-16423.75</v>
      </c>
      <c r="P69">
        <f>IF(AND(MyRowHidden(ROW())=FALSE,MyRowHidden(ROW()-1)=TRUE),0,IF(M69&lt;totalMonths,(totalMonths-M69)/totalMonths *(J69-J68)+P68,0))</f>
        <v>872400</v>
      </c>
      <c r="Q69">
        <f>IF(AND(MyRowHidden(ROW())=FALSE,MyRowHidden(ROW()-1)=TRUE),0,IF(M69&lt;totalMonths,(totalMonths-M69)/totalMonths *(K69-K68)+Q68,0))</f>
        <v>-872400</v>
      </c>
      <c r="R69">
        <f t="shared" si="4"/>
        <v>851855</v>
      </c>
      <c r="S69">
        <f t="shared" si="5"/>
        <v>855976.25</v>
      </c>
    </row>
    <row r="70" spans="1:19" hidden="1" x14ac:dyDescent="0.25">
      <c r="A70" s="1"/>
      <c r="C70" s="1"/>
      <c r="D70" s="1">
        <v>41360</v>
      </c>
      <c r="E70">
        <v>21997</v>
      </c>
      <c r="F70" s="1">
        <v>41360</v>
      </c>
      <c r="G70">
        <v>5537.5</v>
      </c>
      <c r="H70" s="1">
        <f t="shared" si="0"/>
        <v>41360</v>
      </c>
      <c r="I70">
        <f>IF(AND(MyRowHidden(ROW())=FALSE,MyRowHidden(ROW()-1)=TRUE),0,(E70-E69)*unitsOfDHp+I69)</f>
        <v>-24570</v>
      </c>
      <c r="J70">
        <f>IF(AND(MyRowHidden(ROW())=FALSE,MyRowHidden(ROW()-1)=TRUE),0,(G70-G69)*unitsOfExo+J69)</f>
        <v>1047600</v>
      </c>
      <c r="K70" s="9">
        <f t="shared" si="1"/>
        <v>-1047600</v>
      </c>
      <c r="L70">
        <f t="shared" si="2"/>
        <v>1023030</v>
      </c>
      <c r="M70">
        <f>IF(AND(MyRowHidden(ROW())=FALSE,MyRowHidden(ROW()-1)=TRUE),0,IF(MONTH(H70)&lt;&gt;MONTH(H69),M69+1,M69))</f>
        <v>2</v>
      </c>
      <c r="N70">
        <f t="shared" si="3"/>
        <v>-24570</v>
      </c>
      <c r="O70">
        <f>IF(AND(MyRowHidden(ROW())=FALSE,MyRowHidden(ROW()-1)=TRUE),0,IF(M70&lt;totalMonths,(totalMonths-M70)/totalMonths *(I70-I69)+O69,0))</f>
        <v>-19777.916666666668</v>
      </c>
      <c r="P70">
        <f>IF(AND(MyRowHidden(ROW())=FALSE,MyRowHidden(ROW()-1)=TRUE),0,IF(M70&lt;totalMonths,(totalMonths-M70)/totalMonths *(J70-J69)+P69,0))</f>
        <v>968400</v>
      </c>
      <c r="Q70">
        <f>IF(AND(MyRowHidden(ROW())=FALSE,MyRowHidden(ROW()-1)=TRUE),0,IF(M70&lt;totalMonths,(totalMonths-M70)/totalMonths *(K70-K69)+Q69,0))</f>
        <v>-968400</v>
      </c>
      <c r="R70">
        <f t="shared" si="4"/>
        <v>943830</v>
      </c>
      <c r="S70">
        <f t="shared" si="5"/>
        <v>948622.08333333337</v>
      </c>
    </row>
    <row r="71" spans="1:19" hidden="1" x14ac:dyDescent="0.25">
      <c r="A71" s="1"/>
      <c r="C71" s="1"/>
      <c r="D71" s="1">
        <v>41361</v>
      </c>
      <c r="E71">
        <v>23482</v>
      </c>
      <c r="F71" s="1">
        <v>41361</v>
      </c>
      <c r="G71">
        <v>3487.5</v>
      </c>
      <c r="H71" s="1">
        <f t="shared" si="0"/>
        <v>41361</v>
      </c>
      <c r="I71">
        <f>IF(AND(MyRowHidden(ROW())=FALSE,MyRowHidden(ROW()-1)=TRUE),0,(E71-E70)*unitsOfDHp+I70)</f>
        <v>27405</v>
      </c>
      <c r="J71">
        <f>IF(AND(MyRowHidden(ROW())=FALSE,MyRowHidden(ROW()-1)=TRUE),0,(G71-G70)*unitsOfExo+J70)</f>
        <v>457200</v>
      </c>
      <c r="K71" s="9">
        <f t="shared" si="1"/>
        <v>-457200</v>
      </c>
      <c r="L71">
        <f t="shared" si="2"/>
        <v>484605</v>
      </c>
      <c r="M71">
        <f>IF(AND(MyRowHidden(ROW())=FALSE,MyRowHidden(ROW()-1)=TRUE),0,IF(MONTH(H71)&lt;&gt;MONTH(H70),M70+1,M70))</f>
        <v>2</v>
      </c>
      <c r="N71">
        <f t="shared" si="3"/>
        <v>27405</v>
      </c>
      <c r="O71">
        <f>IF(AND(MyRowHidden(ROW())=FALSE,MyRowHidden(ROW()-1)=TRUE),0,IF(M71&lt;totalMonths,(totalMonths-M71)/totalMonths *(I71-I70)+O70,0))</f>
        <v>23534.583333333332</v>
      </c>
      <c r="P71">
        <f>IF(AND(MyRowHidden(ROW())=FALSE,MyRowHidden(ROW()-1)=TRUE),0,IF(M71&lt;totalMonths,(totalMonths-M71)/totalMonths *(J71-J70)+P70,0))</f>
        <v>476400</v>
      </c>
      <c r="Q71">
        <f>IF(AND(MyRowHidden(ROW())=FALSE,MyRowHidden(ROW()-1)=TRUE),0,IF(M71&lt;totalMonths,(totalMonths-M71)/totalMonths *(K71-K70)+Q70,0))</f>
        <v>-476400</v>
      </c>
      <c r="R71">
        <f t="shared" si="4"/>
        <v>503805</v>
      </c>
      <c r="S71">
        <f t="shared" si="5"/>
        <v>499934.58333333331</v>
      </c>
    </row>
    <row r="72" spans="1:19" hidden="1" x14ac:dyDescent="0.25">
      <c r="A72" s="1"/>
      <c r="C72" s="1"/>
      <c r="D72" s="1">
        <v>41362</v>
      </c>
      <c r="E72">
        <v>23225</v>
      </c>
      <c r="F72" s="1">
        <v>41362</v>
      </c>
      <c r="G72">
        <v>3487.5</v>
      </c>
      <c r="H72" s="1">
        <f t="shared" si="0"/>
        <v>41362</v>
      </c>
      <c r="I72">
        <f>IF(AND(MyRowHidden(ROW())=FALSE,MyRowHidden(ROW()-1)=TRUE),0,(E72-E71)*unitsOfDHp+I71)</f>
        <v>18410</v>
      </c>
      <c r="J72">
        <f>IF(AND(MyRowHidden(ROW())=FALSE,MyRowHidden(ROW()-1)=TRUE),0,(G72-G71)*unitsOfExo+J71)</f>
        <v>457200</v>
      </c>
      <c r="K72" s="9">
        <f t="shared" si="1"/>
        <v>-457200</v>
      </c>
      <c r="L72">
        <f t="shared" si="2"/>
        <v>475610</v>
      </c>
      <c r="M72">
        <f>IF(AND(MyRowHidden(ROW())=FALSE,MyRowHidden(ROW()-1)=TRUE),0,IF(MONTH(H72)&lt;&gt;MONTH(H71),M71+1,M71))</f>
        <v>2</v>
      </c>
      <c r="N72">
        <f t="shared" si="3"/>
        <v>18410</v>
      </c>
      <c r="O72">
        <f>IF(AND(MyRowHidden(ROW())=FALSE,MyRowHidden(ROW()-1)=TRUE),0,IF(M72&lt;totalMonths,(totalMonths-M72)/totalMonths *(I72-I71)+O71,0))</f>
        <v>16038.749999999998</v>
      </c>
      <c r="P72">
        <f>IF(AND(MyRowHidden(ROW())=FALSE,MyRowHidden(ROW()-1)=TRUE),0,IF(M72&lt;totalMonths,(totalMonths-M72)/totalMonths *(J72-J71)+P71,0))</f>
        <v>476400</v>
      </c>
      <c r="Q72">
        <f>IF(AND(MyRowHidden(ROW())=FALSE,MyRowHidden(ROW()-1)=TRUE),0,IF(M72&lt;totalMonths,(totalMonths-M72)/totalMonths *(K72-K71)+Q71,0))</f>
        <v>-476400</v>
      </c>
      <c r="R72">
        <f t="shared" si="4"/>
        <v>494810</v>
      </c>
      <c r="S72">
        <f t="shared" si="5"/>
        <v>492438.75</v>
      </c>
    </row>
    <row r="73" spans="1:19" hidden="1" x14ac:dyDescent="0.25">
      <c r="A73" s="1"/>
      <c r="C73" s="1"/>
      <c r="D73" s="1">
        <v>41365</v>
      </c>
      <c r="E73">
        <v>22464</v>
      </c>
      <c r="F73" s="1">
        <v>41365</v>
      </c>
      <c r="G73">
        <v>1037.5</v>
      </c>
      <c r="H73" s="1">
        <f t="shared" si="0"/>
        <v>41365</v>
      </c>
      <c r="I73">
        <f>IF(AND(MyRowHidden(ROW())=FALSE,MyRowHidden(ROW()-1)=TRUE),0,(E73-E72)*unitsOfDHp+I72)</f>
        <v>-8225</v>
      </c>
      <c r="J73">
        <f>IF(AND(MyRowHidden(ROW())=FALSE,MyRowHidden(ROW()-1)=TRUE),0,(G73-G72)*unitsOfExo+J72)</f>
        <v>-248400</v>
      </c>
      <c r="K73" s="9">
        <f t="shared" si="1"/>
        <v>248400</v>
      </c>
      <c r="L73">
        <f t="shared" si="2"/>
        <v>-256625</v>
      </c>
      <c r="M73">
        <f>IF(AND(MyRowHidden(ROW())=FALSE,MyRowHidden(ROW()-1)=TRUE),0,IF(MONTH(H73)&lt;&gt;MONTH(H72),M72+1,M72))</f>
        <v>3</v>
      </c>
      <c r="N73">
        <f t="shared" si="3"/>
        <v>-8225</v>
      </c>
      <c r="O73">
        <f>IF(AND(MyRowHidden(ROW())=FALSE,MyRowHidden(ROW()-1)=TRUE),0,IF(M73&lt;totalMonths,(totalMonths-M73)/totalMonths *(I73-I72)+O72,0))</f>
        <v>-3937.5000000000018</v>
      </c>
      <c r="P73">
        <f>IF(AND(MyRowHidden(ROW())=FALSE,MyRowHidden(ROW()-1)=TRUE),0,IF(M73&lt;totalMonths,(totalMonths-M73)/totalMonths *(J73-J72)+P72,0))</f>
        <v>-52800</v>
      </c>
      <c r="Q73">
        <f>IF(AND(MyRowHidden(ROW())=FALSE,MyRowHidden(ROW()-1)=TRUE),0,IF(M73&lt;totalMonths,(totalMonths-M73)/totalMonths *(K73-K72)+Q72,0))</f>
        <v>52800</v>
      </c>
      <c r="R73">
        <f t="shared" si="4"/>
        <v>-61025</v>
      </c>
      <c r="S73">
        <f t="shared" si="5"/>
        <v>-56737.5</v>
      </c>
    </row>
    <row r="74" spans="1:19" hidden="1" x14ac:dyDescent="0.25">
      <c r="A74" s="1"/>
      <c r="C74" s="1"/>
      <c r="D74" s="1">
        <v>41366</v>
      </c>
      <c r="E74">
        <v>22170</v>
      </c>
      <c r="F74" s="1">
        <v>41366</v>
      </c>
      <c r="G74">
        <v>475</v>
      </c>
      <c r="H74" s="1">
        <f t="shared" si="0"/>
        <v>41366</v>
      </c>
      <c r="I74">
        <f>IF(AND(MyRowHidden(ROW())=FALSE,MyRowHidden(ROW()-1)=TRUE),0,(E74-E73)*unitsOfDHp+I73)</f>
        <v>-18515</v>
      </c>
      <c r="J74">
        <f>IF(AND(MyRowHidden(ROW())=FALSE,MyRowHidden(ROW()-1)=TRUE),0,(G74-G73)*unitsOfExo+J73)</f>
        <v>-410400</v>
      </c>
      <c r="K74" s="9">
        <f t="shared" si="1"/>
        <v>410400</v>
      </c>
      <c r="L74">
        <f t="shared" si="2"/>
        <v>-428915</v>
      </c>
      <c r="M74">
        <f>IF(AND(MyRowHidden(ROW())=FALSE,MyRowHidden(ROW()-1)=TRUE),0,IF(MONTH(H74)&lt;&gt;MONTH(H73),M73+1,M73))</f>
        <v>3</v>
      </c>
      <c r="N74">
        <f t="shared" si="3"/>
        <v>-18515</v>
      </c>
      <c r="O74">
        <f>IF(AND(MyRowHidden(ROW())=FALSE,MyRowHidden(ROW()-1)=TRUE),0,IF(M74&lt;totalMonths,(totalMonths-M74)/totalMonths *(I74-I73)+O73,0))</f>
        <v>-11655.000000000002</v>
      </c>
      <c r="P74">
        <f>IF(AND(MyRowHidden(ROW())=FALSE,MyRowHidden(ROW()-1)=TRUE),0,IF(M74&lt;totalMonths,(totalMonths-M74)/totalMonths *(J74-J73)+P73,0))</f>
        <v>-174300</v>
      </c>
      <c r="Q74">
        <f>IF(AND(MyRowHidden(ROW())=FALSE,MyRowHidden(ROW()-1)=TRUE),0,IF(M74&lt;totalMonths,(totalMonths-M74)/totalMonths *(K74-K73)+Q73,0))</f>
        <v>174300</v>
      </c>
      <c r="R74">
        <f t="shared" si="4"/>
        <v>-192815</v>
      </c>
      <c r="S74">
        <f t="shared" si="5"/>
        <v>-185955</v>
      </c>
    </row>
    <row r="75" spans="1:19" hidden="1" x14ac:dyDescent="0.25">
      <c r="A75" s="1"/>
      <c r="C75" s="1"/>
      <c r="D75" s="1">
        <v>41367</v>
      </c>
      <c r="E75">
        <v>21992</v>
      </c>
      <c r="F75" s="1">
        <v>41367</v>
      </c>
      <c r="G75">
        <v>700</v>
      </c>
      <c r="H75" s="1">
        <f t="shared" si="0"/>
        <v>41367</v>
      </c>
      <c r="I75">
        <f>IF(AND(MyRowHidden(ROW())=FALSE,MyRowHidden(ROW()-1)=TRUE),0,(E75-E74)*unitsOfDHp+I74)</f>
        <v>-24745</v>
      </c>
      <c r="J75">
        <f>IF(AND(MyRowHidden(ROW())=FALSE,MyRowHidden(ROW()-1)=TRUE),0,(G75-G74)*unitsOfExo+J74)</f>
        <v>-345600</v>
      </c>
      <c r="K75" s="9">
        <f t="shared" si="1"/>
        <v>345600</v>
      </c>
      <c r="L75">
        <f t="shared" si="2"/>
        <v>-370345</v>
      </c>
      <c r="M75">
        <f>IF(AND(MyRowHidden(ROW())=FALSE,MyRowHidden(ROW()-1)=TRUE),0,IF(MONTH(H75)&lt;&gt;MONTH(H74),M74+1,M74))</f>
        <v>3</v>
      </c>
      <c r="N75">
        <f t="shared" si="3"/>
        <v>-24745</v>
      </c>
      <c r="O75">
        <f>IF(AND(MyRowHidden(ROW())=FALSE,MyRowHidden(ROW()-1)=TRUE),0,IF(M75&lt;totalMonths,(totalMonths-M75)/totalMonths *(I75-I74)+O74,0))</f>
        <v>-16327.500000000002</v>
      </c>
      <c r="P75">
        <f>IF(AND(MyRowHidden(ROW())=FALSE,MyRowHidden(ROW()-1)=TRUE),0,IF(M75&lt;totalMonths,(totalMonths-M75)/totalMonths *(J75-J74)+P74,0))</f>
        <v>-125700</v>
      </c>
      <c r="Q75">
        <f>IF(AND(MyRowHidden(ROW())=FALSE,MyRowHidden(ROW()-1)=TRUE),0,IF(M75&lt;totalMonths,(totalMonths-M75)/totalMonths *(K75-K74)+Q74,0))</f>
        <v>125700</v>
      </c>
      <c r="R75">
        <f t="shared" si="4"/>
        <v>-150445</v>
      </c>
      <c r="S75">
        <f t="shared" si="5"/>
        <v>-142027.5</v>
      </c>
    </row>
    <row r="76" spans="1:19" hidden="1" x14ac:dyDescent="0.25">
      <c r="A76" s="1"/>
      <c r="C76" s="1"/>
      <c r="D76" s="1">
        <v>41368</v>
      </c>
      <c r="E76">
        <v>22090</v>
      </c>
      <c r="F76" s="1">
        <v>41368</v>
      </c>
      <c r="G76">
        <v>350</v>
      </c>
      <c r="H76" s="1">
        <f t="shared" si="0"/>
        <v>41368</v>
      </c>
      <c r="I76">
        <f>IF(AND(MyRowHidden(ROW())=FALSE,MyRowHidden(ROW()-1)=TRUE),0,(E76-E75)*unitsOfDHp+I75)</f>
        <v>-21315</v>
      </c>
      <c r="J76">
        <f>IF(AND(MyRowHidden(ROW())=FALSE,MyRowHidden(ROW()-1)=TRUE),0,(G76-G75)*unitsOfExo+J75)</f>
        <v>-446400</v>
      </c>
      <c r="K76" s="9">
        <f t="shared" si="1"/>
        <v>446400</v>
      </c>
      <c r="L76">
        <f t="shared" si="2"/>
        <v>-467715</v>
      </c>
      <c r="M76">
        <f>IF(AND(MyRowHidden(ROW())=FALSE,MyRowHidden(ROW()-1)=TRUE),0,IF(MONTH(H76)&lt;&gt;MONTH(H75),M75+1,M75))</f>
        <v>3</v>
      </c>
      <c r="N76">
        <f t="shared" si="3"/>
        <v>-21315</v>
      </c>
      <c r="O76">
        <f>IF(AND(MyRowHidden(ROW())=FALSE,MyRowHidden(ROW()-1)=TRUE),0,IF(M76&lt;totalMonths,(totalMonths-M76)/totalMonths *(I76-I75)+O75,0))</f>
        <v>-13755.000000000002</v>
      </c>
      <c r="P76">
        <f>IF(AND(MyRowHidden(ROW())=FALSE,MyRowHidden(ROW()-1)=TRUE),0,IF(M76&lt;totalMonths,(totalMonths-M76)/totalMonths *(J76-J75)+P75,0))</f>
        <v>-201300</v>
      </c>
      <c r="Q76">
        <f>IF(AND(MyRowHidden(ROW())=FALSE,MyRowHidden(ROW()-1)=TRUE),0,IF(M76&lt;totalMonths,(totalMonths-M76)/totalMonths *(K76-K75)+Q75,0))</f>
        <v>201300</v>
      </c>
      <c r="R76">
        <f t="shared" si="4"/>
        <v>-222615</v>
      </c>
      <c r="S76">
        <f t="shared" si="5"/>
        <v>-215055</v>
      </c>
    </row>
    <row r="77" spans="1:19" hidden="1" x14ac:dyDescent="0.25">
      <c r="A77" s="1"/>
      <c r="C77" s="1"/>
      <c r="D77" s="1">
        <v>41369</v>
      </c>
      <c r="E77">
        <v>22176</v>
      </c>
      <c r="F77" s="1">
        <v>41369</v>
      </c>
      <c r="G77">
        <v>200</v>
      </c>
      <c r="H77" s="1">
        <f t="shared" ref="H77:H140" si="6">D77</f>
        <v>41369</v>
      </c>
      <c r="I77">
        <f>IF(AND(MyRowHidden(ROW())=FALSE,MyRowHidden(ROW()-1)=TRUE),0,(E77-E76)*unitsOfDHp+I76)</f>
        <v>-18305</v>
      </c>
      <c r="J77">
        <f>IF(AND(MyRowHidden(ROW())=FALSE,MyRowHidden(ROW()-1)=TRUE),0,(G77-G76)*unitsOfExo+J76)</f>
        <v>-489600</v>
      </c>
      <c r="K77" s="9">
        <f t="shared" ref="K77:K140" si="7">-(J77-J76)+K76</f>
        <v>489600</v>
      </c>
      <c r="L77">
        <f t="shared" ref="L77:L140" si="8">I77+J77</f>
        <v>-507905</v>
      </c>
      <c r="M77">
        <f>IF(AND(MyRowHidden(ROW())=FALSE,MyRowHidden(ROW()-1)=TRUE),0,IF(MONTH(H77)&lt;&gt;MONTH(H76),M76+1,M76))</f>
        <v>3</v>
      </c>
      <c r="N77">
        <f t="shared" ref="N77:N140" si="9">I77</f>
        <v>-18305</v>
      </c>
      <c r="O77">
        <f>IF(AND(MyRowHidden(ROW())=FALSE,MyRowHidden(ROW()-1)=TRUE),0,IF(M77&lt;totalMonths,(totalMonths-M77)/totalMonths *(I77-I76)+O76,0))</f>
        <v>-11497.500000000002</v>
      </c>
      <c r="P77">
        <f>IF(AND(MyRowHidden(ROW())=FALSE,MyRowHidden(ROW()-1)=TRUE),0,IF(M77&lt;totalMonths,(totalMonths-M77)/totalMonths *(J77-J76)+P76,0))</f>
        <v>-233700</v>
      </c>
      <c r="Q77">
        <f>IF(AND(MyRowHidden(ROW())=FALSE,MyRowHidden(ROW()-1)=TRUE),0,IF(M77&lt;totalMonths,(totalMonths-M77)/totalMonths *(K77-K76)+Q76,0))</f>
        <v>233700</v>
      </c>
      <c r="R77">
        <f t="shared" ref="R77:R140" si="10">N77+P77</f>
        <v>-252005</v>
      </c>
      <c r="S77">
        <f t="shared" ref="S77:S140" si="11">O77+P77</f>
        <v>-245197.5</v>
      </c>
    </row>
    <row r="78" spans="1:19" hidden="1" x14ac:dyDescent="0.25">
      <c r="A78" s="1"/>
      <c r="C78" s="1"/>
      <c r="D78" s="1">
        <v>41372</v>
      </c>
      <c r="E78">
        <v>22074</v>
      </c>
      <c r="F78" s="1">
        <v>41372</v>
      </c>
      <c r="G78">
        <v>362.5</v>
      </c>
      <c r="H78" s="1">
        <f t="shared" si="6"/>
        <v>41372</v>
      </c>
      <c r="I78">
        <f>IF(AND(MyRowHidden(ROW())=FALSE,MyRowHidden(ROW()-1)=TRUE),0,(E78-E77)*unitsOfDHp+I77)</f>
        <v>-21875</v>
      </c>
      <c r="J78">
        <f>IF(AND(MyRowHidden(ROW())=FALSE,MyRowHidden(ROW()-1)=TRUE),0,(G78-G77)*unitsOfExo+J77)</f>
        <v>-442800</v>
      </c>
      <c r="K78" s="9">
        <f t="shared" si="7"/>
        <v>442800</v>
      </c>
      <c r="L78">
        <f t="shared" si="8"/>
        <v>-464675</v>
      </c>
      <c r="M78">
        <f>IF(AND(MyRowHidden(ROW())=FALSE,MyRowHidden(ROW()-1)=TRUE),0,IF(MONTH(H78)&lt;&gt;MONTH(H77),M77+1,M77))</f>
        <v>3</v>
      </c>
      <c r="N78">
        <f t="shared" si="9"/>
        <v>-21875</v>
      </c>
      <c r="O78">
        <f>IF(AND(MyRowHidden(ROW())=FALSE,MyRowHidden(ROW()-1)=TRUE),0,IF(M78&lt;totalMonths,(totalMonths-M78)/totalMonths *(I78-I77)+O77,0))</f>
        <v>-14175.000000000002</v>
      </c>
      <c r="P78">
        <f>IF(AND(MyRowHidden(ROW())=FALSE,MyRowHidden(ROW()-1)=TRUE),0,IF(M78&lt;totalMonths,(totalMonths-M78)/totalMonths *(J78-J77)+P77,0))</f>
        <v>-198600</v>
      </c>
      <c r="Q78">
        <f>IF(AND(MyRowHidden(ROW())=FALSE,MyRowHidden(ROW()-1)=TRUE),0,IF(M78&lt;totalMonths,(totalMonths-M78)/totalMonths *(K78-K77)+Q77,0))</f>
        <v>198600</v>
      </c>
      <c r="R78">
        <f t="shared" si="10"/>
        <v>-220475</v>
      </c>
      <c r="S78">
        <f t="shared" si="11"/>
        <v>-212775</v>
      </c>
    </row>
    <row r="79" spans="1:19" hidden="1" x14ac:dyDescent="0.25">
      <c r="A79" s="1"/>
      <c r="C79" s="1"/>
      <c r="D79" s="1">
        <v>41373</v>
      </c>
      <c r="E79">
        <v>21947</v>
      </c>
      <c r="F79" s="1">
        <v>41373</v>
      </c>
      <c r="G79">
        <v>900</v>
      </c>
      <c r="H79" s="1">
        <f t="shared" si="6"/>
        <v>41373</v>
      </c>
      <c r="I79">
        <f>IF(AND(MyRowHidden(ROW())=FALSE,MyRowHidden(ROW()-1)=TRUE),0,(E79-E78)*unitsOfDHp+I78)</f>
        <v>-26320</v>
      </c>
      <c r="J79">
        <f>IF(AND(MyRowHidden(ROW())=FALSE,MyRowHidden(ROW()-1)=TRUE),0,(G79-G78)*unitsOfExo+J78)</f>
        <v>-288000</v>
      </c>
      <c r="K79" s="9">
        <f t="shared" si="7"/>
        <v>288000</v>
      </c>
      <c r="L79">
        <f t="shared" si="8"/>
        <v>-314320</v>
      </c>
      <c r="M79">
        <f>IF(AND(MyRowHidden(ROW())=FALSE,MyRowHidden(ROW()-1)=TRUE),0,IF(MONTH(H79)&lt;&gt;MONTH(H78),M78+1,M78))</f>
        <v>3</v>
      </c>
      <c r="N79">
        <f t="shared" si="9"/>
        <v>-26320</v>
      </c>
      <c r="O79">
        <f>IF(AND(MyRowHidden(ROW())=FALSE,MyRowHidden(ROW()-1)=TRUE),0,IF(M79&lt;totalMonths,(totalMonths-M79)/totalMonths *(I79-I78)+O78,0))</f>
        <v>-17508.75</v>
      </c>
      <c r="P79">
        <f>IF(AND(MyRowHidden(ROW())=FALSE,MyRowHidden(ROW()-1)=TRUE),0,IF(M79&lt;totalMonths,(totalMonths-M79)/totalMonths *(J79-J78)+P78,0))</f>
        <v>-82500</v>
      </c>
      <c r="Q79">
        <f>IF(AND(MyRowHidden(ROW())=FALSE,MyRowHidden(ROW()-1)=TRUE),0,IF(M79&lt;totalMonths,(totalMonths-M79)/totalMonths *(K79-K78)+Q78,0))</f>
        <v>82500</v>
      </c>
      <c r="R79">
        <f t="shared" si="10"/>
        <v>-108820</v>
      </c>
      <c r="S79">
        <f t="shared" si="11"/>
        <v>-100008.75</v>
      </c>
    </row>
    <row r="80" spans="1:19" hidden="1" x14ac:dyDescent="0.25">
      <c r="A80" s="1"/>
      <c r="C80" s="1"/>
      <c r="D80" s="1">
        <v>41374</v>
      </c>
      <c r="E80">
        <v>21910</v>
      </c>
      <c r="F80" s="1">
        <v>41374</v>
      </c>
      <c r="G80">
        <v>987.5</v>
      </c>
      <c r="H80" s="1">
        <f t="shared" si="6"/>
        <v>41374</v>
      </c>
      <c r="I80">
        <f>IF(AND(MyRowHidden(ROW())=FALSE,MyRowHidden(ROW()-1)=TRUE),0,(E80-E79)*unitsOfDHp+I79)</f>
        <v>-27615</v>
      </c>
      <c r="J80">
        <f>IF(AND(MyRowHidden(ROW())=FALSE,MyRowHidden(ROW()-1)=TRUE),0,(G80-G79)*unitsOfExo+J79)</f>
        <v>-262800</v>
      </c>
      <c r="K80" s="9">
        <f t="shared" si="7"/>
        <v>262800</v>
      </c>
      <c r="L80">
        <f t="shared" si="8"/>
        <v>-290415</v>
      </c>
      <c r="M80">
        <f>IF(AND(MyRowHidden(ROW())=FALSE,MyRowHidden(ROW()-1)=TRUE),0,IF(MONTH(H80)&lt;&gt;MONTH(H79),M79+1,M79))</f>
        <v>3</v>
      </c>
      <c r="N80">
        <f t="shared" si="9"/>
        <v>-27615</v>
      </c>
      <c r="O80">
        <f>IF(AND(MyRowHidden(ROW())=FALSE,MyRowHidden(ROW()-1)=TRUE),0,IF(M80&lt;totalMonths,(totalMonths-M80)/totalMonths *(I80-I79)+O79,0))</f>
        <v>-18480</v>
      </c>
      <c r="P80">
        <f>IF(AND(MyRowHidden(ROW())=FALSE,MyRowHidden(ROW()-1)=TRUE),0,IF(M80&lt;totalMonths,(totalMonths-M80)/totalMonths *(J80-J79)+P79,0))</f>
        <v>-63600</v>
      </c>
      <c r="Q80">
        <f>IF(AND(MyRowHidden(ROW())=FALSE,MyRowHidden(ROW()-1)=TRUE),0,IF(M80&lt;totalMonths,(totalMonths-M80)/totalMonths *(K80-K79)+Q79,0))</f>
        <v>63600</v>
      </c>
      <c r="R80">
        <f t="shared" si="10"/>
        <v>-91215</v>
      </c>
      <c r="S80">
        <f t="shared" si="11"/>
        <v>-82080</v>
      </c>
    </row>
    <row r="81" spans="1:19" hidden="1" x14ac:dyDescent="0.25">
      <c r="A81" s="1"/>
      <c r="C81" s="1"/>
      <c r="D81" s="1">
        <v>41375</v>
      </c>
      <c r="E81">
        <v>21761</v>
      </c>
      <c r="F81" s="1">
        <v>41375</v>
      </c>
      <c r="G81">
        <v>1387.5</v>
      </c>
      <c r="H81" s="1">
        <f t="shared" si="6"/>
        <v>41375</v>
      </c>
      <c r="I81">
        <f>IF(AND(MyRowHidden(ROW())=FALSE,MyRowHidden(ROW()-1)=TRUE),0,(E81-E80)*unitsOfDHp+I80)</f>
        <v>-32830</v>
      </c>
      <c r="J81">
        <f>IF(AND(MyRowHidden(ROW())=FALSE,MyRowHidden(ROW()-1)=TRUE),0,(G81-G80)*unitsOfExo+J80)</f>
        <v>-147600</v>
      </c>
      <c r="K81" s="9">
        <f t="shared" si="7"/>
        <v>147600</v>
      </c>
      <c r="L81">
        <f t="shared" si="8"/>
        <v>-180430</v>
      </c>
      <c r="M81">
        <f>IF(AND(MyRowHidden(ROW())=FALSE,MyRowHidden(ROW()-1)=TRUE),0,IF(MONTH(H81)&lt;&gt;MONTH(H80),M80+1,M80))</f>
        <v>3</v>
      </c>
      <c r="N81">
        <f t="shared" si="9"/>
        <v>-32830</v>
      </c>
      <c r="O81">
        <f>IF(AND(MyRowHidden(ROW())=FALSE,MyRowHidden(ROW()-1)=TRUE),0,IF(M81&lt;totalMonths,(totalMonths-M81)/totalMonths *(I81-I80)+O80,0))</f>
        <v>-22391.25</v>
      </c>
      <c r="P81">
        <f>IF(AND(MyRowHidden(ROW())=FALSE,MyRowHidden(ROW()-1)=TRUE),0,IF(M81&lt;totalMonths,(totalMonths-M81)/totalMonths *(J81-J80)+P80,0))</f>
        <v>22800</v>
      </c>
      <c r="Q81">
        <f>IF(AND(MyRowHidden(ROW())=FALSE,MyRowHidden(ROW()-1)=TRUE),0,IF(M81&lt;totalMonths,(totalMonths-M81)/totalMonths *(K81-K80)+Q80,0))</f>
        <v>-22800</v>
      </c>
      <c r="R81">
        <f t="shared" si="10"/>
        <v>-10030</v>
      </c>
      <c r="S81">
        <f t="shared" si="11"/>
        <v>408.75</v>
      </c>
    </row>
    <row r="82" spans="1:19" hidden="1" x14ac:dyDescent="0.25">
      <c r="A82" s="1"/>
      <c r="C82" s="1"/>
      <c r="D82" s="1">
        <v>41376</v>
      </c>
      <c r="E82">
        <v>21608</v>
      </c>
      <c r="F82" s="1">
        <v>41376</v>
      </c>
      <c r="G82">
        <v>1550</v>
      </c>
      <c r="H82" s="1">
        <f t="shared" si="6"/>
        <v>41376</v>
      </c>
      <c r="I82">
        <f>IF(AND(MyRowHidden(ROW())=FALSE,MyRowHidden(ROW()-1)=TRUE),0,(E82-E81)*unitsOfDHp+I81)</f>
        <v>-38185</v>
      </c>
      <c r="J82">
        <f>IF(AND(MyRowHidden(ROW())=FALSE,MyRowHidden(ROW()-1)=TRUE),0,(G82-G81)*unitsOfExo+J81)</f>
        <v>-100800</v>
      </c>
      <c r="K82" s="9">
        <f t="shared" si="7"/>
        <v>100800</v>
      </c>
      <c r="L82">
        <f t="shared" si="8"/>
        <v>-138985</v>
      </c>
      <c r="M82">
        <f>IF(AND(MyRowHidden(ROW())=FALSE,MyRowHidden(ROW()-1)=TRUE),0,IF(MONTH(H82)&lt;&gt;MONTH(H81),M81+1,M81))</f>
        <v>3</v>
      </c>
      <c r="N82">
        <f t="shared" si="9"/>
        <v>-38185</v>
      </c>
      <c r="O82">
        <f>IF(AND(MyRowHidden(ROW())=FALSE,MyRowHidden(ROW()-1)=TRUE),0,IF(M82&lt;totalMonths,(totalMonths-M82)/totalMonths *(I82-I81)+O81,0))</f>
        <v>-26407.5</v>
      </c>
      <c r="P82">
        <f>IF(AND(MyRowHidden(ROW())=FALSE,MyRowHidden(ROW()-1)=TRUE),0,IF(M82&lt;totalMonths,(totalMonths-M82)/totalMonths *(J82-J81)+P81,0))</f>
        <v>57900</v>
      </c>
      <c r="Q82">
        <f>IF(AND(MyRowHidden(ROW())=FALSE,MyRowHidden(ROW()-1)=TRUE),0,IF(M82&lt;totalMonths,(totalMonths-M82)/totalMonths *(K82-K81)+Q81,0))</f>
        <v>-57900</v>
      </c>
      <c r="R82">
        <f t="shared" si="10"/>
        <v>19715</v>
      </c>
      <c r="S82">
        <f t="shared" si="11"/>
        <v>31492.5</v>
      </c>
    </row>
    <row r="83" spans="1:19" hidden="1" x14ac:dyDescent="0.25">
      <c r="A83" s="1"/>
      <c r="C83" s="1"/>
      <c r="D83" s="1">
        <v>41379</v>
      </c>
      <c r="E83">
        <v>21487</v>
      </c>
      <c r="F83" s="1">
        <v>41379</v>
      </c>
      <c r="G83">
        <v>1175</v>
      </c>
      <c r="H83" s="1">
        <f t="shared" si="6"/>
        <v>41379</v>
      </c>
      <c r="I83">
        <f>IF(AND(MyRowHidden(ROW())=FALSE,MyRowHidden(ROW()-1)=TRUE),0,(E83-E82)*unitsOfDHp+I82)</f>
        <v>-42420</v>
      </c>
      <c r="J83">
        <f>IF(AND(MyRowHidden(ROW())=FALSE,MyRowHidden(ROW()-1)=TRUE),0,(G83-G82)*unitsOfExo+J82)</f>
        <v>-208800</v>
      </c>
      <c r="K83" s="9">
        <f t="shared" si="7"/>
        <v>208800</v>
      </c>
      <c r="L83">
        <f t="shared" si="8"/>
        <v>-251220</v>
      </c>
      <c r="M83">
        <f>IF(AND(MyRowHidden(ROW())=FALSE,MyRowHidden(ROW()-1)=TRUE),0,IF(MONTH(H83)&lt;&gt;MONTH(H82),M82+1,M82))</f>
        <v>3</v>
      </c>
      <c r="N83">
        <f t="shared" si="9"/>
        <v>-42420</v>
      </c>
      <c r="O83">
        <f>IF(AND(MyRowHidden(ROW())=FALSE,MyRowHidden(ROW()-1)=TRUE),0,IF(M83&lt;totalMonths,(totalMonths-M83)/totalMonths *(I83-I82)+O82,0))</f>
        <v>-29583.75</v>
      </c>
      <c r="P83">
        <f>IF(AND(MyRowHidden(ROW())=FALSE,MyRowHidden(ROW()-1)=TRUE),0,IF(M83&lt;totalMonths,(totalMonths-M83)/totalMonths *(J83-J82)+P82,0))</f>
        <v>-23100</v>
      </c>
      <c r="Q83">
        <f>IF(AND(MyRowHidden(ROW())=FALSE,MyRowHidden(ROW()-1)=TRUE),0,IF(M83&lt;totalMonths,(totalMonths-M83)/totalMonths *(K83-K82)+Q82,0))</f>
        <v>23100</v>
      </c>
      <c r="R83">
        <f t="shared" si="10"/>
        <v>-65520</v>
      </c>
      <c r="S83">
        <f t="shared" si="11"/>
        <v>-52683.75</v>
      </c>
    </row>
    <row r="84" spans="1:19" hidden="1" x14ac:dyDescent="0.25">
      <c r="A84" s="1"/>
      <c r="C84" s="1"/>
      <c r="D84" s="1">
        <v>41380</v>
      </c>
      <c r="E84">
        <v>21878</v>
      </c>
      <c r="F84" s="1">
        <v>41380</v>
      </c>
      <c r="G84">
        <v>1737.5</v>
      </c>
      <c r="H84" s="1">
        <f t="shared" si="6"/>
        <v>41380</v>
      </c>
      <c r="I84">
        <f>IF(AND(MyRowHidden(ROW())=FALSE,MyRowHidden(ROW()-1)=TRUE),0,(E84-E83)*unitsOfDHp+I83)</f>
        <v>-28735</v>
      </c>
      <c r="J84">
        <f>IF(AND(MyRowHidden(ROW())=FALSE,MyRowHidden(ROW()-1)=TRUE),0,(G84-G83)*unitsOfExo+J83)</f>
        <v>-46800</v>
      </c>
      <c r="K84" s="9">
        <f t="shared" si="7"/>
        <v>46800</v>
      </c>
      <c r="L84">
        <f t="shared" si="8"/>
        <v>-75535</v>
      </c>
      <c r="M84">
        <f>IF(AND(MyRowHidden(ROW())=FALSE,MyRowHidden(ROW()-1)=TRUE),0,IF(MONTH(H84)&lt;&gt;MONTH(H83),M83+1,M83))</f>
        <v>3</v>
      </c>
      <c r="N84">
        <f t="shared" si="9"/>
        <v>-28735</v>
      </c>
      <c r="O84">
        <f>IF(AND(MyRowHidden(ROW())=FALSE,MyRowHidden(ROW()-1)=TRUE),0,IF(M84&lt;totalMonths,(totalMonths-M84)/totalMonths *(I84-I83)+O83,0))</f>
        <v>-19320</v>
      </c>
      <c r="P84">
        <f>IF(AND(MyRowHidden(ROW())=FALSE,MyRowHidden(ROW()-1)=TRUE),0,IF(M84&lt;totalMonths,(totalMonths-M84)/totalMonths *(J84-J83)+P83,0))</f>
        <v>98400</v>
      </c>
      <c r="Q84">
        <f>IF(AND(MyRowHidden(ROW())=FALSE,MyRowHidden(ROW()-1)=TRUE),0,IF(M84&lt;totalMonths,(totalMonths-M84)/totalMonths *(K84-K83)+Q83,0))</f>
        <v>-98400</v>
      </c>
      <c r="R84">
        <f t="shared" si="10"/>
        <v>69665</v>
      </c>
      <c r="S84">
        <f t="shared" si="11"/>
        <v>79080</v>
      </c>
    </row>
    <row r="85" spans="1:19" hidden="1" x14ac:dyDescent="0.25">
      <c r="A85" s="1"/>
      <c r="C85" s="1"/>
      <c r="D85" s="1">
        <v>41381</v>
      </c>
      <c r="E85">
        <v>21803</v>
      </c>
      <c r="F85" s="1">
        <v>41381</v>
      </c>
      <c r="G85">
        <v>1700</v>
      </c>
      <c r="H85" s="1">
        <f t="shared" si="6"/>
        <v>41381</v>
      </c>
      <c r="I85">
        <f>IF(AND(MyRowHidden(ROW())=FALSE,MyRowHidden(ROW()-1)=TRUE),0,(E85-E84)*unitsOfDHp+I84)</f>
        <v>-31360</v>
      </c>
      <c r="J85">
        <f>IF(AND(MyRowHidden(ROW())=FALSE,MyRowHidden(ROW()-1)=TRUE),0,(G85-G84)*unitsOfExo+J84)</f>
        <v>-57600</v>
      </c>
      <c r="K85" s="9">
        <f t="shared" si="7"/>
        <v>57600</v>
      </c>
      <c r="L85">
        <f t="shared" si="8"/>
        <v>-88960</v>
      </c>
      <c r="M85">
        <f>IF(AND(MyRowHidden(ROW())=FALSE,MyRowHidden(ROW()-1)=TRUE),0,IF(MONTH(H85)&lt;&gt;MONTH(H84),M84+1,M84))</f>
        <v>3</v>
      </c>
      <c r="N85">
        <f t="shared" si="9"/>
        <v>-31360</v>
      </c>
      <c r="O85">
        <f>IF(AND(MyRowHidden(ROW())=FALSE,MyRowHidden(ROW()-1)=TRUE),0,IF(M85&lt;totalMonths,(totalMonths-M85)/totalMonths *(I85-I84)+O84,0))</f>
        <v>-21288.75</v>
      </c>
      <c r="P85">
        <f>IF(AND(MyRowHidden(ROW())=FALSE,MyRowHidden(ROW()-1)=TRUE),0,IF(M85&lt;totalMonths,(totalMonths-M85)/totalMonths *(J85-J84)+P84,0))</f>
        <v>90300</v>
      </c>
      <c r="Q85">
        <f>IF(AND(MyRowHidden(ROW())=FALSE,MyRowHidden(ROW()-1)=TRUE),0,IF(M85&lt;totalMonths,(totalMonths-M85)/totalMonths *(K85-K84)+Q84,0))</f>
        <v>-90300</v>
      </c>
      <c r="R85">
        <f t="shared" si="10"/>
        <v>58940</v>
      </c>
      <c r="S85">
        <f t="shared" si="11"/>
        <v>69011.25</v>
      </c>
    </row>
    <row r="86" spans="1:19" hidden="1" x14ac:dyDescent="0.25">
      <c r="A86" s="1"/>
      <c r="C86" s="1"/>
      <c r="D86" s="1">
        <v>41382</v>
      </c>
      <c r="E86">
        <v>21245</v>
      </c>
      <c r="F86" s="1">
        <v>41382</v>
      </c>
      <c r="G86">
        <v>1025</v>
      </c>
      <c r="H86" s="1">
        <f t="shared" si="6"/>
        <v>41382</v>
      </c>
      <c r="I86">
        <f>IF(AND(MyRowHidden(ROW())=FALSE,MyRowHidden(ROW()-1)=TRUE),0,(E86-E85)*unitsOfDHp+I85)</f>
        <v>-50890</v>
      </c>
      <c r="J86">
        <f>IF(AND(MyRowHidden(ROW())=FALSE,MyRowHidden(ROW()-1)=TRUE),0,(G86-G85)*unitsOfExo+J85)</f>
        <v>-252000</v>
      </c>
      <c r="K86" s="9">
        <f t="shared" si="7"/>
        <v>252000</v>
      </c>
      <c r="L86">
        <f t="shared" si="8"/>
        <v>-302890</v>
      </c>
      <c r="M86">
        <f>IF(AND(MyRowHidden(ROW())=FALSE,MyRowHidden(ROW()-1)=TRUE),0,IF(MONTH(H86)&lt;&gt;MONTH(H85),M85+1,M85))</f>
        <v>3</v>
      </c>
      <c r="N86">
        <f t="shared" si="9"/>
        <v>-50890</v>
      </c>
      <c r="O86">
        <f>IF(AND(MyRowHidden(ROW())=FALSE,MyRowHidden(ROW()-1)=TRUE),0,IF(M86&lt;totalMonths,(totalMonths-M86)/totalMonths *(I86-I85)+O85,0))</f>
        <v>-35936.25</v>
      </c>
      <c r="P86">
        <f>IF(AND(MyRowHidden(ROW())=FALSE,MyRowHidden(ROW()-1)=TRUE),0,IF(M86&lt;totalMonths,(totalMonths-M86)/totalMonths *(J86-J85)+P85,0))</f>
        <v>-55500</v>
      </c>
      <c r="Q86">
        <f>IF(AND(MyRowHidden(ROW())=FALSE,MyRowHidden(ROW()-1)=TRUE),0,IF(M86&lt;totalMonths,(totalMonths-M86)/totalMonths *(K86-K85)+Q85,0))</f>
        <v>55500</v>
      </c>
      <c r="R86">
        <f t="shared" si="10"/>
        <v>-106390</v>
      </c>
      <c r="S86">
        <f t="shared" si="11"/>
        <v>-91436.25</v>
      </c>
    </row>
    <row r="87" spans="1:19" hidden="1" x14ac:dyDescent="0.25">
      <c r="A87" s="1"/>
      <c r="C87" s="1"/>
      <c r="D87" s="1">
        <v>41383</v>
      </c>
      <c r="E87">
        <v>21400</v>
      </c>
      <c r="F87" s="1">
        <v>41383</v>
      </c>
      <c r="G87">
        <v>1237.5</v>
      </c>
      <c r="H87" s="1">
        <f t="shared" si="6"/>
        <v>41383</v>
      </c>
      <c r="I87">
        <f>IF(AND(MyRowHidden(ROW())=FALSE,MyRowHidden(ROW()-1)=TRUE),0,(E87-E86)*unitsOfDHp+I86)</f>
        <v>-45465</v>
      </c>
      <c r="J87">
        <f>IF(AND(MyRowHidden(ROW())=FALSE,MyRowHidden(ROW()-1)=TRUE),0,(G87-G86)*unitsOfExo+J86)</f>
        <v>-190800</v>
      </c>
      <c r="K87" s="9">
        <f t="shared" si="7"/>
        <v>190800</v>
      </c>
      <c r="L87">
        <f t="shared" si="8"/>
        <v>-236265</v>
      </c>
      <c r="M87">
        <f>IF(AND(MyRowHidden(ROW())=FALSE,MyRowHidden(ROW()-1)=TRUE),0,IF(MONTH(H87)&lt;&gt;MONTH(H86),M86+1,M86))</f>
        <v>3</v>
      </c>
      <c r="N87">
        <f t="shared" si="9"/>
        <v>-45465</v>
      </c>
      <c r="O87">
        <f>IF(AND(MyRowHidden(ROW())=FALSE,MyRowHidden(ROW()-1)=TRUE),0,IF(M87&lt;totalMonths,(totalMonths-M87)/totalMonths *(I87-I86)+O86,0))</f>
        <v>-31867.5</v>
      </c>
      <c r="P87">
        <f>IF(AND(MyRowHidden(ROW())=FALSE,MyRowHidden(ROW()-1)=TRUE),0,IF(M87&lt;totalMonths,(totalMonths-M87)/totalMonths *(J87-J86)+P86,0))</f>
        <v>-9600</v>
      </c>
      <c r="Q87">
        <f>IF(AND(MyRowHidden(ROW())=FALSE,MyRowHidden(ROW()-1)=TRUE),0,IF(M87&lt;totalMonths,(totalMonths-M87)/totalMonths *(K87-K86)+Q86,0))</f>
        <v>9600</v>
      </c>
      <c r="R87">
        <f t="shared" si="10"/>
        <v>-55065</v>
      </c>
      <c r="S87">
        <f t="shared" si="11"/>
        <v>-41467.5</v>
      </c>
    </row>
    <row r="88" spans="1:19" hidden="1" x14ac:dyDescent="0.25">
      <c r="A88" s="1"/>
      <c r="C88" s="1"/>
      <c r="D88" s="1">
        <v>41386</v>
      </c>
      <c r="E88">
        <v>21167</v>
      </c>
      <c r="F88" s="1">
        <v>41386</v>
      </c>
      <c r="G88">
        <v>987.5</v>
      </c>
      <c r="H88" s="1">
        <f t="shared" si="6"/>
        <v>41386</v>
      </c>
      <c r="I88">
        <f>IF(AND(MyRowHidden(ROW())=FALSE,MyRowHidden(ROW()-1)=TRUE),0,(E88-E87)*unitsOfDHp+I87)</f>
        <v>-53620</v>
      </c>
      <c r="J88">
        <f>IF(AND(MyRowHidden(ROW())=FALSE,MyRowHidden(ROW()-1)=TRUE),0,(G88-G87)*unitsOfExo+J87)</f>
        <v>-262800</v>
      </c>
      <c r="K88" s="9">
        <f t="shared" si="7"/>
        <v>262800</v>
      </c>
      <c r="L88">
        <f t="shared" si="8"/>
        <v>-316420</v>
      </c>
      <c r="M88">
        <f>IF(AND(MyRowHidden(ROW())=FALSE,MyRowHidden(ROW()-1)=TRUE),0,IF(MONTH(H88)&lt;&gt;MONTH(H87),M87+1,M87))</f>
        <v>3</v>
      </c>
      <c r="N88">
        <f t="shared" si="9"/>
        <v>-53620</v>
      </c>
      <c r="O88">
        <f>IF(AND(MyRowHidden(ROW())=FALSE,MyRowHidden(ROW()-1)=TRUE),0,IF(M88&lt;totalMonths,(totalMonths-M88)/totalMonths *(I88-I87)+O87,0))</f>
        <v>-37983.75</v>
      </c>
      <c r="P88">
        <f>IF(AND(MyRowHidden(ROW())=FALSE,MyRowHidden(ROW()-1)=TRUE),0,IF(M88&lt;totalMonths,(totalMonths-M88)/totalMonths *(J88-J87)+P87,0))</f>
        <v>-63600</v>
      </c>
      <c r="Q88">
        <f>IF(AND(MyRowHidden(ROW())=FALSE,MyRowHidden(ROW()-1)=TRUE),0,IF(M88&lt;totalMonths,(totalMonths-M88)/totalMonths *(K88-K87)+Q87,0))</f>
        <v>63600</v>
      </c>
      <c r="R88">
        <f t="shared" si="10"/>
        <v>-117220</v>
      </c>
      <c r="S88">
        <f t="shared" si="11"/>
        <v>-101583.75</v>
      </c>
    </row>
    <row r="89" spans="1:19" hidden="1" x14ac:dyDescent="0.25">
      <c r="A89" s="1"/>
      <c r="C89" s="1"/>
      <c r="D89" s="1">
        <v>41387</v>
      </c>
      <c r="E89">
        <v>21030</v>
      </c>
      <c r="F89" s="1">
        <v>41387</v>
      </c>
      <c r="G89">
        <v>750</v>
      </c>
      <c r="H89" s="1">
        <f t="shared" si="6"/>
        <v>41387</v>
      </c>
      <c r="I89">
        <f>IF(AND(MyRowHidden(ROW())=FALSE,MyRowHidden(ROW()-1)=TRUE),0,(E89-E88)*unitsOfDHp+I88)</f>
        <v>-58415</v>
      </c>
      <c r="J89">
        <f>IF(AND(MyRowHidden(ROW())=FALSE,MyRowHidden(ROW()-1)=TRUE),0,(G89-G88)*unitsOfExo+J88)</f>
        <v>-331200</v>
      </c>
      <c r="K89" s="9">
        <f t="shared" si="7"/>
        <v>331200</v>
      </c>
      <c r="L89">
        <f t="shared" si="8"/>
        <v>-389615</v>
      </c>
      <c r="M89">
        <f>IF(AND(MyRowHidden(ROW())=FALSE,MyRowHidden(ROW()-1)=TRUE),0,IF(MONTH(H89)&lt;&gt;MONTH(H88),M88+1,M88))</f>
        <v>3</v>
      </c>
      <c r="N89">
        <f t="shared" si="9"/>
        <v>-58415</v>
      </c>
      <c r="O89">
        <f>IF(AND(MyRowHidden(ROW())=FALSE,MyRowHidden(ROW()-1)=TRUE),0,IF(M89&lt;totalMonths,(totalMonths-M89)/totalMonths *(I89-I88)+O88,0))</f>
        <v>-41580</v>
      </c>
      <c r="P89">
        <f>IF(AND(MyRowHidden(ROW())=FALSE,MyRowHidden(ROW()-1)=TRUE),0,IF(M89&lt;totalMonths,(totalMonths-M89)/totalMonths *(J89-J88)+P88,0))</f>
        <v>-114900</v>
      </c>
      <c r="Q89">
        <f>IF(AND(MyRowHidden(ROW())=FALSE,MyRowHidden(ROW()-1)=TRUE),0,IF(M89&lt;totalMonths,(totalMonths-M89)/totalMonths *(K89-K88)+Q88,0))</f>
        <v>114900</v>
      </c>
      <c r="R89">
        <f t="shared" si="10"/>
        <v>-173315</v>
      </c>
      <c r="S89">
        <f t="shared" si="11"/>
        <v>-156480</v>
      </c>
    </row>
    <row r="90" spans="1:19" hidden="1" x14ac:dyDescent="0.25">
      <c r="A90" s="1"/>
      <c r="C90" s="1"/>
      <c r="D90" s="1">
        <v>41388</v>
      </c>
      <c r="E90">
        <v>20914</v>
      </c>
      <c r="F90" s="1">
        <v>41388</v>
      </c>
      <c r="G90">
        <v>612.5</v>
      </c>
      <c r="H90" s="1">
        <f t="shared" si="6"/>
        <v>41388</v>
      </c>
      <c r="I90">
        <f>IF(AND(MyRowHidden(ROW())=FALSE,MyRowHidden(ROW()-1)=TRUE),0,(E90-E89)*unitsOfDHp+I89)</f>
        <v>-62475</v>
      </c>
      <c r="J90">
        <f>IF(AND(MyRowHidden(ROW())=FALSE,MyRowHidden(ROW()-1)=TRUE),0,(G90-G89)*unitsOfExo+J89)</f>
        <v>-370800</v>
      </c>
      <c r="K90" s="9">
        <f t="shared" si="7"/>
        <v>370800</v>
      </c>
      <c r="L90">
        <f t="shared" si="8"/>
        <v>-433275</v>
      </c>
      <c r="M90">
        <f>IF(AND(MyRowHidden(ROW())=FALSE,MyRowHidden(ROW()-1)=TRUE),0,IF(MONTH(H90)&lt;&gt;MONTH(H89),M89+1,M89))</f>
        <v>3</v>
      </c>
      <c r="N90">
        <f t="shared" si="9"/>
        <v>-62475</v>
      </c>
      <c r="O90">
        <f>IF(AND(MyRowHidden(ROW())=FALSE,MyRowHidden(ROW()-1)=TRUE),0,IF(M90&lt;totalMonths,(totalMonths-M90)/totalMonths *(I90-I89)+O89,0))</f>
        <v>-44625</v>
      </c>
      <c r="P90">
        <f>IF(AND(MyRowHidden(ROW())=FALSE,MyRowHidden(ROW()-1)=TRUE),0,IF(M90&lt;totalMonths,(totalMonths-M90)/totalMonths *(J90-J89)+P89,0))</f>
        <v>-144600</v>
      </c>
      <c r="Q90">
        <f>IF(AND(MyRowHidden(ROW())=FALSE,MyRowHidden(ROW()-1)=TRUE),0,IF(M90&lt;totalMonths,(totalMonths-M90)/totalMonths *(K90-K89)+Q89,0))</f>
        <v>144600</v>
      </c>
      <c r="R90">
        <f t="shared" si="10"/>
        <v>-207075</v>
      </c>
      <c r="S90">
        <f t="shared" si="11"/>
        <v>-189225</v>
      </c>
    </row>
    <row r="91" spans="1:19" hidden="1" x14ac:dyDescent="0.25">
      <c r="A91" s="1"/>
      <c r="C91" s="1"/>
      <c r="D91" s="1">
        <v>41389</v>
      </c>
      <c r="E91">
        <v>21266</v>
      </c>
      <c r="F91" s="1">
        <v>41389</v>
      </c>
      <c r="G91">
        <v>912.5</v>
      </c>
      <c r="H91" s="1">
        <f t="shared" si="6"/>
        <v>41389</v>
      </c>
      <c r="I91">
        <f>IF(AND(MyRowHidden(ROW())=FALSE,MyRowHidden(ROW()-1)=TRUE),0,(E91-E90)*unitsOfDHp+I90)</f>
        <v>-50155</v>
      </c>
      <c r="J91">
        <f>IF(AND(MyRowHidden(ROW())=FALSE,MyRowHidden(ROW()-1)=TRUE),0,(G91-G90)*unitsOfExo+J90)</f>
        <v>-284400</v>
      </c>
      <c r="K91" s="9">
        <f t="shared" si="7"/>
        <v>284400</v>
      </c>
      <c r="L91">
        <f t="shared" si="8"/>
        <v>-334555</v>
      </c>
      <c r="M91">
        <f>IF(AND(MyRowHidden(ROW())=FALSE,MyRowHidden(ROW()-1)=TRUE),0,IF(MONTH(H91)&lt;&gt;MONTH(H90),M90+1,M90))</f>
        <v>3</v>
      </c>
      <c r="N91">
        <f t="shared" si="9"/>
        <v>-50155</v>
      </c>
      <c r="O91">
        <f>IF(AND(MyRowHidden(ROW())=FALSE,MyRowHidden(ROW()-1)=TRUE),0,IF(M91&lt;totalMonths,(totalMonths-M91)/totalMonths *(I91-I90)+O90,0))</f>
        <v>-35385</v>
      </c>
      <c r="P91">
        <f>IF(AND(MyRowHidden(ROW())=FALSE,MyRowHidden(ROW()-1)=TRUE),0,IF(M91&lt;totalMonths,(totalMonths-M91)/totalMonths *(J91-J90)+P90,0))</f>
        <v>-79800</v>
      </c>
      <c r="Q91">
        <f>IF(AND(MyRowHidden(ROW())=FALSE,MyRowHidden(ROW()-1)=TRUE),0,IF(M91&lt;totalMonths,(totalMonths-M91)/totalMonths *(K91-K90)+Q90,0))</f>
        <v>79800</v>
      </c>
      <c r="R91">
        <f t="shared" si="10"/>
        <v>-129955</v>
      </c>
      <c r="S91">
        <f t="shared" si="11"/>
        <v>-115185</v>
      </c>
    </row>
    <row r="92" spans="1:19" hidden="1" x14ac:dyDescent="0.25">
      <c r="A92" s="1"/>
      <c r="C92" s="1"/>
      <c r="D92" s="1">
        <v>41390</v>
      </c>
      <c r="E92">
        <v>21168</v>
      </c>
      <c r="F92" s="1">
        <v>41390</v>
      </c>
      <c r="G92">
        <v>937.5</v>
      </c>
      <c r="H92" s="1">
        <f t="shared" si="6"/>
        <v>41390</v>
      </c>
      <c r="I92">
        <f>IF(AND(MyRowHidden(ROW())=FALSE,MyRowHidden(ROW()-1)=TRUE),0,(E92-E91)*unitsOfDHp+I91)</f>
        <v>-53585</v>
      </c>
      <c r="J92">
        <f>IF(AND(MyRowHidden(ROW())=FALSE,MyRowHidden(ROW()-1)=TRUE),0,(G92-G91)*unitsOfExo+J91)</f>
        <v>-277200</v>
      </c>
      <c r="K92" s="9">
        <f t="shared" si="7"/>
        <v>277200</v>
      </c>
      <c r="L92">
        <f t="shared" si="8"/>
        <v>-330785</v>
      </c>
      <c r="M92">
        <f>IF(AND(MyRowHidden(ROW())=FALSE,MyRowHidden(ROW()-1)=TRUE),0,IF(MONTH(H92)&lt;&gt;MONTH(H91),M91+1,M91))</f>
        <v>3</v>
      </c>
      <c r="N92">
        <f t="shared" si="9"/>
        <v>-53585</v>
      </c>
      <c r="O92">
        <f>IF(AND(MyRowHidden(ROW())=FALSE,MyRowHidden(ROW()-1)=TRUE),0,IF(M92&lt;totalMonths,(totalMonths-M92)/totalMonths *(I92-I91)+O91,0))</f>
        <v>-37957.5</v>
      </c>
      <c r="P92">
        <f>IF(AND(MyRowHidden(ROW())=FALSE,MyRowHidden(ROW()-1)=TRUE),0,IF(M92&lt;totalMonths,(totalMonths-M92)/totalMonths *(J92-J91)+P91,0))</f>
        <v>-74400</v>
      </c>
      <c r="Q92">
        <f>IF(AND(MyRowHidden(ROW())=FALSE,MyRowHidden(ROW()-1)=TRUE),0,IF(M92&lt;totalMonths,(totalMonths-M92)/totalMonths *(K92-K91)+Q91,0))</f>
        <v>74400</v>
      </c>
      <c r="R92">
        <f t="shared" si="10"/>
        <v>-127985</v>
      </c>
      <c r="S92">
        <f t="shared" si="11"/>
        <v>-112357.5</v>
      </c>
    </row>
    <row r="93" spans="1:19" hidden="1" x14ac:dyDescent="0.25">
      <c r="A93" s="1"/>
      <c r="C93" s="1"/>
      <c r="D93" s="1">
        <v>41393</v>
      </c>
      <c r="E93">
        <v>21444</v>
      </c>
      <c r="F93" s="1">
        <v>41393</v>
      </c>
      <c r="G93">
        <v>2787.5</v>
      </c>
      <c r="H93" s="1">
        <f t="shared" si="6"/>
        <v>41393</v>
      </c>
      <c r="I93">
        <f>IF(AND(MyRowHidden(ROW())=FALSE,MyRowHidden(ROW()-1)=TRUE),0,(E93-E92)*unitsOfDHp+I92)</f>
        <v>-43925</v>
      </c>
      <c r="J93">
        <f>IF(AND(MyRowHidden(ROW())=FALSE,MyRowHidden(ROW()-1)=TRUE),0,(G93-G92)*unitsOfExo+J92)</f>
        <v>255600</v>
      </c>
      <c r="K93" s="9">
        <f t="shared" si="7"/>
        <v>-255600</v>
      </c>
      <c r="L93">
        <f t="shared" si="8"/>
        <v>211675</v>
      </c>
      <c r="M93">
        <f>IF(AND(MyRowHidden(ROW())=FALSE,MyRowHidden(ROW()-1)=TRUE),0,IF(MONTH(H93)&lt;&gt;MONTH(H92),M92+1,M92))</f>
        <v>3</v>
      </c>
      <c r="N93">
        <f t="shared" si="9"/>
        <v>-43925</v>
      </c>
      <c r="O93">
        <f>IF(AND(MyRowHidden(ROW())=FALSE,MyRowHidden(ROW()-1)=TRUE),0,IF(M93&lt;totalMonths,(totalMonths-M93)/totalMonths *(I93-I92)+O92,0))</f>
        <v>-30712.5</v>
      </c>
      <c r="P93">
        <f>IF(AND(MyRowHidden(ROW())=FALSE,MyRowHidden(ROW()-1)=TRUE),0,IF(M93&lt;totalMonths,(totalMonths-M93)/totalMonths *(J93-J92)+P92,0))</f>
        <v>325200</v>
      </c>
      <c r="Q93">
        <f>IF(AND(MyRowHidden(ROW())=FALSE,MyRowHidden(ROW()-1)=TRUE),0,IF(M93&lt;totalMonths,(totalMonths-M93)/totalMonths *(K93-K92)+Q92,0))</f>
        <v>-325200</v>
      </c>
      <c r="R93">
        <f t="shared" si="10"/>
        <v>281275</v>
      </c>
      <c r="S93">
        <f t="shared" si="11"/>
        <v>294487.5</v>
      </c>
    </row>
    <row r="94" spans="1:19" hidden="1" x14ac:dyDescent="0.25">
      <c r="A94" s="1"/>
      <c r="C94" s="1"/>
      <c r="D94" s="1">
        <v>41394</v>
      </c>
      <c r="E94">
        <v>21274</v>
      </c>
      <c r="F94" s="1">
        <v>41394</v>
      </c>
      <c r="G94">
        <v>3012.5</v>
      </c>
      <c r="H94" s="1">
        <f t="shared" si="6"/>
        <v>41394</v>
      </c>
      <c r="I94">
        <f>IF(AND(MyRowHidden(ROW())=FALSE,MyRowHidden(ROW()-1)=TRUE),0,(E94-E93)*unitsOfDHp+I93)</f>
        <v>-49875</v>
      </c>
      <c r="J94">
        <f>IF(AND(MyRowHidden(ROW())=FALSE,MyRowHidden(ROW()-1)=TRUE),0,(G94-G93)*unitsOfExo+J93)</f>
        <v>320400</v>
      </c>
      <c r="K94" s="9">
        <f t="shared" si="7"/>
        <v>-320400</v>
      </c>
      <c r="L94">
        <f t="shared" si="8"/>
        <v>270525</v>
      </c>
      <c r="M94">
        <f>IF(AND(MyRowHidden(ROW())=FALSE,MyRowHidden(ROW()-1)=TRUE),0,IF(MONTH(H94)&lt;&gt;MONTH(H93),M93+1,M93))</f>
        <v>3</v>
      </c>
      <c r="N94">
        <f t="shared" si="9"/>
        <v>-49875</v>
      </c>
      <c r="O94">
        <f>IF(AND(MyRowHidden(ROW())=FALSE,MyRowHidden(ROW()-1)=TRUE),0,IF(M94&lt;totalMonths,(totalMonths-M94)/totalMonths *(I94-I93)+O93,0))</f>
        <v>-35175</v>
      </c>
      <c r="P94">
        <f>IF(AND(MyRowHidden(ROW())=FALSE,MyRowHidden(ROW()-1)=TRUE),0,IF(M94&lt;totalMonths,(totalMonths-M94)/totalMonths *(J94-J93)+P93,0))</f>
        <v>373800</v>
      </c>
      <c r="Q94">
        <f>IF(AND(MyRowHidden(ROW())=FALSE,MyRowHidden(ROW()-1)=TRUE),0,IF(M94&lt;totalMonths,(totalMonths-M94)/totalMonths *(K94-K93)+Q93,0))</f>
        <v>-373800</v>
      </c>
      <c r="R94">
        <f t="shared" si="10"/>
        <v>323925</v>
      </c>
      <c r="S94">
        <f t="shared" si="11"/>
        <v>338625</v>
      </c>
    </row>
    <row r="95" spans="1:19" hidden="1" x14ac:dyDescent="0.25">
      <c r="A95" s="1"/>
      <c r="C95" s="1"/>
      <c r="D95" s="1">
        <v>41395</v>
      </c>
      <c r="E95">
        <v>21319</v>
      </c>
      <c r="F95" s="1">
        <v>41395</v>
      </c>
      <c r="G95">
        <v>2925</v>
      </c>
      <c r="H95" s="1">
        <f t="shared" si="6"/>
        <v>41395</v>
      </c>
      <c r="I95">
        <f>IF(AND(MyRowHidden(ROW())=FALSE,MyRowHidden(ROW()-1)=TRUE),0,(E95-E94)*unitsOfDHp+I94)</f>
        <v>-48300</v>
      </c>
      <c r="J95">
        <f>IF(AND(MyRowHidden(ROW())=FALSE,MyRowHidden(ROW()-1)=TRUE),0,(G95-G94)*unitsOfExo+J94)</f>
        <v>295200</v>
      </c>
      <c r="K95" s="9">
        <f t="shared" si="7"/>
        <v>-295200</v>
      </c>
      <c r="L95">
        <f t="shared" si="8"/>
        <v>246900</v>
      </c>
      <c r="M95">
        <f>IF(AND(MyRowHidden(ROW())=FALSE,MyRowHidden(ROW()-1)=TRUE),0,IF(MONTH(H95)&lt;&gt;MONTH(H94),M94+1,M94))</f>
        <v>4</v>
      </c>
      <c r="N95">
        <f t="shared" si="9"/>
        <v>-48300</v>
      </c>
      <c r="O95">
        <f>IF(AND(MyRowHidden(ROW())=FALSE,MyRowHidden(ROW()-1)=TRUE),0,IF(M95&lt;totalMonths,(totalMonths-M95)/totalMonths *(I95-I94)+O94,0))</f>
        <v>-34125</v>
      </c>
      <c r="P95">
        <f>IF(AND(MyRowHidden(ROW())=FALSE,MyRowHidden(ROW()-1)=TRUE),0,IF(M95&lt;totalMonths,(totalMonths-M95)/totalMonths *(J95-J94)+P94,0))</f>
        <v>357000</v>
      </c>
      <c r="Q95">
        <f>IF(AND(MyRowHidden(ROW())=FALSE,MyRowHidden(ROW()-1)=TRUE),0,IF(M95&lt;totalMonths,(totalMonths-M95)/totalMonths *(K95-K94)+Q94,0))</f>
        <v>-357000</v>
      </c>
      <c r="R95">
        <f t="shared" si="10"/>
        <v>308700</v>
      </c>
      <c r="S95">
        <f t="shared" si="11"/>
        <v>322875</v>
      </c>
    </row>
    <row r="96" spans="1:19" hidden="1" x14ac:dyDescent="0.25">
      <c r="A96" s="1"/>
      <c r="C96" s="1"/>
      <c r="D96" s="1">
        <v>41396</v>
      </c>
      <c r="E96">
        <v>21102</v>
      </c>
      <c r="F96" s="1">
        <v>41396</v>
      </c>
      <c r="G96">
        <v>3600</v>
      </c>
      <c r="H96" s="1">
        <f t="shared" si="6"/>
        <v>41396</v>
      </c>
      <c r="I96">
        <f>IF(AND(MyRowHidden(ROW())=FALSE,MyRowHidden(ROW()-1)=TRUE),0,(E96-E95)*unitsOfDHp+I95)</f>
        <v>-55895</v>
      </c>
      <c r="J96">
        <f>IF(AND(MyRowHidden(ROW())=FALSE,MyRowHidden(ROW()-1)=TRUE),0,(G96-G95)*unitsOfExo+J95)</f>
        <v>489600</v>
      </c>
      <c r="K96" s="9">
        <f t="shared" si="7"/>
        <v>-489600</v>
      </c>
      <c r="L96">
        <f t="shared" si="8"/>
        <v>433705</v>
      </c>
      <c r="M96">
        <f>IF(AND(MyRowHidden(ROW())=FALSE,MyRowHidden(ROW()-1)=TRUE),0,IF(MONTH(H96)&lt;&gt;MONTH(H95),M95+1,M95))</f>
        <v>4</v>
      </c>
      <c r="N96">
        <f t="shared" si="9"/>
        <v>-55895</v>
      </c>
      <c r="O96">
        <f>IF(AND(MyRowHidden(ROW())=FALSE,MyRowHidden(ROW()-1)=TRUE),0,IF(M96&lt;totalMonths,(totalMonths-M96)/totalMonths *(I96-I95)+O95,0))</f>
        <v>-39188.333333333336</v>
      </c>
      <c r="P96">
        <f>IF(AND(MyRowHidden(ROW())=FALSE,MyRowHidden(ROW()-1)=TRUE),0,IF(M96&lt;totalMonths,(totalMonths-M96)/totalMonths *(J96-J95)+P95,0))</f>
        <v>486600</v>
      </c>
      <c r="Q96">
        <f>IF(AND(MyRowHidden(ROW())=FALSE,MyRowHidden(ROW()-1)=TRUE),0,IF(M96&lt;totalMonths,(totalMonths-M96)/totalMonths *(K96-K95)+Q95,0))</f>
        <v>-486600</v>
      </c>
      <c r="R96">
        <f t="shared" si="10"/>
        <v>430705</v>
      </c>
      <c r="S96">
        <f t="shared" si="11"/>
        <v>447411.66666666669</v>
      </c>
    </row>
    <row r="97" spans="1:19" hidden="1" x14ac:dyDescent="0.25">
      <c r="A97" s="1"/>
      <c r="C97" s="1"/>
      <c r="D97" s="1">
        <v>41397</v>
      </c>
      <c r="E97">
        <v>21109</v>
      </c>
      <c r="F97" s="1">
        <v>41397</v>
      </c>
      <c r="G97">
        <v>3687.5</v>
      </c>
      <c r="H97" s="1">
        <f t="shared" si="6"/>
        <v>41397</v>
      </c>
      <c r="I97">
        <f>IF(AND(MyRowHidden(ROW())=FALSE,MyRowHidden(ROW()-1)=TRUE),0,(E97-E96)*unitsOfDHp+I96)</f>
        <v>-55650</v>
      </c>
      <c r="J97">
        <f>IF(AND(MyRowHidden(ROW())=FALSE,MyRowHidden(ROW()-1)=TRUE),0,(G97-G96)*unitsOfExo+J96)</f>
        <v>514800</v>
      </c>
      <c r="K97" s="9">
        <f t="shared" si="7"/>
        <v>-514800</v>
      </c>
      <c r="L97">
        <f t="shared" si="8"/>
        <v>459150</v>
      </c>
      <c r="M97">
        <f>IF(AND(MyRowHidden(ROW())=FALSE,MyRowHidden(ROW()-1)=TRUE),0,IF(MONTH(H97)&lt;&gt;MONTH(H96),M96+1,M96))</f>
        <v>4</v>
      </c>
      <c r="N97">
        <f t="shared" si="9"/>
        <v>-55650</v>
      </c>
      <c r="O97">
        <f>IF(AND(MyRowHidden(ROW())=FALSE,MyRowHidden(ROW()-1)=TRUE),0,IF(M97&lt;totalMonths,(totalMonths-M97)/totalMonths *(I97-I96)+O96,0))</f>
        <v>-39025</v>
      </c>
      <c r="P97">
        <f>IF(AND(MyRowHidden(ROW())=FALSE,MyRowHidden(ROW()-1)=TRUE),0,IF(M97&lt;totalMonths,(totalMonths-M97)/totalMonths *(J97-J96)+P96,0))</f>
        <v>503400</v>
      </c>
      <c r="Q97">
        <f>IF(AND(MyRowHidden(ROW())=FALSE,MyRowHidden(ROW()-1)=TRUE),0,IF(M97&lt;totalMonths,(totalMonths-M97)/totalMonths *(K97-K96)+Q96,0))</f>
        <v>-503400</v>
      </c>
      <c r="R97">
        <f t="shared" si="10"/>
        <v>447750</v>
      </c>
      <c r="S97">
        <f t="shared" si="11"/>
        <v>464375</v>
      </c>
    </row>
    <row r="98" spans="1:19" hidden="1" x14ac:dyDescent="0.25">
      <c r="A98" s="1"/>
      <c r="C98" s="1"/>
      <c r="D98" s="1">
        <v>41400</v>
      </c>
      <c r="E98">
        <v>20819</v>
      </c>
      <c r="F98" s="1">
        <v>41400</v>
      </c>
      <c r="G98">
        <v>2725</v>
      </c>
      <c r="H98" s="1">
        <f t="shared" si="6"/>
        <v>41400</v>
      </c>
      <c r="I98">
        <f>IF(AND(MyRowHidden(ROW())=FALSE,MyRowHidden(ROW()-1)=TRUE),0,(E98-E97)*unitsOfDHp+I97)</f>
        <v>-65800</v>
      </c>
      <c r="J98">
        <f>IF(AND(MyRowHidden(ROW())=FALSE,MyRowHidden(ROW()-1)=TRUE),0,(G98-G97)*unitsOfExo+J97)</f>
        <v>237600</v>
      </c>
      <c r="K98" s="9">
        <f t="shared" si="7"/>
        <v>-237600</v>
      </c>
      <c r="L98">
        <f t="shared" si="8"/>
        <v>171800</v>
      </c>
      <c r="M98">
        <f>IF(AND(MyRowHidden(ROW())=FALSE,MyRowHidden(ROW()-1)=TRUE),0,IF(MONTH(H98)&lt;&gt;MONTH(H97),M97+1,M97))</f>
        <v>4</v>
      </c>
      <c r="N98">
        <f t="shared" si="9"/>
        <v>-65800</v>
      </c>
      <c r="O98">
        <f>IF(AND(MyRowHidden(ROW())=FALSE,MyRowHidden(ROW()-1)=TRUE),0,IF(M98&lt;totalMonths,(totalMonths-M98)/totalMonths *(I98-I97)+O97,0))</f>
        <v>-45791.666666666664</v>
      </c>
      <c r="P98">
        <f>IF(AND(MyRowHidden(ROW())=FALSE,MyRowHidden(ROW()-1)=TRUE),0,IF(M98&lt;totalMonths,(totalMonths-M98)/totalMonths *(J98-J97)+P97,0))</f>
        <v>318600</v>
      </c>
      <c r="Q98">
        <f>IF(AND(MyRowHidden(ROW())=FALSE,MyRowHidden(ROW()-1)=TRUE),0,IF(M98&lt;totalMonths,(totalMonths-M98)/totalMonths *(K98-K97)+Q97,0))</f>
        <v>-318600</v>
      </c>
      <c r="R98">
        <f t="shared" si="10"/>
        <v>252800</v>
      </c>
      <c r="S98">
        <f t="shared" si="11"/>
        <v>272808.33333333331</v>
      </c>
    </row>
    <row r="99" spans="1:19" hidden="1" x14ac:dyDescent="0.25">
      <c r="A99" s="1"/>
      <c r="C99" s="1"/>
      <c r="D99" s="1">
        <v>41401</v>
      </c>
      <c r="E99">
        <v>20940</v>
      </c>
      <c r="F99" s="1">
        <v>41401</v>
      </c>
      <c r="G99">
        <v>2725</v>
      </c>
      <c r="H99" s="1">
        <f t="shared" si="6"/>
        <v>41401</v>
      </c>
      <c r="I99">
        <f>IF(AND(MyRowHidden(ROW())=FALSE,MyRowHidden(ROW()-1)=TRUE),0,(E99-E98)*unitsOfDHp+I98)</f>
        <v>-61565</v>
      </c>
      <c r="J99">
        <f>IF(AND(MyRowHidden(ROW())=FALSE,MyRowHidden(ROW()-1)=TRUE),0,(G99-G98)*unitsOfExo+J98)</f>
        <v>237600</v>
      </c>
      <c r="K99" s="9">
        <f t="shared" si="7"/>
        <v>-237600</v>
      </c>
      <c r="L99">
        <f t="shared" si="8"/>
        <v>176035</v>
      </c>
      <c r="M99">
        <f>IF(AND(MyRowHidden(ROW())=FALSE,MyRowHidden(ROW()-1)=TRUE),0,IF(MONTH(H99)&lt;&gt;MONTH(H98),M98+1,M98))</f>
        <v>4</v>
      </c>
      <c r="N99">
        <f t="shared" si="9"/>
        <v>-61565</v>
      </c>
      <c r="O99">
        <f>IF(AND(MyRowHidden(ROW())=FALSE,MyRowHidden(ROW()-1)=TRUE),0,IF(M99&lt;totalMonths,(totalMonths-M99)/totalMonths *(I99-I98)+O98,0))</f>
        <v>-42968.333333333328</v>
      </c>
      <c r="P99">
        <f>IF(AND(MyRowHidden(ROW())=FALSE,MyRowHidden(ROW()-1)=TRUE),0,IF(M99&lt;totalMonths,(totalMonths-M99)/totalMonths *(J99-J98)+P98,0))</f>
        <v>318600</v>
      </c>
      <c r="Q99">
        <f>IF(AND(MyRowHidden(ROW())=FALSE,MyRowHidden(ROW()-1)=TRUE),0,IF(M99&lt;totalMonths,(totalMonths-M99)/totalMonths *(K99-K98)+Q98,0))</f>
        <v>-318600</v>
      </c>
      <c r="R99">
        <f t="shared" si="10"/>
        <v>257035</v>
      </c>
      <c r="S99">
        <f t="shared" si="11"/>
        <v>275631.66666666669</v>
      </c>
    </row>
    <row r="100" spans="1:19" hidden="1" x14ac:dyDescent="0.25">
      <c r="A100" s="1"/>
      <c r="C100" s="1"/>
      <c r="D100" s="1">
        <v>41402</v>
      </c>
      <c r="E100">
        <v>20477</v>
      </c>
      <c r="F100" s="1">
        <v>41402</v>
      </c>
      <c r="G100">
        <v>2400</v>
      </c>
      <c r="H100" s="1">
        <f t="shared" si="6"/>
        <v>41402</v>
      </c>
      <c r="I100">
        <f>IF(AND(MyRowHidden(ROW())=FALSE,MyRowHidden(ROW()-1)=TRUE),0,(E100-E99)*unitsOfDHp+I99)</f>
        <v>-77770</v>
      </c>
      <c r="J100">
        <f>IF(AND(MyRowHidden(ROW())=FALSE,MyRowHidden(ROW()-1)=TRUE),0,(G100-G99)*unitsOfExo+J99)</f>
        <v>144000</v>
      </c>
      <c r="K100" s="9">
        <f t="shared" si="7"/>
        <v>-144000</v>
      </c>
      <c r="L100">
        <f t="shared" si="8"/>
        <v>66230</v>
      </c>
      <c r="M100">
        <f>IF(AND(MyRowHidden(ROW())=FALSE,MyRowHidden(ROW()-1)=TRUE),0,IF(MONTH(H100)&lt;&gt;MONTH(H99),M99+1,M99))</f>
        <v>4</v>
      </c>
      <c r="N100">
        <f t="shared" si="9"/>
        <v>-77770</v>
      </c>
      <c r="O100">
        <f>IF(AND(MyRowHidden(ROW())=FALSE,MyRowHidden(ROW()-1)=TRUE),0,IF(M100&lt;totalMonths,(totalMonths-M100)/totalMonths *(I100-I99)+O99,0))</f>
        <v>-53771.666666666657</v>
      </c>
      <c r="P100">
        <f>IF(AND(MyRowHidden(ROW())=FALSE,MyRowHidden(ROW()-1)=TRUE),0,IF(M100&lt;totalMonths,(totalMonths-M100)/totalMonths *(J100-J99)+P99,0))</f>
        <v>256200</v>
      </c>
      <c r="Q100">
        <f>IF(AND(MyRowHidden(ROW())=FALSE,MyRowHidden(ROW()-1)=TRUE),0,IF(M100&lt;totalMonths,(totalMonths-M100)/totalMonths *(K100-K99)+Q99,0))</f>
        <v>-256200</v>
      </c>
      <c r="R100">
        <f t="shared" si="10"/>
        <v>178430</v>
      </c>
      <c r="S100">
        <f t="shared" si="11"/>
        <v>202428.33333333334</v>
      </c>
    </row>
    <row r="101" spans="1:19" hidden="1" x14ac:dyDescent="0.25">
      <c r="A101" s="1"/>
      <c r="C101" s="1"/>
      <c r="D101" s="1">
        <v>41403</v>
      </c>
      <c r="E101">
        <v>20769</v>
      </c>
      <c r="F101" s="1">
        <v>41403</v>
      </c>
      <c r="G101">
        <v>3625</v>
      </c>
      <c r="H101" s="1">
        <f t="shared" si="6"/>
        <v>41403</v>
      </c>
      <c r="I101">
        <f>IF(AND(MyRowHidden(ROW())=FALSE,MyRowHidden(ROW()-1)=TRUE),0,(E101-E100)*unitsOfDHp+I100)</f>
        <v>-67550</v>
      </c>
      <c r="J101">
        <f>IF(AND(MyRowHidden(ROW())=FALSE,MyRowHidden(ROW()-1)=TRUE),0,(G101-G100)*unitsOfExo+J100)</f>
        <v>496800</v>
      </c>
      <c r="K101" s="9">
        <f t="shared" si="7"/>
        <v>-496800</v>
      </c>
      <c r="L101">
        <f t="shared" si="8"/>
        <v>429250</v>
      </c>
      <c r="M101">
        <f>IF(AND(MyRowHidden(ROW())=FALSE,MyRowHidden(ROW()-1)=TRUE),0,IF(MONTH(H101)&lt;&gt;MONTH(H100),M100+1,M100))</f>
        <v>4</v>
      </c>
      <c r="N101">
        <f t="shared" si="9"/>
        <v>-67550</v>
      </c>
      <c r="O101">
        <f>IF(AND(MyRowHidden(ROW())=FALSE,MyRowHidden(ROW()-1)=TRUE),0,IF(M101&lt;totalMonths,(totalMonths-M101)/totalMonths *(I101-I100)+O100,0))</f>
        <v>-46958.333333333321</v>
      </c>
      <c r="P101">
        <f>IF(AND(MyRowHidden(ROW())=FALSE,MyRowHidden(ROW()-1)=TRUE),0,IF(M101&lt;totalMonths,(totalMonths-M101)/totalMonths *(J101-J100)+P100,0))</f>
        <v>491400</v>
      </c>
      <c r="Q101">
        <f>IF(AND(MyRowHidden(ROW())=FALSE,MyRowHidden(ROW()-1)=TRUE),0,IF(M101&lt;totalMonths,(totalMonths-M101)/totalMonths *(K101-K100)+Q100,0))</f>
        <v>-491400</v>
      </c>
      <c r="R101">
        <f t="shared" si="10"/>
        <v>423850</v>
      </c>
      <c r="S101">
        <f t="shared" si="11"/>
        <v>444441.66666666669</v>
      </c>
    </row>
    <row r="102" spans="1:19" hidden="1" x14ac:dyDescent="0.25">
      <c r="A102" s="1"/>
      <c r="C102" s="1"/>
      <c r="D102" s="1">
        <v>41404</v>
      </c>
      <c r="E102">
        <v>21094</v>
      </c>
      <c r="F102" s="1">
        <v>41404</v>
      </c>
      <c r="G102">
        <v>3225</v>
      </c>
      <c r="H102" s="1">
        <f t="shared" si="6"/>
        <v>41404</v>
      </c>
      <c r="I102">
        <f>IF(AND(MyRowHidden(ROW())=FALSE,MyRowHidden(ROW()-1)=TRUE),0,(E102-E101)*unitsOfDHp+I101)</f>
        <v>-56175</v>
      </c>
      <c r="J102">
        <f>IF(AND(MyRowHidden(ROW())=FALSE,MyRowHidden(ROW()-1)=TRUE),0,(G102-G101)*unitsOfExo+J101)</f>
        <v>381600</v>
      </c>
      <c r="K102" s="9">
        <f t="shared" si="7"/>
        <v>-381600</v>
      </c>
      <c r="L102">
        <f t="shared" si="8"/>
        <v>325425</v>
      </c>
      <c r="M102">
        <f>IF(AND(MyRowHidden(ROW())=FALSE,MyRowHidden(ROW()-1)=TRUE),0,IF(MONTH(H102)&lt;&gt;MONTH(H101),M101+1,M101))</f>
        <v>4</v>
      </c>
      <c r="N102">
        <f t="shared" si="9"/>
        <v>-56175</v>
      </c>
      <c r="O102">
        <f>IF(AND(MyRowHidden(ROW())=FALSE,MyRowHidden(ROW()-1)=TRUE),0,IF(M102&lt;totalMonths,(totalMonths-M102)/totalMonths *(I102-I101)+O101,0))</f>
        <v>-39374.999999999985</v>
      </c>
      <c r="P102">
        <f>IF(AND(MyRowHidden(ROW())=FALSE,MyRowHidden(ROW()-1)=TRUE),0,IF(M102&lt;totalMonths,(totalMonths-M102)/totalMonths *(J102-J101)+P101,0))</f>
        <v>414600</v>
      </c>
      <c r="Q102">
        <f>IF(AND(MyRowHidden(ROW())=FALSE,MyRowHidden(ROW()-1)=TRUE),0,IF(M102&lt;totalMonths,(totalMonths-M102)/totalMonths *(K102-K101)+Q101,0))</f>
        <v>-414600</v>
      </c>
      <c r="R102">
        <f t="shared" si="10"/>
        <v>358425</v>
      </c>
      <c r="S102">
        <f t="shared" si="11"/>
        <v>375225</v>
      </c>
    </row>
    <row r="103" spans="1:19" hidden="1" x14ac:dyDescent="0.25">
      <c r="A103" s="1"/>
      <c r="C103" s="1"/>
      <c r="D103" s="1">
        <v>41407</v>
      </c>
      <c r="E103">
        <v>20109</v>
      </c>
      <c r="F103" s="1">
        <v>41407</v>
      </c>
      <c r="G103">
        <v>4075</v>
      </c>
      <c r="H103" s="1">
        <f t="shared" si="6"/>
        <v>41407</v>
      </c>
      <c r="I103">
        <f>IF(AND(MyRowHidden(ROW())=FALSE,MyRowHidden(ROW()-1)=TRUE),0,(E103-E102)*unitsOfDHp+I102)</f>
        <v>-90650</v>
      </c>
      <c r="J103">
        <f>IF(AND(MyRowHidden(ROW())=FALSE,MyRowHidden(ROW()-1)=TRUE),0,(G103-G102)*unitsOfExo+J102)</f>
        <v>626400</v>
      </c>
      <c r="K103" s="9">
        <f t="shared" si="7"/>
        <v>-626400</v>
      </c>
      <c r="L103">
        <f t="shared" si="8"/>
        <v>535750</v>
      </c>
      <c r="M103">
        <f>IF(AND(MyRowHidden(ROW())=FALSE,MyRowHidden(ROW()-1)=TRUE),0,IF(MONTH(H103)&lt;&gt;MONTH(H102),M102+1,M102))</f>
        <v>4</v>
      </c>
      <c r="N103">
        <f t="shared" si="9"/>
        <v>-90650</v>
      </c>
      <c r="O103">
        <f>IF(AND(MyRowHidden(ROW())=FALSE,MyRowHidden(ROW()-1)=TRUE),0,IF(M103&lt;totalMonths,(totalMonths-M103)/totalMonths *(I103-I102)+O102,0))</f>
        <v>-62358.333333333314</v>
      </c>
      <c r="P103">
        <f>IF(AND(MyRowHidden(ROW())=FALSE,MyRowHidden(ROW()-1)=TRUE),0,IF(M103&lt;totalMonths,(totalMonths-M103)/totalMonths *(J103-J102)+P102,0))</f>
        <v>577800</v>
      </c>
      <c r="Q103">
        <f>IF(AND(MyRowHidden(ROW())=FALSE,MyRowHidden(ROW()-1)=TRUE),0,IF(M103&lt;totalMonths,(totalMonths-M103)/totalMonths *(K103-K102)+Q102,0))</f>
        <v>-577800</v>
      </c>
      <c r="R103">
        <f t="shared" si="10"/>
        <v>487150</v>
      </c>
      <c r="S103">
        <f t="shared" si="11"/>
        <v>515441.66666666669</v>
      </c>
    </row>
    <row r="104" spans="1:19" hidden="1" x14ac:dyDescent="0.25">
      <c r="A104" s="1"/>
      <c r="C104" s="1"/>
      <c r="D104" s="1">
        <v>41408</v>
      </c>
      <c r="E104">
        <v>20323</v>
      </c>
      <c r="F104" s="1">
        <v>41408</v>
      </c>
      <c r="G104">
        <v>3850</v>
      </c>
      <c r="H104" s="1">
        <f t="shared" si="6"/>
        <v>41408</v>
      </c>
      <c r="I104">
        <f>IF(AND(MyRowHidden(ROW())=FALSE,MyRowHidden(ROW()-1)=TRUE),0,(E104-E103)*unitsOfDHp+I103)</f>
        <v>-83160</v>
      </c>
      <c r="J104">
        <f>IF(AND(MyRowHidden(ROW())=FALSE,MyRowHidden(ROW()-1)=TRUE),0,(G104-G103)*unitsOfExo+J103)</f>
        <v>561600</v>
      </c>
      <c r="K104" s="9">
        <f t="shared" si="7"/>
        <v>-561600</v>
      </c>
      <c r="L104">
        <f t="shared" si="8"/>
        <v>478440</v>
      </c>
      <c r="M104">
        <f>IF(AND(MyRowHidden(ROW())=FALSE,MyRowHidden(ROW()-1)=TRUE),0,IF(MONTH(H104)&lt;&gt;MONTH(H103),M103+1,M103))</f>
        <v>4</v>
      </c>
      <c r="N104">
        <f t="shared" si="9"/>
        <v>-83160</v>
      </c>
      <c r="O104">
        <f>IF(AND(MyRowHidden(ROW())=FALSE,MyRowHidden(ROW()-1)=TRUE),0,IF(M104&lt;totalMonths,(totalMonths-M104)/totalMonths *(I104-I103)+O103,0))</f>
        <v>-57364.999999999978</v>
      </c>
      <c r="P104">
        <f>IF(AND(MyRowHidden(ROW())=FALSE,MyRowHidden(ROW()-1)=TRUE),0,IF(M104&lt;totalMonths,(totalMonths-M104)/totalMonths *(J104-J103)+P103,0))</f>
        <v>534600</v>
      </c>
      <c r="Q104">
        <f>IF(AND(MyRowHidden(ROW())=FALSE,MyRowHidden(ROW()-1)=TRUE),0,IF(M104&lt;totalMonths,(totalMonths-M104)/totalMonths *(K104-K103)+Q103,0))</f>
        <v>-534600</v>
      </c>
      <c r="R104">
        <f t="shared" si="10"/>
        <v>451440</v>
      </c>
      <c r="S104">
        <f t="shared" si="11"/>
        <v>477235</v>
      </c>
    </row>
    <row r="105" spans="1:19" hidden="1" x14ac:dyDescent="0.25">
      <c r="A105" s="1"/>
      <c r="C105" s="1"/>
      <c r="D105" s="1">
        <v>41409</v>
      </c>
      <c r="E105">
        <v>20483</v>
      </c>
      <c r="F105" s="1">
        <v>41409</v>
      </c>
      <c r="G105">
        <v>3762.5</v>
      </c>
      <c r="H105" s="1">
        <f t="shared" si="6"/>
        <v>41409</v>
      </c>
      <c r="I105">
        <f>IF(AND(MyRowHidden(ROW())=FALSE,MyRowHidden(ROW()-1)=TRUE),0,(E105-E104)*unitsOfDHp+I104)</f>
        <v>-77560</v>
      </c>
      <c r="J105">
        <f>IF(AND(MyRowHidden(ROW())=FALSE,MyRowHidden(ROW()-1)=TRUE),0,(G105-G104)*unitsOfExo+J104)</f>
        <v>536400</v>
      </c>
      <c r="K105" s="9">
        <f t="shared" si="7"/>
        <v>-536400</v>
      </c>
      <c r="L105">
        <f t="shared" si="8"/>
        <v>458840</v>
      </c>
      <c r="M105">
        <f>IF(AND(MyRowHidden(ROW())=FALSE,MyRowHidden(ROW()-1)=TRUE),0,IF(MONTH(H105)&lt;&gt;MONTH(H104),M104+1,M104))</f>
        <v>4</v>
      </c>
      <c r="N105">
        <f t="shared" si="9"/>
        <v>-77560</v>
      </c>
      <c r="O105">
        <f>IF(AND(MyRowHidden(ROW())=FALSE,MyRowHidden(ROW()-1)=TRUE),0,IF(M105&lt;totalMonths,(totalMonths-M105)/totalMonths *(I105-I104)+O104,0))</f>
        <v>-53631.666666666642</v>
      </c>
      <c r="P105">
        <f>IF(AND(MyRowHidden(ROW())=FALSE,MyRowHidden(ROW()-1)=TRUE),0,IF(M105&lt;totalMonths,(totalMonths-M105)/totalMonths *(J105-J104)+P104,0))</f>
        <v>517800</v>
      </c>
      <c r="Q105">
        <f>IF(AND(MyRowHidden(ROW())=FALSE,MyRowHidden(ROW()-1)=TRUE),0,IF(M105&lt;totalMonths,(totalMonths-M105)/totalMonths *(K105-K104)+Q104,0))</f>
        <v>-517800</v>
      </c>
      <c r="R105">
        <f t="shared" si="10"/>
        <v>440240</v>
      </c>
      <c r="S105">
        <f t="shared" si="11"/>
        <v>464168.33333333337</v>
      </c>
    </row>
    <row r="106" spans="1:19" hidden="1" x14ac:dyDescent="0.25">
      <c r="A106" s="1"/>
      <c r="C106" s="1"/>
      <c r="D106" s="1">
        <v>41410</v>
      </c>
      <c r="E106">
        <v>21044</v>
      </c>
      <c r="F106" s="1">
        <v>41410</v>
      </c>
      <c r="G106">
        <v>3412.5</v>
      </c>
      <c r="H106" s="1">
        <f t="shared" si="6"/>
        <v>41410</v>
      </c>
      <c r="I106">
        <f>IF(AND(MyRowHidden(ROW())=FALSE,MyRowHidden(ROW()-1)=TRUE),0,(E106-E105)*unitsOfDHp+I105)</f>
        <v>-57925</v>
      </c>
      <c r="J106">
        <f>IF(AND(MyRowHidden(ROW())=FALSE,MyRowHidden(ROW()-1)=TRUE),0,(G106-G105)*unitsOfExo+J105)</f>
        <v>435600</v>
      </c>
      <c r="K106" s="9">
        <f t="shared" si="7"/>
        <v>-435600</v>
      </c>
      <c r="L106">
        <f t="shared" si="8"/>
        <v>377675</v>
      </c>
      <c r="M106">
        <f>IF(AND(MyRowHidden(ROW())=FALSE,MyRowHidden(ROW()-1)=TRUE),0,IF(MONTH(H106)&lt;&gt;MONTH(H105),M105+1,M105))</f>
        <v>4</v>
      </c>
      <c r="N106">
        <f t="shared" si="9"/>
        <v>-57925</v>
      </c>
      <c r="O106">
        <f>IF(AND(MyRowHidden(ROW())=FALSE,MyRowHidden(ROW()-1)=TRUE),0,IF(M106&lt;totalMonths,(totalMonths-M106)/totalMonths *(I106-I105)+O105,0))</f>
        <v>-40541.666666666642</v>
      </c>
      <c r="P106">
        <f>IF(AND(MyRowHidden(ROW())=FALSE,MyRowHidden(ROW()-1)=TRUE),0,IF(M106&lt;totalMonths,(totalMonths-M106)/totalMonths *(J106-J105)+P105,0))</f>
        <v>450600</v>
      </c>
      <c r="Q106">
        <f>IF(AND(MyRowHidden(ROW())=FALSE,MyRowHidden(ROW()-1)=TRUE),0,IF(M106&lt;totalMonths,(totalMonths-M106)/totalMonths *(K106-K105)+Q105,0))</f>
        <v>-450600</v>
      </c>
      <c r="R106">
        <f t="shared" si="10"/>
        <v>392675</v>
      </c>
      <c r="S106">
        <f t="shared" si="11"/>
        <v>410058.33333333337</v>
      </c>
    </row>
    <row r="107" spans="1:19" hidden="1" x14ac:dyDescent="0.25">
      <c r="A107" s="1"/>
      <c r="C107" s="1"/>
      <c r="D107" s="1">
        <v>41411</v>
      </c>
      <c r="E107">
        <v>20504</v>
      </c>
      <c r="F107" s="1">
        <v>41411</v>
      </c>
      <c r="G107">
        <v>3912.5</v>
      </c>
      <c r="H107" s="1">
        <f t="shared" si="6"/>
        <v>41411</v>
      </c>
      <c r="I107">
        <f>IF(AND(MyRowHidden(ROW())=FALSE,MyRowHidden(ROW()-1)=TRUE),0,(E107-E106)*unitsOfDHp+I106)</f>
        <v>-76825</v>
      </c>
      <c r="J107">
        <f>IF(AND(MyRowHidden(ROW())=FALSE,MyRowHidden(ROW()-1)=TRUE),0,(G107-G106)*unitsOfExo+J106)</f>
        <v>579600</v>
      </c>
      <c r="K107" s="9">
        <f t="shared" si="7"/>
        <v>-579600</v>
      </c>
      <c r="L107">
        <f t="shared" si="8"/>
        <v>502775</v>
      </c>
      <c r="M107">
        <f>IF(AND(MyRowHidden(ROW())=FALSE,MyRowHidden(ROW()-1)=TRUE),0,IF(MONTH(H107)&lt;&gt;MONTH(H106),M106+1,M106))</f>
        <v>4</v>
      </c>
      <c r="N107">
        <f t="shared" si="9"/>
        <v>-76825</v>
      </c>
      <c r="O107">
        <f>IF(AND(MyRowHidden(ROW())=FALSE,MyRowHidden(ROW()-1)=TRUE),0,IF(M107&lt;totalMonths,(totalMonths-M107)/totalMonths *(I107-I106)+O106,0))</f>
        <v>-53141.666666666642</v>
      </c>
      <c r="P107">
        <f>IF(AND(MyRowHidden(ROW())=FALSE,MyRowHidden(ROW()-1)=TRUE),0,IF(M107&lt;totalMonths,(totalMonths-M107)/totalMonths *(J107-J106)+P106,0))</f>
        <v>546600</v>
      </c>
      <c r="Q107">
        <f>IF(AND(MyRowHidden(ROW())=FALSE,MyRowHidden(ROW()-1)=TRUE),0,IF(M107&lt;totalMonths,(totalMonths-M107)/totalMonths *(K107-K106)+Q106,0))</f>
        <v>-546600</v>
      </c>
      <c r="R107">
        <f t="shared" si="10"/>
        <v>469775</v>
      </c>
      <c r="S107">
        <f t="shared" si="11"/>
        <v>493458.33333333337</v>
      </c>
    </row>
    <row r="108" spans="1:19" hidden="1" x14ac:dyDescent="0.25">
      <c r="A108" s="1"/>
      <c r="C108" s="1"/>
      <c r="D108" s="1">
        <v>41414</v>
      </c>
      <c r="E108">
        <v>20696</v>
      </c>
      <c r="F108" s="1">
        <v>41414</v>
      </c>
      <c r="G108">
        <v>3687.5</v>
      </c>
      <c r="H108" s="1">
        <f t="shared" si="6"/>
        <v>41414</v>
      </c>
      <c r="I108">
        <f>IF(AND(MyRowHidden(ROW())=FALSE,MyRowHidden(ROW()-1)=TRUE),0,(E108-E107)*unitsOfDHp+I107)</f>
        <v>-70105</v>
      </c>
      <c r="J108">
        <f>IF(AND(MyRowHidden(ROW())=FALSE,MyRowHidden(ROW()-1)=TRUE),0,(G108-G107)*unitsOfExo+J107)</f>
        <v>514800</v>
      </c>
      <c r="K108" s="9">
        <f t="shared" si="7"/>
        <v>-514800</v>
      </c>
      <c r="L108">
        <f t="shared" si="8"/>
        <v>444695</v>
      </c>
      <c r="M108">
        <f>IF(AND(MyRowHidden(ROW())=FALSE,MyRowHidden(ROW()-1)=TRUE),0,IF(MONTH(H108)&lt;&gt;MONTH(H107),M107+1,M107))</f>
        <v>4</v>
      </c>
      <c r="N108">
        <f t="shared" si="9"/>
        <v>-70105</v>
      </c>
      <c r="O108">
        <f>IF(AND(MyRowHidden(ROW())=FALSE,MyRowHidden(ROW()-1)=TRUE),0,IF(M108&lt;totalMonths,(totalMonths-M108)/totalMonths *(I108-I107)+O107,0))</f>
        <v>-48661.666666666642</v>
      </c>
      <c r="P108">
        <f>IF(AND(MyRowHidden(ROW())=FALSE,MyRowHidden(ROW()-1)=TRUE),0,IF(M108&lt;totalMonths,(totalMonths-M108)/totalMonths *(J108-J107)+P107,0))</f>
        <v>503400</v>
      </c>
      <c r="Q108">
        <f>IF(AND(MyRowHidden(ROW())=FALSE,MyRowHidden(ROW()-1)=TRUE),0,IF(M108&lt;totalMonths,(totalMonths-M108)/totalMonths *(K108-K107)+Q107,0))</f>
        <v>-503400</v>
      </c>
      <c r="R108">
        <f t="shared" si="10"/>
        <v>433295</v>
      </c>
      <c r="S108">
        <f t="shared" si="11"/>
        <v>454738.33333333337</v>
      </c>
    </row>
    <row r="109" spans="1:19" hidden="1" x14ac:dyDescent="0.25">
      <c r="A109" s="1"/>
      <c r="C109" s="1"/>
      <c r="D109" s="1">
        <v>41415</v>
      </c>
      <c r="E109">
        <v>21407</v>
      </c>
      <c r="F109" s="1">
        <v>41415</v>
      </c>
      <c r="G109">
        <v>3137.5</v>
      </c>
      <c r="H109" s="1">
        <f t="shared" si="6"/>
        <v>41415</v>
      </c>
      <c r="I109">
        <f>IF(AND(MyRowHidden(ROW())=FALSE,MyRowHidden(ROW()-1)=TRUE),0,(E109-E108)*unitsOfDHp+I108)</f>
        <v>-45220</v>
      </c>
      <c r="J109">
        <f>IF(AND(MyRowHidden(ROW())=FALSE,MyRowHidden(ROW()-1)=TRUE),0,(G109-G108)*unitsOfExo+J108)</f>
        <v>356400</v>
      </c>
      <c r="K109" s="9">
        <f t="shared" si="7"/>
        <v>-356400</v>
      </c>
      <c r="L109">
        <f t="shared" si="8"/>
        <v>311180</v>
      </c>
      <c r="M109">
        <f>IF(AND(MyRowHidden(ROW())=FALSE,MyRowHidden(ROW()-1)=TRUE),0,IF(MONTH(H109)&lt;&gt;MONTH(H108),M108+1,M108))</f>
        <v>4</v>
      </c>
      <c r="N109">
        <f t="shared" si="9"/>
        <v>-45220</v>
      </c>
      <c r="O109">
        <f>IF(AND(MyRowHidden(ROW())=FALSE,MyRowHidden(ROW()-1)=TRUE),0,IF(M109&lt;totalMonths,(totalMonths-M109)/totalMonths *(I109-I108)+O108,0))</f>
        <v>-32071.666666666642</v>
      </c>
      <c r="P109">
        <f>IF(AND(MyRowHidden(ROW())=FALSE,MyRowHidden(ROW()-1)=TRUE),0,IF(M109&lt;totalMonths,(totalMonths-M109)/totalMonths *(J109-J108)+P108,0))</f>
        <v>397800</v>
      </c>
      <c r="Q109">
        <f>IF(AND(MyRowHidden(ROW())=FALSE,MyRowHidden(ROW()-1)=TRUE),0,IF(M109&lt;totalMonths,(totalMonths-M109)/totalMonths *(K109-K108)+Q108,0))</f>
        <v>-397800</v>
      </c>
      <c r="R109">
        <f t="shared" si="10"/>
        <v>352580</v>
      </c>
      <c r="S109">
        <f t="shared" si="11"/>
        <v>365728.33333333337</v>
      </c>
    </row>
    <row r="110" spans="1:19" hidden="1" x14ac:dyDescent="0.25">
      <c r="A110" s="1"/>
      <c r="C110" s="1"/>
      <c r="D110" s="1">
        <v>41416</v>
      </c>
      <c r="E110">
        <v>21107</v>
      </c>
      <c r="F110" s="1">
        <v>41416</v>
      </c>
      <c r="G110">
        <v>4100</v>
      </c>
      <c r="H110" s="1">
        <f t="shared" si="6"/>
        <v>41416</v>
      </c>
      <c r="I110">
        <f>IF(AND(MyRowHidden(ROW())=FALSE,MyRowHidden(ROW()-1)=TRUE),0,(E110-E109)*unitsOfDHp+I109)</f>
        <v>-55720</v>
      </c>
      <c r="J110">
        <f>IF(AND(MyRowHidden(ROW())=FALSE,MyRowHidden(ROW()-1)=TRUE),0,(G110-G109)*unitsOfExo+J109)</f>
        <v>633600</v>
      </c>
      <c r="K110" s="9">
        <f t="shared" si="7"/>
        <v>-633600</v>
      </c>
      <c r="L110">
        <f t="shared" si="8"/>
        <v>577880</v>
      </c>
      <c r="M110">
        <f>IF(AND(MyRowHidden(ROW())=FALSE,MyRowHidden(ROW()-1)=TRUE),0,IF(MONTH(H110)&lt;&gt;MONTH(H109),M109+1,M109))</f>
        <v>4</v>
      </c>
      <c r="N110">
        <f t="shared" si="9"/>
        <v>-55720</v>
      </c>
      <c r="O110">
        <f>IF(AND(MyRowHidden(ROW())=FALSE,MyRowHidden(ROW()-1)=TRUE),0,IF(M110&lt;totalMonths,(totalMonths-M110)/totalMonths *(I110-I109)+O109,0))</f>
        <v>-39071.666666666642</v>
      </c>
      <c r="P110">
        <f>IF(AND(MyRowHidden(ROW())=FALSE,MyRowHidden(ROW()-1)=TRUE),0,IF(M110&lt;totalMonths,(totalMonths-M110)/totalMonths *(J110-J109)+P109,0))</f>
        <v>582600</v>
      </c>
      <c r="Q110">
        <f>IF(AND(MyRowHidden(ROW())=FALSE,MyRowHidden(ROW()-1)=TRUE),0,IF(M110&lt;totalMonths,(totalMonths-M110)/totalMonths *(K110-K109)+Q109,0))</f>
        <v>-582600</v>
      </c>
      <c r="R110">
        <f t="shared" si="10"/>
        <v>526880</v>
      </c>
      <c r="S110">
        <f t="shared" si="11"/>
        <v>543528.33333333337</v>
      </c>
    </row>
    <row r="111" spans="1:19" hidden="1" x14ac:dyDescent="0.25">
      <c r="A111" s="1"/>
      <c r="C111" s="1"/>
      <c r="D111" s="1">
        <v>41417</v>
      </c>
      <c r="E111">
        <v>20830</v>
      </c>
      <c r="F111" s="1">
        <v>41417</v>
      </c>
      <c r="G111">
        <v>4425</v>
      </c>
      <c r="H111" s="1">
        <f t="shared" si="6"/>
        <v>41417</v>
      </c>
      <c r="I111">
        <f>IF(AND(MyRowHidden(ROW())=FALSE,MyRowHidden(ROW()-1)=TRUE),0,(E111-E110)*unitsOfDHp+I110)</f>
        <v>-65415</v>
      </c>
      <c r="J111">
        <f>IF(AND(MyRowHidden(ROW())=FALSE,MyRowHidden(ROW()-1)=TRUE),0,(G111-G110)*unitsOfExo+J110)</f>
        <v>727200</v>
      </c>
      <c r="K111" s="9">
        <f t="shared" si="7"/>
        <v>-727200</v>
      </c>
      <c r="L111">
        <f t="shared" si="8"/>
        <v>661785</v>
      </c>
      <c r="M111">
        <f>IF(AND(MyRowHidden(ROW())=FALSE,MyRowHidden(ROW()-1)=TRUE),0,IF(MONTH(H111)&lt;&gt;MONTH(H110),M110+1,M110))</f>
        <v>4</v>
      </c>
      <c r="N111">
        <f t="shared" si="9"/>
        <v>-65415</v>
      </c>
      <c r="O111">
        <f>IF(AND(MyRowHidden(ROW())=FALSE,MyRowHidden(ROW()-1)=TRUE),0,IF(M111&lt;totalMonths,(totalMonths-M111)/totalMonths *(I111-I110)+O110,0))</f>
        <v>-45534.999999999978</v>
      </c>
      <c r="P111">
        <f>IF(AND(MyRowHidden(ROW())=FALSE,MyRowHidden(ROW()-1)=TRUE),0,IF(M111&lt;totalMonths,(totalMonths-M111)/totalMonths *(J111-J110)+P110,0))</f>
        <v>645000</v>
      </c>
      <c r="Q111">
        <f>IF(AND(MyRowHidden(ROW())=FALSE,MyRowHidden(ROW()-1)=TRUE),0,IF(M111&lt;totalMonths,(totalMonths-M111)/totalMonths *(K111-K110)+Q110,0))</f>
        <v>-645000</v>
      </c>
      <c r="R111">
        <f t="shared" si="10"/>
        <v>579585</v>
      </c>
      <c r="S111">
        <f t="shared" si="11"/>
        <v>599465</v>
      </c>
    </row>
    <row r="112" spans="1:19" hidden="1" x14ac:dyDescent="0.25">
      <c r="A112" s="1"/>
      <c r="C112" s="1"/>
      <c r="D112" s="1">
        <v>41418</v>
      </c>
      <c r="E112">
        <v>20966</v>
      </c>
      <c r="F112" s="1">
        <v>41418</v>
      </c>
      <c r="G112">
        <v>4262.5</v>
      </c>
      <c r="H112" s="1">
        <f t="shared" si="6"/>
        <v>41418</v>
      </c>
      <c r="I112">
        <f>IF(AND(MyRowHidden(ROW())=FALSE,MyRowHidden(ROW()-1)=TRUE),0,(E112-E111)*unitsOfDHp+I111)</f>
        <v>-60655</v>
      </c>
      <c r="J112">
        <f>IF(AND(MyRowHidden(ROW())=FALSE,MyRowHidden(ROW()-1)=TRUE),0,(G112-G111)*unitsOfExo+J111)</f>
        <v>680400</v>
      </c>
      <c r="K112" s="9">
        <f t="shared" si="7"/>
        <v>-680400</v>
      </c>
      <c r="L112">
        <f t="shared" si="8"/>
        <v>619745</v>
      </c>
      <c r="M112">
        <f>IF(AND(MyRowHidden(ROW())=FALSE,MyRowHidden(ROW()-1)=TRUE),0,IF(MONTH(H112)&lt;&gt;MONTH(H111),M111+1,M111))</f>
        <v>4</v>
      </c>
      <c r="N112">
        <f t="shared" si="9"/>
        <v>-60655</v>
      </c>
      <c r="O112">
        <f>IF(AND(MyRowHidden(ROW())=FALSE,MyRowHidden(ROW()-1)=TRUE),0,IF(M112&lt;totalMonths,(totalMonths-M112)/totalMonths *(I112-I111)+O111,0))</f>
        <v>-42361.666666666642</v>
      </c>
      <c r="P112">
        <f>IF(AND(MyRowHidden(ROW())=FALSE,MyRowHidden(ROW()-1)=TRUE),0,IF(M112&lt;totalMonths,(totalMonths-M112)/totalMonths *(J112-J111)+P111,0))</f>
        <v>613800</v>
      </c>
      <c r="Q112">
        <f>IF(AND(MyRowHidden(ROW())=FALSE,MyRowHidden(ROW()-1)=TRUE),0,IF(M112&lt;totalMonths,(totalMonths-M112)/totalMonths *(K112-K111)+Q111,0))</f>
        <v>-613800</v>
      </c>
      <c r="R112">
        <f t="shared" si="10"/>
        <v>553145</v>
      </c>
      <c r="S112">
        <f t="shared" si="11"/>
        <v>571438.33333333337</v>
      </c>
    </row>
    <row r="113" spans="1:19" hidden="1" x14ac:dyDescent="0.25">
      <c r="A113" s="1"/>
      <c r="C113" s="1"/>
      <c r="D113" s="1">
        <v>41422</v>
      </c>
      <c r="E113">
        <v>20611</v>
      </c>
      <c r="F113" s="1">
        <v>41422</v>
      </c>
      <c r="G113">
        <v>4562.5</v>
      </c>
      <c r="H113" s="1">
        <f t="shared" si="6"/>
        <v>41422</v>
      </c>
      <c r="I113">
        <f>IF(AND(MyRowHidden(ROW())=FALSE,MyRowHidden(ROW()-1)=TRUE),0,(E113-E112)*unitsOfDHp+I112)</f>
        <v>-73080</v>
      </c>
      <c r="J113">
        <f>IF(AND(MyRowHidden(ROW())=FALSE,MyRowHidden(ROW()-1)=TRUE),0,(G113-G112)*unitsOfExo+J112)</f>
        <v>766800</v>
      </c>
      <c r="K113" s="9">
        <f t="shared" si="7"/>
        <v>-766800</v>
      </c>
      <c r="L113">
        <f t="shared" si="8"/>
        <v>693720</v>
      </c>
      <c r="M113">
        <f>IF(AND(MyRowHidden(ROW())=FALSE,MyRowHidden(ROW()-1)=TRUE),0,IF(MONTH(H113)&lt;&gt;MONTH(H112),M112+1,M112))</f>
        <v>4</v>
      </c>
      <c r="N113">
        <f t="shared" si="9"/>
        <v>-73080</v>
      </c>
      <c r="O113">
        <f>IF(AND(MyRowHidden(ROW())=FALSE,MyRowHidden(ROW()-1)=TRUE),0,IF(M113&lt;totalMonths,(totalMonths-M113)/totalMonths *(I113-I112)+O112,0))</f>
        <v>-50644.999999999971</v>
      </c>
      <c r="P113">
        <f>IF(AND(MyRowHidden(ROW())=FALSE,MyRowHidden(ROW()-1)=TRUE),0,IF(M113&lt;totalMonths,(totalMonths-M113)/totalMonths *(J113-J112)+P112,0))</f>
        <v>671400</v>
      </c>
      <c r="Q113">
        <f>IF(AND(MyRowHidden(ROW())=FALSE,MyRowHidden(ROW()-1)=TRUE),0,IF(M113&lt;totalMonths,(totalMonths-M113)/totalMonths *(K113-K112)+Q112,0))</f>
        <v>-671400</v>
      </c>
      <c r="R113">
        <f t="shared" si="10"/>
        <v>598320</v>
      </c>
      <c r="S113">
        <f t="shared" si="11"/>
        <v>620755</v>
      </c>
    </row>
    <row r="114" spans="1:19" hidden="1" x14ac:dyDescent="0.25">
      <c r="A114" s="1"/>
      <c r="C114" s="1"/>
      <c r="D114" s="1">
        <v>41423</v>
      </c>
      <c r="E114">
        <v>20642</v>
      </c>
      <c r="F114" s="1">
        <v>41423</v>
      </c>
      <c r="G114">
        <v>4537.5</v>
      </c>
      <c r="H114" s="1">
        <f t="shared" si="6"/>
        <v>41423</v>
      </c>
      <c r="I114">
        <f>IF(AND(MyRowHidden(ROW())=FALSE,MyRowHidden(ROW()-1)=TRUE),0,(E114-E113)*unitsOfDHp+I113)</f>
        <v>-71995</v>
      </c>
      <c r="J114">
        <f>IF(AND(MyRowHidden(ROW())=FALSE,MyRowHidden(ROW()-1)=TRUE),0,(G114-G113)*unitsOfExo+J113)</f>
        <v>759600</v>
      </c>
      <c r="K114" s="9">
        <f t="shared" si="7"/>
        <v>-759600</v>
      </c>
      <c r="L114">
        <f t="shared" si="8"/>
        <v>687605</v>
      </c>
      <c r="M114">
        <f>IF(AND(MyRowHidden(ROW())=FALSE,MyRowHidden(ROW()-1)=TRUE),0,IF(MONTH(H114)&lt;&gt;MONTH(H113),M113+1,M113))</f>
        <v>4</v>
      </c>
      <c r="N114">
        <f t="shared" si="9"/>
        <v>-71995</v>
      </c>
      <c r="O114">
        <f>IF(AND(MyRowHidden(ROW())=FALSE,MyRowHidden(ROW()-1)=TRUE),0,IF(M114&lt;totalMonths,(totalMonths-M114)/totalMonths *(I114-I113)+O113,0))</f>
        <v>-49921.666666666635</v>
      </c>
      <c r="P114">
        <f>IF(AND(MyRowHidden(ROW())=FALSE,MyRowHidden(ROW()-1)=TRUE),0,IF(M114&lt;totalMonths,(totalMonths-M114)/totalMonths *(J114-J113)+P113,0))</f>
        <v>666600</v>
      </c>
      <c r="Q114">
        <f>IF(AND(MyRowHidden(ROW())=FALSE,MyRowHidden(ROW()-1)=TRUE),0,IF(M114&lt;totalMonths,(totalMonths-M114)/totalMonths *(K114-K113)+Q113,0))</f>
        <v>-666600</v>
      </c>
      <c r="R114">
        <f t="shared" si="10"/>
        <v>594605</v>
      </c>
      <c r="S114">
        <f t="shared" si="11"/>
        <v>616678.33333333337</v>
      </c>
    </row>
    <row r="115" spans="1:19" hidden="1" x14ac:dyDescent="0.25">
      <c r="A115" s="1"/>
      <c r="C115" s="1"/>
      <c r="D115" s="1">
        <v>41424</v>
      </c>
      <c r="E115">
        <v>21398</v>
      </c>
      <c r="F115" s="1">
        <v>41424</v>
      </c>
      <c r="G115">
        <v>3937.5</v>
      </c>
      <c r="H115" s="1">
        <f t="shared" si="6"/>
        <v>41424</v>
      </c>
      <c r="I115">
        <f>IF(AND(MyRowHidden(ROW())=FALSE,MyRowHidden(ROW()-1)=TRUE),0,(E115-E114)*unitsOfDHp+I114)</f>
        <v>-45535</v>
      </c>
      <c r="J115">
        <f>IF(AND(MyRowHidden(ROW())=FALSE,MyRowHidden(ROW()-1)=TRUE),0,(G115-G114)*unitsOfExo+J114)</f>
        <v>586800</v>
      </c>
      <c r="K115" s="9">
        <f t="shared" si="7"/>
        <v>-586800</v>
      </c>
      <c r="L115">
        <f t="shared" si="8"/>
        <v>541265</v>
      </c>
      <c r="M115">
        <f>IF(AND(MyRowHidden(ROW())=FALSE,MyRowHidden(ROW()-1)=TRUE),0,IF(MONTH(H115)&lt;&gt;MONTH(H114),M114+1,M114))</f>
        <v>4</v>
      </c>
      <c r="N115">
        <f t="shared" si="9"/>
        <v>-45535</v>
      </c>
      <c r="O115">
        <f>IF(AND(MyRowHidden(ROW())=FALSE,MyRowHidden(ROW()-1)=TRUE),0,IF(M115&lt;totalMonths,(totalMonths-M115)/totalMonths *(I115-I114)+O114,0))</f>
        <v>-32281.666666666635</v>
      </c>
      <c r="P115">
        <f>IF(AND(MyRowHidden(ROW())=FALSE,MyRowHidden(ROW()-1)=TRUE),0,IF(M115&lt;totalMonths,(totalMonths-M115)/totalMonths *(J115-J114)+P114,0))</f>
        <v>551400</v>
      </c>
      <c r="Q115">
        <f>IF(AND(MyRowHidden(ROW())=FALSE,MyRowHidden(ROW()-1)=TRUE),0,IF(M115&lt;totalMonths,(totalMonths-M115)/totalMonths *(K115-K114)+Q114,0))</f>
        <v>-551400</v>
      </c>
      <c r="R115">
        <f t="shared" si="10"/>
        <v>505865</v>
      </c>
      <c r="S115">
        <f t="shared" si="11"/>
        <v>519118.33333333337</v>
      </c>
    </row>
    <row r="116" spans="1:19" hidden="1" x14ac:dyDescent="0.25">
      <c r="A116" s="1"/>
      <c r="C116" s="1"/>
      <c r="D116" s="1">
        <v>41425</v>
      </c>
      <c r="E116">
        <v>21404</v>
      </c>
      <c r="F116" s="1">
        <v>41425</v>
      </c>
      <c r="G116">
        <v>4425</v>
      </c>
      <c r="H116" s="1">
        <f t="shared" si="6"/>
        <v>41425</v>
      </c>
      <c r="I116">
        <f>IF(AND(MyRowHidden(ROW())=FALSE,MyRowHidden(ROW()-1)=TRUE),0,(E116-E115)*unitsOfDHp+I115)</f>
        <v>-45325</v>
      </c>
      <c r="J116">
        <f>IF(AND(MyRowHidden(ROW())=FALSE,MyRowHidden(ROW()-1)=TRUE),0,(G116-G115)*unitsOfExo+J115)</f>
        <v>727200</v>
      </c>
      <c r="K116" s="9">
        <f t="shared" si="7"/>
        <v>-727200</v>
      </c>
      <c r="L116">
        <f t="shared" si="8"/>
        <v>681875</v>
      </c>
      <c r="M116">
        <f>IF(AND(MyRowHidden(ROW())=FALSE,MyRowHidden(ROW()-1)=TRUE),0,IF(MONTH(H116)&lt;&gt;MONTH(H115),M115+1,M115))</f>
        <v>4</v>
      </c>
      <c r="N116">
        <f t="shared" si="9"/>
        <v>-45325</v>
      </c>
      <c r="O116">
        <f>IF(AND(MyRowHidden(ROW())=FALSE,MyRowHidden(ROW()-1)=TRUE),0,IF(M116&lt;totalMonths,(totalMonths-M116)/totalMonths *(I116-I115)+O115,0))</f>
        <v>-32141.666666666635</v>
      </c>
      <c r="P116">
        <f>IF(AND(MyRowHidden(ROW())=FALSE,MyRowHidden(ROW()-1)=TRUE),0,IF(M116&lt;totalMonths,(totalMonths-M116)/totalMonths *(J116-J115)+P115,0))</f>
        <v>645000</v>
      </c>
      <c r="Q116">
        <f>IF(AND(MyRowHidden(ROW())=FALSE,MyRowHidden(ROW()-1)=TRUE),0,IF(M116&lt;totalMonths,(totalMonths-M116)/totalMonths *(K116-K115)+Q115,0))</f>
        <v>-645000</v>
      </c>
      <c r="R116">
        <f t="shared" si="10"/>
        <v>599675</v>
      </c>
      <c r="S116">
        <f t="shared" si="11"/>
        <v>612858.33333333337</v>
      </c>
    </row>
    <row r="117" spans="1:19" hidden="1" x14ac:dyDescent="0.25">
      <c r="A117" s="1"/>
      <c r="C117" s="1"/>
      <c r="D117" s="1">
        <v>41428</v>
      </c>
      <c r="E117">
        <v>21285</v>
      </c>
      <c r="F117" s="1">
        <v>41428</v>
      </c>
      <c r="G117">
        <v>4237.5</v>
      </c>
      <c r="H117" s="1">
        <f t="shared" si="6"/>
        <v>41428</v>
      </c>
      <c r="I117">
        <f>IF(AND(MyRowHidden(ROW())=FALSE,MyRowHidden(ROW()-1)=TRUE),0,(E117-E116)*unitsOfDHp+I116)</f>
        <v>-49490</v>
      </c>
      <c r="J117">
        <f>IF(AND(MyRowHidden(ROW())=FALSE,MyRowHidden(ROW()-1)=TRUE),0,(G117-G116)*unitsOfExo+J116)</f>
        <v>673200</v>
      </c>
      <c r="K117" s="9">
        <f t="shared" si="7"/>
        <v>-673200</v>
      </c>
      <c r="L117">
        <f t="shared" si="8"/>
        <v>623710</v>
      </c>
      <c r="M117">
        <f>IF(AND(MyRowHidden(ROW())=FALSE,MyRowHidden(ROW()-1)=TRUE),0,IF(MONTH(H117)&lt;&gt;MONTH(H116),M116+1,M116))</f>
        <v>5</v>
      </c>
      <c r="N117">
        <f t="shared" si="9"/>
        <v>-49490</v>
      </c>
      <c r="O117">
        <f>IF(AND(MyRowHidden(ROW())=FALSE,MyRowHidden(ROW()-1)=TRUE),0,IF(M117&lt;totalMonths,(totalMonths-M117)/totalMonths *(I117-I116)+O116,0))</f>
        <v>-34571.249999999971</v>
      </c>
      <c r="P117">
        <f>IF(AND(MyRowHidden(ROW())=FALSE,MyRowHidden(ROW()-1)=TRUE),0,IF(M117&lt;totalMonths,(totalMonths-M117)/totalMonths *(J117-J116)+P116,0))</f>
        <v>613500</v>
      </c>
      <c r="Q117">
        <f>IF(AND(MyRowHidden(ROW())=FALSE,MyRowHidden(ROW()-1)=TRUE),0,IF(M117&lt;totalMonths,(totalMonths-M117)/totalMonths *(K117-K116)+Q116,0))</f>
        <v>-613500</v>
      </c>
      <c r="R117">
        <f t="shared" si="10"/>
        <v>564010</v>
      </c>
      <c r="S117">
        <f t="shared" si="11"/>
        <v>578928.75</v>
      </c>
    </row>
    <row r="118" spans="1:19" hidden="1" x14ac:dyDescent="0.25">
      <c r="A118" s="1"/>
      <c r="C118" s="1"/>
      <c r="D118" s="1">
        <v>41429</v>
      </c>
      <c r="E118">
        <v>21279</v>
      </c>
      <c r="F118" s="1">
        <v>41429</v>
      </c>
      <c r="G118">
        <v>4062.5</v>
      </c>
      <c r="H118" s="1">
        <f t="shared" si="6"/>
        <v>41429</v>
      </c>
      <c r="I118">
        <f>IF(AND(MyRowHidden(ROW())=FALSE,MyRowHidden(ROW()-1)=TRUE),0,(E118-E117)*unitsOfDHp+I117)</f>
        <v>-49700</v>
      </c>
      <c r="J118">
        <f>IF(AND(MyRowHidden(ROW())=FALSE,MyRowHidden(ROW()-1)=TRUE),0,(G118-G117)*unitsOfExo+J117)</f>
        <v>622800</v>
      </c>
      <c r="K118" s="9">
        <f t="shared" si="7"/>
        <v>-622800</v>
      </c>
      <c r="L118">
        <f t="shared" si="8"/>
        <v>573100</v>
      </c>
      <c r="M118">
        <f>IF(AND(MyRowHidden(ROW())=FALSE,MyRowHidden(ROW()-1)=TRUE),0,IF(MONTH(H118)&lt;&gt;MONTH(H117),M117+1,M117))</f>
        <v>5</v>
      </c>
      <c r="N118">
        <f t="shared" si="9"/>
        <v>-49700</v>
      </c>
      <c r="O118">
        <f>IF(AND(MyRowHidden(ROW())=FALSE,MyRowHidden(ROW()-1)=TRUE),0,IF(M118&lt;totalMonths,(totalMonths-M118)/totalMonths *(I118-I117)+O117,0))</f>
        <v>-34693.749999999971</v>
      </c>
      <c r="P118">
        <f>IF(AND(MyRowHidden(ROW())=FALSE,MyRowHidden(ROW()-1)=TRUE),0,IF(M118&lt;totalMonths,(totalMonths-M118)/totalMonths *(J118-J117)+P117,0))</f>
        <v>584100</v>
      </c>
      <c r="Q118">
        <f>IF(AND(MyRowHidden(ROW())=FALSE,MyRowHidden(ROW()-1)=TRUE),0,IF(M118&lt;totalMonths,(totalMonths-M118)/totalMonths *(K118-K117)+Q117,0))</f>
        <v>-584100</v>
      </c>
      <c r="R118">
        <f t="shared" si="10"/>
        <v>534400</v>
      </c>
      <c r="S118">
        <f t="shared" si="11"/>
        <v>549406.25</v>
      </c>
    </row>
    <row r="119" spans="1:19" hidden="1" x14ac:dyDescent="0.25">
      <c r="A119" s="1"/>
      <c r="C119" s="1"/>
      <c r="D119" s="1">
        <v>41430</v>
      </c>
      <c r="E119">
        <v>21271</v>
      </c>
      <c r="F119" s="1">
        <v>41430</v>
      </c>
      <c r="G119">
        <v>4362.5</v>
      </c>
      <c r="H119" s="1">
        <f t="shared" si="6"/>
        <v>41430</v>
      </c>
      <c r="I119">
        <f>IF(AND(MyRowHidden(ROW())=FALSE,MyRowHidden(ROW()-1)=TRUE),0,(E119-E118)*unitsOfDHp+I118)</f>
        <v>-49980</v>
      </c>
      <c r="J119">
        <f>IF(AND(MyRowHidden(ROW())=FALSE,MyRowHidden(ROW()-1)=TRUE),0,(G119-G118)*unitsOfExo+J118)</f>
        <v>709200</v>
      </c>
      <c r="K119" s="9">
        <f t="shared" si="7"/>
        <v>-709200</v>
      </c>
      <c r="L119">
        <f t="shared" si="8"/>
        <v>659220</v>
      </c>
      <c r="M119">
        <f>IF(AND(MyRowHidden(ROW())=FALSE,MyRowHidden(ROW()-1)=TRUE),0,IF(MONTH(H119)&lt;&gt;MONTH(H118),M118+1,M118))</f>
        <v>5</v>
      </c>
      <c r="N119">
        <f t="shared" si="9"/>
        <v>-49980</v>
      </c>
      <c r="O119">
        <f>IF(AND(MyRowHidden(ROW())=FALSE,MyRowHidden(ROW()-1)=TRUE),0,IF(M119&lt;totalMonths,(totalMonths-M119)/totalMonths *(I119-I118)+O118,0))</f>
        <v>-34857.083333333307</v>
      </c>
      <c r="P119">
        <f>IF(AND(MyRowHidden(ROW())=FALSE,MyRowHidden(ROW()-1)=TRUE),0,IF(M119&lt;totalMonths,(totalMonths-M119)/totalMonths *(J119-J118)+P118,0))</f>
        <v>634500</v>
      </c>
      <c r="Q119">
        <f>IF(AND(MyRowHidden(ROW())=FALSE,MyRowHidden(ROW()-1)=TRUE),0,IF(M119&lt;totalMonths,(totalMonths-M119)/totalMonths *(K119-K118)+Q118,0))</f>
        <v>-634500</v>
      </c>
      <c r="R119">
        <f t="shared" si="10"/>
        <v>584520</v>
      </c>
      <c r="S119">
        <f t="shared" si="11"/>
        <v>599642.91666666674</v>
      </c>
    </row>
    <row r="120" spans="1:19" hidden="1" x14ac:dyDescent="0.25">
      <c r="A120" s="1"/>
      <c r="C120" s="1"/>
      <c r="D120" s="1">
        <v>41431</v>
      </c>
      <c r="E120">
        <v>21273</v>
      </c>
      <c r="F120" s="1">
        <v>41431</v>
      </c>
      <c r="G120">
        <v>4362.5</v>
      </c>
      <c r="H120" s="1">
        <f t="shared" si="6"/>
        <v>41431</v>
      </c>
      <c r="I120">
        <f>IF(AND(MyRowHidden(ROW())=FALSE,MyRowHidden(ROW()-1)=TRUE),0,(E120-E119)*unitsOfDHp+I119)</f>
        <v>-49910</v>
      </c>
      <c r="J120">
        <f>IF(AND(MyRowHidden(ROW())=FALSE,MyRowHidden(ROW()-1)=TRUE),0,(G120-G119)*unitsOfExo+J119)</f>
        <v>709200</v>
      </c>
      <c r="K120" s="9">
        <f t="shared" si="7"/>
        <v>-709200</v>
      </c>
      <c r="L120">
        <f t="shared" si="8"/>
        <v>659290</v>
      </c>
      <c r="M120">
        <f>IF(AND(MyRowHidden(ROW())=FALSE,MyRowHidden(ROW()-1)=TRUE),0,IF(MONTH(H120)&lt;&gt;MONTH(H119),M119+1,M119))</f>
        <v>5</v>
      </c>
      <c r="N120">
        <f t="shared" si="9"/>
        <v>-49910</v>
      </c>
      <c r="O120">
        <f>IF(AND(MyRowHidden(ROW())=FALSE,MyRowHidden(ROW()-1)=TRUE),0,IF(M120&lt;totalMonths,(totalMonths-M120)/totalMonths *(I120-I119)+O119,0))</f>
        <v>-34816.249999999971</v>
      </c>
      <c r="P120">
        <f>IF(AND(MyRowHidden(ROW())=FALSE,MyRowHidden(ROW()-1)=TRUE),0,IF(M120&lt;totalMonths,(totalMonths-M120)/totalMonths *(J120-J119)+P119,0))</f>
        <v>634500</v>
      </c>
      <c r="Q120">
        <f>IF(AND(MyRowHidden(ROW())=FALSE,MyRowHidden(ROW()-1)=TRUE),0,IF(M120&lt;totalMonths,(totalMonths-M120)/totalMonths *(K120-K119)+Q119,0))</f>
        <v>-634500</v>
      </c>
      <c r="R120">
        <f t="shared" si="10"/>
        <v>584590</v>
      </c>
      <c r="S120">
        <f t="shared" si="11"/>
        <v>599683.75</v>
      </c>
    </row>
    <row r="121" spans="1:19" hidden="1" x14ac:dyDescent="0.25">
      <c r="A121" s="1"/>
      <c r="C121" s="1"/>
      <c r="D121" s="1">
        <v>41432</v>
      </c>
      <c r="E121">
        <v>21178</v>
      </c>
      <c r="F121" s="1">
        <v>41432</v>
      </c>
      <c r="G121">
        <v>4575</v>
      </c>
      <c r="H121" s="1">
        <f t="shared" si="6"/>
        <v>41432</v>
      </c>
      <c r="I121">
        <f>IF(AND(MyRowHidden(ROW())=FALSE,MyRowHidden(ROW()-1)=TRUE),0,(E121-E120)*unitsOfDHp+I120)</f>
        <v>-53235</v>
      </c>
      <c r="J121">
        <f>IF(AND(MyRowHidden(ROW())=FALSE,MyRowHidden(ROW()-1)=TRUE),0,(G121-G120)*unitsOfExo+J120)</f>
        <v>770400</v>
      </c>
      <c r="K121" s="9">
        <f t="shared" si="7"/>
        <v>-770400</v>
      </c>
      <c r="L121">
        <f t="shared" si="8"/>
        <v>717165</v>
      </c>
      <c r="M121">
        <f>IF(AND(MyRowHidden(ROW())=FALSE,MyRowHidden(ROW()-1)=TRUE),0,IF(MONTH(H121)&lt;&gt;MONTH(H120),M120+1,M120))</f>
        <v>5</v>
      </c>
      <c r="N121">
        <f t="shared" si="9"/>
        <v>-53235</v>
      </c>
      <c r="O121">
        <f>IF(AND(MyRowHidden(ROW())=FALSE,MyRowHidden(ROW()-1)=TRUE),0,IF(M121&lt;totalMonths,(totalMonths-M121)/totalMonths *(I121-I120)+O120,0))</f>
        <v>-36755.833333333307</v>
      </c>
      <c r="P121">
        <f>IF(AND(MyRowHidden(ROW())=FALSE,MyRowHidden(ROW()-1)=TRUE),0,IF(M121&lt;totalMonths,(totalMonths-M121)/totalMonths *(J121-J120)+P120,0))</f>
        <v>670200</v>
      </c>
      <c r="Q121">
        <f>IF(AND(MyRowHidden(ROW())=FALSE,MyRowHidden(ROW()-1)=TRUE),0,IF(M121&lt;totalMonths,(totalMonths-M121)/totalMonths *(K121-K120)+Q120,0))</f>
        <v>-670200</v>
      </c>
      <c r="R121">
        <f t="shared" si="10"/>
        <v>616965</v>
      </c>
      <c r="S121">
        <f t="shared" si="11"/>
        <v>633444.16666666674</v>
      </c>
    </row>
    <row r="122" spans="1:19" hidden="1" x14ac:dyDescent="0.25">
      <c r="A122" s="1"/>
      <c r="C122" s="1"/>
      <c r="D122" s="1">
        <v>41435</v>
      </c>
      <c r="E122">
        <v>21714</v>
      </c>
      <c r="F122" s="1">
        <v>41435</v>
      </c>
      <c r="G122">
        <v>3762.5</v>
      </c>
      <c r="H122" s="1">
        <f t="shared" si="6"/>
        <v>41435</v>
      </c>
      <c r="I122">
        <f>IF(AND(MyRowHidden(ROW())=FALSE,MyRowHidden(ROW()-1)=TRUE),0,(E122-E121)*unitsOfDHp+I121)</f>
        <v>-34475</v>
      </c>
      <c r="J122">
        <f>IF(AND(MyRowHidden(ROW())=FALSE,MyRowHidden(ROW()-1)=TRUE),0,(G122-G121)*unitsOfExo+J121)</f>
        <v>536400</v>
      </c>
      <c r="K122" s="9">
        <f t="shared" si="7"/>
        <v>-536400</v>
      </c>
      <c r="L122">
        <f t="shared" si="8"/>
        <v>501925</v>
      </c>
      <c r="M122">
        <f>IF(AND(MyRowHidden(ROW())=FALSE,MyRowHidden(ROW()-1)=TRUE),0,IF(MONTH(H122)&lt;&gt;MONTH(H121),M121+1,M121))</f>
        <v>5</v>
      </c>
      <c r="N122">
        <f t="shared" si="9"/>
        <v>-34475</v>
      </c>
      <c r="O122">
        <f>IF(AND(MyRowHidden(ROW())=FALSE,MyRowHidden(ROW()-1)=TRUE),0,IF(M122&lt;totalMonths,(totalMonths-M122)/totalMonths *(I122-I121)+O121,0))</f>
        <v>-25812.499999999971</v>
      </c>
      <c r="P122">
        <f>IF(AND(MyRowHidden(ROW())=FALSE,MyRowHidden(ROW()-1)=TRUE),0,IF(M122&lt;totalMonths,(totalMonths-M122)/totalMonths *(J122-J121)+P121,0))</f>
        <v>533700</v>
      </c>
      <c r="Q122">
        <f>IF(AND(MyRowHidden(ROW())=FALSE,MyRowHidden(ROW()-1)=TRUE),0,IF(M122&lt;totalMonths,(totalMonths-M122)/totalMonths *(K122-K121)+Q121,0))</f>
        <v>-533700</v>
      </c>
      <c r="R122">
        <f t="shared" si="10"/>
        <v>499225</v>
      </c>
      <c r="S122">
        <f t="shared" si="11"/>
        <v>507887.5</v>
      </c>
    </row>
    <row r="123" spans="1:19" hidden="1" x14ac:dyDescent="0.25">
      <c r="A123" s="1"/>
      <c r="C123" s="1"/>
      <c r="D123" s="1">
        <v>41436</v>
      </c>
      <c r="E123">
        <v>21882</v>
      </c>
      <c r="F123" s="1">
        <v>41436</v>
      </c>
      <c r="G123">
        <v>4100</v>
      </c>
      <c r="H123" s="1">
        <f t="shared" si="6"/>
        <v>41436</v>
      </c>
      <c r="I123">
        <f>IF(AND(MyRowHidden(ROW())=FALSE,MyRowHidden(ROW()-1)=TRUE),0,(E123-E122)*unitsOfDHp+I122)</f>
        <v>-28595</v>
      </c>
      <c r="J123">
        <f>IF(AND(MyRowHidden(ROW())=FALSE,MyRowHidden(ROW()-1)=TRUE),0,(G123-G122)*unitsOfExo+J122)</f>
        <v>633600</v>
      </c>
      <c r="K123" s="9">
        <f t="shared" si="7"/>
        <v>-633600</v>
      </c>
      <c r="L123">
        <f t="shared" si="8"/>
        <v>605005</v>
      </c>
      <c r="M123">
        <f>IF(AND(MyRowHidden(ROW())=FALSE,MyRowHidden(ROW()-1)=TRUE),0,IF(MONTH(H123)&lt;&gt;MONTH(H122),M122+1,M122))</f>
        <v>5</v>
      </c>
      <c r="N123">
        <f t="shared" si="9"/>
        <v>-28595</v>
      </c>
      <c r="O123">
        <f>IF(AND(MyRowHidden(ROW())=FALSE,MyRowHidden(ROW()-1)=TRUE),0,IF(M123&lt;totalMonths,(totalMonths-M123)/totalMonths *(I123-I122)+O122,0))</f>
        <v>-22382.499999999971</v>
      </c>
      <c r="P123">
        <f>IF(AND(MyRowHidden(ROW())=FALSE,MyRowHidden(ROW()-1)=TRUE),0,IF(M123&lt;totalMonths,(totalMonths-M123)/totalMonths *(J123-J122)+P122,0))</f>
        <v>590400</v>
      </c>
      <c r="Q123">
        <f>IF(AND(MyRowHidden(ROW())=FALSE,MyRowHidden(ROW()-1)=TRUE),0,IF(M123&lt;totalMonths,(totalMonths-M123)/totalMonths *(K123-K122)+Q122,0))</f>
        <v>-590400</v>
      </c>
      <c r="R123">
        <f t="shared" si="10"/>
        <v>561805</v>
      </c>
      <c r="S123">
        <f t="shared" si="11"/>
        <v>568017.5</v>
      </c>
    </row>
    <row r="124" spans="1:19" hidden="1" x14ac:dyDescent="0.25">
      <c r="A124" s="1"/>
      <c r="C124" s="1"/>
      <c r="D124" s="1">
        <v>41437</v>
      </c>
      <c r="E124">
        <v>21528</v>
      </c>
      <c r="F124" s="1">
        <v>41437</v>
      </c>
      <c r="G124">
        <v>3775</v>
      </c>
      <c r="H124" s="1">
        <f t="shared" si="6"/>
        <v>41437</v>
      </c>
      <c r="I124">
        <f>IF(AND(MyRowHidden(ROW())=FALSE,MyRowHidden(ROW()-1)=TRUE),0,(E124-E123)*unitsOfDHp+I123)</f>
        <v>-40985</v>
      </c>
      <c r="J124">
        <f>IF(AND(MyRowHidden(ROW())=FALSE,MyRowHidden(ROW()-1)=TRUE),0,(G124-G123)*unitsOfExo+J123)</f>
        <v>540000</v>
      </c>
      <c r="K124" s="9">
        <f t="shared" si="7"/>
        <v>-540000</v>
      </c>
      <c r="L124">
        <f t="shared" si="8"/>
        <v>499015</v>
      </c>
      <c r="M124">
        <f>IF(AND(MyRowHidden(ROW())=FALSE,MyRowHidden(ROW()-1)=TRUE),0,IF(MONTH(H124)&lt;&gt;MONTH(H123),M123+1,M123))</f>
        <v>5</v>
      </c>
      <c r="N124">
        <f t="shared" si="9"/>
        <v>-40985</v>
      </c>
      <c r="O124">
        <f>IF(AND(MyRowHidden(ROW())=FALSE,MyRowHidden(ROW()-1)=TRUE),0,IF(M124&lt;totalMonths,(totalMonths-M124)/totalMonths *(I124-I123)+O123,0))</f>
        <v>-29609.999999999971</v>
      </c>
      <c r="P124">
        <f>IF(AND(MyRowHidden(ROW())=FALSE,MyRowHidden(ROW()-1)=TRUE),0,IF(M124&lt;totalMonths,(totalMonths-M124)/totalMonths *(J124-J123)+P123,0))</f>
        <v>535800</v>
      </c>
      <c r="Q124">
        <f>IF(AND(MyRowHidden(ROW())=FALSE,MyRowHidden(ROW()-1)=TRUE),0,IF(M124&lt;totalMonths,(totalMonths-M124)/totalMonths *(K124-K123)+Q123,0))</f>
        <v>-535800</v>
      </c>
      <c r="R124">
        <f t="shared" si="10"/>
        <v>494815</v>
      </c>
      <c r="S124">
        <f t="shared" si="11"/>
        <v>506190</v>
      </c>
    </row>
    <row r="125" spans="1:19" hidden="1" x14ac:dyDescent="0.25">
      <c r="A125" s="1"/>
      <c r="C125" s="1"/>
      <c r="D125" s="1">
        <v>41438</v>
      </c>
      <c r="E125">
        <v>21380</v>
      </c>
      <c r="F125" s="1">
        <v>41438</v>
      </c>
      <c r="G125">
        <v>3512.5</v>
      </c>
      <c r="H125" s="1">
        <f t="shared" si="6"/>
        <v>41438</v>
      </c>
      <c r="I125">
        <f>IF(AND(MyRowHidden(ROW())=FALSE,MyRowHidden(ROW()-1)=TRUE),0,(E125-E124)*unitsOfDHp+I124)</f>
        <v>-46165</v>
      </c>
      <c r="J125">
        <f>IF(AND(MyRowHidden(ROW())=FALSE,MyRowHidden(ROW()-1)=TRUE),0,(G125-G124)*unitsOfExo+J124)</f>
        <v>464400</v>
      </c>
      <c r="K125" s="9">
        <f t="shared" si="7"/>
        <v>-464400</v>
      </c>
      <c r="L125">
        <f t="shared" si="8"/>
        <v>418235</v>
      </c>
      <c r="M125">
        <f>IF(AND(MyRowHidden(ROW())=FALSE,MyRowHidden(ROW()-1)=TRUE),0,IF(MONTH(H125)&lt;&gt;MONTH(H124),M124+1,M124))</f>
        <v>5</v>
      </c>
      <c r="N125">
        <f t="shared" si="9"/>
        <v>-46165</v>
      </c>
      <c r="O125">
        <f>IF(AND(MyRowHidden(ROW())=FALSE,MyRowHidden(ROW()-1)=TRUE),0,IF(M125&lt;totalMonths,(totalMonths-M125)/totalMonths *(I125-I124)+O124,0))</f>
        <v>-32631.666666666639</v>
      </c>
      <c r="P125">
        <f>IF(AND(MyRowHidden(ROW())=FALSE,MyRowHidden(ROW()-1)=TRUE),0,IF(M125&lt;totalMonths,(totalMonths-M125)/totalMonths *(J125-J124)+P124,0))</f>
        <v>491700</v>
      </c>
      <c r="Q125">
        <f>IF(AND(MyRowHidden(ROW())=FALSE,MyRowHidden(ROW()-1)=TRUE),0,IF(M125&lt;totalMonths,(totalMonths-M125)/totalMonths *(K125-K124)+Q124,0))</f>
        <v>-491700</v>
      </c>
      <c r="R125">
        <f t="shared" si="10"/>
        <v>445535</v>
      </c>
      <c r="S125">
        <f t="shared" si="11"/>
        <v>459068.33333333337</v>
      </c>
    </row>
    <row r="126" spans="1:19" hidden="1" x14ac:dyDescent="0.25">
      <c r="A126" s="1"/>
      <c r="C126" s="1"/>
      <c r="D126" s="1">
        <v>41439</v>
      </c>
      <c r="E126">
        <v>21729</v>
      </c>
      <c r="F126" s="1">
        <v>41439</v>
      </c>
      <c r="G126">
        <v>4025</v>
      </c>
      <c r="H126" s="1">
        <f t="shared" si="6"/>
        <v>41439</v>
      </c>
      <c r="I126">
        <f>IF(AND(MyRowHidden(ROW())=FALSE,MyRowHidden(ROW()-1)=TRUE),0,(E126-E125)*unitsOfDHp+I125)</f>
        <v>-33950</v>
      </c>
      <c r="J126">
        <f>IF(AND(MyRowHidden(ROW())=FALSE,MyRowHidden(ROW()-1)=TRUE),0,(G126-G125)*unitsOfExo+J125)</f>
        <v>612000</v>
      </c>
      <c r="K126" s="9">
        <f t="shared" si="7"/>
        <v>-612000</v>
      </c>
      <c r="L126">
        <f t="shared" si="8"/>
        <v>578050</v>
      </c>
      <c r="M126">
        <f>IF(AND(MyRowHidden(ROW())=FALSE,MyRowHidden(ROW()-1)=TRUE),0,IF(MONTH(H126)&lt;&gt;MONTH(H125),M125+1,M125))</f>
        <v>5</v>
      </c>
      <c r="N126">
        <f t="shared" si="9"/>
        <v>-33950</v>
      </c>
      <c r="O126">
        <f>IF(AND(MyRowHidden(ROW())=FALSE,MyRowHidden(ROW()-1)=TRUE),0,IF(M126&lt;totalMonths,(totalMonths-M126)/totalMonths *(I126-I125)+O125,0))</f>
        <v>-25506.249999999971</v>
      </c>
      <c r="P126">
        <f>IF(AND(MyRowHidden(ROW())=FALSE,MyRowHidden(ROW()-1)=TRUE),0,IF(M126&lt;totalMonths,(totalMonths-M126)/totalMonths *(J126-J125)+P125,0))</f>
        <v>577800</v>
      </c>
      <c r="Q126">
        <f>IF(AND(MyRowHidden(ROW())=FALSE,MyRowHidden(ROW()-1)=TRUE),0,IF(M126&lt;totalMonths,(totalMonths-M126)/totalMonths *(K126-K125)+Q125,0))</f>
        <v>-577800</v>
      </c>
      <c r="R126">
        <f t="shared" si="10"/>
        <v>543850</v>
      </c>
      <c r="S126">
        <f t="shared" si="11"/>
        <v>552293.75</v>
      </c>
    </row>
    <row r="127" spans="1:19" hidden="1" x14ac:dyDescent="0.25">
      <c r="A127" s="1"/>
      <c r="C127" s="1"/>
      <c r="D127" s="1">
        <v>41442</v>
      </c>
      <c r="E127">
        <v>21819</v>
      </c>
      <c r="F127" s="1">
        <v>41442</v>
      </c>
      <c r="G127">
        <v>4512.5</v>
      </c>
      <c r="H127" s="1">
        <f t="shared" si="6"/>
        <v>41442</v>
      </c>
      <c r="I127">
        <f>IF(AND(MyRowHidden(ROW())=FALSE,MyRowHidden(ROW()-1)=TRUE),0,(E127-E126)*unitsOfDHp+I126)</f>
        <v>-30800</v>
      </c>
      <c r="J127">
        <f>IF(AND(MyRowHidden(ROW())=FALSE,MyRowHidden(ROW()-1)=TRUE),0,(G127-G126)*unitsOfExo+J126)</f>
        <v>752400</v>
      </c>
      <c r="K127" s="9">
        <f t="shared" si="7"/>
        <v>-752400</v>
      </c>
      <c r="L127">
        <f t="shared" si="8"/>
        <v>721600</v>
      </c>
      <c r="M127">
        <f>IF(AND(MyRowHidden(ROW())=FALSE,MyRowHidden(ROW()-1)=TRUE),0,IF(MONTH(H127)&lt;&gt;MONTH(H126),M126+1,M126))</f>
        <v>5</v>
      </c>
      <c r="N127">
        <f t="shared" si="9"/>
        <v>-30800</v>
      </c>
      <c r="O127">
        <f>IF(AND(MyRowHidden(ROW())=FALSE,MyRowHidden(ROW()-1)=TRUE),0,IF(M127&lt;totalMonths,(totalMonths-M127)/totalMonths *(I127-I126)+O126,0))</f>
        <v>-23668.749999999971</v>
      </c>
      <c r="P127">
        <f>IF(AND(MyRowHidden(ROW())=FALSE,MyRowHidden(ROW()-1)=TRUE),0,IF(M127&lt;totalMonths,(totalMonths-M127)/totalMonths *(J127-J126)+P126,0))</f>
        <v>659700</v>
      </c>
      <c r="Q127">
        <f>IF(AND(MyRowHidden(ROW())=FALSE,MyRowHidden(ROW()-1)=TRUE),0,IF(M127&lt;totalMonths,(totalMonths-M127)/totalMonths *(K127-K126)+Q126,0))</f>
        <v>-659700</v>
      </c>
      <c r="R127">
        <f t="shared" si="10"/>
        <v>628900</v>
      </c>
      <c r="S127">
        <f t="shared" si="11"/>
        <v>636031.25</v>
      </c>
    </row>
    <row r="128" spans="1:19" hidden="1" x14ac:dyDescent="0.25">
      <c r="A128" s="1"/>
      <c r="C128" s="1"/>
      <c r="D128" s="1">
        <v>41443</v>
      </c>
      <c r="E128">
        <v>21667</v>
      </c>
      <c r="F128" s="1">
        <v>41443</v>
      </c>
      <c r="G128">
        <v>4812.5</v>
      </c>
      <c r="H128" s="1">
        <f t="shared" si="6"/>
        <v>41443</v>
      </c>
      <c r="I128">
        <f>IF(AND(MyRowHidden(ROW())=FALSE,MyRowHidden(ROW()-1)=TRUE),0,(E128-E127)*unitsOfDHp+I127)</f>
        <v>-36120</v>
      </c>
      <c r="J128">
        <f>IF(AND(MyRowHidden(ROW())=FALSE,MyRowHidden(ROW()-1)=TRUE),0,(G128-G127)*unitsOfExo+J127)</f>
        <v>838800</v>
      </c>
      <c r="K128" s="9">
        <f t="shared" si="7"/>
        <v>-838800</v>
      </c>
      <c r="L128">
        <f t="shared" si="8"/>
        <v>802680</v>
      </c>
      <c r="M128">
        <f>IF(AND(MyRowHidden(ROW())=FALSE,MyRowHidden(ROW()-1)=TRUE),0,IF(MONTH(H128)&lt;&gt;MONTH(H127),M127+1,M127))</f>
        <v>5</v>
      </c>
      <c r="N128">
        <f t="shared" si="9"/>
        <v>-36120</v>
      </c>
      <c r="O128">
        <f>IF(AND(MyRowHidden(ROW())=FALSE,MyRowHidden(ROW()-1)=TRUE),0,IF(M128&lt;totalMonths,(totalMonths-M128)/totalMonths *(I128-I127)+O127,0))</f>
        <v>-26772.083333333303</v>
      </c>
      <c r="P128">
        <f>IF(AND(MyRowHidden(ROW())=FALSE,MyRowHidden(ROW()-1)=TRUE),0,IF(M128&lt;totalMonths,(totalMonths-M128)/totalMonths *(J128-J127)+P127,0))</f>
        <v>710100</v>
      </c>
      <c r="Q128">
        <f>IF(AND(MyRowHidden(ROW())=FALSE,MyRowHidden(ROW()-1)=TRUE),0,IF(M128&lt;totalMonths,(totalMonths-M128)/totalMonths *(K128-K127)+Q127,0))</f>
        <v>-710100</v>
      </c>
      <c r="R128">
        <f t="shared" si="10"/>
        <v>673980</v>
      </c>
      <c r="S128">
        <f t="shared" si="11"/>
        <v>683327.91666666674</v>
      </c>
    </row>
    <row r="129" spans="1:19" hidden="1" x14ac:dyDescent="0.25">
      <c r="A129" s="1"/>
      <c r="C129" s="1"/>
      <c r="D129" s="1">
        <v>41444</v>
      </c>
      <c r="E129">
        <v>20924</v>
      </c>
      <c r="F129" s="1">
        <v>41444</v>
      </c>
      <c r="G129">
        <v>5362.5</v>
      </c>
      <c r="H129" s="1">
        <f t="shared" si="6"/>
        <v>41444</v>
      </c>
      <c r="I129">
        <f>IF(AND(MyRowHidden(ROW())=FALSE,MyRowHidden(ROW()-1)=TRUE),0,(E129-E128)*unitsOfDHp+I128)</f>
        <v>-62125</v>
      </c>
      <c r="J129">
        <f>IF(AND(MyRowHidden(ROW())=FALSE,MyRowHidden(ROW()-1)=TRUE),0,(G129-G128)*unitsOfExo+J128)</f>
        <v>997200</v>
      </c>
      <c r="K129" s="9">
        <f t="shared" si="7"/>
        <v>-997200</v>
      </c>
      <c r="L129">
        <f t="shared" si="8"/>
        <v>935075</v>
      </c>
      <c r="M129">
        <f>IF(AND(MyRowHidden(ROW())=FALSE,MyRowHidden(ROW()-1)=TRUE),0,IF(MONTH(H129)&lt;&gt;MONTH(H128),M128+1,M128))</f>
        <v>5</v>
      </c>
      <c r="N129">
        <f t="shared" si="9"/>
        <v>-62125</v>
      </c>
      <c r="O129">
        <f>IF(AND(MyRowHidden(ROW())=FALSE,MyRowHidden(ROW()-1)=TRUE),0,IF(M129&lt;totalMonths,(totalMonths-M129)/totalMonths *(I129-I128)+O128,0))</f>
        <v>-41941.666666666635</v>
      </c>
      <c r="P129">
        <f>IF(AND(MyRowHidden(ROW())=FALSE,MyRowHidden(ROW()-1)=TRUE),0,IF(M129&lt;totalMonths,(totalMonths-M129)/totalMonths *(J129-J128)+P128,0))</f>
        <v>802500</v>
      </c>
      <c r="Q129">
        <f>IF(AND(MyRowHidden(ROW())=FALSE,MyRowHidden(ROW()-1)=TRUE),0,IF(M129&lt;totalMonths,(totalMonths-M129)/totalMonths *(K129-K128)+Q128,0))</f>
        <v>-802500</v>
      </c>
      <c r="R129">
        <f t="shared" si="10"/>
        <v>740375</v>
      </c>
      <c r="S129">
        <f t="shared" si="11"/>
        <v>760558.33333333337</v>
      </c>
    </row>
    <row r="130" spans="1:19" hidden="1" x14ac:dyDescent="0.25">
      <c r="A130" s="1"/>
      <c r="C130" s="1"/>
      <c r="D130" s="1">
        <v>41445</v>
      </c>
      <c r="E130">
        <v>21118</v>
      </c>
      <c r="F130" s="1">
        <v>41445</v>
      </c>
      <c r="G130">
        <v>4975</v>
      </c>
      <c r="H130" s="1">
        <f t="shared" si="6"/>
        <v>41445</v>
      </c>
      <c r="I130">
        <f>IF(AND(MyRowHidden(ROW())=FALSE,MyRowHidden(ROW()-1)=TRUE),0,(E130-E129)*unitsOfDHp+I129)</f>
        <v>-55335</v>
      </c>
      <c r="J130">
        <f>IF(AND(MyRowHidden(ROW())=FALSE,MyRowHidden(ROW()-1)=TRUE),0,(G130-G129)*unitsOfExo+J129)</f>
        <v>885600</v>
      </c>
      <c r="K130" s="9">
        <f t="shared" si="7"/>
        <v>-885600</v>
      </c>
      <c r="L130">
        <f t="shared" si="8"/>
        <v>830265</v>
      </c>
      <c r="M130">
        <f>IF(AND(MyRowHidden(ROW())=FALSE,MyRowHidden(ROW()-1)=TRUE),0,IF(MONTH(H130)&lt;&gt;MONTH(H129),M129+1,M129))</f>
        <v>5</v>
      </c>
      <c r="N130">
        <f t="shared" si="9"/>
        <v>-55335</v>
      </c>
      <c r="O130">
        <f>IF(AND(MyRowHidden(ROW())=FALSE,MyRowHidden(ROW()-1)=TRUE),0,IF(M130&lt;totalMonths,(totalMonths-M130)/totalMonths *(I130-I129)+O129,0))</f>
        <v>-37980.833333333299</v>
      </c>
      <c r="P130">
        <f>IF(AND(MyRowHidden(ROW())=FALSE,MyRowHidden(ROW()-1)=TRUE),0,IF(M130&lt;totalMonths,(totalMonths-M130)/totalMonths *(J130-J129)+P129,0))</f>
        <v>737400</v>
      </c>
      <c r="Q130">
        <f>IF(AND(MyRowHidden(ROW())=FALSE,MyRowHidden(ROW()-1)=TRUE),0,IF(M130&lt;totalMonths,(totalMonths-M130)/totalMonths *(K130-K129)+Q129,0))</f>
        <v>-737400</v>
      </c>
      <c r="R130">
        <f t="shared" si="10"/>
        <v>682065</v>
      </c>
      <c r="S130">
        <f t="shared" si="11"/>
        <v>699419.16666666674</v>
      </c>
    </row>
    <row r="131" spans="1:19" hidden="1" x14ac:dyDescent="0.25">
      <c r="A131" s="1"/>
      <c r="C131" s="1"/>
      <c r="D131" s="1">
        <v>41446</v>
      </c>
      <c r="E131">
        <v>21342</v>
      </c>
      <c r="F131" s="1">
        <v>41446</v>
      </c>
      <c r="G131">
        <v>4600</v>
      </c>
      <c r="H131" s="1">
        <f t="shared" si="6"/>
        <v>41446</v>
      </c>
      <c r="I131">
        <f>IF(AND(MyRowHidden(ROW())=FALSE,MyRowHidden(ROW()-1)=TRUE),0,(E131-E130)*unitsOfDHp+I130)</f>
        <v>-47495</v>
      </c>
      <c r="J131">
        <f>IF(AND(MyRowHidden(ROW())=FALSE,MyRowHidden(ROW()-1)=TRUE),0,(G131-G130)*unitsOfExo+J130)</f>
        <v>777600</v>
      </c>
      <c r="K131" s="9">
        <f t="shared" si="7"/>
        <v>-777600</v>
      </c>
      <c r="L131">
        <f t="shared" si="8"/>
        <v>730105</v>
      </c>
      <c r="M131">
        <f>IF(AND(MyRowHidden(ROW())=FALSE,MyRowHidden(ROW()-1)=TRUE),0,IF(MONTH(H131)&lt;&gt;MONTH(H130),M130+1,M130))</f>
        <v>5</v>
      </c>
      <c r="N131">
        <f t="shared" si="9"/>
        <v>-47495</v>
      </c>
      <c r="O131">
        <f>IF(AND(MyRowHidden(ROW())=FALSE,MyRowHidden(ROW()-1)=TRUE),0,IF(M131&lt;totalMonths,(totalMonths-M131)/totalMonths *(I131-I130)+O130,0))</f>
        <v>-33407.499999999964</v>
      </c>
      <c r="P131">
        <f>IF(AND(MyRowHidden(ROW())=FALSE,MyRowHidden(ROW()-1)=TRUE),0,IF(M131&lt;totalMonths,(totalMonths-M131)/totalMonths *(J131-J130)+P130,0))</f>
        <v>674400</v>
      </c>
      <c r="Q131">
        <f>IF(AND(MyRowHidden(ROW())=FALSE,MyRowHidden(ROW()-1)=TRUE),0,IF(M131&lt;totalMonths,(totalMonths-M131)/totalMonths *(K131-K130)+Q130,0))</f>
        <v>-674400</v>
      </c>
      <c r="R131">
        <f t="shared" si="10"/>
        <v>626905</v>
      </c>
      <c r="S131">
        <f t="shared" si="11"/>
        <v>640992.5</v>
      </c>
    </row>
    <row r="132" spans="1:19" hidden="1" x14ac:dyDescent="0.25">
      <c r="A132" s="1"/>
      <c r="C132" s="1"/>
      <c r="D132" s="1">
        <v>41449</v>
      </c>
      <c r="E132">
        <v>22269</v>
      </c>
      <c r="F132" s="1">
        <v>41449</v>
      </c>
      <c r="G132">
        <v>3987.5</v>
      </c>
      <c r="H132" s="1">
        <f t="shared" si="6"/>
        <v>41449</v>
      </c>
      <c r="I132">
        <f>IF(AND(MyRowHidden(ROW())=FALSE,MyRowHidden(ROW()-1)=TRUE),0,(E132-E131)*unitsOfDHp+I131)</f>
        <v>-15050</v>
      </c>
      <c r="J132">
        <f>IF(AND(MyRowHidden(ROW())=FALSE,MyRowHidden(ROW()-1)=TRUE),0,(G132-G131)*unitsOfExo+J131)</f>
        <v>601200</v>
      </c>
      <c r="K132" s="9">
        <f t="shared" si="7"/>
        <v>-601200</v>
      </c>
      <c r="L132">
        <f t="shared" si="8"/>
        <v>586150</v>
      </c>
      <c r="M132">
        <f>IF(AND(MyRowHidden(ROW())=FALSE,MyRowHidden(ROW()-1)=TRUE),0,IF(MONTH(H132)&lt;&gt;MONTH(H131),M131+1,M131))</f>
        <v>5</v>
      </c>
      <c r="N132">
        <f t="shared" si="9"/>
        <v>-15050</v>
      </c>
      <c r="O132">
        <f>IF(AND(MyRowHidden(ROW())=FALSE,MyRowHidden(ROW()-1)=TRUE),0,IF(M132&lt;totalMonths,(totalMonths-M132)/totalMonths *(I132-I131)+O131,0))</f>
        <v>-14481.249999999964</v>
      </c>
      <c r="P132">
        <f>IF(AND(MyRowHidden(ROW())=FALSE,MyRowHidden(ROW()-1)=TRUE),0,IF(M132&lt;totalMonths,(totalMonths-M132)/totalMonths *(J132-J131)+P131,0))</f>
        <v>571500</v>
      </c>
      <c r="Q132">
        <f>IF(AND(MyRowHidden(ROW())=FALSE,MyRowHidden(ROW()-1)=TRUE),0,IF(M132&lt;totalMonths,(totalMonths-M132)/totalMonths *(K132-K131)+Q131,0))</f>
        <v>-571500</v>
      </c>
      <c r="R132">
        <f t="shared" si="10"/>
        <v>556450</v>
      </c>
      <c r="S132">
        <f t="shared" si="11"/>
        <v>557018.75</v>
      </c>
    </row>
    <row r="133" spans="1:19" hidden="1" x14ac:dyDescent="0.25">
      <c r="A133" s="1"/>
      <c r="C133" s="1"/>
      <c r="D133" s="1">
        <v>41450</v>
      </c>
      <c r="E133">
        <v>22310</v>
      </c>
      <c r="F133" s="1">
        <v>41450</v>
      </c>
      <c r="G133">
        <v>4137.5</v>
      </c>
      <c r="H133" s="1">
        <f t="shared" si="6"/>
        <v>41450</v>
      </c>
      <c r="I133">
        <f>IF(AND(MyRowHidden(ROW())=FALSE,MyRowHidden(ROW()-1)=TRUE),0,(E133-E132)*unitsOfDHp+I132)</f>
        <v>-13615</v>
      </c>
      <c r="J133">
        <f>IF(AND(MyRowHidden(ROW())=FALSE,MyRowHidden(ROW()-1)=TRUE),0,(G133-G132)*unitsOfExo+J132)</f>
        <v>644400</v>
      </c>
      <c r="K133" s="9">
        <f t="shared" si="7"/>
        <v>-644400</v>
      </c>
      <c r="L133">
        <f t="shared" si="8"/>
        <v>630785</v>
      </c>
      <c r="M133">
        <f>IF(AND(MyRowHidden(ROW())=FALSE,MyRowHidden(ROW()-1)=TRUE),0,IF(MONTH(H133)&lt;&gt;MONTH(H132),M132+1,M132))</f>
        <v>5</v>
      </c>
      <c r="N133">
        <f t="shared" si="9"/>
        <v>-13615</v>
      </c>
      <c r="O133">
        <f>IF(AND(MyRowHidden(ROW())=FALSE,MyRowHidden(ROW()-1)=TRUE),0,IF(M133&lt;totalMonths,(totalMonths-M133)/totalMonths *(I133-I132)+O132,0))</f>
        <v>-13644.16666666663</v>
      </c>
      <c r="P133">
        <f>IF(AND(MyRowHidden(ROW())=FALSE,MyRowHidden(ROW()-1)=TRUE),0,IF(M133&lt;totalMonths,(totalMonths-M133)/totalMonths *(J133-J132)+P132,0))</f>
        <v>596700</v>
      </c>
      <c r="Q133">
        <f>IF(AND(MyRowHidden(ROW())=FALSE,MyRowHidden(ROW()-1)=TRUE),0,IF(M133&lt;totalMonths,(totalMonths-M133)/totalMonths *(K133-K132)+Q132,0))</f>
        <v>-596700</v>
      </c>
      <c r="R133">
        <f t="shared" si="10"/>
        <v>583085</v>
      </c>
      <c r="S133">
        <f t="shared" si="11"/>
        <v>583055.83333333337</v>
      </c>
    </row>
    <row r="134" spans="1:19" hidden="1" x14ac:dyDescent="0.25">
      <c r="A134" s="1"/>
      <c r="C134" s="1"/>
      <c r="D134" s="1">
        <v>41451</v>
      </c>
      <c r="E134">
        <v>22339</v>
      </c>
      <c r="F134" s="1">
        <v>41451</v>
      </c>
      <c r="G134">
        <v>4487.5</v>
      </c>
      <c r="H134" s="1">
        <f t="shared" si="6"/>
        <v>41451</v>
      </c>
      <c r="I134">
        <f>IF(AND(MyRowHidden(ROW())=FALSE,MyRowHidden(ROW()-1)=TRUE),0,(E134-E133)*unitsOfDHp+I133)</f>
        <v>-12600</v>
      </c>
      <c r="J134">
        <f>IF(AND(MyRowHidden(ROW())=FALSE,MyRowHidden(ROW()-1)=TRUE),0,(G134-G133)*unitsOfExo+J133)</f>
        <v>745200</v>
      </c>
      <c r="K134" s="9">
        <f t="shared" si="7"/>
        <v>-745200</v>
      </c>
      <c r="L134">
        <f t="shared" si="8"/>
        <v>732600</v>
      </c>
      <c r="M134">
        <f>IF(AND(MyRowHidden(ROW())=FALSE,MyRowHidden(ROW()-1)=TRUE),0,IF(MONTH(H134)&lt;&gt;MONTH(H133),M133+1,M133))</f>
        <v>5</v>
      </c>
      <c r="N134">
        <f t="shared" si="9"/>
        <v>-12600</v>
      </c>
      <c r="O134">
        <f>IF(AND(MyRowHidden(ROW())=FALSE,MyRowHidden(ROW()-1)=TRUE),0,IF(M134&lt;totalMonths,(totalMonths-M134)/totalMonths *(I134-I133)+O133,0))</f>
        <v>-13052.083333333296</v>
      </c>
      <c r="P134">
        <f>IF(AND(MyRowHidden(ROW())=FALSE,MyRowHidden(ROW()-1)=TRUE),0,IF(M134&lt;totalMonths,(totalMonths-M134)/totalMonths *(J134-J133)+P133,0))</f>
        <v>655500</v>
      </c>
      <c r="Q134">
        <f>IF(AND(MyRowHidden(ROW())=FALSE,MyRowHidden(ROW()-1)=TRUE),0,IF(M134&lt;totalMonths,(totalMonths-M134)/totalMonths *(K134-K133)+Q133,0))</f>
        <v>-655500</v>
      </c>
      <c r="R134">
        <f t="shared" si="10"/>
        <v>642900</v>
      </c>
      <c r="S134">
        <f t="shared" si="11"/>
        <v>642447.91666666674</v>
      </c>
    </row>
    <row r="135" spans="1:19" hidden="1" x14ac:dyDescent="0.25">
      <c r="A135" s="1"/>
      <c r="C135" s="1"/>
      <c r="D135" s="1">
        <v>41452</v>
      </c>
      <c r="E135">
        <v>22396</v>
      </c>
      <c r="F135" s="1">
        <v>41452</v>
      </c>
      <c r="G135">
        <v>4737.5</v>
      </c>
      <c r="H135" s="1">
        <f t="shared" si="6"/>
        <v>41452</v>
      </c>
      <c r="I135">
        <f>IF(AND(MyRowHidden(ROW())=FALSE,MyRowHidden(ROW()-1)=TRUE),0,(E135-E134)*unitsOfDHp+I134)</f>
        <v>-10605</v>
      </c>
      <c r="J135">
        <f>IF(AND(MyRowHidden(ROW())=FALSE,MyRowHidden(ROW()-1)=TRUE),0,(G135-G134)*unitsOfExo+J134)</f>
        <v>817200</v>
      </c>
      <c r="K135" s="9">
        <f t="shared" si="7"/>
        <v>-817200</v>
      </c>
      <c r="L135">
        <f t="shared" si="8"/>
        <v>806595</v>
      </c>
      <c r="M135">
        <f>IF(AND(MyRowHidden(ROW())=FALSE,MyRowHidden(ROW()-1)=TRUE),0,IF(MONTH(H135)&lt;&gt;MONTH(H134),M134+1,M134))</f>
        <v>5</v>
      </c>
      <c r="N135">
        <f t="shared" si="9"/>
        <v>-10605</v>
      </c>
      <c r="O135">
        <f>IF(AND(MyRowHidden(ROW())=FALSE,MyRowHidden(ROW()-1)=TRUE),0,IF(M135&lt;totalMonths,(totalMonths-M135)/totalMonths *(I135-I134)+O134,0))</f>
        <v>-11888.333333333296</v>
      </c>
      <c r="P135">
        <f>IF(AND(MyRowHidden(ROW())=FALSE,MyRowHidden(ROW()-1)=TRUE),0,IF(M135&lt;totalMonths,(totalMonths-M135)/totalMonths *(J135-J134)+P134,0))</f>
        <v>697500</v>
      </c>
      <c r="Q135">
        <f>IF(AND(MyRowHidden(ROW())=FALSE,MyRowHidden(ROW()-1)=TRUE),0,IF(M135&lt;totalMonths,(totalMonths-M135)/totalMonths *(K135-K134)+Q134,0))</f>
        <v>-697500</v>
      </c>
      <c r="R135">
        <f t="shared" si="10"/>
        <v>686895</v>
      </c>
      <c r="S135">
        <f t="shared" si="11"/>
        <v>685611.66666666674</v>
      </c>
    </row>
    <row r="136" spans="1:19" hidden="1" x14ac:dyDescent="0.25">
      <c r="A136" s="1"/>
      <c r="C136" s="1"/>
      <c r="D136" s="1">
        <v>41453</v>
      </c>
      <c r="E136">
        <v>22636</v>
      </c>
      <c r="F136" s="1">
        <v>41453</v>
      </c>
      <c r="G136">
        <v>4550</v>
      </c>
      <c r="H136" s="1">
        <f t="shared" si="6"/>
        <v>41453</v>
      </c>
      <c r="I136">
        <f>IF(AND(MyRowHidden(ROW())=FALSE,MyRowHidden(ROW()-1)=TRUE),0,(E136-E135)*unitsOfDHp+I135)</f>
        <v>-2205</v>
      </c>
      <c r="J136">
        <f>IF(AND(MyRowHidden(ROW())=FALSE,MyRowHidden(ROW()-1)=TRUE),0,(G136-G135)*unitsOfExo+J135)</f>
        <v>763200</v>
      </c>
      <c r="K136" s="9">
        <f t="shared" si="7"/>
        <v>-763200</v>
      </c>
      <c r="L136">
        <f t="shared" si="8"/>
        <v>760995</v>
      </c>
      <c r="M136">
        <f>IF(AND(MyRowHidden(ROW())=FALSE,MyRowHidden(ROW()-1)=TRUE),0,IF(MONTH(H136)&lt;&gt;MONTH(H135),M135+1,M135))</f>
        <v>5</v>
      </c>
      <c r="N136">
        <f t="shared" si="9"/>
        <v>-2205</v>
      </c>
      <c r="O136">
        <f>IF(AND(MyRowHidden(ROW())=FALSE,MyRowHidden(ROW()-1)=TRUE),0,IF(M136&lt;totalMonths,(totalMonths-M136)/totalMonths *(I136-I135)+O135,0))</f>
        <v>-6988.3333333332957</v>
      </c>
      <c r="P136">
        <f>IF(AND(MyRowHidden(ROW())=FALSE,MyRowHidden(ROW()-1)=TRUE),0,IF(M136&lt;totalMonths,(totalMonths-M136)/totalMonths *(J136-J135)+P135,0))</f>
        <v>666000</v>
      </c>
      <c r="Q136">
        <f>IF(AND(MyRowHidden(ROW())=FALSE,MyRowHidden(ROW()-1)=TRUE),0,IF(M136&lt;totalMonths,(totalMonths-M136)/totalMonths *(K136-K135)+Q135,0))</f>
        <v>-666000</v>
      </c>
      <c r="R136">
        <f t="shared" si="10"/>
        <v>663795</v>
      </c>
      <c r="S136">
        <f t="shared" si="11"/>
        <v>659011.66666666674</v>
      </c>
    </row>
    <row r="137" spans="1:19" hidden="1" x14ac:dyDescent="0.25">
      <c r="A137" s="1"/>
      <c r="C137" s="1"/>
      <c r="D137" s="1">
        <v>41456</v>
      </c>
      <c r="E137">
        <v>22825</v>
      </c>
      <c r="F137" s="1">
        <v>41456</v>
      </c>
      <c r="G137">
        <v>4112.5</v>
      </c>
      <c r="H137" s="1">
        <f t="shared" si="6"/>
        <v>41456</v>
      </c>
      <c r="I137">
        <f>IF(AND(MyRowHidden(ROW())=FALSE,MyRowHidden(ROW()-1)=TRUE),0,(E137-E136)*unitsOfDHp+I136)</f>
        <v>4410</v>
      </c>
      <c r="J137">
        <f>IF(AND(MyRowHidden(ROW())=FALSE,MyRowHidden(ROW()-1)=TRUE),0,(G137-G136)*unitsOfExo+J136)</f>
        <v>637200</v>
      </c>
      <c r="K137" s="9">
        <f t="shared" si="7"/>
        <v>-637200</v>
      </c>
      <c r="L137">
        <f t="shared" si="8"/>
        <v>641610</v>
      </c>
      <c r="M137">
        <f>IF(AND(MyRowHidden(ROW())=FALSE,MyRowHidden(ROW()-1)=TRUE),0,IF(MONTH(H137)&lt;&gt;MONTH(H136),M136+1,M136))</f>
        <v>6</v>
      </c>
      <c r="N137">
        <f t="shared" si="9"/>
        <v>4410</v>
      </c>
      <c r="O137">
        <f>IF(AND(MyRowHidden(ROW())=FALSE,MyRowHidden(ROW()-1)=TRUE),0,IF(M137&lt;totalMonths,(totalMonths-M137)/totalMonths *(I137-I136)+O136,0))</f>
        <v>-3680.8333333332957</v>
      </c>
      <c r="P137">
        <f>IF(AND(MyRowHidden(ROW())=FALSE,MyRowHidden(ROW()-1)=TRUE),0,IF(M137&lt;totalMonths,(totalMonths-M137)/totalMonths *(J137-J136)+P136,0))</f>
        <v>603000</v>
      </c>
      <c r="Q137">
        <f>IF(AND(MyRowHidden(ROW())=FALSE,MyRowHidden(ROW()-1)=TRUE),0,IF(M137&lt;totalMonths,(totalMonths-M137)/totalMonths *(K137-K136)+Q136,0))</f>
        <v>-603000</v>
      </c>
      <c r="R137">
        <f t="shared" si="10"/>
        <v>607410</v>
      </c>
      <c r="S137">
        <f t="shared" si="11"/>
        <v>599319.16666666674</v>
      </c>
    </row>
    <row r="138" spans="1:19" hidden="1" x14ac:dyDescent="0.25">
      <c r="A138" s="1"/>
      <c r="C138" s="1"/>
      <c r="D138" s="1">
        <v>41457</v>
      </c>
      <c r="E138">
        <v>22739</v>
      </c>
      <c r="F138" s="1">
        <v>41457</v>
      </c>
      <c r="G138">
        <v>4837.5</v>
      </c>
      <c r="H138" s="1">
        <f t="shared" si="6"/>
        <v>41457</v>
      </c>
      <c r="I138">
        <f>IF(AND(MyRowHidden(ROW())=FALSE,MyRowHidden(ROW()-1)=TRUE),0,(E138-E137)*unitsOfDHp+I137)</f>
        <v>1400</v>
      </c>
      <c r="J138">
        <f>IF(AND(MyRowHidden(ROW())=FALSE,MyRowHidden(ROW()-1)=TRUE),0,(G138-G137)*unitsOfExo+J137)</f>
        <v>846000</v>
      </c>
      <c r="K138" s="9">
        <f t="shared" si="7"/>
        <v>-846000</v>
      </c>
      <c r="L138">
        <f t="shared" si="8"/>
        <v>847400</v>
      </c>
      <c r="M138">
        <f>IF(AND(MyRowHidden(ROW())=FALSE,MyRowHidden(ROW()-1)=TRUE),0,IF(MONTH(H138)&lt;&gt;MONTH(H137),M137+1,M137))</f>
        <v>6</v>
      </c>
      <c r="N138">
        <f t="shared" si="9"/>
        <v>1400</v>
      </c>
      <c r="O138">
        <f>IF(AND(MyRowHidden(ROW())=FALSE,MyRowHidden(ROW()-1)=TRUE),0,IF(M138&lt;totalMonths,(totalMonths-M138)/totalMonths *(I138-I137)+O137,0))</f>
        <v>-5185.8333333332957</v>
      </c>
      <c r="P138">
        <f>IF(AND(MyRowHidden(ROW())=FALSE,MyRowHidden(ROW()-1)=TRUE),0,IF(M138&lt;totalMonths,(totalMonths-M138)/totalMonths *(J138-J137)+P137,0))</f>
        <v>707400</v>
      </c>
      <c r="Q138">
        <f>IF(AND(MyRowHidden(ROW())=FALSE,MyRowHidden(ROW()-1)=TRUE),0,IF(M138&lt;totalMonths,(totalMonths-M138)/totalMonths *(K138-K137)+Q137,0))</f>
        <v>-707400</v>
      </c>
      <c r="R138">
        <f t="shared" si="10"/>
        <v>708800</v>
      </c>
      <c r="S138">
        <f t="shared" si="11"/>
        <v>702214.16666666674</v>
      </c>
    </row>
    <row r="139" spans="1:19" hidden="1" x14ac:dyDescent="0.25">
      <c r="A139" s="1"/>
      <c r="C139" s="1"/>
      <c r="D139" s="1">
        <v>41458</v>
      </c>
      <c r="E139">
        <v>22737</v>
      </c>
      <c r="F139" s="1">
        <v>41458</v>
      </c>
      <c r="G139">
        <v>5212.5</v>
      </c>
      <c r="H139" s="1">
        <f t="shared" si="6"/>
        <v>41458</v>
      </c>
      <c r="I139">
        <f>IF(AND(MyRowHidden(ROW())=FALSE,MyRowHidden(ROW()-1)=TRUE),0,(E139-E138)*unitsOfDHp+I138)</f>
        <v>1330</v>
      </c>
      <c r="J139">
        <f>IF(AND(MyRowHidden(ROW())=FALSE,MyRowHidden(ROW()-1)=TRUE),0,(G139-G138)*unitsOfExo+J138)</f>
        <v>954000</v>
      </c>
      <c r="K139" s="9">
        <f t="shared" si="7"/>
        <v>-954000</v>
      </c>
      <c r="L139">
        <f t="shared" si="8"/>
        <v>955330</v>
      </c>
      <c r="M139">
        <f>IF(AND(MyRowHidden(ROW())=FALSE,MyRowHidden(ROW()-1)=TRUE),0,IF(MONTH(H139)&lt;&gt;MONTH(H138),M138+1,M138))</f>
        <v>6</v>
      </c>
      <c r="N139">
        <f t="shared" si="9"/>
        <v>1330</v>
      </c>
      <c r="O139">
        <f>IF(AND(MyRowHidden(ROW())=FALSE,MyRowHidden(ROW()-1)=TRUE),0,IF(M139&lt;totalMonths,(totalMonths-M139)/totalMonths *(I139-I138)+O138,0))</f>
        <v>-5220.8333333332957</v>
      </c>
      <c r="P139">
        <f>IF(AND(MyRowHidden(ROW())=FALSE,MyRowHidden(ROW()-1)=TRUE),0,IF(M139&lt;totalMonths,(totalMonths-M139)/totalMonths *(J139-J138)+P138,0))</f>
        <v>761400</v>
      </c>
      <c r="Q139">
        <f>IF(AND(MyRowHidden(ROW())=FALSE,MyRowHidden(ROW()-1)=TRUE),0,IF(M139&lt;totalMonths,(totalMonths-M139)/totalMonths *(K139-K138)+Q138,0))</f>
        <v>-761400</v>
      </c>
      <c r="R139">
        <f t="shared" si="10"/>
        <v>762730</v>
      </c>
      <c r="S139">
        <f t="shared" si="11"/>
        <v>756179.16666666674</v>
      </c>
    </row>
    <row r="140" spans="1:19" hidden="1" x14ac:dyDescent="0.25">
      <c r="A140" s="1"/>
      <c r="C140" s="1"/>
      <c r="D140" s="1">
        <v>41460</v>
      </c>
      <c r="E140">
        <v>22543</v>
      </c>
      <c r="F140" s="1">
        <v>41460</v>
      </c>
      <c r="G140">
        <v>5637.5</v>
      </c>
      <c r="H140" s="1">
        <f t="shared" si="6"/>
        <v>41460</v>
      </c>
      <c r="I140">
        <f>IF(AND(MyRowHidden(ROW())=FALSE,MyRowHidden(ROW()-1)=TRUE),0,(E140-E139)*unitsOfDHp+I139)</f>
        <v>-5460</v>
      </c>
      <c r="J140">
        <f>IF(AND(MyRowHidden(ROW())=FALSE,MyRowHidden(ROW()-1)=TRUE),0,(G140-G139)*unitsOfExo+J139)</f>
        <v>1076400</v>
      </c>
      <c r="K140" s="9">
        <f t="shared" si="7"/>
        <v>-1076400</v>
      </c>
      <c r="L140">
        <f t="shared" si="8"/>
        <v>1070940</v>
      </c>
      <c r="M140">
        <f>IF(AND(MyRowHidden(ROW())=FALSE,MyRowHidden(ROW()-1)=TRUE),0,IF(MONTH(H140)&lt;&gt;MONTH(H139),M139+1,M139))</f>
        <v>6</v>
      </c>
      <c r="N140">
        <f t="shared" si="9"/>
        <v>-5460</v>
      </c>
      <c r="O140">
        <f>IF(AND(MyRowHidden(ROW())=FALSE,MyRowHidden(ROW()-1)=TRUE),0,IF(M140&lt;totalMonths,(totalMonths-M140)/totalMonths *(I140-I139)+O139,0))</f>
        <v>-8615.8333333332957</v>
      </c>
      <c r="P140">
        <f>IF(AND(MyRowHidden(ROW())=FALSE,MyRowHidden(ROW()-1)=TRUE),0,IF(M140&lt;totalMonths,(totalMonths-M140)/totalMonths *(J140-J139)+P139,0))</f>
        <v>822600</v>
      </c>
      <c r="Q140">
        <f>IF(AND(MyRowHidden(ROW())=FALSE,MyRowHidden(ROW()-1)=TRUE),0,IF(M140&lt;totalMonths,(totalMonths-M140)/totalMonths *(K140-K139)+Q139,0))</f>
        <v>-822600</v>
      </c>
      <c r="R140">
        <f t="shared" si="10"/>
        <v>817140</v>
      </c>
      <c r="S140">
        <f t="shared" si="11"/>
        <v>813984.16666666674</v>
      </c>
    </row>
    <row r="141" spans="1:19" hidden="1" x14ac:dyDescent="0.25">
      <c r="A141" s="1"/>
      <c r="C141" s="1"/>
      <c r="D141" s="1">
        <v>41463</v>
      </c>
      <c r="E141">
        <v>22651</v>
      </c>
      <c r="F141" s="1">
        <v>41463</v>
      </c>
      <c r="G141">
        <v>5987.5</v>
      </c>
      <c r="H141" s="1">
        <f t="shared" ref="H141:H204" si="12">D141</f>
        <v>41463</v>
      </c>
      <c r="I141">
        <f>IF(AND(MyRowHidden(ROW())=FALSE,MyRowHidden(ROW()-1)=TRUE),0,(E141-E140)*unitsOfDHp+I140)</f>
        <v>-1680</v>
      </c>
      <c r="J141">
        <f>IF(AND(MyRowHidden(ROW())=FALSE,MyRowHidden(ROW()-1)=TRUE),0,(G141-G140)*unitsOfExo+J140)</f>
        <v>1177200</v>
      </c>
      <c r="K141" s="9">
        <f t="shared" ref="K141:K204" si="13">-(J141-J140)+K140</f>
        <v>-1177200</v>
      </c>
      <c r="L141">
        <f t="shared" ref="L141:L204" si="14">I141+J141</f>
        <v>1175520</v>
      </c>
      <c r="M141">
        <f>IF(AND(MyRowHidden(ROW())=FALSE,MyRowHidden(ROW()-1)=TRUE),0,IF(MONTH(H141)&lt;&gt;MONTH(H140),M140+1,M140))</f>
        <v>6</v>
      </c>
      <c r="N141">
        <f t="shared" ref="N141:N204" si="15">I141</f>
        <v>-1680</v>
      </c>
      <c r="O141">
        <f>IF(AND(MyRowHidden(ROW())=FALSE,MyRowHidden(ROW()-1)=TRUE),0,IF(M141&lt;totalMonths,(totalMonths-M141)/totalMonths *(I141-I140)+O140,0))</f>
        <v>-6725.8333333332957</v>
      </c>
      <c r="P141">
        <f>IF(AND(MyRowHidden(ROW())=FALSE,MyRowHidden(ROW()-1)=TRUE),0,IF(M141&lt;totalMonths,(totalMonths-M141)/totalMonths *(J141-J140)+P140,0))</f>
        <v>873000</v>
      </c>
      <c r="Q141">
        <f>IF(AND(MyRowHidden(ROW())=FALSE,MyRowHidden(ROW()-1)=TRUE),0,IF(M141&lt;totalMonths,(totalMonths-M141)/totalMonths *(K141-K140)+Q140,0))</f>
        <v>-873000</v>
      </c>
      <c r="R141">
        <f t="shared" ref="R141:R204" si="16">N141+P141</f>
        <v>871320</v>
      </c>
      <c r="S141">
        <f t="shared" ref="S141:S204" si="17">O141+P141</f>
        <v>866274.16666666674</v>
      </c>
    </row>
    <row r="142" spans="1:19" hidden="1" x14ac:dyDescent="0.25">
      <c r="A142" s="1"/>
      <c r="C142" s="1"/>
      <c r="D142" s="1">
        <v>41464</v>
      </c>
      <c r="E142">
        <v>23067</v>
      </c>
      <c r="F142" s="1">
        <v>41464</v>
      </c>
      <c r="G142">
        <v>6512.5</v>
      </c>
      <c r="H142" s="1">
        <f t="shared" si="12"/>
        <v>41464</v>
      </c>
      <c r="I142">
        <f>IF(AND(MyRowHidden(ROW())=FALSE,MyRowHidden(ROW()-1)=TRUE),0,(E142-E141)*unitsOfDHp+I141)</f>
        <v>12880</v>
      </c>
      <c r="J142">
        <f>IF(AND(MyRowHidden(ROW())=FALSE,MyRowHidden(ROW()-1)=TRUE),0,(G142-G141)*unitsOfExo+J141)</f>
        <v>1328400</v>
      </c>
      <c r="K142" s="9">
        <f t="shared" si="13"/>
        <v>-1328400</v>
      </c>
      <c r="L142">
        <f t="shared" si="14"/>
        <v>1341280</v>
      </c>
      <c r="M142">
        <f>IF(AND(MyRowHidden(ROW())=FALSE,MyRowHidden(ROW()-1)=TRUE),0,IF(MONTH(H142)&lt;&gt;MONTH(H141),M141+1,M141))</f>
        <v>6</v>
      </c>
      <c r="N142">
        <f t="shared" si="15"/>
        <v>12880</v>
      </c>
      <c r="O142">
        <f>IF(AND(MyRowHidden(ROW())=FALSE,MyRowHidden(ROW()-1)=TRUE),0,IF(M142&lt;totalMonths,(totalMonths-M142)/totalMonths *(I142-I141)+O141,0))</f>
        <v>554.16666666670426</v>
      </c>
      <c r="P142">
        <f>IF(AND(MyRowHidden(ROW())=FALSE,MyRowHidden(ROW()-1)=TRUE),0,IF(M142&lt;totalMonths,(totalMonths-M142)/totalMonths *(J142-J141)+P141,0))</f>
        <v>948600</v>
      </c>
      <c r="Q142">
        <f>IF(AND(MyRowHidden(ROW())=FALSE,MyRowHidden(ROW()-1)=TRUE),0,IF(M142&lt;totalMonths,(totalMonths-M142)/totalMonths *(K142-K141)+Q141,0))</f>
        <v>-948600</v>
      </c>
      <c r="R142">
        <f t="shared" si="16"/>
        <v>961480</v>
      </c>
      <c r="S142">
        <f t="shared" si="17"/>
        <v>949154.16666666674</v>
      </c>
    </row>
    <row r="143" spans="1:19" hidden="1" x14ac:dyDescent="0.25">
      <c r="A143" s="1"/>
      <c r="C143" s="1"/>
      <c r="D143" s="1">
        <v>41465</v>
      </c>
      <c r="E143">
        <v>22980</v>
      </c>
      <c r="F143" s="1">
        <v>41465</v>
      </c>
      <c r="G143">
        <v>6750</v>
      </c>
      <c r="H143" s="1">
        <f t="shared" si="12"/>
        <v>41465</v>
      </c>
      <c r="I143">
        <f>IF(AND(MyRowHidden(ROW())=FALSE,MyRowHidden(ROW()-1)=TRUE),0,(E143-E142)*unitsOfDHp+I142)</f>
        <v>9835</v>
      </c>
      <c r="J143">
        <f>IF(AND(MyRowHidden(ROW())=FALSE,MyRowHidden(ROW()-1)=TRUE),0,(G143-G142)*unitsOfExo+J142)</f>
        <v>1396800</v>
      </c>
      <c r="K143" s="9">
        <f t="shared" si="13"/>
        <v>-1396800</v>
      </c>
      <c r="L143">
        <f t="shared" si="14"/>
        <v>1406635</v>
      </c>
      <c r="M143">
        <f>IF(AND(MyRowHidden(ROW())=FALSE,MyRowHidden(ROW()-1)=TRUE),0,IF(MONTH(H143)&lt;&gt;MONTH(H142),M142+1,M142))</f>
        <v>6</v>
      </c>
      <c r="N143">
        <f t="shared" si="15"/>
        <v>9835</v>
      </c>
      <c r="O143">
        <f>IF(AND(MyRowHidden(ROW())=FALSE,MyRowHidden(ROW()-1)=TRUE),0,IF(M143&lt;totalMonths,(totalMonths-M143)/totalMonths *(I143-I142)+O142,0))</f>
        <v>-968.33333333329574</v>
      </c>
      <c r="P143">
        <f>IF(AND(MyRowHidden(ROW())=FALSE,MyRowHidden(ROW()-1)=TRUE),0,IF(M143&lt;totalMonths,(totalMonths-M143)/totalMonths *(J143-J142)+P142,0))</f>
        <v>982800</v>
      </c>
      <c r="Q143">
        <f>IF(AND(MyRowHidden(ROW())=FALSE,MyRowHidden(ROW()-1)=TRUE),0,IF(M143&lt;totalMonths,(totalMonths-M143)/totalMonths *(K143-K142)+Q142,0))</f>
        <v>-982800</v>
      </c>
      <c r="R143">
        <f t="shared" si="16"/>
        <v>992635</v>
      </c>
      <c r="S143">
        <f t="shared" si="17"/>
        <v>981831.66666666674</v>
      </c>
    </row>
    <row r="144" spans="1:19" hidden="1" x14ac:dyDescent="0.25">
      <c r="A144" s="1"/>
      <c r="C144" s="1"/>
      <c r="D144" s="1">
        <v>41466</v>
      </c>
      <c r="E144">
        <v>22842</v>
      </c>
      <c r="F144" s="1">
        <v>41466</v>
      </c>
      <c r="G144">
        <v>7200</v>
      </c>
      <c r="H144" s="1">
        <f t="shared" si="12"/>
        <v>41466</v>
      </c>
      <c r="I144">
        <f>IF(AND(MyRowHidden(ROW())=FALSE,MyRowHidden(ROW()-1)=TRUE),0,(E144-E143)*unitsOfDHp+I143)</f>
        <v>5005</v>
      </c>
      <c r="J144">
        <f>IF(AND(MyRowHidden(ROW())=FALSE,MyRowHidden(ROW()-1)=TRUE),0,(G144-G143)*unitsOfExo+J143)</f>
        <v>1526400</v>
      </c>
      <c r="K144" s="9">
        <f t="shared" si="13"/>
        <v>-1526400</v>
      </c>
      <c r="L144">
        <f t="shared" si="14"/>
        <v>1531405</v>
      </c>
      <c r="M144">
        <f>IF(AND(MyRowHidden(ROW())=FALSE,MyRowHidden(ROW()-1)=TRUE),0,IF(MONTH(H144)&lt;&gt;MONTH(H143),M143+1,M143))</f>
        <v>6</v>
      </c>
      <c r="N144">
        <f t="shared" si="15"/>
        <v>5005</v>
      </c>
      <c r="O144">
        <f>IF(AND(MyRowHidden(ROW())=FALSE,MyRowHidden(ROW()-1)=TRUE),0,IF(M144&lt;totalMonths,(totalMonths-M144)/totalMonths *(I144-I143)+O143,0))</f>
        <v>-3383.3333333332957</v>
      </c>
      <c r="P144">
        <f>IF(AND(MyRowHidden(ROW())=FALSE,MyRowHidden(ROW()-1)=TRUE),0,IF(M144&lt;totalMonths,(totalMonths-M144)/totalMonths *(J144-J143)+P143,0))</f>
        <v>1047600</v>
      </c>
      <c r="Q144">
        <f>IF(AND(MyRowHidden(ROW())=FALSE,MyRowHidden(ROW()-1)=TRUE),0,IF(M144&lt;totalMonths,(totalMonths-M144)/totalMonths *(K144-K143)+Q143,0))</f>
        <v>-1047600</v>
      </c>
      <c r="R144">
        <f t="shared" si="16"/>
        <v>1052605</v>
      </c>
      <c r="S144">
        <f t="shared" si="17"/>
        <v>1044216.6666666667</v>
      </c>
    </row>
    <row r="145" spans="1:19" hidden="1" x14ac:dyDescent="0.25">
      <c r="A145" s="1"/>
      <c r="C145" s="1"/>
      <c r="D145" s="1">
        <v>41467</v>
      </c>
      <c r="E145">
        <v>23036</v>
      </c>
      <c r="F145" s="1">
        <v>41467</v>
      </c>
      <c r="G145">
        <v>6612.5</v>
      </c>
      <c r="H145" s="1">
        <f t="shared" si="12"/>
        <v>41467</v>
      </c>
      <c r="I145">
        <f>IF(AND(MyRowHidden(ROW())=FALSE,MyRowHidden(ROW()-1)=TRUE),0,(E145-E144)*unitsOfDHp+I144)</f>
        <v>11795</v>
      </c>
      <c r="J145">
        <f>IF(AND(MyRowHidden(ROW())=FALSE,MyRowHidden(ROW()-1)=TRUE),0,(G145-G144)*unitsOfExo+J144)</f>
        <v>1357200</v>
      </c>
      <c r="K145" s="9">
        <f t="shared" si="13"/>
        <v>-1357200</v>
      </c>
      <c r="L145">
        <f t="shared" si="14"/>
        <v>1368995</v>
      </c>
      <c r="M145">
        <f>IF(AND(MyRowHidden(ROW())=FALSE,MyRowHidden(ROW()-1)=TRUE),0,IF(MONTH(H145)&lt;&gt;MONTH(H144),M144+1,M144))</f>
        <v>6</v>
      </c>
      <c r="N145">
        <f t="shared" si="15"/>
        <v>11795</v>
      </c>
      <c r="O145">
        <f>IF(AND(MyRowHidden(ROW())=FALSE,MyRowHidden(ROW()-1)=TRUE),0,IF(M145&lt;totalMonths,(totalMonths-M145)/totalMonths *(I145-I144)+O144,0))</f>
        <v>11.666666666704259</v>
      </c>
      <c r="P145">
        <f>IF(AND(MyRowHidden(ROW())=FALSE,MyRowHidden(ROW()-1)=TRUE),0,IF(M145&lt;totalMonths,(totalMonths-M145)/totalMonths *(J145-J144)+P144,0))</f>
        <v>963000</v>
      </c>
      <c r="Q145">
        <f>IF(AND(MyRowHidden(ROW())=FALSE,MyRowHidden(ROW()-1)=TRUE),0,IF(M145&lt;totalMonths,(totalMonths-M145)/totalMonths *(K145-K144)+Q144,0))</f>
        <v>-963000</v>
      </c>
      <c r="R145">
        <f t="shared" si="16"/>
        <v>974795</v>
      </c>
      <c r="S145">
        <f t="shared" si="17"/>
        <v>963011.66666666674</v>
      </c>
    </row>
    <row r="146" spans="1:19" hidden="1" x14ac:dyDescent="0.25">
      <c r="A146" s="1"/>
      <c r="C146" s="1"/>
      <c r="D146" s="1">
        <v>41470</v>
      </c>
      <c r="E146">
        <v>23482</v>
      </c>
      <c r="F146" s="1">
        <v>41470</v>
      </c>
      <c r="G146">
        <v>6025</v>
      </c>
      <c r="H146" s="1">
        <f t="shared" si="12"/>
        <v>41470</v>
      </c>
      <c r="I146">
        <f>IF(AND(MyRowHidden(ROW())=FALSE,MyRowHidden(ROW()-1)=TRUE),0,(E146-E145)*unitsOfDHp+I145)</f>
        <v>27405</v>
      </c>
      <c r="J146">
        <f>IF(AND(MyRowHidden(ROW())=FALSE,MyRowHidden(ROW()-1)=TRUE),0,(G146-G145)*unitsOfExo+J145)</f>
        <v>1188000</v>
      </c>
      <c r="K146" s="9">
        <f t="shared" si="13"/>
        <v>-1188000</v>
      </c>
      <c r="L146">
        <f t="shared" si="14"/>
        <v>1215405</v>
      </c>
      <c r="M146">
        <f>IF(AND(MyRowHidden(ROW())=FALSE,MyRowHidden(ROW()-1)=TRUE),0,IF(MONTH(H146)&lt;&gt;MONTH(H145),M145+1,M145))</f>
        <v>6</v>
      </c>
      <c r="N146">
        <f t="shared" si="15"/>
        <v>27405</v>
      </c>
      <c r="O146">
        <f>IF(AND(MyRowHidden(ROW())=FALSE,MyRowHidden(ROW()-1)=TRUE),0,IF(M146&lt;totalMonths,(totalMonths-M146)/totalMonths *(I146-I145)+O145,0))</f>
        <v>7816.6666666667043</v>
      </c>
      <c r="P146">
        <f>IF(AND(MyRowHidden(ROW())=FALSE,MyRowHidden(ROW()-1)=TRUE),0,IF(M146&lt;totalMonths,(totalMonths-M146)/totalMonths *(J146-J145)+P145,0))</f>
        <v>878400</v>
      </c>
      <c r="Q146">
        <f>IF(AND(MyRowHidden(ROW())=FALSE,MyRowHidden(ROW()-1)=TRUE),0,IF(M146&lt;totalMonths,(totalMonths-M146)/totalMonths *(K146-K145)+Q145,0))</f>
        <v>-878400</v>
      </c>
      <c r="R146">
        <f t="shared" si="16"/>
        <v>905805</v>
      </c>
      <c r="S146">
        <f t="shared" si="17"/>
        <v>886216.66666666674</v>
      </c>
    </row>
    <row r="147" spans="1:19" hidden="1" x14ac:dyDescent="0.25">
      <c r="A147" s="1"/>
      <c r="C147" s="1"/>
      <c r="D147" s="1">
        <v>41471</v>
      </c>
      <c r="E147">
        <v>23322</v>
      </c>
      <c r="F147" s="1">
        <v>41471</v>
      </c>
      <c r="G147">
        <v>6400</v>
      </c>
      <c r="H147" s="1">
        <f t="shared" si="12"/>
        <v>41471</v>
      </c>
      <c r="I147">
        <f>IF(AND(MyRowHidden(ROW())=FALSE,MyRowHidden(ROW()-1)=TRUE),0,(E147-E146)*unitsOfDHp+I146)</f>
        <v>21805</v>
      </c>
      <c r="J147">
        <f>IF(AND(MyRowHidden(ROW())=FALSE,MyRowHidden(ROW()-1)=TRUE),0,(G147-G146)*unitsOfExo+J146)</f>
        <v>1296000</v>
      </c>
      <c r="K147" s="9">
        <f t="shared" si="13"/>
        <v>-1296000</v>
      </c>
      <c r="L147">
        <f t="shared" si="14"/>
        <v>1317805</v>
      </c>
      <c r="M147">
        <f>IF(AND(MyRowHidden(ROW())=FALSE,MyRowHidden(ROW()-1)=TRUE),0,IF(MONTH(H147)&lt;&gt;MONTH(H146),M146+1,M146))</f>
        <v>6</v>
      </c>
      <c r="N147">
        <f t="shared" si="15"/>
        <v>21805</v>
      </c>
      <c r="O147">
        <f>IF(AND(MyRowHidden(ROW())=FALSE,MyRowHidden(ROW()-1)=TRUE),0,IF(M147&lt;totalMonths,(totalMonths-M147)/totalMonths *(I147-I146)+O146,0))</f>
        <v>5016.6666666667043</v>
      </c>
      <c r="P147">
        <f>IF(AND(MyRowHidden(ROW())=FALSE,MyRowHidden(ROW()-1)=TRUE),0,IF(M147&lt;totalMonths,(totalMonths-M147)/totalMonths *(J147-J146)+P146,0))</f>
        <v>932400</v>
      </c>
      <c r="Q147">
        <f>IF(AND(MyRowHidden(ROW())=FALSE,MyRowHidden(ROW()-1)=TRUE),0,IF(M147&lt;totalMonths,(totalMonths-M147)/totalMonths *(K147-K146)+Q146,0))</f>
        <v>-932400</v>
      </c>
      <c r="R147">
        <f t="shared" si="16"/>
        <v>954205</v>
      </c>
      <c r="S147">
        <f t="shared" si="17"/>
        <v>937416.66666666674</v>
      </c>
    </row>
    <row r="148" spans="1:19" hidden="1" x14ac:dyDescent="0.25">
      <c r="A148" s="1"/>
      <c r="C148" s="1"/>
      <c r="D148" s="1">
        <v>41472</v>
      </c>
      <c r="E148">
        <v>23497</v>
      </c>
      <c r="F148" s="1">
        <v>41472</v>
      </c>
      <c r="G148">
        <v>6125</v>
      </c>
      <c r="H148" s="1">
        <f t="shared" si="12"/>
        <v>41472</v>
      </c>
      <c r="I148">
        <f>IF(AND(MyRowHidden(ROW())=FALSE,MyRowHidden(ROW()-1)=TRUE),0,(E148-E147)*unitsOfDHp+I147)</f>
        <v>27930</v>
      </c>
      <c r="J148">
        <f>IF(AND(MyRowHidden(ROW())=FALSE,MyRowHidden(ROW()-1)=TRUE),0,(G148-G147)*unitsOfExo+J147)</f>
        <v>1216800</v>
      </c>
      <c r="K148" s="9">
        <f t="shared" si="13"/>
        <v>-1216800</v>
      </c>
      <c r="L148">
        <f t="shared" si="14"/>
        <v>1244730</v>
      </c>
      <c r="M148">
        <f>IF(AND(MyRowHidden(ROW())=FALSE,MyRowHidden(ROW()-1)=TRUE),0,IF(MONTH(H148)&lt;&gt;MONTH(H147),M147+1,M147))</f>
        <v>6</v>
      </c>
      <c r="N148">
        <f t="shared" si="15"/>
        <v>27930</v>
      </c>
      <c r="O148">
        <f>IF(AND(MyRowHidden(ROW())=FALSE,MyRowHidden(ROW()-1)=TRUE),0,IF(M148&lt;totalMonths,(totalMonths-M148)/totalMonths *(I148-I147)+O147,0))</f>
        <v>8079.1666666667043</v>
      </c>
      <c r="P148">
        <f>IF(AND(MyRowHidden(ROW())=FALSE,MyRowHidden(ROW()-1)=TRUE),0,IF(M148&lt;totalMonths,(totalMonths-M148)/totalMonths *(J148-J147)+P147,0))</f>
        <v>892800</v>
      </c>
      <c r="Q148">
        <f>IF(AND(MyRowHidden(ROW())=FALSE,MyRowHidden(ROW()-1)=TRUE),0,IF(M148&lt;totalMonths,(totalMonths-M148)/totalMonths *(K148-K147)+Q147,0))</f>
        <v>-892800</v>
      </c>
      <c r="R148">
        <f t="shared" si="16"/>
        <v>920730</v>
      </c>
      <c r="S148">
        <f t="shared" si="17"/>
        <v>900879.16666666674</v>
      </c>
    </row>
    <row r="149" spans="1:19" hidden="1" x14ac:dyDescent="0.25">
      <c r="A149" s="1"/>
      <c r="C149" s="1"/>
      <c r="D149" s="1">
        <v>41473</v>
      </c>
      <c r="E149">
        <v>23462</v>
      </c>
      <c r="F149" s="1">
        <v>41473</v>
      </c>
      <c r="G149">
        <v>6212.5</v>
      </c>
      <c r="H149" s="1">
        <f t="shared" si="12"/>
        <v>41473</v>
      </c>
      <c r="I149">
        <f>IF(AND(MyRowHidden(ROW())=FALSE,MyRowHidden(ROW()-1)=TRUE),0,(E149-E148)*unitsOfDHp+I148)</f>
        <v>26705</v>
      </c>
      <c r="J149">
        <f>IF(AND(MyRowHidden(ROW())=FALSE,MyRowHidden(ROW()-1)=TRUE),0,(G149-G148)*unitsOfExo+J148)</f>
        <v>1242000</v>
      </c>
      <c r="K149" s="9">
        <f t="shared" si="13"/>
        <v>-1242000</v>
      </c>
      <c r="L149">
        <f t="shared" si="14"/>
        <v>1268705</v>
      </c>
      <c r="M149">
        <f>IF(AND(MyRowHidden(ROW())=FALSE,MyRowHidden(ROW()-1)=TRUE),0,IF(MONTH(H149)&lt;&gt;MONTH(H148),M148+1,M148))</f>
        <v>6</v>
      </c>
      <c r="N149">
        <f t="shared" si="15"/>
        <v>26705</v>
      </c>
      <c r="O149">
        <f>IF(AND(MyRowHidden(ROW())=FALSE,MyRowHidden(ROW()-1)=TRUE),0,IF(M149&lt;totalMonths,(totalMonths-M149)/totalMonths *(I149-I148)+O148,0))</f>
        <v>7466.6666666667043</v>
      </c>
      <c r="P149">
        <f>IF(AND(MyRowHidden(ROW())=FALSE,MyRowHidden(ROW()-1)=TRUE),0,IF(M149&lt;totalMonths,(totalMonths-M149)/totalMonths *(J149-J148)+P148,0))</f>
        <v>905400</v>
      </c>
      <c r="Q149">
        <f>IF(AND(MyRowHidden(ROW())=FALSE,MyRowHidden(ROW()-1)=TRUE),0,IF(M149&lt;totalMonths,(totalMonths-M149)/totalMonths *(K149-K148)+Q148,0))</f>
        <v>-905400</v>
      </c>
      <c r="R149">
        <f t="shared" si="16"/>
        <v>932105</v>
      </c>
      <c r="S149">
        <f t="shared" si="17"/>
        <v>912866.66666666674</v>
      </c>
    </row>
    <row r="150" spans="1:19" hidden="1" x14ac:dyDescent="0.25">
      <c r="A150" s="1"/>
      <c r="C150" s="1"/>
      <c r="D150" s="1">
        <v>41474</v>
      </c>
      <c r="E150">
        <v>23419</v>
      </c>
      <c r="F150" s="1">
        <v>41474</v>
      </c>
      <c r="G150">
        <v>6387.5</v>
      </c>
      <c r="H150" s="1">
        <f t="shared" si="12"/>
        <v>41474</v>
      </c>
      <c r="I150">
        <f>IF(AND(MyRowHidden(ROW())=FALSE,MyRowHidden(ROW()-1)=TRUE),0,(E150-E149)*unitsOfDHp+I149)</f>
        <v>25200</v>
      </c>
      <c r="J150">
        <f>IF(AND(MyRowHidden(ROW())=FALSE,MyRowHidden(ROW()-1)=TRUE),0,(G150-G149)*unitsOfExo+J149)</f>
        <v>1292400</v>
      </c>
      <c r="K150" s="9">
        <f t="shared" si="13"/>
        <v>-1292400</v>
      </c>
      <c r="L150">
        <f t="shared" si="14"/>
        <v>1317600</v>
      </c>
      <c r="M150">
        <f>IF(AND(MyRowHidden(ROW())=FALSE,MyRowHidden(ROW()-1)=TRUE),0,IF(MONTH(H150)&lt;&gt;MONTH(H149),M149+1,M149))</f>
        <v>6</v>
      </c>
      <c r="N150">
        <f t="shared" si="15"/>
        <v>25200</v>
      </c>
      <c r="O150">
        <f>IF(AND(MyRowHidden(ROW())=FALSE,MyRowHidden(ROW()-1)=TRUE),0,IF(M150&lt;totalMonths,(totalMonths-M150)/totalMonths *(I150-I149)+O149,0))</f>
        <v>6714.1666666667043</v>
      </c>
      <c r="P150">
        <f>IF(AND(MyRowHidden(ROW())=FALSE,MyRowHidden(ROW()-1)=TRUE),0,IF(M150&lt;totalMonths,(totalMonths-M150)/totalMonths *(J150-J149)+P149,0))</f>
        <v>930600</v>
      </c>
      <c r="Q150">
        <f>IF(AND(MyRowHidden(ROW())=FALSE,MyRowHidden(ROW()-1)=TRUE),0,IF(M150&lt;totalMonths,(totalMonths-M150)/totalMonths *(K150-K149)+Q149,0))</f>
        <v>-930600</v>
      </c>
      <c r="R150">
        <f t="shared" si="16"/>
        <v>955800</v>
      </c>
      <c r="S150">
        <f t="shared" si="17"/>
        <v>937314.16666666674</v>
      </c>
    </row>
    <row r="151" spans="1:19" hidden="1" x14ac:dyDescent="0.25">
      <c r="A151" s="1"/>
      <c r="C151" s="1"/>
      <c r="D151" s="1">
        <v>41477</v>
      </c>
      <c r="E151">
        <v>23763</v>
      </c>
      <c r="F151" s="1">
        <v>41477</v>
      </c>
      <c r="G151">
        <v>6250</v>
      </c>
      <c r="H151" s="1">
        <f t="shared" si="12"/>
        <v>41477</v>
      </c>
      <c r="I151">
        <f>IF(AND(MyRowHidden(ROW())=FALSE,MyRowHidden(ROW()-1)=TRUE),0,(E151-E150)*unitsOfDHp+I150)</f>
        <v>37240</v>
      </c>
      <c r="J151">
        <f>IF(AND(MyRowHidden(ROW())=FALSE,MyRowHidden(ROW()-1)=TRUE),0,(G151-G150)*unitsOfExo+J150)</f>
        <v>1252800</v>
      </c>
      <c r="K151" s="9">
        <f t="shared" si="13"/>
        <v>-1252800</v>
      </c>
      <c r="L151">
        <f t="shared" si="14"/>
        <v>1290040</v>
      </c>
      <c r="M151">
        <f>IF(AND(MyRowHidden(ROW())=FALSE,MyRowHidden(ROW()-1)=TRUE),0,IF(MONTH(H151)&lt;&gt;MONTH(H150),M150+1,M150))</f>
        <v>6</v>
      </c>
      <c r="N151">
        <f t="shared" si="15"/>
        <v>37240</v>
      </c>
      <c r="O151">
        <f>IF(AND(MyRowHidden(ROW())=FALSE,MyRowHidden(ROW()-1)=TRUE),0,IF(M151&lt;totalMonths,(totalMonths-M151)/totalMonths *(I151-I150)+O150,0))</f>
        <v>12734.166666666704</v>
      </c>
      <c r="P151">
        <f>IF(AND(MyRowHidden(ROW())=FALSE,MyRowHidden(ROW()-1)=TRUE),0,IF(M151&lt;totalMonths,(totalMonths-M151)/totalMonths *(J151-J150)+P150,0))</f>
        <v>910800</v>
      </c>
      <c r="Q151">
        <f>IF(AND(MyRowHidden(ROW())=FALSE,MyRowHidden(ROW()-1)=TRUE),0,IF(M151&lt;totalMonths,(totalMonths-M151)/totalMonths *(K151-K150)+Q150,0))</f>
        <v>-910800</v>
      </c>
      <c r="R151">
        <f t="shared" si="16"/>
        <v>948040</v>
      </c>
      <c r="S151">
        <f t="shared" si="17"/>
        <v>923534.16666666674</v>
      </c>
    </row>
    <row r="152" spans="1:19" hidden="1" x14ac:dyDescent="0.25">
      <c r="A152" s="1"/>
      <c r="C152" s="1"/>
      <c r="D152" s="1">
        <v>41478</v>
      </c>
      <c r="E152">
        <v>23982</v>
      </c>
      <c r="F152" s="1">
        <v>41478</v>
      </c>
      <c r="G152">
        <v>5375</v>
      </c>
      <c r="H152" s="1">
        <f t="shared" si="12"/>
        <v>41478</v>
      </c>
      <c r="I152">
        <f>IF(AND(MyRowHidden(ROW())=FALSE,MyRowHidden(ROW()-1)=TRUE),0,(E152-E151)*unitsOfDHp+I151)</f>
        <v>44905</v>
      </c>
      <c r="J152">
        <f>IF(AND(MyRowHidden(ROW())=FALSE,MyRowHidden(ROW()-1)=TRUE),0,(G152-G151)*unitsOfExo+J151)</f>
        <v>1000800</v>
      </c>
      <c r="K152" s="9">
        <f t="shared" si="13"/>
        <v>-1000800</v>
      </c>
      <c r="L152">
        <f t="shared" si="14"/>
        <v>1045705</v>
      </c>
      <c r="M152">
        <f>IF(AND(MyRowHidden(ROW())=FALSE,MyRowHidden(ROW()-1)=TRUE),0,IF(MONTH(H152)&lt;&gt;MONTH(H151),M151+1,M151))</f>
        <v>6</v>
      </c>
      <c r="N152">
        <f t="shared" si="15"/>
        <v>44905</v>
      </c>
      <c r="O152">
        <f>IF(AND(MyRowHidden(ROW())=FALSE,MyRowHidden(ROW()-1)=TRUE),0,IF(M152&lt;totalMonths,(totalMonths-M152)/totalMonths *(I152-I151)+O151,0))</f>
        <v>16566.666666666704</v>
      </c>
      <c r="P152">
        <f>IF(AND(MyRowHidden(ROW())=FALSE,MyRowHidden(ROW()-1)=TRUE),0,IF(M152&lt;totalMonths,(totalMonths-M152)/totalMonths *(J152-J151)+P151,0))</f>
        <v>784800</v>
      </c>
      <c r="Q152">
        <f>IF(AND(MyRowHidden(ROW())=FALSE,MyRowHidden(ROW()-1)=TRUE),0,IF(M152&lt;totalMonths,(totalMonths-M152)/totalMonths *(K152-K151)+Q151,0))</f>
        <v>-784800</v>
      </c>
      <c r="R152">
        <f t="shared" si="16"/>
        <v>829705</v>
      </c>
      <c r="S152">
        <f t="shared" si="17"/>
        <v>801366.66666666674</v>
      </c>
    </row>
    <row r="153" spans="1:19" hidden="1" x14ac:dyDescent="0.25">
      <c r="A153" s="1"/>
      <c r="C153" s="1"/>
      <c r="D153" s="1">
        <v>41479</v>
      </c>
      <c r="E153">
        <v>24150</v>
      </c>
      <c r="F153" s="1">
        <v>41479</v>
      </c>
      <c r="G153">
        <v>4612.5</v>
      </c>
      <c r="H153" s="1">
        <f t="shared" si="12"/>
        <v>41479</v>
      </c>
      <c r="I153">
        <f>IF(AND(MyRowHidden(ROW())=FALSE,MyRowHidden(ROW()-1)=TRUE),0,(E153-E152)*unitsOfDHp+I152)</f>
        <v>50785</v>
      </c>
      <c r="J153">
        <f>IF(AND(MyRowHidden(ROW())=FALSE,MyRowHidden(ROW()-1)=TRUE),0,(G153-G152)*unitsOfExo+J152)</f>
        <v>781200</v>
      </c>
      <c r="K153" s="9">
        <f t="shared" si="13"/>
        <v>-781200</v>
      </c>
      <c r="L153">
        <f t="shared" si="14"/>
        <v>831985</v>
      </c>
      <c r="M153">
        <f>IF(AND(MyRowHidden(ROW())=FALSE,MyRowHidden(ROW()-1)=TRUE),0,IF(MONTH(H153)&lt;&gt;MONTH(H152),M152+1,M152))</f>
        <v>6</v>
      </c>
      <c r="N153">
        <f t="shared" si="15"/>
        <v>50785</v>
      </c>
      <c r="O153">
        <f>IF(AND(MyRowHidden(ROW())=FALSE,MyRowHidden(ROW()-1)=TRUE),0,IF(M153&lt;totalMonths,(totalMonths-M153)/totalMonths *(I153-I152)+O152,0))</f>
        <v>19506.666666666704</v>
      </c>
      <c r="P153">
        <f>IF(AND(MyRowHidden(ROW())=FALSE,MyRowHidden(ROW()-1)=TRUE),0,IF(M153&lt;totalMonths,(totalMonths-M153)/totalMonths *(J153-J152)+P152,0))</f>
        <v>675000</v>
      </c>
      <c r="Q153">
        <f>IF(AND(MyRowHidden(ROW())=FALSE,MyRowHidden(ROW()-1)=TRUE),0,IF(M153&lt;totalMonths,(totalMonths-M153)/totalMonths *(K153-K152)+Q152,0))</f>
        <v>-675000</v>
      </c>
      <c r="R153">
        <f t="shared" si="16"/>
        <v>725785</v>
      </c>
      <c r="S153">
        <f t="shared" si="17"/>
        <v>694506.66666666674</v>
      </c>
    </row>
    <row r="154" spans="1:19" hidden="1" x14ac:dyDescent="0.25">
      <c r="A154" s="1"/>
      <c r="C154" s="1"/>
      <c r="D154" s="1">
        <v>41480</v>
      </c>
      <c r="E154">
        <v>23782</v>
      </c>
      <c r="F154" s="1">
        <v>41480</v>
      </c>
      <c r="G154">
        <v>3975</v>
      </c>
      <c r="H154" s="1">
        <f t="shared" si="12"/>
        <v>41480</v>
      </c>
      <c r="I154">
        <f>IF(AND(MyRowHidden(ROW())=FALSE,MyRowHidden(ROW()-1)=TRUE),0,(E154-E153)*unitsOfDHp+I153)</f>
        <v>37905</v>
      </c>
      <c r="J154">
        <f>IF(AND(MyRowHidden(ROW())=FALSE,MyRowHidden(ROW()-1)=TRUE),0,(G154-G153)*unitsOfExo+J153)</f>
        <v>597600</v>
      </c>
      <c r="K154" s="9">
        <f t="shared" si="13"/>
        <v>-597600</v>
      </c>
      <c r="L154">
        <f t="shared" si="14"/>
        <v>635505</v>
      </c>
      <c r="M154">
        <f>IF(AND(MyRowHidden(ROW())=FALSE,MyRowHidden(ROW()-1)=TRUE),0,IF(MONTH(H154)&lt;&gt;MONTH(H153),M153+1,M153))</f>
        <v>6</v>
      </c>
      <c r="N154">
        <f t="shared" si="15"/>
        <v>37905</v>
      </c>
      <c r="O154">
        <f>IF(AND(MyRowHidden(ROW())=FALSE,MyRowHidden(ROW()-1)=TRUE),0,IF(M154&lt;totalMonths,(totalMonths-M154)/totalMonths *(I154-I153)+O153,0))</f>
        <v>13066.666666666704</v>
      </c>
      <c r="P154">
        <f>IF(AND(MyRowHidden(ROW())=FALSE,MyRowHidden(ROW()-1)=TRUE),0,IF(M154&lt;totalMonths,(totalMonths-M154)/totalMonths *(J154-J153)+P153,0))</f>
        <v>583200</v>
      </c>
      <c r="Q154">
        <f>IF(AND(MyRowHidden(ROW())=FALSE,MyRowHidden(ROW()-1)=TRUE),0,IF(M154&lt;totalMonths,(totalMonths-M154)/totalMonths *(K154-K153)+Q153,0))</f>
        <v>-583200</v>
      </c>
      <c r="R154">
        <f t="shared" si="16"/>
        <v>621105</v>
      </c>
      <c r="S154">
        <f t="shared" si="17"/>
        <v>596266.66666666674</v>
      </c>
    </row>
    <row r="155" spans="1:19" hidden="1" x14ac:dyDescent="0.25">
      <c r="A155" s="1"/>
      <c r="C155" s="1"/>
      <c r="D155" s="1">
        <v>41481</v>
      </c>
      <c r="E155">
        <v>23614</v>
      </c>
      <c r="F155" s="1">
        <v>41481</v>
      </c>
      <c r="G155">
        <v>3887.5</v>
      </c>
      <c r="H155" s="1">
        <f t="shared" si="12"/>
        <v>41481</v>
      </c>
      <c r="I155">
        <f>IF(AND(MyRowHidden(ROW())=FALSE,MyRowHidden(ROW()-1)=TRUE),0,(E155-E154)*unitsOfDHp+I154)</f>
        <v>32025</v>
      </c>
      <c r="J155">
        <f>IF(AND(MyRowHidden(ROW())=FALSE,MyRowHidden(ROW()-1)=TRUE),0,(G155-G154)*unitsOfExo+J154)</f>
        <v>572400</v>
      </c>
      <c r="K155" s="9">
        <f t="shared" si="13"/>
        <v>-572400</v>
      </c>
      <c r="L155">
        <f t="shared" si="14"/>
        <v>604425</v>
      </c>
      <c r="M155">
        <f>IF(AND(MyRowHidden(ROW())=FALSE,MyRowHidden(ROW()-1)=TRUE),0,IF(MONTH(H155)&lt;&gt;MONTH(H154),M154+1,M154))</f>
        <v>6</v>
      </c>
      <c r="N155">
        <f t="shared" si="15"/>
        <v>32025</v>
      </c>
      <c r="O155">
        <f>IF(AND(MyRowHidden(ROW())=FALSE,MyRowHidden(ROW()-1)=TRUE),0,IF(M155&lt;totalMonths,(totalMonths-M155)/totalMonths *(I155-I154)+O154,0))</f>
        <v>10126.666666666704</v>
      </c>
      <c r="P155">
        <f>IF(AND(MyRowHidden(ROW())=FALSE,MyRowHidden(ROW()-1)=TRUE),0,IF(M155&lt;totalMonths,(totalMonths-M155)/totalMonths *(J155-J154)+P154,0))</f>
        <v>570600</v>
      </c>
      <c r="Q155">
        <f>IF(AND(MyRowHidden(ROW())=FALSE,MyRowHidden(ROW()-1)=TRUE),0,IF(M155&lt;totalMonths,(totalMonths-M155)/totalMonths *(K155-K154)+Q154,0))</f>
        <v>-570600</v>
      </c>
      <c r="R155">
        <f t="shared" si="16"/>
        <v>602625</v>
      </c>
      <c r="S155">
        <f t="shared" si="17"/>
        <v>580726.66666666674</v>
      </c>
    </row>
    <row r="156" spans="1:19" hidden="1" x14ac:dyDescent="0.25">
      <c r="A156" s="1"/>
      <c r="C156" s="1"/>
      <c r="D156" s="1">
        <v>41484</v>
      </c>
      <c r="E156">
        <v>23188</v>
      </c>
      <c r="F156" s="1">
        <v>41484</v>
      </c>
      <c r="G156">
        <v>3612.5</v>
      </c>
      <c r="H156" s="1">
        <f t="shared" si="12"/>
        <v>41484</v>
      </c>
      <c r="I156">
        <f>IF(AND(MyRowHidden(ROW())=FALSE,MyRowHidden(ROW()-1)=TRUE),0,(E156-E155)*unitsOfDHp+I155)</f>
        <v>17115</v>
      </c>
      <c r="J156">
        <f>IF(AND(MyRowHidden(ROW())=FALSE,MyRowHidden(ROW()-1)=TRUE),0,(G156-G155)*unitsOfExo+J155)</f>
        <v>493200</v>
      </c>
      <c r="K156" s="9">
        <f t="shared" si="13"/>
        <v>-493200</v>
      </c>
      <c r="L156">
        <f t="shared" si="14"/>
        <v>510315</v>
      </c>
      <c r="M156">
        <f>IF(AND(MyRowHidden(ROW())=FALSE,MyRowHidden(ROW()-1)=TRUE),0,IF(MONTH(H156)&lt;&gt;MONTH(H155),M155+1,M155))</f>
        <v>6</v>
      </c>
      <c r="N156">
        <f t="shared" si="15"/>
        <v>17115</v>
      </c>
      <c r="O156">
        <f>IF(AND(MyRowHidden(ROW())=FALSE,MyRowHidden(ROW()-1)=TRUE),0,IF(M156&lt;totalMonths,(totalMonths-M156)/totalMonths *(I156-I155)+O155,0))</f>
        <v>2671.6666666667043</v>
      </c>
      <c r="P156">
        <f>IF(AND(MyRowHidden(ROW())=FALSE,MyRowHidden(ROW()-1)=TRUE),0,IF(M156&lt;totalMonths,(totalMonths-M156)/totalMonths *(J156-J155)+P155,0))</f>
        <v>531000</v>
      </c>
      <c r="Q156">
        <f>IF(AND(MyRowHidden(ROW())=FALSE,MyRowHidden(ROW()-1)=TRUE),0,IF(M156&lt;totalMonths,(totalMonths-M156)/totalMonths *(K156-K155)+Q155,0))</f>
        <v>-531000</v>
      </c>
      <c r="R156">
        <f t="shared" si="16"/>
        <v>548115</v>
      </c>
      <c r="S156">
        <f t="shared" si="17"/>
        <v>533671.66666666674</v>
      </c>
    </row>
    <row r="157" spans="1:19" hidden="1" x14ac:dyDescent="0.25">
      <c r="A157" s="1"/>
      <c r="C157" s="1"/>
      <c r="D157" s="1">
        <v>41485</v>
      </c>
      <c r="E157">
        <v>23653</v>
      </c>
      <c r="F157" s="1">
        <v>41485</v>
      </c>
      <c r="G157">
        <v>3812.5</v>
      </c>
      <c r="H157" s="1">
        <f t="shared" si="12"/>
        <v>41485</v>
      </c>
      <c r="I157">
        <f>IF(AND(MyRowHidden(ROW())=FALSE,MyRowHidden(ROW()-1)=TRUE),0,(E157-E156)*unitsOfDHp+I156)</f>
        <v>33390</v>
      </c>
      <c r="J157">
        <f>IF(AND(MyRowHidden(ROW())=FALSE,MyRowHidden(ROW()-1)=TRUE),0,(G157-G156)*unitsOfExo+J156)</f>
        <v>550800</v>
      </c>
      <c r="K157" s="9">
        <f t="shared" si="13"/>
        <v>-550800</v>
      </c>
      <c r="L157">
        <f t="shared" si="14"/>
        <v>584190</v>
      </c>
      <c r="M157">
        <f>IF(AND(MyRowHidden(ROW())=FALSE,MyRowHidden(ROW()-1)=TRUE),0,IF(MONTH(H157)&lt;&gt;MONTH(H156),M156+1,M156))</f>
        <v>6</v>
      </c>
      <c r="N157">
        <f t="shared" si="15"/>
        <v>33390</v>
      </c>
      <c r="O157">
        <f>IF(AND(MyRowHidden(ROW())=FALSE,MyRowHidden(ROW()-1)=TRUE),0,IF(M157&lt;totalMonths,(totalMonths-M157)/totalMonths *(I157-I156)+O156,0))</f>
        <v>10809.166666666704</v>
      </c>
      <c r="P157">
        <f>IF(AND(MyRowHidden(ROW())=FALSE,MyRowHidden(ROW()-1)=TRUE),0,IF(M157&lt;totalMonths,(totalMonths-M157)/totalMonths *(J157-J156)+P156,0))</f>
        <v>559800</v>
      </c>
      <c r="Q157">
        <f>IF(AND(MyRowHidden(ROW())=FALSE,MyRowHidden(ROW()-1)=TRUE),0,IF(M157&lt;totalMonths,(totalMonths-M157)/totalMonths *(K157-K156)+Q156,0))</f>
        <v>-559800</v>
      </c>
      <c r="R157">
        <f t="shared" si="16"/>
        <v>593190</v>
      </c>
      <c r="S157">
        <f t="shared" si="17"/>
        <v>570609.16666666674</v>
      </c>
    </row>
    <row r="158" spans="1:19" hidden="1" x14ac:dyDescent="0.25">
      <c r="A158" s="1"/>
      <c r="C158" s="1"/>
      <c r="D158" s="1">
        <v>41486</v>
      </c>
      <c r="E158">
        <v>24319</v>
      </c>
      <c r="F158" s="1">
        <v>41486</v>
      </c>
      <c r="G158">
        <v>4125</v>
      </c>
      <c r="H158" s="1">
        <f t="shared" si="12"/>
        <v>41486</v>
      </c>
      <c r="I158">
        <f>IF(AND(MyRowHidden(ROW())=FALSE,MyRowHidden(ROW()-1)=TRUE),0,(E158-E157)*unitsOfDHp+I157)</f>
        <v>56700</v>
      </c>
      <c r="J158">
        <f>IF(AND(MyRowHidden(ROW())=FALSE,MyRowHidden(ROW()-1)=TRUE),0,(G158-G157)*unitsOfExo+J157)</f>
        <v>640800</v>
      </c>
      <c r="K158" s="9">
        <f t="shared" si="13"/>
        <v>-640800</v>
      </c>
      <c r="L158">
        <f t="shared" si="14"/>
        <v>697500</v>
      </c>
      <c r="M158">
        <f>IF(AND(MyRowHidden(ROW())=FALSE,MyRowHidden(ROW()-1)=TRUE),0,IF(MONTH(H158)&lt;&gt;MONTH(H157),M157+1,M157))</f>
        <v>6</v>
      </c>
      <c r="N158">
        <f t="shared" si="15"/>
        <v>56700</v>
      </c>
      <c r="O158">
        <f>IF(AND(MyRowHidden(ROW())=FALSE,MyRowHidden(ROW()-1)=TRUE),0,IF(M158&lt;totalMonths,(totalMonths-M158)/totalMonths *(I158-I157)+O157,0))</f>
        <v>22464.166666666704</v>
      </c>
      <c r="P158">
        <f>IF(AND(MyRowHidden(ROW())=FALSE,MyRowHidden(ROW()-1)=TRUE),0,IF(M158&lt;totalMonths,(totalMonths-M158)/totalMonths *(J158-J157)+P157,0))</f>
        <v>604800</v>
      </c>
      <c r="Q158">
        <f>IF(AND(MyRowHidden(ROW())=FALSE,MyRowHidden(ROW()-1)=TRUE),0,IF(M158&lt;totalMonths,(totalMonths-M158)/totalMonths *(K158-K157)+Q157,0))</f>
        <v>-604800</v>
      </c>
      <c r="R158">
        <f t="shared" si="16"/>
        <v>661500</v>
      </c>
      <c r="S158">
        <f t="shared" si="17"/>
        <v>627264.16666666674</v>
      </c>
    </row>
    <row r="159" spans="1:19" hidden="1" x14ac:dyDescent="0.25">
      <c r="A159" s="1"/>
      <c r="C159" s="1"/>
      <c r="D159" s="1">
        <v>41487</v>
      </c>
      <c r="E159">
        <v>23107</v>
      </c>
      <c r="F159" s="1">
        <v>41487</v>
      </c>
      <c r="G159">
        <v>3550</v>
      </c>
      <c r="H159" s="1">
        <f t="shared" si="12"/>
        <v>41487</v>
      </c>
      <c r="I159">
        <f>IF(AND(MyRowHidden(ROW())=FALSE,MyRowHidden(ROW()-1)=TRUE),0,(E159-E158)*unitsOfDHp+I158)</f>
        <v>14280</v>
      </c>
      <c r="J159">
        <f>IF(AND(MyRowHidden(ROW())=FALSE,MyRowHidden(ROW()-1)=TRUE),0,(G159-G158)*unitsOfExo+J158)</f>
        <v>475200</v>
      </c>
      <c r="K159" s="9">
        <f t="shared" si="13"/>
        <v>-475200</v>
      </c>
      <c r="L159">
        <f t="shared" si="14"/>
        <v>489480</v>
      </c>
      <c r="M159">
        <f>IF(AND(MyRowHidden(ROW())=FALSE,MyRowHidden(ROW()-1)=TRUE),0,IF(MONTH(H159)&lt;&gt;MONTH(H158),M158+1,M158))</f>
        <v>7</v>
      </c>
      <c r="N159">
        <f t="shared" si="15"/>
        <v>14280</v>
      </c>
      <c r="O159">
        <f>IF(AND(MyRowHidden(ROW())=FALSE,MyRowHidden(ROW()-1)=TRUE),0,IF(M159&lt;totalMonths,(totalMonths-M159)/totalMonths *(I159-I158)+O158,0))</f>
        <v>4789.1666666667043</v>
      </c>
      <c r="P159">
        <f>IF(AND(MyRowHidden(ROW())=FALSE,MyRowHidden(ROW()-1)=TRUE),0,IF(M159&lt;totalMonths,(totalMonths-M159)/totalMonths *(J159-J158)+P158,0))</f>
        <v>535800</v>
      </c>
      <c r="Q159">
        <f>IF(AND(MyRowHidden(ROW())=FALSE,MyRowHidden(ROW()-1)=TRUE),0,IF(M159&lt;totalMonths,(totalMonths-M159)/totalMonths *(K159-K158)+Q158,0))</f>
        <v>-535800</v>
      </c>
      <c r="R159">
        <f t="shared" si="16"/>
        <v>550080</v>
      </c>
      <c r="S159">
        <f t="shared" si="17"/>
        <v>540589.16666666674</v>
      </c>
    </row>
    <row r="160" spans="1:19" hidden="1" x14ac:dyDescent="0.25">
      <c r="A160" s="1"/>
      <c r="C160" s="1"/>
      <c r="D160" s="1">
        <v>41488</v>
      </c>
      <c r="E160">
        <v>22115</v>
      </c>
      <c r="F160" s="1">
        <v>41488</v>
      </c>
      <c r="G160">
        <v>3087.5</v>
      </c>
      <c r="H160" s="1">
        <f t="shared" si="12"/>
        <v>41488</v>
      </c>
      <c r="I160">
        <f>IF(AND(MyRowHidden(ROW())=FALSE,MyRowHidden(ROW()-1)=TRUE),0,(E160-E159)*unitsOfDHp+I159)</f>
        <v>-20440</v>
      </c>
      <c r="J160">
        <f>IF(AND(MyRowHidden(ROW())=FALSE,MyRowHidden(ROW()-1)=TRUE),0,(G160-G159)*unitsOfExo+J159)</f>
        <v>342000</v>
      </c>
      <c r="K160" s="9">
        <f t="shared" si="13"/>
        <v>-342000</v>
      </c>
      <c r="L160">
        <f t="shared" si="14"/>
        <v>321560</v>
      </c>
      <c r="M160">
        <f>IF(AND(MyRowHidden(ROW())=FALSE,MyRowHidden(ROW()-1)=TRUE),0,IF(MONTH(H160)&lt;&gt;MONTH(H159),M159+1,M159))</f>
        <v>7</v>
      </c>
      <c r="N160">
        <f t="shared" si="15"/>
        <v>-20440</v>
      </c>
      <c r="O160">
        <f>IF(AND(MyRowHidden(ROW())=FALSE,MyRowHidden(ROW()-1)=TRUE),0,IF(M160&lt;totalMonths,(totalMonths-M160)/totalMonths *(I160-I159)+O159,0))</f>
        <v>-9677.4999999999636</v>
      </c>
      <c r="P160">
        <f>IF(AND(MyRowHidden(ROW())=FALSE,MyRowHidden(ROW()-1)=TRUE),0,IF(M160&lt;totalMonths,(totalMonths-M160)/totalMonths *(J160-J159)+P159,0))</f>
        <v>480300</v>
      </c>
      <c r="Q160">
        <f>IF(AND(MyRowHidden(ROW())=FALSE,MyRowHidden(ROW()-1)=TRUE),0,IF(M160&lt;totalMonths,(totalMonths-M160)/totalMonths *(K160-K159)+Q159,0))</f>
        <v>-480300</v>
      </c>
      <c r="R160">
        <f t="shared" si="16"/>
        <v>459860</v>
      </c>
      <c r="S160">
        <f t="shared" si="17"/>
        <v>470622.50000000006</v>
      </c>
    </row>
    <row r="161" spans="1:19" hidden="1" x14ac:dyDescent="0.25">
      <c r="A161" s="1"/>
      <c r="C161" s="1"/>
      <c r="D161" s="1">
        <v>41491</v>
      </c>
      <c r="E161">
        <v>21087</v>
      </c>
      <c r="F161" s="1">
        <v>41491</v>
      </c>
      <c r="G161">
        <v>2612.5</v>
      </c>
      <c r="H161" s="1">
        <f t="shared" si="12"/>
        <v>41491</v>
      </c>
      <c r="I161">
        <f>IF(AND(MyRowHidden(ROW())=FALSE,MyRowHidden(ROW()-1)=TRUE),0,(E161-E160)*unitsOfDHp+I160)</f>
        <v>-56420</v>
      </c>
      <c r="J161">
        <f>IF(AND(MyRowHidden(ROW())=FALSE,MyRowHidden(ROW()-1)=TRUE),0,(G161-G160)*unitsOfExo+J160)</f>
        <v>205200</v>
      </c>
      <c r="K161" s="9">
        <f t="shared" si="13"/>
        <v>-205200</v>
      </c>
      <c r="L161">
        <f t="shared" si="14"/>
        <v>148780</v>
      </c>
      <c r="M161">
        <f>IF(AND(MyRowHidden(ROW())=FALSE,MyRowHidden(ROW()-1)=TRUE),0,IF(MONTH(H161)&lt;&gt;MONTH(H160),M160+1,M160))</f>
        <v>7</v>
      </c>
      <c r="N161">
        <f t="shared" si="15"/>
        <v>-56420</v>
      </c>
      <c r="O161">
        <f>IF(AND(MyRowHidden(ROW())=FALSE,MyRowHidden(ROW()-1)=TRUE),0,IF(M161&lt;totalMonths,(totalMonths-M161)/totalMonths *(I161-I160)+O160,0))</f>
        <v>-24669.166666666631</v>
      </c>
      <c r="P161">
        <f>IF(AND(MyRowHidden(ROW())=FALSE,MyRowHidden(ROW()-1)=TRUE),0,IF(M161&lt;totalMonths,(totalMonths-M161)/totalMonths *(J161-J160)+P160,0))</f>
        <v>423300</v>
      </c>
      <c r="Q161">
        <f>IF(AND(MyRowHidden(ROW())=FALSE,MyRowHidden(ROW()-1)=TRUE),0,IF(M161&lt;totalMonths,(totalMonths-M161)/totalMonths *(K161-K160)+Q160,0))</f>
        <v>-423300</v>
      </c>
      <c r="R161">
        <f t="shared" si="16"/>
        <v>366880</v>
      </c>
      <c r="S161">
        <f t="shared" si="17"/>
        <v>398630.83333333337</v>
      </c>
    </row>
    <row r="162" spans="1:19" hidden="1" x14ac:dyDescent="0.25">
      <c r="A162" s="1"/>
      <c r="C162" s="1"/>
      <c r="D162" s="1">
        <v>41492</v>
      </c>
      <c r="E162">
        <v>21209</v>
      </c>
      <c r="F162" s="1">
        <v>41492</v>
      </c>
      <c r="G162">
        <v>2762.5</v>
      </c>
      <c r="H162" s="1">
        <f t="shared" si="12"/>
        <v>41492</v>
      </c>
      <c r="I162">
        <f>IF(AND(MyRowHidden(ROW())=FALSE,MyRowHidden(ROW()-1)=TRUE),0,(E162-E161)*unitsOfDHp+I161)</f>
        <v>-52150</v>
      </c>
      <c r="J162">
        <f>IF(AND(MyRowHidden(ROW())=FALSE,MyRowHidden(ROW()-1)=TRUE),0,(G162-G161)*unitsOfExo+J161)</f>
        <v>248400</v>
      </c>
      <c r="K162" s="9">
        <f t="shared" si="13"/>
        <v>-248400</v>
      </c>
      <c r="L162">
        <f t="shared" si="14"/>
        <v>196250</v>
      </c>
      <c r="M162">
        <f>IF(AND(MyRowHidden(ROW())=FALSE,MyRowHidden(ROW()-1)=TRUE),0,IF(MONTH(H162)&lt;&gt;MONTH(H161),M161+1,M161))</f>
        <v>7</v>
      </c>
      <c r="N162">
        <f t="shared" si="15"/>
        <v>-52150</v>
      </c>
      <c r="O162">
        <f>IF(AND(MyRowHidden(ROW())=FALSE,MyRowHidden(ROW()-1)=TRUE),0,IF(M162&lt;totalMonths,(totalMonths-M162)/totalMonths *(I162-I161)+O161,0))</f>
        <v>-22889.999999999964</v>
      </c>
      <c r="P162">
        <f>IF(AND(MyRowHidden(ROW())=FALSE,MyRowHidden(ROW()-1)=TRUE),0,IF(M162&lt;totalMonths,(totalMonths-M162)/totalMonths *(J162-J161)+P161,0))</f>
        <v>441300</v>
      </c>
      <c r="Q162">
        <f>IF(AND(MyRowHidden(ROW())=FALSE,MyRowHidden(ROW()-1)=TRUE),0,IF(M162&lt;totalMonths,(totalMonths-M162)/totalMonths *(K162-K161)+Q161,0))</f>
        <v>-441300</v>
      </c>
      <c r="R162">
        <f t="shared" si="16"/>
        <v>389150</v>
      </c>
      <c r="S162">
        <f t="shared" si="17"/>
        <v>418410.00000000006</v>
      </c>
    </row>
    <row r="163" spans="1:19" hidden="1" x14ac:dyDescent="0.25">
      <c r="A163" s="1"/>
      <c r="C163" s="1"/>
      <c r="D163" s="1">
        <v>41493</v>
      </c>
      <c r="E163">
        <v>20881</v>
      </c>
      <c r="F163" s="1">
        <v>41493</v>
      </c>
      <c r="G163">
        <v>2612.5</v>
      </c>
      <c r="H163" s="1">
        <f t="shared" si="12"/>
        <v>41493</v>
      </c>
      <c r="I163">
        <f>IF(AND(MyRowHidden(ROW())=FALSE,MyRowHidden(ROW()-1)=TRUE),0,(E163-E162)*unitsOfDHp+I162)</f>
        <v>-63630</v>
      </c>
      <c r="J163">
        <f>IF(AND(MyRowHidden(ROW())=FALSE,MyRowHidden(ROW()-1)=TRUE),0,(G163-G162)*unitsOfExo+J162)</f>
        <v>205200</v>
      </c>
      <c r="K163" s="9">
        <f t="shared" si="13"/>
        <v>-205200</v>
      </c>
      <c r="L163">
        <f t="shared" si="14"/>
        <v>141570</v>
      </c>
      <c r="M163">
        <f>IF(AND(MyRowHidden(ROW())=FALSE,MyRowHidden(ROW()-1)=TRUE),0,IF(MONTH(H163)&lt;&gt;MONTH(H162),M162+1,M162))</f>
        <v>7</v>
      </c>
      <c r="N163">
        <f t="shared" si="15"/>
        <v>-63630</v>
      </c>
      <c r="O163">
        <f>IF(AND(MyRowHidden(ROW())=FALSE,MyRowHidden(ROW()-1)=TRUE),0,IF(M163&lt;totalMonths,(totalMonths-M163)/totalMonths *(I163-I162)+O162,0))</f>
        <v>-27673.333333333299</v>
      </c>
      <c r="P163">
        <f>IF(AND(MyRowHidden(ROW())=FALSE,MyRowHidden(ROW()-1)=TRUE),0,IF(M163&lt;totalMonths,(totalMonths-M163)/totalMonths *(J163-J162)+P162,0))</f>
        <v>423300</v>
      </c>
      <c r="Q163">
        <f>IF(AND(MyRowHidden(ROW())=FALSE,MyRowHidden(ROW()-1)=TRUE),0,IF(M163&lt;totalMonths,(totalMonths-M163)/totalMonths *(K163-K162)+Q162,0))</f>
        <v>-423300</v>
      </c>
      <c r="R163">
        <f t="shared" si="16"/>
        <v>359670</v>
      </c>
      <c r="S163">
        <f t="shared" si="17"/>
        <v>395626.66666666669</v>
      </c>
    </row>
    <row r="164" spans="1:19" hidden="1" x14ac:dyDescent="0.25">
      <c r="A164" s="1"/>
      <c r="C164" s="1"/>
      <c r="D164" s="1">
        <v>41494</v>
      </c>
      <c r="E164">
        <v>21048</v>
      </c>
      <c r="F164" s="1">
        <v>41494</v>
      </c>
      <c r="G164">
        <v>2737.5</v>
      </c>
      <c r="H164" s="1">
        <f t="shared" si="12"/>
        <v>41494</v>
      </c>
      <c r="I164">
        <f>IF(AND(MyRowHidden(ROW())=FALSE,MyRowHidden(ROW()-1)=TRUE),0,(E164-E163)*unitsOfDHp+I163)</f>
        <v>-57785</v>
      </c>
      <c r="J164">
        <f>IF(AND(MyRowHidden(ROW())=FALSE,MyRowHidden(ROW()-1)=TRUE),0,(G164-G163)*unitsOfExo+J163)</f>
        <v>241200</v>
      </c>
      <c r="K164" s="9">
        <f t="shared" si="13"/>
        <v>-241200</v>
      </c>
      <c r="L164">
        <f t="shared" si="14"/>
        <v>183415</v>
      </c>
      <c r="M164">
        <f>IF(AND(MyRowHidden(ROW())=FALSE,MyRowHidden(ROW()-1)=TRUE),0,IF(MONTH(H164)&lt;&gt;MONTH(H163),M163+1,M163))</f>
        <v>7</v>
      </c>
      <c r="N164">
        <f t="shared" si="15"/>
        <v>-57785</v>
      </c>
      <c r="O164">
        <f>IF(AND(MyRowHidden(ROW())=FALSE,MyRowHidden(ROW()-1)=TRUE),0,IF(M164&lt;totalMonths,(totalMonths-M164)/totalMonths *(I164-I163)+O163,0))</f>
        <v>-25237.916666666631</v>
      </c>
      <c r="P164">
        <f>IF(AND(MyRowHidden(ROW())=FALSE,MyRowHidden(ROW()-1)=TRUE),0,IF(M164&lt;totalMonths,(totalMonths-M164)/totalMonths *(J164-J163)+P163,0))</f>
        <v>438300</v>
      </c>
      <c r="Q164">
        <f>IF(AND(MyRowHidden(ROW())=FALSE,MyRowHidden(ROW()-1)=TRUE),0,IF(M164&lt;totalMonths,(totalMonths-M164)/totalMonths *(K164-K163)+Q163,0))</f>
        <v>-438300</v>
      </c>
      <c r="R164">
        <f t="shared" si="16"/>
        <v>380515</v>
      </c>
      <c r="S164">
        <f t="shared" si="17"/>
        <v>413062.08333333337</v>
      </c>
    </row>
    <row r="165" spans="1:19" hidden="1" x14ac:dyDescent="0.25">
      <c r="A165" s="1"/>
      <c r="C165" s="1"/>
      <c r="D165" s="1">
        <v>41495</v>
      </c>
      <c r="E165">
        <v>20733</v>
      </c>
      <c r="F165" s="1">
        <v>41495</v>
      </c>
      <c r="G165">
        <v>2562.5</v>
      </c>
      <c r="H165" s="1">
        <f t="shared" si="12"/>
        <v>41495</v>
      </c>
      <c r="I165">
        <f>IF(AND(MyRowHidden(ROW())=FALSE,MyRowHidden(ROW()-1)=TRUE),0,(E165-E164)*unitsOfDHp+I164)</f>
        <v>-68810</v>
      </c>
      <c r="J165">
        <f>IF(AND(MyRowHidden(ROW())=FALSE,MyRowHidden(ROW()-1)=TRUE),0,(G165-G164)*unitsOfExo+J164)</f>
        <v>190800</v>
      </c>
      <c r="K165" s="9">
        <f t="shared" si="13"/>
        <v>-190800</v>
      </c>
      <c r="L165">
        <f t="shared" si="14"/>
        <v>121990</v>
      </c>
      <c r="M165">
        <f>IF(AND(MyRowHidden(ROW())=FALSE,MyRowHidden(ROW()-1)=TRUE),0,IF(MONTH(H165)&lt;&gt;MONTH(H164),M164+1,M164))</f>
        <v>7</v>
      </c>
      <c r="N165">
        <f t="shared" si="15"/>
        <v>-68810</v>
      </c>
      <c r="O165">
        <f>IF(AND(MyRowHidden(ROW())=FALSE,MyRowHidden(ROW()-1)=TRUE),0,IF(M165&lt;totalMonths,(totalMonths-M165)/totalMonths *(I165-I164)+O164,0))</f>
        <v>-29831.666666666631</v>
      </c>
      <c r="P165">
        <f>IF(AND(MyRowHidden(ROW())=FALSE,MyRowHidden(ROW()-1)=TRUE),0,IF(M165&lt;totalMonths,(totalMonths-M165)/totalMonths *(J165-J164)+P164,0))</f>
        <v>417300</v>
      </c>
      <c r="Q165">
        <f>IF(AND(MyRowHidden(ROW())=FALSE,MyRowHidden(ROW()-1)=TRUE),0,IF(M165&lt;totalMonths,(totalMonths-M165)/totalMonths *(K165-K164)+Q164,0))</f>
        <v>-417300</v>
      </c>
      <c r="R165">
        <f t="shared" si="16"/>
        <v>348490</v>
      </c>
      <c r="S165">
        <f t="shared" si="17"/>
        <v>387468.33333333337</v>
      </c>
    </row>
    <row r="166" spans="1:19" hidden="1" x14ac:dyDescent="0.25">
      <c r="A166" s="1"/>
      <c r="C166" s="1"/>
      <c r="D166" s="1">
        <v>41498</v>
      </c>
      <c r="E166">
        <v>21489</v>
      </c>
      <c r="F166" s="1">
        <v>41498</v>
      </c>
      <c r="G166">
        <v>2875</v>
      </c>
      <c r="H166" s="1">
        <f t="shared" si="12"/>
        <v>41498</v>
      </c>
      <c r="I166">
        <f>IF(AND(MyRowHidden(ROW())=FALSE,MyRowHidden(ROW()-1)=TRUE),0,(E166-E165)*unitsOfDHp+I165)</f>
        <v>-42350</v>
      </c>
      <c r="J166">
        <f>IF(AND(MyRowHidden(ROW())=FALSE,MyRowHidden(ROW()-1)=TRUE),0,(G166-G165)*unitsOfExo+J165)</f>
        <v>280800</v>
      </c>
      <c r="K166" s="9">
        <f t="shared" si="13"/>
        <v>-280800</v>
      </c>
      <c r="L166">
        <f t="shared" si="14"/>
        <v>238450</v>
      </c>
      <c r="M166">
        <f>IF(AND(MyRowHidden(ROW())=FALSE,MyRowHidden(ROW()-1)=TRUE),0,IF(MONTH(H166)&lt;&gt;MONTH(H165),M165+1,M165))</f>
        <v>7</v>
      </c>
      <c r="N166">
        <f t="shared" si="15"/>
        <v>-42350</v>
      </c>
      <c r="O166">
        <f>IF(AND(MyRowHidden(ROW())=FALSE,MyRowHidden(ROW()-1)=TRUE),0,IF(M166&lt;totalMonths,(totalMonths-M166)/totalMonths *(I166-I165)+O165,0))</f>
        <v>-18806.666666666631</v>
      </c>
      <c r="P166">
        <f>IF(AND(MyRowHidden(ROW())=FALSE,MyRowHidden(ROW()-1)=TRUE),0,IF(M166&lt;totalMonths,(totalMonths-M166)/totalMonths *(J166-J165)+P165,0))</f>
        <v>454800</v>
      </c>
      <c r="Q166">
        <f>IF(AND(MyRowHidden(ROW())=FALSE,MyRowHidden(ROW()-1)=TRUE),0,IF(M166&lt;totalMonths,(totalMonths-M166)/totalMonths *(K166-K165)+Q165,0))</f>
        <v>-454800</v>
      </c>
      <c r="R166">
        <f t="shared" si="16"/>
        <v>412450</v>
      </c>
      <c r="S166">
        <f t="shared" si="17"/>
        <v>435993.33333333337</v>
      </c>
    </row>
    <row r="167" spans="1:19" hidden="1" x14ac:dyDescent="0.25">
      <c r="A167" s="1"/>
      <c r="C167" s="1"/>
      <c r="D167" s="1">
        <v>41499</v>
      </c>
      <c r="E167">
        <v>20151</v>
      </c>
      <c r="F167" s="1">
        <v>41499</v>
      </c>
      <c r="G167">
        <v>2112.5</v>
      </c>
      <c r="H167" s="1">
        <f t="shared" si="12"/>
        <v>41499</v>
      </c>
      <c r="I167">
        <f>IF(AND(MyRowHidden(ROW())=FALSE,MyRowHidden(ROW()-1)=TRUE),0,(E167-E166)*unitsOfDHp+I166)</f>
        <v>-89180</v>
      </c>
      <c r="J167">
        <f>IF(AND(MyRowHidden(ROW())=FALSE,MyRowHidden(ROW()-1)=TRUE),0,(G167-G166)*unitsOfExo+J166)</f>
        <v>61200</v>
      </c>
      <c r="K167" s="9">
        <f t="shared" si="13"/>
        <v>-61200</v>
      </c>
      <c r="L167">
        <f t="shared" si="14"/>
        <v>-27980</v>
      </c>
      <c r="M167">
        <f>IF(AND(MyRowHidden(ROW())=FALSE,MyRowHidden(ROW()-1)=TRUE),0,IF(MONTH(H167)&lt;&gt;MONTH(H166),M166+1,M166))</f>
        <v>7</v>
      </c>
      <c r="N167">
        <f t="shared" si="15"/>
        <v>-89180</v>
      </c>
      <c r="O167">
        <f>IF(AND(MyRowHidden(ROW())=FALSE,MyRowHidden(ROW()-1)=TRUE),0,IF(M167&lt;totalMonths,(totalMonths-M167)/totalMonths *(I167-I166)+O166,0))</f>
        <v>-38319.166666666628</v>
      </c>
      <c r="P167">
        <f>IF(AND(MyRowHidden(ROW())=FALSE,MyRowHidden(ROW()-1)=TRUE),0,IF(M167&lt;totalMonths,(totalMonths-M167)/totalMonths *(J167-J166)+P166,0))</f>
        <v>363300</v>
      </c>
      <c r="Q167">
        <f>IF(AND(MyRowHidden(ROW())=FALSE,MyRowHidden(ROW()-1)=TRUE),0,IF(M167&lt;totalMonths,(totalMonths-M167)/totalMonths *(K167-K166)+Q166,0))</f>
        <v>-363300</v>
      </c>
      <c r="R167">
        <f t="shared" si="16"/>
        <v>274120</v>
      </c>
      <c r="S167">
        <f t="shared" si="17"/>
        <v>324980.83333333337</v>
      </c>
    </row>
    <row r="168" spans="1:19" hidden="1" x14ac:dyDescent="0.25">
      <c r="A168" s="1"/>
      <c r="C168" s="1"/>
      <c r="D168" s="1">
        <v>41500</v>
      </c>
      <c r="E168">
        <v>20288</v>
      </c>
      <c r="F168" s="1">
        <v>41500</v>
      </c>
      <c r="G168">
        <v>2300</v>
      </c>
      <c r="H168" s="1">
        <f t="shared" si="12"/>
        <v>41500</v>
      </c>
      <c r="I168">
        <f>IF(AND(MyRowHidden(ROW())=FALSE,MyRowHidden(ROW()-1)=TRUE),0,(E168-E167)*unitsOfDHp+I167)</f>
        <v>-84385</v>
      </c>
      <c r="J168">
        <f>IF(AND(MyRowHidden(ROW())=FALSE,MyRowHidden(ROW()-1)=TRUE),0,(G168-G167)*unitsOfExo+J167)</f>
        <v>115200</v>
      </c>
      <c r="K168" s="9">
        <f t="shared" si="13"/>
        <v>-115200</v>
      </c>
      <c r="L168">
        <f t="shared" si="14"/>
        <v>30815</v>
      </c>
      <c r="M168">
        <f>IF(AND(MyRowHidden(ROW())=FALSE,MyRowHidden(ROW()-1)=TRUE),0,IF(MONTH(H168)&lt;&gt;MONTH(H167),M167+1,M167))</f>
        <v>7</v>
      </c>
      <c r="N168">
        <f t="shared" si="15"/>
        <v>-84385</v>
      </c>
      <c r="O168">
        <f>IF(AND(MyRowHidden(ROW())=FALSE,MyRowHidden(ROW()-1)=TRUE),0,IF(M168&lt;totalMonths,(totalMonths-M168)/totalMonths *(I168-I167)+O167,0))</f>
        <v>-36321.249999999964</v>
      </c>
      <c r="P168">
        <f>IF(AND(MyRowHidden(ROW())=FALSE,MyRowHidden(ROW()-1)=TRUE),0,IF(M168&lt;totalMonths,(totalMonths-M168)/totalMonths *(J168-J167)+P167,0))</f>
        <v>385800</v>
      </c>
      <c r="Q168">
        <f>IF(AND(MyRowHidden(ROW())=FALSE,MyRowHidden(ROW()-1)=TRUE),0,IF(M168&lt;totalMonths,(totalMonths-M168)/totalMonths *(K168-K167)+Q167,0))</f>
        <v>-385800</v>
      </c>
      <c r="R168">
        <f t="shared" si="16"/>
        <v>301415</v>
      </c>
      <c r="S168">
        <f t="shared" si="17"/>
        <v>349478.75000000006</v>
      </c>
    </row>
    <row r="169" spans="1:19" hidden="1" x14ac:dyDescent="0.25">
      <c r="A169" s="1"/>
      <c r="C169" s="1"/>
      <c r="D169" s="1">
        <v>41501</v>
      </c>
      <c r="E169">
        <v>22342</v>
      </c>
      <c r="F169" s="1">
        <v>41501</v>
      </c>
      <c r="G169">
        <v>3112.5</v>
      </c>
      <c r="H169" s="1">
        <f t="shared" si="12"/>
        <v>41501</v>
      </c>
      <c r="I169">
        <f>IF(AND(MyRowHidden(ROW())=FALSE,MyRowHidden(ROW()-1)=TRUE),0,(E169-E168)*unitsOfDHp+I168)</f>
        <v>-12495</v>
      </c>
      <c r="J169">
        <f>IF(AND(MyRowHidden(ROW())=FALSE,MyRowHidden(ROW()-1)=TRUE),0,(G169-G168)*unitsOfExo+J168)</f>
        <v>349200</v>
      </c>
      <c r="K169" s="9">
        <f t="shared" si="13"/>
        <v>-349200</v>
      </c>
      <c r="L169">
        <f t="shared" si="14"/>
        <v>336705</v>
      </c>
      <c r="M169">
        <f>IF(AND(MyRowHidden(ROW())=FALSE,MyRowHidden(ROW()-1)=TRUE),0,IF(MONTH(H169)&lt;&gt;MONTH(H168),M168+1,M168))</f>
        <v>7</v>
      </c>
      <c r="N169">
        <f t="shared" si="15"/>
        <v>-12495</v>
      </c>
      <c r="O169">
        <f>IF(AND(MyRowHidden(ROW())=FALSE,MyRowHidden(ROW()-1)=TRUE),0,IF(M169&lt;totalMonths,(totalMonths-M169)/totalMonths *(I169-I168)+O168,0))</f>
        <v>-6367.0833333332957</v>
      </c>
      <c r="P169">
        <f>IF(AND(MyRowHidden(ROW())=FALSE,MyRowHidden(ROW()-1)=TRUE),0,IF(M169&lt;totalMonths,(totalMonths-M169)/totalMonths *(J169-J168)+P168,0))</f>
        <v>483300</v>
      </c>
      <c r="Q169">
        <f>IF(AND(MyRowHidden(ROW())=FALSE,MyRowHidden(ROW()-1)=TRUE),0,IF(M169&lt;totalMonths,(totalMonths-M169)/totalMonths *(K169-K168)+Q168,0))</f>
        <v>-483300</v>
      </c>
      <c r="R169">
        <f t="shared" si="16"/>
        <v>470805</v>
      </c>
      <c r="S169">
        <f t="shared" si="17"/>
        <v>476932.91666666669</v>
      </c>
    </row>
    <row r="170" spans="1:19" hidden="1" x14ac:dyDescent="0.25">
      <c r="A170" s="1"/>
      <c r="C170" s="1"/>
      <c r="D170" s="1">
        <v>41502</v>
      </c>
      <c r="E170">
        <v>21960</v>
      </c>
      <c r="F170" s="1">
        <v>41502</v>
      </c>
      <c r="G170">
        <v>2850</v>
      </c>
      <c r="H170" s="1">
        <f t="shared" si="12"/>
        <v>41502</v>
      </c>
      <c r="I170">
        <f>IF(AND(MyRowHidden(ROW())=FALSE,MyRowHidden(ROW()-1)=TRUE),0,(E170-E169)*unitsOfDHp+I169)</f>
        <v>-25865</v>
      </c>
      <c r="J170">
        <f>IF(AND(MyRowHidden(ROW())=FALSE,MyRowHidden(ROW()-1)=TRUE),0,(G170-G169)*unitsOfExo+J169)</f>
        <v>273600</v>
      </c>
      <c r="K170" s="9">
        <f t="shared" si="13"/>
        <v>-273600</v>
      </c>
      <c r="L170">
        <f t="shared" si="14"/>
        <v>247735</v>
      </c>
      <c r="M170">
        <f>IF(AND(MyRowHidden(ROW())=FALSE,MyRowHidden(ROW()-1)=TRUE),0,IF(MONTH(H170)&lt;&gt;MONTH(H169),M169+1,M169))</f>
        <v>7</v>
      </c>
      <c r="N170">
        <f t="shared" si="15"/>
        <v>-25865</v>
      </c>
      <c r="O170">
        <f>IF(AND(MyRowHidden(ROW())=FALSE,MyRowHidden(ROW()-1)=TRUE),0,IF(M170&lt;totalMonths,(totalMonths-M170)/totalMonths *(I170-I169)+O169,0))</f>
        <v>-11937.91666666663</v>
      </c>
      <c r="P170">
        <f>IF(AND(MyRowHidden(ROW())=FALSE,MyRowHidden(ROW()-1)=TRUE),0,IF(M170&lt;totalMonths,(totalMonths-M170)/totalMonths *(J170-J169)+P169,0))</f>
        <v>451800</v>
      </c>
      <c r="Q170">
        <f>IF(AND(MyRowHidden(ROW())=FALSE,MyRowHidden(ROW()-1)=TRUE),0,IF(M170&lt;totalMonths,(totalMonths-M170)/totalMonths *(K170-K169)+Q169,0))</f>
        <v>-451800</v>
      </c>
      <c r="R170">
        <f t="shared" si="16"/>
        <v>425935</v>
      </c>
      <c r="S170">
        <f t="shared" si="17"/>
        <v>439862.08333333337</v>
      </c>
    </row>
    <row r="171" spans="1:19" hidden="1" x14ac:dyDescent="0.25">
      <c r="A171" s="1"/>
      <c r="C171" s="1"/>
      <c r="D171" s="1">
        <v>41505</v>
      </c>
      <c r="E171">
        <v>23374</v>
      </c>
      <c r="F171" s="1">
        <v>41505</v>
      </c>
      <c r="G171">
        <v>3650</v>
      </c>
      <c r="H171" s="1">
        <f t="shared" si="12"/>
        <v>41505</v>
      </c>
      <c r="I171">
        <f>IF(AND(MyRowHidden(ROW())=FALSE,MyRowHidden(ROW()-1)=TRUE),0,(E171-E170)*unitsOfDHp+I170)</f>
        <v>23625</v>
      </c>
      <c r="J171">
        <f>IF(AND(MyRowHidden(ROW())=FALSE,MyRowHidden(ROW()-1)=TRUE),0,(G171-G170)*unitsOfExo+J170)</f>
        <v>504000</v>
      </c>
      <c r="K171" s="9">
        <f t="shared" si="13"/>
        <v>-504000</v>
      </c>
      <c r="L171">
        <f t="shared" si="14"/>
        <v>527625</v>
      </c>
      <c r="M171">
        <f>IF(AND(MyRowHidden(ROW())=FALSE,MyRowHidden(ROW()-1)=TRUE),0,IF(MONTH(H171)&lt;&gt;MONTH(H170),M170+1,M170))</f>
        <v>7</v>
      </c>
      <c r="N171">
        <f t="shared" si="15"/>
        <v>23625</v>
      </c>
      <c r="O171">
        <f>IF(AND(MyRowHidden(ROW())=FALSE,MyRowHidden(ROW()-1)=TRUE),0,IF(M171&lt;totalMonths,(totalMonths-M171)/totalMonths *(I171-I170)+O170,0))</f>
        <v>8682.9166666667061</v>
      </c>
      <c r="P171">
        <f>IF(AND(MyRowHidden(ROW())=FALSE,MyRowHidden(ROW()-1)=TRUE),0,IF(M171&lt;totalMonths,(totalMonths-M171)/totalMonths *(J171-J170)+P170,0))</f>
        <v>547800</v>
      </c>
      <c r="Q171">
        <f>IF(AND(MyRowHidden(ROW())=FALSE,MyRowHidden(ROW()-1)=TRUE),0,IF(M171&lt;totalMonths,(totalMonths-M171)/totalMonths *(K171-K170)+Q170,0))</f>
        <v>-547800</v>
      </c>
      <c r="R171">
        <f t="shared" si="16"/>
        <v>571425</v>
      </c>
      <c r="S171">
        <f t="shared" si="17"/>
        <v>556482.91666666674</v>
      </c>
    </row>
    <row r="172" spans="1:19" hidden="1" x14ac:dyDescent="0.25">
      <c r="A172" s="1"/>
      <c r="C172" s="1"/>
      <c r="D172" s="1">
        <v>41506</v>
      </c>
      <c r="E172">
        <v>23192</v>
      </c>
      <c r="F172" s="1">
        <v>41506</v>
      </c>
      <c r="G172">
        <v>3500</v>
      </c>
      <c r="H172" s="1">
        <f t="shared" si="12"/>
        <v>41506</v>
      </c>
      <c r="I172">
        <f>IF(AND(MyRowHidden(ROW())=FALSE,MyRowHidden(ROW()-1)=TRUE),0,(E172-E171)*unitsOfDHp+I171)</f>
        <v>17255</v>
      </c>
      <c r="J172">
        <f>IF(AND(MyRowHidden(ROW())=FALSE,MyRowHidden(ROW()-1)=TRUE),0,(G172-G171)*unitsOfExo+J171)</f>
        <v>460800</v>
      </c>
      <c r="K172" s="9">
        <f t="shared" si="13"/>
        <v>-460800</v>
      </c>
      <c r="L172">
        <f t="shared" si="14"/>
        <v>478055</v>
      </c>
      <c r="M172">
        <f>IF(AND(MyRowHidden(ROW())=FALSE,MyRowHidden(ROW()-1)=TRUE),0,IF(MONTH(H172)&lt;&gt;MONTH(H171),M171+1,M171))</f>
        <v>7</v>
      </c>
      <c r="N172">
        <f t="shared" si="15"/>
        <v>17255</v>
      </c>
      <c r="O172">
        <f>IF(AND(MyRowHidden(ROW())=FALSE,MyRowHidden(ROW()-1)=TRUE),0,IF(M172&lt;totalMonths,(totalMonths-M172)/totalMonths *(I172-I171)+O171,0))</f>
        <v>6028.7500000000391</v>
      </c>
      <c r="P172">
        <f>IF(AND(MyRowHidden(ROW())=FALSE,MyRowHidden(ROW()-1)=TRUE),0,IF(M172&lt;totalMonths,(totalMonths-M172)/totalMonths *(J172-J171)+P171,0))</f>
        <v>529800</v>
      </c>
      <c r="Q172">
        <f>IF(AND(MyRowHidden(ROW())=FALSE,MyRowHidden(ROW()-1)=TRUE),0,IF(M172&lt;totalMonths,(totalMonths-M172)/totalMonths *(K172-K171)+Q171,0))</f>
        <v>-529800</v>
      </c>
      <c r="R172">
        <f t="shared" si="16"/>
        <v>547055</v>
      </c>
      <c r="S172">
        <f t="shared" si="17"/>
        <v>535828.75</v>
      </c>
    </row>
    <row r="173" spans="1:19" hidden="1" x14ac:dyDescent="0.25">
      <c r="A173" s="1"/>
      <c r="C173" s="1"/>
      <c r="D173" s="1">
        <v>41507</v>
      </c>
      <c r="E173">
        <v>23855</v>
      </c>
      <c r="F173" s="1">
        <v>41507</v>
      </c>
      <c r="G173">
        <v>4112.5</v>
      </c>
      <c r="H173" s="1">
        <f t="shared" si="12"/>
        <v>41507</v>
      </c>
      <c r="I173">
        <f>IF(AND(MyRowHidden(ROW())=FALSE,MyRowHidden(ROW()-1)=TRUE),0,(E173-E172)*unitsOfDHp+I172)</f>
        <v>40460</v>
      </c>
      <c r="J173">
        <f>IF(AND(MyRowHidden(ROW())=FALSE,MyRowHidden(ROW()-1)=TRUE),0,(G173-G172)*unitsOfExo+J172)</f>
        <v>637200</v>
      </c>
      <c r="K173" s="9">
        <f t="shared" si="13"/>
        <v>-637200</v>
      </c>
      <c r="L173">
        <f t="shared" si="14"/>
        <v>677660</v>
      </c>
      <c r="M173">
        <f>IF(AND(MyRowHidden(ROW())=FALSE,MyRowHidden(ROW()-1)=TRUE),0,IF(MONTH(H173)&lt;&gt;MONTH(H172),M172+1,M172))</f>
        <v>7</v>
      </c>
      <c r="N173">
        <f t="shared" si="15"/>
        <v>40460</v>
      </c>
      <c r="O173">
        <f>IF(AND(MyRowHidden(ROW())=FALSE,MyRowHidden(ROW()-1)=TRUE),0,IF(M173&lt;totalMonths,(totalMonths-M173)/totalMonths *(I173-I172)+O172,0))</f>
        <v>15697.50000000004</v>
      </c>
      <c r="P173">
        <f>IF(AND(MyRowHidden(ROW())=FALSE,MyRowHidden(ROW()-1)=TRUE),0,IF(M173&lt;totalMonths,(totalMonths-M173)/totalMonths *(J173-J172)+P172,0))</f>
        <v>603300</v>
      </c>
      <c r="Q173">
        <f>IF(AND(MyRowHidden(ROW())=FALSE,MyRowHidden(ROW()-1)=TRUE),0,IF(M173&lt;totalMonths,(totalMonths-M173)/totalMonths *(K173-K172)+Q172,0))</f>
        <v>-603300</v>
      </c>
      <c r="R173">
        <f t="shared" si="16"/>
        <v>643760</v>
      </c>
      <c r="S173">
        <f t="shared" si="17"/>
        <v>618997.5</v>
      </c>
    </row>
    <row r="174" spans="1:19" hidden="1" x14ac:dyDescent="0.25">
      <c r="A174" s="1"/>
      <c r="C174" s="1"/>
      <c r="D174" s="1">
        <v>41508</v>
      </c>
      <c r="E174">
        <v>23313</v>
      </c>
      <c r="F174" s="1">
        <v>41508</v>
      </c>
      <c r="G174">
        <v>3712.5</v>
      </c>
      <c r="H174" s="1">
        <f t="shared" si="12"/>
        <v>41508</v>
      </c>
      <c r="I174">
        <f>IF(AND(MyRowHidden(ROW())=FALSE,MyRowHidden(ROW()-1)=TRUE),0,(E174-E173)*unitsOfDHp+I173)</f>
        <v>21490</v>
      </c>
      <c r="J174">
        <f>IF(AND(MyRowHidden(ROW())=FALSE,MyRowHidden(ROW()-1)=TRUE),0,(G174-G173)*unitsOfExo+J173)</f>
        <v>522000</v>
      </c>
      <c r="K174" s="9">
        <f t="shared" si="13"/>
        <v>-522000</v>
      </c>
      <c r="L174">
        <f t="shared" si="14"/>
        <v>543490</v>
      </c>
      <c r="M174">
        <f>IF(AND(MyRowHidden(ROW())=FALSE,MyRowHidden(ROW()-1)=TRUE),0,IF(MONTH(H174)&lt;&gt;MONTH(H173),M173+1,M173))</f>
        <v>7</v>
      </c>
      <c r="N174">
        <f t="shared" si="15"/>
        <v>21490</v>
      </c>
      <c r="O174">
        <f>IF(AND(MyRowHidden(ROW())=FALSE,MyRowHidden(ROW()-1)=TRUE),0,IF(M174&lt;totalMonths,(totalMonths-M174)/totalMonths *(I174-I173)+O173,0))</f>
        <v>7793.333333333373</v>
      </c>
      <c r="P174">
        <f>IF(AND(MyRowHidden(ROW())=FALSE,MyRowHidden(ROW()-1)=TRUE),0,IF(M174&lt;totalMonths,(totalMonths-M174)/totalMonths *(J174-J173)+P173,0))</f>
        <v>555300</v>
      </c>
      <c r="Q174">
        <f>IF(AND(MyRowHidden(ROW())=FALSE,MyRowHidden(ROW()-1)=TRUE),0,IF(M174&lt;totalMonths,(totalMonths-M174)/totalMonths *(K174-K173)+Q173,0))</f>
        <v>-555300</v>
      </c>
      <c r="R174">
        <f t="shared" si="16"/>
        <v>576790</v>
      </c>
      <c r="S174">
        <f t="shared" si="17"/>
        <v>563093.33333333337</v>
      </c>
    </row>
    <row r="175" spans="1:19" hidden="1" x14ac:dyDescent="0.25">
      <c r="A175" s="1"/>
      <c r="C175" s="1"/>
      <c r="D175" s="1">
        <v>41509</v>
      </c>
      <c r="E175">
        <v>23686</v>
      </c>
      <c r="F175" s="1">
        <v>41509</v>
      </c>
      <c r="G175">
        <v>4075</v>
      </c>
      <c r="H175" s="1">
        <f t="shared" si="12"/>
        <v>41509</v>
      </c>
      <c r="I175">
        <f>IF(AND(MyRowHidden(ROW())=FALSE,MyRowHidden(ROW()-1)=TRUE),0,(E175-E174)*unitsOfDHp+I174)</f>
        <v>34545</v>
      </c>
      <c r="J175">
        <f>IF(AND(MyRowHidden(ROW())=FALSE,MyRowHidden(ROW()-1)=TRUE),0,(G175-G174)*unitsOfExo+J174)</f>
        <v>626400</v>
      </c>
      <c r="K175" s="9">
        <f t="shared" si="13"/>
        <v>-626400</v>
      </c>
      <c r="L175">
        <f t="shared" si="14"/>
        <v>660945</v>
      </c>
      <c r="M175">
        <f>IF(AND(MyRowHidden(ROW())=FALSE,MyRowHidden(ROW()-1)=TRUE),0,IF(MONTH(H175)&lt;&gt;MONTH(H174),M174+1,M174))</f>
        <v>7</v>
      </c>
      <c r="N175">
        <f t="shared" si="15"/>
        <v>34545</v>
      </c>
      <c r="O175">
        <f>IF(AND(MyRowHidden(ROW())=FALSE,MyRowHidden(ROW()-1)=TRUE),0,IF(M175&lt;totalMonths,(totalMonths-M175)/totalMonths *(I175-I174)+O174,0))</f>
        <v>13232.916666666708</v>
      </c>
      <c r="P175">
        <f>IF(AND(MyRowHidden(ROW())=FALSE,MyRowHidden(ROW()-1)=TRUE),0,IF(M175&lt;totalMonths,(totalMonths-M175)/totalMonths *(J175-J174)+P174,0))</f>
        <v>598800</v>
      </c>
      <c r="Q175">
        <f>IF(AND(MyRowHidden(ROW())=FALSE,MyRowHidden(ROW()-1)=TRUE),0,IF(M175&lt;totalMonths,(totalMonths-M175)/totalMonths *(K175-K174)+Q174,0))</f>
        <v>-598800</v>
      </c>
      <c r="R175">
        <f t="shared" si="16"/>
        <v>633345</v>
      </c>
      <c r="S175">
        <f t="shared" si="17"/>
        <v>612032.91666666674</v>
      </c>
    </row>
    <row r="176" spans="1:19" hidden="1" x14ac:dyDescent="0.25">
      <c r="A176" s="1"/>
      <c r="C176" s="1"/>
      <c r="D176" s="1">
        <v>41512</v>
      </c>
      <c r="E176">
        <v>27555</v>
      </c>
      <c r="F176" s="1">
        <v>41512</v>
      </c>
      <c r="G176">
        <v>5237.5</v>
      </c>
      <c r="H176" s="1">
        <f t="shared" si="12"/>
        <v>41512</v>
      </c>
      <c r="I176">
        <f>IF(AND(MyRowHidden(ROW())=FALSE,MyRowHidden(ROW()-1)=TRUE),0,(E176-E175)*unitsOfDHp+I175)</f>
        <v>169960</v>
      </c>
      <c r="J176">
        <f>IF(AND(MyRowHidden(ROW())=FALSE,MyRowHidden(ROW()-1)=TRUE),0,(G176-G175)*unitsOfExo+J175)</f>
        <v>961200</v>
      </c>
      <c r="K176" s="9">
        <f t="shared" si="13"/>
        <v>-961200</v>
      </c>
      <c r="L176">
        <f t="shared" si="14"/>
        <v>1131160</v>
      </c>
      <c r="M176">
        <f>IF(AND(MyRowHidden(ROW())=FALSE,MyRowHidden(ROW()-1)=TRUE),0,IF(MONTH(H176)&lt;&gt;MONTH(H175),M175+1,M175))</f>
        <v>7</v>
      </c>
      <c r="N176">
        <f t="shared" si="15"/>
        <v>169960</v>
      </c>
      <c r="O176">
        <f>IF(AND(MyRowHidden(ROW())=FALSE,MyRowHidden(ROW()-1)=TRUE),0,IF(M176&lt;totalMonths,(totalMonths-M176)/totalMonths *(I176-I175)+O175,0))</f>
        <v>69655.833333333372</v>
      </c>
      <c r="P176">
        <f>IF(AND(MyRowHidden(ROW())=FALSE,MyRowHidden(ROW()-1)=TRUE),0,IF(M176&lt;totalMonths,(totalMonths-M176)/totalMonths *(J176-J175)+P175,0))</f>
        <v>738300</v>
      </c>
      <c r="Q176">
        <f>IF(AND(MyRowHidden(ROW())=FALSE,MyRowHidden(ROW()-1)=TRUE),0,IF(M176&lt;totalMonths,(totalMonths-M176)/totalMonths *(K176-K175)+Q175,0))</f>
        <v>-738300</v>
      </c>
      <c r="R176">
        <f t="shared" si="16"/>
        <v>908260</v>
      </c>
      <c r="S176">
        <f t="shared" si="17"/>
        <v>807955.83333333337</v>
      </c>
    </row>
    <row r="177" spans="1:19" hidden="1" x14ac:dyDescent="0.25">
      <c r="A177" s="1"/>
      <c r="C177" s="1"/>
      <c r="D177" s="1">
        <v>41513</v>
      </c>
      <c r="E177">
        <v>27214</v>
      </c>
      <c r="F177" s="1">
        <v>41513</v>
      </c>
      <c r="G177">
        <v>4412.5</v>
      </c>
      <c r="H177" s="1">
        <f t="shared" si="12"/>
        <v>41513</v>
      </c>
      <c r="I177">
        <f>IF(AND(MyRowHidden(ROW())=FALSE,MyRowHidden(ROW()-1)=TRUE),0,(E177-E176)*unitsOfDHp+I176)</f>
        <v>158025</v>
      </c>
      <c r="J177">
        <f>IF(AND(MyRowHidden(ROW())=FALSE,MyRowHidden(ROW()-1)=TRUE),0,(G177-G176)*unitsOfExo+J176)</f>
        <v>723600</v>
      </c>
      <c r="K177" s="9">
        <f t="shared" si="13"/>
        <v>-723600</v>
      </c>
      <c r="L177">
        <f t="shared" si="14"/>
        <v>881625</v>
      </c>
      <c r="M177">
        <f>IF(AND(MyRowHidden(ROW())=FALSE,MyRowHidden(ROW()-1)=TRUE),0,IF(MONTH(H177)&lt;&gt;MONTH(H176),M176+1,M176))</f>
        <v>7</v>
      </c>
      <c r="N177">
        <f t="shared" si="15"/>
        <v>158025</v>
      </c>
      <c r="O177">
        <f>IF(AND(MyRowHidden(ROW())=FALSE,MyRowHidden(ROW()-1)=TRUE),0,IF(M177&lt;totalMonths,(totalMonths-M177)/totalMonths *(I177-I176)+O176,0))</f>
        <v>64682.916666666708</v>
      </c>
      <c r="P177">
        <f>IF(AND(MyRowHidden(ROW())=FALSE,MyRowHidden(ROW()-1)=TRUE),0,IF(M177&lt;totalMonths,(totalMonths-M177)/totalMonths *(J177-J176)+P176,0))</f>
        <v>639300</v>
      </c>
      <c r="Q177">
        <f>IF(AND(MyRowHidden(ROW())=FALSE,MyRowHidden(ROW()-1)=TRUE),0,IF(M177&lt;totalMonths,(totalMonths-M177)/totalMonths *(K177-K176)+Q176,0))</f>
        <v>-639300</v>
      </c>
      <c r="R177">
        <f t="shared" si="16"/>
        <v>797325</v>
      </c>
      <c r="S177">
        <f t="shared" si="17"/>
        <v>703982.91666666674</v>
      </c>
    </row>
    <row r="178" spans="1:19" hidden="1" x14ac:dyDescent="0.25">
      <c r="A178" s="1"/>
      <c r="C178" s="1"/>
      <c r="D178" s="1">
        <v>41514</v>
      </c>
      <c r="E178">
        <v>27198</v>
      </c>
      <c r="F178" s="1">
        <v>41514</v>
      </c>
      <c r="G178">
        <v>4262.5</v>
      </c>
      <c r="H178" s="1">
        <f t="shared" si="12"/>
        <v>41514</v>
      </c>
      <c r="I178">
        <f>IF(AND(MyRowHidden(ROW())=FALSE,MyRowHidden(ROW()-1)=TRUE),0,(E178-E177)*unitsOfDHp+I177)</f>
        <v>157465</v>
      </c>
      <c r="J178">
        <f>IF(AND(MyRowHidden(ROW())=FALSE,MyRowHidden(ROW()-1)=TRUE),0,(G178-G177)*unitsOfExo+J177)</f>
        <v>680400</v>
      </c>
      <c r="K178" s="9">
        <f t="shared" si="13"/>
        <v>-680400</v>
      </c>
      <c r="L178">
        <f t="shared" si="14"/>
        <v>837865</v>
      </c>
      <c r="M178">
        <f>IF(AND(MyRowHidden(ROW())=FALSE,MyRowHidden(ROW()-1)=TRUE),0,IF(MONTH(H178)&lt;&gt;MONTH(H177),M177+1,M177))</f>
        <v>7</v>
      </c>
      <c r="N178">
        <f t="shared" si="15"/>
        <v>157465</v>
      </c>
      <c r="O178">
        <f>IF(AND(MyRowHidden(ROW())=FALSE,MyRowHidden(ROW()-1)=TRUE),0,IF(M178&lt;totalMonths,(totalMonths-M178)/totalMonths *(I178-I177)+O177,0))</f>
        <v>64449.583333333372</v>
      </c>
      <c r="P178">
        <f>IF(AND(MyRowHidden(ROW())=FALSE,MyRowHidden(ROW()-1)=TRUE),0,IF(M178&lt;totalMonths,(totalMonths-M178)/totalMonths *(J178-J177)+P177,0))</f>
        <v>621300</v>
      </c>
      <c r="Q178">
        <f>IF(AND(MyRowHidden(ROW())=FALSE,MyRowHidden(ROW()-1)=TRUE),0,IF(M178&lt;totalMonths,(totalMonths-M178)/totalMonths *(K178-K177)+Q177,0))</f>
        <v>-621300</v>
      </c>
      <c r="R178">
        <f t="shared" si="16"/>
        <v>778765</v>
      </c>
      <c r="S178">
        <f t="shared" si="17"/>
        <v>685749.58333333337</v>
      </c>
    </row>
    <row r="179" spans="1:19" hidden="1" x14ac:dyDescent="0.25">
      <c r="A179" s="1"/>
      <c r="C179" s="1"/>
      <c r="D179" s="1">
        <v>41515</v>
      </c>
      <c r="E179">
        <v>27279</v>
      </c>
      <c r="F179" s="1">
        <v>41515</v>
      </c>
      <c r="G179">
        <v>4175</v>
      </c>
      <c r="H179" s="1">
        <f t="shared" si="12"/>
        <v>41515</v>
      </c>
      <c r="I179">
        <f>IF(AND(MyRowHidden(ROW())=FALSE,MyRowHidden(ROW()-1)=TRUE),0,(E179-E178)*unitsOfDHp+I178)</f>
        <v>160300</v>
      </c>
      <c r="J179">
        <f>IF(AND(MyRowHidden(ROW())=FALSE,MyRowHidden(ROW()-1)=TRUE),0,(G179-G178)*unitsOfExo+J178)</f>
        <v>655200</v>
      </c>
      <c r="K179" s="9">
        <f t="shared" si="13"/>
        <v>-655200</v>
      </c>
      <c r="L179">
        <f t="shared" si="14"/>
        <v>815500</v>
      </c>
      <c r="M179">
        <f>IF(AND(MyRowHidden(ROW())=FALSE,MyRowHidden(ROW()-1)=TRUE),0,IF(MONTH(H179)&lt;&gt;MONTH(H178),M178+1,M178))</f>
        <v>7</v>
      </c>
      <c r="N179">
        <f t="shared" si="15"/>
        <v>160300</v>
      </c>
      <c r="O179">
        <f>IF(AND(MyRowHidden(ROW())=FALSE,MyRowHidden(ROW()-1)=TRUE),0,IF(M179&lt;totalMonths,(totalMonths-M179)/totalMonths *(I179-I178)+O178,0))</f>
        <v>65630.833333333372</v>
      </c>
      <c r="P179">
        <f>IF(AND(MyRowHidden(ROW())=FALSE,MyRowHidden(ROW()-1)=TRUE),0,IF(M179&lt;totalMonths,(totalMonths-M179)/totalMonths *(J179-J178)+P178,0))</f>
        <v>610800</v>
      </c>
      <c r="Q179">
        <f>IF(AND(MyRowHidden(ROW())=FALSE,MyRowHidden(ROW()-1)=TRUE),0,IF(M179&lt;totalMonths,(totalMonths-M179)/totalMonths *(K179-K178)+Q178,0))</f>
        <v>-610800</v>
      </c>
      <c r="R179">
        <f t="shared" si="16"/>
        <v>771100</v>
      </c>
      <c r="S179">
        <f t="shared" si="17"/>
        <v>676430.83333333337</v>
      </c>
    </row>
    <row r="180" spans="1:19" hidden="1" x14ac:dyDescent="0.25">
      <c r="A180" s="1"/>
      <c r="C180" s="1"/>
      <c r="D180" s="1">
        <v>41516</v>
      </c>
      <c r="E180">
        <v>27271</v>
      </c>
      <c r="F180" s="1">
        <v>41516</v>
      </c>
      <c r="G180">
        <v>3625</v>
      </c>
      <c r="H180" s="1">
        <f t="shared" si="12"/>
        <v>41516</v>
      </c>
      <c r="I180">
        <f>IF(AND(MyRowHidden(ROW())=FALSE,MyRowHidden(ROW()-1)=TRUE),0,(E180-E179)*unitsOfDHp+I179)</f>
        <v>160020</v>
      </c>
      <c r="J180">
        <f>IF(AND(MyRowHidden(ROW())=FALSE,MyRowHidden(ROW()-1)=TRUE),0,(G180-G179)*unitsOfExo+J179)</f>
        <v>496800</v>
      </c>
      <c r="K180" s="9">
        <f t="shared" si="13"/>
        <v>-496800</v>
      </c>
      <c r="L180">
        <f t="shared" si="14"/>
        <v>656820</v>
      </c>
      <c r="M180">
        <f>IF(AND(MyRowHidden(ROW())=FALSE,MyRowHidden(ROW()-1)=TRUE),0,IF(MONTH(H180)&lt;&gt;MONTH(H179),M179+1,M179))</f>
        <v>7</v>
      </c>
      <c r="N180">
        <f t="shared" si="15"/>
        <v>160020</v>
      </c>
      <c r="O180">
        <f>IF(AND(MyRowHidden(ROW())=FALSE,MyRowHidden(ROW()-1)=TRUE),0,IF(M180&lt;totalMonths,(totalMonths-M180)/totalMonths *(I180-I179)+O179,0))</f>
        <v>65514.166666666708</v>
      </c>
      <c r="P180">
        <f>IF(AND(MyRowHidden(ROW())=FALSE,MyRowHidden(ROW()-1)=TRUE),0,IF(M180&lt;totalMonths,(totalMonths-M180)/totalMonths *(J180-J179)+P179,0))</f>
        <v>544800</v>
      </c>
      <c r="Q180">
        <f>IF(AND(MyRowHidden(ROW())=FALSE,MyRowHidden(ROW()-1)=TRUE),0,IF(M180&lt;totalMonths,(totalMonths-M180)/totalMonths *(K180-K179)+Q179,0))</f>
        <v>-544800</v>
      </c>
      <c r="R180">
        <f t="shared" si="16"/>
        <v>704820</v>
      </c>
      <c r="S180">
        <f t="shared" si="17"/>
        <v>610314.16666666674</v>
      </c>
    </row>
    <row r="181" spans="1:19" hidden="1" x14ac:dyDescent="0.25">
      <c r="A181" s="1"/>
      <c r="C181" s="1"/>
      <c r="D181" s="1">
        <v>41520</v>
      </c>
      <c r="E181">
        <v>26762</v>
      </c>
      <c r="F181" s="1">
        <v>41520</v>
      </c>
      <c r="G181">
        <v>3712.5</v>
      </c>
      <c r="H181" s="1">
        <f t="shared" si="12"/>
        <v>41520</v>
      </c>
      <c r="I181">
        <f>IF(AND(MyRowHidden(ROW())=FALSE,MyRowHidden(ROW()-1)=TRUE),0,(E181-E180)*unitsOfDHp+I180)</f>
        <v>142205</v>
      </c>
      <c r="J181">
        <f>IF(AND(MyRowHidden(ROW())=FALSE,MyRowHidden(ROW()-1)=TRUE),0,(G181-G180)*unitsOfExo+J180)</f>
        <v>522000</v>
      </c>
      <c r="K181" s="9">
        <f t="shared" si="13"/>
        <v>-522000</v>
      </c>
      <c r="L181">
        <f t="shared" si="14"/>
        <v>664205</v>
      </c>
      <c r="M181">
        <f>IF(AND(MyRowHidden(ROW())=FALSE,MyRowHidden(ROW()-1)=TRUE),0,IF(MONTH(H181)&lt;&gt;MONTH(H180),M180+1,M180))</f>
        <v>8</v>
      </c>
      <c r="N181">
        <f t="shared" si="15"/>
        <v>142205</v>
      </c>
      <c r="O181">
        <f>IF(AND(MyRowHidden(ROW())=FALSE,MyRowHidden(ROW()-1)=TRUE),0,IF(M181&lt;totalMonths,(totalMonths-M181)/totalMonths *(I181-I180)+O180,0))</f>
        <v>59575.833333333372</v>
      </c>
      <c r="P181">
        <f>IF(AND(MyRowHidden(ROW())=FALSE,MyRowHidden(ROW()-1)=TRUE),0,IF(M181&lt;totalMonths,(totalMonths-M181)/totalMonths *(J181-J180)+P180,0))</f>
        <v>553200</v>
      </c>
      <c r="Q181">
        <f>IF(AND(MyRowHidden(ROW())=FALSE,MyRowHidden(ROW()-1)=TRUE),0,IF(M181&lt;totalMonths,(totalMonths-M181)/totalMonths *(K181-K180)+Q180,0))</f>
        <v>-553200</v>
      </c>
      <c r="R181">
        <f t="shared" si="16"/>
        <v>695405</v>
      </c>
      <c r="S181">
        <f t="shared" si="17"/>
        <v>612775.83333333337</v>
      </c>
    </row>
    <row r="182" spans="1:19" hidden="1" x14ac:dyDescent="0.25">
      <c r="A182" s="1"/>
      <c r="C182" s="1"/>
      <c r="D182" s="1">
        <v>41521</v>
      </c>
      <c r="E182">
        <v>26642</v>
      </c>
      <c r="F182" s="1">
        <v>41521</v>
      </c>
      <c r="G182">
        <v>3937.5</v>
      </c>
      <c r="H182" s="1">
        <f t="shared" si="12"/>
        <v>41521</v>
      </c>
      <c r="I182">
        <f>IF(AND(MyRowHidden(ROW())=FALSE,MyRowHidden(ROW()-1)=TRUE),0,(E182-E181)*unitsOfDHp+I181)</f>
        <v>138005</v>
      </c>
      <c r="J182">
        <f>IF(AND(MyRowHidden(ROW())=FALSE,MyRowHidden(ROW()-1)=TRUE),0,(G182-G181)*unitsOfExo+J181)</f>
        <v>586800</v>
      </c>
      <c r="K182" s="9">
        <f t="shared" si="13"/>
        <v>-586800</v>
      </c>
      <c r="L182">
        <f t="shared" si="14"/>
        <v>724805</v>
      </c>
      <c r="M182">
        <f>IF(AND(MyRowHidden(ROW())=FALSE,MyRowHidden(ROW()-1)=TRUE),0,IF(MONTH(H182)&lt;&gt;MONTH(H181),M181+1,M181))</f>
        <v>8</v>
      </c>
      <c r="N182">
        <f t="shared" si="15"/>
        <v>138005</v>
      </c>
      <c r="O182">
        <f>IF(AND(MyRowHidden(ROW())=FALSE,MyRowHidden(ROW()-1)=TRUE),0,IF(M182&lt;totalMonths,(totalMonths-M182)/totalMonths *(I182-I181)+O181,0))</f>
        <v>58175.833333333372</v>
      </c>
      <c r="P182">
        <f>IF(AND(MyRowHidden(ROW())=FALSE,MyRowHidden(ROW()-1)=TRUE),0,IF(M182&lt;totalMonths,(totalMonths-M182)/totalMonths *(J182-J181)+P181,0))</f>
        <v>574800</v>
      </c>
      <c r="Q182">
        <f>IF(AND(MyRowHidden(ROW())=FALSE,MyRowHidden(ROW()-1)=TRUE),0,IF(M182&lt;totalMonths,(totalMonths-M182)/totalMonths *(K182-K181)+Q181,0))</f>
        <v>-574800</v>
      </c>
      <c r="R182">
        <f t="shared" si="16"/>
        <v>712805</v>
      </c>
      <c r="S182">
        <f t="shared" si="17"/>
        <v>632975.83333333337</v>
      </c>
    </row>
    <row r="183" spans="1:19" hidden="1" x14ac:dyDescent="0.25">
      <c r="A183" s="1"/>
      <c r="C183" s="1"/>
      <c r="D183" s="1">
        <v>41522</v>
      </c>
      <c r="E183">
        <v>26265</v>
      </c>
      <c r="F183" s="1">
        <v>41522</v>
      </c>
      <c r="G183">
        <v>3412.5</v>
      </c>
      <c r="H183" s="1">
        <f t="shared" si="12"/>
        <v>41522</v>
      </c>
      <c r="I183">
        <f>IF(AND(MyRowHidden(ROW())=FALSE,MyRowHidden(ROW()-1)=TRUE),0,(E183-E182)*unitsOfDHp+I182)</f>
        <v>124810</v>
      </c>
      <c r="J183">
        <f>IF(AND(MyRowHidden(ROW())=FALSE,MyRowHidden(ROW()-1)=TRUE),0,(G183-G182)*unitsOfExo+J182)</f>
        <v>435600</v>
      </c>
      <c r="K183" s="9">
        <f t="shared" si="13"/>
        <v>-435600</v>
      </c>
      <c r="L183">
        <f t="shared" si="14"/>
        <v>560410</v>
      </c>
      <c r="M183">
        <f>IF(AND(MyRowHidden(ROW())=FALSE,MyRowHidden(ROW()-1)=TRUE),0,IF(MONTH(H183)&lt;&gt;MONTH(H182),M182+1,M182))</f>
        <v>8</v>
      </c>
      <c r="N183">
        <f t="shared" si="15"/>
        <v>124810</v>
      </c>
      <c r="O183">
        <f>IF(AND(MyRowHidden(ROW())=FALSE,MyRowHidden(ROW()-1)=TRUE),0,IF(M183&lt;totalMonths,(totalMonths-M183)/totalMonths *(I183-I182)+O182,0))</f>
        <v>53777.500000000036</v>
      </c>
      <c r="P183">
        <f>IF(AND(MyRowHidden(ROW())=FALSE,MyRowHidden(ROW()-1)=TRUE),0,IF(M183&lt;totalMonths,(totalMonths-M183)/totalMonths *(J183-J182)+P182,0))</f>
        <v>524400</v>
      </c>
      <c r="Q183">
        <f>IF(AND(MyRowHidden(ROW())=FALSE,MyRowHidden(ROW()-1)=TRUE),0,IF(M183&lt;totalMonths,(totalMonths-M183)/totalMonths *(K183-K182)+Q182,0))</f>
        <v>-524400</v>
      </c>
      <c r="R183">
        <f t="shared" si="16"/>
        <v>649210</v>
      </c>
      <c r="S183">
        <f t="shared" si="17"/>
        <v>578177.5</v>
      </c>
    </row>
    <row r="184" spans="1:19" hidden="1" x14ac:dyDescent="0.25">
      <c r="A184" s="1"/>
      <c r="C184" s="1"/>
      <c r="D184" s="1">
        <v>41523</v>
      </c>
      <c r="E184">
        <v>26601</v>
      </c>
      <c r="F184" s="1">
        <v>41523</v>
      </c>
      <c r="G184">
        <v>3812.5</v>
      </c>
      <c r="H184" s="1">
        <f t="shared" si="12"/>
        <v>41523</v>
      </c>
      <c r="I184">
        <f>IF(AND(MyRowHidden(ROW())=FALSE,MyRowHidden(ROW()-1)=TRUE),0,(E184-E183)*unitsOfDHp+I183)</f>
        <v>136570</v>
      </c>
      <c r="J184">
        <f>IF(AND(MyRowHidden(ROW())=FALSE,MyRowHidden(ROW()-1)=TRUE),0,(G184-G183)*unitsOfExo+J183)</f>
        <v>550800</v>
      </c>
      <c r="K184" s="9">
        <f t="shared" si="13"/>
        <v>-550800</v>
      </c>
      <c r="L184">
        <f t="shared" si="14"/>
        <v>687370</v>
      </c>
      <c r="M184">
        <f>IF(AND(MyRowHidden(ROW())=FALSE,MyRowHidden(ROW()-1)=TRUE),0,IF(MONTH(H184)&lt;&gt;MONTH(H183),M183+1,M183))</f>
        <v>8</v>
      </c>
      <c r="N184">
        <f t="shared" si="15"/>
        <v>136570</v>
      </c>
      <c r="O184">
        <f>IF(AND(MyRowHidden(ROW())=FALSE,MyRowHidden(ROW()-1)=TRUE),0,IF(M184&lt;totalMonths,(totalMonths-M184)/totalMonths *(I184-I183)+O183,0))</f>
        <v>57697.500000000036</v>
      </c>
      <c r="P184">
        <f>IF(AND(MyRowHidden(ROW())=FALSE,MyRowHidden(ROW()-1)=TRUE),0,IF(M184&lt;totalMonths,(totalMonths-M184)/totalMonths *(J184-J183)+P183,0))</f>
        <v>562800</v>
      </c>
      <c r="Q184">
        <f>IF(AND(MyRowHidden(ROW())=FALSE,MyRowHidden(ROW()-1)=TRUE),0,IF(M184&lt;totalMonths,(totalMonths-M184)/totalMonths *(K184-K183)+Q183,0))</f>
        <v>-562800</v>
      </c>
      <c r="R184">
        <f t="shared" si="16"/>
        <v>699370</v>
      </c>
      <c r="S184">
        <f t="shared" si="17"/>
        <v>620497.5</v>
      </c>
    </row>
    <row r="185" spans="1:19" hidden="1" x14ac:dyDescent="0.25">
      <c r="A185" s="1"/>
      <c r="C185" s="1"/>
      <c r="D185" s="1">
        <v>41526</v>
      </c>
      <c r="E185">
        <v>26392</v>
      </c>
      <c r="F185" s="1">
        <v>41526</v>
      </c>
      <c r="G185">
        <v>3025</v>
      </c>
      <c r="H185" s="1">
        <f t="shared" si="12"/>
        <v>41526</v>
      </c>
      <c r="I185">
        <f>IF(AND(MyRowHidden(ROW())=FALSE,MyRowHidden(ROW()-1)=TRUE),0,(E185-E184)*unitsOfDHp+I184)</f>
        <v>129255</v>
      </c>
      <c r="J185">
        <f>IF(AND(MyRowHidden(ROW())=FALSE,MyRowHidden(ROW()-1)=TRUE),0,(G185-G184)*unitsOfExo+J184)</f>
        <v>324000</v>
      </c>
      <c r="K185" s="9">
        <f t="shared" si="13"/>
        <v>-324000</v>
      </c>
      <c r="L185">
        <f t="shared" si="14"/>
        <v>453255</v>
      </c>
      <c r="M185">
        <f>IF(AND(MyRowHidden(ROW())=FALSE,MyRowHidden(ROW()-1)=TRUE),0,IF(MONTH(H185)&lt;&gt;MONTH(H184),M184+1,M184))</f>
        <v>8</v>
      </c>
      <c r="N185">
        <f t="shared" si="15"/>
        <v>129255</v>
      </c>
      <c r="O185">
        <f>IF(AND(MyRowHidden(ROW())=FALSE,MyRowHidden(ROW()-1)=TRUE),0,IF(M185&lt;totalMonths,(totalMonths-M185)/totalMonths *(I185-I184)+O184,0))</f>
        <v>55259.166666666701</v>
      </c>
      <c r="P185">
        <f>IF(AND(MyRowHidden(ROW())=FALSE,MyRowHidden(ROW()-1)=TRUE),0,IF(M185&lt;totalMonths,(totalMonths-M185)/totalMonths *(J185-J184)+P184,0))</f>
        <v>487200</v>
      </c>
      <c r="Q185">
        <f>IF(AND(MyRowHidden(ROW())=FALSE,MyRowHidden(ROW()-1)=TRUE),0,IF(M185&lt;totalMonths,(totalMonths-M185)/totalMonths *(K185-K184)+Q184,0))</f>
        <v>-487200</v>
      </c>
      <c r="R185">
        <f t="shared" si="16"/>
        <v>616455</v>
      </c>
      <c r="S185">
        <f t="shared" si="17"/>
        <v>542459.16666666674</v>
      </c>
    </row>
    <row r="186" spans="1:19" hidden="1" x14ac:dyDescent="0.25">
      <c r="A186" s="1"/>
      <c r="C186" s="1"/>
      <c r="D186" s="1">
        <v>41527</v>
      </c>
      <c r="E186">
        <v>26621</v>
      </c>
      <c r="F186" s="1">
        <v>41527</v>
      </c>
      <c r="G186">
        <v>2900</v>
      </c>
      <c r="H186" s="1">
        <f t="shared" si="12"/>
        <v>41527</v>
      </c>
      <c r="I186">
        <f>IF(AND(MyRowHidden(ROW())=FALSE,MyRowHidden(ROW()-1)=TRUE),0,(E186-E185)*unitsOfDHp+I185)</f>
        <v>137270</v>
      </c>
      <c r="J186">
        <f>IF(AND(MyRowHidden(ROW())=FALSE,MyRowHidden(ROW()-1)=TRUE),0,(G186-G185)*unitsOfExo+J185)</f>
        <v>288000</v>
      </c>
      <c r="K186" s="9">
        <f t="shared" si="13"/>
        <v>-288000</v>
      </c>
      <c r="L186">
        <f t="shared" si="14"/>
        <v>425270</v>
      </c>
      <c r="M186">
        <f>IF(AND(MyRowHidden(ROW())=FALSE,MyRowHidden(ROW()-1)=TRUE),0,IF(MONTH(H186)&lt;&gt;MONTH(H185),M185+1,M185))</f>
        <v>8</v>
      </c>
      <c r="N186">
        <f t="shared" si="15"/>
        <v>137270</v>
      </c>
      <c r="O186">
        <f>IF(AND(MyRowHidden(ROW())=FALSE,MyRowHidden(ROW()-1)=TRUE),0,IF(M186&lt;totalMonths,(totalMonths-M186)/totalMonths *(I186-I185)+O185,0))</f>
        <v>57930.833333333365</v>
      </c>
      <c r="P186">
        <f>IF(AND(MyRowHidden(ROW())=FALSE,MyRowHidden(ROW()-1)=TRUE),0,IF(M186&lt;totalMonths,(totalMonths-M186)/totalMonths *(J186-J185)+P185,0))</f>
        <v>475200</v>
      </c>
      <c r="Q186">
        <f>IF(AND(MyRowHidden(ROW())=FALSE,MyRowHidden(ROW()-1)=TRUE),0,IF(M186&lt;totalMonths,(totalMonths-M186)/totalMonths *(K186-K185)+Q185,0))</f>
        <v>-475200</v>
      </c>
      <c r="R186">
        <f t="shared" si="16"/>
        <v>612470</v>
      </c>
      <c r="S186">
        <f t="shared" si="17"/>
        <v>533130.83333333337</v>
      </c>
    </row>
    <row r="187" spans="1:19" hidden="1" x14ac:dyDescent="0.25">
      <c r="A187" s="1"/>
      <c r="C187" s="1"/>
      <c r="D187" s="1">
        <v>41528</v>
      </c>
      <c r="E187">
        <v>26683</v>
      </c>
      <c r="F187" s="1">
        <v>41528</v>
      </c>
      <c r="G187">
        <v>2987.5</v>
      </c>
      <c r="H187" s="1">
        <f t="shared" si="12"/>
        <v>41528</v>
      </c>
      <c r="I187">
        <f>IF(AND(MyRowHidden(ROW())=FALSE,MyRowHidden(ROW()-1)=TRUE),0,(E187-E186)*unitsOfDHp+I186)</f>
        <v>139440</v>
      </c>
      <c r="J187">
        <f>IF(AND(MyRowHidden(ROW())=FALSE,MyRowHidden(ROW()-1)=TRUE),0,(G187-G186)*unitsOfExo+J186)</f>
        <v>313200</v>
      </c>
      <c r="K187" s="9">
        <f t="shared" si="13"/>
        <v>-313200</v>
      </c>
      <c r="L187">
        <f t="shared" si="14"/>
        <v>452640</v>
      </c>
      <c r="M187">
        <f>IF(AND(MyRowHidden(ROW())=FALSE,MyRowHidden(ROW()-1)=TRUE),0,IF(MONTH(H187)&lt;&gt;MONTH(H186),M186+1,M186))</f>
        <v>8</v>
      </c>
      <c r="N187">
        <f t="shared" si="15"/>
        <v>139440</v>
      </c>
      <c r="O187">
        <f>IF(AND(MyRowHidden(ROW())=FALSE,MyRowHidden(ROW()-1)=TRUE),0,IF(M187&lt;totalMonths,(totalMonths-M187)/totalMonths *(I187-I186)+O186,0))</f>
        <v>58654.166666666701</v>
      </c>
      <c r="P187">
        <f>IF(AND(MyRowHidden(ROW())=FALSE,MyRowHidden(ROW()-1)=TRUE),0,IF(M187&lt;totalMonths,(totalMonths-M187)/totalMonths *(J187-J186)+P186,0))</f>
        <v>483600</v>
      </c>
      <c r="Q187">
        <f>IF(AND(MyRowHidden(ROW())=FALSE,MyRowHidden(ROW()-1)=TRUE),0,IF(M187&lt;totalMonths,(totalMonths-M187)/totalMonths *(K187-K186)+Q186,0))</f>
        <v>-483600</v>
      </c>
      <c r="R187">
        <f t="shared" si="16"/>
        <v>623040</v>
      </c>
      <c r="S187">
        <f t="shared" si="17"/>
        <v>542254.16666666674</v>
      </c>
    </row>
    <row r="188" spans="1:19" hidden="1" x14ac:dyDescent="0.25">
      <c r="A188" s="1"/>
      <c r="C188" s="1"/>
      <c r="D188" s="1">
        <v>41529</v>
      </c>
      <c r="E188">
        <v>26811</v>
      </c>
      <c r="F188" s="1">
        <v>41529</v>
      </c>
      <c r="G188">
        <v>2537.5</v>
      </c>
      <c r="H188" s="1">
        <f t="shared" si="12"/>
        <v>41529</v>
      </c>
      <c r="I188">
        <f>IF(AND(MyRowHidden(ROW())=FALSE,MyRowHidden(ROW()-1)=TRUE),0,(E188-E187)*unitsOfDHp+I187)</f>
        <v>143920</v>
      </c>
      <c r="J188">
        <f>IF(AND(MyRowHidden(ROW())=FALSE,MyRowHidden(ROW()-1)=TRUE),0,(G188-G187)*unitsOfExo+J187)</f>
        <v>183600</v>
      </c>
      <c r="K188" s="9">
        <f t="shared" si="13"/>
        <v>-183600</v>
      </c>
      <c r="L188">
        <f t="shared" si="14"/>
        <v>327520</v>
      </c>
      <c r="M188">
        <f>IF(AND(MyRowHidden(ROW())=FALSE,MyRowHidden(ROW()-1)=TRUE),0,IF(MONTH(H188)&lt;&gt;MONTH(H187),M187+1,M187))</f>
        <v>8</v>
      </c>
      <c r="N188">
        <f t="shared" si="15"/>
        <v>143920</v>
      </c>
      <c r="O188">
        <f>IF(AND(MyRowHidden(ROW())=FALSE,MyRowHidden(ROW()-1)=TRUE),0,IF(M188&lt;totalMonths,(totalMonths-M188)/totalMonths *(I188-I187)+O187,0))</f>
        <v>60147.500000000036</v>
      </c>
      <c r="P188">
        <f>IF(AND(MyRowHidden(ROW())=FALSE,MyRowHidden(ROW()-1)=TRUE),0,IF(M188&lt;totalMonths,(totalMonths-M188)/totalMonths *(J188-J187)+P187,0))</f>
        <v>440400</v>
      </c>
      <c r="Q188">
        <f>IF(AND(MyRowHidden(ROW())=FALSE,MyRowHidden(ROW()-1)=TRUE),0,IF(M188&lt;totalMonths,(totalMonths-M188)/totalMonths *(K188-K187)+Q187,0))</f>
        <v>-440400</v>
      </c>
      <c r="R188">
        <f t="shared" si="16"/>
        <v>584320</v>
      </c>
      <c r="S188">
        <f t="shared" si="17"/>
        <v>500547.50000000006</v>
      </c>
    </row>
    <row r="189" spans="1:19" hidden="1" x14ac:dyDescent="0.25">
      <c r="A189" s="1"/>
      <c r="C189" s="1"/>
      <c r="D189" s="1">
        <v>41530</v>
      </c>
      <c r="E189">
        <v>26943</v>
      </c>
      <c r="F189" s="1">
        <v>41530</v>
      </c>
      <c r="G189">
        <v>2525</v>
      </c>
      <c r="H189" s="1">
        <f t="shared" si="12"/>
        <v>41530</v>
      </c>
      <c r="I189">
        <f>IF(AND(MyRowHidden(ROW())=FALSE,MyRowHidden(ROW()-1)=TRUE),0,(E189-E188)*unitsOfDHp+I188)</f>
        <v>148540</v>
      </c>
      <c r="J189">
        <f>IF(AND(MyRowHidden(ROW())=FALSE,MyRowHidden(ROW()-1)=TRUE),0,(G189-G188)*unitsOfExo+J188)</f>
        <v>180000</v>
      </c>
      <c r="K189" s="9">
        <f t="shared" si="13"/>
        <v>-180000</v>
      </c>
      <c r="L189">
        <f t="shared" si="14"/>
        <v>328540</v>
      </c>
      <c r="M189">
        <f>IF(AND(MyRowHidden(ROW())=FALSE,MyRowHidden(ROW()-1)=TRUE),0,IF(MONTH(H189)&lt;&gt;MONTH(H188),M188+1,M188))</f>
        <v>8</v>
      </c>
      <c r="N189">
        <f t="shared" si="15"/>
        <v>148540</v>
      </c>
      <c r="O189">
        <f>IF(AND(MyRowHidden(ROW())=FALSE,MyRowHidden(ROW()-1)=TRUE),0,IF(M189&lt;totalMonths,(totalMonths-M189)/totalMonths *(I189-I188)+O188,0))</f>
        <v>61687.500000000036</v>
      </c>
      <c r="P189">
        <f>IF(AND(MyRowHidden(ROW())=FALSE,MyRowHidden(ROW()-1)=TRUE),0,IF(M189&lt;totalMonths,(totalMonths-M189)/totalMonths *(J189-J188)+P188,0))</f>
        <v>439200</v>
      </c>
      <c r="Q189">
        <f>IF(AND(MyRowHidden(ROW())=FALSE,MyRowHidden(ROW()-1)=TRUE),0,IF(M189&lt;totalMonths,(totalMonths-M189)/totalMonths *(K189-K188)+Q188,0))</f>
        <v>-439200</v>
      </c>
      <c r="R189">
        <f t="shared" si="16"/>
        <v>587740</v>
      </c>
      <c r="S189">
        <f t="shared" si="17"/>
        <v>500887.50000000006</v>
      </c>
    </row>
    <row r="190" spans="1:19" hidden="1" x14ac:dyDescent="0.25">
      <c r="A190" s="1"/>
      <c r="C190" s="1"/>
      <c r="D190" s="1">
        <v>41533</v>
      </c>
      <c r="E190">
        <v>26696</v>
      </c>
      <c r="F190" s="1">
        <v>41533</v>
      </c>
      <c r="G190">
        <v>2337.5</v>
      </c>
      <c r="H190" s="1">
        <f t="shared" si="12"/>
        <v>41533</v>
      </c>
      <c r="I190">
        <f>IF(AND(MyRowHidden(ROW())=FALSE,MyRowHidden(ROW()-1)=TRUE),0,(E190-E189)*unitsOfDHp+I189)</f>
        <v>139895</v>
      </c>
      <c r="J190">
        <f>IF(AND(MyRowHidden(ROW())=FALSE,MyRowHidden(ROW()-1)=TRUE),0,(G190-G189)*unitsOfExo+J189)</f>
        <v>126000</v>
      </c>
      <c r="K190" s="9">
        <f t="shared" si="13"/>
        <v>-126000</v>
      </c>
      <c r="L190">
        <f t="shared" si="14"/>
        <v>265895</v>
      </c>
      <c r="M190">
        <f>IF(AND(MyRowHidden(ROW())=FALSE,MyRowHidden(ROW()-1)=TRUE),0,IF(MONTH(H190)&lt;&gt;MONTH(H189),M189+1,M189))</f>
        <v>8</v>
      </c>
      <c r="N190">
        <f t="shared" si="15"/>
        <v>139895</v>
      </c>
      <c r="O190">
        <f>IF(AND(MyRowHidden(ROW())=FALSE,MyRowHidden(ROW()-1)=TRUE),0,IF(M190&lt;totalMonths,(totalMonths-M190)/totalMonths *(I190-I189)+O189,0))</f>
        <v>58805.833333333372</v>
      </c>
      <c r="P190">
        <f>IF(AND(MyRowHidden(ROW())=FALSE,MyRowHidden(ROW()-1)=TRUE),0,IF(M190&lt;totalMonths,(totalMonths-M190)/totalMonths *(J190-J189)+P189,0))</f>
        <v>421200</v>
      </c>
      <c r="Q190">
        <f>IF(AND(MyRowHidden(ROW())=FALSE,MyRowHidden(ROW()-1)=TRUE),0,IF(M190&lt;totalMonths,(totalMonths-M190)/totalMonths *(K190-K189)+Q189,0))</f>
        <v>-421200</v>
      </c>
      <c r="R190">
        <f t="shared" si="16"/>
        <v>561095</v>
      </c>
      <c r="S190">
        <f t="shared" si="17"/>
        <v>480005.83333333337</v>
      </c>
    </row>
    <row r="191" spans="1:19" hidden="1" x14ac:dyDescent="0.25">
      <c r="A191" s="1"/>
      <c r="C191" s="1"/>
      <c r="D191" s="1">
        <v>41534</v>
      </c>
      <c r="E191">
        <v>26624</v>
      </c>
      <c r="F191" s="1">
        <v>41534</v>
      </c>
      <c r="G191">
        <v>2300</v>
      </c>
      <c r="H191" s="1">
        <f t="shared" si="12"/>
        <v>41534</v>
      </c>
      <c r="I191">
        <f>IF(AND(MyRowHidden(ROW())=FALSE,MyRowHidden(ROW()-1)=TRUE),0,(E191-E190)*unitsOfDHp+I190)</f>
        <v>137375</v>
      </c>
      <c r="J191">
        <f>IF(AND(MyRowHidden(ROW())=FALSE,MyRowHidden(ROW()-1)=TRUE),0,(G191-G190)*unitsOfExo+J190)</f>
        <v>115200</v>
      </c>
      <c r="K191" s="9">
        <f t="shared" si="13"/>
        <v>-115200</v>
      </c>
      <c r="L191">
        <f t="shared" si="14"/>
        <v>252575</v>
      </c>
      <c r="M191">
        <f>IF(AND(MyRowHidden(ROW())=FALSE,MyRowHidden(ROW()-1)=TRUE),0,IF(MONTH(H191)&lt;&gt;MONTH(H190),M190+1,M190))</f>
        <v>8</v>
      </c>
      <c r="N191">
        <f t="shared" si="15"/>
        <v>137375</v>
      </c>
      <c r="O191">
        <f>IF(AND(MyRowHidden(ROW())=FALSE,MyRowHidden(ROW()-1)=TRUE),0,IF(M191&lt;totalMonths,(totalMonths-M191)/totalMonths *(I191-I190)+O190,0))</f>
        <v>57965.833333333372</v>
      </c>
      <c r="P191">
        <f>IF(AND(MyRowHidden(ROW())=FALSE,MyRowHidden(ROW()-1)=TRUE),0,IF(M191&lt;totalMonths,(totalMonths-M191)/totalMonths *(J191-J190)+P190,0))</f>
        <v>417600</v>
      </c>
      <c r="Q191">
        <f>IF(AND(MyRowHidden(ROW())=FALSE,MyRowHidden(ROW()-1)=TRUE),0,IF(M191&lt;totalMonths,(totalMonths-M191)/totalMonths *(K191-K190)+Q190,0))</f>
        <v>-417600</v>
      </c>
      <c r="R191">
        <f t="shared" si="16"/>
        <v>554975</v>
      </c>
      <c r="S191">
        <f t="shared" si="17"/>
        <v>475565.83333333337</v>
      </c>
    </row>
    <row r="192" spans="1:19" hidden="1" x14ac:dyDescent="0.25">
      <c r="A192" s="1"/>
      <c r="C192" s="1"/>
      <c r="D192" s="1">
        <v>41535</v>
      </c>
      <c r="E192">
        <v>26486</v>
      </c>
      <c r="F192" s="1">
        <v>41535</v>
      </c>
      <c r="G192">
        <v>2225</v>
      </c>
      <c r="H192" s="1">
        <f t="shared" si="12"/>
        <v>41535</v>
      </c>
      <c r="I192">
        <f>IF(AND(MyRowHidden(ROW())=FALSE,MyRowHidden(ROW()-1)=TRUE),0,(E192-E191)*unitsOfDHp+I191)</f>
        <v>132545</v>
      </c>
      <c r="J192">
        <f>IF(AND(MyRowHidden(ROW())=FALSE,MyRowHidden(ROW()-1)=TRUE),0,(G192-G191)*unitsOfExo+J191)</f>
        <v>93600</v>
      </c>
      <c r="K192" s="9">
        <f t="shared" si="13"/>
        <v>-93600</v>
      </c>
      <c r="L192">
        <f t="shared" si="14"/>
        <v>226145</v>
      </c>
      <c r="M192">
        <f>IF(AND(MyRowHidden(ROW())=FALSE,MyRowHidden(ROW()-1)=TRUE),0,IF(MONTH(H192)&lt;&gt;MONTH(H191),M191+1,M191))</f>
        <v>8</v>
      </c>
      <c r="N192">
        <f t="shared" si="15"/>
        <v>132545</v>
      </c>
      <c r="O192">
        <f>IF(AND(MyRowHidden(ROW())=FALSE,MyRowHidden(ROW()-1)=TRUE),0,IF(M192&lt;totalMonths,(totalMonths-M192)/totalMonths *(I192-I191)+O191,0))</f>
        <v>56355.833333333372</v>
      </c>
      <c r="P192">
        <f>IF(AND(MyRowHidden(ROW())=FALSE,MyRowHidden(ROW()-1)=TRUE),0,IF(M192&lt;totalMonths,(totalMonths-M192)/totalMonths *(J192-J191)+P191,0))</f>
        <v>410400</v>
      </c>
      <c r="Q192">
        <f>IF(AND(MyRowHidden(ROW())=FALSE,MyRowHidden(ROW()-1)=TRUE),0,IF(M192&lt;totalMonths,(totalMonths-M192)/totalMonths *(K192-K191)+Q191,0))</f>
        <v>-410400</v>
      </c>
      <c r="R192">
        <f t="shared" si="16"/>
        <v>542945</v>
      </c>
      <c r="S192">
        <f t="shared" si="17"/>
        <v>466755.83333333337</v>
      </c>
    </row>
    <row r="193" spans="1:19" hidden="1" x14ac:dyDescent="0.25">
      <c r="A193" s="1"/>
      <c r="C193" s="1"/>
      <c r="D193" s="1">
        <v>41536</v>
      </c>
      <c r="E193">
        <v>26633</v>
      </c>
      <c r="F193" s="1">
        <v>41536</v>
      </c>
      <c r="G193">
        <v>2375</v>
      </c>
      <c r="H193" s="1">
        <f t="shared" si="12"/>
        <v>41536</v>
      </c>
      <c r="I193">
        <f>IF(AND(MyRowHidden(ROW())=FALSE,MyRowHidden(ROW()-1)=TRUE),0,(E193-E192)*unitsOfDHp+I192)</f>
        <v>137690</v>
      </c>
      <c r="J193">
        <f>IF(AND(MyRowHidden(ROW())=FALSE,MyRowHidden(ROW()-1)=TRUE),0,(G193-G192)*unitsOfExo+J192)</f>
        <v>136800</v>
      </c>
      <c r="K193" s="9">
        <f t="shared" si="13"/>
        <v>-136800</v>
      </c>
      <c r="L193">
        <f t="shared" si="14"/>
        <v>274490</v>
      </c>
      <c r="M193">
        <f>IF(AND(MyRowHidden(ROW())=FALSE,MyRowHidden(ROW()-1)=TRUE),0,IF(MONTH(H193)&lt;&gt;MONTH(H192),M192+1,M192))</f>
        <v>8</v>
      </c>
      <c r="N193">
        <f t="shared" si="15"/>
        <v>137690</v>
      </c>
      <c r="O193">
        <f>IF(AND(MyRowHidden(ROW())=FALSE,MyRowHidden(ROW()-1)=TRUE),0,IF(M193&lt;totalMonths,(totalMonths-M193)/totalMonths *(I193-I192)+O192,0))</f>
        <v>58070.833333333372</v>
      </c>
      <c r="P193">
        <f>IF(AND(MyRowHidden(ROW())=FALSE,MyRowHidden(ROW()-1)=TRUE),0,IF(M193&lt;totalMonths,(totalMonths-M193)/totalMonths *(J193-J192)+P192,0))</f>
        <v>424800</v>
      </c>
      <c r="Q193">
        <f>IF(AND(MyRowHidden(ROW())=FALSE,MyRowHidden(ROW()-1)=TRUE),0,IF(M193&lt;totalMonths,(totalMonths-M193)/totalMonths *(K193-K192)+Q192,0))</f>
        <v>-424800</v>
      </c>
      <c r="R193">
        <f t="shared" si="16"/>
        <v>562490</v>
      </c>
      <c r="S193">
        <f t="shared" si="17"/>
        <v>482870.83333333337</v>
      </c>
    </row>
    <row r="194" spans="1:19" hidden="1" x14ac:dyDescent="0.25">
      <c r="A194" s="1"/>
      <c r="C194" s="1"/>
      <c r="D194" s="1">
        <v>41537</v>
      </c>
      <c r="E194">
        <v>26362</v>
      </c>
      <c r="F194" s="1">
        <v>41537</v>
      </c>
      <c r="G194">
        <v>2075</v>
      </c>
      <c r="H194" s="1">
        <f t="shared" si="12"/>
        <v>41537</v>
      </c>
      <c r="I194">
        <f>IF(AND(MyRowHidden(ROW())=FALSE,MyRowHidden(ROW()-1)=TRUE),0,(E194-E193)*unitsOfDHp+I193)</f>
        <v>128205</v>
      </c>
      <c r="J194">
        <f>IF(AND(MyRowHidden(ROW())=FALSE,MyRowHidden(ROW()-1)=TRUE),0,(G194-G193)*unitsOfExo+J193)</f>
        <v>50400</v>
      </c>
      <c r="K194" s="9">
        <f t="shared" si="13"/>
        <v>-50400</v>
      </c>
      <c r="L194">
        <f t="shared" si="14"/>
        <v>178605</v>
      </c>
      <c r="M194">
        <f>IF(AND(MyRowHidden(ROW())=FALSE,MyRowHidden(ROW()-1)=TRUE),0,IF(MONTH(H194)&lt;&gt;MONTH(H193),M193+1,M193))</f>
        <v>8</v>
      </c>
      <c r="N194">
        <f t="shared" si="15"/>
        <v>128205</v>
      </c>
      <c r="O194">
        <f>IF(AND(MyRowHidden(ROW())=FALSE,MyRowHidden(ROW()-1)=TRUE),0,IF(M194&lt;totalMonths,(totalMonths-M194)/totalMonths *(I194-I193)+O193,0))</f>
        <v>54909.166666666708</v>
      </c>
      <c r="P194">
        <f>IF(AND(MyRowHidden(ROW())=FALSE,MyRowHidden(ROW()-1)=TRUE),0,IF(M194&lt;totalMonths,(totalMonths-M194)/totalMonths *(J194-J193)+P193,0))</f>
        <v>396000</v>
      </c>
      <c r="Q194">
        <f>IF(AND(MyRowHidden(ROW())=FALSE,MyRowHidden(ROW()-1)=TRUE),0,IF(M194&lt;totalMonths,(totalMonths-M194)/totalMonths *(K194-K193)+Q193,0))</f>
        <v>-396000</v>
      </c>
      <c r="R194">
        <f t="shared" si="16"/>
        <v>524205</v>
      </c>
      <c r="S194">
        <f t="shared" si="17"/>
        <v>450909.16666666669</v>
      </c>
    </row>
    <row r="195" spans="1:19" hidden="1" x14ac:dyDescent="0.25">
      <c r="A195" s="1"/>
      <c r="C195" s="1"/>
      <c r="D195" s="1">
        <v>41540</v>
      </c>
      <c r="E195">
        <v>26365</v>
      </c>
      <c r="F195" s="1">
        <v>41540</v>
      </c>
      <c r="G195">
        <v>2125</v>
      </c>
      <c r="H195" s="1">
        <f t="shared" si="12"/>
        <v>41540</v>
      </c>
      <c r="I195">
        <f>IF(AND(MyRowHidden(ROW())=FALSE,MyRowHidden(ROW()-1)=TRUE),0,(E195-E194)*unitsOfDHp+I194)</f>
        <v>128310</v>
      </c>
      <c r="J195">
        <f>IF(AND(MyRowHidden(ROW())=FALSE,MyRowHidden(ROW()-1)=TRUE),0,(G195-G194)*unitsOfExo+J194)</f>
        <v>64800</v>
      </c>
      <c r="K195" s="9">
        <f t="shared" si="13"/>
        <v>-64800</v>
      </c>
      <c r="L195">
        <f t="shared" si="14"/>
        <v>193110</v>
      </c>
      <c r="M195">
        <f>IF(AND(MyRowHidden(ROW())=FALSE,MyRowHidden(ROW()-1)=TRUE),0,IF(MONTH(H195)&lt;&gt;MONTH(H194),M194+1,M194))</f>
        <v>8</v>
      </c>
      <c r="N195">
        <f t="shared" si="15"/>
        <v>128310</v>
      </c>
      <c r="O195">
        <f>IF(AND(MyRowHidden(ROW())=FALSE,MyRowHidden(ROW()-1)=TRUE),0,IF(M195&lt;totalMonths,(totalMonths-M195)/totalMonths *(I195-I194)+O194,0))</f>
        <v>54944.166666666708</v>
      </c>
      <c r="P195">
        <f>IF(AND(MyRowHidden(ROW())=FALSE,MyRowHidden(ROW()-1)=TRUE),0,IF(M195&lt;totalMonths,(totalMonths-M195)/totalMonths *(J195-J194)+P194,0))</f>
        <v>400800</v>
      </c>
      <c r="Q195">
        <f>IF(AND(MyRowHidden(ROW())=FALSE,MyRowHidden(ROW()-1)=TRUE),0,IF(M195&lt;totalMonths,(totalMonths-M195)/totalMonths *(K195-K194)+Q194,0))</f>
        <v>-400800</v>
      </c>
      <c r="R195">
        <f t="shared" si="16"/>
        <v>529110</v>
      </c>
      <c r="S195">
        <f t="shared" si="17"/>
        <v>455744.16666666669</v>
      </c>
    </row>
    <row r="196" spans="1:19" hidden="1" x14ac:dyDescent="0.25">
      <c r="A196" s="1"/>
      <c r="C196" s="1"/>
      <c r="D196" s="1">
        <v>41541</v>
      </c>
      <c r="E196">
        <v>26274</v>
      </c>
      <c r="F196" s="1">
        <v>41541</v>
      </c>
      <c r="G196">
        <v>1937.5</v>
      </c>
      <c r="H196" s="1">
        <f t="shared" si="12"/>
        <v>41541</v>
      </c>
      <c r="I196">
        <f>IF(AND(MyRowHidden(ROW())=FALSE,MyRowHidden(ROW()-1)=TRUE),0,(E196-E195)*unitsOfDHp+I195)</f>
        <v>125125</v>
      </c>
      <c r="J196">
        <f>IF(AND(MyRowHidden(ROW())=FALSE,MyRowHidden(ROW()-1)=TRUE),0,(G196-G195)*unitsOfExo+J195)</f>
        <v>10800</v>
      </c>
      <c r="K196" s="9">
        <f t="shared" si="13"/>
        <v>-10800</v>
      </c>
      <c r="L196">
        <f t="shared" si="14"/>
        <v>135925</v>
      </c>
      <c r="M196">
        <f>IF(AND(MyRowHidden(ROW())=FALSE,MyRowHidden(ROW()-1)=TRUE),0,IF(MONTH(H196)&lt;&gt;MONTH(H195),M195+1,M195))</f>
        <v>8</v>
      </c>
      <c r="N196">
        <f t="shared" si="15"/>
        <v>125125</v>
      </c>
      <c r="O196">
        <f>IF(AND(MyRowHidden(ROW())=FALSE,MyRowHidden(ROW()-1)=TRUE),0,IF(M196&lt;totalMonths,(totalMonths-M196)/totalMonths *(I196-I195)+O195,0))</f>
        <v>53882.500000000044</v>
      </c>
      <c r="P196">
        <f>IF(AND(MyRowHidden(ROW())=FALSE,MyRowHidden(ROW()-1)=TRUE),0,IF(M196&lt;totalMonths,(totalMonths-M196)/totalMonths *(J196-J195)+P195,0))</f>
        <v>382800</v>
      </c>
      <c r="Q196">
        <f>IF(AND(MyRowHidden(ROW())=FALSE,MyRowHidden(ROW()-1)=TRUE),0,IF(M196&lt;totalMonths,(totalMonths-M196)/totalMonths *(K196-K195)+Q195,0))</f>
        <v>-382800</v>
      </c>
      <c r="R196">
        <f t="shared" si="16"/>
        <v>507925</v>
      </c>
      <c r="S196">
        <f t="shared" si="17"/>
        <v>436682.50000000006</v>
      </c>
    </row>
    <row r="197" spans="1:19" hidden="1" x14ac:dyDescent="0.25">
      <c r="A197" s="1"/>
      <c r="C197" s="1"/>
      <c r="D197" s="1">
        <v>41542</v>
      </c>
      <c r="E197">
        <v>26288</v>
      </c>
      <c r="F197" s="1">
        <v>41542</v>
      </c>
      <c r="G197">
        <v>2337.5</v>
      </c>
      <c r="H197" s="1">
        <f t="shared" si="12"/>
        <v>41542</v>
      </c>
      <c r="I197">
        <f>IF(AND(MyRowHidden(ROW())=FALSE,MyRowHidden(ROW()-1)=TRUE),0,(E197-E196)*unitsOfDHp+I196)</f>
        <v>125615</v>
      </c>
      <c r="J197">
        <f>IF(AND(MyRowHidden(ROW())=FALSE,MyRowHidden(ROW()-1)=TRUE),0,(G197-G196)*unitsOfExo+J196)</f>
        <v>126000</v>
      </c>
      <c r="K197" s="9">
        <f t="shared" si="13"/>
        <v>-126000</v>
      </c>
      <c r="L197">
        <f t="shared" si="14"/>
        <v>251615</v>
      </c>
      <c r="M197">
        <f>IF(AND(MyRowHidden(ROW())=FALSE,MyRowHidden(ROW()-1)=TRUE),0,IF(MONTH(H197)&lt;&gt;MONTH(H196),M196+1,M196))</f>
        <v>8</v>
      </c>
      <c r="N197">
        <f t="shared" si="15"/>
        <v>125615</v>
      </c>
      <c r="O197">
        <f>IF(AND(MyRowHidden(ROW())=FALSE,MyRowHidden(ROW()-1)=TRUE),0,IF(M197&lt;totalMonths,(totalMonths-M197)/totalMonths *(I197-I196)+O196,0))</f>
        <v>54045.833333333379</v>
      </c>
      <c r="P197">
        <f>IF(AND(MyRowHidden(ROW())=FALSE,MyRowHidden(ROW()-1)=TRUE),0,IF(M197&lt;totalMonths,(totalMonths-M197)/totalMonths *(J197-J196)+P196,0))</f>
        <v>421200</v>
      </c>
      <c r="Q197">
        <f>IF(AND(MyRowHidden(ROW())=FALSE,MyRowHidden(ROW()-1)=TRUE),0,IF(M197&lt;totalMonths,(totalMonths-M197)/totalMonths *(K197-K196)+Q196,0))</f>
        <v>-421200</v>
      </c>
      <c r="R197">
        <f t="shared" si="16"/>
        <v>546815</v>
      </c>
      <c r="S197">
        <f t="shared" si="17"/>
        <v>475245.83333333337</v>
      </c>
    </row>
    <row r="198" spans="1:19" hidden="1" x14ac:dyDescent="0.25">
      <c r="A198" s="1"/>
      <c r="C198" s="1"/>
      <c r="D198" s="1">
        <v>41543</v>
      </c>
      <c r="E198">
        <v>26284</v>
      </c>
      <c r="F198" s="1">
        <v>41543</v>
      </c>
      <c r="G198">
        <v>2275</v>
      </c>
      <c r="H198" s="1">
        <f t="shared" si="12"/>
        <v>41543</v>
      </c>
      <c r="I198">
        <f>IF(AND(MyRowHidden(ROW())=FALSE,MyRowHidden(ROW()-1)=TRUE),0,(E198-E197)*unitsOfDHp+I197)</f>
        <v>125475</v>
      </c>
      <c r="J198">
        <f>IF(AND(MyRowHidden(ROW())=FALSE,MyRowHidden(ROW()-1)=TRUE),0,(G198-G197)*unitsOfExo+J197)</f>
        <v>108000</v>
      </c>
      <c r="K198" s="9">
        <f t="shared" si="13"/>
        <v>-108000</v>
      </c>
      <c r="L198">
        <f t="shared" si="14"/>
        <v>233475</v>
      </c>
      <c r="M198">
        <f>IF(AND(MyRowHidden(ROW())=FALSE,MyRowHidden(ROW()-1)=TRUE),0,IF(MONTH(H198)&lt;&gt;MONTH(H197),M197+1,M197))</f>
        <v>8</v>
      </c>
      <c r="N198">
        <f t="shared" si="15"/>
        <v>125475</v>
      </c>
      <c r="O198">
        <f>IF(AND(MyRowHidden(ROW())=FALSE,MyRowHidden(ROW()-1)=TRUE),0,IF(M198&lt;totalMonths,(totalMonths-M198)/totalMonths *(I198-I197)+O197,0))</f>
        <v>53999.166666666715</v>
      </c>
      <c r="P198">
        <f>IF(AND(MyRowHidden(ROW())=FALSE,MyRowHidden(ROW()-1)=TRUE),0,IF(M198&lt;totalMonths,(totalMonths-M198)/totalMonths *(J198-J197)+P197,0))</f>
        <v>415200</v>
      </c>
      <c r="Q198">
        <f>IF(AND(MyRowHidden(ROW())=FALSE,MyRowHidden(ROW()-1)=TRUE),0,IF(M198&lt;totalMonths,(totalMonths-M198)/totalMonths *(K198-K197)+Q197,0))</f>
        <v>-415200</v>
      </c>
      <c r="R198">
        <f t="shared" si="16"/>
        <v>540675</v>
      </c>
      <c r="S198">
        <f t="shared" si="17"/>
        <v>469199.16666666674</v>
      </c>
    </row>
    <row r="199" spans="1:19" hidden="1" x14ac:dyDescent="0.25">
      <c r="A199" s="1"/>
      <c r="C199" s="1"/>
      <c r="D199" s="1">
        <v>41544</v>
      </c>
      <c r="E199">
        <v>26286</v>
      </c>
      <c r="F199" s="1">
        <v>41544</v>
      </c>
      <c r="G199">
        <v>2237.5</v>
      </c>
      <c r="H199" s="1">
        <f t="shared" si="12"/>
        <v>41544</v>
      </c>
      <c r="I199">
        <f>IF(AND(MyRowHidden(ROW())=FALSE,MyRowHidden(ROW()-1)=TRUE),0,(E199-E198)*unitsOfDHp+I198)</f>
        <v>125545</v>
      </c>
      <c r="J199">
        <f>IF(AND(MyRowHidden(ROW())=FALSE,MyRowHidden(ROW()-1)=TRUE),0,(G199-G198)*unitsOfExo+J198)</f>
        <v>97200</v>
      </c>
      <c r="K199" s="9">
        <f t="shared" si="13"/>
        <v>-97200</v>
      </c>
      <c r="L199">
        <f t="shared" si="14"/>
        <v>222745</v>
      </c>
      <c r="M199">
        <f>IF(AND(MyRowHidden(ROW())=FALSE,MyRowHidden(ROW()-1)=TRUE),0,IF(MONTH(H199)&lt;&gt;MONTH(H198),M198+1,M198))</f>
        <v>8</v>
      </c>
      <c r="N199">
        <f t="shared" si="15"/>
        <v>125545</v>
      </c>
      <c r="O199">
        <f>IF(AND(MyRowHidden(ROW())=FALSE,MyRowHidden(ROW()-1)=TRUE),0,IF(M199&lt;totalMonths,(totalMonths-M199)/totalMonths *(I199-I198)+O198,0))</f>
        <v>54022.500000000051</v>
      </c>
      <c r="P199">
        <f>IF(AND(MyRowHidden(ROW())=FALSE,MyRowHidden(ROW()-1)=TRUE),0,IF(M199&lt;totalMonths,(totalMonths-M199)/totalMonths *(J199-J198)+P198,0))</f>
        <v>411600</v>
      </c>
      <c r="Q199">
        <f>IF(AND(MyRowHidden(ROW())=FALSE,MyRowHidden(ROW()-1)=TRUE),0,IF(M199&lt;totalMonths,(totalMonths-M199)/totalMonths *(K199-K198)+Q198,0))</f>
        <v>-411600</v>
      </c>
      <c r="R199">
        <f t="shared" si="16"/>
        <v>537145</v>
      </c>
      <c r="S199">
        <f t="shared" si="17"/>
        <v>465622.50000000006</v>
      </c>
    </row>
    <row r="200" spans="1:19" hidden="1" x14ac:dyDescent="0.25">
      <c r="A200" s="1"/>
      <c r="C200" s="1"/>
      <c r="D200" s="1">
        <v>41547</v>
      </c>
      <c r="E200">
        <v>26008</v>
      </c>
      <c r="F200" s="1">
        <v>41547</v>
      </c>
      <c r="G200">
        <v>1750</v>
      </c>
      <c r="H200" s="1">
        <f t="shared" si="12"/>
        <v>41547</v>
      </c>
      <c r="I200">
        <f>IF(AND(MyRowHidden(ROW())=FALSE,MyRowHidden(ROW()-1)=TRUE),0,(E200-E199)*unitsOfDHp+I199)</f>
        <v>115815</v>
      </c>
      <c r="J200">
        <f>IF(AND(MyRowHidden(ROW())=FALSE,MyRowHidden(ROW()-1)=TRUE),0,(G200-G199)*unitsOfExo+J199)</f>
        <v>-43200</v>
      </c>
      <c r="K200" s="9">
        <f t="shared" si="13"/>
        <v>43200</v>
      </c>
      <c r="L200">
        <f t="shared" si="14"/>
        <v>72615</v>
      </c>
      <c r="M200">
        <f>IF(AND(MyRowHidden(ROW())=FALSE,MyRowHidden(ROW()-1)=TRUE),0,IF(MONTH(H200)&lt;&gt;MONTH(H199),M199+1,M199))</f>
        <v>8</v>
      </c>
      <c r="N200">
        <f t="shared" si="15"/>
        <v>115815</v>
      </c>
      <c r="O200">
        <f>IF(AND(MyRowHidden(ROW())=FALSE,MyRowHidden(ROW()-1)=TRUE),0,IF(M200&lt;totalMonths,(totalMonths-M200)/totalMonths *(I200-I199)+O199,0))</f>
        <v>50779.166666666715</v>
      </c>
      <c r="P200">
        <f>IF(AND(MyRowHidden(ROW())=FALSE,MyRowHidden(ROW()-1)=TRUE),0,IF(M200&lt;totalMonths,(totalMonths-M200)/totalMonths *(J200-J199)+P199,0))</f>
        <v>364800</v>
      </c>
      <c r="Q200">
        <f>IF(AND(MyRowHidden(ROW())=FALSE,MyRowHidden(ROW()-1)=TRUE),0,IF(M200&lt;totalMonths,(totalMonths-M200)/totalMonths *(K200-K199)+Q199,0))</f>
        <v>-364800</v>
      </c>
      <c r="R200">
        <f t="shared" si="16"/>
        <v>480615</v>
      </c>
      <c r="S200">
        <f t="shared" si="17"/>
        <v>415579.16666666674</v>
      </c>
    </row>
    <row r="201" spans="1:19" hidden="1" x14ac:dyDescent="0.25">
      <c r="A201" s="1"/>
      <c r="C201" s="1"/>
      <c r="D201" s="1">
        <v>41548</v>
      </c>
      <c r="E201">
        <v>25453</v>
      </c>
      <c r="F201" s="1">
        <v>41548</v>
      </c>
      <c r="G201">
        <v>1387.5</v>
      </c>
      <c r="H201" s="1">
        <f t="shared" si="12"/>
        <v>41548</v>
      </c>
      <c r="I201">
        <f>IF(AND(MyRowHidden(ROW())=FALSE,MyRowHidden(ROW()-1)=TRUE),0,(E201-E200)*unitsOfDHp+I200)</f>
        <v>96390</v>
      </c>
      <c r="J201">
        <f>IF(AND(MyRowHidden(ROW())=FALSE,MyRowHidden(ROW()-1)=TRUE),0,(G201-G200)*unitsOfExo+J200)</f>
        <v>-147600</v>
      </c>
      <c r="K201" s="9">
        <f t="shared" si="13"/>
        <v>147600</v>
      </c>
      <c r="L201">
        <f t="shared" si="14"/>
        <v>-51210</v>
      </c>
      <c r="M201">
        <f>IF(AND(MyRowHidden(ROW())=FALSE,MyRowHidden(ROW()-1)=TRUE),0,IF(MONTH(H201)&lt;&gt;MONTH(H200),M200+1,M200))</f>
        <v>9</v>
      </c>
      <c r="N201">
        <f t="shared" si="15"/>
        <v>96390</v>
      </c>
      <c r="O201">
        <f>IF(AND(MyRowHidden(ROW())=FALSE,MyRowHidden(ROW()-1)=TRUE),0,IF(M201&lt;totalMonths,(totalMonths-M201)/totalMonths *(I201-I200)+O200,0))</f>
        <v>45922.916666666715</v>
      </c>
      <c r="P201">
        <f>IF(AND(MyRowHidden(ROW())=FALSE,MyRowHidden(ROW()-1)=TRUE),0,IF(M201&lt;totalMonths,(totalMonths-M201)/totalMonths *(J201-J200)+P200,0))</f>
        <v>338700</v>
      </c>
      <c r="Q201">
        <f>IF(AND(MyRowHidden(ROW())=FALSE,MyRowHidden(ROW()-1)=TRUE),0,IF(M201&lt;totalMonths,(totalMonths-M201)/totalMonths *(K201-K200)+Q200,0))</f>
        <v>-338700</v>
      </c>
      <c r="R201">
        <f t="shared" si="16"/>
        <v>435090</v>
      </c>
      <c r="S201">
        <f t="shared" si="17"/>
        <v>384622.91666666674</v>
      </c>
    </row>
    <row r="202" spans="1:19" hidden="1" x14ac:dyDescent="0.25">
      <c r="A202" s="1"/>
      <c r="C202" s="1"/>
      <c r="D202" s="1">
        <v>41549</v>
      </c>
      <c r="E202">
        <v>25581</v>
      </c>
      <c r="F202" s="1">
        <v>41549</v>
      </c>
      <c r="G202">
        <v>1487.5</v>
      </c>
      <c r="H202" s="1">
        <f t="shared" si="12"/>
        <v>41549</v>
      </c>
      <c r="I202">
        <f>IF(AND(MyRowHidden(ROW())=FALSE,MyRowHidden(ROW()-1)=TRUE),0,(E202-E201)*unitsOfDHp+I201)</f>
        <v>100870</v>
      </c>
      <c r="J202">
        <f>IF(AND(MyRowHidden(ROW())=FALSE,MyRowHidden(ROW()-1)=TRUE),0,(G202-G201)*unitsOfExo+J201)</f>
        <v>-118800</v>
      </c>
      <c r="K202" s="9">
        <f t="shared" si="13"/>
        <v>118800</v>
      </c>
      <c r="L202">
        <f t="shared" si="14"/>
        <v>-17930</v>
      </c>
      <c r="M202">
        <f>IF(AND(MyRowHidden(ROW())=FALSE,MyRowHidden(ROW()-1)=TRUE),0,IF(MONTH(H202)&lt;&gt;MONTH(H201),M201+1,M201))</f>
        <v>9</v>
      </c>
      <c r="N202">
        <f t="shared" si="15"/>
        <v>100870</v>
      </c>
      <c r="O202">
        <f>IF(AND(MyRowHidden(ROW())=FALSE,MyRowHidden(ROW()-1)=TRUE),0,IF(M202&lt;totalMonths,(totalMonths-M202)/totalMonths *(I202-I201)+O201,0))</f>
        <v>47042.916666666715</v>
      </c>
      <c r="P202">
        <f>IF(AND(MyRowHidden(ROW())=FALSE,MyRowHidden(ROW()-1)=TRUE),0,IF(M202&lt;totalMonths,(totalMonths-M202)/totalMonths *(J202-J201)+P201,0))</f>
        <v>345900</v>
      </c>
      <c r="Q202">
        <f>IF(AND(MyRowHidden(ROW())=FALSE,MyRowHidden(ROW()-1)=TRUE),0,IF(M202&lt;totalMonths,(totalMonths-M202)/totalMonths *(K202-K201)+Q201,0))</f>
        <v>-345900</v>
      </c>
      <c r="R202">
        <f t="shared" si="16"/>
        <v>446770</v>
      </c>
      <c r="S202">
        <f t="shared" si="17"/>
        <v>392942.91666666674</v>
      </c>
    </row>
    <row r="203" spans="1:19" hidden="1" x14ac:dyDescent="0.25">
      <c r="A203" s="1"/>
      <c r="C203" s="1"/>
      <c r="D203" s="1">
        <v>41550</v>
      </c>
      <c r="E203">
        <v>25733</v>
      </c>
      <c r="F203" s="1">
        <v>41550</v>
      </c>
      <c r="G203">
        <v>1587.5</v>
      </c>
      <c r="H203" s="1">
        <f t="shared" si="12"/>
        <v>41550</v>
      </c>
      <c r="I203">
        <f>IF(AND(MyRowHidden(ROW())=FALSE,MyRowHidden(ROW()-1)=TRUE),0,(E203-E202)*unitsOfDHp+I202)</f>
        <v>106190</v>
      </c>
      <c r="J203">
        <f>IF(AND(MyRowHidden(ROW())=FALSE,MyRowHidden(ROW()-1)=TRUE),0,(G203-G202)*unitsOfExo+J202)</f>
        <v>-90000</v>
      </c>
      <c r="K203" s="9">
        <f t="shared" si="13"/>
        <v>90000</v>
      </c>
      <c r="L203">
        <f t="shared" si="14"/>
        <v>16190</v>
      </c>
      <c r="M203">
        <f>IF(AND(MyRowHidden(ROW())=FALSE,MyRowHidden(ROW()-1)=TRUE),0,IF(MONTH(H203)&lt;&gt;MONTH(H202),M202+1,M202))</f>
        <v>9</v>
      </c>
      <c r="N203">
        <f t="shared" si="15"/>
        <v>106190</v>
      </c>
      <c r="O203">
        <f>IF(AND(MyRowHidden(ROW())=FALSE,MyRowHidden(ROW()-1)=TRUE),0,IF(M203&lt;totalMonths,(totalMonths-M203)/totalMonths *(I203-I202)+O202,0))</f>
        <v>48372.916666666715</v>
      </c>
      <c r="P203">
        <f>IF(AND(MyRowHidden(ROW())=FALSE,MyRowHidden(ROW()-1)=TRUE),0,IF(M203&lt;totalMonths,(totalMonths-M203)/totalMonths *(J203-J202)+P202,0))</f>
        <v>353100</v>
      </c>
      <c r="Q203">
        <f>IF(AND(MyRowHidden(ROW())=FALSE,MyRowHidden(ROW()-1)=TRUE),0,IF(M203&lt;totalMonths,(totalMonths-M203)/totalMonths *(K203-K202)+Q202,0))</f>
        <v>-353100</v>
      </c>
      <c r="R203">
        <f t="shared" si="16"/>
        <v>459290</v>
      </c>
      <c r="S203">
        <f t="shared" si="17"/>
        <v>401472.91666666674</v>
      </c>
    </row>
    <row r="204" spans="1:19" hidden="1" x14ac:dyDescent="0.25">
      <c r="A204" s="1"/>
      <c r="C204" s="1"/>
      <c r="D204" s="1">
        <v>41551</v>
      </c>
      <c r="E204">
        <v>25903</v>
      </c>
      <c r="F204" s="1">
        <v>41551</v>
      </c>
      <c r="G204">
        <v>1700</v>
      </c>
      <c r="H204" s="1">
        <f t="shared" si="12"/>
        <v>41551</v>
      </c>
      <c r="I204">
        <f>IF(AND(MyRowHidden(ROW())=FALSE,MyRowHidden(ROW()-1)=TRUE),0,(E204-E203)*unitsOfDHp+I203)</f>
        <v>112140</v>
      </c>
      <c r="J204">
        <f>IF(AND(MyRowHidden(ROW())=FALSE,MyRowHidden(ROW()-1)=TRUE),0,(G204-G203)*unitsOfExo+J203)</f>
        <v>-57600</v>
      </c>
      <c r="K204" s="9">
        <f t="shared" si="13"/>
        <v>57600</v>
      </c>
      <c r="L204">
        <f t="shared" si="14"/>
        <v>54540</v>
      </c>
      <c r="M204">
        <f>IF(AND(MyRowHidden(ROW())=FALSE,MyRowHidden(ROW()-1)=TRUE),0,IF(MONTH(H204)&lt;&gt;MONTH(H203),M203+1,M203))</f>
        <v>9</v>
      </c>
      <c r="N204">
        <f t="shared" si="15"/>
        <v>112140</v>
      </c>
      <c r="O204">
        <f>IF(AND(MyRowHidden(ROW())=FALSE,MyRowHidden(ROW()-1)=TRUE),0,IF(M204&lt;totalMonths,(totalMonths-M204)/totalMonths *(I204-I203)+O203,0))</f>
        <v>49860.416666666715</v>
      </c>
      <c r="P204">
        <f>IF(AND(MyRowHidden(ROW())=FALSE,MyRowHidden(ROW()-1)=TRUE),0,IF(M204&lt;totalMonths,(totalMonths-M204)/totalMonths *(J204-J203)+P203,0))</f>
        <v>361200</v>
      </c>
      <c r="Q204">
        <f>IF(AND(MyRowHidden(ROW())=FALSE,MyRowHidden(ROW()-1)=TRUE),0,IF(M204&lt;totalMonths,(totalMonths-M204)/totalMonths *(K204-K203)+Q203,0))</f>
        <v>-361200</v>
      </c>
      <c r="R204">
        <f t="shared" si="16"/>
        <v>473340</v>
      </c>
      <c r="S204">
        <f t="shared" si="17"/>
        <v>411060.41666666674</v>
      </c>
    </row>
    <row r="205" spans="1:19" hidden="1" x14ac:dyDescent="0.25">
      <c r="A205" s="1"/>
      <c r="C205" s="1"/>
      <c r="D205" s="1">
        <v>41554</v>
      </c>
      <c r="E205">
        <v>26242</v>
      </c>
      <c r="F205" s="1">
        <v>41554</v>
      </c>
      <c r="G205">
        <v>1912.5</v>
      </c>
      <c r="H205" s="1">
        <f t="shared" ref="H205:H268" si="18">D205</f>
        <v>41554</v>
      </c>
      <c r="I205">
        <f>IF(AND(MyRowHidden(ROW())=FALSE,MyRowHidden(ROW()-1)=TRUE),0,(E205-E204)*unitsOfDHp+I204)</f>
        <v>124005</v>
      </c>
      <c r="J205">
        <f>IF(AND(MyRowHidden(ROW())=FALSE,MyRowHidden(ROW()-1)=TRUE),0,(G205-G204)*unitsOfExo+J204)</f>
        <v>3600</v>
      </c>
      <c r="K205" s="9">
        <f t="shared" ref="K205:K268" si="19">-(J205-J204)+K204</f>
        <v>-3600</v>
      </c>
      <c r="L205">
        <f t="shared" ref="L205:L268" si="20">I205+J205</f>
        <v>127605</v>
      </c>
      <c r="M205">
        <f>IF(AND(MyRowHidden(ROW())=FALSE,MyRowHidden(ROW()-1)=TRUE),0,IF(MONTH(H205)&lt;&gt;MONTH(H204),M204+1,M204))</f>
        <v>9</v>
      </c>
      <c r="N205">
        <f t="shared" ref="N205:N268" si="21">I205</f>
        <v>124005</v>
      </c>
      <c r="O205">
        <f>IF(AND(MyRowHidden(ROW())=FALSE,MyRowHidden(ROW()-1)=TRUE),0,IF(M205&lt;totalMonths,(totalMonths-M205)/totalMonths *(I205-I204)+O204,0))</f>
        <v>52826.666666666715</v>
      </c>
      <c r="P205">
        <f>IF(AND(MyRowHidden(ROW())=FALSE,MyRowHidden(ROW()-1)=TRUE),0,IF(M205&lt;totalMonths,(totalMonths-M205)/totalMonths *(J205-J204)+P204,0))</f>
        <v>376500</v>
      </c>
      <c r="Q205">
        <f>IF(AND(MyRowHidden(ROW())=FALSE,MyRowHidden(ROW()-1)=TRUE),0,IF(M205&lt;totalMonths,(totalMonths-M205)/totalMonths *(K205-K204)+Q204,0))</f>
        <v>-376500</v>
      </c>
      <c r="R205">
        <f t="shared" ref="R205:R268" si="22">N205+P205</f>
        <v>500505</v>
      </c>
      <c r="S205">
        <f t="shared" ref="S205:S268" si="23">O205+P205</f>
        <v>429326.66666666674</v>
      </c>
    </row>
    <row r="206" spans="1:19" hidden="1" x14ac:dyDescent="0.25">
      <c r="A206" s="1"/>
      <c r="C206" s="1"/>
      <c r="D206" s="1">
        <v>41555</v>
      </c>
      <c r="E206">
        <v>26052</v>
      </c>
      <c r="F206" s="1">
        <v>41555</v>
      </c>
      <c r="G206">
        <v>1600</v>
      </c>
      <c r="H206" s="1">
        <f t="shared" si="18"/>
        <v>41555</v>
      </c>
      <c r="I206">
        <f>IF(AND(MyRowHidden(ROW())=FALSE,MyRowHidden(ROW()-1)=TRUE),0,(E206-E205)*unitsOfDHp+I205)</f>
        <v>117355</v>
      </c>
      <c r="J206">
        <f>IF(AND(MyRowHidden(ROW())=FALSE,MyRowHidden(ROW()-1)=TRUE),0,(G206-G205)*unitsOfExo+J205)</f>
        <v>-86400</v>
      </c>
      <c r="K206" s="9">
        <f t="shared" si="19"/>
        <v>86400</v>
      </c>
      <c r="L206">
        <f t="shared" si="20"/>
        <v>30955</v>
      </c>
      <c r="M206">
        <f>IF(AND(MyRowHidden(ROW())=FALSE,MyRowHidden(ROW()-1)=TRUE),0,IF(MONTH(H206)&lt;&gt;MONTH(H205),M205+1,M205))</f>
        <v>9</v>
      </c>
      <c r="N206">
        <f t="shared" si="21"/>
        <v>117355</v>
      </c>
      <c r="O206">
        <f>IF(AND(MyRowHidden(ROW())=FALSE,MyRowHidden(ROW()-1)=TRUE),0,IF(M206&lt;totalMonths,(totalMonths-M206)/totalMonths *(I206-I205)+O205,0))</f>
        <v>51164.166666666715</v>
      </c>
      <c r="P206">
        <f>IF(AND(MyRowHidden(ROW())=FALSE,MyRowHidden(ROW()-1)=TRUE),0,IF(M206&lt;totalMonths,(totalMonths-M206)/totalMonths *(J206-J205)+P205,0))</f>
        <v>354000</v>
      </c>
      <c r="Q206">
        <f>IF(AND(MyRowHidden(ROW())=FALSE,MyRowHidden(ROW()-1)=TRUE),0,IF(M206&lt;totalMonths,(totalMonths-M206)/totalMonths *(K206-K205)+Q205,0))</f>
        <v>-354000</v>
      </c>
      <c r="R206">
        <f t="shared" si="22"/>
        <v>471355</v>
      </c>
      <c r="S206">
        <f t="shared" si="23"/>
        <v>405164.16666666674</v>
      </c>
    </row>
    <row r="207" spans="1:19" hidden="1" x14ac:dyDescent="0.25">
      <c r="A207" s="1"/>
      <c r="C207" s="1"/>
      <c r="D207" s="1">
        <v>41556</v>
      </c>
      <c r="E207">
        <v>26003</v>
      </c>
      <c r="F207" s="1">
        <v>41556</v>
      </c>
      <c r="G207">
        <v>1700</v>
      </c>
      <c r="H207" s="1">
        <f t="shared" si="18"/>
        <v>41556</v>
      </c>
      <c r="I207">
        <f>IF(AND(MyRowHidden(ROW())=FALSE,MyRowHidden(ROW()-1)=TRUE),0,(E207-E206)*unitsOfDHp+I206)</f>
        <v>115640</v>
      </c>
      <c r="J207">
        <f>IF(AND(MyRowHidden(ROW())=FALSE,MyRowHidden(ROW()-1)=TRUE),0,(G207-G206)*unitsOfExo+J206)</f>
        <v>-57600</v>
      </c>
      <c r="K207" s="9">
        <f t="shared" si="19"/>
        <v>57600</v>
      </c>
      <c r="L207">
        <f t="shared" si="20"/>
        <v>58040</v>
      </c>
      <c r="M207">
        <f>IF(AND(MyRowHidden(ROW())=FALSE,MyRowHidden(ROW()-1)=TRUE),0,IF(MONTH(H207)&lt;&gt;MONTH(H206),M206+1,M206))</f>
        <v>9</v>
      </c>
      <c r="N207">
        <f t="shared" si="21"/>
        <v>115640</v>
      </c>
      <c r="O207">
        <f>IF(AND(MyRowHidden(ROW())=FALSE,MyRowHidden(ROW()-1)=TRUE),0,IF(M207&lt;totalMonths,(totalMonths-M207)/totalMonths *(I207-I206)+O206,0))</f>
        <v>50735.416666666715</v>
      </c>
      <c r="P207">
        <f>IF(AND(MyRowHidden(ROW())=FALSE,MyRowHidden(ROW()-1)=TRUE),0,IF(M207&lt;totalMonths,(totalMonths-M207)/totalMonths *(J207-J206)+P206,0))</f>
        <v>361200</v>
      </c>
      <c r="Q207">
        <f>IF(AND(MyRowHidden(ROW())=FALSE,MyRowHidden(ROW()-1)=TRUE),0,IF(M207&lt;totalMonths,(totalMonths-M207)/totalMonths *(K207-K206)+Q206,0))</f>
        <v>-361200</v>
      </c>
      <c r="R207">
        <f t="shared" si="22"/>
        <v>476840</v>
      </c>
      <c r="S207">
        <f t="shared" si="23"/>
        <v>411935.41666666674</v>
      </c>
    </row>
    <row r="208" spans="1:19" hidden="1" x14ac:dyDescent="0.25">
      <c r="A208" s="1"/>
      <c r="C208" s="1"/>
      <c r="D208" s="1">
        <v>41557</v>
      </c>
      <c r="E208">
        <v>25998</v>
      </c>
      <c r="F208" s="1">
        <v>41557</v>
      </c>
      <c r="G208">
        <v>1412.5</v>
      </c>
      <c r="H208" s="1">
        <f t="shared" si="18"/>
        <v>41557</v>
      </c>
      <c r="I208">
        <f>IF(AND(MyRowHidden(ROW())=FALSE,MyRowHidden(ROW()-1)=TRUE),0,(E208-E207)*unitsOfDHp+I207)</f>
        <v>115465</v>
      </c>
      <c r="J208">
        <f>IF(AND(MyRowHidden(ROW())=FALSE,MyRowHidden(ROW()-1)=TRUE),0,(G208-G207)*unitsOfExo+J207)</f>
        <v>-140400</v>
      </c>
      <c r="K208" s="9">
        <f t="shared" si="19"/>
        <v>140400</v>
      </c>
      <c r="L208">
        <f t="shared" si="20"/>
        <v>-24935</v>
      </c>
      <c r="M208">
        <f>IF(AND(MyRowHidden(ROW())=FALSE,MyRowHidden(ROW()-1)=TRUE),0,IF(MONTH(H208)&lt;&gt;MONTH(H207),M207+1,M207))</f>
        <v>9</v>
      </c>
      <c r="N208">
        <f t="shared" si="21"/>
        <v>115465</v>
      </c>
      <c r="O208">
        <f>IF(AND(MyRowHidden(ROW())=FALSE,MyRowHidden(ROW()-1)=TRUE),0,IF(M208&lt;totalMonths,(totalMonths-M208)/totalMonths *(I208-I207)+O207,0))</f>
        <v>50691.666666666715</v>
      </c>
      <c r="P208">
        <f>IF(AND(MyRowHidden(ROW())=FALSE,MyRowHidden(ROW()-1)=TRUE),0,IF(M208&lt;totalMonths,(totalMonths-M208)/totalMonths *(J208-J207)+P207,0))</f>
        <v>340500</v>
      </c>
      <c r="Q208">
        <f>IF(AND(MyRowHidden(ROW())=FALSE,MyRowHidden(ROW()-1)=TRUE),0,IF(M208&lt;totalMonths,(totalMonths-M208)/totalMonths *(K208-K207)+Q207,0))</f>
        <v>-340500</v>
      </c>
      <c r="R208">
        <f t="shared" si="22"/>
        <v>455965</v>
      </c>
      <c r="S208">
        <f t="shared" si="23"/>
        <v>391191.66666666674</v>
      </c>
    </row>
    <row r="209" spans="1:19" hidden="1" x14ac:dyDescent="0.25">
      <c r="A209" s="1"/>
      <c r="C209" s="1"/>
      <c r="D209" s="1">
        <v>41558</v>
      </c>
      <c r="E209">
        <v>26050</v>
      </c>
      <c r="F209" s="1">
        <v>41558</v>
      </c>
      <c r="G209">
        <v>1237.5</v>
      </c>
      <c r="H209" s="1">
        <f t="shared" si="18"/>
        <v>41558</v>
      </c>
      <c r="I209">
        <f>IF(AND(MyRowHidden(ROW())=FALSE,MyRowHidden(ROW()-1)=TRUE),0,(E209-E208)*unitsOfDHp+I208)</f>
        <v>117285</v>
      </c>
      <c r="J209">
        <f>IF(AND(MyRowHidden(ROW())=FALSE,MyRowHidden(ROW()-1)=TRUE),0,(G209-G208)*unitsOfExo+J208)</f>
        <v>-190800</v>
      </c>
      <c r="K209" s="9">
        <f t="shared" si="19"/>
        <v>190800</v>
      </c>
      <c r="L209">
        <f t="shared" si="20"/>
        <v>-73515</v>
      </c>
      <c r="M209">
        <f>IF(AND(MyRowHidden(ROW())=FALSE,MyRowHidden(ROW()-1)=TRUE),0,IF(MONTH(H209)&lt;&gt;MONTH(H208),M208+1,M208))</f>
        <v>9</v>
      </c>
      <c r="N209">
        <f t="shared" si="21"/>
        <v>117285</v>
      </c>
      <c r="O209">
        <f>IF(AND(MyRowHidden(ROW())=FALSE,MyRowHidden(ROW()-1)=TRUE),0,IF(M209&lt;totalMonths,(totalMonths-M209)/totalMonths *(I209-I208)+O208,0))</f>
        <v>51146.666666666715</v>
      </c>
      <c r="P209">
        <f>IF(AND(MyRowHidden(ROW())=FALSE,MyRowHidden(ROW()-1)=TRUE),0,IF(M209&lt;totalMonths,(totalMonths-M209)/totalMonths *(J209-J208)+P208,0))</f>
        <v>327900</v>
      </c>
      <c r="Q209">
        <f>IF(AND(MyRowHidden(ROW())=FALSE,MyRowHidden(ROW()-1)=TRUE),0,IF(M209&lt;totalMonths,(totalMonths-M209)/totalMonths *(K209-K208)+Q208,0))</f>
        <v>-327900</v>
      </c>
      <c r="R209">
        <f t="shared" si="22"/>
        <v>445185</v>
      </c>
      <c r="S209">
        <f t="shared" si="23"/>
        <v>379046.66666666674</v>
      </c>
    </row>
    <row r="210" spans="1:19" hidden="1" x14ac:dyDescent="0.25">
      <c r="A210" s="1"/>
      <c r="C210" s="1"/>
      <c r="D210" s="1">
        <v>41562</v>
      </c>
      <c r="E210">
        <v>26552</v>
      </c>
      <c r="F210" s="1">
        <v>41562</v>
      </c>
      <c r="G210">
        <v>1662.5</v>
      </c>
      <c r="H210" s="1">
        <f t="shared" si="18"/>
        <v>41562</v>
      </c>
      <c r="I210">
        <f>IF(AND(MyRowHidden(ROW())=FALSE,MyRowHidden(ROW()-1)=TRUE),0,(E210-E209)*unitsOfDHp+I209)</f>
        <v>134855</v>
      </c>
      <c r="J210">
        <f>IF(AND(MyRowHidden(ROW())=FALSE,MyRowHidden(ROW()-1)=TRUE),0,(G210-G209)*unitsOfExo+J209)</f>
        <v>-68400</v>
      </c>
      <c r="K210" s="9">
        <f t="shared" si="19"/>
        <v>68400</v>
      </c>
      <c r="L210">
        <f t="shared" si="20"/>
        <v>66455</v>
      </c>
      <c r="M210">
        <f>IF(AND(MyRowHidden(ROW())=FALSE,MyRowHidden(ROW()-1)=TRUE),0,IF(MONTH(H210)&lt;&gt;MONTH(H209),M209+1,M209))</f>
        <v>9</v>
      </c>
      <c r="N210">
        <f t="shared" si="21"/>
        <v>134855</v>
      </c>
      <c r="O210">
        <f>IF(AND(MyRowHidden(ROW())=FALSE,MyRowHidden(ROW()-1)=TRUE),0,IF(M210&lt;totalMonths,(totalMonths-M210)/totalMonths *(I210-I209)+O209,0))</f>
        <v>55539.166666666715</v>
      </c>
      <c r="P210">
        <f>IF(AND(MyRowHidden(ROW())=FALSE,MyRowHidden(ROW()-1)=TRUE),0,IF(M210&lt;totalMonths,(totalMonths-M210)/totalMonths *(J210-J209)+P209,0))</f>
        <v>358500</v>
      </c>
      <c r="Q210">
        <f>IF(AND(MyRowHidden(ROW())=FALSE,MyRowHidden(ROW()-1)=TRUE),0,IF(M210&lt;totalMonths,(totalMonths-M210)/totalMonths *(K210-K209)+Q209,0))</f>
        <v>-358500</v>
      </c>
      <c r="R210">
        <f t="shared" si="22"/>
        <v>493355</v>
      </c>
      <c r="S210">
        <f t="shared" si="23"/>
        <v>414039.16666666674</v>
      </c>
    </row>
    <row r="211" spans="1:19" hidden="1" x14ac:dyDescent="0.25">
      <c r="A211" s="1"/>
      <c r="C211" s="1"/>
      <c r="D211" s="1">
        <v>41563</v>
      </c>
      <c r="E211">
        <v>26556</v>
      </c>
      <c r="F211" s="1">
        <v>41563</v>
      </c>
      <c r="G211">
        <v>1637.5</v>
      </c>
      <c r="H211" s="1">
        <f t="shared" si="18"/>
        <v>41563</v>
      </c>
      <c r="I211">
        <f>IF(AND(MyRowHidden(ROW())=FALSE,MyRowHidden(ROW()-1)=TRUE),0,(E211-E210)*unitsOfDHp+I210)</f>
        <v>134995</v>
      </c>
      <c r="J211">
        <f>IF(AND(MyRowHidden(ROW())=FALSE,MyRowHidden(ROW()-1)=TRUE),0,(G211-G210)*unitsOfExo+J210)</f>
        <v>-75600</v>
      </c>
      <c r="K211" s="9">
        <f t="shared" si="19"/>
        <v>75600</v>
      </c>
      <c r="L211">
        <f t="shared" si="20"/>
        <v>59395</v>
      </c>
      <c r="M211">
        <f>IF(AND(MyRowHidden(ROW())=FALSE,MyRowHidden(ROW()-1)=TRUE),0,IF(MONTH(H211)&lt;&gt;MONTH(H210),M210+1,M210))</f>
        <v>9</v>
      </c>
      <c r="N211">
        <f t="shared" si="21"/>
        <v>134995</v>
      </c>
      <c r="O211">
        <f>IF(AND(MyRowHidden(ROW())=FALSE,MyRowHidden(ROW()-1)=TRUE),0,IF(M211&lt;totalMonths,(totalMonths-M211)/totalMonths *(I211-I210)+O210,0))</f>
        <v>55574.166666666715</v>
      </c>
      <c r="P211">
        <f>IF(AND(MyRowHidden(ROW())=FALSE,MyRowHidden(ROW()-1)=TRUE),0,IF(M211&lt;totalMonths,(totalMonths-M211)/totalMonths *(J211-J210)+P210,0))</f>
        <v>356700</v>
      </c>
      <c r="Q211">
        <f>IF(AND(MyRowHidden(ROW())=FALSE,MyRowHidden(ROW()-1)=TRUE),0,IF(M211&lt;totalMonths,(totalMonths-M211)/totalMonths *(K211-K210)+Q210,0))</f>
        <v>-356700</v>
      </c>
      <c r="R211">
        <f t="shared" si="22"/>
        <v>491695</v>
      </c>
      <c r="S211">
        <f t="shared" si="23"/>
        <v>412274.16666666674</v>
      </c>
    </row>
    <row r="212" spans="1:19" hidden="1" x14ac:dyDescent="0.25">
      <c r="A212" s="1"/>
      <c r="C212" s="1"/>
      <c r="D212" s="1">
        <v>41564</v>
      </c>
      <c r="E212">
        <v>26582</v>
      </c>
      <c r="F212" s="1">
        <v>41564</v>
      </c>
      <c r="G212">
        <v>1637.5</v>
      </c>
      <c r="H212" s="1">
        <f t="shared" si="18"/>
        <v>41564</v>
      </c>
      <c r="I212">
        <f>IF(AND(MyRowHidden(ROW())=FALSE,MyRowHidden(ROW()-1)=TRUE),0,(E212-E211)*unitsOfDHp+I211)</f>
        <v>135905</v>
      </c>
      <c r="J212">
        <f>IF(AND(MyRowHidden(ROW())=FALSE,MyRowHidden(ROW()-1)=TRUE),0,(G212-G211)*unitsOfExo+J211)</f>
        <v>-75600</v>
      </c>
      <c r="K212" s="9">
        <f t="shared" si="19"/>
        <v>75600</v>
      </c>
      <c r="L212">
        <f t="shared" si="20"/>
        <v>60305</v>
      </c>
      <c r="M212">
        <f>IF(AND(MyRowHidden(ROW())=FALSE,MyRowHidden(ROW()-1)=TRUE),0,IF(MONTH(H212)&lt;&gt;MONTH(H211),M211+1,M211))</f>
        <v>9</v>
      </c>
      <c r="N212">
        <f t="shared" si="21"/>
        <v>135905</v>
      </c>
      <c r="O212">
        <f>IF(AND(MyRowHidden(ROW())=FALSE,MyRowHidden(ROW()-1)=TRUE),0,IF(M212&lt;totalMonths,(totalMonths-M212)/totalMonths *(I212-I211)+O211,0))</f>
        <v>55801.666666666715</v>
      </c>
      <c r="P212">
        <f>IF(AND(MyRowHidden(ROW())=FALSE,MyRowHidden(ROW()-1)=TRUE),0,IF(M212&lt;totalMonths,(totalMonths-M212)/totalMonths *(J212-J211)+P211,0))</f>
        <v>356700</v>
      </c>
      <c r="Q212">
        <f>IF(AND(MyRowHidden(ROW())=FALSE,MyRowHidden(ROW()-1)=TRUE),0,IF(M212&lt;totalMonths,(totalMonths-M212)/totalMonths *(K212-K211)+Q211,0))</f>
        <v>-356700</v>
      </c>
      <c r="R212">
        <f t="shared" si="22"/>
        <v>492605</v>
      </c>
      <c r="S212">
        <f t="shared" si="23"/>
        <v>412501.66666666674</v>
      </c>
    </row>
    <row r="213" spans="1:19" hidden="1" x14ac:dyDescent="0.25">
      <c r="A213" s="1"/>
      <c r="C213" s="1"/>
      <c r="D213" s="1">
        <v>41565</v>
      </c>
      <c r="E213">
        <v>26620</v>
      </c>
      <c r="F213" s="1">
        <v>41565</v>
      </c>
      <c r="G213">
        <v>1675</v>
      </c>
      <c r="H213" s="1">
        <f t="shared" si="18"/>
        <v>41565</v>
      </c>
      <c r="I213">
        <f>IF(AND(MyRowHidden(ROW())=FALSE,MyRowHidden(ROW()-1)=TRUE),0,(E213-E212)*unitsOfDHp+I212)</f>
        <v>137235</v>
      </c>
      <c r="J213">
        <f>IF(AND(MyRowHidden(ROW())=FALSE,MyRowHidden(ROW()-1)=TRUE),0,(G213-G212)*unitsOfExo+J212)</f>
        <v>-64800</v>
      </c>
      <c r="K213" s="9">
        <f t="shared" si="19"/>
        <v>64800</v>
      </c>
      <c r="L213">
        <f t="shared" si="20"/>
        <v>72435</v>
      </c>
      <c r="M213">
        <f>IF(AND(MyRowHidden(ROW())=FALSE,MyRowHidden(ROW()-1)=TRUE),0,IF(MONTH(H213)&lt;&gt;MONTH(H212),M212+1,M212))</f>
        <v>9</v>
      </c>
      <c r="N213">
        <f t="shared" si="21"/>
        <v>137235</v>
      </c>
      <c r="O213">
        <f>IF(AND(MyRowHidden(ROW())=FALSE,MyRowHidden(ROW()-1)=TRUE),0,IF(M213&lt;totalMonths,(totalMonths-M213)/totalMonths *(I213-I212)+O212,0))</f>
        <v>56134.166666666715</v>
      </c>
      <c r="P213">
        <f>IF(AND(MyRowHidden(ROW())=FALSE,MyRowHidden(ROW()-1)=TRUE),0,IF(M213&lt;totalMonths,(totalMonths-M213)/totalMonths *(J213-J212)+P212,0))</f>
        <v>359400</v>
      </c>
      <c r="Q213">
        <f>IF(AND(MyRowHidden(ROW())=FALSE,MyRowHidden(ROW()-1)=TRUE),0,IF(M213&lt;totalMonths,(totalMonths-M213)/totalMonths *(K213-K212)+Q212,0))</f>
        <v>-359400</v>
      </c>
      <c r="R213">
        <f t="shared" si="22"/>
        <v>496635</v>
      </c>
      <c r="S213">
        <f t="shared" si="23"/>
        <v>415534.16666666674</v>
      </c>
    </row>
    <row r="214" spans="1:19" hidden="1" x14ac:dyDescent="0.25">
      <c r="A214" s="1"/>
      <c r="C214" s="1"/>
      <c r="D214" s="1">
        <v>41568</v>
      </c>
      <c r="E214">
        <v>26619</v>
      </c>
      <c r="F214" s="1">
        <v>41568</v>
      </c>
      <c r="G214">
        <v>1687.5</v>
      </c>
      <c r="H214" s="1">
        <f t="shared" si="18"/>
        <v>41568</v>
      </c>
      <c r="I214">
        <f>IF(AND(MyRowHidden(ROW())=FALSE,MyRowHidden(ROW()-1)=TRUE),0,(E214-E213)*unitsOfDHp+I213)</f>
        <v>137200</v>
      </c>
      <c r="J214">
        <f>IF(AND(MyRowHidden(ROW())=FALSE,MyRowHidden(ROW()-1)=TRUE),0,(G214-G213)*unitsOfExo+J213)</f>
        <v>-61200</v>
      </c>
      <c r="K214" s="9">
        <f t="shared" si="19"/>
        <v>61200</v>
      </c>
      <c r="L214">
        <f t="shared" si="20"/>
        <v>76000</v>
      </c>
      <c r="M214">
        <f>IF(AND(MyRowHidden(ROW())=FALSE,MyRowHidden(ROW()-1)=TRUE),0,IF(MONTH(H214)&lt;&gt;MONTH(H213),M213+1,M213))</f>
        <v>9</v>
      </c>
      <c r="N214">
        <f t="shared" si="21"/>
        <v>137200</v>
      </c>
      <c r="O214">
        <f>IF(AND(MyRowHidden(ROW())=FALSE,MyRowHidden(ROW()-1)=TRUE),0,IF(M214&lt;totalMonths,(totalMonths-M214)/totalMonths *(I214-I213)+O213,0))</f>
        <v>56125.416666666715</v>
      </c>
      <c r="P214">
        <f>IF(AND(MyRowHidden(ROW())=FALSE,MyRowHidden(ROW()-1)=TRUE),0,IF(M214&lt;totalMonths,(totalMonths-M214)/totalMonths *(J214-J213)+P213,0))</f>
        <v>360300</v>
      </c>
      <c r="Q214">
        <f>IF(AND(MyRowHidden(ROW())=FALSE,MyRowHidden(ROW()-1)=TRUE),0,IF(M214&lt;totalMonths,(totalMonths-M214)/totalMonths *(K214-K213)+Q213,0))</f>
        <v>-360300</v>
      </c>
      <c r="R214">
        <f t="shared" si="22"/>
        <v>497500</v>
      </c>
      <c r="S214">
        <f t="shared" si="23"/>
        <v>416425.41666666674</v>
      </c>
    </row>
    <row r="215" spans="1:19" hidden="1" x14ac:dyDescent="0.25">
      <c r="A215" s="1"/>
      <c r="C215" s="1"/>
      <c r="D215" s="1">
        <v>41569</v>
      </c>
      <c r="E215">
        <v>26433</v>
      </c>
      <c r="F215" s="1">
        <v>41569</v>
      </c>
      <c r="G215">
        <v>1537.5</v>
      </c>
      <c r="H215" s="1">
        <f t="shared" si="18"/>
        <v>41569</v>
      </c>
      <c r="I215">
        <f>IF(AND(MyRowHidden(ROW())=FALSE,MyRowHidden(ROW()-1)=TRUE),0,(E215-E214)*unitsOfDHp+I214)</f>
        <v>130690</v>
      </c>
      <c r="J215">
        <f>IF(AND(MyRowHidden(ROW())=FALSE,MyRowHidden(ROW()-1)=TRUE),0,(G215-G214)*unitsOfExo+J214)</f>
        <v>-104400</v>
      </c>
      <c r="K215" s="9">
        <f t="shared" si="19"/>
        <v>104400</v>
      </c>
      <c r="L215">
        <f t="shared" si="20"/>
        <v>26290</v>
      </c>
      <c r="M215">
        <f>IF(AND(MyRowHidden(ROW())=FALSE,MyRowHidden(ROW()-1)=TRUE),0,IF(MONTH(H215)&lt;&gt;MONTH(H214),M214+1,M214))</f>
        <v>9</v>
      </c>
      <c r="N215">
        <f t="shared" si="21"/>
        <v>130690</v>
      </c>
      <c r="O215">
        <f>IF(AND(MyRowHidden(ROW())=FALSE,MyRowHidden(ROW()-1)=TRUE),0,IF(M215&lt;totalMonths,(totalMonths-M215)/totalMonths *(I215-I214)+O214,0))</f>
        <v>54497.916666666715</v>
      </c>
      <c r="P215">
        <f>IF(AND(MyRowHidden(ROW())=FALSE,MyRowHidden(ROW()-1)=TRUE),0,IF(M215&lt;totalMonths,(totalMonths-M215)/totalMonths *(J215-J214)+P214,0))</f>
        <v>349500</v>
      </c>
      <c r="Q215">
        <f>IF(AND(MyRowHidden(ROW())=FALSE,MyRowHidden(ROW()-1)=TRUE),0,IF(M215&lt;totalMonths,(totalMonths-M215)/totalMonths *(K215-K214)+Q214,0))</f>
        <v>-349500</v>
      </c>
      <c r="R215">
        <f t="shared" si="22"/>
        <v>480190</v>
      </c>
      <c r="S215">
        <f t="shared" si="23"/>
        <v>403997.91666666674</v>
      </c>
    </row>
    <row r="216" spans="1:19" hidden="1" x14ac:dyDescent="0.25">
      <c r="A216" s="1"/>
      <c r="C216" s="1"/>
      <c r="D216" s="1">
        <v>41570</v>
      </c>
      <c r="E216">
        <v>26480</v>
      </c>
      <c r="F216" s="1">
        <v>41570</v>
      </c>
      <c r="G216">
        <v>1687.5</v>
      </c>
      <c r="H216" s="1">
        <f t="shared" si="18"/>
        <v>41570</v>
      </c>
      <c r="I216">
        <f>IF(AND(MyRowHidden(ROW())=FALSE,MyRowHidden(ROW()-1)=TRUE),0,(E216-E215)*unitsOfDHp+I215)</f>
        <v>132335</v>
      </c>
      <c r="J216">
        <f>IF(AND(MyRowHidden(ROW())=FALSE,MyRowHidden(ROW()-1)=TRUE),0,(G216-G215)*unitsOfExo+J215)</f>
        <v>-61200</v>
      </c>
      <c r="K216" s="9">
        <f t="shared" si="19"/>
        <v>61200</v>
      </c>
      <c r="L216">
        <f t="shared" si="20"/>
        <v>71135</v>
      </c>
      <c r="M216">
        <f>IF(AND(MyRowHidden(ROW())=FALSE,MyRowHidden(ROW()-1)=TRUE),0,IF(MONTH(H216)&lt;&gt;MONTH(H215),M215+1,M215))</f>
        <v>9</v>
      </c>
      <c r="N216">
        <f t="shared" si="21"/>
        <v>132335</v>
      </c>
      <c r="O216">
        <f>IF(AND(MyRowHidden(ROW())=FALSE,MyRowHidden(ROW()-1)=TRUE),0,IF(M216&lt;totalMonths,(totalMonths-M216)/totalMonths *(I216-I215)+O215,0))</f>
        <v>54909.166666666715</v>
      </c>
      <c r="P216">
        <f>IF(AND(MyRowHidden(ROW())=FALSE,MyRowHidden(ROW()-1)=TRUE),0,IF(M216&lt;totalMonths,(totalMonths-M216)/totalMonths *(J216-J215)+P215,0))</f>
        <v>360300</v>
      </c>
      <c r="Q216">
        <f>IF(AND(MyRowHidden(ROW())=FALSE,MyRowHidden(ROW()-1)=TRUE),0,IF(M216&lt;totalMonths,(totalMonths-M216)/totalMonths *(K216-K215)+Q215,0))</f>
        <v>-360300</v>
      </c>
      <c r="R216">
        <f t="shared" si="22"/>
        <v>492635</v>
      </c>
      <c r="S216">
        <f t="shared" si="23"/>
        <v>415209.16666666674</v>
      </c>
    </row>
    <row r="217" spans="1:19" hidden="1" x14ac:dyDescent="0.25">
      <c r="A217" s="1"/>
      <c r="C217" s="1"/>
      <c r="D217" s="1">
        <v>41571</v>
      </c>
      <c r="E217">
        <v>26528</v>
      </c>
      <c r="F217" s="1">
        <v>41571</v>
      </c>
      <c r="G217">
        <v>1512.5</v>
      </c>
      <c r="H217" s="1">
        <f t="shared" si="18"/>
        <v>41571</v>
      </c>
      <c r="I217">
        <f>IF(AND(MyRowHidden(ROW())=FALSE,MyRowHidden(ROW()-1)=TRUE),0,(E217-E216)*unitsOfDHp+I216)</f>
        <v>134015</v>
      </c>
      <c r="J217">
        <f>IF(AND(MyRowHidden(ROW())=FALSE,MyRowHidden(ROW()-1)=TRUE),0,(G217-G216)*unitsOfExo+J216)</f>
        <v>-111600</v>
      </c>
      <c r="K217" s="9">
        <f t="shared" si="19"/>
        <v>111600</v>
      </c>
      <c r="L217">
        <f t="shared" si="20"/>
        <v>22415</v>
      </c>
      <c r="M217">
        <f>IF(AND(MyRowHidden(ROW())=FALSE,MyRowHidden(ROW()-1)=TRUE),0,IF(MONTH(H217)&lt;&gt;MONTH(H216),M216+1,M216))</f>
        <v>9</v>
      </c>
      <c r="N217">
        <f t="shared" si="21"/>
        <v>134015</v>
      </c>
      <c r="O217">
        <f>IF(AND(MyRowHidden(ROW())=FALSE,MyRowHidden(ROW()-1)=TRUE),0,IF(M217&lt;totalMonths,(totalMonths-M217)/totalMonths *(I217-I216)+O216,0))</f>
        <v>55329.166666666715</v>
      </c>
      <c r="P217">
        <f>IF(AND(MyRowHidden(ROW())=FALSE,MyRowHidden(ROW()-1)=TRUE),0,IF(M217&lt;totalMonths,(totalMonths-M217)/totalMonths *(J217-J216)+P216,0))</f>
        <v>347700</v>
      </c>
      <c r="Q217">
        <f>IF(AND(MyRowHidden(ROW())=FALSE,MyRowHidden(ROW()-1)=TRUE),0,IF(M217&lt;totalMonths,(totalMonths-M217)/totalMonths *(K217-K216)+Q216,0))</f>
        <v>-347700</v>
      </c>
      <c r="R217">
        <f t="shared" si="22"/>
        <v>481715</v>
      </c>
      <c r="S217">
        <f t="shared" si="23"/>
        <v>403029.16666666674</v>
      </c>
    </row>
    <row r="218" spans="1:19" hidden="1" x14ac:dyDescent="0.25">
      <c r="A218" s="1"/>
      <c r="C218" s="1"/>
      <c r="D218" s="1">
        <v>41572</v>
      </c>
      <c r="E218">
        <v>26495</v>
      </c>
      <c r="F218" s="1">
        <v>41572</v>
      </c>
      <c r="G218">
        <v>1550</v>
      </c>
      <c r="H218" s="1">
        <f t="shared" si="18"/>
        <v>41572</v>
      </c>
      <c r="I218">
        <f>IF(AND(MyRowHidden(ROW())=FALSE,MyRowHidden(ROW()-1)=TRUE),0,(E218-E217)*unitsOfDHp+I217)</f>
        <v>132860</v>
      </c>
      <c r="J218">
        <f>IF(AND(MyRowHidden(ROW())=FALSE,MyRowHidden(ROW()-1)=TRUE),0,(G218-G217)*unitsOfExo+J217)</f>
        <v>-100800</v>
      </c>
      <c r="K218" s="9">
        <f t="shared" si="19"/>
        <v>100800</v>
      </c>
      <c r="L218">
        <f t="shared" si="20"/>
        <v>32060</v>
      </c>
      <c r="M218">
        <f>IF(AND(MyRowHidden(ROW())=FALSE,MyRowHidden(ROW()-1)=TRUE),0,IF(MONTH(H218)&lt;&gt;MONTH(H217),M217+1,M217))</f>
        <v>9</v>
      </c>
      <c r="N218">
        <f t="shared" si="21"/>
        <v>132860</v>
      </c>
      <c r="O218">
        <f>IF(AND(MyRowHidden(ROW())=FALSE,MyRowHidden(ROW()-1)=TRUE),0,IF(M218&lt;totalMonths,(totalMonths-M218)/totalMonths *(I218-I217)+O217,0))</f>
        <v>55040.416666666715</v>
      </c>
      <c r="P218">
        <f>IF(AND(MyRowHidden(ROW())=FALSE,MyRowHidden(ROW()-1)=TRUE),0,IF(M218&lt;totalMonths,(totalMonths-M218)/totalMonths *(J218-J217)+P217,0))</f>
        <v>350400</v>
      </c>
      <c r="Q218">
        <f>IF(AND(MyRowHidden(ROW())=FALSE,MyRowHidden(ROW()-1)=TRUE),0,IF(M218&lt;totalMonths,(totalMonths-M218)/totalMonths *(K218-K217)+Q217,0))</f>
        <v>-350400</v>
      </c>
      <c r="R218">
        <f t="shared" si="22"/>
        <v>483260</v>
      </c>
      <c r="S218">
        <f t="shared" si="23"/>
        <v>405440.41666666674</v>
      </c>
    </row>
    <row r="219" spans="1:19" hidden="1" x14ac:dyDescent="0.25">
      <c r="A219" s="1"/>
      <c r="C219" s="1"/>
      <c r="D219" s="1">
        <v>41575</v>
      </c>
      <c r="E219">
        <v>26661</v>
      </c>
      <c r="F219" s="1">
        <v>41575</v>
      </c>
      <c r="G219">
        <v>1087.5</v>
      </c>
      <c r="H219" s="1">
        <f t="shared" si="18"/>
        <v>41575</v>
      </c>
      <c r="I219">
        <f>IF(AND(MyRowHidden(ROW())=FALSE,MyRowHidden(ROW()-1)=TRUE),0,(E219-E218)*unitsOfDHp+I218)</f>
        <v>138670</v>
      </c>
      <c r="J219">
        <f>IF(AND(MyRowHidden(ROW())=FALSE,MyRowHidden(ROW()-1)=TRUE),0,(G219-G218)*unitsOfExo+J218)</f>
        <v>-234000</v>
      </c>
      <c r="K219" s="9">
        <f t="shared" si="19"/>
        <v>234000</v>
      </c>
      <c r="L219">
        <f t="shared" si="20"/>
        <v>-95330</v>
      </c>
      <c r="M219">
        <f>IF(AND(MyRowHidden(ROW())=FALSE,MyRowHidden(ROW()-1)=TRUE),0,IF(MONTH(H219)&lt;&gt;MONTH(H218),M218+1,M218))</f>
        <v>9</v>
      </c>
      <c r="N219">
        <f t="shared" si="21"/>
        <v>138670</v>
      </c>
      <c r="O219">
        <f>IF(AND(MyRowHidden(ROW())=FALSE,MyRowHidden(ROW()-1)=TRUE),0,IF(M219&lt;totalMonths,(totalMonths-M219)/totalMonths *(I219-I218)+O218,0))</f>
        <v>56492.916666666715</v>
      </c>
      <c r="P219">
        <f>IF(AND(MyRowHidden(ROW())=FALSE,MyRowHidden(ROW()-1)=TRUE),0,IF(M219&lt;totalMonths,(totalMonths-M219)/totalMonths *(J219-J218)+P218,0))</f>
        <v>317100</v>
      </c>
      <c r="Q219">
        <f>IF(AND(MyRowHidden(ROW())=FALSE,MyRowHidden(ROW()-1)=TRUE),0,IF(M219&lt;totalMonths,(totalMonths-M219)/totalMonths *(K219-K218)+Q218,0))</f>
        <v>-317100</v>
      </c>
      <c r="R219">
        <f t="shared" si="22"/>
        <v>455770</v>
      </c>
      <c r="S219">
        <f t="shared" si="23"/>
        <v>373592.91666666674</v>
      </c>
    </row>
    <row r="220" spans="1:19" hidden="1" x14ac:dyDescent="0.25">
      <c r="A220" s="1"/>
      <c r="C220" s="1"/>
      <c r="D220" s="1">
        <v>41576</v>
      </c>
      <c r="E220">
        <v>26610</v>
      </c>
      <c r="F220" s="1">
        <v>41576</v>
      </c>
      <c r="G220">
        <v>1062.5</v>
      </c>
      <c r="H220" s="1">
        <f t="shared" si="18"/>
        <v>41576</v>
      </c>
      <c r="I220">
        <f>IF(AND(MyRowHidden(ROW())=FALSE,MyRowHidden(ROW()-1)=TRUE),0,(E220-E219)*unitsOfDHp+I219)</f>
        <v>136885</v>
      </c>
      <c r="J220">
        <f>IF(AND(MyRowHidden(ROW())=FALSE,MyRowHidden(ROW()-1)=TRUE),0,(G220-G219)*unitsOfExo+J219)</f>
        <v>-241200</v>
      </c>
      <c r="K220" s="9">
        <f t="shared" si="19"/>
        <v>241200</v>
      </c>
      <c r="L220">
        <f t="shared" si="20"/>
        <v>-104315</v>
      </c>
      <c r="M220">
        <f>IF(AND(MyRowHidden(ROW())=FALSE,MyRowHidden(ROW()-1)=TRUE),0,IF(MONTH(H220)&lt;&gt;MONTH(H219),M219+1,M219))</f>
        <v>9</v>
      </c>
      <c r="N220">
        <f t="shared" si="21"/>
        <v>136885</v>
      </c>
      <c r="O220">
        <f>IF(AND(MyRowHidden(ROW())=FALSE,MyRowHidden(ROW()-1)=TRUE),0,IF(M220&lt;totalMonths,(totalMonths-M220)/totalMonths *(I220-I219)+O219,0))</f>
        <v>56046.666666666715</v>
      </c>
      <c r="P220">
        <f>IF(AND(MyRowHidden(ROW())=FALSE,MyRowHidden(ROW()-1)=TRUE),0,IF(M220&lt;totalMonths,(totalMonths-M220)/totalMonths *(J220-J219)+P219,0))</f>
        <v>315300</v>
      </c>
      <c r="Q220">
        <f>IF(AND(MyRowHidden(ROW())=FALSE,MyRowHidden(ROW()-1)=TRUE),0,IF(M220&lt;totalMonths,(totalMonths-M220)/totalMonths *(K220-K219)+Q219,0))</f>
        <v>-315300</v>
      </c>
      <c r="R220">
        <f t="shared" si="22"/>
        <v>452185</v>
      </c>
      <c r="S220">
        <f t="shared" si="23"/>
        <v>371346.66666666674</v>
      </c>
    </row>
    <row r="221" spans="1:19" hidden="1" x14ac:dyDescent="0.25">
      <c r="A221" s="1"/>
      <c r="C221" s="1"/>
      <c r="D221" s="1">
        <v>41577</v>
      </c>
      <c r="E221">
        <v>26618</v>
      </c>
      <c r="F221" s="1">
        <v>41577</v>
      </c>
      <c r="G221">
        <v>1062.5</v>
      </c>
      <c r="H221" s="1">
        <f t="shared" si="18"/>
        <v>41577</v>
      </c>
      <c r="I221">
        <f>IF(AND(MyRowHidden(ROW())=FALSE,MyRowHidden(ROW()-1)=TRUE),0,(E221-E220)*unitsOfDHp+I220)</f>
        <v>137165</v>
      </c>
      <c r="J221">
        <f>IF(AND(MyRowHidden(ROW())=FALSE,MyRowHidden(ROW()-1)=TRUE),0,(G221-G220)*unitsOfExo+J220)</f>
        <v>-241200</v>
      </c>
      <c r="K221" s="9">
        <f t="shared" si="19"/>
        <v>241200</v>
      </c>
      <c r="L221">
        <f t="shared" si="20"/>
        <v>-104035</v>
      </c>
      <c r="M221">
        <f>IF(AND(MyRowHidden(ROW())=FALSE,MyRowHidden(ROW()-1)=TRUE),0,IF(MONTH(H221)&lt;&gt;MONTH(H220),M220+1,M220))</f>
        <v>9</v>
      </c>
      <c r="N221">
        <f t="shared" si="21"/>
        <v>137165</v>
      </c>
      <c r="O221">
        <f>IF(AND(MyRowHidden(ROW())=FALSE,MyRowHidden(ROW()-1)=TRUE),0,IF(M221&lt;totalMonths,(totalMonths-M221)/totalMonths *(I221-I220)+O220,0))</f>
        <v>56116.666666666715</v>
      </c>
      <c r="P221">
        <f>IF(AND(MyRowHidden(ROW())=FALSE,MyRowHidden(ROW()-1)=TRUE),0,IF(M221&lt;totalMonths,(totalMonths-M221)/totalMonths *(J221-J220)+P220,0))</f>
        <v>315300</v>
      </c>
      <c r="Q221">
        <f>IF(AND(MyRowHidden(ROW())=FALSE,MyRowHidden(ROW()-1)=TRUE),0,IF(M221&lt;totalMonths,(totalMonths-M221)/totalMonths *(K221-K220)+Q220,0))</f>
        <v>-315300</v>
      </c>
      <c r="R221">
        <f t="shared" si="22"/>
        <v>452465</v>
      </c>
      <c r="S221">
        <f t="shared" si="23"/>
        <v>371416.66666666674</v>
      </c>
    </row>
    <row r="222" spans="1:19" hidden="1" x14ac:dyDescent="0.25">
      <c r="A222" s="1"/>
      <c r="C222" s="1"/>
      <c r="D222" s="1">
        <v>41578</v>
      </c>
      <c r="E222">
        <v>26575</v>
      </c>
      <c r="F222" s="1">
        <v>41578</v>
      </c>
      <c r="G222">
        <v>887.5</v>
      </c>
      <c r="H222" s="1">
        <f t="shared" si="18"/>
        <v>41578</v>
      </c>
      <c r="I222">
        <f>IF(AND(MyRowHidden(ROW())=FALSE,MyRowHidden(ROW()-1)=TRUE),0,(E222-E221)*unitsOfDHp+I221)</f>
        <v>135660</v>
      </c>
      <c r="J222">
        <f>IF(AND(MyRowHidden(ROW())=FALSE,MyRowHidden(ROW()-1)=TRUE),0,(G222-G221)*unitsOfExo+J221)</f>
        <v>-291600</v>
      </c>
      <c r="K222" s="9">
        <f t="shared" si="19"/>
        <v>291600</v>
      </c>
      <c r="L222">
        <f t="shared" si="20"/>
        <v>-155940</v>
      </c>
      <c r="M222">
        <f>IF(AND(MyRowHidden(ROW())=FALSE,MyRowHidden(ROW()-1)=TRUE),0,IF(MONTH(H222)&lt;&gt;MONTH(H221),M221+1,M221))</f>
        <v>9</v>
      </c>
      <c r="N222">
        <f t="shared" si="21"/>
        <v>135660</v>
      </c>
      <c r="O222">
        <f>IF(AND(MyRowHidden(ROW())=FALSE,MyRowHidden(ROW()-1)=TRUE),0,IF(M222&lt;totalMonths,(totalMonths-M222)/totalMonths *(I222-I221)+O221,0))</f>
        <v>55740.416666666715</v>
      </c>
      <c r="P222">
        <f>IF(AND(MyRowHidden(ROW())=FALSE,MyRowHidden(ROW()-1)=TRUE),0,IF(M222&lt;totalMonths,(totalMonths-M222)/totalMonths *(J222-J221)+P221,0))</f>
        <v>302700</v>
      </c>
      <c r="Q222">
        <f>IF(AND(MyRowHidden(ROW())=FALSE,MyRowHidden(ROW()-1)=TRUE),0,IF(M222&lt;totalMonths,(totalMonths-M222)/totalMonths *(K222-K221)+Q221,0))</f>
        <v>-302700</v>
      </c>
      <c r="R222">
        <f t="shared" si="22"/>
        <v>438360</v>
      </c>
      <c r="S222">
        <f t="shared" si="23"/>
        <v>358440.41666666674</v>
      </c>
    </row>
    <row r="223" spans="1:19" hidden="1" x14ac:dyDescent="0.25">
      <c r="A223" s="1"/>
      <c r="C223" s="1"/>
      <c r="D223" s="1">
        <v>41579</v>
      </c>
      <c r="E223">
        <v>26585</v>
      </c>
      <c r="F223" s="1">
        <v>41579</v>
      </c>
      <c r="G223">
        <v>912.5</v>
      </c>
      <c r="H223" s="1">
        <f t="shared" si="18"/>
        <v>41579</v>
      </c>
      <c r="I223">
        <f>IF(AND(MyRowHidden(ROW())=FALSE,MyRowHidden(ROW()-1)=TRUE),0,(E223-E222)*unitsOfDHp+I222)</f>
        <v>136010</v>
      </c>
      <c r="J223">
        <f>IF(AND(MyRowHidden(ROW())=FALSE,MyRowHidden(ROW()-1)=TRUE),0,(G223-G222)*unitsOfExo+J222)</f>
        <v>-284400</v>
      </c>
      <c r="K223" s="9">
        <f t="shared" si="19"/>
        <v>284400</v>
      </c>
      <c r="L223">
        <f t="shared" si="20"/>
        <v>-148390</v>
      </c>
      <c r="M223">
        <f>IF(AND(MyRowHidden(ROW())=FALSE,MyRowHidden(ROW()-1)=TRUE),0,IF(MONTH(H223)&lt;&gt;MONTH(H222),M222+1,M222))</f>
        <v>10</v>
      </c>
      <c r="N223">
        <f t="shared" si="21"/>
        <v>136010</v>
      </c>
      <c r="O223">
        <f>IF(AND(MyRowHidden(ROW())=FALSE,MyRowHidden(ROW()-1)=TRUE),0,IF(M223&lt;totalMonths,(totalMonths-M223)/totalMonths *(I223-I222)+O222,0))</f>
        <v>55798.750000000051</v>
      </c>
      <c r="P223">
        <f>IF(AND(MyRowHidden(ROW())=FALSE,MyRowHidden(ROW()-1)=TRUE),0,IF(M223&lt;totalMonths,(totalMonths-M223)/totalMonths *(J223-J222)+P222,0))</f>
        <v>303900</v>
      </c>
      <c r="Q223">
        <f>IF(AND(MyRowHidden(ROW())=FALSE,MyRowHidden(ROW()-1)=TRUE),0,IF(M223&lt;totalMonths,(totalMonths-M223)/totalMonths *(K223-K222)+Q222,0))</f>
        <v>-303900</v>
      </c>
      <c r="R223">
        <f t="shared" si="22"/>
        <v>439910</v>
      </c>
      <c r="S223">
        <f t="shared" si="23"/>
        <v>359698.75000000006</v>
      </c>
    </row>
    <row r="224" spans="1:19" hidden="1" x14ac:dyDescent="0.25">
      <c r="A224" s="1"/>
      <c r="C224" s="1"/>
      <c r="D224" s="1">
        <v>41582</v>
      </c>
      <c r="E224">
        <v>26552</v>
      </c>
      <c r="F224" s="1">
        <v>41582</v>
      </c>
      <c r="G224">
        <v>862.5</v>
      </c>
      <c r="H224" s="1">
        <f t="shared" si="18"/>
        <v>41582</v>
      </c>
      <c r="I224">
        <f>IF(AND(MyRowHidden(ROW())=FALSE,MyRowHidden(ROW()-1)=TRUE),0,(E224-E223)*unitsOfDHp+I223)</f>
        <v>134855</v>
      </c>
      <c r="J224">
        <f>IF(AND(MyRowHidden(ROW())=FALSE,MyRowHidden(ROW()-1)=TRUE),0,(G224-G223)*unitsOfExo+J223)</f>
        <v>-298800</v>
      </c>
      <c r="K224" s="9">
        <f t="shared" si="19"/>
        <v>298800</v>
      </c>
      <c r="L224">
        <f t="shared" si="20"/>
        <v>-163945</v>
      </c>
      <c r="M224">
        <f>IF(AND(MyRowHidden(ROW())=FALSE,MyRowHidden(ROW()-1)=TRUE),0,IF(MONTH(H224)&lt;&gt;MONTH(H223),M223+1,M223))</f>
        <v>10</v>
      </c>
      <c r="N224">
        <f t="shared" si="21"/>
        <v>134855</v>
      </c>
      <c r="O224">
        <f>IF(AND(MyRowHidden(ROW())=FALSE,MyRowHidden(ROW()-1)=TRUE),0,IF(M224&lt;totalMonths,(totalMonths-M224)/totalMonths *(I224-I223)+O223,0))</f>
        <v>55606.250000000051</v>
      </c>
      <c r="P224">
        <f>IF(AND(MyRowHidden(ROW())=FALSE,MyRowHidden(ROW()-1)=TRUE),0,IF(M224&lt;totalMonths,(totalMonths-M224)/totalMonths *(J224-J223)+P223,0))</f>
        <v>301500</v>
      </c>
      <c r="Q224">
        <f>IF(AND(MyRowHidden(ROW())=FALSE,MyRowHidden(ROW()-1)=TRUE),0,IF(M224&lt;totalMonths,(totalMonths-M224)/totalMonths *(K224-K223)+Q223,0))</f>
        <v>-301500</v>
      </c>
      <c r="R224">
        <f t="shared" si="22"/>
        <v>436355</v>
      </c>
      <c r="S224">
        <f t="shared" si="23"/>
        <v>357106.25000000006</v>
      </c>
    </row>
    <row r="225" spans="1:19" hidden="1" x14ac:dyDescent="0.25">
      <c r="A225" s="1"/>
      <c r="C225" s="1"/>
      <c r="D225" s="1">
        <v>41583</v>
      </c>
      <c r="E225">
        <v>26530</v>
      </c>
      <c r="F225" s="1">
        <v>41583</v>
      </c>
      <c r="G225">
        <v>762.5</v>
      </c>
      <c r="H225" s="1">
        <f t="shared" si="18"/>
        <v>41583</v>
      </c>
      <c r="I225">
        <f>IF(AND(MyRowHidden(ROW())=FALSE,MyRowHidden(ROW()-1)=TRUE),0,(E225-E224)*unitsOfDHp+I224)</f>
        <v>134085</v>
      </c>
      <c r="J225">
        <f>IF(AND(MyRowHidden(ROW())=FALSE,MyRowHidden(ROW()-1)=TRUE),0,(G225-G224)*unitsOfExo+J224)</f>
        <v>-327600</v>
      </c>
      <c r="K225" s="9">
        <f t="shared" si="19"/>
        <v>327600</v>
      </c>
      <c r="L225">
        <f t="shared" si="20"/>
        <v>-193515</v>
      </c>
      <c r="M225">
        <f>IF(AND(MyRowHidden(ROW())=FALSE,MyRowHidden(ROW()-1)=TRUE),0,IF(MONTH(H225)&lt;&gt;MONTH(H224),M224+1,M224))</f>
        <v>10</v>
      </c>
      <c r="N225">
        <f t="shared" si="21"/>
        <v>134085</v>
      </c>
      <c r="O225">
        <f>IF(AND(MyRowHidden(ROW())=FALSE,MyRowHidden(ROW()-1)=TRUE),0,IF(M225&lt;totalMonths,(totalMonths-M225)/totalMonths *(I225-I224)+O224,0))</f>
        <v>55477.916666666715</v>
      </c>
      <c r="P225">
        <f>IF(AND(MyRowHidden(ROW())=FALSE,MyRowHidden(ROW()-1)=TRUE),0,IF(M225&lt;totalMonths,(totalMonths-M225)/totalMonths *(J225-J224)+P224,0))</f>
        <v>296700</v>
      </c>
      <c r="Q225">
        <f>IF(AND(MyRowHidden(ROW())=FALSE,MyRowHidden(ROW()-1)=TRUE),0,IF(M225&lt;totalMonths,(totalMonths-M225)/totalMonths *(K225-K224)+Q224,0))</f>
        <v>-296700</v>
      </c>
      <c r="R225">
        <f t="shared" si="22"/>
        <v>430785</v>
      </c>
      <c r="S225">
        <f t="shared" si="23"/>
        <v>352177.91666666674</v>
      </c>
    </row>
    <row r="226" spans="1:19" hidden="1" x14ac:dyDescent="0.25">
      <c r="A226" s="1"/>
      <c r="C226" s="1"/>
      <c r="D226" s="1">
        <v>41584</v>
      </c>
      <c r="E226">
        <v>26465</v>
      </c>
      <c r="F226" s="1">
        <v>41584</v>
      </c>
      <c r="G226">
        <v>587.5</v>
      </c>
      <c r="H226" s="1">
        <f t="shared" si="18"/>
        <v>41584</v>
      </c>
      <c r="I226">
        <f>IF(AND(MyRowHidden(ROW())=FALSE,MyRowHidden(ROW()-1)=TRUE),0,(E226-E225)*unitsOfDHp+I225)</f>
        <v>131810</v>
      </c>
      <c r="J226">
        <f>IF(AND(MyRowHidden(ROW())=FALSE,MyRowHidden(ROW()-1)=TRUE),0,(G226-G225)*unitsOfExo+J225)</f>
        <v>-378000</v>
      </c>
      <c r="K226" s="9">
        <f t="shared" si="19"/>
        <v>378000</v>
      </c>
      <c r="L226">
        <f t="shared" si="20"/>
        <v>-246190</v>
      </c>
      <c r="M226">
        <f>IF(AND(MyRowHidden(ROW())=FALSE,MyRowHidden(ROW()-1)=TRUE),0,IF(MONTH(H226)&lt;&gt;MONTH(H225),M225+1,M225))</f>
        <v>10</v>
      </c>
      <c r="N226">
        <f t="shared" si="21"/>
        <v>131810</v>
      </c>
      <c r="O226">
        <f>IF(AND(MyRowHidden(ROW())=FALSE,MyRowHidden(ROW()-1)=TRUE),0,IF(M226&lt;totalMonths,(totalMonths-M226)/totalMonths *(I226-I225)+O225,0))</f>
        <v>55098.750000000051</v>
      </c>
      <c r="P226">
        <f>IF(AND(MyRowHidden(ROW())=FALSE,MyRowHidden(ROW()-1)=TRUE),0,IF(M226&lt;totalMonths,(totalMonths-M226)/totalMonths *(J226-J225)+P225,0))</f>
        <v>288300</v>
      </c>
      <c r="Q226">
        <f>IF(AND(MyRowHidden(ROW())=FALSE,MyRowHidden(ROW()-1)=TRUE),0,IF(M226&lt;totalMonths,(totalMonths-M226)/totalMonths *(K226-K225)+Q225,0))</f>
        <v>-288300</v>
      </c>
      <c r="R226">
        <f t="shared" si="22"/>
        <v>420110</v>
      </c>
      <c r="S226">
        <f t="shared" si="23"/>
        <v>343398.75000000006</v>
      </c>
    </row>
    <row r="227" spans="1:19" hidden="1" x14ac:dyDescent="0.25">
      <c r="A227" s="1"/>
      <c r="C227" s="1"/>
      <c r="D227" s="1">
        <v>41585</v>
      </c>
      <c r="E227">
        <v>26477</v>
      </c>
      <c r="F227" s="1">
        <v>41585</v>
      </c>
      <c r="G227">
        <v>587.5</v>
      </c>
      <c r="H227" s="1">
        <f t="shared" si="18"/>
        <v>41585</v>
      </c>
      <c r="I227">
        <f>IF(AND(MyRowHidden(ROW())=FALSE,MyRowHidden(ROW()-1)=TRUE),0,(E227-E226)*unitsOfDHp+I226)</f>
        <v>132230</v>
      </c>
      <c r="J227">
        <f>IF(AND(MyRowHidden(ROW())=FALSE,MyRowHidden(ROW()-1)=TRUE),0,(G227-G226)*unitsOfExo+J226)</f>
        <v>-378000</v>
      </c>
      <c r="K227" s="9">
        <f t="shared" si="19"/>
        <v>378000</v>
      </c>
      <c r="L227">
        <f t="shared" si="20"/>
        <v>-245770</v>
      </c>
      <c r="M227">
        <f>IF(AND(MyRowHidden(ROW())=FALSE,MyRowHidden(ROW()-1)=TRUE),0,IF(MONTH(H227)&lt;&gt;MONTH(H226),M226+1,M226))</f>
        <v>10</v>
      </c>
      <c r="N227">
        <f t="shared" si="21"/>
        <v>132230</v>
      </c>
      <c r="O227">
        <f>IF(AND(MyRowHidden(ROW())=FALSE,MyRowHidden(ROW()-1)=TRUE),0,IF(M227&lt;totalMonths,(totalMonths-M227)/totalMonths *(I227-I226)+O226,0))</f>
        <v>55168.750000000051</v>
      </c>
      <c r="P227">
        <f>IF(AND(MyRowHidden(ROW())=FALSE,MyRowHidden(ROW()-1)=TRUE),0,IF(M227&lt;totalMonths,(totalMonths-M227)/totalMonths *(J227-J226)+P226,0))</f>
        <v>288300</v>
      </c>
      <c r="Q227">
        <f>IF(AND(MyRowHidden(ROW())=FALSE,MyRowHidden(ROW()-1)=TRUE),0,IF(M227&lt;totalMonths,(totalMonths-M227)/totalMonths *(K227-K226)+Q226,0))</f>
        <v>-288300</v>
      </c>
      <c r="R227">
        <f t="shared" si="22"/>
        <v>420530</v>
      </c>
      <c r="S227">
        <f t="shared" si="23"/>
        <v>343468.75000000006</v>
      </c>
    </row>
    <row r="228" spans="1:19" hidden="1" x14ac:dyDescent="0.25">
      <c r="A228" s="1"/>
      <c r="C228" s="1"/>
      <c r="D228" s="1">
        <v>41586</v>
      </c>
      <c r="E228">
        <v>26506</v>
      </c>
      <c r="F228" s="1">
        <v>41586</v>
      </c>
      <c r="G228">
        <v>762.5</v>
      </c>
      <c r="H228" s="1">
        <f t="shared" si="18"/>
        <v>41586</v>
      </c>
      <c r="I228">
        <f>IF(AND(MyRowHidden(ROW())=FALSE,MyRowHidden(ROW()-1)=TRUE),0,(E228-E227)*unitsOfDHp+I227)</f>
        <v>133245</v>
      </c>
      <c r="J228">
        <f>IF(AND(MyRowHidden(ROW())=FALSE,MyRowHidden(ROW()-1)=TRUE),0,(G228-G227)*unitsOfExo+J227)</f>
        <v>-327600</v>
      </c>
      <c r="K228" s="9">
        <f t="shared" si="19"/>
        <v>327600</v>
      </c>
      <c r="L228">
        <f t="shared" si="20"/>
        <v>-194355</v>
      </c>
      <c r="M228">
        <f>IF(AND(MyRowHidden(ROW())=FALSE,MyRowHidden(ROW()-1)=TRUE),0,IF(MONTH(H228)&lt;&gt;MONTH(H227),M227+1,M227))</f>
        <v>10</v>
      </c>
      <c r="N228">
        <f t="shared" si="21"/>
        <v>133245</v>
      </c>
      <c r="O228">
        <f>IF(AND(MyRowHidden(ROW())=FALSE,MyRowHidden(ROW()-1)=TRUE),0,IF(M228&lt;totalMonths,(totalMonths-M228)/totalMonths *(I228-I227)+O227,0))</f>
        <v>55337.916666666715</v>
      </c>
      <c r="P228">
        <f>IF(AND(MyRowHidden(ROW())=FALSE,MyRowHidden(ROW()-1)=TRUE),0,IF(M228&lt;totalMonths,(totalMonths-M228)/totalMonths *(J228-J227)+P227,0))</f>
        <v>296700</v>
      </c>
      <c r="Q228">
        <f>IF(AND(MyRowHidden(ROW())=FALSE,MyRowHidden(ROW()-1)=TRUE),0,IF(M228&lt;totalMonths,(totalMonths-M228)/totalMonths *(K228-K227)+Q227,0))</f>
        <v>-296700</v>
      </c>
      <c r="R228">
        <f t="shared" si="22"/>
        <v>429945</v>
      </c>
      <c r="S228">
        <f t="shared" si="23"/>
        <v>352037.91666666674</v>
      </c>
    </row>
    <row r="229" spans="1:19" hidden="1" x14ac:dyDescent="0.25">
      <c r="A229" s="1"/>
      <c r="C229" s="1"/>
      <c r="D229" s="1">
        <v>41590</v>
      </c>
      <c r="E229">
        <v>26889</v>
      </c>
      <c r="F229" s="1">
        <v>41590</v>
      </c>
      <c r="G229">
        <v>1225</v>
      </c>
      <c r="H229" s="1">
        <f t="shared" si="18"/>
        <v>41590</v>
      </c>
      <c r="I229">
        <f>IF(AND(MyRowHidden(ROW())=FALSE,MyRowHidden(ROW()-1)=TRUE),0,(E229-E228)*unitsOfDHp+I228)</f>
        <v>146650</v>
      </c>
      <c r="J229">
        <f>IF(AND(MyRowHidden(ROW())=FALSE,MyRowHidden(ROW()-1)=TRUE),0,(G229-G228)*unitsOfExo+J228)</f>
        <v>-194400</v>
      </c>
      <c r="K229" s="9">
        <f t="shared" si="19"/>
        <v>194400</v>
      </c>
      <c r="L229">
        <f t="shared" si="20"/>
        <v>-47750</v>
      </c>
      <c r="M229">
        <f>IF(AND(MyRowHidden(ROW())=FALSE,MyRowHidden(ROW()-1)=TRUE),0,IF(MONTH(H229)&lt;&gt;MONTH(H228),M228+1,M228))</f>
        <v>10</v>
      </c>
      <c r="N229">
        <f t="shared" si="21"/>
        <v>146650</v>
      </c>
      <c r="O229">
        <f>IF(AND(MyRowHidden(ROW())=FALSE,MyRowHidden(ROW()-1)=TRUE),0,IF(M229&lt;totalMonths,(totalMonths-M229)/totalMonths *(I229-I228)+O228,0))</f>
        <v>57572.083333333379</v>
      </c>
      <c r="P229">
        <f>IF(AND(MyRowHidden(ROW())=FALSE,MyRowHidden(ROW()-1)=TRUE),0,IF(M229&lt;totalMonths,(totalMonths-M229)/totalMonths *(J229-J228)+P228,0))</f>
        <v>318900</v>
      </c>
      <c r="Q229">
        <f>IF(AND(MyRowHidden(ROW())=FALSE,MyRowHidden(ROW()-1)=TRUE),0,IF(M229&lt;totalMonths,(totalMonths-M229)/totalMonths *(K229-K228)+Q228,0))</f>
        <v>-318900</v>
      </c>
      <c r="R229">
        <f t="shared" si="22"/>
        <v>465550</v>
      </c>
      <c r="S229">
        <f t="shared" si="23"/>
        <v>376472.08333333337</v>
      </c>
    </row>
    <row r="230" spans="1:19" hidden="1" x14ac:dyDescent="0.25">
      <c r="A230" s="1"/>
      <c r="C230" s="1"/>
      <c r="D230" s="1">
        <v>41591</v>
      </c>
      <c r="E230">
        <v>26869</v>
      </c>
      <c r="F230" s="1">
        <v>41591</v>
      </c>
      <c r="G230">
        <v>1037.5</v>
      </c>
      <c r="H230" s="1">
        <f t="shared" si="18"/>
        <v>41591</v>
      </c>
      <c r="I230">
        <f>IF(AND(MyRowHidden(ROW())=FALSE,MyRowHidden(ROW()-1)=TRUE),0,(E230-E229)*unitsOfDHp+I229)</f>
        <v>145950</v>
      </c>
      <c r="J230">
        <f>IF(AND(MyRowHidden(ROW())=FALSE,MyRowHidden(ROW()-1)=TRUE),0,(G230-G229)*unitsOfExo+J229)</f>
        <v>-248400</v>
      </c>
      <c r="K230" s="9">
        <f t="shared" si="19"/>
        <v>248400</v>
      </c>
      <c r="L230">
        <f t="shared" si="20"/>
        <v>-102450</v>
      </c>
      <c r="M230">
        <f>IF(AND(MyRowHidden(ROW())=FALSE,MyRowHidden(ROW()-1)=TRUE),0,IF(MONTH(H230)&lt;&gt;MONTH(H229),M229+1,M229))</f>
        <v>10</v>
      </c>
      <c r="N230">
        <f t="shared" si="21"/>
        <v>145950</v>
      </c>
      <c r="O230">
        <f>IF(AND(MyRowHidden(ROW())=FALSE,MyRowHidden(ROW()-1)=TRUE),0,IF(M230&lt;totalMonths,(totalMonths-M230)/totalMonths *(I230-I229)+O229,0))</f>
        <v>57455.416666666715</v>
      </c>
      <c r="P230">
        <f>IF(AND(MyRowHidden(ROW())=FALSE,MyRowHidden(ROW()-1)=TRUE),0,IF(M230&lt;totalMonths,(totalMonths-M230)/totalMonths *(J230-J229)+P229,0))</f>
        <v>309900</v>
      </c>
      <c r="Q230">
        <f>IF(AND(MyRowHidden(ROW())=FALSE,MyRowHidden(ROW()-1)=TRUE),0,IF(M230&lt;totalMonths,(totalMonths-M230)/totalMonths *(K230-K229)+Q229,0))</f>
        <v>-309900</v>
      </c>
      <c r="R230">
        <f t="shared" si="22"/>
        <v>455850</v>
      </c>
      <c r="S230">
        <f t="shared" si="23"/>
        <v>367355.41666666674</v>
      </c>
    </row>
    <row r="231" spans="1:19" hidden="1" x14ac:dyDescent="0.25">
      <c r="A231" s="1"/>
      <c r="C231" s="1"/>
      <c r="D231" s="1">
        <v>41592</v>
      </c>
      <c r="E231">
        <v>26825</v>
      </c>
      <c r="F231" s="1">
        <v>41592</v>
      </c>
      <c r="G231">
        <v>825</v>
      </c>
      <c r="H231" s="1">
        <f t="shared" si="18"/>
        <v>41592</v>
      </c>
      <c r="I231">
        <f>IF(AND(MyRowHidden(ROW())=FALSE,MyRowHidden(ROW()-1)=TRUE),0,(E231-E230)*unitsOfDHp+I230)</f>
        <v>144410</v>
      </c>
      <c r="J231">
        <f>IF(AND(MyRowHidden(ROW())=FALSE,MyRowHidden(ROW()-1)=TRUE),0,(G231-G230)*unitsOfExo+J230)</f>
        <v>-309600</v>
      </c>
      <c r="K231" s="9">
        <f t="shared" si="19"/>
        <v>309600</v>
      </c>
      <c r="L231">
        <f t="shared" si="20"/>
        <v>-165190</v>
      </c>
      <c r="M231">
        <f>IF(AND(MyRowHidden(ROW())=FALSE,MyRowHidden(ROW()-1)=TRUE),0,IF(MONTH(H231)&lt;&gt;MONTH(H230),M230+1,M230))</f>
        <v>10</v>
      </c>
      <c r="N231">
        <f t="shared" si="21"/>
        <v>144410</v>
      </c>
      <c r="O231">
        <f>IF(AND(MyRowHidden(ROW())=FALSE,MyRowHidden(ROW()-1)=TRUE),0,IF(M231&lt;totalMonths,(totalMonths-M231)/totalMonths *(I231-I230)+O230,0))</f>
        <v>57198.750000000051</v>
      </c>
      <c r="P231">
        <f>IF(AND(MyRowHidden(ROW())=FALSE,MyRowHidden(ROW()-1)=TRUE),0,IF(M231&lt;totalMonths,(totalMonths-M231)/totalMonths *(J231-J230)+P230,0))</f>
        <v>299700</v>
      </c>
      <c r="Q231">
        <f>IF(AND(MyRowHidden(ROW())=FALSE,MyRowHidden(ROW()-1)=TRUE),0,IF(M231&lt;totalMonths,(totalMonths-M231)/totalMonths *(K231-K230)+Q230,0))</f>
        <v>-299700</v>
      </c>
      <c r="R231">
        <f t="shared" si="22"/>
        <v>444110</v>
      </c>
      <c r="S231">
        <f t="shared" si="23"/>
        <v>356898.75000000006</v>
      </c>
    </row>
    <row r="232" spans="1:19" hidden="1" x14ac:dyDescent="0.25">
      <c r="A232" s="1"/>
      <c r="C232" s="1"/>
      <c r="D232" s="1">
        <v>41593</v>
      </c>
      <c r="E232">
        <v>26768</v>
      </c>
      <c r="F232" s="1">
        <v>41593</v>
      </c>
      <c r="G232">
        <v>737.5</v>
      </c>
      <c r="H232" s="1">
        <f t="shared" si="18"/>
        <v>41593</v>
      </c>
      <c r="I232">
        <f>IF(AND(MyRowHidden(ROW())=FALSE,MyRowHidden(ROW()-1)=TRUE),0,(E232-E231)*unitsOfDHp+I231)</f>
        <v>142415</v>
      </c>
      <c r="J232">
        <f>IF(AND(MyRowHidden(ROW())=FALSE,MyRowHidden(ROW()-1)=TRUE),0,(G232-G231)*unitsOfExo+J231)</f>
        <v>-334800</v>
      </c>
      <c r="K232" s="9">
        <f t="shared" si="19"/>
        <v>334800</v>
      </c>
      <c r="L232">
        <f t="shared" si="20"/>
        <v>-192385</v>
      </c>
      <c r="M232">
        <f>IF(AND(MyRowHidden(ROW())=FALSE,MyRowHidden(ROW()-1)=TRUE),0,IF(MONTH(H232)&lt;&gt;MONTH(H231),M231+1,M231))</f>
        <v>10</v>
      </c>
      <c r="N232">
        <f t="shared" si="21"/>
        <v>142415</v>
      </c>
      <c r="O232">
        <f>IF(AND(MyRowHidden(ROW())=FALSE,MyRowHidden(ROW()-1)=TRUE),0,IF(M232&lt;totalMonths,(totalMonths-M232)/totalMonths *(I232-I231)+O231,0))</f>
        <v>56866.250000000051</v>
      </c>
      <c r="P232">
        <f>IF(AND(MyRowHidden(ROW())=FALSE,MyRowHidden(ROW()-1)=TRUE),0,IF(M232&lt;totalMonths,(totalMonths-M232)/totalMonths *(J232-J231)+P231,0))</f>
        <v>295500</v>
      </c>
      <c r="Q232">
        <f>IF(AND(MyRowHidden(ROW())=FALSE,MyRowHidden(ROW()-1)=TRUE),0,IF(M232&lt;totalMonths,(totalMonths-M232)/totalMonths *(K232-K231)+Q231,0))</f>
        <v>-295500</v>
      </c>
      <c r="R232">
        <f t="shared" si="22"/>
        <v>437915</v>
      </c>
      <c r="S232">
        <f t="shared" si="23"/>
        <v>352366.25000000006</v>
      </c>
    </row>
    <row r="233" spans="1:19" hidden="1" x14ac:dyDescent="0.25">
      <c r="A233" s="1"/>
      <c r="C233" s="1"/>
      <c r="D233" s="1">
        <v>41596</v>
      </c>
      <c r="E233">
        <v>26324</v>
      </c>
      <c r="F233" s="1">
        <v>41596</v>
      </c>
      <c r="G233">
        <v>187.5</v>
      </c>
      <c r="H233" s="1">
        <f t="shared" si="18"/>
        <v>41596</v>
      </c>
      <c r="I233">
        <f>IF(AND(MyRowHidden(ROW())=FALSE,MyRowHidden(ROW()-1)=TRUE),0,(E233-E232)*unitsOfDHp+I232)</f>
        <v>126875</v>
      </c>
      <c r="J233">
        <f>IF(AND(MyRowHidden(ROW())=FALSE,MyRowHidden(ROW()-1)=TRUE),0,(G233-G232)*unitsOfExo+J232)</f>
        <v>-493200</v>
      </c>
      <c r="K233" s="9">
        <f t="shared" si="19"/>
        <v>493200</v>
      </c>
      <c r="L233">
        <f t="shared" si="20"/>
        <v>-366325</v>
      </c>
      <c r="M233">
        <f>IF(AND(MyRowHidden(ROW())=FALSE,MyRowHidden(ROW()-1)=TRUE),0,IF(MONTH(H233)&lt;&gt;MONTH(H232),M232+1,M232))</f>
        <v>10</v>
      </c>
      <c r="N233">
        <f t="shared" si="21"/>
        <v>126875</v>
      </c>
      <c r="O233">
        <f>IF(AND(MyRowHidden(ROW())=FALSE,MyRowHidden(ROW()-1)=TRUE),0,IF(M233&lt;totalMonths,(totalMonths-M233)/totalMonths *(I233-I232)+O232,0))</f>
        <v>54276.250000000051</v>
      </c>
      <c r="P233">
        <f>IF(AND(MyRowHidden(ROW())=FALSE,MyRowHidden(ROW()-1)=TRUE),0,IF(M233&lt;totalMonths,(totalMonths-M233)/totalMonths *(J233-J232)+P232,0))</f>
        <v>269100</v>
      </c>
      <c r="Q233">
        <f>IF(AND(MyRowHidden(ROW())=FALSE,MyRowHidden(ROW()-1)=TRUE),0,IF(M233&lt;totalMonths,(totalMonths-M233)/totalMonths *(K233-K232)+Q232,0))</f>
        <v>-269100</v>
      </c>
      <c r="R233">
        <f t="shared" si="22"/>
        <v>395975</v>
      </c>
      <c r="S233">
        <f t="shared" si="23"/>
        <v>323376.25000000006</v>
      </c>
    </row>
    <row r="234" spans="1:19" hidden="1" x14ac:dyDescent="0.25">
      <c r="A234" s="1"/>
      <c r="C234" s="1"/>
      <c r="D234" s="1">
        <v>41597</v>
      </c>
      <c r="E234">
        <v>26501</v>
      </c>
      <c r="F234" s="1">
        <v>41597</v>
      </c>
      <c r="G234">
        <v>300</v>
      </c>
      <c r="H234" s="1">
        <f t="shared" si="18"/>
        <v>41597</v>
      </c>
      <c r="I234">
        <f>IF(AND(MyRowHidden(ROW())=FALSE,MyRowHidden(ROW()-1)=TRUE),0,(E234-E233)*unitsOfDHp+I233)</f>
        <v>133070</v>
      </c>
      <c r="J234">
        <f>IF(AND(MyRowHidden(ROW())=FALSE,MyRowHidden(ROW()-1)=TRUE),0,(G234-G233)*unitsOfExo+J233)</f>
        <v>-460800</v>
      </c>
      <c r="K234" s="9">
        <f t="shared" si="19"/>
        <v>460800</v>
      </c>
      <c r="L234">
        <f t="shared" si="20"/>
        <v>-327730</v>
      </c>
      <c r="M234">
        <f>IF(AND(MyRowHidden(ROW())=FALSE,MyRowHidden(ROW()-1)=TRUE),0,IF(MONTH(H234)&lt;&gt;MONTH(H233),M233+1,M233))</f>
        <v>10</v>
      </c>
      <c r="N234">
        <f t="shared" si="21"/>
        <v>133070</v>
      </c>
      <c r="O234">
        <f>IF(AND(MyRowHidden(ROW())=FALSE,MyRowHidden(ROW()-1)=TRUE),0,IF(M234&lt;totalMonths,(totalMonths-M234)/totalMonths *(I234-I233)+O233,0))</f>
        <v>55308.750000000051</v>
      </c>
      <c r="P234">
        <f>IF(AND(MyRowHidden(ROW())=FALSE,MyRowHidden(ROW()-1)=TRUE),0,IF(M234&lt;totalMonths,(totalMonths-M234)/totalMonths *(J234-J233)+P233,0))</f>
        <v>274500</v>
      </c>
      <c r="Q234">
        <f>IF(AND(MyRowHidden(ROW())=FALSE,MyRowHidden(ROW()-1)=TRUE),0,IF(M234&lt;totalMonths,(totalMonths-M234)/totalMonths *(K234-K233)+Q233,0))</f>
        <v>-274500</v>
      </c>
      <c r="R234">
        <f t="shared" si="22"/>
        <v>407570</v>
      </c>
      <c r="S234">
        <f t="shared" si="23"/>
        <v>329808.75000000006</v>
      </c>
    </row>
    <row r="235" spans="1:19" hidden="1" x14ac:dyDescent="0.25">
      <c r="A235" s="1"/>
      <c r="C235" s="1"/>
      <c r="D235" s="1">
        <v>41598</v>
      </c>
      <c r="E235">
        <v>26614</v>
      </c>
      <c r="F235" s="1">
        <v>41598</v>
      </c>
      <c r="G235">
        <v>400</v>
      </c>
      <c r="H235" s="1">
        <f t="shared" si="18"/>
        <v>41598</v>
      </c>
      <c r="I235">
        <f>IF(AND(MyRowHidden(ROW())=FALSE,MyRowHidden(ROW()-1)=TRUE),0,(E235-E234)*unitsOfDHp+I234)</f>
        <v>137025</v>
      </c>
      <c r="J235">
        <f>IF(AND(MyRowHidden(ROW())=FALSE,MyRowHidden(ROW()-1)=TRUE),0,(G235-G234)*unitsOfExo+J234)</f>
        <v>-432000</v>
      </c>
      <c r="K235" s="9">
        <f t="shared" si="19"/>
        <v>432000</v>
      </c>
      <c r="L235">
        <f t="shared" si="20"/>
        <v>-294975</v>
      </c>
      <c r="M235">
        <f>IF(AND(MyRowHidden(ROW())=FALSE,MyRowHidden(ROW()-1)=TRUE),0,IF(MONTH(H235)&lt;&gt;MONTH(H234),M234+1,M234))</f>
        <v>10</v>
      </c>
      <c r="N235">
        <f t="shared" si="21"/>
        <v>137025</v>
      </c>
      <c r="O235">
        <f>IF(AND(MyRowHidden(ROW())=FALSE,MyRowHidden(ROW()-1)=TRUE),0,IF(M235&lt;totalMonths,(totalMonths-M235)/totalMonths *(I235-I234)+O234,0))</f>
        <v>55967.916666666715</v>
      </c>
      <c r="P235">
        <f>IF(AND(MyRowHidden(ROW())=FALSE,MyRowHidden(ROW()-1)=TRUE),0,IF(M235&lt;totalMonths,(totalMonths-M235)/totalMonths *(J235-J234)+P234,0))</f>
        <v>279300</v>
      </c>
      <c r="Q235">
        <f>IF(AND(MyRowHidden(ROW())=FALSE,MyRowHidden(ROW()-1)=TRUE),0,IF(M235&lt;totalMonths,(totalMonths-M235)/totalMonths *(K235-K234)+Q234,0))</f>
        <v>-279300</v>
      </c>
      <c r="R235">
        <f t="shared" si="22"/>
        <v>416325</v>
      </c>
      <c r="S235">
        <f t="shared" si="23"/>
        <v>335267.91666666674</v>
      </c>
    </row>
    <row r="236" spans="1:19" hidden="1" x14ac:dyDescent="0.25">
      <c r="A236" s="1"/>
      <c r="C236" s="1"/>
      <c r="D236" s="1">
        <v>41599</v>
      </c>
      <c r="E236">
        <v>26696</v>
      </c>
      <c r="F236" s="1">
        <v>41599</v>
      </c>
      <c r="G236">
        <v>612.5</v>
      </c>
      <c r="H236" s="1">
        <f t="shared" si="18"/>
        <v>41599</v>
      </c>
      <c r="I236">
        <f>IF(AND(MyRowHidden(ROW())=FALSE,MyRowHidden(ROW()-1)=TRUE),0,(E236-E235)*unitsOfDHp+I235)</f>
        <v>139895</v>
      </c>
      <c r="J236">
        <f>IF(AND(MyRowHidden(ROW())=FALSE,MyRowHidden(ROW()-1)=TRUE),0,(G236-G235)*unitsOfExo+J235)</f>
        <v>-370800</v>
      </c>
      <c r="K236" s="9">
        <f t="shared" si="19"/>
        <v>370800</v>
      </c>
      <c r="L236">
        <f t="shared" si="20"/>
        <v>-230905</v>
      </c>
      <c r="M236">
        <f>IF(AND(MyRowHidden(ROW())=FALSE,MyRowHidden(ROW()-1)=TRUE),0,IF(MONTH(H236)&lt;&gt;MONTH(H235),M235+1,M235))</f>
        <v>10</v>
      </c>
      <c r="N236">
        <f t="shared" si="21"/>
        <v>139895</v>
      </c>
      <c r="O236">
        <f>IF(AND(MyRowHidden(ROW())=FALSE,MyRowHidden(ROW()-1)=TRUE),0,IF(M236&lt;totalMonths,(totalMonths-M236)/totalMonths *(I236-I235)+O235,0))</f>
        <v>56446.250000000051</v>
      </c>
      <c r="P236">
        <f>IF(AND(MyRowHidden(ROW())=FALSE,MyRowHidden(ROW()-1)=TRUE),0,IF(M236&lt;totalMonths,(totalMonths-M236)/totalMonths *(J236-J235)+P235,0))</f>
        <v>289500</v>
      </c>
      <c r="Q236">
        <f>IF(AND(MyRowHidden(ROW())=FALSE,MyRowHidden(ROW()-1)=TRUE),0,IF(M236&lt;totalMonths,(totalMonths-M236)/totalMonths *(K236-K235)+Q235,0))</f>
        <v>-289500</v>
      </c>
      <c r="R236">
        <f t="shared" si="22"/>
        <v>429395</v>
      </c>
      <c r="S236">
        <f t="shared" si="23"/>
        <v>345946.25000000006</v>
      </c>
    </row>
    <row r="237" spans="1:19" hidden="1" x14ac:dyDescent="0.25">
      <c r="A237" s="1"/>
      <c r="C237" s="1"/>
      <c r="D237" s="1">
        <v>41600</v>
      </c>
      <c r="E237">
        <v>26777</v>
      </c>
      <c r="F237" s="1">
        <v>41600</v>
      </c>
      <c r="G237">
        <v>612.5</v>
      </c>
      <c r="H237" s="1">
        <f t="shared" si="18"/>
        <v>41600</v>
      </c>
      <c r="I237">
        <f>IF(AND(MyRowHidden(ROW())=FALSE,MyRowHidden(ROW()-1)=TRUE),0,(E237-E236)*unitsOfDHp+I236)</f>
        <v>142730</v>
      </c>
      <c r="J237">
        <f>IF(AND(MyRowHidden(ROW())=FALSE,MyRowHidden(ROW()-1)=TRUE),0,(G237-G236)*unitsOfExo+J236)</f>
        <v>-370800</v>
      </c>
      <c r="K237" s="9">
        <f t="shared" si="19"/>
        <v>370800</v>
      </c>
      <c r="L237">
        <f t="shared" si="20"/>
        <v>-228070</v>
      </c>
      <c r="M237">
        <f>IF(AND(MyRowHidden(ROW())=FALSE,MyRowHidden(ROW()-1)=TRUE),0,IF(MONTH(H237)&lt;&gt;MONTH(H236),M236+1,M236))</f>
        <v>10</v>
      </c>
      <c r="N237">
        <f t="shared" si="21"/>
        <v>142730</v>
      </c>
      <c r="O237">
        <f>IF(AND(MyRowHidden(ROW())=FALSE,MyRowHidden(ROW()-1)=TRUE),0,IF(M237&lt;totalMonths,(totalMonths-M237)/totalMonths *(I237-I236)+O236,0))</f>
        <v>56918.750000000051</v>
      </c>
      <c r="P237">
        <f>IF(AND(MyRowHidden(ROW())=FALSE,MyRowHidden(ROW()-1)=TRUE),0,IF(M237&lt;totalMonths,(totalMonths-M237)/totalMonths *(J237-J236)+P236,0))</f>
        <v>289500</v>
      </c>
      <c r="Q237">
        <f>IF(AND(MyRowHidden(ROW())=FALSE,MyRowHidden(ROW()-1)=TRUE),0,IF(M237&lt;totalMonths,(totalMonths-M237)/totalMonths *(K237-K236)+Q236,0))</f>
        <v>-289500</v>
      </c>
      <c r="R237">
        <f t="shared" si="22"/>
        <v>432230</v>
      </c>
      <c r="S237">
        <f t="shared" si="23"/>
        <v>346418.75000000006</v>
      </c>
    </row>
    <row r="238" spans="1:19" hidden="1" x14ac:dyDescent="0.25">
      <c r="A238" s="1"/>
      <c r="C238" s="1"/>
      <c r="D238" s="1">
        <v>41603</v>
      </c>
      <c r="E238">
        <v>26816</v>
      </c>
      <c r="F238" s="1">
        <v>41603</v>
      </c>
      <c r="G238">
        <v>675</v>
      </c>
      <c r="H238" s="1">
        <f t="shared" si="18"/>
        <v>41603</v>
      </c>
      <c r="I238">
        <f>IF(AND(MyRowHidden(ROW())=FALSE,MyRowHidden(ROW()-1)=TRUE),0,(E238-E237)*unitsOfDHp+I237)</f>
        <v>144095</v>
      </c>
      <c r="J238">
        <f>IF(AND(MyRowHidden(ROW())=FALSE,MyRowHidden(ROW()-1)=TRUE),0,(G238-G237)*unitsOfExo+J237)</f>
        <v>-352800</v>
      </c>
      <c r="K238" s="9">
        <f t="shared" si="19"/>
        <v>352800</v>
      </c>
      <c r="L238">
        <f t="shared" si="20"/>
        <v>-208705</v>
      </c>
      <c r="M238">
        <f>IF(AND(MyRowHidden(ROW())=FALSE,MyRowHidden(ROW()-1)=TRUE),0,IF(MONTH(H238)&lt;&gt;MONTH(H237),M237+1,M237))</f>
        <v>10</v>
      </c>
      <c r="N238">
        <f t="shared" si="21"/>
        <v>144095</v>
      </c>
      <c r="O238">
        <f>IF(AND(MyRowHidden(ROW())=FALSE,MyRowHidden(ROW()-1)=TRUE),0,IF(M238&lt;totalMonths,(totalMonths-M238)/totalMonths *(I238-I237)+O237,0))</f>
        <v>57146.250000000051</v>
      </c>
      <c r="P238">
        <f>IF(AND(MyRowHidden(ROW())=FALSE,MyRowHidden(ROW()-1)=TRUE),0,IF(M238&lt;totalMonths,(totalMonths-M238)/totalMonths *(J238-J237)+P237,0))</f>
        <v>292500</v>
      </c>
      <c r="Q238">
        <f>IF(AND(MyRowHidden(ROW())=FALSE,MyRowHidden(ROW()-1)=TRUE),0,IF(M238&lt;totalMonths,(totalMonths-M238)/totalMonths *(K238-K237)+Q237,0))</f>
        <v>-292500</v>
      </c>
      <c r="R238">
        <f t="shared" si="22"/>
        <v>436595</v>
      </c>
      <c r="S238">
        <f t="shared" si="23"/>
        <v>349646.25000000006</v>
      </c>
    </row>
    <row r="239" spans="1:19" hidden="1" x14ac:dyDescent="0.25">
      <c r="A239" s="1"/>
      <c r="C239" s="1"/>
      <c r="D239" s="1">
        <v>41604</v>
      </c>
      <c r="E239">
        <v>26945</v>
      </c>
      <c r="F239" s="1">
        <v>41604</v>
      </c>
      <c r="G239">
        <v>412.5</v>
      </c>
      <c r="H239" s="1">
        <f t="shared" si="18"/>
        <v>41604</v>
      </c>
      <c r="I239">
        <f>IF(AND(MyRowHidden(ROW())=FALSE,MyRowHidden(ROW()-1)=TRUE),0,(E239-E238)*unitsOfDHp+I238)</f>
        <v>148610</v>
      </c>
      <c r="J239">
        <f>IF(AND(MyRowHidden(ROW())=FALSE,MyRowHidden(ROW()-1)=TRUE),0,(G239-G238)*unitsOfExo+J238)</f>
        <v>-428400</v>
      </c>
      <c r="K239" s="9">
        <f t="shared" si="19"/>
        <v>428400</v>
      </c>
      <c r="L239">
        <f t="shared" si="20"/>
        <v>-279790</v>
      </c>
      <c r="M239">
        <f>IF(AND(MyRowHidden(ROW())=FALSE,MyRowHidden(ROW()-1)=TRUE),0,IF(MONTH(H239)&lt;&gt;MONTH(H238),M238+1,M238))</f>
        <v>10</v>
      </c>
      <c r="N239">
        <f t="shared" si="21"/>
        <v>148610</v>
      </c>
      <c r="O239">
        <f>IF(AND(MyRowHidden(ROW())=FALSE,MyRowHidden(ROW()-1)=TRUE),0,IF(M239&lt;totalMonths,(totalMonths-M239)/totalMonths *(I239-I238)+O238,0))</f>
        <v>57898.750000000051</v>
      </c>
      <c r="P239">
        <f>IF(AND(MyRowHidden(ROW())=FALSE,MyRowHidden(ROW()-1)=TRUE),0,IF(M239&lt;totalMonths,(totalMonths-M239)/totalMonths *(J239-J238)+P238,0))</f>
        <v>279900</v>
      </c>
      <c r="Q239">
        <f>IF(AND(MyRowHidden(ROW())=FALSE,MyRowHidden(ROW()-1)=TRUE),0,IF(M239&lt;totalMonths,(totalMonths-M239)/totalMonths *(K239-K238)+Q238,0))</f>
        <v>-279900</v>
      </c>
      <c r="R239">
        <f t="shared" si="22"/>
        <v>428510</v>
      </c>
      <c r="S239">
        <f t="shared" si="23"/>
        <v>337798.75000000006</v>
      </c>
    </row>
    <row r="240" spans="1:19" hidden="1" x14ac:dyDescent="0.25">
      <c r="A240" s="1"/>
      <c r="C240" s="1"/>
      <c r="D240" s="1">
        <v>41605</v>
      </c>
      <c r="E240">
        <v>26932</v>
      </c>
      <c r="F240" s="1">
        <v>41605</v>
      </c>
      <c r="G240">
        <v>400</v>
      </c>
      <c r="H240" s="1">
        <f t="shared" si="18"/>
        <v>41605</v>
      </c>
      <c r="I240">
        <f>IF(AND(MyRowHidden(ROW())=FALSE,MyRowHidden(ROW()-1)=TRUE),0,(E240-E239)*unitsOfDHp+I239)</f>
        <v>148155</v>
      </c>
      <c r="J240">
        <f>IF(AND(MyRowHidden(ROW())=FALSE,MyRowHidden(ROW()-1)=TRUE),0,(G240-G239)*unitsOfExo+J239)</f>
        <v>-432000</v>
      </c>
      <c r="K240" s="9">
        <f t="shared" si="19"/>
        <v>432000</v>
      </c>
      <c r="L240">
        <f t="shared" si="20"/>
        <v>-283845</v>
      </c>
      <c r="M240">
        <f>IF(AND(MyRowHidden(ROW())=FALSE,MyRowHidden(ROW()-1)=TRUE),0,IF(MONTH(H240)&lt;&gt;MONTH(H239),M239+1,M239))</f>
        <v>10</v>
      </c>
      <c r="N240">
        <f t="shared" si="21"/>
        <v>148155</v>
      </c>
      <c r="O240">
        <f>IF(AND(MyRowHidden(ROW())=FALSE,MyRowHidden(ROW()-1)=TRUE),0,IF(M240&lt;totalMonths,(totalMonths-M240)/totalMonths *(I240-I239)+O239,0))</f>
        <v>57822.916666666715</v>
      </c>
      <c r="P240">
        <f>IF(AND(MyRowHidden(ROW())=FALSE,MyRowHidden(ROW()-1)=TRUE),0,IF(M240&lt;totalMonths,(totalMonths-M240)/totalMonths *(J240-J239)+P239,0))</f>
        <v>279300</v>
      </c>
      <c r="Q240">
        <f>IF(AND(MyRowHidden(ROW())=FALSE,MyRowHidden(ROW()-1)=TRUE),0,IF(M240&lt;totalMonths,(totalMonths-M240)/totalMonths *(K240-K239)+Q239,0))</f>
        <v>-279300</v>
      </c>
      <c r="R240">
        <f t="shared" si="22"/>
        <v>427455</v>
      </c>
      <c r="S240">
        <f t="shared" si="23"/>
        <v>337122.91666666674</v>
      </c>
    </row>
    <row r="241" spans="1:19" hidden="1" x14ac:dyDescent="0.25">
      <c r="A241" s="1"/>
      <c r="C241" s="1"/>
      <c r="D241" s="1">
        <v>41607</v>
      </c>
      <c r="E241">
        <v>26819</v>
      </c>
      <c r="F241" s="1">
        <v>41607</v>
      </c>
      <c r="G241">
        <v>275</v>
      </c>
      <c r="H241" s="1">
        <f t="shared" si="18"/>
        <v>41607</v>
      </c>
      <c r="I241">
        <f>IF(AND(MyRowHidden(ROW())=FALSE,MyRowHidden(ROW()-1)=TRUE),0,(E241-E240)*unitsOfDHp+I240)</f>
        <v>144200</v>
      </c>
      <c r="J241">
        <f>IF(AND(MyRowHidden(ROW())=FALSE,MyRowHidden(ROW()-1)=TRUE),0,(G241-G240)*unitsOfExo+J240)</f>
        <v>-468000</v>
      </c>
      <c r="K241" s="9">
        <f t="shared" si="19"/>
        <v>468000</v>
      </c>
      <c r="L241">
        <f t="shared" si="20"/>
        <v>-323800</v>
      </c>
      <c r="M241">
        <f>IF(AND(MyRowHidden(ROW())=FALSE,MyRowHidden(ROW()-1)=TRUE),0,IF(MONTH(H241)&lt;&gt;MONTH(H240),M240+1,M240))</f>
        <v>10</v>
      </c>
      <c r="N241">
        <f t="shared" si="21"/>
        <v>144200</v>
      </c>
      <c r="O241">
        <f>IF(AND(MyRowHidden(ROW())=FALSE,MyRowHidden(ROW()-1)=TRUE),0,IF(M241&lt;totalMonths,(totalMonths-M241)/totalMonths *(I241-I240)+O240,0))</f>
        <v>57163.750000000051</v>
      </c>
      <c r="P241">
        <f>IF(AND(MyRowHidden(ROW())=FALSE,MyRowHidden(ROW()-1)=TRUE),0,IF(M241&lt;totalMonths,(totalMonths-M241)/totalMonths *(J241-J240)+P240,0))</f>
        <v>273300</v>
      </c>
      <c r="Q241">
        <f>IF(AND(MyRowHidden(ROW())=FALSE,MyRowHidden(ROW()-1)=TRUE),0,IF(M241&lt;totalMonths,(totalMonths-M241)/totalMonths *(K241-K240)+Q240,0))</f>
        <v>-273300</v>
      </c>
      <c r="R241">
        <f t="shared" si="22"/>
        <v>417500</v>
      </c>
      <c r="S241">
        <f t="shared" si="23"/>
        <v>330463.75000000006</v>
      </c>
    </row>
    <row r="242" spans="1:19" hidden="1" x14ac:dyDescent="0.25">
      <c r="A242" s="1"/>
      <c r="C242" s="1"/>
      <c r="D242" s="1">
        <v>41610</v>
      </c>
      <c r="E242">
        <v>26792</v>
      </c>
      <c r="F242" s="1">
        <v>41610</v>
      </c>
      <c r="G242">
        <v>300</v>
      </c>
      <c r="H242" s="1">
        <f t="shared" si="18"/>
        <v>41610</v>
      </c>
      <c r="I242">
        <f>IF(AND(MyRowHidden(ROW())=FALSE,MyRowHidden(ROW()-1)=TRUE),0,(E242-E241)*unitsOfDHp+I241)</f>
        <v>143255</v>
      </c>
      <c r="J242">
        <f>IF(AND(MyRowHidden(ROW())=FALSE,MyRowHidden(ROW()-1)=TRUE),0,(G242-G241)*unitsOfExo+J241)</f>
        <v>-460800</v>
      </c>
      <c r="K242" s="9">
        <f t="shared" si="19"/>
        <v>460800</v>
      </c>
      <c r="L242">
        <f t="shared" si="20"/>
        <v>-317545</v>
      </c>
      <c r="M242">
        <f>IF(AND(MyRowHidden(ROW())=FALSE,MyRowHidden(ROW()-1)=TRUE),0,IF(MONTH(H242)&lt;&gt;MONTH(H241),M241+1,M241))</f>
        <v>11</v>
      </c>
      <c r="N242">
        <f t="shared" si="21"/>
        <v>143255</v>
      </c>
      <c r="O242">
        <f>IF(AND(MyRowHidden(ROW())=FALSE,MyRowHidden(ROW()-1)=TRUE),0,IF(M242&lt;totalMonths,(totalMonths-M242)/totalMonths *(I242-I241)+O241,0))</f>
        <v>57085.000000000051</v>
      </c>
      <c r="P242">
        <f>IF(AND(MyRowHidden(ROW())=FALSE,MyRowHidden(ROW()-1)=TRUE),0,IF(M242&lt;totalMonths,(totalMonths-M242)/totalMonths *(J242-J241)+P241,0))</f>
        <v>273900</v>
      </c>
      <c r="Q242">
        <f>IF(AND(MyRowHidden(ROW())=FALSE,MyRowHidden(ROW()-1)=TRUE),0,IF(M242&lt;totalMonths,(totalMonths-M242)/totalMonths *(K242-K241)+Q241,0))</f>
        <v>-273900</v>
      </c>
      <c r="R242">
        <f t="shared" si="22"/>
        <v>417155</v>
      </c>
      <c r="S242">
        <f t="shared" si="23"/>
        <v>330985.00000000006</v>
      </c>
    </row>
    <row r="243" spans="1:19" hidden="1" x14ac:dyDescent="0.25">
      <c r="A243" s="1"/>
      <c r="C243" s="1"/>
      <c r="D243" s="1">
        <v>41611</v>
      </c>
      <c r="E243">
        <v>26986</v>
      </c>
      <c r="F243" s="1">
        <v>41611</v>
      </c>
      <c r="G243">
        <v>562.5</v>
      </c>
      <c r="H243" s="1">
        <f t="shared" si="18"/>
        <v>41611</v>
      </c>
      <c r="I243">
        <f>IF(AND(MyRowHidden(ROW())=FALSE,MyRowHidden(ROW()-1)=TRUE),0,(E243-E242)*unitsOfDHp+I242)</f>
        <v>150045</v>
      </c>
      <c r="J243">
        <f>IF(AND(MyRowHidden(ROW())=FALSE,MyRowHidden(ROW()-1)=TRUE),0,(G243-G242)*unitsOfExo+J242)</f>
        <v>-385200</v>
      </c>
      <c r="K243" s="9">
        <f t="shared" si="19"/>
        <v>385200</v>
      </c>
      <c r="L243">
        <f t="shared" si="20"/>
        <v>-235155</v>
      </c>
      <c r="M243">
        <f>IF(AND(MyRowHidden(ROW())=FALSE,MyRowHidden(ROW()-1)=TRUE),0,IF(MONTH(H243)&lt;&gt;MONTH(H242),M242+1,M242))</f>
        <v>11</v>
      </c>
      <c r="N243">
        <f t="shared" si="21"/>
        <v>150045</v>
      </c>
      <c r="O243">
        <f>IF(AND(MyRowHidden(ROW())=FALSE,MyRowHidden(ROW()-1)=TRUE),0,IF(M243&lt;totalMonths,(totalMonths-M243)/totalMonths *(I243-I242)+O242,0))</f>
        <v>57650.833333333387</v>
      </c>
      <c r="P243">
        <f>IF(AND(MyRowHidden(ROW())=FALSE,MyRowHidden(ROW()-1)=TRUE),0,IF(M243&lt;totalMonths,(totalMonths-M243)/totalMonths *(J243-J242)+P242,0))</f>
        <v>280200</v>
      </c>
      <c r="Q243">
        <f>IF(AND(MyRowHidden(ROW())=FALSE,MyRowHidden(ROW()-1)=TRUE),0,IF(M243&lt;totalMonths,(totalMonths-M243)/totalMonths *(K243-K242)+Q242,0))</f>
        <v>-280200</v>
      </c>
      <c r="R243">
        <f t="shared" si="22"/>
        <v>430245</v>
      </c>
      <c r="S243">
        <f t="shared" si="23"/>
        <v>337850.83333333337</v>
      </c>
    </row>
    <row r="244" spans="1:19" hidden="1" x14ac:dyDescent="0.25">
      <c r="A244" s="1"/>
      <c r="C244" s="1"/>
      <c r="D244" s="1">
        <v>41612</v>
      </c>
      <c r="E244">
        <v>26992</v>
      </c>
      <c r="F244" s="1">
        <v>41612</v>
      </c>
      <c r="G244">
        <v>737.5</v>
      </c>
      <c r="H244" s="1">
        <f t="shared" si="18"/>
        <v>41612</v>
      </c>
      <c r="I244">
        <f>IF(AND(MyRowHidden(ROW())=FALSE,MyRowHidden(ROW()-1)=TRUE),0,(E244-E243)*unitsOfDHp+I243)</f>
        <v>150255</v>
      </c>
      <c r="J244">
        <f>IF(AND(MyRowHidden(ROW())=FALSE,MyRowHidden(ROW()-1)=TRUE),0,(G244-G243)*unitsOfExo+J243)</f>
        <v>-334800</v>
      </c>
      <c r="K244" s="9">
        <f t="shared" si="19"/>
        <v>334800</v>
      </c>
      <c r="L244">
        <f t="shared" si="20"/>
        <v>-184545</v>
      </c>
      <c r="M244">
        <f>IF(AND(MyRowHidden(ROW())=FALSE,MyRowHidden(ROW()-1)=TRUE),0,IF(MONTH(H244)&lt;&gt;MONTH(H243),M243+1,M243))</f>
        <v>11</v>
      </c>
      <c r="N244">
        <f t="shared" si="21"/>
        <v>150255</v>
      </c>
      <c r="O244">
        <f>IF(AND(MyRowHidden(ROW())=FALSE,MyRowHidden(ROW()-1)=TRUE),0,IF(M244&lt;totalMonths,(totalMonths-M244)/totalMonths *(I244-I243)+O243,0))</f>
        <v>57668.333333333387</v>
      </c>
      <c r="P244">
        <f>IF(AND(MyRowHidden(ROW())=FALSE,MyRowHidden(ROW()-1)=TRUE),0,IF(M244&lt;totalMonths,(totalMonths-M244)/totalMonths *(J244-J243)+P243,0))</f>
        <v>284400</v>
      </c>
      <c r="Q244">
        <f>IF(AND(MyRowHidden(ROW())=FALSE,MyRowHidden(ROW()-1)=TRUE),0,IF(M244&lt;totalMonths,(totalMonths-M244)/totalMonths *(K244-K243)+Q243,0))</f>
        <v>-284400</v>
      </c>
      <c r="R244">
        <f t="shared" si="22"/>
        <v>434655</v>
      </c>
      <c r="S244">
        <f t="shared" si="23"/>
        <v>342068.33333333337</v>
      </c>
    </row>
    <row r="245" spans="1:19" hidden="1" x14ac:dyDescent="0.25">
      <c r="A245" s="1"/>
      <c r="C245" s="1"/>
      <c r="D245" s="1">
        <v>41613</v>
      </c>
      <c r="E245">
        <v>27038</v>
      </c>
      <c r="F245" s="1">
        <v>41613</v>
      </c>
      <c r="G245">
        <v>712.5</v>
      </c>
      <c r="H245" s="1">
        <f t="shared" si="18"/>
        <v>41613</v>
      </c>
      <c r="I245">
        <f>IF(AND(MyRowHidden(ROW())=FALSE,MyRowHidden(ROW()-1)=TRUE),0,(E245-E244)*unitsOfDHp+I244)</f>
        <v>151865</v>
      </c>
      <c r="J245">
        <f>IF(AND(MyRowHidden(ROW())=FALSE,MyRowHidden(ROW()-1)=TRUE),0,(G245-G244)*unitsOfExo+J244)</f>
        <v>-342000</v>
      </c>
      <c r="K245" s="9">
        <f t="shared" si="19"/>
        <v>342000</v>
      </c>
      <c r="L245">
        <f t="shared" si="20"/>
        <v>-190135</v>
      </c>
      <c r="M245">
        <f>IF(AND(MyRowHidden(ROW())=FALSE,MyRowHidden(ROW()-1)=TRUE),0,IF(MONTH(H245)&lt;&gt;MONTH(H244),M244+1,M244))</f>
        <v>11</v>
      </c>
      <c r="N245">
        <f t="shared" si="21"/>
        <v>151865</v>
      </c>
      <c r="O245">
        <f>IF(AND(MyRowHidden(ROW())=FALSE,MyRowHidden(ROW()-1)=TRUE),0,IF(M245&lt;totalMonths,(totalMonths-M245)/totalMonths *(I245-I244)+O244,0))</f>
        <v>57802.500000000051</v>
      </c>
      <c r="P245">
        <f>IF(AND(MyRowHidden(ROW())=FALSE,MyRowHidden(ROW()-1)=TRUE),0,IF(M245&lt;totalMonths,(totalMonths-M245)/totalMonths *(J245-J244)+P244,0))</f>
        <v>283800</v>
      </c>
      <c r="Q245">
        <f>IF(AND(MyRowHidden(ROW())=FALSE,MyRowHidden(ROW()-1)=TRUE),0,IF(M245&lt;totalMonths,(totalMonths-M245)/totalMonths *(K245-K244)+Q244,0))</f>
        <v>-283800</v>
      </c>
      <c r="R245">
        <f t="shared" si="22"/>
        <v>435665</v>
      </c>
      <c r="S245">
        <f t="shared" si="23"/>
        <v>341602.50000000006</v>
      </c>
    </row>
    <row r="246" spans="1:19" hidden="1" x14ac:dyDescent="0.25">
      <c r="A246" s="1"/>
      <c r="C246" s="1"/>
      <c r="D246" s="1">
        <v>41614</v>
      </c>
      <c r="E246">
        <v>27329</v>
      </c>
      <c r="F246" s="1">
        <v>41614</v>
      </c>
      <c r="G246">
        <v>600</v>
      </c>
      <c r="H246" s="1">
        <f t="shared" si="18"/>
        <v>41614</v>
      </c>
      <c r="I246">
        <f>IF(AND(MyRowHidden(ROW())=FALSE,MyRowHidden(ROW()-1)=TRUE),0,(E246-E245)*unitsOfDHp+I245)</f>
        <v>162050</v>
      </c>
      <c r="J246">
        <f>IF(AND(MyRowHidden(ROW())=FALSE,MyRowHidden(ROW()-1)=TRUE),0,(G246-G245)*unitsOfExo+J245)</f>
        <v>-374400</v>
      </c>
      <c r="K246" s="9">
        <f t="shared" si="19"/>
        <v>374400</v>
      </c>
      <c r="L246">
        <f t="shared" si="20"/>
        <v>-212350</v>
      </c>
      <c r="M246">
        <f>IF(AND(MyRowHidden(ROW())=FALSE,MyRowHidden(ROW()-1)=TRUE),0,IF(MONTH(H246)&lt;&gt;MONTH(H245),M245+1,M245))</f>
        <v>11</v>
      </c>
      <c r="N246">
        <f t="shared" si="21"/>
        <v>162050</v>
      </c>
      <c r="O246">
        <f>IF(AND(MyRowHidden(ROW())=FALSE,MyRowHidden(ROW()-1)=TRUE),0,IF(M246&lt;totalMonths,(totalMonths-M246)/totalMonths *(I246-I245)+O245,0))</f>
        <v>58651.250000000051</v>
      </c>
      <c r="P246">
        <f>IF(AND(MyRowHidden(ROW())=FALSE,MyRowHidden(ROW()-1)=TRUE),0,IF(M246&lt;totalMonths,(totalMonths-M246)/totalMonths *(J246-J245)+P245,0))</f>
        <v>281100</v>
      </c>
      <c r="Q246">
        <f>IF(AND(MyRowHidden(ROW())=FALSE,MyRowHidden(ROW()-1)=TRUE),0,IF(M246&lt;totalMonths,(totalMonths-M246)/totalMonths *(K246-K245)+Q245,0))</f>
        <v>-281100</v>
      </c>
      <c r="R246">
        <f t="shared" si="22"/>
        <v>443150</v>
      </c>
      <c r="S246">
        <f t="shared" si="23"/>
        <v>339751.25000000006</v>
      </c>
    </row>
    <row r="247" spans="1:19" hidden="1" x14ac:dyDescent="0.25">
      <c r="A247" s="1"/>
      <c r="C247" s="1"/>
      <c r="D247" s="1">
        <v>41617</v>
      </c>
      <c r="E247">
        <v>26919</v>
      </c>
      <c r="F247" s="1">
        <v>41617</v>
      </c>
      <c r="G247">
        <v>912.5</v>
      </c>
      <c r="H247" s="1">
        <f t="shared" si="18"/>
        <v>41617</v>
      </c>
      <c r="I247">
        <f>IF(AND(MyRowHidden(ROW())=FALSE,MyRowHidden(ROW()-1)=TRUE),0,(E247-E246)*unitsOfDHp+I246)</f>
        <v>147700</v>
      </c>
      <c r="J247">
        <f>IF(AND(MyRowHidden(ROW())=FALSE,MyRowHidden(ROW()-1)=TRUE),0,(G247-G246)*unitsOfExo+J246)</f>
        <v>-284400</v>
      </c>
      <c r="K247" s="9">
        <f t="shared" si="19"/>
        <v>284400</v>
      </c>
      <c r="L247">
        <f t="shared" si="20"/>
        <v>-136700</v>
      </c>
      <c r="M247">
        <f>IF(AND(MyRowHidden(ROW())=FALSE,MyRowHidden(ROW()-1)=TRUE),0,IF(MONTH(H247)&lt;&gt;MONTH(H246),M246+1,M246))</f>
        <v>11</v>
      </c>
      <c r="N247">
        <f t="shared" si="21"/>
        <v>147700</v>
      </c>
      <c r="O247">
        <f>IF(AND(MyRowHidden(ROW())=FALSE,MyRowHidden(ROW()-1)=TRUE),0,IF(M247&lt;totalMonths,(totalMonths-M247)/totalMonths *(I247-I246)+O246,0))</f>
        <v>57455.416666666715</v>
      </c>
      <c r="P247">
        <f>IF(AND(MyRowHidden(ROW())=FALSE,MyRowHidden(ROW()-1)=TRUE),0,IF(M247&lt;totalMonths,(totalMonths-M247)/totalMonths *(J247-J246)+P246,0))</f>
        <v>288600</v>
      </c>
      <c r="Q247">
        <f>IF(AND(MyRowHidden(ROW())=FALSE,MyRowHidden(ROW()-1)=TRUE),0,IF(M247&lt;totalMonths,(totalMonths-M247)/totalMonths *(K247-K246)+Q246,0))</f>
        <v>-288600</v>
      </c>
      <c r="R247">
        <f t="shared" si="22"/>
        <v>436300</v>
      </c>
      <c r="S247">
        <f t="shared" si="23"/>
        <v>346055.41666666674</v>
      </c>
    </row>
    <row r="248" spans="1:19" hidden="1" x14ac:dyDescent="0.25">
      <c r="A248" s="1"/>
      <c r="C248" s="1"/>
      <c r="D248" s="1">
        <v>41618</v>
      </c>
      <c r="E248">
        <v>26996</v>
      </c>
      <c r="F248" s="1">
        <v>41618</v>
      </c>
      <c r="G248">
        <v>887.5</v>
      </c>
      <c r="H248" s="1">
        <f t="shared" si="18"/>
        <v>41618</v>
      </c>
      <c r="I248">
        <f>IF(AND(MyRowHidden(ROW())=FALSE,MyRowHidden(ROW()-1)=TRUE),0,(E248-E247)*unitsOfDHp+I247)</f>
        <v>150395</v>
      </c>
      <c r="J248">
        <f>IF(AND(MyRowHidden(ROW())=FALSE,MyRowHidden(ROW()-1)=TRUE),0,(G248-G247)*unitsOfExo+J247)</f>
        <v>-291600</v>
      </c>
      <c r="K248" s="9">
        <f t="shared" si="19"/>
        <v>291600</v>
      </c>
      <c r="L248">
        <f t="shared" si="20"/>
        <v>-141205</v>
      </c>
      <c r="M248">
        <f>IF(AND(MyRowHidden(ROW())=FALSE,MyRowHidden(ROW()-1)=TRUE),0,IF(MONTH(H248)&lt;&gt;MONTH(H247),M247+1,M247))</f>
        <v>11</v>
      </c>
      <c r="N248">
        <f t="shared" si="21"/>
        <v>150395</v>
      </c>
      <c r="O248">
        <f>IF(AND(MyRowHidden(ROW())=FALSE,MyRowHidden(ROW()-1)=TRUE),0,IF(M248&lt;totalMonths,(totalMonths-M248)/totalMonths *(I248-I247)+O247,0))</f>
        <v>57680.000000000051</v>
      </c>
      <c r="P248">
        <f>IF(AND(MyRowHidden(ROW())=FALSE,MyRowHidden(ROW()-1)=TRUE),0,IF(M248&lt;totalMonths,(totalMonths-M248)/totalMonths *(J248-J247)+P247,0))</f>
        <v>288000</v>
      </c>
      <c r="Q248">
        <f>IF(AND(MyRowHidden(ROW())=FALSE,MyRowHidden(ROW()-1)=TRUE),0,IF(M248&lt;totalMonths,(totalMonths-M248)/totalMonths *(K248-K247)+Q247,0))</f>
        <v>-288000</v>
      </c>
      <c r="R248">
        <f t="shared" si="22"/>
        <v>438395</v>
      </c>
      <c r="S248">
        <f t="shared" si="23"/>
        <v>345680.00000000006</v>
      </c>
    </row>
    <row r="249" spans="1:19" hidden="1" x14ac:dyDescent="0.25">
      <c r="A249" s="1"/>
      <c r="C249" s="1"/>
      <c r="D249" s="1">
        <v>41619</v>
      </c>
      <c r="E249">
        <v>26726</v>
      </c>
      <c r="F249" s="1">
        <v>41619</v>
      </c>
      <c r="G249">
        <v>1087.5</v>
      </c>
      <c r="H249" s="1">
        <f t="shared" si="18"/>
        <v>41619</v>
      </c>
      <c r="I249">
        <f>IF(AND(MyRowHidden(ROW())=FALSE,MyRowHidden(ROW()-1)=TRUE),0,(E249-E248)*unitsOfDHp+I248)</f>
        <v>140945</v>
      </c>
      <c r="J249">
        <f>IF(AND(MyRowHidden(ROW())=FALSE,MyRowHidden(ROW()-1)=TRUE),0,(G249-G248)*unitsOfExo+J248)</f>
        <v>-234000</v>
      </c>
      <c r="K249" s="9">
        <f t="shared" si="19"/>
        <v>234000</v>
      </c>
      <c r="L249">
        <f t="shared" si="20"/>
        <v>-93055</v>
      </c>
      <c r="M249">
        <f>IF(AND(MyRowHidden(ROW())=FALSE,MyRowHidden(ROW()-1)=TRUE),0,IF(MONTH(H249)&lt;&gt;MONTH(H248),M248+1,M248))</f>
        <v>11</v>
      </c>
      <c r="N249">
        <f t="shared" si="21"/>
        <v>140945</v>
      </c>
      <c r="O249">
        <f>IF(AND(MyRowHidden(ROW())=FALSE,MyRowHidden(ROW()-1)=TRUE),0,IF(M249&lt;totalMonths,(totalMonths-M249)/totalMonths *(I249-I248)+O248,0))</f>
        <v>56892.500000000051</v>
      </c>
      <c r="P249">
        <f>IF(AND(MyRowHidden(ROW())=FALSE,MyRowHidden(ROW()-1)=TRUE),0,IF(M249&lt;totalMonths,(totalMonths-M249)/totalMonths *(J249-J248)+P248,0))</f>
        <v>292800</v>
      </c>
      <c r="Q249">
        <f>IF(AND(MyRowHidden(ROW())=FALSE,MyRowHidden(ROW()-1)=TRUE),0,IF(M249&lt;totalMonths,(totalMonths-M249)/totalMonths *(K249-K248)+Q248,0))</f>
        <v>-292800</v>
      </c>
      <c r="R249">
        <f t="shared" si="22"/>
        <v>433745</v>
      </c>
      <c r="S249">
        <f t="shared" si="23"/>
        <v>349692.50000000006</v>
      </c>
    </row>
    <row r="250" spans="1:19" hidden="1" x14ac:dyDescent="0.25">
      <c r="A250" s="1"/>
      <c r="C250" s="1"/>
      <c r="D250" s="1">
        <v>41620</v>
      </c>
      <c r="E250">
        <v>27017</v>
      </c>
      <c r="F250" s="1">
        <v>41620</v>
      </c>
      <c r="G250">
        <v>800</v>
      </c>
      <c r="H250" s="1">
        <f t="shared" si="18"/>
        <v>41620</v>
      </c>
      <c r="I250">
        <f>IF(AND(MyRowHidden(ROW())=FALSE,MyRowHidden(ROW()-1)=TRUE),0,(E250-E249)*unitsOfDHp+I249)</f>
        <v>151130</v>
      </c>
      <c r="J250">
        <f>IF(AND(MyRowHidden(ROW())=FALSE,MyRowHidden(ROW()-1)=TRUE),0,(G250-G249)*unitsOfExo+J249)</f>
        <v>-316800</v>
      </c>
      <c r="K250" s="9">
        <f t="shared" si="19"/>
        <v>316800</v>
      </c>
      <c r="L250">
        <f t="shared" si="20"/>
        <v>-165670</v>
      </c>
      <c r="M250">
        <f>IF(AND(MyRowHidden(ROW())=FALSE,MyRowHidden(ROW()-1)=TRUE),0,IF(MONTH(H250)&lt;&gt;MONTH(H249),M249+1,M249))</f>
        <v>11</v>
      </c>
      <c r="N250">
        <f t="shared" si="21"/>
        <v>151130</v>
      </c>
      <c r="O250">
        <f>IF(AND(MyRowHidden(ROW())=FALSE,MyRowHidden(ROW()-1)=TRUE),0,IF(M250&lt;totalMonths,(totalMonths-M250)/totalMonths *(I250-I249)+O249,0))</f>
        <v>57741.250000000051</v>
      </c>
      <c r="P250">
        <f>IF(AND(MyRowHidden(ROW())=FALSE,MyRowHidden(ROW()-1)=TRUE),0,IF(M250&lt;totalMonths,(totalMonths-M250)/totalMonths *(J250-J249)+P249,0))</f>
        <v>285900</v>
      </c>
      <c r="Q250">
        <f>IF(AND(MyRowHidden(ROW())=FALSE,MyRowHidden(ROW()-1)=TRUE),0,IF(M250&lt;totalMonths,(totalMonths-M250)/totalMonths *(K250-K249)+Q249,0))</f>
        <v>-285900</v>
      </c>
      <c r="R250">
        <f t="shared" si="22"/>
        <v>437030</v>
      </c>
      <c r="S250">
        <f t="shared" si="23"/>
        <v>343641.25000000006</v>
      </c>
    </row>
    <row r="251" spans="1:19" hidden="1" x14ac:dyDescent="0.25">
      <c r="A251" s="1"/>
      <c r="C251" s="1"/>
      <c r="D251" s="1">
        <v>41621</v>
      </c>
      <c r="E251">
        <v>27073</v>
      </c>
      <c r="F251" s="1">
        <v>41621</v>
      </c>
      <c r="G251">
        <v>462.5</v>
      </c>
      <c r="H251" s="1">
        <f t="shared" si="18"/>
        <v>41621</v>
      </c>
      <c r="I251">
        <f>IF(AND(MyRowHidden(ROW())=FALSE,MyRowHidden(ROW()-1)=TRUE),0,(E251-E250)*unitsOfDHp+I250)</f>
        <v>153090</v>
      </c>
      <c r="J251">
        <f>IF(AND(MyRowHidden(ROW())=FALSE,MyRowHidden(ROW()-1)=TRUE),0,(G251-G250)*unitsOfExo+J250)</f>
        <v>-414000</v>
      </c>
      <c r="K251" s="9">
        <f t="shared" si="19"/>
        <v>414000</v>
      </c>
      <c r="L251">
        <f t="shared" si="20"/>
        <v>-260910</v>
      </c>
      <c r="M251">
        <f>IF(AND(MyRowHidden(ROW())=FALSE,MyRowHidden(ROW()-1)=TRUE),0,IF(MONTH(H251)&lt;&gt;MONTH(H250),M250+1,M250))</f>
        <v>11</v>
      </c>
      <c r="N251">
        <f t="shared" si="21"/>
        <v>153090</v>
      </c>
      <c r="O251">
        <f>IF(AND(MyRowHidden(ROW())=FALSE,MyRowHidden(ROW()-1)=TRUE),0,IF(M251&lt;totalMonths,(totalMonths-M251)/totalMonths *(I251-I250)+O250,0))</f>
        <v>57904.583333333387</v>
      </c>
      <c r="P251">
        <f>IF(AND(MyRowHidden(ROW())=FALSE,MyRowHidden(ROW()-1)=TRUE),0,IF(M251&lt;totalMonths,(totalMonths-M251)/totalMonths *(J251-J250)+P250,0))</f>
        <v>277800</v>
      </c>
      <c r="Q251">
        <f>IF(AND(MyRowHidden(ROW())=FALSE,MyRowHidden(ROW()-1)=TRUE),0,IF(M251&lt;totalMonths,(totalMonths-M251)/totalMonths *(K251-K250)+Q250,0))</f>
        <v>-277800</v>
      </c>
      <c r="R251">
        <f t="shared" si="22"/>
        <v>430890</v>
      </c>
      <c r="S251">
        <f t="shared" si="23"/>
        <v>335704.58333333337</v>
      </c>
    </row>
    <row r="252" spans="1:19" hidden="1" x14ac:dyDescent="0.25">
      <c r="A252" s="1"/>
      <c r="C252" s="1"/>
      <c r="D252" s="1">
        <v>41624</v>
      </c>
      <c r="E252">
        <v>27166</v>
      </c>
      <c r="F252" s="1">
        <v>41624</v>
      </c>
      <c r="G252">
        <v>400</v>
      </c>
      <c r="H252" s="1">
        <f t="shared" si="18"/>
        <v>41624</v>
      </c>
      <c r="I252">
        <f>IF(AND(MyRowHidden(ROW())=FALSE,MyRowHidden(ROW()-1)=TRUE),0,(E252-E251)*unitsOfDHp+I251)</f>
        <v>156345</v>
      </c>
      <c r="J252">
        <f>IF(AND(MyRowHidden(ROW())=FALSE,MyRowHidden(ROW()-1)=TRUE),0,(G252-G251)*unitsOfExo+J251)</f>
        <v>-432000</v>
      </c>
      <c r="K252" s="9">
        <f t="shared" si="19"/>
        <v>432000</v>
      </c>
      <c r="L252">
        <f t="shared" si="20"/>
        <v>-275655</v>
      </c>
      <c r="M252">
        <f>IF(AND(MyRowHidden(ROW())=FALSE,MyRowHidden(ROW()-1)=TRUE),0,IF(MONTH(H252)&lt;&gt;MONTH(H251),M251+1,M251))</f>
        <v>11</v>
      </c>
      <c r="N252">
        <f t="shared" si="21"/>
        <v>156345</v>
      </c>
      <c r="O252">
        <f>IF(AND(MyRowHidden(ROW())=FALSE,MyRowHidden(ROW()-1)=TRUE),0,IF(M252&lt;totalMonths,(totalMonths-M252)/totalMonths *(I252-I251)+O251,0))</f>
        <v>58175.833333333387</v>
      </c>
      <c r="P252">
        <f>IF(AND(MyRowHidden(ROW())=FALSE,MyRowHidden(ROW()-1)=TRUE),0,IF(M252&lt;totalMonths,(totalMonths-M252)/totalMonths *(J252-J251)+P251,0))</f>
        <v>276300</v>
      </c>
      <c r="Q252">
        <f>IF(AND(MyRowHidden(ROW())=FALSE,MyRowHidden(ROW()-1)=TRUE),0,IF(M252&lt;totalMonths,(totalMonths-M252)/totalMonths *(K252-K251)+Q251,0))</f>
        <v>-276300</v>
      </c>
      <c r="R252">
        <f t="shared" si="22"/>
        <v>432645</v>
      </c>
      <c r="S252">
        <f t="shared" si="23"/>
        <v>334475.83333333337</v>
      </c>
    </row>
    <row r="253" spans="1:19" hidden="1" x14ac:dyDescent="0.25">
      <c r="A253" s="1"/>
      <c r="C253" s="1"/>
      <c r="D253" s="1">
        <v>41625</v>
      </c>
      <c r="E253">
        <v>27207</v>
      </c>
      <c r="F253" s="1">
        <v>41625</v>
      </c>
      <c r="G253">
        <v>500</v>
      </c>
      <c r="H253" s="1">
        <f t="shared" si="18"/>
        <v>41625</v>
      </c>
      <c r="I253">
        <f>IF(AND(MyRowHidden(ROW())=FALSE,MyRowHidden(ROW()-1)=TRUE),0,(E253-E252)*unitsOfDHp+I252)</f>
        <v>157780</v>
      </c>
      <c r="J253">
        <f>IF(AND(MyRowHidden(ROW())=FALSE,MyRowHidden(ROW()-1)=TRUE),0,(G253-G252)*unitsOfExo+J252)</f>
        <v>-403200</v>
      </c>
      <c r="K253" s="9">
        <f t="shared" si="19"/>
        <v>403200</v>
      </c>
      <c r="L253">
        <f t="shared" si="20"/>
        <v>-245420</v>
      </c>
      <c r="M253">
        <f>IF(AND(MyRowHidden(ROW())=FALSE,MyRowHidden(ROW()-1)=TRUE),0,IF(MONTH(H253)&lt;&gt;MONTH(H252),M252+1,M252))</f>
        <v>11</v>
      </c>
      <c r="N253">
        <f t="shared" si="21"/>
        <v>157780</v>
      </c>
      <c r="O253">
        <f>IF(AND(MyRowHidden(ROW())=FALSE,MyRowHidden(ROW()-1)=TRUE),0,IF(M253&lt;totalMonths,(totalMonths-M253)/totalMonths *(I253-I252)+O252,0))</f>
        <v>58295.416666666722</v>
      </c>
      <c r="P253">
        <f>IF(AND(MyRowHidden(ROW())=FALSE,MyRowHidden(ROW()-1)=TRUE),0,IF(M253&lt;totalMonths,(totalMonths-M253)/totalMonths *(J253-J252)+P252,0))</f>
        <v>278700</v>
      </c>
      <c r="Q253">
        <f>IF(AND(MyRowHidden(ROW())=FALSE,MyRowHidden(ROW()-1)=TRUE),0,IF(M253&lt;totalMonths,(totalMonths-M253)/totalMonths *(K253-K252)+Q252,0))</f>
        <v>-278700</v>
      </c>
      <c r="R253">
        <f t="shared" si="22"/>
        <v>436480</v>
      </c>
      <c r="S253">
        <f t="shared" si="23"/>
        <v>336995.41666666674</v>
      </c>
    </row>
    <row r="254" spans="1:19" hidden="1" x14ac:dyDescent="0.25">
      <c r="A254" s="1"/>
      <c r="C254" s="1"/>
      <c r="D254" s="1">
        <v>41626</v>
      </c>
      <c r="E254">
        <v>27116</v>
      </c>
      <c r="F254" s="1">
        <v>41626</v>
      </c>
      <c r="G254">
        <v>400</v>
      </c>
      <c r="H254" s="1">
        <f t="shared" si="18"/>
        <v>41626</v>
      </c>
      <c r="I254">
        <f>IF(AND(MyRowHidden(ROW())=FALSE,MyRowHidden(ROW()-1)=TRUE),0,(E254-E253)*unitsOfDHp+I253)</f>
        <v>154595</v>
      </c>
      <c r="J254">
        <f>IF(AND(MyRowHidden(ROW())=FALSE,MyRowHidden(ROW()-1)=TRUE),0,(G254-G253)*unitsOfExo+J253)</f>
        <v>-432000</v>
      </c>
      <c r="K254" s="9">
        <f t="shared" si="19"/>
        <v>432000</v>
      </c>
      <c r="L254">
        <f t="shared" si="20"/>
        <v>-277405</v>
      </c>
      <c r="M254">
        <f>IF(AND(MyRowHidden(ROW())=FALSE,MyRowHidden(ROW()-1)=TRUE),0,IF(MONTH(H254)&lt;&gt;MONTH(H253),M253+1,M253))</f>
        <v>11</v>
      </c>
      <c r="N254">
        <f t="shared" si="21"/>
        <v>154595</v>
      </c>
      <c r="O254">
        <f>IF(AND(MyRowHidden(ROW())=FALSE,MyRowHidden(ROW()-1)=TRUE),0,IF(M254&lt;totalMonths,(totalMonths-M254)/totalMonths *(I254-I253)+O253,0))</f>
        <v>58030.000000000058</v>
      </c>
      <c r="P254">
        <f>IF(AND(MyRowHidden(ROW())=FALSE,MyRowHidden(ROW()-1)=TRUE),0,IF(M254&lt;totalMonths,(totalMonths-M254)/totalMonths *(J254-J253)+P253,0))</f>
        <v>276300</v>
      </c>
      <c r="Q254">
        <f>IF(AND(MyRowHidden(ROW())=FALSE,MyRowHidden(ROW()-1)=TRUE),0,IF(M254&lt;totalMonths,(totalMonths-M254)/totalMonths *(K254-K253)+Q253,0))</f>
        <v>-276300</v>
      </c>
      <c r="R254">
        <f t="shared" si="22"/>
        <v>430895</v>
      </c>
      <c r="S254">
        <f t="shared" si="23"/>
        <v>334330.00000000006</v>
      </c>
    </row>
    <row r="255" spans="1:19" hidden="1" x14ac:dyDescent="0.25">
      <c r="A255" s="1"/>
      <c r="C255" s="1"/>
      <c r="D255" s="1">
        <v>41627</v>
      </c>
      <c r="E255">
        <v>27100</v>
      </c>
      <c r="F255" s="1">
        <v>41627</v>
      </c>
      <c r="G255">
        <v>612.5</v>
      </c>
      <c r="H255" s="1">
        <f t="shared" si="18"/>
        <v>41627</v>
      </c>
      <c r="I255">
        <f>IF(AND(MyRowHidden(ROW())=FALSE,MyRowHidden(ROW()-1)=TRUE),0,(E255-E254)*unitsOfDHp+I254)</f>
        <v>154035</v>
      </c>
      <c r="J255">
        <f>IF(AND(MyRowHidden(ROW())=FALSE,MyRowHidden(ROW()-1)=TRUE),0,(G255-G254)*unitsOfExo+J254)</f>
        <v>-370800</v>
      </c>
      <c r="K255" s="9">
        <f t="shared" si="19"/>
        <v>370800</v>
      </c>
      <c r="L255">
        <f t="shared" si="20"/>
        <v>-216765</v>
      </c>
      <c r="M255">
        <f>IF(AND(MyRowHidden(ROW())=FALSE,MyRowHidden(ROW()-1)=TRUE),0,IF(MONTH(H255)&lt;&gt;MONTH(H254),M254+1,M254))</f>
        <v>11</v>
      </c>
      <c r="N255">
        <f t="shared" si="21"/>
        <v>154035</v>
      </c>
      <c r="O255">
        <f>IF(AND(MyRowHidden(ROW())=FALSE,MyRowHidden(ROW()-1)=TRUE),0,IF(M255&lt;totalMonths,(totalMonths-M255)/totalMonths *(I255-I254)+O254,0))</f>
        <v>57983.333333333394</v>
      </c>
      <c r="P255">
        <f>IF(AND(MyRowHidden(ROW())=FALSE,MyRowHidden(ROW()-1)=TRUE),0,IF(M255&lt;totalMonths,(totalMonths-M255)/totalMonths *(J255-J254)+P254,0))</f>
        <v>281400</v>
      </c>
      <c r="Q255">
        <f>IF(AND(MyRowHidden(ROW())=FALSE,MyRowHidden(ROW()-1)=TRUE),0,IF(M255&lt;totalMonths,(totalMonths-M255)/totalMonths *(K255-K254)+Q254,0))</f>
        <v>-281400</v>
      </c>
      <c r="R255">
        <f t="shared" si="22"/>
        <v>435435</v>
      </c>
      <c r="S255">
        <f t="shared" si="23"/>
        <v>339383.33333333337</v>
      </c>
    </row>
    <row r="256" spans="1:19" hidden="1" x14ac:dyDescent="0.25">
      <c r="A256" s="1"/>
      <c r="C256" s="1"/>
      <c r="D256" s="1">
        <v>41628</v>
      </c>
      <c r="E256">
        <v>27215</v>
      </c>
      <c r="F256" s="1">
        <v>41628</v>
      </c>
      <c r="G256">
        <v>775</v>
      </c>
      <c r="H256" s="1">
        <f t="shared" si="18"/>
        <v>41628</v>
      </c>
      <c r="I256">
        <f>IF(AND(MyRowHidden(ROW())=FALSE,MyRowHidden(ROW()-1)=TRUE),0,(E256-E255)*unitsOfDHp+I255)</f>
        <v>158060</v>
      </c>
      <c r="J256">
        <f>IF(AND(MyRowHidden(ROW())=FALSE,MyRowHidden(ROW()-1)=TRUE),0,(G256-G255)*unitsOfExo+J255)</f>
        <v>-324000</v>
      </c>
      <c r="K256" s="9">
        <f t="shared" si="19"/>
        <v>324000</v>
      </c>
      <c r="L256">
        <f t="shared" si="20"/>
        <v>-165940</v>
      </c>
      <c r="M256">
        <f>IF(AND(MyRowHidden(ROW())=FALSE,MyRowHidden(ROW()-1)=TRUE),0,IF(MONTH(H256)&lt;&gt;MONTH(H255),M255+1,M255))</f>
        <v>11</v>
      </c>
      <c r="N256">
        <f t="shared" si="21"/>
        <v>158060</v>
      </c>
      <c r="O256">
        <f>IF(AND(MyRowHidden(ROW())=FALSE,MyRowHidden(ROW()-1)=TRUE),0,IF(M256&lt;totalMonths,(totalMonths-M256)/totalMonths *(I256-I255)+O255,0))</f>
        <v>58318.750000000058</v>
      </c>
      <c r="P256">
        <f>IF(AND(MyRowHidden(ROW())=FALSE,MyRowHidden(ROW()-1)=TRUE),0,IF(M256&lt;totalMonths,(totalMonths-M256)/totalMonths *(J256-J255)+P255,0))</f>
        <v>285300</v>
      </c>
      <c r="Q256">
        <f>IF(AND(MyRowHidden(ROW())=FALSE,MyRowHidden(ROW()-1)=TRUE),0,IF(M256&lt;totalMonths,(totalMonths-M256)/totalMonths *(K256-K255)+Q255,0))</f>
        <v>-285300</v>
      </c>
      <c r="R256">
        <f t="shared" si="22"/>
        <v>443360</v>
      </c>
      <c r="S256">
        <f t="shared" si="23"/>
        <v>343618.75000000006</v>
      </c>
    </row>
    <row r="257" spans="1:19" hidden="1" x14ac:dyDescent="0.25">
      <c r="A257" s="1"/>
      <c r="C257" s="1"/>
      <c r="D257" s="1">
        <v>41631</v>
      </c>
      <c r="E257">
        <v>27262</v>
      </c>
      <c r="F257" s="1">
        <v>41631</v>
      </c>
      <c r="G257">
        <v>862.5</v>
      </c>
      <c r="H257" s="1">
        <f t="shared" si="18"/>
        <v>41631</v>
      </c>
      <c r="I257">
        <f>IF(AND(MyRowHidden(ROW())=FALSE,MyRowHidden(ROW()-1)=TRUE),0,(E257-E256)*unitsOfDHp+I256)</f>
        <v>159705</v>
      </c>
      <c r="J257">
        <f>IF(AND(MyRowHidden(ROW())=FALSE,MyRowHidden(ROW()-1)=TRUE),0,(G257-G256)*unitsOfExo+J256)</f>
        <v>-298800</v>
      </c>
      <c r="K257" s="9">
        <f t="shared" si="19"/>
        <v>298800</v>
      </c>
      <c r="L257">
        <f t="shared" si="20"/>
        <v>-139095</v>
      </c>
      <c r="M257">
        <f>IF(AND(MyRowHidden(ROW())=FALSE,MyRowHidden(ROW()-1)=TRUE),0,IF(MONTH(H257)&lt;&gt;MONTH(H256),M256+1,M256))</f>
        <v>11</v>
      </c>
      <c r="N257">
        <f t="shared" si="21"/>
        <v>159705</v>
      </c>
      <c r="O257">
        <f>IF(AND(MyRowHidden(ROW())=FALSE,MyRowHidden(ROW()-1)=TRUE),0,IF(M257&lt;totalMonths,(totalMonths-M257)/totalMonths *(I257-I256)+O256,0))</f>
        <v>58455.833333333394</v>
      </c>
      <c r="P257">
        <f>IF(AND(MyRowHidden(ROW())=FALSE,MyRowHidden(ROW()-1)=TRUE),0,IF(M257&lt;totalMonths,(totalMonths-M257)/totalMonths *(J257-J256)+P256,0))</f>
        <v>287400</v>
      </c>
      <c r="Q257">
        <f>IF(AND(MyRowHidden(ROW())=FALSE,MyRowHidden(ROW()-1)=TRUE),0,IF(M257&lt;totalMonths,(totalMonths-M257)/totalMonths *(K257-K256)+Q256,0))</f>
        <v>-287400</v>
      </c>
      <c r="R257">
        <f t="shared" si="22"/>
        <v>447105</v>
      </c>
      <c r="S257">
        <f t="shared" si="23"/>
        <v>345855.83333333337</v>
      </c>
    </row>
    <row r="258" spans="1:19" hidden="1" x14ac:dyDescent="0.25">
      <c r="A258" s="1"/>
      <c r="C258" s="1"/>
      <c r="D258" s="1">
        <v>41632</v>
      </c>
      <c r="E258">
        <v>27217</v>
      </c>
      <c r="F258" s="1">
        <v>41632</v>
      </c>
      <c r="G258">
        <v>875</v>
      </c>
      <c r="H258" s="1">
        <f t="shared" si="18"/>
        <v>41632</v>
      </c>
      <c r="I258">
        <f>IF(AND(MyRowHidden(ROW())=FALSE,MyRowHidden(ROW()-1)=TRUE),0,(E258-E257)*unitsOfDHp+I257)</f>
        <v>158130</v>
      </c>
      <c r="J258">
        <f>IF(AND(MyRowHidden(ROW())=FALSE,MyRowHidden(ROW()-1)=TRUE),0,(G258-G257)*unitsOfExo+J257)</f>
        <v>-295200</v>
      </c>
      <c r="K258" s="9">
        <f t="shared" si="19"/>
        <v>295200</v>
      </c>
      <c r="L258">
        <f t="shared" si="20"/>
        <v>-137070</v>
      </c>
      <c r="M258">
        <f>IF(AND(MyRowHidden(ROW())=FALSE,MyRowHidden(ROW()-1)=TRUE),0,IF(MONTH(H258)&lt;&gt;MONTH(H257),M257+1,M257))</f>
        <v>11</v>
      </c>
      <c r="N258">
        <f t="shared" si="21"/>
        <v>158130</v>
      </c>
      <c r="O258">
        <f>IF(AND(MyRowHidden(ROW())=FALSE,MyRowHidden(ROW()-1)=TRUE),0,IF(M258&lt;totalMonths,(totalMonths-M258)/totalMonths *(I258-I257)+O257,0))</f>
        <v>58324.583333333394</v>
      </c>
      <c r="P258">
        <f>IF(AND(MyRowHidden(ROW())=FALSE,MyRowHidden(ROW()-1)=TRUE),0,IF(M258&lt;totalMonths,(totalMonths-M258)/totalMonths *(J258-J257)+P257,0))</f>
        <v>287700</v>
      </c>
      <c r="Q258">
        <f>IF(AND(MyRowHidden(ROW())=FALSE,MyRowHidden(ROW()-1)=TRUE),0,IF(M258&lt;totalMonths,(totalMonths-M258)/totalMonths *(K258-K257)+Q257,0))</f>
        <v>-287700</v>
      </c>
      <c r="R258">
        <f t="shared" si="22"/>
        <v>445830</v>
      </c>
      <c r="S258">
        <f t="shared" si="23"/>
        <v>346024.58333333337</v>
      </c>
    </row>
    <row r="259" spans="1:19" hidden="1" x14ac:dyDescent="0.25">
      <c r="A259" s="1"/>
      <c r="C259" s="1"/>
      <c r="D259" s="1">
        <v>41634</v>
      </c>
      <c r="E259">
        <v>27690</v>
      </c>
      <c r="F259" s="1">
        <v>41634</v>
      </c>
      <c r="G259">
        <v>512.5</v>
      </c>
      <c r="H259" s="1">
        <f t="shared" si="18"/>
        <v>41634</v>
      </c>
      <c r="I259">
        <f>IF(AND(MyRowHidden(ROW())=FALSE,MyRowHidden(ROW()-1)=TRUE),0,(E259-E258)*unitsOfDHp+I258)</f>
        <v>174685</v>
      </c>
      <c r="J259">
        <f>IF(AND(MyRowHidden(ROW())=FALSE,MyRowHidden(ROW()-1)=TRUE),0,(G259-G258)*unitsOfExo+J258)</f>
        <v>-399600</v>
      </c>
      <c r="K259" s="9">
        <f t="shared" si="19"/>
        <v>399600</v>
      </c>
      <c r="L259">
        <f t="shared" si="20"/>
        <v>-224915</v>
      </c>
      <c r="M259">
        <f>IF(AND(MyRowHidden(ROW())=FALSE,MyRowHidden(ROW()-1)=TRUE),0,IF(MONTH(H259)&lt;&gt;MONTH(H258),M258+1,M258))</f>
        <v>11</v>
      </c>
      <c r="N259">
        <f t="shared" si="21"/>
        <v>174685</v>
      </c>
      <c r="O259">
        <f>IF(AND(MyRowHidden(ROW())=FALSE,MyRowHidden(ROW()-1)=TRUE),0,IF(M259&lt;totalMonths,(totalMonths-M259)/totalMonths *(I259-I258)+O258,0))</f>
        <v>59704.16666666673</v>
      </c>
      <c r="P259">
        <f>IF(AND(MyRowHidden(ROW())=FALSE,MyRowHidden(ROW()-1)=TRUE),0,IF(M259&lt;totalMonths,(totalMonths-M259)/totalMonths *(J259-J258)+P258,0))</f>
        <v>279000</v>
      </c>
      <c r="Q259">
        <f>IF(AND(MyRowHidden(ROW())=FALSE,MyRowHidden(ROW()-1)=TRUE),0,IF(M259&lt;totalMonths,(totalMonths-M259)/totalMonths *(K259-K258)+Q258,0))</f>
        <v>-279000</v>
      </c>
      <c r="R259">
        <f t="shared" si="22"/>
        <v>453685</v>
      </c>
      <c r="S259">
        <f t="shared" si="23"/>
        <v>338704.16666666674</v>
      </c>
    </row>
    <row r="260" spans="1:19" hidden="1" x14ac:dyDescent="0.25">
      <c r="A260" s="1"/>
      <c r="C260" s="1"/>
      <c r="D260" s="1">
        <v>41635</v>
      </c>
      <c r="E260">
        <v>27661</v>
      </c>
      <c r="F260" s="1">
        <v>41635</v>
      </c>
      <c r="G260">
        <v>500</v>
      </c>
      <c r="H260" s="1">
        <f t="shared" si="18"/>
        <v>41635</v>
      </c>
      <c r="I260">
        <f>IF(AND(MyRowHidden(ROW())=FALSE,MyRowHidden(ROW()-1)=TRUE),0,(E260-E259)*unitsOfDHp+I259)</f>
        <v>173670</v>
      </c>
      <c r="J260">
        <f>IF(AND(MyRowHidden(ROW())=FALSE,MyRowHidden(ROW()-1)=TRUE),0,(G260-G259)*unitsOfExo+J259)</f>
        <v>-403200</v>
      </c>
      <c r="K260" s="9">
        <f t="shared" si="19"/>
        <v>403200</v>
      </c>
      <c r="L260">
        <f t="shared" si="20"/>
        <v>-229530</v>
      </c>
      <c r="M260">
        <f>IF(AND(MyRowHidden(ROW())=FALSE,MyRowHidden(ROW()-1)=TRUE),0,IF(MONTH(H260)&lt;&gt;MONTH(H259),M259+1,M259))</f>
        <v>11</v>
      </c>
      <c r="N260">
        <f t="shared" si="21"/>
        <v>173670</v>
      </c>
      <c r="O260">
        <f>IF(AND(MyRowHidden(ROW())=FALSE,MyRowHidden(ROW()-1)=TRUE),0,IF(M260&lt;totalMonths,(totalMonths-M260)/totalMonths *(I260-I259)+O259,0))</f>
        <v>59619.583333333394</v>
      </c>
      <c r="P260">
        <f>IF(AND(MyRowHidden(ROW())=FALSE,MyRowHidden(ROW()-1)=TRUE),0,IF(M260&lt;totalMonths,(totalMonths-M260)/totalMonths *(J260-J259)+P259,0))</f>
        <v>278700</v>
      </c>
      <c r="Q260">
        <f>IF(AND(MyRowHidden(ROW())=FALSE,MyRowHidden(ROW()-1)=TRUE),0,IF(M260&lt;totalMonths,(totalMonths-M260)/totalMonths *(K260-K259)+Q259,0))</f>
        <v>-278700</v>
      </c>
      <c r="R260">
        <f t="shared" si="22"/>
        <v>452370</v>
      </c>
      <c r="S260">
        <f t="shared" si="23"/>
        <v>338319.58333333337</v>
      </c>
    </row>
    <row r="261" spans="1:19" hidden="1" x14ac:dyDescent="0.25">
      <c r="A261" s="1"/>
      <c r="C261" s="1"/>
      <c r="D261" s="1">
        <v>41638</v>
      </c>
      <c r="E261">
        <v>27550</v>
      </c>
      <c r="F261" s="1">
        <v>41638</v>
      </c>
      <c r="G261">
        <v>325</v>
      </c>
      <c r="H261" s="1">
        <f t="shared" si="18"/>
        <v>41638</v>
      </c>
      <c r="I261">
        <f>IF(AND(MyRowHidden(ROW())=FALSE,MyRowHidden(ROW()-1)=TRUE),0,(E261-E260)*unitsOfDHp+I260)</f>
        <v>169785</v>
      </c>
      <c r="J261">
        <f>IF(AND(MyRowHidden(ROW())=FALSE,MyRowHidden(ROW()-1)=TRUE),0,(G261-G260)*unitsOfExo+J260)</f>
        <v>-453600</v>
      </c>
      <c r="K261" s="9">
        <f t="shared" si="19"/>
        <v>453600</v>
      </c>
      <c r="L261">
        <f t="shared" si="20"/>
        <v>-283815</v>
      </c>
      <c r="M261">
        <f>IF(AND(MyRowHidden(ROW())=FALSE,MyRowHidden(ROW()-1)=TRUE),0,IF(MONTH(H261)&lt;&gt;MONTH(H260),M260+1,M260))</f>
        <v>11</v>
      </c>
      <c r="N261">
        <f t="shared" si="21"/>
        <v>169785</v>
      </c>
      <c r="O261">
        <f>IF(AND(MyRowHidden(ROW())=FALSE,MyRowHidden(ROW()-1)=TRUE),0,IF(M261&lt;totalMonths,(totalMonths-M261)/totalMonths *(I261-I260)+O260,0))</f>
        <v>59295.833333333394</v>
      </c>
      <c r="P261">
        <f>IF(AND(MyRowHidden(ROW())=FALSE,MyRowHidden(ROW()-1)=TRUE),0,IF(M261&lt;totalMonths,(totalMonths-M261)/totalMonths *(J261-J260)+P260,0))</f>
        <v>274500</v>
      </c>
      <c r="Q261">
        <f>IF(AND(MyRowHidden(ROW())=FALSE,MyRowHidden(ROW()-1)=TRUE),0,IF(M261&lt;totalMonths,(totalMonths-M261)/totalMonths *(K261-K260)+Q260,0))</f>
        <v>-274500</v>
      </c>
      <c r="R261">
        <f t="shared" si="22"/>
        <v>444285</v>
      </c>
      <c r="S261">
        <f t="shared" si="23"/>
        <v>333795.83333333337</v>
      </c>
    </row>
    <row r="262" spans="1:19" hidden="1" x14ac:dyDescent="0.25">
      <c r="A262" s="1"/>
      <c r="C262" s="1"/>
      <c r="D262" s="1">
        <v>41639</v>
      </c>
      <c r="E262">
        <v>27550</v>
      </c>
      <c r="F262" s="1">
        <v>41639</v>
      </c>
      <c r="G262">
        <v>275</v>
      </c>
      <c r="H262" s="1">
        <f t="shared" si="18"/>
        <v>41639</v>
      </c>
      <c r="I262">
        <f>IF(AND(MyRowHidden(ROW())=FALSE,MyRowHidden(ROW()-1)=TRUE),0,(E262-E261)*unitsOfDHp+I261)</f>
        <v>169785</v>
      </c>
      <c r="J262">
        <f>IF(AND(MyRowHidden(ROW())=FALSE,MyRowHidden(ROW()-1)=TRUE),0,(G262-G261)*unitsOfExo+J261)</f>
        <v>-468000</v>
      </c>
      <c r="K262" s="9">
        <f t="shared" si="19"/>
        <v>468000</v>
      </c>
      <c r="L262">
        <f t="shared" si="20"/>
        <v>-298215</v>
      </c>
      <c r="M262">
        <f>IF(AND(MyRowHidden(ROW())=FALSE,MyRowHidden(ROW()-1)=TRUE),0,IF(MONTH(H262)&lt;&gt;MONTH(H261),M261+1,M261))</f>
        <v>11</v>
      </c>
      <c r="N262">
        <f t="shared" si="21"/>
        <v>169785</v>
      </c>
      <c r="O262">
        <f>IF(AND(MyRowHidden(ROW())=FALSE,MyRowHidden(ROW()-1)=TRUE),0,IF(M262&lt;totalMonths,(totalMonths-M262)/totalMonths *(I262-I261)+O261,0))</f>
        <v>59295.833333333394</v>
      </c>
      <c r="P262">
        <f>IF(AND(MyRowHidden(ROW())=FALSE,MyRowHidden(ROW()-1)=TRUE),0,IF(M262&lt;totalMonths,(totalMonths-M262)/totalMonths *(J262-J261)+P261,0))</f>
        <v>273300</v>
      </c>
      <c r="Q262">
        <f>IF(AND(MyRowHidden(ROW())=FALSE,MyRowHidden(ROW()-1)=TRUE),0,IF(M262&lt;totalMonths,(totalMonths-M262)/totalMonths *(K262-K261)+Q261,0))</f>
        <v>-273300</v>
      </c>
      <c r="R262">
        <f t="shared" si="22"/>
        <v>443085</v>
      </c>
      <c r="S262">
        <f t="shared" si="23"/>
        <v>332595.83333333337</v>
      </c>
    </row>
    <row r="263" spans="1:19" hidden="1" x14ac:dyDescent="0.25">
      <c r="A263" s="1"/>
      <c r="C263" s="1"/>
      <c r="D263" s="1">
        <v>41641</v>
      </c>
      <c r="E263">
        <v>27539</v>
      </c>
      <c r="F263" s="1">
        <v>41641</v>
      </c>
      <c r="G263">
        <v>75</v>
      </c>
      <c r="H263" s="1">
        <f t="shared" si="18"/>
        <v>41641</v>
      </c>
      <c r="I263">
        <f>IF(AND(MyRowHidden(ROW())=FALSE,MyRowHidden(ROW()-1)=TRUE),0,(E263-E262)*unitsOfDHp+I262)</f>
        <v>169400</v>
      </c>
      <c r="J263">
        <f>IF(AND(MyRowHidden(ROW())=FALSE,MyRowHidden(ROW()-1)=TRUE),0,(G263-G262)*unitsOfExo+J262)</f>
        <v>-525600</v>
      </c>
      <c r="K263" s="9">
        <f t="shared" si="19"/>
        <v>525600</v>
      </c>
      <c r="L263">
        <f t="shared" si="20"/>
        <v>-356200</v>
      </c>
      <c r="M263">
        <f>IF(AND(MyRowHidden(ROW())=FALSE,MyRowHidden(ROW()-1)=TRUE),0,IF(MONTH(H263)&lt;&gt;MONTH(H262),M262+1,M262))</f>
        <v>12</v>
      </c>
      <c r="N263">
        <f t="shared" si="21"/>
        <v>169400</v>
      </c>
      <c r="O263">
        <f>IF(AND(MyRowHidden(ROW())=FALSE,MyRowHidden(ROW()-1)=TRUE),0,IF(M263&lt;totalMonths,(totalMonths-M263)/totalMonths *(I263-I262)+O262,0))</f>
        <v>0</v>
      </c>
      <c r="P263">
        <f>IF(AND(MyRowHidden(ROW())=FALSE,MyRowHidden(ROW()-1)=TRUE),0,IF(M263&lt;totalMonths,(totalMonths-M263)/totalMonths *(J263-J262)+P262,0))</f>
        <v>0</v>
      </c>
      <c r="Q263">
        <f>IF(AND(MyRowHidden(ROW())=FALSE,MyRowHidden(ROW()-1)=TRUE),0,IF(M263&lt;totalMonths,(totalMonths-M263)/totalMonths *(K263-K262)+Q262,0))</f>
        <v>0</v>
      </c>
      <c r="R263">
        <f t="shared" si="22"/>
        <v>169400</v>
      </c>
      <c r="S263">
        <f t="shared" si="23"/>
        <v>0</v>
      </c>
    </row>
    <row r="264" spans="1:19" hidden="1" x14ac:dyDescent="0.25">
      <c r="A264" s="1"/>
      <c r="C264" s="1"/>
      <c r="D264" s="1">
        <v>41642</v>
      </c>
      <c r="E264">
        <v>27802</v>
      </c>
      <c r="F264" s="1">
        <v>41642</v>
      </c>
      <c r="G264">
        <v>325</v>
      </c>
      <c r="H264" s="1">
        <f t="shared" si="18"/>
        <v>41642</v>
      </c>
      <c r="I264">
        <f>IF(AND(MyRowHidden(ROW())=FALSE,MyRowHidden(ROW()-1)=TRUE),0,(E264-E263)*unitsOfDHp+I263)</f>
        <v>178605</v>
      </c>
      <c r="J264">
        <f>IF(AND(MyRowHidden(ROW())=FALSE,MyRowHidden(ROW()-1)=TRUE),0,(G264-G263)*unitsOfExo+J263)</f>
        <v>-453600</v>
      </c>
      <c r="K264" s="9">
        <f t="shared" si="19"/>
        <v>453600</v>
      </c>
      <c r="L264">
        <f t="shared" si="20"/>
        <v>-274995</v>
      </c>
      <c r="M264">
        <f>IF(AND(MyRowHidden(ROW())=FALSE,MyRowHidden(ROW()-1)=TRUE),0,IF(MONTH(H264)&lt;&gt;MONTH(H263),M263+1,M263))</f>
        <v>12</v>
      </c>
      <c r="N264">
        <f t="shared" si="21"/>
        <v>178605</v>
      </c>
      <c r="O264">
        <f>IF(AND(MyRowHidden(ROW())=FALSE,MyRowHidden(ROW()-1)=TRUE),0,IF(M264&lt;totalMonths,(totalMonths-M264)/totalMonths *(I264-I263)+O263,0))</f>
        <v>0</v>
      </c>
      <c r="P264">
        <f>IF(AND(MyRowHidden(ROW())=FALSE,MyRowHidden(ROW()-1)=TRUE),0,IF(M264&lt;totalMonths,(totalMonths-M264)/totalMonths *(J264-J263)+P263,0))</f>
        <v>0</v>
      </c>
      <c r="Q264">
        <f>IF(AND(MyRowHidden(ROW())=FALSE,MyRowHidden(ROW()-1)=TRUE),0,IF(M264&lt;totalMonths,(totalMonths-M264)/totalMonths *(K264-K263)+Q263,0))</f>
        <v>0</v>
      </c>
      <c r="R264">
        <f t="shared" si="22"/>
        <v>178605</v>
      </c>
      <c r="S264">
        <f t="shared" si="23"/>
        <v>0</v>
      </c>
    </row>
    <row r="265" spans="1:19" hidden="1" x14ac:dyDescent="0.25">
      <c r="A265" s="1"/>
      <c r="C265" s="1"/>
      <c r="D265" s="1">
        <v>41645</v>
      </c>
      <c r="E265">
        <v>27936</v>
      </c>
      <c r="F265" s="1">
        <v>41645</v>
      </c>
      <c r="G265">
        <v>475</v>
      </c>
      <c r="H265" s="1">
        <f t="shared" si="18"/>
        <v>41645</v>
      </c>
      <c r="I265">
        <f>IF(AND(MyRowHidden(ROW())=FALSE,MyRowHidden(ROW()-1)=TRUE),0,(E265-E264)*unitsOfDHp+I264)</f>
        <v>183295</v>
      </c>
      <c r="J265">
        <f>IF(AND(MyRowHidden(ROW())=FALSE,MyRowHidden(ROW()-1)=TRUE),0,(G265-G264)*unitsOfExo+J264)</f>
        <v>-410400</v>
      </c>
      <c r="K265" s="9">
        <f t="shared" si="19"/>
        <v>410400</v>
      </c>
      <c r="L265">
        <f t="shared" si="20"/>
        <v>-227105</v>
      </c>
      <c r="M265">
        <f>IF(AND(MyRowHidden(ROW())=FALSE,MyRowHidden(ROW()-1)=TRUE),0,IF(MONTH(H265)&lt;&gt;MONTH(H264),M264+1,M264))</f>
        <v>12</v>
      </c>
      <c r="N265">
        <f t="shared" si="21"/>
        <v>183295</v>
      </c>
      <c r="O265">
        <f>IF(AND(MyRowHidden(ROW())=FALSE,MyRowHidden(ROW()-1)=TRUE),0,IF(M265&lt;totalMonths,(totalMonths-M265)/totalMonths *(I265-I264)+O264,0))</f>
        <v>0</v>
      </c>
      <c r="P265">
        <f>IF(AND(MyRowHidden(ROW())=FALSE,MyRowHidden(ROW()-1)=TRUE),0,IF(M265&lt;totalMonths,(totalMonths-M265)/totalMonths *(J265-J264)+P264,0))</f>
        <v>0</v>
      </c>
      <c r="Q265">
        <f>IF(AND(MyRowHidden(ROW())=FALSE,MyRowHidden(ROW()-1)=TRUE),0,IF(M265&lt;totalMonths,(totalMonths-M265)/totalMonths *(K265-K264)+Q264,0))</f>
        <v>0</v>
      </c>
      <c r="R265">
        <f t="shared" si="22"/>
        <v>183295</v>
      </c>
      <c r="S265">
        <f t="shared" si="23"/>
        <v>0</v>
      </c>
    </row>
    <row r="266" spans="1:19" hidden="1" x14ac:dyDescent="0.25">
      <c r="A266" s="1"/>
      <c r="C266" s="1"/>
      <c r="D266" s="1">
        <v>41646</v>
      </c>
      <c r="E266">
        <v>27925</v>
      </c>
      <c r="F266" s="1">
        <v>41646</v>
      </c>
      <c r="G266">
        <v>487.5</v>
      </c>
      <c r="H266" s="1">
        <f t="shared" si="18"/>
        <v>41646</v>
      </c>
      <c r="I266">
        <f>IF(AND(MyRowHidden(ROW())=FALSE,MyRowHidden(ROW()-1)=TRUE),0,(E266-E265)*unitsOfDHp+I265)</f>
        <v>182910</v>
      </c>
      <c r="J266">
        <f>IF(AND(MyRowHidden(ROW())=FALSE,MyRowHidden(ROW()-1)=TRUE),0,(G266-G265)*unitsOfExo+J265)</f>
        <v>-406800</v>
      </c>
      <c r="K266" s="9">
        <f t="shared" si="19"/>
        <v>406800</v>
      </c>
      <c r="L266">
        <f t="shared" si="20"/>
        <v>-223890</v>
      </c>
      <c r="M266">
        <f>IF(AND(MyRowHidden(ROW())=FALSE,MyRowHidden(ROW()-1)=TRUE),0,IF(MONTH(H266)&lt;&gt;MONTH(H265),M265+1,M265))</f>
        <v>12</v>
      </c>
      <c r="N266">
        <f t="shared" si="21"/>
        <v>182910</v>
      </c>
      <c r="O266">
        <f>IF(AND(MyRowHidden(ROW())=FALSE,MyRowHidden(ROW()-1)=TRUE),0,IF(M266&lt;totalMonths,(totalMonths-M266)/totalMonths *(I266-I265)+O265,0))</f>
        <v>0</v>
      </c>
      <c r="P266">
        <f>IF(AND(MyRowHidden(ROW())=FALSE,MyRowHidden(ROW()-1)=TRUE),0,IF(M266&lt;totalMonths,(totalMonths-M266)/totalMonths *(J266-J265)+P265,0))</f>
        <v>0</v>
      </c>
      <c r="Q266">
        <f>IF(AND(MyRowHidden(ROW())=FALSE,MyRowHidden(ROW()-1)=TRUE),0,IF(M266&lt;totalMonths,(totalMonths-M266)/totalMonths *(K266-K265)+Q265,0))</f>
        <v>0</v>
      </c>
      <c r="R266">
        <f t="shared" si="22"/>
        <v>182910</v>
      </c>
      <c r="S266">
        <f t="shared" si="23"/>
        <v>0</v>
      </c>
    </row>
    <row r="267" spans="1:19" hidden="1" x14ac:dyDescent="0.25">
      <c r="A267" s="1"/>
      <c r="C267" s="1"/>
      <c r="D267" s="1">
        <v>41647</v>
      </c>
      <c r="E267">
        <v>27868</v>
      </c>
      <c r="F267" s="1">
        <v>41647</v>
      </c>
      <c r="G267">
        <v>87.5</v>
      </c>
      <c r="H267" s="1">
        <f t="shared" si="18"/>
        <v>41647</v>
      </c>
      <c r="I267">
        <f>IF(AND(MyRowHidden(ROW())=FALSE,MyRowHidden(ROW()-1)=TRUE),0,(E267-E266)*unitsOfDHp+I266)</f>
        <v>180915</v>
      </c>
      <c r="J267">
        <f>IF(AND(MyRowHidden(ROW())=FALSE,MyRowHidden(ROW()-1)=TRUE),0,(G267-G266)*unitsOfExo+J266)</f>
        <v>-522000</v>
      </c>
      <c r="K267" s="9">
        <f t="shared" si="19"/>
        <v>522000</v>
      </c>
      <c r="L267">
        <f t="shared" si="20"/>
        <v>-341085</v>
      </c>
      <c r="M267">
        <f>IF(AND(MyRowHidden(ROW())=FALSE,MyRowHidden(ROW()-1)=TRUE),0,IF(MONTH(H267)&lt;&gt;MONTH(H266),M266+1,M266))</f>
        <v>12</v>
      </c>
      <c r="N267">
        <f t="shared" si="21"/>
        <v>180915</v>
      </c>
      <c r="O267">
        <f>IF(AND(MyRowHidden(ROW())=FALSE,MyRowHidden(ROW()-1)=TRUE),0,IF(M267&lt;totalMonths,(totalMonths-M267)/totalMonths *(I267-I266)+O266,0))</f>
        <v>0</v>
      </c>
      <c r="P267">
        <f>IF(AND(MyRowHidden(ROW())=FALSE,MyRowHidden(ROW()-1)=TRUE),0,IF(M267&lt;totalMonths,(totalMonths-M267)/totalMonths *(J267-J266)+P266,0))</f>
        <v>0</v>
      </c>
      <c r="Q267">
        <f>IF(AND(MyRowHidden(ROW())=FALSE,MyRowHidden(ROW()-1)=TRUE),0,IF(M267&lt;totalMonths,(totalMonths-M267)/totalMonths *(K267-K266)+Q266,0))</f>
        <v>0</v>
      </c>
      <c r="R267">
        <f t="shared" si="22"/>
        <v>180915</v>
      </c>
      <c r="S267">
        <f t="shared" si="23"/>
        <v>0</v>
      </c>
    </row>
    <row r="268" spans="1:19" hidden="1" x14ac:dyDescent="0.25">
      <c r="A268" s="1"/>
      <c r="C268" s="1"/>
      <c r="D268" s="1">
        <v>41648</v>
      </c>
      <c r="E268">
        <v>27857</v>
      </c>
      <c r="F268" s="1">
        <v>41648</v>
      </c>
      <c r="G268">
        <v>-287.5</v>
      </c>
      <c r="H268" s="1">
        <f t="shared" si="18"/>
        <v>41648</v>
      </c>
      <c r="I268">
        <f>IF(AND(MyRowHidden(ROW())=FALSE,MyRowHidden(ROW()-1)=TRUE),0,(E268-E267)*unitsOfDHp+I267)</f>
        <v>180530</v>
      </c>
      <c r="J268">
        <f>IF(AND(MyRowHidden(ROW())=FALSE,MyRowHidden(ROW()-1)=TRUE),0,(G268-G267)*unitsOfExo+J267)</f>
        <v>-630000</v>
      </c>
      <c r="K268" s="9">
        <f t="shared" si="19"/>
        <v>630000</v>
      </c>
      <c r="L268">
        <f t="shared" si="20"/>
        <v>-449470</v>
      </c>
      <c r="M268">
        <f>IF(AND(MyRowHidden(ROW())=FALSE,MyRowHidden(ROW()-1)=TRUE),0,IF(MONTH(H268)&lt;&gt;MONTH(H267),M267+1,M267))</f>
        <v>12</v>
      </c>
      <c r="N268">
        <f t="shared" si="21"/>
        <v>180530</v>
      </c>
      <c r="O268">
        <f>IF(AND(MyRowHidden(ROW())=FALSE,MyRowHidden(ROW()-1)=TRUE),0,IF(M268&lt;totalMonths,(totalMonths-M268)/totalMonths *(I268-I267)+O267,0))</f>
        <v>0</v>
      </c>
      <c r="P268">
        <f>IF(AND(MyRowHidden(ROW())=FALSE,MyRowHidden(ROW()-1)=TRUE),0,IF(M268&lt;totalMonths,(totalMonths-M268)/totalMonths *(J268-J267)+P267,0))</f>
        <v>0</v>
      </c>
      <c r="Q268">
        <f>IF(AND(MyRowHidden(ROW())=FALSE,MyRowHidden(ROW()-1)=TRUE),0,IF(M268&lt;totalMonths,(totalMonths-M268)/totalMonths *(K268-K267)+Q267,0))</f>
        <v>0</v>
      </c>
      <c r="R268">
        <f t="shared" si="22"/>
        <v>180530</v>
      </c>
      <c r="S268">
        <f t="shared" si="23"/>
        <v>0</v>
      </c>
    </row>
    <row r="269" spans="1:19" hidden="1" x14ac:dyDescent="0.25">
      <c r="A269" s="1"/>
      <c r="C269" s="1"/>
      <c r="D269" s="1">
        <v>41649</v>
      </c>
      <c r="E269">
        <v>29015</v>
      </c>
      <c r="F269" s="1">
        <v>41649</v>
      </c>
      <c r="G269">
        <v>575</v>
      </c>
      <c r="H269" s="1">
        <f t="shared" ref="H269:H332" si="24">D269</f>
        <v>41649</v>
      </c>
      <c r="I269">
        <f>IF(AND(MyRowHidden(ROW())=FALSE,MyRowHidden(ROW()-1)=TRUE),0,(E269-E268)*unitsOfDHp+I268)</f>
        <v>221060</v>
      </c>
      <c r="J269">
        <f>IF(AND(MyRowHidden(ROW())=FALSE,MyRowHidden(ROW()-1)=TRUE),0,(G269-G268)*unitsOfExo+J268)</f>
        <v>-381600</v>
      </c>
      <c r="K269" s="9">
        <f t="shared" ref="K269:K332" si="25">-(J269-J268)+K268</f>
        <v>381600</v>
      </c>
      <c r="L269">
        <f t="shared" ref="L269:L332" si="26">I269+J269</f>
        <v>-160540</v>
      </c>
      <c r="M269">
        <f>IF(AND(MyRowHidden(ROW())=FALSE,MyRowHidden(ROW()-1)=TRUE),0,IF(MONTH(H269)&lt;&gt;MONTH(H268),M268+1,M268))</f>
        <v>12</v>
      </c>
      <c r="N269">
        <f t="shared" ref="N269:N332" si="27">I269</f>
        <v>221060</v>
      </c>
      <c r="O269">
        <f>IF(AND(MyRowHidden(ROW())=FALSE,MyRowHidden(ROW()-1)=TRUE),0,IF(M269&lt;totalMonths,(totalMonths-M269)/totalMonths *(I269-I268)+O268,0))</f>
        <v>0</v>
      </c>
      <c r="P269">
        <f>IF(AND(MyRowHidden(ROW())=FALSE,MyRowHidden(ROW()-1)=TRUE),0,IF(M269&lt;totalMonths,(totalMonths-M269)/totalMonths *(J269-J268)+P268,0))</f>
        <v>0</v>
      </c>
      <c r="Q269">
        <f>IF(AND(MyRowHidden(ROW())=FALSE,MyRowHidden(ROW()-1)=TRUE),0,IF(M269&lt;totalMonths,(totalMonths-M269)/totalMonths *(K269-K268)+Q268,0))</f>
        <v>0</v>
      </c>
      <c r="R269">
        <f t="shared" ref="R269:R332" si="28">N269+P269</f>
        <v>221060</v>
      </c>
      <c r="S269">
        <f t="shared" ref="S269:S332" si="29">O269+P269</f>
        <v>0</v>
      </c>
    </row>
    <row r="270" spans="1:19" hidden="1" x14ac:dyDescent="0.25">
      <c r="A270" s="1"/>
      <c r="C270" s="1"/>
      <c r="D270" s="1">
        <v>41652</v>
      </c>
      <c r="E270">
        <v>29033</v>
      </c>
      <c r="F270" s="1">
        <v>41652</v>
      </c>
      <c r="G270">
        <v>862.5</v>
      </c>
      <c r="H270" s="1">
        <f t="shared" si="24"/>
        <v>41652</v>
      </c>
      <c r="I270">
        <f>IF(AND(MyRowHidden(ROW())=FALSE,MyRowHidden(ROW()-1)=TRUE),0,(E270-E269)*unitsOfDHp+I269)</f>
        <v>221690</v>
      </c>
      <c r="J270">
        <f>IF(AND(MyRowHidden(ROW())=FALSE,MyRowHidden(ROW()-1)=TRUE),0,(G270-G269)*unitsOfExo+J269)</f>
        <v>-298800</v>
      </c>
      <c r="K270" s="9">
        <f t="shared" si="25"/>
        <v>298800</v>
      </c>
      <c r="L270">
        <f t="shared" si="26"/>
        <v>-77110</v>
      </c>
      <c r="M270">
        <f>IF(AND(MyRowHidden(ROW())=FALSE,MyRowHidden(ROW()-1)=TRUE),0,IF(MONTH(H270)&lt;&gt;MONTH(H269),M269+1,M269))</f>
        <v>12</v>
      </c>
      <c r="N270">
        <f t="shared" si="27"/>
        <v>221690</v>
      </c>
      <c r="O270">
        <f>IF(AND(MyRowHidden(ROW())=FALSE,MyRowHidden(ROW()-1)=TRUE),0,IF(M270&lt;totalMonths,(totalMonths-M270)/totalMonths *(I270-I269)+O269,0))</f>
        <v>0</v>
      </c>
      <c r="P270">
        <f>IF(AND(MyRowHidden(ROW())=FALSE,MyRowHidden(ROW()-1)=TRUE),0,IF(M270&lt;totalMonths,(totalMonths-M270)/totalMonths *(J270-J269)+P269,0))</f>
        <v>0</v>
      </c>
      <c r="Q270">
        <f>IF(AND(MyRowHidden(ROW())=FALSE,MyRowHidden(ROW()-1)=TRUE),0,IF(M270&lt;totalMonths,(totalMonths-M270)/totalMonths *(K270-K269)+Q269,0))</f>
        <v>0</v>
      </c>
      <c r="R270">
        <f t="shared" si="28"/>
        <v>221690</v>
      </c>
      <c r="S270">
        <f t="shared" si="29"/>
        <v>0</v>
      </c>
    </row>
    <row r="271" spans="1:19" hidden="1" x14ac:dyDescent="0.25">
      <c r="A271" s="1"/>
      <c r="C271" s="1"/>
      <c r="D271" s="1">
        <v>41653</v>
      </c>
      <c r="E271">
        <v>28779</v>
      </c>
      <c r="F271" s="1">
        <v>41653</v>
      </c>
      <c r="G271">
        <v>687.5</v>
      </c>
      <c r="H271" s="1">
        <f t="shared" si="24"/>
        <v>41653</v>
      </c>
      <c r="I271">
        <f>IF(AND(MyRowHidden(ROW())=FALSE,MyRowHidden(ROW()-1)=TRUE),0,(E271-E270)*unitsOfDHp+I270)</f>
        <v>212800</v>
      </c>
      <c r="J271">
        <f>IF(AND(MyRowHidden(ROW())=FALSE,MyRowHidden(ROW()-1)=TRUE),0,(G271-G270)*unitsOfExo+J270)</f>
        <v>-349200</v>
      </c>
      <c r="K271" s="9">
        <f t="shared" si="25"/>
        <v>349200</v>
      </c>
      <c r="L271">
        <f t="shared" si="26"/>
        <v>-136400</v>
      </c>
      <c r="M271">
        <f>IF(AND(MyRowHidden(ROW())=FALSE,MyRowHidden(ROW()-1)=TRUE),0,IF(MONTH(H271)&lt;&gt;MONTH(H270),M270+1,M270))</f>
        <v>12</v>
      </c>
      <c r="N271">
        <f t="shared" si="27"/>
        <v>212800</v>
      </c>
      <c r="O271">
        <f>IF(AND(MyRowHidden(ROW())=FALSE,MyRowHidden(ROW()-1)=TRUE),0,IF(M271&lt;totalMonths,(totalMonths-M271)/totalMonths *(I271-I270)+O270,0))</f>
        <v>0</v>
      </c>
      <c r="P271">
        <f>IF(AND(MyRowHidden(ROW())=FALSE,MyRowHidden(ROW()-1)=TRUE),0,IF(M271&lt;totalMonths,(totalMonths-M271)/totalMonths *(J271-J270)+P270,0))</f>
        <v>0</v>
      </c>
      <c r="Q271">
        <f>IF(AND(MyRowHidden(ROW())=FALSE,MyRowHidden(ROW()-1)=TRUE),0,IF(M271&lt;totalMonths,(totalMonths-M271)/totalMonths *(K271-K270)+Q270,0))</f>
        <v>0</v>
      </c>
      <c r="R271">
        <f t="shared" si="28"/>
        <v>212800</v>
      </c>
      <c r="S271">
        <f t="shared" si="29"/>
        <v>0</v>
      </c>
    </row>
    <row r="272" spans="1:19" hidden="1" x14ac:dyDescent="0.25">
      <c r="A272" s="1"/>
      <c r="C272" s="1"/>
      <c r="D272" s="1">
        <v>41654</v>
      </c>
      <c r="E272">
        <v>28538</v>
      </c>
      <c r="F272" s="1">
        <v>41654</v>
      </c>
      <c r="G272">
        <v>475</v>
      </c>
      <c r="H272" s="1">
        <f t="shared" si="24"/>
        <v>41654</v>
      </c>
      <c r="I272">
        <f>IF(AND(MyRowHidden(ROW())=FALSE,MyRowHidden(ROW()-1)=TRUE),0,(E272-E271)*unitsOfDHp+I271)</f>
        <v>204365</v>
      </c>
      <c r="J272">
        <f>IF(AND(MyRowHidden(ROW())=FALSE,MyRowHidden(ROW()-1)=TRUE),0,(G272-G271)*unitsOfExo+J271)</f>
        <v>-410400</v>
      </c>
      <c r="K272" s="9">
        <f t="shared" si="25"/>
        <v>410400</v>
      </c>
      <c r="L272">
        <f t="shared" si="26"/>
        <v>-206035</v>
      </c>
      <c r="M272">
        <f>IF(AND(MyRowHidden(ROW())=FALSE,MyRowHidden(ROW()-1)=TRUE),0,IF(MONTH(H272)&lt;&gt;MONTH(H271),M271+1,M271))</f>
        <v>12</v>
      </c>
      <c r="N272">
        <f t="shared" si="27"/>
        <v>204365</v>
      </c>
      <c r="O272">
        <f>IF(AND(MyRowHidden(ROW())=FALSE,MyRowHidden(ROW()-1)=TRUE),0,IF(M272&lt;totalMonths,(totalMonths-M272)/totalMonths *(I272-I271)+O271,0))</f>
        <v>0</v>
      </c>
      <c r="P272">
        <f>IF(AND(MyRowHidden(ROW())=FALSE,MyRowHidden(ROW()-1)=TRUE),0,IF(M272&lt;totalMonths,(totalMonths-M272)/totalMonths *(J272-J271)+P271,0))</f>
        <v>0</v>
      </c>
      <c r="Q272">
        <f>IF(AND(MyRowHidden(ROW())=FALSE,MyRowHidden(ROW()-1)=TRUE),0,IF(M272&lt;totalMonths,(totalMonths-M272)/totalMonths *(K272-K271)+Q271,0))</f>
        <v>0</v>
      </c>
      <c r="R272">
        <f t="shared" si="28"/>
        <v>204365</v>
      </c>
      <c r="S272">
        <f t="shared" si="29"/>
        <v>0</v>
      </c>
    </row>
    <row r="273" spans="1:19" hidden="1" x14ac:dyDescent="0.25">
      <c r="A273" s="1"/>
      <c r="C273" s="1"/>
      <c r="D273" s="1">
        <v>41655</v>
      </c>
      <c r="E273">
        <v>28530</v>
      </c>
      <c r="F273" s="1">
        <v>41655</v>
      </c>
      <c r="G273">
        <v>475</v>
      </c>
      <c r="H273" s="1">
        <f t="shared" si="24"/>
        <v>41655</v>
      </c>
      <c r="I273">
        <f>IF(AND(MyRowHidden(ROW())=FALSE,MyRowHidden(ROW()-1)=TRUE),0,(E273-E272)*unitsOfDHp+I272)</f>
        <v>204085</v>
      </c>
      <c r="J273">
        <f>IF(AND(MyRowHidden(ROW())=FALSE,MyRowHidden(ROW()-1)=TRUE),0,(G273-G272)*unitsOfExo+J272)</f>
        <v>-410400</v>
      </c>
      <c r="K273" s="9">
        <f t="shared" si="25"/>
        <v>410400</v>
      </c>
      <c r="L273">
        <f t="shared" si="26"/>
        <v>-206315</v>
      </c>
      <c r="M273">
        <f>IF(AND(MyRowHidden(ROW())=FALSE,MyRowHidden(ROW()-1)=TRUE),0,IF(MONTH(H273)&lt;&gt;MONTH(H272),M272+1,M272))</f>
        <v>12</v>
      </c>
      <c r="N273">
        <f t="shared" si="27"/>
        <v>204085</v>
      </c>
      <c r="O273">
        <f>IF(AND(MyRowHidden(ROW())=FALSE,MyRowHidden(ROW()-1)=TRUE),0,IF(M273&lt;totalMonths,(totalMonths-M273)/totalMonths *(I273-I272)+O272,0))</f>
        <v>0</v>
      </c>
      <c r="P273">
        <f>IF(AND(MyRowHidden(ROW())=FALSE,MyRowHidden(ROW()-1)=TRUE),0,IF(M273&lt;totalMonths,(totalMonths-M273)/totalMonths *(J273-J272)+P272,0))</f>
        <v>0</v>
      </c>
      <c r="Q273">
        <f>IF(AND(MyRowHidden(ROW())=FALSE,MyRowHidden(ROW()-1)=TRUE),0,IF(M273&lt;totalMonths,(totalMonths-M273)/totalMonths *(K273-K272)+Q272,0))</f>
        <v>0</v>
      </c>
      <c r="R273">
        <f t="shared" si="28"/>
        <v>204085</v>
      </c>
      <c r="S273">
        <f t="shared" si="29"/>
        <v>0</v>
      </c>
    </row>
    <row r="274" spans="1:19" hidden="1" x14ac:dyDescent="0.25">
      <c r="A274" s="1"/>
      <c r="C274" s="1"/>
      <c r="D274" s="1">
        <v>41656</v>
      </c>
      <c r="E274">
        <v>28586</v>
      </c>
      <c r="F274" s="1">
        <v>41656</v>
      </c>
      <c r="G274">
        <v>337.5</v>
      </c>
      <c r="H274" s="1">
        <f t="shared" si="24"/>
        <v>41656</v>
      </c>
      <c r="I274">
        <f>IF(AND(MyRowHidden(ROW())=FALSE,MyRowHidden(ROW()-1)=TRUE),0,(E274-E273)*unitsOfDHp+I273)</f>
        <v>206045</v>
      </c>
      <c r="J274">
        <f>IF(AND(MyRowHidden(ROW())=FALSE,MyRowHidden(ROW()-1)=TRUE),0,(G274-G273)*unitsOfExo+J273)</f>
        <v>-450000</v>
      </c>
      <c r="K274" s="9">
        <f t="shared" si="25"/>
        <v>450000</v>
      </c>
      <c r="L274">
        <f t="shared" si="26"/>
        <v>-243955</v>
      </c>
      <c r="M274">
        <f>IF(AND(MyRowHidden(ROW())=FALSE,MyRowHidden(ROW()-1)=TRUE),0,IF(MONTH(H274)&lt;&gt;MONTH(H273),M273+1,M273))</f>
        <v>12</v>
      </c>
      <c r="N274">
        <f t="shared" si="27"/>
        <v>206045</v>
      </c>
      <c r="O274">
        <f>IF(AND(MyRowHidden(ROW())=FALSE,MyRowHidden(ROW()-1)=TRUE),0,IF(M274&lt;totalMonths,(totalMonths-M274)/totalMonths *(I274-I273)+O273,0))</f>
        <v>0</v>
      </c>
      <c r="P274">
        <f>IF(AND(MyRowHidden(ROW())=FALSE,MyRowHidden(ROW()-1)=TRUE),0,IF(M274&lt;totalMonths,(totalMonths-M274)/totalMonths *(J274-J273)+P273,0))</f>
        <v>0</v>
      </c>
      <c r="Q274">
        <f>IF(AND(MyRowHidden(ROW())=FALSE,MyRowHidden(ROW()-1)=TRUE),0,IF(M274&lt;totalMonths,(totalMonths-M274)/totalMonths *(K274-K273)+Q273,0))</f>
        <v>0</v>
      </c>
      <c r="R274">
        <f t="shared" si="28"/>
        <v>206045</v>
      </c>
      <c r="S274">
        <f t="shared" si="29"/>
        <v>0</v>
      </c>
    </row>
    <row r="275" spans="1:19" hidden="1" x14ac:dyDescent="0.25">
      <c r="A275" s="1"/>
      <c r="C275" s="1"/>
      <c r="D275" s="1">
        <v>41660</v>
      </c>
      <c r="E275">
        <v>28586</v>
      </c>
      <c r="F275" s="1">
        <v>41660</v>
      </c>
      <c r="G275">
        <v>325</v>
      </c>
      <c r="H275" s="1">
        <f t="shared" si="24"/>
        <v>41660</v>
      </c>
      <c r="I275">
        <f>IF(AND(MyRowHidden(ROW())=FALSE,MyRowHidden(ROW()-1)=TRUE),0,(E275-E274)*unitsOfDHp+I274)</f>
        <v>206045</v>
      </c>
      <c r="J275">
        <f>IF(AND(MyRowHidden(ROW())=FALSE,MyRowHidden(ROW()-1)=TRUE),0,(G275-G274)*unitsOfExo+J274)</f>
        <v>-453600</v>
      </c>
      <c r="K275" s="9">
        <f t="shared" si="25"/>
        <v>453600</v>
      </c>
      <c r="L275">
        <f t="shared" si="26"/>
        <v>-247555</v>
      </c>
      <c r="M275">
        <f>IF(AND(MyRowHidden(ROW())=FALSE,MyRowHidden(ROW()-1)=TRUE),0,IF(MONTH(H275)&lt;&gt;MONTH(H274),M274+1,M274))</f>
        <v>12</v>
      </c>
      <c r="N275">
        <f t="shared" si="27"/>
        <v>206045</v>
      </c>
      <c r="O275">
        <f>IF(AND(MyRowHidden(ROW())=FALSE,MyRowHidden(ROW()-1)=TRUE),0,IF(M275&lt;totalMonths,(totalMonths-M275)/totalMonths *(I275-I274)+O274,0))</f>
        <v>0</v>
      </c>
      <c r="P275">
        <f>IF(AND(MyRowHidden(ROW())=FALSE,MyRowHidden(ROW()-1)=TRUE),0,IF(M275&lt;totalMonths,(totalMonths-M275)/totalMonths *(J275-J274)+P274,0))</f>
        <v>0</v>
      </c>
      <c r="Q275">
        <f>IF(AND(MyRowHidden(ROW())=FALSE,MyRowHidden(ROW()-1)=TRUE),0,IF(M275&lt;totalMonths,(totalMonths-M275)/totalMonths *(K275-K274)+Q274,0))</f>
        <v>0</v>
      </c>
      <c r="R275">
        <f t="shared" si="28"/>
        <v>206045</v>
      </c>
      <c r="S275">
        <f t="shared" si="29"/>
        <v>0</v>
      </c>
    </row>
    <row r="276" spans="1:19" hidden="1" x14ac:dyDescent="0.25">
      <c r="A276" s="1"/>
      <c r="C276" s="1"/>
      <c r="D276" s="1">
        <v>41661</v>
      </c>
      <c r="E276">
        <v>28548</v>
      </c>
      <c r="F276" s="1">
        <v>41661</v>
      </c>
      <c r="G276">
        <v>450</v>
      </c>
      <c r="H276" s="1">
        <f t="shared" si="24"/>
        <v>41661</v>
      </c>
      <c r="I276">
        <f>IF(AND(MyRowHidden(ROW())=FALSE,MyRowHidden(ROW()-1)=TRUE),0,(E276-E275)*unitsOfDHp+I275)</f>
        <v>204715</v>
      </c>
      <c r="J276">
        <f>IF(AND(MyRowHidden(ROW())=FALSE,MyRowHidden(ROW()-1)=TRUE),0,(G276-G275)*unitsOfExo+J275)</f>
        <v>-417600</v>
      </c>
      <c r="K276" s="9">
        <f t="shared" si="25"/>
        <v>417600</v>
      </c>
      <c r="L276">
        <f t="shared" si="26"/>
        <v>-212885</v>
      </c>
      <c r="M276">
        <f>IF(AND(MyRowHidden(ROW())=FALSE,MyRowHidden(ROW()-1)=TRUE),0,IF(MONTH(H276)&lt;&gt;MONTH(H275),M275+1,M275))</f>
        <v>12</v>
      </c>
      <c r="N276">
        <f t="shared" si="27"/>
        <v>204715</v>
      </c>
      <c r="O276">
        <f>IF(AND(MyRowHidden(ROW())=FALSE,MyRowHidden(ROW()-1)=TRUE),0,IF(M276&lt;totalMonths,(totalMonths-M276)/totalMonths *(I276-I275)+O275,0))</f>
        <v>0</v>
      </c>
      <c r="P276">
        <f>IF(AND(MyRowHidden(ROW())=FALSE,MyRowHidden(ROW()-1)=TRUE),0,IF(M276&lt;totalMonths,(totalMonths-M276)/totalMonths *(J276-J275)+P275,0))</f>
        <v>0</v>
      </c>
      <c r="Q276">
        <f>IF(AND(MyRowHidden(ROW())=FALSE,MyRowHidden(ROW()-1)=TRUE),0,IF(M276&lt;totalMonths,(totalMonths-M276)/totalMonths *(K276-K275)+Q275,0))</f>
        <v>0</v>
      </c>
      <c r="R276">
        <f t="shared" si="28"/>
        <v>204715</v>
      </c>
      <c r="S276">
        <f t="shared" si="29"/>
        <v>0</v>
      </c>
    </row>
    <row r="277" spans="1:19" hidden="1" x14ac:dyDescent="0.25">
      <c r="A277" s="1"/>
      <c r="C277" s="1"/>
      <c r="D277" s="1">
        <v>41662</v>
      </c>
      <c r="E277">
        <v>28455</v>
      </c>
      <c r="F277" s="1">
        <v>41662</v>
      </c>
      <c r="G277">
        <v>612.5</v>
      </c>
      <c r="H277" s="1">
        <f t="shared" si="24"/>
        <v>41662</v>
      </c>
      <c r="I277">
        <f>IF(AND(MyRowHidden(ROW())=FALSE,MyRowHidden(ROW()-1)=TRUE),0,(E277-E276)*unitsOfDHp+I276)</f>
        <v>201460</v>
      </c>
      <c r="J277">
        <f>IF(AND(MyRowHidden(ROW())=FALSE,MyRowHidden(ROW()-1)=TRUE),0,(G277-G276)*unitsOfExo+J276)</f>
        <v>-370800</v>
      </c>
      <c r="K277" s="9">
        <f t="shared" si="25"/>
        <v>370800</v>
      </c>
      <c r="L277">
        <f t="shared" si="26"/>
        <v>-169340</v>
      </c>
      <c r="M277">
        <f>IF(AND(MyRowHidden(ROW())=FALSE,MyRowHidden(ROW()-1)=TRUE),0,IF(MONTH(H277)&lt;&gt;MONTH(H276),M276+1,M276))</f>
        <v>12</v>
      </c>
      <c r="N277">
        <f t="shared" si="27"/>
        <v>201460</v>
      </c>
      <c r="O277">
        <f>IF(AND(MyRowHidden(ROW())=FALSE,MyRowHidden(ROW()-1)=TRUE),0,IF(M277&lt;totalMonths,(totalMonths-M277)/totalMonths *(I277-I276)+O276,0))</f>
        <v>0</v>
      </c>
      <c r="P277">
        <f>IF(AND(MyRowHidden(ROW())=FALSE,MyRowHidden(ROW()-1)=TRUE),0,IF(M277&lt;totalMonths,(totalMonths-M277)/totalMonths *(J277-J276)+P276,0))</f>
        <v>0</v>
      </c>
      <c r="Q277">
        <f>IF(AND(MyRowHidden(ROW())=FALSE,MyRowHidden(ROW()-1)=TRUE),0,IF(M277&lt;totalMonths,(totalMonths-M277)/totalMonths *(K277-K276)+Q276,0))</f>
        <v>0</v>
      </c>
      <c r="R277">
        <f t="shared" si="28"/>
        <v>201460</v>
      </c>
      <c r="S277">
        <f t="shared" si="29"/>
        <v>0</v>
      </c>
    </row>
    <row r="278" spans="1:19" hidden="1" x14ac:dyDescent="0.25">
      <c r="A278" s="1"/>
      <c r="C278" s="1"/>
      <c r="D278" s="1">
        <v>41663</v>
      </c>
      <c r="E278">
        <v>28489</v>
      </c>
      <c r="F278" s="1">
        <v>41663</v>
      </c>
      <c r="G278">
        <v>625</v>
      </c>
      <c r="H278" s="1">
        <f t="shared" si="24"/>
        <v>41663</v>
      </c>
      <c r="I278">
        <f>IF(AND(MyRowHidden(ROW())=FALSE,MyRowHidden(ROW()-1)=TRUE),0,(E278-E277)*unitsOfDHp+I277)</f>
        <v>202650</v>
      </c>
      <c r="J278">
        <f>IF(AND(MyRowHidden(ROW())=FALSE,MyRowHidden(ROW()-1)=TRUE),0,(G278-G277)*unitsOfExo+J277)</f>
        <v>-367200</v>
      </c>
      <c r="K278" s="9">
        <f t="shared" si="25"/>
        <v>367200</v>
      </c>
      <c r="L278">
        <f t="shared" si="26"/>
        <v>-164550</v>
      </c>
      <c r="M278">
        <f>IF(AND(MyRowHidden(ROW())=FALSE,MyRowHidden(ROW()-1)=TRUE),0,IF(MONTH(H278)&lt;&gt;MONTH(H277),M277+1,M277))</f>
        <v>12</v>
      </c>
      <c r="N278">
        <f t="shared" si="27"/>
        <v>202650</v>
      </c>
      <c r="O278">
        <f>IF(AND(MyRowHidden(ROW())=FALSE,MyRowHidden(ROW()-1)=TRUE),0,IF(M278&lt;totalMonths,(totalMonths-M278)/totalMonths *(I278-I277)+O277,0))</f>
        <v>0</v>
      </c>
      <c r="P278">
        <f>IF(AND(MyRowHidden(ROW())=FALSE,MyRowHidden(ROW()-1)=TRUE),0,IF(M278&lt;totalMonths,(totalMonths-M278)/totalMonths *(J278-J277)+P277,0))</f>
        <v>0</v>
      </c>
      <c r="Q278">
        <f>IF(AND(MyRowHidden(ROW())=FALSE,MyRowHidden(ROW()-1)=TRUE),0,IF(M278&lt;totalMonths,(totalMonths-M278)/totalMonths *(K278-K277)+Q277,0))</f>
        <v>0</v>
      </c>
      <c r="R278">
        <f t="shared" si="28"/>
        <v>202650</v>
      </c>
      <c r="S278">
        <f t="shared" si="29"/>
        <v>0</v>
      </c>
    </row>
    <row r="279" spans="1:19" hidden="1" x14ac:dyDescent="0.25">
      <c r="A279" s="1"/>
      <c r="C279" s="1"/>
      <c r="D279" s="1">
        <v>41666</v>
      </c>
      <c r="E279">
        <v>28615</v>
      </c>
      <c r="F279" s="1">
        <v>41666</v>
      </c>
      <c r="G279">
        <v>737.5</v>
      </c>
      <c r="H279" s="1">
        <f t="shared" si="24"/>
        <v>41666</v>
      </c>
      <c r="I279">
        <f>IF(AND(MyRowHidden(ROW())=FALSE,MyRowHidden(ROW()-1)=TRUE),0,(E279-E278)*unitsOfDHp+I278)</f>
        <v>207060</v>
      </c>
      <c r="J279">
        <f>IF(AND(MyRowHidden(ROW())=FALSE,MyRowHidden(ROW()-1)=TRUE),0,(G279-G278)*unitsOfExo+J278)</f>
        <v>-334800</v>
      </c>
      <c r="K279" s="9">
        <f t="shared" si="25"/>
        <v>334800</v>
      </c>
      <c r="L279">
        <f t="shared" si="26"/>
        <v>-127740</v>
      </c>
      <c r="M279">
        <f>IF(AND(MyRowHidden(ROW())=FALSE,MyRowHidden(ROW()-1)=TRUE),0,IF(MONTH(H279)&lt;&gt;MONTH(H278),M278+1,M278))</f>
        <v>12</v>
      </c>
      <c r="N279">
        <f t="shared" si="27"/>
        <v>207060</v>
      </c>
      <c r="O279">
        <f>IF(AND(MyRowHidden(ROW())=FALSE,MyRowHidden(ROW()-1)=TRUE),0,IF(M279&lt;totalMonths,(totalMonths-M279)/totalMonths *(I279-I278)+O278,0))</f>
        <v>0</v>
      </c>
      <c r="P279">
        <f>IF(AND(MyRowHidden(ROW())=FALSE,MyRowHidden(ROW()-1)=TRUE),0,IF(M279&lt;totalMonths,(totalMonths-M279)/totalMonths *(J279-J278)+P278,0))</f>
        <v>0</v>
      </c>
      <c r="Q279">
        <f>IF(AND(MyRowHidden(ROW())=FALSE,MyRowHidden(ROW()-1)=TRUE),0,IF(M279&lt;totalMonths,(totalMonths-M279)/totalMonths *(K279-K278)+Q278,0))</f>
        <v>0</v>
      </c>
      <c r="R279">
        <f t="shared" si="28"/>
        <v>207060</v>
      </c>
      <c r="S279">
        <f t="shared" si="29"/>
        <v>0</v>
      </c>
    </row>
    <row r="280" spans="1:19" hidden="1" x14ac:dyDescent="0.25">
      <c r="A280" s="1"/>
      <c r="C280" s="1"/>
      <c r="D280" s="1">
        <v>41667</v>
      </c>
      <c r="E280">
        <v>28592</v>
      </c>
      <c r="F280" s="1">
        <v>41667</v>
      </c>
      <c r="G280">
        <v>775</v>
      </c>
      <c r="H280" s="1">
        <f t="shared" si="24"/>
        <v>41667</v>
      </c>
      <c r="I280">
        <f>IF(AND(MyRowHidden(ROW())=FALSE,MyRowHidden(ROW()-1)=TRUE),0,(E280-E279)*unitsOfDHp+I279)</f>
        <v>206255</v>
      </c>
      <c r="J280">
        <f>IF(AND(MyRowHidden(ROW())=FALSE,MyRowHidden(ROW()-1)=TRUE),0,(G280-G279)*unitsOfExo+J279)</f>
        <v>-324000</v>
      </c>
      <c r="K280" s="9">
        <f t="shared" si="25"/>
        <v>324000</v>
      </c>
      <c r="L280">
        <f t="shared" si="26"/>
        <v>-117745</v>
      </c>
      <c r="M280">
        <f>IF(AND(MyRowHidden(ROW())=FALSE,MyRowHidden(ROW()-1)=TRUE),0,IF(MONTH(H280)&lt;&gt;MONTH(H279),M279+1,M279))</f>
        <v>12</v>
      </c>
      <c r="N280">
        <f t="shared" si="27"/>
        <v>206255</v>
      </c>
      <c r="O280">
        <f>IF(AND(MyRowHidden(ROW())=FALSE,MyRowHidden(ROW()-1)=TRUE),0,IF(M280&lt;totalMonths,(totalMonths-M280)/totalMonths *(I280-I279)+O279,0))</f>
        <v>0</v>
      </c>
      <c r="P280">
        <f>IF(AND(MyRowHidden(ROW())=FALSE,MyRowHidden(ROW()-1)=TRUE),0,IF(M280&lt;totalMonths,(totalMonths-M280)/totalMonths *(J280-J279)+P279,0))</f>
        <v>0</v>
      </c>
      <c r="Q280">
        <f>IF(AND(MyRowHidden(ROW())=FALSE,MyRowHidden(ROW()-1)=TRUE),0,IF(M280&lt;totalMonths,(totalMonths-M280)/totalMonths *(K280-K279)+Q279,0))</f>
        <v>0</v>
      </c>
      <c r="R280">
        <f t="shared" si="28"/>
        <v>206255</v>
      </c>
      <c r="S280">
        <f t="shared" si="29"/>
        <v>0</v>
      </c>
    </row>
    <row r="281" spans="1:19" hidden="1" x14ac:dyDescent="0.25">
      <c r="A281" s="1"/>
      <c r="C281" s="1"/>
      <c r="D281" s="1">
        <v>41668</v>
      </c>
      <c r="E281">
        <v>28889</v>
      </c>
      <c r="F281" s="1">
        <v>41668</v>
      </c>
      <c r="G281">
        <v>537.5</v>
      </c>
      <c r="H281" s="1">
        <f t="shared" si="24"/>
        <v>41668</v>
      </c>
      <c r="I281">
        <f>IF(AND(MyRowHidden(ROW())=FALSE,MyRowHidden(ROW()-1)=TRUE),0,(E281-E280)*unitsOfDHp+I280)</f>
        <v>216650</v>
      </c>
      <c r="J281">
        <f>IF(AND(MyRowHidden(ROW())=FALSE,MyRowHidden(ROW()-1)=TRUE),0,(G281-G280)*unitsOfExo+J280)</f>
        <v>-392400</v>
      </c>
      <c r="K281" s="9">
        <f t="shared" si="25"/>
        <v>392400</v>
      </c>
      <c r="L281">
        <f t="shared" si="26"/>
        <v>-175750</v>
      </c>
      <c r="M281">
        <f>IF(AND(MyRowHidden(ROW())=FALSE,MyRowHidden(ROW()-1)=TRUE),0,IF(MONTH(H281)&lt;&gt;MONTH(H280),M280+1,M280))</f>
        <v>12</v>
      </c>
      <c r="N281">
        <f t="shared" si="27"/>
        <v>216650</v>
      </c>
      <c r="O281">
        <f>IF(AND(MyRowHidden(ROW())=FALSE,MyRowHidden(ROW()-1)=TRUE),0,IF(M281&lt;totalMonths,(totalMonths-M281)/totalMonths *(I281-I280)+O280,0))</f>
        <v>0</v>
      </c>
      <c r="P281">
        <f>IF(AND(MyRowHidden(ROW())=FALSE,MyRowHidden(ROW()-1)=TRUE),0,IF(M281&lt;totalMonths,(totalMonths-M281)/totalMonths *(J281-J280)+P280,0))</f>
        <v>0</v>
      </c>
      <c r="Q281">
        <f>IF(AND(MyRowHidden(ROW())=FALSE,MyRowHidden(ROW()-1)=TRUE),0,IF(M281&lt;totalMonths,(totalMonths-M281)/totalMonths *(K281-K280)+Q280,0))</f>
        <v>0</v>
      </c>
      <c r="R281">
        <f t="shared" si="28"/>
        <v>216650</v>
      </c>
      <c r="S281">
        <f t="shared" si="29"/>
        <v>0</v>
      </c>
    </row>
    <row r="282" spans="1:19" hidden="1" x14ac:dyDescent="0.25">
      <c r="A282" s="1"/>
      <c r="C282" s="1"/>
      <c r="D282" s="1">
        <v>41669</v>
      </c>
      <c r="E282">
        <v>28825</v>
      </c>
      <c r="F282" s="1">
        <v>41669</v>
      </c>
      <c r="G282">
        <v>800</v>
      </c>
      <c r="H282" s="1">
        <f t="shared" si="24"/>
        <v>41669</v>
      </c>
      <c r="I282">
        <f>IF(AND(MyRowHidden(ROW())=FALSE,MyRowHidden(ROW()-1)=TRUE),0,(E282-E281)*unitsOfDHp+I281)</f>
        <v>214410</v>
      </c>
      <c r="J282">
        <f>IF(AND(MyRowHidden(ROW())=FALSE,MyRowHidden(ROW()-1)=TRUE),0,(G282-G281)*unitsOfExo+J281)</f>
        <v>-316800</v>
      </c>
      <c r="K282" s="9">
        <f t="shared" si="25"/>
        <v>316800</v>
      </c>
      <c r="L282">
        <f t="shared" si="26"/>
        <v>-102390</v>
      </c>
      <c r="M282">
        <f>IF(AND(MyRowHidden(ROW())=FALSE,MyRowHidden(ROW()-1)=TRUE),0,IF(MONTH(H282)&lt;&gt;MONTH(H281),M281+1,M281))</f>
        <v>12</v>
      </c>
      <c r="N282">
        <f t="shared" si="27"/>
        <v>214410</v>
      </c>
      <c r="O282">
        <f>IF(AND(MyRowHidden(ROW())=FALSE,MyRowHidden(ROW()-1)=TRUE),0,IF(M282&lt;totalMonths,(totalMonths-M282)/totalMonths *(I282-I281)+O281,0))</f>
        <v>0</v>
      </c>
      <c r="P282">
        <f>IF(AND(MyRowHidden(ROW())=FALSE,MyRowHidden(ROW()-1)=TRUE),0,IF(M282&lt;totalMonths,(totalMonths-M282)/totalMonths *(J282-J281)+P281,0))</f>
        <v>0</v>
      </c>
      <c r="Q282">
        <f>IF(AND(MyRowHidden(ROW())=FALSE,MyRowHidden(ROW()-1)=TRUE),0,IF(M282&lt;totalMonths,(totalMonths-M282)/totalMonths *(K282-K281)+Q281,0))</f>
        <v>0</v>
      </c>
      <c r="R282">
        <f t="shared" si="28"/>
        <v>214410</v>
      </c>
      <c r="S282">
        <f t="shared" si="29"/>
        <v>0</v>
      </c>
    </row>
    <row r="283" spans="1:19" hidden="1" x14ac:dyDescent="0.25">
      <c r="A283" s="1"/>
      <c r="C283" s="1"/>
      <c r="D283" s="1">
        <v>41670</v>
      </c>
      <c r="E283">
        <v>28860</v>
      </c>
      <c r="F283" s="1">
        <v>41670</v>
      </c>
      <c r="G283">
        <v>737.5</v>
      </c>
      <c r="H283" s="1">
        <f t="shared" si="24"/>
        <v>41670</v>
      </c>
      <c r="I283">
        <f>IF(AND(MyRowHidden(ROW())=FALSE,MyRowHidden(ROW()-1)=TRUE),0,(E283-E282)*unitsOfDHp+I282)</f>
        <v>215635</v>
      </c>
      <c r="J283">
        <f>IF(AND(MyRowHidden(ROW())=FALSE,MyRowHidden(ROW()-1)=TRUE),0,(G283-G282)*unitsOfExo+J282)</f>
        <v>-334800</v>
      </c>
      <c r="K283" s="9">
        <f t="shared" si="25"/>
        <v>334800</v>
      </c>
      <c r="L283">
        <f t="shared" si="26"/>
        <v>-119165</v>
      </c>
      <c r="M283">
        <f>IF(AND(MyRowHidden(ROW())=FALSE,MyRowHidden(ROW()-1)=TRUE),0,IF(MONTH(H283)&lt;&gt;MONTH(H282),M282+1,M282))</f>
        <v>12</v>
      </c>
      <c r="N283">
        <f t="shared" si="27"/>
        <v>215635</v>
      </c>
      <c r="O283">
        <f>IF(AND(MyRowHidden(ROW())=FALSE,MyRowHidden(ROW()-1)=TRUE),0,IF(M283&lt;totalMonths,(totalMonths-M283)/totalMonths *(I283-I282)+O282,0))</f>
        <v>0</v>
      </c>
      <c r="P283">
        <f>IF(AND(MyRowHidden(ROW())=FALSE,MyRowHidden(ROW()-1)=TRUE),0,IF(M283&lt;totalMonths,(totalMonths-M283)/totalMonths *(J283-J282)+P282,0))</f>
        <v>0</v>
      </c>
      <c r="Q283">
        <f>IF(AND(MyRowHidden(ROW())=FALSE,MyRowHidden(ROW()-1)=TRUE),0,IF(M283&lt;totalMonths,(totalMonths-M283)/totalMonths *(K283-K282)+Q282,0))</f>
        <v>0</v>
      </c>
      <c r="R283">
        <f t="shared" si="28"/>
        <v>215635</v>
      </c>
      <c r="S283">
        <f t="shared" si="29"/>
        <v>0</v>
      </c>
    </row>
    <row r="284" spans="1:19" hidden="1" x14ac:dyDescent="0.25">
      <c r="A284" s="1"/>
      <c r="C284" s="1"/>
      <c r="D284" s="1">
        <v>41673</v>
      </c>
      <c r="E284">
        <v>28425</v>
      </c>
      <c r="F284" s="1">
        <v>41673</v>
      </c>
      <c r="G284">
        <v>950</v>
      </c>
      <c r="H284" s="1">
        <f t="shared" si="24"/>
        <v>41673</v>
      </c>
      <c r="I284">
        <f>IF(AND(MyRowHidden(ROW())=FALSE,MyRowHidden(ROW()-1)=TRUE),0,(E284-E283)*unitsOfDHp+I283)</f>
        <v>200410</v>
      </c>
      <c r="J284">
        <f>IF(AND(MyRowHidden(ROW())=FALSE,MyRowHidden(ROW()-1)=TRUE),0,(G284-G283)*unitsOfExo+J283)</f>
        <v>-273600</v>
      </c>
      <c r="K284" s="9">
        <f t="shared" si="25"/>
        <v>273600</v>
      </c>
      <c r="L284">
        <f t="shared" si="26"/>
        <v>-73190</v>
      </c>
      <c r="M284">
        <f>IF(AND(MyRowHidden(ROW())=FALSE,MyRowHidden(ROW()-1)=TRUE),0,IF(MONTH(H284)&lt;&gt;MONTH(H283),M283+1,M283))</f>
        <v>13</v>
      </c>
      <c r="N284">
        <f t="shared" si="27"/>
        <v>200410</v>
      </c>
      <c r="O284">
        <f>IF(AND(MyRowHidden(ROW())=FALSE,MyRowHidden(ROW()-1)=TRUE),0,IF(M284&lt;totalMonths,(totalMonths-M284)/totalMonths *(I284-I283)+O283,0))</f>
        <v>0</v>
      </c>
      <c r="P284">
        <f>IF(AND(MyRowHidden(ROW())=FALSE,MyRowHidden(ROW()-1)=TRUE),0,IF(M284&lt;totalMonths,(totalMonths-M284)/totalMonths *(J284-J283)+P283,0))</f>
        <v>0</v>
      </c>
      <c r="Q284">
        <f>IF(AND(MyRowHidden(ROW())=FALSE,MyRowHidden(ROW()-1)=TRUE),0,IF(M284&lt;totalMonths,(totalMonths-M284)/totalMonths *(K284-K283)+Q283,0))</f>
        <v>0</v>
      </c>
      <c r="R284">
        <f t="shared" si="28"/>
        <v>200410</v>
      </c>
      <c r="S284">
        <f t="shared" si="29"/>
        <v>0</v>
      </c>
    </row>
    <row r="285" spans="1:19" hidden="1" x14ac:dyDescent="0.25">
      <c r="A285" s="1"/>
      <c r="C285" s="1"/>
      <c r="D285" s="1">
        <v>41674</v>
      </c>
      <c r="E285">
        <v>27727</v>
      </c>
      <c r="F285" s="1">
        <v>41674</v>
      </c>
      <c r="G285">
        <v>1187.5</v>
      </c>
      <c r="H285" s="1">
        <f t="shared" si="24"/>
        <v>41674</v>
      </c>
      <c r="I285">
        <f>IF(AND(MyRowHidden(ROW())=FALSE,MyRowHidden(ROW()-1)=TRUE),0,(E285-E284)*unitsOfDHp+I284)</f>
        <v>175980</v>
      </c>
      <c r="J285">
        <f>IF(AND(MyRowHidden(ROW())=FALSE,MyRowHidden(ROW()-1)=TRUE),0,(G285-G284)*unitsOfExo+J284)</f>
        <v>-205200</v>
      </c>
      <c r="K285" s="9">
        <f t="shared" si="25"/>
        <v>205200</v>
      </c>
      <c r="L285">
        <f t="shared" si="26"/>
        <v>-29220</v>
      </c>
      <c r="M285">
        <f>IF(AND(MyRowHidden(ROW())=FALSE,MyRowHidden(ROW()-1)=TRUE),0,IF(MONTH(H285)&lt;&gt;MONTH(H284),M284+1,M284))</f>
        <v>13</v>
      </c>
      <c r="N285">
        <f t="shared" si="27"/>
        <v>175980</v>
      </c>
      <c r="O285">
        <f>IF(AND(MyRowHidden(ROW())=FALSE,MyRowHidden(ROW()-1)=TRUE),0,IF(M285&lt;totalMonths,(totalMonths-M285)/totalMonths *(I285-I284)+O284,0))</f>
        <v>0</v>
      </c>
      <c r="P285">
        <f>IF(AND(MyRowHidden(ROW())=FALSE,MyRowHidden(ROW()-1)=TRUE),0,IF(M285&lt;totalMonths,(totalMonths-M285)/totalMonths *(J285-J284)+P284,0))</f>
        <v>0</v>
      </c>
      <c r="Q285">
        <f>IF(AND(MyRowHidden(ROW())=FALSE,MyRowHidden(ROW()-1)=TRUE),0,IF(M285&lt;totalMonths,(totalMonths-M285)/totalMonths *(K285-K284)+Q284,0))</f>
        <v>0</v>
      </c>
      <c r="R285">
        <f t="shared" si="28"/>
        <v>175980</v>
      </c>
      <c r="S285">
        <f t="shared" si="29"/>
        <v>0</v>
      </c>
    </row>
    <row r="286" spans="1:19" hidden="1" x14ac:dyDescent="0.25">
      <c r="A286" s="1"/>
      <c r="C286" s="1"/>
      <c r="D286" s="1">
        <v>41675</v>
      </c>
      <c r="E286">
        <v>27296</v>
      </c>
      <c r="F286" s="1">
        <v>41675</v>
      </c>
      <c r="G286">
        <v>1325</v>
      </c>
      <c r="H286" s="1">
        <f t="shared" si="24"/>
        <v>41675</v>
      </c>
      <c r="I286">
        <f>IF(AND(MyRowHidden(ROW())=FALSE,MyRowHidden(ROW()-1)=TRUE),0,(E286-E285)*unitsOfDHp+I285)</f>
        <v>160895</v>
      </c>
      <c r="J286">
        <f>IF(AND(MyRowHidden(ROW())=FALSE,MyRowHidden(ROW()-1)=TRUE),0,(G286-G285)*unitsOfExo+J285)</f>
        <v>-165600</v>
      </c>
      <c r="K286" s="9">
        <f t="shared" si="25"/>
        <v>165600</v>
      </c>
      <c r="L286">
        <f t="shared" si="26"/>
        <v>-4705</v>
      </c>
      <c r="M286">
        <f>IF(AND(MyRowHidden(ROW())=FALSE,MyRowHidden(ROW()-1)=TRUE),0,IF(MONTH(H286)&lt;&gt;MONTH(H285),M285+1,M285))</f>
        <v>13</v>
      </c>
      <c r="N286">
        <f t="shared" si="27"/>
        <v>160895</v>
      </c>
      <c r="O286">
        <f>IF(AND(MyRowHidden(ROW())=FALSE,MyRowHidden(ROW()-1)=TRUE),0,IF(M286&lt;totalMonths,(totalMonths-M286)/totalMonths *(I286-I285)+O285,0))</f>
        <v>0</v>
      </c>
      <c r="P286">
        <f>IF(AND(MyRowHidden(ROW())=FALSE,MyRowHidden(ROW()-1)=TRUE),0,IF(M286&lt;totalMonths,(totalMonths-M286)/totalMonths *(J286-J285)+P285,0))</f>
        <v>0</v>
      </c>
      <c r="Q286">
        <f>IF(AND(MyRowHidden(ROW())=FALSE,MyRowHidden(ROW()-1)=TRUE),0,IF(M286&lt;totalMonths,(totalMonths-M286)/totalMonths *(K286-K285)+Q285,0))</f>
        <v>0</v>
      </c>
      <c r="R286">
        <f t="shared" si="28"/>
        <v>160895</v>
      </c>
      <c r="S286">
        <f t="shared" si="29"/>
        <v>0</v>
      </c>
    </row>
    <row r="287" spans="1:19" hidden="1" x14ac:dyDescent="0.25">
      <c r="A287" s="1"/>
      <c r="C287" s="1"/>
      <c r="D287" s="1">
        <v>41676</v>
      </c>
      <c r="E287">
        <v>27402</v>
      </c>
      <c r="F287" s="1">
        <v>41676</v>
      </c>
      <c r="G287">
        <v>1287.5</v>
      </c>
      <c r="H287" s="1">
        <f t="shared" si="24"/>
        <v>41676</v>
      </c>
      <c r="I287">
        <f>IF(AND(MyRowHidden(ROW())=FALSE,MyRowHidden(ROW()-1)=TRUE),0,(E287-E286)*unitsOfDHp+I286)</f>
        <v>164605</v>
      </c>
      <c r="J287">
        <f>IF(AND(MyRowHidden(ROW())=FALSE,MyRowHidden(ROW()-1)=TRUE),0,(G287-G286)*unitsOfExo+J286)</f>
        <v>-176400</v>
      </c>
      <c r="K287" s="9">
        <f t="shared" si="25"/>
        <v>176400</v>
      </c>
      <c r="L287">
        <f t="shared" si="26"/>
        <v>-11795</v>
      </c>
      <c r="M287">
        <f>IF(AND(MyRowHidden(ROW())=FALSE,MyRowHidden(ROW()-1)=TRUE),0,IF(MONTH(H287)&lt;&gt;MONTH(H286),M286+1,M286))</f>
        <v>13</v>
      </c>
      <c r="N287">
        <f t="shared" si="27"/>
        <v>164605</v>
      </c>
      <c r="O287">
        <f>IF(AND(MyRowHidden(ROW())=FALSE,MyRowHidden(ROW()-1)=TRUE),0,IF(M287&lt;totalMonths,(totalMonths-M287)/totalMonths *(I287-I286)+O286,0))</f>
        <v>0</v>
      </c>
      <c r="P287">
        <f>IF(AND(MyRowHidden(ROW())=FALSE,MyRowHidden(ROW()-1)=TRUE),0,IF(M287&lt;totalMonths,(totalMonths-M287)/totalMonths *(J287-J286)+P286,0))</f>
        <v>0</v>
      </c>
      <c r="Q287">
        <f>IF(AND(MyRowHidden(ROW())=FALSE,MyRowHidden(ROW()-1)=TRUE),0,IF(M287&lt;totalMonths,(totalMonths-M287)/totalMonths *(K287-K286)+Q286,0))</f>
        <v>0</v>
      </c>
      <c r="R287">
        <f t="shared" si="28"/>
        <v>164605</v>
      </c>
      <c r="S287">
        <f t="shared" si="29"/>
        <v>0</v>
      </c>
    </row>
    <row r="288" spans="1:19" hidden="1" x14ac:dyDescent="0.25">
      <c r="A288" s="1"/>
      <c r="C288" s="1"/>
      <c r="D288" s="1">
        <v>41677</v>
      </c>
      <c r="E288">
        <v>27260</v>
      </c>
      <c r="F288" s="1">
        <v>41677</v>
      </c>
      <c r="G288">
        <v>1325</v>
      </c>
      <c r="H288" s="1">
        <f t="shared" si="24"/>
        <v>41677</v>
      </c>
      <c r="I288">
        <f>IF(AND(MyRowHidden(ROW())=FALSE,MyRowHidden(ROW()-1)=TRUE),0,(E288-E287)*unitsOfDHp+I287)</f>
        <v>159635</v>
      </c>
      <c r="J288">
        <f>IF(AND(MyRowHidden(ROW())=FALSE,MyRowHidden(ROW()-1)=TRUE),0,(G288-G287)*unitsOfExo+J287)</f>
        <v>-165600</v>
      </c>
      <c r="K288" s="9">
        <f t="shared" si="25"/>
        <v>165600</v>
      </c>
      <c r="L288">
        <f t="shared" si="26"/>
        <v>-5965</v>
      </c>
      <c r="M288">
        <f>IF(AND(MyRowHidden(ROW())=FALSE,MyRowHidden(ROW()-1)=TRUE),0,IF(MONTH(H288)&lt;&gt;MONTH(H287),M287+1,M287))</f>
        <v>13</v>
      </c>
      <c r="N288">
        <f t="shared" si="27"/>
        <v>159635</v>
      </c>
      <c r="O288">
        <f>IF(AND(MyRowHidden(ROW())=FALSE,MyRowHidden(ROW()-1)=TRUE),0,IF(M288&lt;totalMonths,(totalMonths-M288)/totalMonths *(I288-I287)+O287,0))</f>
        <v>0</v>
      </c>
      <c r="P288">
        <f>IF(AND(MyRowHidden(ROW())=FALSE,MyRowHidden(ROW()-1)=TRUE),0,IF(M288&lt;totalMonths,(totalMonths-M288)/totalMonths *(J288-J287)+P287,0))</f>
        <v>0</v>
      </c>
      <c r="Q288">
        <f>IF(AND(MyRowHidden(ROW())=FALSE,MyRowHidden(ROW()-1)=TRUE),0,IF(M288&lt;totalMonths,(totalMonths-M288)/totalMonths *(K288-K287)+Q287,0))</f>
        <v>0</v>
      </c>
      <c r="R288">
        <f t="shared" si="28"/>
        <v>159635</v>
      </c>
      <c r="S288">
        <f t="shared" si="29"/>
        <v>0</v>
      </c>
    </row>
    <row r="289" spans="1:19" hidden="1" x14ac:dyDescent="0.25">
      <c r="A289" s="1"/>
      <c r="C289" s="1"/>
      <c r="D289" s="1">
        <v>41680</v>
      </c>
      <c r="E289">
        <v>27583</v>
      </c>
      <c r="F289" s="1">
        <v>41680</v>
      </c>
      <c r="G289">
        <v>1200</v>
      </c>
      <c r="H289" s="1">
        <f t="shared" si="24"/>
        <v>41680</v>
      </c>
      <c r="I289">
        <f>IF(AND(MyRowHidden(ROW())=FALSE,MyRowHidden(ROW()-1)=TRUE),0,(E289-E288)*unitsOfDHp+I288)</f>
        <v>170940</v>
      </c>
      <c r="J289">
        <f>IF(AND(MyRowHidden(ROW())=FALSE,MyRowHidden(ROW()-1)=TRUE),0,(G289-G288)*unitsOfExo+J288)</f>
        <v>-201600</v>
      </c>
      <c r="K289" s="9">
        <f t="shared" si="25"/>
        <v>201600</v>
      </c>
      <c r="L289">
        <f t="shared" si="26"/>
        <v>-30660</v>
      </c>
      <c r="M289">
        <f>IF(AND(MyRowHidden(ROW())=FALSE,MyRowHidden(ROW()-1)=TRUE),0,IF(MONTH(H289)&lt;&gt;MONTH(H288),M288+1,M288))</f>
        <v>13</v>
      </c>
      <c r="N289">
        <f t="shared" si="27"/>
        <v>170940</v>
      </c>
      <c r="O289">
        <f>IF(AND(MyRowHidden(ROW())=FALSE,MyRowHidden(ROW()-1)=TRUE),0,IF(M289&lt;totalMonths,(totalMonths-M289)/totalMonths *(I289-I288)+O288,0))</f>
        <v>0</v>
      </c>
      <c r="P289">
        <f>IF(AND(MyRowHidden(ROW())=FALSE,MyRowHidden(ROW()-1)=TRUE),0,IF(M289&lt;totalMonths,(totalMonths-M289)/totalMonths *(J289-J288)+P288,0))</f>
        <v>0</v>
      </c>
      <c r="Q289">
        <f>IF(AND(MyRowHidden(ROW())=FALSE,MyRowHidden(ROW()-1)=TRUE),0,IF(M289&lt;totalMonths,(totalMonths-M289)/totalMonths *(K289-K288)+Q288,0))</f>
        <v>0</v>
      </c>
      <c r="R289">
        <f t="shared" si="28"/>
        <v>170940</v>
      </c>
      <c r="S289">
        <f t="shared" si="29"/>
        <v>0</v>
      </c>
    </row>
    <row r="290" spans="1:19" hidden="1" x14ac:dyDescent="0.25">
      <c r="A290" s="1"/>
      <c r="C290" s="1"/>
      <c r="D290" s="1">
        <v>41681</v>
      </c>
      <c r="E290">
        <v>27513</v>
      </c>
      <c r="F290" s="1">
        <v>41681</v>
      </c>
      <c r="G290">
        <v>1237.5</v>
      </c>
      <c r="H290" s="1">
        <f t="shared" si="24"/>
        <v>41681</v>
      </c>
      <c r="I290">
        <f>IF(AND(MyRowHidden(ROW())=FALSE,MyRowHidden(ROW()-1)=TRUE),0,(E290-E289)*unitsOfDHp+I289)</f>
        <v>168490</v>
      </c>
      <c r="J290">
        <f>IF(AND(MyRowHidden(ROW())=FALSE,MyRowHidden(ROW()-1)=TRUE),0,(G290-G289)*unitsOfExo+J289)</f>
        <v>-190800</v>
      </c>
      <c r="K290" s="9">
        <f t="shared" si="25"/>
        <v>190800</v>
      </c>
      <c r="L290">
        <f t="shared" si="26"/>
        <v>-22310</v>
      </c>
      <c r="M290">
        <f>IF(AND(MyRowHidden(ROW())=FALSE,MyRowHidden(ROW()-1)=TRUE),0,IF(MONTH(H290)&lt;&gt;MONTH(H289),M289+1,M289))</f>
        <v>13</v>
      </c>
      <c r="N290">
        <f t="shared" si="27"/>
        <v>168490</v>
      </c>
      <c r="O290">
        <f>IF(AND(MyRowHidden(ROW())=FALSE,MyRowHidden(ROW()-1)=TRUE),0,IF(M290&lt;totalMonths,(totalMonths-M290)/totalMonths *(I290-I289)+O289,0))</f>
        <v>0</v>
      </c>
      <c r="P290">
        <f>IF(AND(MyRowHidden(ROW())=FALSE,MyRowHidden(ROW()-1)=TRUE),0,IF(M290&lt;totalMonths,(totalMonths-M290)/totalMonths *(J290-J289)+P289,0))</f>
        <v>0</v>
      </c>
      <c r="Q290">
        <f>IF(AND(MyRowHidden(ROW())=FALSE,MyRowHidden(ROW()-1)=TRUE),0,IF(M290&lt;totalMonths,(totalMonths-M290)/totalMonths *(K290-K289)+Q289,0))</f>
        <v>0</v>
      </c>
      <c r="R290">
        <f t="shared" si="28"/>
        <v>168490</v>
      </c>
      <c r="S290">
        <f t="shared" si="29"/>
        <v>0</v>
      </c>
    </row>
    <row r="291" spans="1:19" hidden="1" x14ac:dyDescent="0.25">
      <c r="A291" s="1"/>
      <c r="C291" s="1"/>
      <c r="D291" s="1">
        <v>41682</v>
      </c>
      <c r="E291">
        <v>27527</v>
      </c>
      <c r="F291" s="1">
        <v>41682</v>
      </c>
      <c r="G291">
        <v>1150</v>
      </c>
      <c r="H291" s="1">
        <f t="shared" si="24"/>
        <v>41682</v>
      </c>
      <c r="I291">
        <f>IF(AND(MyRowHidden(ROW())=FALSE,MyRowHidden(ROW()-1)=TRUE),0,(E291-E290)*unitsOfDHp+I290)</f>
        <v>168980</v>
      </c>
      <c r="J291">
        <f>IF(AND(MyRowHidden(ROW())=FALSE,MyRowHidden(ROW()-1)=TRUE),0,(G291-G290)*unitsOfExo+J290)</f>
        <v>-216000</v>
      </c>
      <c r="K291" s="9">
        <f t="shared" si="25"/>
        <v>216000</v>
      </c>
      <c r="L291">
        <f t="shared" si="26"/>
        <v>-47020</v>
      </c>
      <c r="M291">
        <f>IF(AND(MyRowHidden(ROW())=FALSE,MyRowHidden(ROW()-1)=TRUE),0,IF(MONTH(H291)&lt;&gt;MONTH(H290),M290+1,M290))</f>
        <v>13</v>
      </c>
      <c r="N291">
        <f t="shared" si="27"/>
        <v>168980</v>
      </c>
      <c r="O291">
        <f>IF(AND(MyRowHidden(ROW())=FALSE,MyRowHidden(ROW()-1)=TRUE),0,IF(M291&lt;totalMonths,(totalMonths-M291)/totalMonths *(I291-I290)+O290,0))</f>
        <v>0</v>
      </c>
      <c r="P291">
        <f>IF(AND(MyRowHidden(ROW())=FALSE,MyRowHidden(ROW()-1)=TRUE),0,IF(M291&lt;totalMonths,(totalMonths-M291)/totalMonths *(J291-J290)+P290,0))</f>
        <v>0</v>
      </c>
      <c r="Q291">
        <f>IF(AND(MyRowHidden(ROW())=FALSE,MyRowHidden(ROW()-1)=TRUE),0,IF(M291&lt;totalMonths,(totalMonths-M291)/totalMonths *(K291-K290)+Q290,0))</f>
        <v>0</v>
      </c>
      <c r="R291">
        <f t="shared" si="28"/>
        <v>168980</v>
      </c>
      <c r="S291">
        <f t="shared" si="29"/>
        <v>0</v>
      </c>
    </row>
    <row r="292" spans="1:19" hidden="1" x14ac:dyDescent="0.25">
      <c r="A292" s="1"/>
      <c r="C292" s="1"/>
      <c r="D292" s="1">
        <v>41683</v>
      </c>
      <c r="E292">
        <v>27509</v>
      </c>
      <c r="F292" s="1">
        <v>41683</v>
      </c>
      <c r="G292">
        <v>1112.5</v>
      </c>
      <c r="H292" s="1">
        <f t="shared" si="24"/>
        <v>41683</v>
      </c>
      <c r="I292">
        <f>IF(AND(MyRowHidden(ROW())=FALSE,MyRowHidden(ROW()-1)=TRUE),0,(E292-E291)*unitsOfDHp+I291)</f>
        <v>168350</v>
      </c>
      <c r="J292">
        <f>IF(AND(MyRowHidden(ROW())=FALSE,MyRowHidden(ROW()-1)=TRUE),0,(G292-G291)*unitsOfExo+J291)</f>
        <v>-226800</v>
      </c>
      <c r="K292" s="9">
        <f t="shared" si="25"/>
        <v>226800</v>
      </c>
      <c r="L292">
        <f t="shared" si="26"/>
        <v>-58450</v>
      </c>
      <c r="M292">
        <f>IF(AND(MyRowHidden(ROW())=FALSE,MyRowHidden(ROW()-1)=TRUE),0,IF(MONTH(H292)&lt;&gt;MONTH(H291),M291+1,M291))</f>
        <v>13</v>
      </c>
      <c r="N292">
        <f t="shared" si="27"/>
        <v>168350</v>
      </c>
      <c r="O292">
        <f>IF(AND(MyRowHidden(ROW())=FALSE,MyRowHidden(ROW()-1)=TRUE),0,IF(M292&lt;totalMonths,(totalMonths-M292)/totalMonths *(I292-I291)+O291,0))</f>
        <v>0</v>
      </c>
      <c r="P292">
        <f>IF(AND(MyRowHidden(ROW())=FALSE,MyRowHidden(ROW()-1)=TRUE),0,IF(M292&lt;totalMonths,(totalMonths-M292)/totalMonths *(J292-J291)+P291,0))</f>
        <v>0</v>
      </c>
      <c r="Q292">
        <f>IF(AND(MyRowHidden(ROW())=FALSE,MyRowHidden(ROW()-1)=TRUE),0,IF(M292&lt;totalMonths,(totalMonths-M292)/totalMonths *(K292-K291)+Q291,0))</f>
        <v>0</v>
      </c>
      <c r="R292">
        <f t="shared" si="28"/>
        <v>168350</v>
      </c>
      <c r="S292">
        <f t="shared" si="29"/>
        <v>0</v>
      </c>
    </row>
    <row r="293" spans="1:19" hidden="1" x14ac:dyDescent="0.25">
      <c r="A293" s="1"/>
      <c r="C293" s="1"/>
      <c r="D293" s="1">
        <v>41684</v>
      </c>
      <c r="E293">
        <v>27356</v>
      </c>
      <c r="F293" s="1">
        <v>41684</v>
      </c>
      <c r="G293">
        <v>1350</v>
      </c>
      <c r="H293" s="1">
        <f t="shared" si="24"/>
        <v>41684</v>
      </c>
      <c r="I293">
        <f>IF(AND(MyRowHidden(ROW())=FALSE,MyRowHidden(ROW()-1)=TRUE),0,(E293-E292)*unitsOfDHp+I292)</f>
        <v>162995</v>
      </c>
      <c r="J293">
        <f>IF(AND(MyRowHidden(ROW())=FALSE,MyRowHidden(ROW()-1)=TRUE),0,(G293-G292)*unitsOfExo+J292)</f>
        <v>-158400</v>
      </c>
      <c r="K293" s="9">
        <f t="shared" si="25"/>
        <v>158400</v>
      </c>
      <c r="L293">
        <f t="shared" si="26"/>
        <v>4595</v>
      </c>
      <c r="M293">
        <f>IF(AND(MyRowHidden(ROW())=FALSE,MyRowHidden(ROW()-1)=TRUE),0,IF(MONTH(H293)&lt;&gt;MONTH(H292),M292+1,M292))</f>
        <v>13</v>
      </c>
      <c r="N293">
        <f t="shared" si="27"/>
        <v>162995</v>
      </c>
      <c r="O293">
        <f>IF(AND(MyRowHidden(ROW())=FALSE,MyRowHidden(ROW()-1)=TRUE),0,IF(M293&lt;totalMonths,(totalMonths-M293)/totalMonths *(I293-I292)+O292,0))</f>
        <v>0</v>
      </c>
      <c r="P293">
        <f>IF(AND(MyRowHidden(ROW())=FALSE,MyRowHidden(ROW()-1)=TRUE),0,IF(M293&lt;totalMonths,(totalMonths-M293)/totalMonths *(J293-J292)+P292,0))</f>
        <v>0</v>
      </c>
      <c r="Q293">
        <f>IF(AND(MyRowHidden(ROW())=FALSE,MyRowHidden(ROW()-1)=TRUE),0,IF(M293&lt;totalMonths,(totalMonths-M293)/totalMonths *(K293-K292)+Q292,0))</f>
        <v>0</v>
      </c>
      <c r="R293">
        <f t="shared" si="28"/>
        <v>162995</v>
      </c>
      <c r="S293">
        <f t="shared" si="29"/>
        <v>0</v>
      </c>
    </row>
    <row r="294" spans="1:19" hidden="1" x14ac:dyDescent="0.25">
      <c r="A294" s="1"/>
      <c r="C294" s="1"/>
      <c r="D294" s="1">
        <v>41688</v>
      </c>
      <c r="E294">
        <v>27002</v>
      </c>
      <c r="F294" s="1">
        <v>41688</v>
      </c>
      <c r="G294">
        <v>1562.5</v>
      </c>
      <c r="H294" s="1">
        <f t="shared" si="24"/>
        <v>41688</v>
      </c>
      <c r="I294">
        <f>IF(AND(MyRowHidden(ROW())=FALSE,MyRowHidden(ROW()-1)=TRUE),0,(E294-E293)*unitsOfDHp+I293)</f>
        <v>150605</v>
      </c>
      <c r="J294">
        <f>IF(AND(MyRowHidden(ROW())=FALSE,MyRowHidden(ROW()-1)=TRUE),0,(G294-G293)*unitsOfExo+J293)</f>
        <v>-97200</v>
      </c>
      <c r="K294" s="9">
        <f t="shared" si="25"/>
        <v>97200</v>
      </c>
      <c r="L294">
        <f t="shared" si="26"/>
        <v>53405</v>
      </c>
      <c r="M294">
        <f>IF(AND(MyRowHidden(ROW())=FALSE,MyRowHidden(ROW()-1)=TRUE),0,IF(MONTH(H294)&lt;&gt;MONTH(H293),M293+1,M293))</f>
        <v>13</v>
      </c>
      <c r="N294">
        <f t="shared" si="27"/>
        <v>150605</v>
      </c>
      <c r="O294">
        <f>IF(AND(MyRowHidden(ROW())=FALSE,MyRowHidden(ROW()-1)=TRUE),0,IF(M294&lt;totalMonths,(totalMonths-M294)/totalMonths *(I294-I293)+O293,0))</f>
        <v>0</v>
      </c>
      <c r="P294">
        <f>IF(AND(MyRowHidden(ROW())=FALSE,MyRowHidden(ROW()-1)=TRUE),0,IF(M294&lt;totalMonths,(totalMonths-M294)/totalMonths *(J294-J293)+P293,0))</f>
        <v>0</v>
      </c>
      <c r="Q294">
        <f>IF(AND(MyRowHidden(ROW())=FALSE,MyRowHidden(ROW()-1)=TRUE),0,IF(M294&lt;totalMonths,(totalMonths-M294)/totalMonths *(K294-K293)+Q293,0))</f>
        <v>0</v>
      </c>
      <c r="R294">
        <f t="shared" si="28"/>
        <v>150605</v>
      </c>
      <c r="S294">
        <f t="shared" si="29"/>
        <v>0</v>
      </c>
    </row>
    <row r="295" spans="1:19" hidden="1" x14ac:dyDescent="0.25">
      <c r="A295" s="1"/>
      <c r="C295" s="1"/>
      <c r="D295" s="1">
        <v>41689</v>
      </c>
      <c r="E295">
        <v>26552</v>
      </c>
      <c r="F295" s="1">
        <v>41689</v>
      </c>
      <c r="G295">
        <v>1812.5</v>
      </c>
      <c r="H295" s="1">
        <f t="shared" si="24"/>
        <v>41689</v>
      </c>
      <c r="I295">
        <f>IF(AND(MyRowHidden(ROW())=FALSE,MyRowHidden(ROW()-1)=TRUE),0,(E295-E294)*unitsOfDHp+I294)</f>
        <v>134855</v>
      </c>
      <c r="J295">
        <f>IF(AND(MyRowHidden(ROW())=FALSE,MyRowHidden(ROW()-1)=TRUE),0,(G295-G294)*unitsOfExo+J294)</f>
        <v>-25200</v>
      </c>
      <c r="K295" s="9">
        <f t="shared" si="25"/>
        <v>25200</v>
      </c>
      <c r="L295">
        <f t="shared" si="26"/>
        <v>109655</v>
      </c>
      <c r="M295">
        <f>IF(AND(MyRowHidden(ROW())=FALSE,MyRowHidden(ROW()-1)=TRUE),0,IF(MONTH(H295)&lt;&gt;MONTH(H294),M294+1,M294))</f>
        <v>13</v>
      </c>
      <c r="N295">
        <f t="shared" si="27"/>
        <v>134855</v>
      </c>
      <c r="O295">
        <f>IF(AND(MyRowHidden(ROW())=FALSE,MyRowHidden(ROW()-1)=TRUE),0,IF(M295&lt;totalMonths,(totalMonths-M295)/totalMonths *(I295-I294)+O294,0))</f>
        <v>0</v>
      </c>
      <c r="P295">
        <f>IF(AND(MyRowHidden(ROW())=FALSE,MyRowHidden(ROW()-1)=TRUE),0,IF(M295&lt;totalMonths,(totalMonths-M295)/totalMonths *(J295-J294)+P294,0))</f>
        <v>0</v>
      </c>
      <c r="Q295">
        <f>IF(AND(MyRowHidden(ROW())=FALSE,MyRowHidden(ROW()-1)=TRUE),0,IF(M295&lt;totalMonths,(totalMonths-M295)/totalMonths *(K295-K294)+Q294,0))</f>
        <v>0</v>
      </c>
      <c r="R295">
        <f t="shared" si="28"/>
        <v>134855</v>
      </c>
      <c r="S295">
        <f t="shared" si="29"/>
        <v>0</v>
      </c>
    </row>
    <row r="296" spans="1:19" hidden="1" x14ac:dyDescent="0.25">
      <c r="A296" s="1"/>
      <c r="C296" s="1"/>
      <c r="D296" s="1">
        <v>41690</v>
      </c>
      <c r="E296">
        <v>26322</v>
      </c>
      <c r="F296" s="1">
        <v>41690</v>
      </c>
      <c r="G296">
        <v>1912.5</v>
      </c>
      <c r="H296" s="1">
        <f t="shared" si="24"/>
        <v>41690</v>
      </c>
      <c r="I296">
        <f>IF(AND(MyRowHidden(ROW())=FALSE,MyRowHidden(ROW()-1)=TRUE),0,(E296-E295)*unitsOfDHp+I295)</f>
        <v>126805</v>
      </c>
      <c r="J296">
        <f>IF(AND(MyRowHidden(ROW())=FALSE,MyRowHidden(ROW()-1)=TRUE),0,(G296-G295)*unitsOfExo+J295)</f>
        <v>3600</v>
      </c>
      <c r="K296" s="9">
        <f t="shared" si="25"/>
        <v>-3600</v>
      </c>
      <c r="L296">
        <f t="shared" si="26"/>
        <v>130405</v>
      </c>
      <c r="M296">
        <f>IF(AND(MyRowHidden(ROW())=FALSE,MyRowHidden(ROW()-1)=TRUE),0,IF(MONTH(H296)&lt;&gt;MONTH(H295),M295+1,M295))</f>
        <v>13</v>
      </c>
      <c r="N296">
        <f t="shared" si="27"/>
        <v>126805</v>
      </c>
      <c r="O296">
        <f>IF(AND(MyRowHidden(ROW())=FALSE,MyRowHidden(ROW()-1)=TRUE),0,IF(M296&lt;totalMonths,(totalMonths-M296)/totalMonths *(I296-I295)+O295,0))</f>
        <v>0</v>
      </c>
      <c r="P296">
        <f>IF(AND(MyRowHidden(ROW())=FALSE,MyRowHidden(ROW()-1)=TRUE),0,IF(M296&lt;totalMonths,(totalMonths-M296)/totalMonths *(J296-J295)+P295,0))</f>
        <v>0</v>
      </c>
      <c r="Q296">
        <f>IF(AND(MyRowHidden(ROW())=FALSE,MyRowHidden(ROW()-1)=TRUE),0,IF(M296&lt;totalMonths,(totalMonths-M296)/totalMonths *(K296-K295)+Q295,0))</f>
        <v>0</v>
      </c>
      <c r="R296">
        <f t="shared" si="28"/>
        <v>126805</v>
      </c>
      <c r="S296">
        <f t="shared" si="29"/>
        <v>0</v>
      </c>
    </row>
    <row r="297" spans="1:19" hidden="1" x14ac:dyDescent="0.25">
      <c r="A297" s="1"/>
      <c r="C297" s="1"/>
      <c r="D297" s="1">
        <v>41691</v>
      </c>
      <c r="E297">
        <v>26394</v>
      </c>
      <c r="F297" s="1">
        <v>41691</v>
      </c>
      <c r="G297">
        <v>1887.5</v>
      </c>
      <c r="H297" s="1">
        <f t="shared" si="24"/>
        <v>41691</v>
      </c>
      <c r="I297">
        <f>IF(AND(MyRowHidden(ROW())=FALSE,MyRowHidden(ROW()-1)=TRUE),0,(E297-E296)*unitsOfDHp+I296)</f>
        <v>129325</v>
      </c>
      <c r="J297">
        <f>IF(AND(MyRowHidden(ROW())=FALSE,MyRowHidden(ROW()-1)=TRUE),0,(G297-G296)*unitsOfExo+J296)</f>
        <v>-3600</v>
      </c>
      <c r="K297" s="9">
        <f t="shared" si="25"/>
        <v>3600</v>
      </c>
      <c r="L297">
        <f t="shared" si="26"/>
        <v>125725</v>
      </c>
      <c r="M297">
        <f>IF(AND(MyRowHidden(ROW())=FALSE,MyRowHidden(ROW()-1)=TRUE),0,IF(MONTH(H297)&lt;&gt;MONTH(H296),M296+1,M296))</f>
        <v>13</v>
      </c>
      <c r="N297">
        <f t="shared" si="27"/>
        <v>129325</v>
      </c>
      <c r="O297">
        <f>IF(AND(MyRowHidden(ROW())=FALSE,MyRowHidden(ROW()-1)=TRUE),0,IF(M297&lt;totalMonths,(totalMonths-M297)/totalMonths *(I297-I296)+O296,0))</f>
        <v>0</v>
      </c>
      <c r="P297">
        <f>IF(AND(MyRowHidden(ROW())=FALSE,MyRowHidden(ROW()-1)=TRUE),0,IF(M297&lt;totalMonths,(totalMonths-M297)/totalMonths *(J297-J296)+P296,0))</f>
        <v>0</v>
      </c>
      <c r="Q297">
        <f>IF(AND(MyRowHidden(ROW())=FALSE,MyRowHidden(ROW()-1)=TRUE),0,IF(M297&lt;totalMonths,(totalMonths-M297)/totalMonths *(K297-K296)+Q296,0))</f>
        <v>0</v>
      </c>
      <c r="R297">
        <f t="shared" si="28"/>
        <v>129325</v>
      </c>
      <c r="S297">
        <f t="shared" si="29"/>
        <v>0</v>
      </c>
    </row>
    <row r="298" spans="1:19" hidden="1" x14ac:dyDescent="0.25">
      <c r="A298" s="1"/>
      <c r="C298" s="1"/>
      <c r="D298" s="1">
        <v>41694</v>
      </c>
      <c r="E298">
        <v>26961</v>
      </c>
      <c r="F298" s="1">
        <v>41694</v>
      </c>
      <c r="G298">
        <v>1662.5</v>
      </c>
      <c r="H298" s="1">
        <f t="shared" si="24"/>
        <v>41694</v>
      </c>
      <c r="I298">
        <f>IF(AND(MyRowHidden(ROW())=FALSE,MyRowHidden(ROW()-1)=TRUE),0,(E298-E297)*unitsOfDHp+I297)</f>
        <v>149170</v>
      </c>
      <c r="J298">
        <f>IF(AND(MyRowHidden(ROW())=FALSE,MyRowHidden(ROW()-1)=TRUE),0,(G298-G297)*unitsOfExo+J297)</f>
        <v>-68400</v>
      </c>
      <c r="K298" s="9">
        <f t="shared" si="25"/>
        <v>68400</v>
      </c>
      <c r="L298">
        <f t="shared" si="26"/>
        <v>80770</v>
      </c>
      <c r="M298">
        <f>IF(AND(MyRowHidden(ROW())=FALSE,MyRowHidden(ROW()-1)=TRUE),0,IF(MONTH(H298)&lt;&gt;MONTH(H297),M297+1,M297))</f>
        <v>13</v>
      </c>
      <c r="N298">
        <f t="shared" si="27"/>
        <v>149170</v>
      </c>
      <c r="O298">
        <f>IF(AND(MyRowHidden(ROW())=FALSE,MyRowHidden(ROW()-1)=TRUE),0,IF(M298&lt;totalMonths,(totalMonths-M298)/totalMonths *(I298-I297)+O297,0))</f>
        <v>0</v>
      </c>
      <c r="P298">
        <f>IF(AND(MyRowHidden(ROW())=FALSE,MyRowHidden(ROW()-1)=TRUE),0,IF(M298&lt;totalMonths,(totalMonths-M298)/totalMonths *(J298-J297)+P297,0))</f>
        <v>0</v>
      </c>
      <c r="Q298">
        <f>IF(AND(MyRowHidden(ROW())=FALSE,MyRowHidden(ROW()-1)=TRUE),0,IF(M298&lt;totalMonths,(totalMonths-M298)/totalMonths *(K298-K297)+Q297,0))</f>
        <v>0</v>
      </c>
      <c r="R298">
        <f t="shared" si="28"/>
        <v>149170</v>
      </c>
      <c r="S298">
        <f t="shared" si="29"/>
        <v>0</v>
      </c>
    </row>
    <row r="299" spans="1:19" hidden="1" x14ac:dyDescent="0.25">
      <c r="A299" s="1"/>
      <c r="C299" s="1"/>
      <c r="D299" s="1">
        <v>41695</v>
      </c>
      <c r="E299">
        <v>26815</v>
      </c>
      <c r="F299" s="1">
        <v>41695</v>
      </c>
      <c r="G299">
        <v>1787.5</v>
      </c>
      <c r="H299" s="1">
        <f t="shared" si="24"/>
        <v>41695</v>
      </c>
      <c r="I299">
        <f>IF(AND(MyRowHidden(ROW())=FALSE,MyRowHidden(ROW()-1)=TRUE),0,(E299-E298)*unitsOfDHp+I298)</f>
        <v>144060</v>
      </c>
      <c r="J299">
        <f>IF(AND(MyRowHidden(ROW())=FALSE,MyRowHidden(ROW()-1)=TRUE),0,(G299-G298)*unitsOfExo+J298)</f>
        <v>-32400</v>
      </c>
      <c r="K299" s="9">
        <f t="shared" si="25"/>
        <v>32400</v>
      </c>
      <c r="L299">
        <f t="shared" si="26"/>
        <v>111660</v>
      </c>
      <c r="M299">
        <f>IF(AND(MyRowHidden(ROW())=FALSE,MyRowHidden(ROW()-1)=TRUE),0,IF(MONTH(H299)&lt;&gt;MONTH(H298),M298+1,M298))</f>
        <v>13</v>
      </c>
      <c r="N299">
        <f t="shared" si="27"/>
        <v>144060</v>
      </c>
      <c r="O299">
        <f>IF(AND(MyRowHidden(ROW())=FALSE,MyRowHidden(ROW()-1)=TRUE),0,IF(M299&lt;totalMonths,(totalMonths-M299)/totalMonths *(I299-I298)+O298,0))</f>
        <v>0</v>
      </c>
      <c r="P299">
        <f>IF(AND(MyRowHidden(ROW())=FALSE,MyRowHidden(ROW()-1)=TRUE),0,IF(M299&lt;totalMonths,(totalMonths-M299)/totalMonths *(J299-J298)+P298,0))</f>
        <v>0</v>
      </c>
      <c r="Q299">
        <f>IF(AND(MyRowHidden(ROW())=FALSE,MyRowHidden(ROW()-1)=TRUE),0,IF(M299&lt;totalMonths,(totalMonths-M299)/totalMonths *(K299-K298)+Q298,0))</f>
        <v>0</v>
      </c>
      <c r="R299">
        <f t="shared" si="28"/>
        <v>144060</v>
      </c>
      <c r="S299">
        <f t="shared" si="29"/>
        <v>0</v>
      </c>
    </row>
    <row r="300" spans="1:19" hidden="1" x14ac:dyDescent="0.25">
      <c r="A300" s="1"/>
      <c r="C300" s="1"/>
      <c r="D300" s="1">
        <v>41696</v>
      </c>
      <c r="E300">
        <v>26685</v>
      </c>
      <c r="F300" s="1">
        <v>41696</v>
      </c>
      <c r="G300">
        <v>2037.5</v>
      </c>
      <c r="H300" s="1">
        <f t="shared" si="24"/>
        <v>41696</v>
      </c>
      <c r="I300">
        <f>IF(AND(MyRowHidden(ROW())=FALSE,MyRowHidden(ROW()-1)=TRUE),0,(E300-E299)*unitsOfDHp+I299)</f>
        <v>139510</v>
      </c>
      <c r="J300">
        <f>IF(AND(MyRowHidden(ROW())=FALSE,MyRowHidden(ROW()-1)=TRUE),0,(G300-G299)*unitsOfExo+J299)</f>
        <v>39600</v>
      </c>
      <c r="K300" s="9">
        <f t="shared" si="25"/>
        <v>-39600</v>
      </c>
      <c r="L300">
        <f t="shared" si="26"/>
        <v>179110</v>
      </c>
      <c r="M300">
        <f>IF(AND(MyRowHidden(ROW())=FALSE,MyRowHidden(ROW()-1)=TRUE),0,IF(MONTH(H300)&lt;&gt;MONTH(H299),M299+1,M299))</f>
        <v>13</v>
      </c>
      <c r="N300">
        <f t="shared" si="27"/>
        <v>139510</v>
      </c>
      <c r="O300">
        <f>IF(AND(MyRowHidden(ROW())=FALSE,MyRowHidden(ROW()-1)=TRUE),0,IF(M300&lt;totalMonths,(totalMonths-M300)/totalMonths *(I300-I299)+O299,0))</f>
        <v>0</v>
      </c>
      <c r="P300">
        <f>IF(AND(MyRowHidden(ROW())=FALSE,MyRowHidden(ROW()-1)=TRUE),0,IF(M300&lt;totalMonths,(totalMonths-M300)/totalMonths *(J300-J299)+P299,0))</f>
        <v>0</v>
      </c>
      <c r="Q300">
        <f>IF(AND(MyRowHidden(ROW())=FALSE,MyRowHidden(ROW()-1)=TRUE),0,IF(M300&lt;totalMonths,(totalMonths-M300)/totalMonths *(K300-K299)+Q299,0))</f>
        <v>0</v>
      </c>
      <c r="R300">
        <f t="shared" si="28"/>
        <v>139510</v>
      </c>
      <c r="S300">
        <f t="shared" si="29"/>
        <v>0</v>
      </c>
    </row>
    <row r="301" spans="1:19" hidden="1" x14ac:dyDescent="0.25">
      <c r="A301" s="1"/>
      <c r="C301" s="1"/>
      <c r="D301" s="1">
        <v>41697</v>
      </c>
      <c r="E301">
        <v>27079</v>
      </c>
      <c r="F301" s="1">
        <v>41697</v>
      </c>
      <c r="G301">
        <v>1687.5</v>
      </c>
      <c r="H301" s="1">
        <f t="shared" si="24"/>
        <v>41697</v>
      </c>
      <c r="I301">
        <f>IF(AND(MyRowHidden(ROW())=FALSE,MyRowHidden(ROW()-1)=TRUE),0,(E301-E300)*unitsOfDHp+I300)</f>
        <v>153300</v>
      </c>
      <c r="J301">
        <f>IF(AND(MyRowHidden(ROW())=FALSE,MyRowHidden(ROW()-1)=TRUE),0,(G301-G300)*unitsOfExo+J300)</f>
        <v>-61200</v>
      </c>
      <c r="K301" s="9">
        <f t="shared" si="25"/>
        <v>61200</v>
      </c>
      <c r="L301">
        <f t="shared" si="26"/>
        <v>92100</v>
      </c>
      <c r="M301">
        <f>IF(AND(MyRowHidden(ROW())=FALSE,MyRowHidden(ROW()-1)=TRUE),0,IF(MONTH(H301)&lt;&gt;MONTH(H300),M300+1,M300))</f>
        <v>13</v>
      </c>
      <c r="N301">
        <f t="shared" si="27"/>
        <v>153300</v>
      </c>
      <c r="O301">
        <f>IF(AND(MyRowHidden(ROW())=FALSE,MyRowHidden(ROW()-1)=TRUE),0,IF(M301&lt;totalMonths,(totalMonths-M301)/totalMonths *(I301-I300)+O300,0))</f>
        <v>0</v>
      </c>
      <c r="P301">
        <f>IF(AND(MyRowHidden(ROW())=FALSE,MyRowHidden(ROW()-1)=TRUE),0,IF(M301&lt;totalMonths,(totalMonths-M301)/totalMonths *(J301-J300)+P300,0))</f>
        <v>0</v>
      </c>
      <c r="Q301">
        <f>IF(AND(MyRowHidden(ROW())=FALSE,MyRowHidden(ROW()-1)=TRUE),0,IF(M301&lt;totalMonths,(totalMonths-M301)/totalMonths *(K301-K300)+Q300,0))</f>
        <v>0</v>
      </c>
      <c r="R301">
        <f t="shared" si="28"/>
        <v>153300</v>
      </c>
      <c r="S301">
        <f t="shared" si="29"/>
        <v>0</v>
      </c>
    </row>
    <row r="302" spans="1:19" hidden="1" x14ac:dyDescent="0.25">
      <c r="A302" s="1"/>
      <c r="C302" s="1"/>
      <c r="D302" s="1">
        <v>41698</v>
      </c>
      <c r="E302">
        <v>26858</v>
      </c>
      <c r="F302" s="1">
        <v>41698</v>
      </c>
      <c r="G302">
        <v>2025</v>
      </c>
      <c r="H302" s="1">
        <f t="shared" si="24"/>
        <v>41698</v>
      </c>
      <c r="I302">
        <f>IF(AND(MyRowHidden(ROW())=FALSE,MyRowHidden(ROW()-1)=TRUE),0,(E302-E301)*unitsOfDHp+I301)</f>
        <v>145565</v>
      </c>
      <c r="J302">
        <f>IF(AND(MyRowHidden(ROW())=FALSE,MyRowHidden(ROW()-1)=TRUE),0,(G302-G301)*unitsOfExo+J301)</f>
        <v>36000</v>
      </c>
      <c r="K302" s="9">
        <f t="shared" si="25"/>
        <v>-36000</v>
      </c>
      <c r="L302">
        <f t="shared" si="26"/>
        <v>181565</v>
      </c>
      <c r="M302">
        <f>IF(AND(MyRowHidden(ROW())=FALSE,MyRowHidden(ROW()-1)=TRUE),0,IF(MONTH(H302)&lt;&gt;MONTH(H301),M301+1,M301))</f>
        <v>13</v>
      </c>
      <c r="N302">
        <f t="shared" si="27"/>
        <v>145565</v>
      </c>
      <c r="O302">
        <f>IF(AND(MyRowHidden(ROW())=FALSE,MyRowHidden(ROW()-1)=TRUE),0,IF(M302&lt;totalMonths,(totalMonths-M302)/totalMonths *(I302-I301)+O301,0))</f>
        <v>0</v>
      </c>
      <c r="P302">
        <f>IF(AND(MyRowHidden(ROW())=FALSE,MyRowHidden(ROW()-1)=TRUE),0,IF(M302&lt;totalMonths,(totalMonths-M302)/totalMonths *(J302-J301)+P301,0))</f>
        <v>0</v>
      </c>
      <c r="Q302">
        <f>IF(AND(MyRowHidden(ROW())=FALSE,MyRowHidden(ROW()-1)=TRUE),0,IF(M302&lt;totalMonths,(totalMonths-M302)/totalMonths *(K302-K301)+Q301,0))</f>
        <v>0</v>
      </c>
      <c r="R302">
        <f t="shared" si="28"/>
        <v>145565</v>
      </c>
      <c r="S302">
        <f t="shared" si="29"/>
        <v>0</v>
      </c>
    </row>
    <row r="303" spans="1:19" hidden="1" x14ac:dyDescent="0.25">
      <c r="A303" s="1"/>
      <c r="C303" s="1"/>
      <c r="D303" s="1">
        <v>41701</v>
      </c>
      <c r="E303">
        <v>26861</v>
      </c>
      <c r="F303" s="1">
        <v>41701</v>
      </c>
      <c r="G303">
        <v>2162.5</v>
      </c>
      <c r="H303" s="1">
        <f t="shared" si="24"/>
        <v>41701</v>
      </c>
      <c r="I303">
        <f>IF(AND(MyRowHidden(ROW())=FALSE,MyRowHidden(ROW()-1)=TRUE),0,(E303-E302)*unitsOfDHp+I302)</f>
        <v>145670</v>
      </c>
      <c r="J303">
        <f>IF(AND(MyRowHidden(ROW())=FALSE,MyRowHidden(ROW()-1)=TRUE),0,(G303-G302)*unitsOfExo+J302)</f>
        <v>75600</v>
      </c>
      <c r="K303" s="9">
        <f t="shared" si="25"/>
        <v>-75600</v>
      </c>
      <c r="L303">
        <f t="shared" si="26"/>
        <v>221270</v>
      </c>
      <c r="M303">
        <f>IF(AND(MyRowHidden(ROW())=FALSE,MyRowHidden(ROW()-1)=TRUE),0,IF(MONTH(H303)&lt;&gt;MONTH(H302),M302+1,M302))</f>
        <v>14</v>
      </c>
      <c r="N303">
        <f t="shared" si="27"/>
        <v>145670</v>
      </c>
      <c r="O303">
        <f>IF(AND(MyRowHidden(ROW())=FALSE,MyRowHidden(ROW()-1)=TRUE),0,IF(M303&lt;totalMonths,(totalMonths-M303)/totalMonths *(I303-I302)+O302,0))</f>
        <v>0</v>
      </c>
      <c r="P303">
        <f>IF(AND(MyRowHidden(ROW())=FALSE,MyRowHidden(ROW()-1)=TRUE),0,IF(M303&lt;totalMonths,(totalMonths-M303)/totalMonths *(J303-J302)+P302,0))</f>
        <v>0</v>
      </c>
      <c r="Q303">
        <f>IF(AND(MyRowHidden(ROW())=FALSE,MyRowHidden(ROW()-1)=TRUE),0,IF(M303&lt;totalMonths,(totalMonths-M303)/totalMonths *(K303-K302)+Q302,0))</f>
        <v>0</v>
      </c>
      <c r="R303">
        <f t="shared" si="28"/>
        <v>145670</v>
      </c>
      <c r="S303">
        <f t="shared" si="29"/>
        <v>0</v>
      </c>
    </row>
    <row r="304" spans="1:19" hidden="1" x14ac:dyDescent="0.25">
      <c r="A304" s="1"/>
      <c r="C304" s="1"/>
      <c r="D304" s="1">
        <v>41702</v>
      </c>
      <c r="E304">
        <v>25795</v>
      </c>
      <c r="F304" s="1">
        <v>41702</v>
      </c>
      <c r="G304">
        <v>2800</v>
      </c>
      <c r="H304" s="1">
        <f t="shared" si="24"/>
        <v>41702</v>
      </c>
      <c r="I304">
        <f>IF(AND(MyRowHidden(ROW())=FALSE,MyRowHidden(ROW()-1)=TRUE),0,(E304-E303)*unitsOfDHp+I303)</f>
        <v>108360</v>
      </c>
      <c r="J304">
        <f>IF(AND(MyRowHidden(ROW())=FALSE,MyRowHidden(ROW()-1)=TRUE),0,(G304-G303)*unitsOfExo+J303)</f>
        <v>259200</v>
      </c>
      <c r="K304" s="9">
        <f t="shared" si="25"/>
        <v>-259200</v>
      </c>
      <c r="L304">
        <f t="shared" si="26"/>
        <v>367560</v>
      </c>
      <c r="M304">
        <f>IF(AND(MyRowHidden(ROW())=FALSE,MyRowHidden(ROW()-1)=TRUE),0,IF(MONTH(H304)&lt;&gt;MONTH(H303),M303+1,M303))</f>
        <v>14</v>
      </c>
      <c r="N304">
        <f t="shared" si="27"/>
        <v>108360</v>
      </c>
      <c r="O304">
        <f>IF(AND(MyRowHidden(ROW())=FALSE,MyRowHidden(ROW()-1)=TRUE),0,IF(M304&lt;totalMonths,(totalMonths-M304)/totalMonths *(I304-I303)+O303,0))</f>
        <v>0</v>
      </c>
      <c r="P304">
        <f>IF(AND(MyRowHidden(ROW())=FALSE,MyRowHidden(ROW()-1)=TRUE),0,IF(M304&lt;totalMonths,(totalMonths-M304)/totalMonths *(J304-J303)+P303,0))</f>
        <v>0</v>
      </c>
      <c r="Q304">
        <f>IF(AND(MyRowHidden(ROW())=FALSE,MyRowHidden(ROW()-1)=TRUE),0,IF(M304&lt;totalMonths,(totalMonths-M304)/totalMonths *(K304-K303)+Q303,0))</f>
        <v>0</v>
      </c>
      <c r="R304">
        <f t="shared" si="28"/>
        <v>108360</v>
      </c>
      <c r="S304">
        <f t="shared" si="29"/>
        <v>0</v>
      </c>
    </row>
    <row r="305" spans="1:19" hidden="1" x14ac:dyDescent="0.25">
      <c r="A305" s="1"/>
      <c r="C305" s="1"/>
      <c r="D305" s="1">
        <v>41703</v>
      </c>
      <c r="E305">
        <v>25768</v>
      </c>
      <c r="F305" s="1">
        <v>41703</v>
      </c>
      <c r="G305">
        <v>2850</v>
      </c>
      <c r="H305" s="1">
        <f t="shared" si="24"/>
        <v>41703</v>
      </c>
      <c r="I305">
        <f>IF(AND(MyRowHidden(ROW())=FALSE,MyRowHidden(ROW()-1)=TRUE),0,(E305-E304)*unitsOfDHp+I304)</f>
        <v>107415</v>
      </c>
      <c r="J305">
        <f>IF(AND(MyRowHidden(ROW())=FALSE,MyRowHidden(ROW()-1)=TRUE),0,(G305-G304)*unitsOfExo+J304)</f>
        <v>273600</v>
      </c>
      <c r="K305" s="9">
        <f t="shared" si="25"/>
        <v>-273600</v>
      </c>
      <c r="L305">
        <f t="shared" si="26"/>
        <v>381015</v>
      </c>
      <c r="M305">
        <f>IF(AND(MyRowHidden(ROW())=FALSE,MyRowHidden(ROW()-1)=TRUE),0,IF(MONTH(H305)&lt;&gt;MONTH(H304),M304+1,M304))</f>
        <v>14</v>
      </c>
      <c r="N305">
        <f t="shared" si="27"/>
        <v>107415</v>
      </c>
      <c r="O305">
        <f>IF(AND(MyRowHidden(ROW())=FALSE,MyRowHidden(ROW()-1)=TRUE),0,IF(M305&lt;totalMonths,(totalMonths-M305)/totalMonths *(I305-I304)+O304,0))</f>
        <v>0</v>
      </c>
      <c r="P305">
        <f>IF(AND(MyRowHidden(ROW())=FALSE,MyRowHidden(ROW()-1)=TRUE),0,IF(M305&lt;totalMonths,(totalMonths-M305)/totalMonths *(J305-J304)+P304,0))</f>
        <v>0</v>
      </c>
      <c r="Q305">
        <f>IF(AND(MyRowHidden(ROW())=FALSE,MyRowHidden(ROW()-1)=TRUE),0,IF(M305&lt;totalMonths,(totalMonths-M305)/totalMonths *(K305-K304)+Q304,0))</f>
        <v>0</v>
      </c>
      <c r="R305">
        <f t="shared" si="28"/>
        <v>107415</v>
      </c>
      <c r="S305">
        <f t="shared" si="29"/>
        <v>0</v>
      </c>
    </row>
    <row r="306" spans="1:19" hidden="1" x14ac:dyDescent="0.25">
      <c r="A306" s="1"/>
      <c r="C306" s="1"/>
      <c r="D306" s="1">
        <v>41704</v>
      </c>
      <c r="E306">
        <v>25250</v>
      </c>
      <c r="F306" s="1">
        <v>41704</v>
      </c>
      <c r="G306">
        <v>3512.5</v>
      </c>
      <c r="H306" s="1">
        <f t="shared" si="24"/>
        <v>41704</v>
      </c>
      <c r="I306">
        <f>IF(AND(MyRowHidden(ROW())=FALSE,MyRowHidden(ROW()-1)=TRUE),0,(E306-E305)*unitsOfDHp+I305)</f>
        <v>89285</v>
      </c>
      <c r="J306">
        <f>IF(AND(MyRowHidden(ROW())=FALSE,MyRowHidden(ROW()-1)=TRUE),0,(G306-G305)*unitsOfExo+J305)</f>
        <v>464400</v>
      </c>
      <c r="K306" s="9">
        <f t="shared" si="25"/>
        <v>-464400</v>
      </c>
      <c r="L306">
        <f t="shared" si="26"/>
        <v>553685</v>
      </c>
      <c r="M306">
        <f>IF(AND(MyRowHidden(ROW())=FALSE,MyRowHidden(ROW()-1)=TRUE),0,IF(MONTH(H306)&lt;&gt;MONTH(H305),M305+1,M305))</f>
        <v>14</v>
      </c>
      <c r="N306">
        <f t="shared" si="27"/>
        <v>89285</v>
      </c>
      <c r="O306">
        <f>IF(AND(MyRowHidden(ROW())=FALSE,MyRowHidden(ROW()-1)=TRUE),0,IF(M306&lt;totalMonths,(totalMonths-M306)/totalMonths *(I306-I305)+O305,0))</f>
        <v>0</v>
      </c>
      <c r="P306">
        <f>IF(AND(MyRowHidden(ROW())=FALSE,MyRowHidden(ROW()-1)=TRUE),0,IF(M306&lt;totalMonths,(totalMonths-M306)/totalMonths *(J306-J305)+P305,0))</f>
        <v>0</v>
      </c>
      <c r="Q306">
        <f>IF(AND(MyRowHidden(ROW())=FALSE,MyRowHidden(ROW()-1)=TRUE),0,IF(M306&lt;totalMonths,(totalMonths-M306)/totalMonths *(K306-K305)+Q305,0))</f>
        <v>0</v>
      </c>
      <c r="R306">
        <f t="shared" si="28"/>
        <v>89285</v>
      </c>
      <c r="S306">
        <f t="shared" si="29"/>
        <v>0</v>
      </c>
    </row>
    <row r="307" spans="1:19" hidden="1" x14ac:dyDescent="0.25">
      <c r="A307" s="1"/>
      <c r="C307" s="1"/>
      <c r="D307" s="1">
        <v>41705</v>
      </c>
      <c r="E307">
        <v>25264</v>
      </c>
      <c r="F307" s="1">
        <v>41705</v>
      </c>
      <c r="G307">
        <v>3275</v>
      </c>
      <c r="H307" s="1">
        <f t="shared" si="24"/>
        <v>41705</v>
      </c>
      <c r="I307">
        <f>IF(AND(MyRowHidden(ROW())=FALSE,MyRowHidden(ROW()-1)=TRUE),0,(E307-E306)*unitsOfDHp+I306)</f>
        <v>89775</v>
      </c>
      <c r="J307">
        <f>IF(AND(MyRowHidden(ROW())=FALSE,MyRowHidden(ROW()-1)=TRUE),0,(G307-G306)*unitsOfExo+J306)</f>
        <v>396000</v>
      </c>
      <c r="K307" s="9">
        <f t="shared" si="25"/>
        <v>-396000</v>
      </c>
      <c r="L307">
        <f t="shared" si="26"/>
        <v>485775</v>
      </c>
      <c r="M307">
        <f>IF(AND(MyRowHidden(ROW())=FALSE,MyRowHidden(ROW()-1)=TRUE),0,IF(MONTH(H307)&lt;&gt;MONTH(H306),M306+1,M306))</f>
        <v>14</v>
      </c>
      <c r="N307">
        <f t="shared" si="27"/>
        <v>89775</v>
      </c>
      <c r="O307">
        <f>IF(AND(MyRowHidden(ROW())=FALSE,MyRowHidden(ROW()-1)=TRUE),0,IF(M307&lt;totalMonths,(totalMonths-M307)/totalMonths *(I307-I306)+O306,0))</f>
        <v>0</v>
      </c>
      <c r="P307">
        <f>IF(AND(MyRowHidden(ROW())=FALSE,MyRowHidden(ROW()-1)=TRUE),0,IF(M307&lt;totalMonths,(totalMonths-M307)/totalMonths *(J307-J306)+P306,0))</f>
        <v>0</v>
      </c>
      <c r="Q307">
        <f>IF(AND(MyRowHidden(ROW())=FALSE,MyRowHidden(ROW()-1)=TRUE),0,IF(M307&lt;totalMonths,(totalMonths-M307)/totalMonths *(K307-K306)+Q306,0))</f>
        <v>0</v>
      </c>
      <c r="R307">
        <f t="shared" si="28"/>
        <v>89775</v>
      </c>
      <c r="S307">
        <f t="shared" si="29"/>
        <v>0</v>
      </c>
    </row>
    <row r="308" spans="1:19" hidden="1" x14ac:dyDescent="0.25">
      <c r="A308" s="1"/>
      <c r="C308" s="1"/>
      <c r="D308" s="1">
        <v>41708</v>
      </c>
      <c r="E308">
        <v>26188</v>
      </c>
      <c r="F308" s="1">
        <v>41708</v>
      </c>
      <c r="G308">
        <v>2775</v>
      </c>
      <c r="H308" s="1">
        <f t="shared" si="24"/>
        <v>41708</v>
      </c>
      <c r="I308">
        <f>IF(AND(MyRowHidden(ROW())=FALSE,MyRowHidden(ROW()-1)=TRUE),0,(E308-E307)*unitsOfDHp+I307)</f>
        <v>122115</v>
      </c>
      <c r="J308">
        <f>IF(AND(MyRowHidden(ROW())=FALSE,MyRowHidden(ROW()-1)=TRUE),0,(G308-G307)*unitsOfExo+J307)</f>
        <v>252000</v>
      </c>
      <c r="K308" s="9">
        <f t="shared" si="25"/>
        <v>-252000</v>
      </c>
      <c r="L308">
        <f t="shared" si="26"/>
        <v>374115</v>
      </c>
      <c r="M308">
        <f>IF(AND(MyRowHidden(ROW())=FALSE,MyRowHidden(ROW()-1)=TRUE),0,IF(MONTH(H308)&lt;&gt;MONTH(H307),M307+1,M307))</f>
        <v>14</v>
      </c>
      <c r="N308">
        <f t="shared" si="27"/>
        <v>122115</v>
      </c>
      <c r="O308">
        <f>IF(AND(MyRowHidden(ROW())=FALSE,MyRowHidden(ROW()-1)=TRUE),0,IF(M308&lt;totalMonths,(totalMonths-M308)/totalMonths *(I308-I307)+O307,0))</f>
        <v>0</v>
      </c>
      <c r="P308">
        <f>IF(AND(MyRowHidden(ROW())=FALSE,MyRowHidden(ROW()-1)=TRUE),0,IF(M308&lt;totalMonths,(totalMonths-M308)/totalMonths *(J308-J307)+P307,0))</f>
        <v>0</v>
      </c>
      <c r="Q308">
        <f>IF(AND(MyRowHidden(ROW())=FALSE,MyRowHidden(ROW()-1)=TRUE),0,IF(M308&lt;totalMonths,(totalMonths-M308)/totalMonths *(K308-K307)+Q307,0))</f>
        <v>0</v>
      </c>
      <c r="R308">
        <f t="shared" si="28"/>
        <v>122115</v>
      </c>
      <c r="S308">
        <f t="shared" si="29"/>
        <v>0</v>
      </c>
    </row>
    <row r="309" spans="1:19" hidden="1" x14ac:dyDescent="0.25">
      <c r="A309" s="1"/>
      <c r="C309" s="1"/>
      <c r="D309" s="1">
        <v>41709</v>
      </c>
      <c r="E309">
        <v>25979</v>
      </c>
      <c r="F309" s="1">
        <v>41709</v>
      </c>
      <c r="G309">
        <v>3025</v>
      </c>
      <c r="H309" s="1">
        <f t="shared" si="24"/>
        <v>41709</v>
      </c>
      <c r="I309">
        <f>IF(AND(MyRowHidden(ROW())=FALSE,MyRowHidden(ROW()-1)=TRUE),0,(E309-E308)*unitsOfDHp+I308)</f>
        <v>114800</v>
      </c>
      <c r="J309">
        <f>IF(AND(MyRowHidden(ROW())=FALSE,MyRowHidden(ROW()-1)=TRUE),0,(G309-G308)*unitsOfExo+J308)</f>
        <v>324000</v>
      </c>
      <c r="K309" s="9">
        <f t="shared" si="25"/>
        <v>-324000</v>
      </c>
      <c r="L309">
        <f t="shared" si="26"/>
        <v>438800</v>
      </c>
      <c r="M309">
        <f>IF(AND(MyRowHidden(ROW())=FALSE,MyRowHidden(ROW()-1)=TRUE),0,IF(MONTH(H309)&lt;&gt;MONTH(H308),M308+1,M308))</f>
        <v>14</v>
      </c>
      <c r="N309">
        <f t="shared" si="27"/>
        <v>114800</v>
      </c>
      <c r="O309">
        <f>IF(AND(MyRowHidden(ROW())=FALSE,MyRowHidden(ROW()-1)=TRUE),0,IF(M309&lt;totalMonths,(totalMonths-M309)/totalMonths *(I309-I308)+O308,0))</f>
        <v>0</v>
      </c>
      <c r="P309">
        <f>IF(AND(MyRowHidden(ROW())=FALSE,MyRowHidden(ROW()-1)=TRUE),0,IF(M309&lt;totalMonths,(totalMonths-M309)/totalMonths *(J309-J308)+P308,0))</f>
        <v>0</v>
      </c>
      <c r="Q309">
        <f>IF(AND(MyRowHidden(ROW())=FALSE,MyRowHidden(ROW()-1)=TRUE),0,IF(M309&lt;totalMonths,(totalMonths-M309)/totalMonths *(K309-K308)+Q308,0))</f>
        <v>0</v>
      </c>
      <c r="R309">
        <f t="shared" si="28"/>
        <v>114800</v>
      </c>
      <c r="S309">
        <f t="shared" si="29"/>
        <v>0</v>
      </c>
    </row>
    <row r="310" spans="1:19" hidden="1" x14ac:dyDescent="0.25">
      <c r="A310" s="1"/>
      <c r="C310" s="1"/>
      <c r="D310" s="1">
        <v>41710</v>
      </c>
      <c r="E310">
        <v>25974</v>
      </c>
      <c r="F310" s="1">
        <v>41710</v>
      </c>
      <c r="G310">
        <v>3350</v>
      </c>
      <c r="H310" s="1">
        <f t="shared" si="24"/>
        <v>41710</v>
      </c>
      <c r="I310">
        <f>IF(AND(MyRowHidden(ROW())=FALSE,MyRowHidden(ROW()-1)=TRUE),0,(E310-E309)*unitsOfDHp+I309)</f>
        <v>114625</v>
      </c>
      <c r="J310">
        <f>IF(AND(MyRowHidden(ROW())=FALSE,MyRowHidden(ROW()-1)=TRUE),0,(G310-G309)*unitsOfExo+J309)</f>
        <v>417600</v>
      </c>
      <c r="K310" s="9">
        <f t="shared" si="25"/>
        <v>-417600</v>
      </c>
      <c r="L310">
        <f t="shared" si="26"/>
        <v>532225</v>
      </c>
      <c r="M310">
        <f>IF(AND(MyRowHidden(ROW())=FALSE,MyRowHidden(ROW()-1)=TRUE),0,IF(MONTH(H310)&lt;&gt;MONTH(H309),M309+1,M309))</f>
        <v>14</v>
      </c>
      <c r="N310">
        <f t="shared" si="27"/>
        <v>114625</v>
      </c>
      <c r="O310">
        <f>IF(AND(MyRowHidden(ROW())=FALSE,MyRowHidden(ROW()-1)=TRUE),0,IF(M310&lt;totalMonths,(totalMonths-M310)/totalMonths *(I310-I309)+O309,0))</f>
        <v>0</v>
      </c>
      <c r="P310">
        <f>IF(AND(MyRowHidden(ROW())=FALSE,MyRowHidden(ROW()-1)=TRUE),0,IF(M310&lt;totalMonths,(totalMonths-M310)/totalMonths *(J310-J309)+P309,0))</f>
        <v>0</v>
      </c>
      <c r="Q310">
        <f>IF(AND(MyRowHidden(ROW())=FALSE,MyRowHidden(ROW()-1)=TRUE),0,IF(M310&lt;totalMonths,(totalMonths-M310)/totalMonths *(K310-K309)+Q309,0))</f>
        <v>0</v>
      </c>
      <c r="R310">
        <f t="shared" si="28"/>
        <v>114625</v>
      </c>
      <c r="S310">
        <f t="shared" si="29"/>
        <v>0</v>
      </c>
    </row>
    <row r="311" spans="1:19" hidden="1" x14ac:dyDescent="0.25">
      <c r="A311" s="1"/>
      <c r="C311" s="1"/>
      <c r="D311" s="1">
        <v>41711</v>
      </c>
      <c r="E311">
        <v>25991</v>
      </c>
      <c r="F311" s="1">
        <v>41711</v>
      </c>
      <c r="G311">
        <v>3312.5</v>
      </c>
      <c r="H311" s="1">
        <f t="shared" si="24"/>
        <v>41711</v>
      </c>
      <c r="I311">
        <f>IF(AND(MyRowHidden(ROW())=FALSE,MyRowHidden(ROW()-1)=TRUE),0,(E311-E310)*unitsOfDHp+I310)</f>
        <v>115220</v>
      </c>
      <c r="J311">
        <f>IF(AND(MyRowHidden(ROW())=FALSE,MyRowHidden(ROW()-1)=TRUE),0,(G311-G310)*unitsOfExo+J310)</f>
        <v>406800</v>
      </c>
      <c r="K311" s="9">
        <f t="shared" si="25"/>
        <v>-406800</v>
      </c>
      <c r="L311">
        <f t="shared" si="26"/>
        <v>522020</v>
      </c>
      <c r="M311">
        <f>IF(AND(MyRowHidden(ROW())=FALSE,MyRowHidden(ROW()-1)=TRUE),0,IF(MONTH(H311)&lt;&gt;MONTH(H310),M310+1,M310))</f>
        <v>14</v>
      </c>
      <c r="N311">
        <f t="shared" si="27"/>
        <v>115220</v>
      </c>
      <c r="O311">
        <f>IF(AND(MyRowHidden(ROW())=FALSE,MyRowHidden(ROW()-1)=TRUE),0,IF(M311&lt;totalMonths,(totalMonths-M311)/totalMonths *(I311-I310)+O310,0))</f>
        <v>0</v>
      </c>
      <c r="P311">
        <f>IF(AND(MyRowHidden(ROW())=FALSE,MyRowHidden(ROW()-1)=TRUE),0,IF(M311&lt;totalMonths,(totalMonths-M311)/totalMonths *(J311-J310)+P310,0))</f>
        <v>0</v>
      </c>
      <c r="Q311">
        <f>IF(AND(MyRowHidden(ROW())=FALSE,MyRowHidden(ROW()-1)=TRUE),0,IF(M311&lt;totalMonths,(totalMonths-M311)/totalMonths *(K311-K310)+Q310,0))</f>
        <v>0</v>
      </c>
      <c r="R311">
        <f t="shared" si="28"/>
        <v>115220</v>
      </c>
      <c r="S311">
        <f t="shared" si="29"/>
        <v>0</v>
      </c>
    </row>
    <row r="312" spans="1:19" hidden="1" x14ac:dyDescent="0.25">
      <c r="A312" s="1"/>
      <c r="C312" s="1"/>
      <c r="D312" s="1">
        <v>41712</v>
      </c>
      <c r="E312">
        <v>26158</v>
      </c>
      <c r="F312" s="1">
        <v>41712</v>
      </c>
      <c r="G312">
        <v>3112.5</v>
      </c>
      <c r="H312" s="1">
        <f t="shared" si="24"/>
        <v>41712</v>
      </c>
      <c r="I312">
        <f>IF(AND(MyRowHidden(ROW())=FALSE,MyRowHidden(ROW()-1)=TRUE),0,(E312-E311)*unitsOfDHp+I311)</f>
        <v>121065</v>
      </c>
      <c r="J312">
        <f>IF(AND(MyRowHidden(ROW())=FALSE,MyRowHidden(ROW()-1)=TRUE),0,(G312-G311)*unitsOfExo+J311)</f>
        <v>349200</v>
      </c>
      <c r="K312" s="9">
        <f t="shared" si="25"/>
        <v>-349200</v>
      </c>
      <c r="L312">
        <f t="shared" si="26"/>
        <v>470265</v>
      </c>
      <c r="M312">
        <f>IF(AND(MyRowHidden(ROW())=FALSE,MyRowHidden(ROW()-1)=TRUE),0,IF(MONTH(H312)&lt;&gt;MONTH(H311),M311+1,M311))</f>
        <v>14</v>
      </c>
      <c r="N312">
        <f t="shared" si="27"/>
        <v>121065</v>
      </c>
      <c r="O312">
        <f>IF(AND(MyRowHidden(ROW())=FALSE,MyRowHidden(ROW()-1)=TRUE),0,IF(M312&lt;totalMonths,(totalMonths-M312)/totalMonths *(I312-I311)+O311,0))</f>
        <v>0</v>
      </c>
      <c r="P312">
        <f>IF(AND(MyRowHidden(ROW())=FALSE,MyRowHidden(ROW()-1)=TRUE),0,IF(M312&lt;totalMonths,(totalMonths-M312)/totalMonths *(J312-J311)+P311,0))</f>
        <v>0</v>
      </c>
      <c r="Q312">
        <f>IF(AND(MyRowHidden(ROW())=FALSE,MyRowHidden(ROW()-1)=TRUE),0,IF(M312&lt;totalMonths,(totalMonths-M312)/totalMonths *(K312-K311)+Q311,0))</f>
        <v>0</v>
      </c>
      <c r="R312">
        <f t="shared" si="28"/>
        <v>121065</v>
      </c>
      <c r="S312">
        <f t="shared" si="29"/>
        <v>0</v>
      </c>
    </row>
    <row r="313" spans="1:19" hidden="1" x14ac:dyDescent="0.25">
      <c r="A313" s="1"/>
      <c r="C313" s="1"/>
      <c r="D313" s="1">
        <v>41715</v>
      </c>
      <c r="E313">
        <v>26214</v>
      </c>
      <c r="F313" s="1">
        <v>41715</v>
      </c>
      <c r="G313">
        <v>3012.5</v>
      </c>
      <c r="H313" s="1">
        <f t="shared" si="24"/>
        <v>41715</v>
      </c>
      <c r="I313">
        <f>IF(AND(MyRowHidden(ROW())=FALSE,MyRowHidden(ROW()-1)=TRUE),0,(E313-E312)*unitsOfDHp+I312)</f>
        <v>123025</v>
      </c>
      <c r="J313">
        <f>IF(AND(MyRowHidden(ROW())=FALSE,MyRowHidden(ROW()-1)=TRUE),0,(G313-G312)*unitsOfExo+J312)</f>
        <v>320400</v>
      </c>
      <c r="K313" s="9">
        <f t="shared" si="25"/>
        <v>-320400</v>
      </c>
      <c r="L313">
        <f t="shared" si="26"/>
        <v>443425</v>
      </c>
      <c r="M313">
        <f>IF(AND(MyRowHidden(ROW())=FALSE,MyRowHidden(ROW()-1)=TRUE),0,IF(MONTH(H313)&lt;&gt;MONTH(H312),M312+1,M312))</f>
        <v>14</v>
      </c>
      <c r="N313">
        <f t="shared" si="27"/>
        <v>123025</v>
      </c>
      <c r="O313">
        <f>IF(AND(MyRowHidden(ROW())=FALSE,MyRowHidden(ROW()-1)=TRUE),0,IF(M313&lt;totalMonths,(totalMonths-M313)/totalMonths *(I313-I312)+O312,0))</f>
        <v>0</v>
      </c>
      <c r="P313">
        <f>IF(AND(MyRowHidden(ROW())=FALSE,MyRowHidden(ROW()-1)=TRUE),0,IF(M313&lt;totalMonths,(totalMonths-M313)/totalMonths *(J313-J312)+P312,0))</f>
        <v>0</v>
      </c>
      <c r="Q313">
        <f>IF(AND(MyRowHidden(ROW())=FALSE,MyRowHidden(ROW()-1)=TRUE),0,IF(M313&lt;totalMonths,(totalMonths-M313)/totalMonths *(K313-K312)+Q312,0))</f>
        <v>0</v>
      </c>
      <c r="R313">
        <f t="shared" si="28"/>
        <v>123025</v>
      </c>
      <c r="S313">
        <f t="shared" si="29"/>
        <v>0</v>
      </c>
    </row>
    <row r="314" spans="1:19" hidden="1" x14ac:dyDescent="0.25">
      <c r="A314" s="1"/>
      <c r="C314" s="1"/>
      <c r="D314" s="1">
        <v>41716</v>
      </c>
      <c r="E314">
        <v>25941</v>
      </c>
      <c r="F314" s="1">
        <v>41716</v>
      </c>
      <c r="G314">
        <v>3325</v>
      </c>
      <c r="H314" s="1">
        <f t="shared" si="24"/>
        <v>41716</v>
      </c>
      <c r="I314">
        <f>IF(AND(MyRowHidden(ROW())=FALSE,MyRowHidden(ROW()-1)=TRUE),0,(E314-E313)*unitsOfDHp+I313)</f>
        <v>113470</v>
      </c>
      <c r="J314">
        <f>IF(AND(MyRowHidden(ROW())=FALSE,MyRowHidden(ROW()-1)=TRUE),0,(G314-G313)*unitsOfExo+J313)</f>
        <v>410400</v>
      </c>
      <c r="K314" s="9">
        <f t="shared" si="25"/>
        <v>-410400</v>
      </c>
      <c r="L314">
        <f t="shared" si="26"/>
        <v>523870</v>
      </c>
      <c r="M314">
        <f>IF(AND(MyRowHidden(ROW())=FALSE,MyRowHidden(ROW()-1)=TRUE),0,IF(MONTH(H314)&lt;&gt;MONTH(H313),M313+1,M313))</f>
        <v>14</v>
      </c>
      <c r="N314">
        <f t="shared" si="27"/>
        <v>113470</v>
      </c>
      <c r="O314">
        <f>IF(AND(MyRowHidden(ROW())=FALSE,MyRowHidden(ROW()-1)=TRUE),0,IF(M314&lt;totalMonths,(totalMonths-M314)/totalMonths *(I314-I313)+O313,0))</f>
        <v>0</v>
      </c>
      <c r="P314">
        <f>IF(AND(MyRowHidden(ROW())=FALSE,MyRowHidden(ROW()-1)=TRUE),0,IF(M314&lt;totalMonths,(totalMonths-M314)/totalMonths *(J314-J313)+P313,0))</f>
        <v>0</v>
      </c>
      <c r="Q314">
        <f>IF(AND(MyRowHidden(ROW())=FALSE,MyRowHidden(ROW()-1)=TRUE),0,IF(M314&lt;totalMonths,(totalMonths-M314)/totalMonths *(K314-K313)+Q313,0))</f>
        <v>0</v>
      </c>
      <c r="R314">
        <f t="shared" si="28"/>
        <v>113470</v>
      </c>
      <c r="S314">
        <f t="shared" si="29"/>
        <v>0</v>
      </c>
    </row>
    <row r="315" spans="1:19" hidden="1" x14ac:dyDescent="0.25">
      <c r="A315" s="1"/>
      <c r="C315" s="1"/>
      <c r="D315" s="1">
        <v>41717</v>
      </c>
      <c r="E315">
        <v>25888</v>
      </c>
      <c r="F315" s="1">
        <v>41717</v>
      </c>
      <c r="G315">
        <v>3487.5</v>
      </c>
      <c r="H315" s="1">
        <f t="shared" si="24"/>
        <v>41717</v>
      </c>
      <c r="I315">
        <f>IF(AND(MyRowHidden(ROW())=FALSE,MyRowHidden(ROW()-1)=TRUE),0,(E315-E314)*unitsOfDHp+I314)</f>
        <v>111615</v>
      </c>
      <c r="J315">
        <f>IF(AND(MyRowHidden(ROW())=FALSE,MyRowHidden(ROW()-1)=TRUE),0,(G315-G314)*unitsOfExo+J314)</f>
        <v>457200</v>
      </c>
      <c r="K315" s="9">
        <f t="shared" si="25"/>
        <v>-457200</v>
      </c>
      <c r="L315">
        <f t="shared" si="26"/>
        <v>568815</v>
      </c>
      <c r="M315">
        <f>IF(AND(MyRowHidden(ROW())=FALSE,MyRowHidden(ROW()-1)=TRUE),0,IF(MONTH(H315)&lt;&gt;MONTH(H314),M314+1,M314))</f>
        <v>14</v>
      </c>
      <c r="N315">
        <f t="shared" si="27"/>
        <v>111615</v>
      </c>
      <c r="O315">
        <f>IF(AND(MyRowHidden(ROW())=FALSE,MyRowHidden(ROW()-1)=TRUE),0,IF(M315&lt;totalMonths,(totalMonths-M315)/totalMonths *(I315-I314)+O314,0))</f>
        <v>0</v>
      </c>
      <c r="P315">
        <f>IF(AND(MyRowHidden(ROW())=FALSE,MyRowHidden(ROW()-1)=TRUE),0,IF(M315&lt;totalMonths,(totalMonths-M315)/totalMonths *(J315-J314)+P314,0))</f>
        <v>0</v>
      </c>
      <c r="Q315">
        <f>IF(AND(MyRowHidden(ROW())=FALSE,MyRowHidden(ROW()-1)=TRUE),0,IF(M315&lt;totalMonths,(totalMonths-M315)/totalMonths *(K315-K314)+Q314,0))</f>
        <v>0</v>
      </c>
      <c r="R315">
        <f t="shared" si="28"/>
        <v>111615</v>
      </c>
      <c r="S315">
        <f t="shared" si="29"/>
        <v>0</v>
      </c>
    </row>
    <row r="316" spans="1:19" hidden="1" x14ac:dyDescent="0.25">
      <c r="A316" s="1"/>
      <c r="C316" s="1"/>
      <c r="D316" s="1">
        <v>41718</v>
      </c>
      <c r="E316">
        <v>26302</v>
      </c>
      <c r="F316" s="1">
        <v>41718</v>
      </c>
      <c r="G316">
        <v>2937.5</v>
      </c>
      <c r="H316" s="1">
        <f t="shared" si="24"/>
        <v>41718</v>
      </c>
      <c r="I316">
        <f>IF(AND(MyRowHidden(ROW())=FALSE,MyRowHidden(ROW()-1)=TRUE),0,(E316-E315)*unitsOfDHp+I315)</f>
        <v>126105</v>
      </c>
      <c r="J316">
        <f>IF(AND(MyRowHidden(ROW())=FALSE,MyRowHidden(ROW()-1)=TRUE),0,(G316-G315)*unitsOfExo+J315)</f>
        <v>298800</v>
      </c>
      <c r="K316" s="9">
        <f t="shared" si="25"/>
        <v>-298800</v>
      </c>
      <c r="L316">
        <f t="shared" si="26"/>
        <v>424905</v>
      </c>
      <c r="M316">
        <f>IF(AND(MyRowHidden(ROW())=FALSE,MyRowHidden(ROW()-1)=TRUE),0,IF(MONTH(H316)&lt;&gt;MONTH(H315),M315+1,M315))</f>
        <v>14</v>
      </c>
      <c r="N316">
        <f t="shared" si="27"/>
        <v>126105</v>
      </c>
      <c r="O316">
        <f>IF(AND(MyRowHidden(ROW())=FALSE,MyRowHidden(ROW()-1)=TRUE),0,IF(M316&lt;totalMonths,(totalMonths-M316)/totalMonths *(I316-I315)+O315,0))</f>
        <v>0</v>
      </c>
      <c r="P316">
        <f>IF(AND(MyRowHidden(ROW())=FALSE,MyRowHidden(ROW()-1)=TRUE),0,IF(M316&lt;totalMonths,(totalMonths-M316)/totalMonths *(J316-J315)+P315,0))</f>
        <v>0</v>
      </c>
      <c r="Q316">
        <f>IF(AND(MyRowHidden(ROW())=FALSE,MyRowHidden(ROW()-1)=TRUE),0,IF(M316&lt;totalMonths,(totalMonths-M316)/totalMonths *(K316-K315)+Q315,0))</f>
        <v>0</v>
      </c>
      <c r="R316">
        <f t="shared" si="28"/>
        <v>126105</v>
      </c>
      <c r="S316">
        <f t="shared" si="29"/>
        <v>0</v>
      </c>
    </row>
    <row r="317" spans="1:19" hidden="1" x14ac:dyDescent="0.25">
      <c r="A317" s="1"/>
      <c r="C317" s="1"/>
      <c r="D317" s="1">
        <v>41719</v>
      </c>
      <c r="E317">
        <v>26289</v>
      </c>
      <c r="F317" s="1">
        <v>41719</v>
      </c>
      <c r="G317">
        <v>3012.5</v>
      </c>
      <c r="H317" s="1">
        <f t="shared" si="24"/>
        <v>41719</v>
      </c>
      <c r="I317">
        <f>IF(AND(MyRowHidden(ROW())=FALSE,MyRowHidden(ROW()-1)=TRUE),0,(E317-E316)*unitsOfDHp+I316)</f>
        <v>125650</v>
      </c>
      <c r="J317">
        <f>IF(AND(MyRowHidden(ROW())=FALSE,MyRowHidden(ROW()-1)=TRUE),0,(G317-G316)*unitsOfExo+J316)</f>
        <v>320400</v>
      </c>
      <c r="K317" s="9">
        <f t="shared" si="25"/>
        <v>-320400</v>
      </c>
      <c r="L317">
        <f t="shared" si="26"/>
        <v>446050</v>
      </c>
      <c r="M317">
        <f>IF(AND(MyRowHidden(ROW())=FALSE,MyRowHidden(ROW()-1)=TRUE),0,IF(MONTH(H317)&lt;&gt;MONTH(H316),M316+1,M316))</f>
        <v>14</v>
      </c>
      <c r="N317">
        <f t="shared" si="27"/>
        <v>125650</v>
      </c>
      <c r="O317">
        <f>IF(AND(MyRowHidden(ROW())=FALSE,MyRowHidden(ROW()-1)=TRUE),0,IF(M317&lt;totalMonths,(totalMonths-M317)/totalMonths *(I317-I316)+O316,0))</f>
        <v>0</v>
      </c>
      <c r="P317">
        <f>IF(AND(MyRowHidden(ROW())=FALSE,MyRowHidden(ROW()-1)=TRUE),0,IF(M317&lt;totalMonths,(totalMonths-M317)/totalMonths *(J317-J316)+P316,0))</f>
        <v>0</v>
      </c>
      <c r="Q317">
        <f>IF(AND(MyRowHidden(ROW())=FALSE,MyRowHidden(ROW()-1)=TRUE),0,IF(M317&lt;totalMonths,(totalMonths-M317)/totalMonths *(K317-K316)+Q316,0))</f>
        <v>0</v>
      </c>
      <c r="R317">
        <f t="shared" si="28"/>
        <v>125650</v>
      </c>
      <c r="S317">
        <f t="shared" si="29"/>
        <v>0</v>
      </c>
    </row>
    <row r="318" spans="1:19" hidden="1" x14ac:dyDescent="0.25">
      <c r="A318" s="1"/>
      <c r="C318" s="1"/>
      <c r="D318" s="1">
        <v>41722</v>
      </c>
      <c r="E318">
        <v>25986</v>
      </c>
      <c r="F318" s="1">
        <v>41722</v>
      </c>
      <c r="G318">
        <v>3437.5</v>
      </c>
      <c r="H318" s="1">
        <f t="shared" si="24"/>
        <v>41722</v>
      </c>
      <c r="I318">
        <f>IF(AND(MyRowHidden(ROW())=FALSE,MyRowHidden(ROW()-1)=TRUE),0,(E318-E317)*unitsOfDHp+I317)</f>
        <v>115045</v>
      </c>
      <c r="J318">
        <f>IF(AND(MyRowHidden(ROW())=FALSE,MyRowHidden(ROW()-1)=TRUE),0,(G318-G317)*unitsOfExo+J317)</f>
        <v>442800</v>
      </c>
      <c r="K318" s="9">
        <f t="shared" si="25"/>
        <v>-442800</v>
      </c>
      <c r="L318">
        <f t="shared" si="26"/>
        <v>557845</v>
      </c>
      <c r="M318">
        <f>IF(AND(MyRowHidden(ROW())=FALSE,MyRowHidden(ROW()-1)=TRUE),0,IF(MONTH(H318)&lt;&gt;MONTH(H317),M317+1,M317))</f>
        <v>14</v>
      </c>
      <c r="N318">
        <f t="shared" si="27"/>
        <v>115045</v>
      </c>
      <c r="O318">
        <f>IF(AND(MyRowHidden(ROW())=FALSE,MyRowHidden(ROW()-1)=TRUE),0,IF(M318&lt;totalMonths,(totalMonths-M318)/totalMonths *(I318-I317)+O317,0))</f>
        <v>0</v>
      </c>
      <c r="P318">
        <f>IF(AND(MyRowHidden(ROW())=FALSE,MyRowHidden(ROW()-1)=TRUE),0,IF(M318&lt;totalMonths,(totalMonths-M318)/totalMonths *(J318-J317)+P317,0))</f>
        <v>0</v>
      </c>
      <c r="Q318">
        <f>IF(AND(MyRowHidden(ROW())=FALSE,MyRowHidden(ROW()-1)=TRUE),0,IF(M318&lt;totalMonths,(totalMonths-M318)/totalMonths *(K318-K317)+Q317,0))</f>
        <v>0</v>
      </c>
      <c r="R318">
        <f t="shared" si="28"/>
        <v>115045</v>
      </c>
      <c r="S318">
        <f t="shared" si="29"/>
        <v>0</v>
      </c>
    </row>
    <row r="319" spans="1:19" hidden="1" x14ac:dyDescent="0.25">
      <c r="A319" s="1"/>
      <c r="C319" s="1"/>
      <c r="D319" s="1">
        <v>41723</v>
      </c>
      <c r="E319">
        <v>26015</v>
      </c>
      <c r="F319" s="1">
        <v>41723</v>
      </c>
      <c r="G319">
        <v>3287.5</v>
      </c>
      <c r="H319" s="1">
        <f t="shared" si="24"/>
        <v>41723</v>
      </c>
      <c r="I319">
        <f>IF(AND(MyRowHidden(ROW())=FALSE,MyRowHidden(ROW()-1)=TRUE),0,(E319-E318)*unitsOfDHp+I318)</f>
        <v>116060</v>
      </c>
      <c r="J319">
        <f>IF(AND(MyRowHidden(ROW())=FALSE,MyRowHidden(ROW()-1)=TRUE),0,(G319-G318)*unitsOfExo+J318)</f>
        <v>399600</v>
      </c>
      <c r="K319" s="9">
        <f t="shared" si="25"/>
        <v>-399600</v>
      </c>
      <c r="L319">
        <f t="shared" si="26"/>
        <v>515660</v>
      </c>
      <c r="M319">
        <f>IF(AND(MyRowHidden(ROW())=FALSE,MyRowHidden(ROW()-1)=TRUE),0,IF(MONTH(H319)&lt;&gt;MONTH(H318),M318+1,M318))</f>
        <v>14</v>
      </c>
      <c r="N319">
        <f t="shared" si="27"/>
        <v>116060</v>
      </c>
      <c r="O319">
        <f>IF(AND(MyRowHidden(ROW())=FALSE,MyRowHidden(ROW()-1)=TRUE),0,IF(M319&lt;totalMonths,(totalMonths-M319)/totalMonths *(I319-I318)+O318,0))</f>
        <v>0</v>
      </c>
      <c r="P319">
        <f>IF(AND(MyRowHidden(ROW())=FALSE,MyRowHidden(ROW()-1)=TRUE),0,IF(M319&lt;totalMonths,(totalMonths-M319)/totalMonths *(J319-J318)+P318,0))</f>
        <v>0</v>
      </c>
      <c r="Q319">
        <f>IF(AND(MyRowHidden(ROW())=FALSE,MyRowHidden(ROW()-1)=TRUE),0,IF(M319&lt;totalMonths,(totalMonths-M319)/totalMonths *(K319-K318)+Q318,0))</f>
        <v>0</v>
      </c>
      <c r="R319">
        <f t="shared" si="28"/>
        <v>116060</v>
      </c>
      <c r="S319">
        <f t="shared" si="29"/>
        <v>0</v>
      </c>
    </row>
    <row r="320" spans="1:19" hidden="1" x14ac:dyDescent="0.25">
      <c r="A320" s="1"/>
      <c r="C320" s="1"/>
      <c r="D320" s="1">
        <v>41724</v>
      </c>
      <c r="E320">
        <v>26117</v>
      </c>
      <c r="F320" s="1">
        <v>41724</v>
      </c>
      <c r="G320">
        <v>3175</v>
      </c>
      <c r="H320" s="1">
        <f t="shared" si="24"/>
        <v>41724</v>
      </c>
      <c r="I320">
        <f>IF(AND(MyRowHidden(ROW())=FALSE,MyRowHidden(ROW()-1)=TRUE),0,(E320-E319)*unitsOfDHp+I319)</f>
        <v>119630</v>
      </c>
      <c r="J320">
        <f>IF(AND(MyRowHidden(ROW())=FALSE,MyRowHidden(ROW()-1)=TRUE),0,(G320-G319)*unitsOfExo+J319)</f>
        <v>367200</v>
      </c>
      <c r="K320" s="9">
        <f t="shared" si="25"/>
        <v>-367200</v>
      </c>
      <c r="L320">
        <f t="shared" si="26"/>
        <v>486830</v>
      </c>
      <c r="M320">
        <f>IF(AND(MyRowHidden(ROW())=FALSE,MyRowHidden(ROW()-1)=TRUE),0,IF(MONTH(H320)&lt;&gt;MONTH(H319),M319+1,M319))</f>
        <v>14</v>
      </c>
      <c r="N320">
        <f t="shared" si="27"/>
        <v>119630</v>
      </c>
      <c r="O320">
        <f>IF(AND(MyRowHidden(ROW())=FALSE,MyRowHidden(ROW()-1)=TRUE),0,IF(M320&lt;totalMonths,(totalMonths-M320)/totalMonths *(I320-I319)+O319,0))</f>
        <v>0</v>
      </c>
      <c r="P320">
        <f>IF(AND(MyRowHidden(ROW())=FALSE,MyRowHidden(ROW()-1)=TRUE),0,IF(M320&lt;totalMonths,(totalMonths-M320)/totalMonths *(J320-J319)+P319,0))</f>
        <v>0</v>
      </c>
      <c r="Q320">
        <f>IF(AND(MyRowHidden(ROW())=FALSE,MyRowHidden(ROW()-1)=TRUE),0,IF(M320&lt;totalMonths,(totalMonths-M320)/totalMonths *(K320-K319)+Q319,0))</f>
        <v>0</v>
      </c>
      <c r="R320">
        <f t="shared" si="28"/>
        <v>119630</v>
      </c>
      <c r="S320">
        <f t="shared" si="29"/>
        <v>0</v>
      </c>
    </row>
    <row r="321" spans="1:19" hidden="1" x14ac:dyDescent="0.25">
      <c r="A321" s="1"/>
      <c r="C321" s="1"/>
      <c r="D321" s="1">
        <v>41725</v>
      </c>
      <c r="E321">
        <v>25458</v>
      </c>
      <c r="F321" s="1">
        <v>41725</v>
      </c>
      <c r="G321">
        <v>3575</v>
      </c>
      <c r="H321" s="1">
        <f t="shared" si="24"/>
        <v>41725</v>
      </c>
      <c r="I321">
        <f>IF(AND(MyRowHidden(ROW())=FALSE,MyRowHidden(ROW()-1)=TRUE),0,(E321-E320)*unitsOfDHp+I320)</f>
        <v>96565</v>
      </c>
      <c r="J321">
        <f>IF(AND(MyRowHidden(ROW())=FALSE,MyRowHidden(ROW()-1)=TRUE),0,(G321-G320)*unitsOfExo+J320)</f>
        <v>482400</v>
      </c>
      <c r="K321" s="9">
        <f t="shared" si="25"/>
        <v>-482400</v>
      </c>
      <c r="L321">
        <f t="shared" si="26"/>
        <v>578965</v>
      </c>
      <c r="M321">
        <f>IF(AND(MyRowHidden(ROW())=FALSE,MyRowHidden(ROW()-1)=TRUE),0,IF(MONTH(H321)&lt;&gt;MONTH(H320),M320+1,M320))</f>
        <v>14</v>
      </c>
      <c r="N321">
        <f t="shared" si="27"/>
        <v>96565</v>
      </c>
      <c r="O321">
        <f>IF(AND(MyRowHidden(ROW())=FALSE,MyRowHidden(ROW()-1)=TRUE),0,IF(M321&lt;totalMonths,(totalMonths-M321)/totalMonths *(I321-I320)+O320,0))</f>
        <v>0</v>
      </c>
      <c r="P321">
        <f>IF(AND(MyRowHidden(ROW())=FALSE,MyRowHidden(ROW()-1)=TRUE),0,IF(M321&lt;totalMonths,(totalMonths-M321)/totalMonths *(J321-J320)+P320,0))</f>
        <v>0</v>
      </c>
      <c r="Q321">
        <f>IF(AND(MyRowHidden(ROW())=FALSE,MyRowHidden(ROW()-1)=TRUE),0,IF(M321&lt;totalMonths,(totalMonths-M321)/totalMonths *(K321-K320)+Q320,0))</f>
        <v>0</v>
      </c>
      <c r="R321">
        <f t="shared" si="28"/>
        <v>96565</v>
      </c>
      <c r="S321">
        <f t="shared" si="29"/>
        <v>0</v>
      </c>
    </row>
    <row r="322" spans="1:19" hidden="1" x14ac:dyDescent="0.25">
      <c r="A322" s="1"/>
      <c r="C322" s="1"/>
      <c r="D322" s="1">
        <v>41726</v>
      </c>
      <c r="E322">
        <v>25284</v>
      </c>
      <c r="F322" s="1">
        <v>41726</v>
      </c>
      <c r="G322">
        <v>3675</v>
      </c>
      <c r="H322" s="1">
        <f t="shared" si="24"/>
        <v>41726</v>
      </c>
      <c r="I322">
        <f>IF(AND(MyRowHidden(ROW())=FALSE,MyRowHidden(ROW()-1)=TRUE),0,(E322-E321)*unitsOfDHp+I321)</f>
        <v>90475</v>
      </c>
      <c r="J322">
        <f>IF(AND(MyRowHidden(ROW())=FALSE,MyRowHidden(ROW()-1)=TRUE),0,(G322-G321)*unitsOfExo+J321)</f>
        <v>511200</v>
      </c>
      <c r="K322" s="9">
        <f t="shared" si="25"/>
        <v>-511200</v>
      </c>
      <c r="L322">
        <f t="shared" si="26"/>
        <v>601675</v>
      </c>
      <c r="M322">
        <f>IF(AND(MyRowHidden(ROW())=FALSE,MyRowHidden(ROW()-1)=TRUE),0,IF(MONTH(H322)&lt;&gt;MONTH(H321),M321+1,M321))</f>
        <v>14</v>
      </c>
      <c r="N322">
        <f t="shared" si="27"/>
        <v>90475</v>
      </c>
      <c r="O322">
        <f>IF(AND(MyRowHidden(ROW())=FALSE,MyRowHidden(ROW()-1)=TRUE),0,IF(M322&lt;totalMonths,(totalMonths-M322)/totalMonths *(I322-I321)+O321,0))</f>
        <v>0</v>
      </c>
      <c r="P322">
        <f>IF(AND(MyRowHidden(ROW())=FALSE,MyRowHidden(ROW()-1)=TRUE),0,IF(M322&lt;totalMonths,(totalMonths-M322)/totalMonths *(J322-J321)+P321,0))</f>
        <v>0</v>
      </c>
      <c r="Q322">
        <f>IF(AND(MyRowHidden(ROW())=FALSE,MyRowHidden(ROW()-1)=TRUE),0,IF(M322&lt;totalMonths,(totalMonths-M322)/totalMonths *(K322-K321)+Q321,0))</f>
        <v>0</v>
      </c>
      <c r="R322">
        <f t="shared" si="28"/>
        <v>90475</v>
      </c>
      <c r="S322">
        <f t="shared" si="29"/>
        <v>0</v>
      </c>
    </row>
    <row r="323" spans="1:19" hidden="1" x14ac:dyDescent="0.25">
      <c r="A323" s="1"/>
      <c r="C323" s="1"/>
      <c r="D323" s="1">
        <v>41729</v>
      </c>
      <c r="E323">
        <v>24765</v>
      </c>
      <c r="F323" s="1">
        <v>41729</v>
      </c>
      <c r="G323">
        <v>4050</v>
      </c>
      <c r="H323" s="1">
        <f t="shared" si="24"/>
        <v>41729</v>
      </c>
      <c r="I323">
        <f>IF(AND(MyRowHidden(ROW())=FALSE,MyRowHidden(ROW()-1)=TRUE),0,(E323-E322)*unitsOfDHp+I322)</f>
        <v>72310</v>
      </c>
      <c r="J323">
        <f>IF(AND(MyRowHidden(ROW())=FALSE,MyRowHidden(ROW()-1)=TRUE),0,(G323-G322)*unitsOfExo+J322)</f>
        <v>619200</v>
      </c>
      <c r="K323" s="9">
        <f t="shared" si="25"/>
        <v>-619200</v>
      </c>
      <c r="L323">
        <f t="shared" si="26"/>
        <v>691510</v>
      </c>
      <c r="M323">
        <f>IF(AND(MyRowHidden(ROW())=FALSE,MyRowHidden(ROW()-1)=TRUE),0,IF(MONTH(H323)&lt;&gt;MONTH(H322),M322+1,M322))</f>
        <v>14</v>
      </c>
      <c r="N323">
        <f t="shared" si="27"/>
        <v>72310</v>
      </c>
      <c r="O323">
        <f>IF(AND(MyRowHidden(ROW())=FALSE,MyRowHidden(ROW()-1)=TRUE),0,IF(M323&lt;totalMonths,(totalMonths-M323)/totalMonths *(I323-I322)+O322,0))</f>
        <v>0</v>
      </c>
      <c r="P323">
        <f>IF(AND(MyRowHidden(ROW())=FALSE,MyRowHidden(ROW()-1)=TRUE),0,IF(M323&lt;totalMonths,(totalMonths-M323)/totalMonths *(J323-J322)+P322,0))</f>
        <v>0</v>
      </c>
      <c r="Q323">
        <f>IF(AND(MyRowHidden(ROW())=FALSE,MyRowHidden(ROW()-1)=TRUE),0,IF(M323&lt;totalMonths,(totalMonths-M323)/totalMonths *(K323-K322)+Q322,0))</f>
        <v>0</v>
      </c>
      <c r="R323">
        <f t="shared" si="28"/>
        <v>72310</v>
      </c>
      <c r="S323">
        <f t="shared" si="29"/>
        <v>0</v>
      </c>
    </row>
    <row r="324" spans="1:19" hidden="1" x14ac:dyDescent="0.25">
      <c r="A324" s="1"/>
      <c r="C324" s="1"/>
      <c r="D324" s="1">
        <v>41730</v>
      </c>
      <c r="E324">
        <v>24390</v>
      </c>
      <c r="F324" s="1">
        <v>41730</v>
      </c>
      <c r="G324">
        <v>4387.5</v>
      </c>
      <c r="H324" s="1">
        <f t="shared" si="24"/>
        <v>41730</v>
      </c>
      <c r="I324">
        <f>IF(AND(MyRowHidden(ROW())=FALSE,MyRowHidden(ROW()-1)=TRUE),0,(E324-E323)*unitsOfDHp+I323)</f>
        <v>59185</v>
      </c>
      <c r="J324">
        <f>IF(AND(MyRowHidden(ROW())=FALSE,MyRowHidden(ROW()-1)=TRUE),0,(G324-G323)*unitsOfExo+J323)</f>
        <v>716400</v>
      </c>
      <c r="K324" s="9">
        <f t="shared" si="25"/>
        <v>-716400</v>
      </c>
      <c r="L324">
        <f t="shared" si="26"/>
        <v>775585</v>
      </c>
      <c r="M324">
        <f>IF(AND(MyRowHidden(ROW())=FALSE,MyRowHidden(ROW()-1)=TRUE),0,IF(MONTH(H324)&lt;&gt;MONTH(H323),M323+1,M323))</f>
        <v>15</v>
      </c>
      <c r="N324">
        <f t="shared" si="27"/>
        <v>59185</v>
      </c>
      <c r="O324">
        <f>IF(AND(MyRowHidden(ROW())=FALSE,MyRowHidden(ROW()-1)=TRUE),0,IF(M324&lt;totalMonths,(totalMonths-M324)/totalMonths *(I324-I323)+O323,0))</f>
        <v>0</v>
      </c>
      <c r="P324">
        <f>IF(AND(MyRowHidden(ROW())=FALSE,MyRowHidden(ROW()-1)=TRUE),0,IF(M324&lt;totalMonths,(totalMonths-M324)/totalMonths *(J324-J323)+P323,0))</f>
        <v>0</v>
      </c>
      <c r="Q324">
        <f>IF(AND(MyRowHidden(ROW())=FALSE,MyRowHidden(ROW()-1)=TRUE),0,IF(M324&lt;totalMonths,(totalMonths-M324)/totalMonths *(K324-K323)+Q323,0))</f>
        <v>0</v>
      </c>
      <c r="R324">
        <f t="shared" si="28"/>
        <v>59185</v>
      </c>
      <c r="S324">
        <f t="shared" si="29"/>
        <v>0</v>
      </c>
    </row>
    <row r="325" spans="1:19" hidden="1" x14ac:dyDescent="0.25">
      <c r="A325" s="1"/>
      <c r="C325" s="1"/>
      <c r="D325" s="1">
        <v>41731</v>
      </c>
      <c r="E325">
        <v>24938</v>
      </c>
      <c r="F325" s="1">
        <v>41731</v>
      </c>
      <c r="G325">
        <v>3712.5</v>
      </c>
      <c r="H325" s="1">
        <f t="shared" si="24"/>
        <v>41731</v>
      </c>
      <c r="I325">
        <f>IF(AND(MyRowHidden(ROW())=FALSE,MyRowHidden(ROW()-1)=TRUE),0,(E325-E324)*unitsOfDHp+I324)</f>
        <v>78365</v>
      </c>
      <c r="J325">
        <f>IF(AND(MyRowHidden(ROW())=FALSE,MyRowHidden(ROW()-1)=TRUE),0,(G325-G324)*unitsOfExo+J324)</f>
        <v>522000</v>
      </c>
      <c r="K325" s="9">
        <f t="shared" si="25"/>
        <v>-522000</v>
      </c>
      <c r="L325">
        <f t="shared" si="26"/>
        <v>600365</v>
      </c>
      <c r="M325">
        <f>IF(AND(MyRowHidden(ROW())=FALSE,MyRowHidden(ROW()-1)=TRUE),0,IF(MONTH(H325)&lt;&gt;MONTH(H324),M324+1,M324))</f>
        <v>15</v>
      </c>
      <c r="N325">
        <f t="shared" si="27"/>
        <v>78365</v>
      </c>
      <c r="O325">
        <f>IF(AND(MyRowHidden(ROW())=FALSE,MyRowHidden(ROW()-1)=TRUE),0,IF(M325&lt;totalMonths,(totalMonths-M325)/totalMonths *(I325-I324)+O324,0))</f>
        <v>0</v>
      </c>
      <c r="P325">
        <f>IF(AND(MyRowHidden(ROW())=FALSE,MyRowHidden(ROW()-1)=TRUE),0,IF(M325&lt;totalMonths,(totalMonths-M325)/totalMonths *(J325-J324)+P324,0))</f>
        <v>0</v>
      </c>
      <c r="Q325">
        <f>IF(AND(MyRowHidden(ROW())=FALSE,MyRowHidden(ROW()-1)=TRUE),0,IF(M325&lt;totalMonths,(totalMonths-M325)/totalMonths *(K325-K324)+Q324,0))</f>
        <v>0</v>
      </c>
      <c r="R325">
        <f t="shared" si="28"/>
        <v>78365</v>
      </c>
      <c r="S325">
        <f t="shared" si="29"/>
        <v>0</v>
      </c>
    </row>
    <row r="326" spans="1:19" hidden="1" x14ac:dyDescent="0.25">
      <c r="A326" s="1"/>
      <c r="C326" s="1"/>
      <c r="D326" s="1">
        <v>41732</v>
      </c>
      <c r="E326">
        <v>24802</v>
      </c>
      <c r="F326" s="1">
        <v>41732</v>
      </c>
      <c r="G326">
        <v>3850</v>
      </c>
      <c r="H326" s="1">
        <f t="shared" si="24"/>
        <v>41732</v>
      </c>
      <c r="I326">
        <f>IF(AND(MyRowHidden(ROW())=FALSE,MyRowHidden(ROW()-1)=TRUE),0,(E326-E325)*unitsOfDHp+I325)</f>
        <v>73605</v>
      </c>
      <c r="J326">
        <f>IF(AND(MyRowHidden(ROW())=FALSE,MyRowHidden(ROW()-1)=TRUE),0,(G326-G325)*unitsOfExo+J325)</f>
        <v>561600</v>
      </c>
      <c r="K326" s="9">
        <f t="shared" si="25"/>
        <v>-561600</v>
      </c>
      <c r="L326">
        <f t="shared" si="26"/>
        <v>635205</v>
      </c>
      <c r="M326">
        <f>IF(AND(MyRowHidden(ROW())=FALSE,MyRowHidden(ROW()-1)=TRUE),0,IF(MONTH(H326)&lt;&gt;MONTH(H325),M325+1,M325))</f>
        <v>15</v>
      </c>
      <c r="N326">
        <f t="shared" si="27"/>
        <v>73605</v>
      </c>
      <c r="O326">
        <f>IF(AND(MyRowHidden(ROW())=FALSE,MyRowHidden(ROW()-1)=TRUE),0,IF(M326&lt;totalMonths,(totalMonths-M326)/totalMonths *(I326-I325)+O325,0))</f>
        <v>0</v>
      </c>
      <c r="P326">
        <f>IF(AND(MyRowHidden(ROW())=FALSE,MyRowHidden(ROW()-1)=TRUE),0,IF(M326&lt;totalMonths,(totalMonths-M326)/totalMonths *(J326-J325)+P325,0))</f>
        <v>0</v>
      </c>
      <c r="Q326">
        <f>IF(AND(MyRowHidden(ROW())=FALSE,MyRowHidden(ROW()-1)=TRUE),0,IF(M326&lt;totalMonths,(totalMonths-M326)/totalMonths *(K326-K325)+Q325,0))</f>
        <v>0</v>
      </c>
      <c r="R326">
        <f t="shared" si="28"/>
        <v>73605</v>
      </c>
      <c r="S326">
        <f t="shared" si="29"/>
        <v>0</v>
      </c>
    </row>
    <row r="327" spans="1:19" hidden="1" x14ac:dyDescent="0.25">
      <c r="A327" s="1"/>
      <c r="C327" s="1"/>
      <c r="D327" s="1">
        <v>41733</v>
      </c>
      <c r="E327">
        <v>24713</v>
      </c>
      <c r="F327" s="1">
        <v>41733</v>
      </c>
      <c r="G327">
        <v>3962.5</v>
      </c>
      <c r="H327" s="1">
        <f t="shared" si="24"/>
        <v>41733</v>
      </c>
      <c r="I327">
        <f>IF(AND(MyRowHidden(ROW())=FALSE,MyRowHidden(ROW()-1)=TRUE),0,(E327-E326)*unitsOfDHp+I326)</f>
        <v>70490</v>
      </c>
      <c r="J327">
        <f>IF(AND(MyRowHidden(ROW())=FALSE,MyRowHidden(ROW()-1)=TRUE),0,(G327-G326)*unitsOfExo+J326)</f>
        <v>594000</v>
      </c>
      <c r="K327" s="9">
        <f t="shared" si="25"/>
        <v>-594000</v>
      </c>
      <c r="L327">
        <f t="shared" si="26"/>
        <v>664490</v>
      </c>
      <c r="M327">
        <f>IF(AND(MyRowHidden(ROW())=FALSE,MyRowHidden(ROW()-1)=TRUE),0,IF(MONTH(H327)&lt;&gt;MONTH(H326),M326+1,M326))</f>
        <v>15</v>
      </c>
      <c r="N327">
        <f t="shared" si="27"/>
        <v>70490</v>
      </c>
      <c r="O327">
        <f>IF(AND(MyRowHidden(ROW())=FALSE,MyRowHidden(ROW()-1)=TRUE),0,IF(M327&lt;totalMonths,(totalMonths-M327)/totalMonths *(I327-I326)+O326,0))</f>
        <v>0</v>
      </c>
      <c r="P327">
        <f>IF(AND(MyRowHidden(ROW())=FALSE,MyRowHidden(ROW()-1)=TRUE),0,IF(M327&lt;totalMonths,(totalMonths-M327)/totalMonths *(J327-J326)+P326,0))</f>
        <v>0</v>
      </c>
      <c r="Q327">
        <f>IF(AND(MyRowHidden(ROW())=FALSE,MyRowHidden(ROW()-1)=TRUE),0,IF(M327&lt;totalMonths,(totalMonths-M327)/totalMonths *(K327-K326)+Q326,0))</f>
        <v>0</v>
      </c>
      <c r="R327">
        <f t="shared" si="28"/>
        <v>70490</v>
      </c>
      <c r="S327">
        <f t="shared" si="29"/>
        <v>0</v>
      </c>
    </row>
    <row r="328" spans="1:19" hidden="1" x14ac:dyDescent="0.25">
      <c r="A328" s="1"/>
      <c r="C328" s="1"/>
      <c r="D328" s="1">
        <v>41736</v>
      </c>
      <c r="E328">
        <v>24663</v>
      </c>
      <c r="F328" s="1">
        <v>41736</v>
      </c>
      <c r="G328">
        <v>3900</v>
      </c>
      <c r="H328" s="1">
        <f t="shared" si="24"/>
        <v>41736</v>
      </c>
      <c r="I328">
        <f>IF(AND(MyRowHidden(ROW())=FALSE,MyRowHidden(ROW()-1)=TRUE),0,(E328-E327)*unitsOfDHp+I327)</f>
        <v>68740</v>
      </c>
      <c r="J328">
        <f>IF(AND(MyRowHidden(ROW())=FALSE,MyRowHidden(ROW()-1)=TRUE),0,(G328-G327)*unitsOfExo+J327)</f>
        <v>576000</v>
      </c>
      <c r="K328" s="9">
        <f t="shared" si="25"/>
        <v>-576000</v>
      </c>
      <c r="L328">
        <f t="shared" si="26"/>
        <v>644740</v>
      </c>
      <c r="M328">
        <f>IF(AND(MyRowHidden(ROW())=FALSE,MyRowHidden(ROW()-1)=TRUE),0,IF(MONTH(H328)&lt;&gt;MONTH(H327),M327+1,M327))</f>
        <v>15</v>
      </c>
      <c r="N328">
        <f t="shared" si="27"/>
        <v>68740</v>
      </c>
      <c r="O328">
        <f>IF(AND(MyRowHidden(ROW())=FALSE,MyRowHidden(ROW()-1)=TRUE),0,IF(M328&lt;totalMonths,(totalMonths-M328)/totalMonths *(I328-I327)+O327,0))</f>
        <v>0</v>
      </c>
      <c r="P328">
        <f>IF(AND(MyRowHidden(ROW())=FALSE,MyRowHidden(ROW()-1)=TRUE),0,IF(M328&lt;totalMonths,(totalMonths-M328)/totalMonths *(J328-J327)+P327,0))</f>
        <v>0</v>
      </c>
      <c r="Q328">
        <f>IF(AND(MyRowHidden(ROW())=FALSE,MyRowHidden(ROW()-1)=TRUE),0,IF(M328&lt;totalMonths,(totalMonths-M328)/totalMonths *(K328-K327)+Q327,0))</f>
        <v>0</v>
      </c>
      <c r="R328">
        <f t="shared" si="28"/>
        <v>68740</v>
      </c>
      <c r="S328">
        <f t="shared" si="29"/>
        <v>0</v>
      </c>
    </row>
    <row r="329" spans="1:19" hidden="1" x14ac:dyDescent="0.25">
      <c r="A329" s="1"/>
      <c r="C329" s="1"/>
      <c r="D329" s="1">
        <v>41737</v>
      </c>
      <c r="E329">
        <v>24213</v>
      </c>
      <c r="F329" s="1">
        <v>41737</v>
      </c>
      <c r="G329">
        <v>4337.5</v>
      </c>
      <c r="H329" s="1">
        <f t="shared" si="24"/>
        <v>41737</v>
      </c>
      <c r="I329">
        <f>IF(AND(MyRowHidden(ROW())=FALSE,MyRowHidden(ROW()-1)=TRUE),0,(E329-E328)*unitsOfDHp+I328)</f>
        <v>52990</v>
      </c>
      <c r="J329">
        <f>IF(AND(MyRowHidden(ROW())=FALSE,MyRowHidden(ROW()-1)=TRUE),0,(G329-G328)*unitsOfExo+J328)</f>
        <v>702000</v>
      </c>
      <c r="K329" s="9">
        <f t="shared" si="25"/>
        <v>-702000</v>
      </c>
      <c r="L329">
        <f t="shared" si="26"/>
        <v>754990</v>
      </c>
      <c r="M329">
        <f>IF(AND(MyRowHidden(ROW())=FALSE,MyRowHidden(ROW()-1)=TRUE),0,IF(MONTH(H329)&lt;&gt;MONTH(H328),M328+1,M328))</f>
        <v>15</v>
      </c>
      <c r="N329">
        <f t="shared" si="27"/>
        <v>52990</v>
      </c>
      <c r="O329">
        <f>IF(AND(MyRowHidden(ROW())=FALSE,MyRowHidden(ROW()-1)=TRUE),0,IF(M329&lt;totalMonths,(totalMonths-M329)/totalMonths *(I329-I328)+O328,0))</f>
        <v>0</v>
      </c>
      <c r="P329">
        <f>IF(AND(MyRowHidden(ROW())=FALSE,MyRowHidden(ROW()-1)=TRUE),0,IF(M329&lt;totalMonths,(totalMonths-M329)/totalMonths *(J329-J328)+P328,0))</f>
        <v>0</v>
      </c>
      <c r="Q329">
        <f>IF(AND(MyRowHidden(ROW())=FALSE,MyRowHidden(ROW()-1)=TRUE),0,IF(M329&lt;totalMonths,(totalMonths-M329)/totalMonths *(K329-K328)+Q328,0))</f>
        <v>0</v>
      </c>
      <c r="R329">
        <f t="shared" si="28"/>
        <v>52990</v>
      </c>
      <c r="S329">
        <f t="shared" si="29"/>
        <v>0</v>
      </c>
    </row>
    <row r="330" spans="1:19" hidden="1" x14ac:dyDescent="0.25">
      <c r="A330" s="1"/>
      <c r="C330" s="1"/>
      <c r="D330" s="1">
        <v>41738</v>
      </c>
      <c r="E330">
        <v>24245</v>
      </c>
      <c r="F330" s="1">
        <v>41738</v>
      </c>
      <c r="G330">
        <v>4212.5</v>
      </c>
      <c r="H330" s="1">
        <f t="shared" si="24"/>
        <v>41738</v>
      </c>
      <c r="I330">
        <f>IF(AND(MyRowHidden(ROW())=FALSE,MyRowHidden(ROW()-1)=TRUE),0,(E330-E329)*unitsOfDHp+I329)</f>
        <v>54110</v>
      </c>
      <c r="J330">
        <f>IF(AND(MyRowHidden(ROW())=FALSE,MyRowHidden(ROW()-1)=TRUE),0,(G330-G329)*unitsOfExo+J329)</f>
        <v>666000</v>
      </c>
      <c r="K330" s="9">
        <f t="shared" si="25"/>
        <v>-666000</v>
      </c>
      <c r="L330">
        <f t="shared" si="26"/>
        <v>720110</v>
      </c>
      <c r="M330">
        <f>IF(AND(MyRowHidden(ROW())=FALSE,MyRowHidden(ROW()-1)=TRUE),0,IF(MONTH(H330)&lt;&gt;MONTH(H329),M329+1,M329))</f>
        <v>15</v>
      </c>
      <c r="N330">
        <f t="shared" si="27"/>
        <v>54110</v>
      </c>
      <c r="O330">
        <f>IF(AND(MyRowHidden(ROW())=FALSE,MyRowHidden(ROW()-1)=TRUE),0,IF(M330&lt;totalMonths,(totalMonths-M330)/totalMonths *(I330-I329)+O329,0))</f>
        <v>0</v>
      </c>
      <c r="P330">
        <f>IF(AND(MyRowHidden(ROW())=FALSE,MyRowHidden(ROW()-1)=TRUE),0,IF(M330&lt;totalMonths,(totalMonths-M330)/totalMonths *(J330-J329)+P329,0))</f>
        <v>0</v>
      </c>
      <c r="Q330">
        <f>IF(AND(MyRowHidden(ROW())=FALSE,MyRowHidden(ROW()-1)=TRUE),0,IF(M330&lt;totalMonths,(totalMonths-M330)/totalMonths *(K330-K329)+Q329,0))</f>
        <v>0</v>
      </c>
      <c r="R330">
        <f t="shared" si="28"/>
        <v>54110</v>
      </c>
      <c r="S330">
        <f t="shared" si="29"/>
        <v>0</v>
      </c>
    </row>
    <row r="331" spans="1:19" hidden="1" x14ac:dyDescent="0.25">
      <c r="A331" s="1"/>
      <c r="C331" s="1"/>
      <c r="D331" s="1">
        <v>41739</v>
      </c>
      <c r="E331">
        <v>24359</v>
      </c>
      <c r="F331" s="1">
        <v>41739</v>
      </c>
      <c r="G331">
        <v>4112.5</v>
      </c>
      <c r="H331" s="1">
        <f t="shared" si="24"/>
        <v>41739</v>
      </c>
      <c r="I331">
        <f>IF(AND(MyRowHidden(ROW())=FALSE,MyRowHidden(ROW()-1)=TRUE),0,(E331-E330)*unitsOfDHp+I330)</f>
        <v>58100</v>
      </c>
      <c r="J331">
        <f>IF(AND(MyRowHidden(ROW())=FALSE,MyRowHidden(ROW()-1)=TRUE),0,(G331-G330)*unitsOfExo+J330)</f>
        <v>637200</v>
      </c>
      <c r="K331" s="9">
        <f t="shared" si="25"/>
        <v>-637200</v>
      </c>
      <c r="L331">
        <f t="shared" si="26"/>
        <v>695300</v>
      </c>
      <c r="M331">
        <f>IF(AND(MyRowHidden(ROW())=FALSE,MyRowHidden(ROW()-1)=TRUE),0,IF(MONTH(H331)&lt;&gt;MONTH(H330),M330+1,M330))</f>
        <v>15</v>
      </c>
      <c r="N331">
        <f t="shared" si="27"/>
        <v>58100</v>
      </c>
      <c r="O331">
        <f>IF(AND(MyRowHidden(ROW())=FALSE,MyRowHidden(ROW()-1)=TRUE),0,IF(M331&lt;totalMonths,(totalMonths-M331)/totalMonths *(I331-I330)+O330,0))</f>
        <v>0</v>
      </c>
      <c r="P331">
        <f>IF(AND(MyRowHidden(ROW())=FALSE,MyRowHidden(ROW()-1)=TRUE),0,IF(M331&lt;totalMonths,(totalMonths-M331)/totalMonths *(J331-J330)+P330,0))</f>
        <v>0</v>
      </c>
      <c r="Q331">
        <f>IF(AND(MyRowHidden(ROW())=FALSE,MyRowHidden(ROW()-1)=TRUE),0,IF(M331&lt;totalMonths,(totalMonths-M331)/totalMonths *(K331-K330)+Q330,0))</f>
        <v>0</v>
      </c>
      <c r="R331">
        <f t="shared" si="28"/>
        <v>58100</v>
      </c>
      <c r="S331">
        <f t="shared" si="29"/>
        <v>0</v>
      </c>
    </row>
    <row r="332" spans="1:19" hidden="1" x14ac:dyDescent="0.25">
      <c r="A332" s="1"/>
      <c r="C332" s="1"/>
      <c r="D332" s="1">
        <v>41740</v>
      </c>
      <c r="E332">
        <v>24543</v>
      </c>
      <c r="F332" s="1">
        <v>41740</v>
      </c>
      <c r="G332">
        <v>3950</v>
      </c>
      <c r="H332" s="1">
        <f t="shared" si="24"/>
        <v>41740</v>
      </c>
      <c r="I332">
        <f>IF(AND(MyRowHidden(ROW())=FALSE,MyRowHidden(ROW()-1)=TRUE),0,(E332-E331)*unitsOfDHp+I331)</f>
        <v>64540</v>
      </c>
      <c r="J332">
        <f>IF(AND(MyRowHidden(ROW())=FALSE,MyRowHidden(ROW()-1)=TRUE),0,(G332-G331)*unitsOfExo+J331)</f>
        <v>590400</v>
      </c>
      <c r="K332" s="9">
        <f t="shared" si="25"/>
        <v>-590400</v>
      </c>
      <c r="L332">
        <f t="shared" si="26"/>
        <v>654940</v>
      </c>
      <c r="M332">
        <f>IF(AND(MyRowHidden(ROW())=FALSE,MyRowHidden(ROW()-1)=TRUE),0,IF(MONTH(H332)&lt;&gt;MONTH(H331),M331+1,M331))</f>
        <v>15</v>
      </c>
      <c r="N332">
        <f t="shared" si="27"/>
        <v>64540</v>
      </c>
      <c r="O332">
        <f>IF(AND(MyRowHidden(ROW())=FALSE,MyRowHidden(ROW()-1)=TRUE),0,IF(M332&lt;totalMonths,(totalMonths-M332)/totalMonths *(I332-I331)+O331,0))</f>
        <v>0</v>
      </c>
      <c r="P332">
        <f>IF(AND(MyRowHidden(ROW())=FALSE,MyRowHidden(ROW()-1)=TRUE),0,IF(M332&lt;totalMonths,(totalMonths-M332)/totalMonths *(J332-J331)+P331,0))</f>
        <v>0</v>
      </c>
      <c r="Q332">
        <f>IF(AND(MyRowHidden(ROW())=FALSE,MyRowHidden(ROW()-1)=TRUE),0,IF(M332&lt;totalMonths,(totalMonths-M332)/totalMonths *(K332-K331)+Q331,0))</f>
        <v>0</v>
      </c>
      <c r="R332">
        <f t="shared" si="28"/>
        <v>64540</v>
      </c>
      <c r="S332">
        <f t="shared" si="29"/>
        <v>0</v>
      </c>
    </row>
    <row r="333" spans="1:19" hidden="1" x14ac:dyDescent="0.25">
      <c r="A333" s="1"/>
      <c r="C333" s="1"/>
      <c r="D333" s="1">
        <v>41743</v>
      </c>
      <c r="E333">
        <v>24082</v>
      </c>
      <c r="F333" s="1">
        <v>41743</v>
      </c>
      <c r="G333">
        <v>4200</v>
      </c>
      <c r="H333" s="1">
        <f t="shared" ref="H333:H396" si="30">D333</f>
        <v>41743</v>
      </c>
      <c r="I333">
        <f>IF(AND(MyRowHidden(ROW())=FALSE,MyRowHidden(ROW()-1)=TRUE),0,(E333-E332)*unitsOfDHp+I332)</f>
        <v>48405</v>
      </c>
      <c r="J333">
        <f>IF(AND(MyRowHidden(ROW())=FALSE,MyRowHidden(ROW()-1)=TRUE),0,(G333-G332)*unitsOfExo+J332)</f>
        <v>662400</v>
      </c>
      <c r="K333" s="9">
        <f t="shared" ref="K333:K396" si="31">-(J333-J332)+K332</f>
        <v>-662400</v>
      </c>
      <c r="L333">
        <f t="shared" ref="L333:L396" si="32">I333+J333</f>
        <v>710805</v>
      </c>
      <c r="M333">
        <f>IF(AND(MyRowHidden(ROW())=FALSE,MyRowHidden(ROW()-1)=TRUE),0,IF(MONTH(H333)&lt;&gt;MONTH(H332),M332+1,M332))</f>
        <v>15</v>
      </c>
      <c r="N333">
        <f t="shared" ref="N333:N396" si="33">I333</f>
        <v>48405</v>
      </c>
      <c r="O333">
        <f>IF(AND(MyRowHidden(ROW())=FALSE,MyRowHidden(ROW()-1)=TRUE),0,IF(M333&lt;totalMonths,(totalMonths-M333)/totalMonths *(I333-I332)+O332,0))</f>
        <v>0</v>
      </c>
      <c r="P333">
        <f>IF(AND(MyRowHidden(ROW())=FALSE,MyRowHidden(ROW()-1)=TRUE),0,IF(M333&lt;totalMonths,(totalMonths-M333)/totalMonths *(J333-J332)+P332,0))</f>
        <v>0</v>
      </c>
      <c r="Q333">
        <f>IF(AND(MyRowHidden(ROW())=FALSE,MyRowHidden(ROW()-1)=TRUE),0,IF(M333&lt;totalMonths,(totalMonths-M333)/totalMonths *(K333-K332)+Q332,0))</f>
        <v>0</v>
      </c>
      <c r="R333">
        <f t="shared" ref="R333:R396" si="34">N333+P333</f>
        <v>48405</v>
      </c>
      <c r="S333">
        <f t="shared" ref="S333:S396" si="35">O333+P333</f>
        <v>0</v>
      </c>
    </row>
    <row r="334" spans="1:19" hidden="1" x14ac:dyDescent="0.25">
      <c r="A334" s="1"/>
      <c r="C334" s="1"/>
      <c r="D334" s="1">
        <v>41744</v>
      </c>
      <c r="E334">
        <v>24094</v>
      </c>
      <c r="F334" s="1">
        <v>41744</v>
      </c>
      <c r="G334">
        <v>4137.5</v>
      </c>
      <c r="H334" s="1">
        <f t="shared" si="30"/>
        <v>41744</v>
      </c>
      <c r="I334">
        <f>IF(AND(MyRowHidden(ROW())=FALSE,MyRowHidden(ROW()-1)=TRUE),0,(E334-E333)*unitsOfDHp+I333)</f>
        <v>48825</v>
      </c>
      <c r="J334">
        <f>IF(AND(MyRowHidden(ROW())=FALSE,MyRowHidden(ROW()-1)=TRUE),0,(G334-G333)*unitsOfExo+J333)</f>
        <v>644400</v>
      </c>
      <c r="K334" s="9">
        <f t="shared" si="31"/>
        <v>-644400</v>
      </c>
      <c r="L334">
        <f t="shared" si="32"/>
        <v>693225</v>
      </c>
      <c r="M334">
        <f>IF(AND(MyRowHidden(ROW())=FALSE,MyRowHidden(ROW()-1)=TRUE),0,IF(MONTH(H334)&lt;&gt;MONTH(H333),M333+1,M333))</f>
        <v>15</v>
      </c>
      <c r="N334">
        <f t="shared" si="33"/>
        <v>48825</v>
      </c>
      <c r="O334">
        <f>IF(AND(MyRowHidden(ROW())=FALSE,MyRowHidden(ROW()-1)=TRUE),0,IF(M334&lt;totalMonths,(totalMonths-M334)/totalMonths *(I334-I333)+O333,0))</f>
        <v>0</v>
      </c>
      <c r="P334">
        <f>IF(AND(MyRowHidden(ROW())=FALSE,MyRowHidden(ROW()-1)=TRUE),0,IF(M334&lt;totalMonths,(totalMonths-M334)/totalMonths *(J334-J333)+P333,0))</f>
        <v>0</v>
      </c>
      <c r="Q334">
        <f>IF(AND(MyRowHidden(ROW())=FALSE,MyRowHidden(ROW()-1)=TRUE),0,IF(M334&lt;totalMonths,(totalMonths-M334)/totalMonths *(K334-K333)+Q333,0))</f>
        <v>0</v>
      </c>
      <c r="R334">
        <f t="shared" si="34"/>
        <v>48825</v>
      </c>
      <c r="S334">
        <f t="shared" si="35"/>
        <v>0</v>
      </c>
    </row>
    <row r="335" spans="1:19" hidden="1" x14ac:dyDescent="0.25">
      <c r="A335" s="1"/>
      <c r="C335" s="1"/>
      <c r="D335" s="1">
        <v>41745</v>
      </c>
      <c r="E335">
        <v>24570</v>
      </c>
      <c r="F335" s="1">
        <v>41745</v>
      </c>
      <c r="G335">
        <v>3825</v>
      </c>
      <c r="H335" s="1">
        <f t="shared" si="30"/>
        <v>41745</v>
      </c>
      <c r="I335">
        <f>IF(AND(MyRowHidden(ROW())=FALSE,MyRowHidden(ROW()-1)=TRUE),0,(E335-E334)*unitsOfDHp+I334)</f>
        <v>65485</v>
      </c>
      <c r="J335">
        <f>IF(AND(MyRowHidden(ROW())=FALSE,MyRowHidden(ROW()-1)=TRUE),0,(G335-G334)*unitsOfExo+J334)</f>
        <v>554400</v>
      </c>
      <c r="K335" s="9">
        <f t="shared" si="31"/>
        <v>-554400</v>
      </c>
      <c r="L335">
        <f t="shared" si="32"/>
        <v>619885</v>
      </c>
      <c r="M335">
        <f>IF(AND(MyRowHidden(ROW())=FALSE,MyRowHidden(ROW()-1)=TRUE),0,IF(MONTH(H335)&lt;&gt;MONTH(H334),M334+1,M334))</f>
        <v>15</v>
      </c>
      <c r="N335">
        <f t="shared" si="33"/>
        <v>65485</v>
      </c>
      <c r="O335">
        <f>IF(AND(MyRowHidden(ROW())=FALSE,MyRowHidden(ROW()-1)=TRUE),0,IF(M335&lt;totalMonths,(totalMonths-M335)/totalMonths *(I335-I334)+O334,0))</f>
        <v>0</v>
      </c>
      <c r="P335">
        <f>IF(AND(MyRowHidden(ROW())=FALSE,MyRowHidden(ROW()-1)=TRUE),0,IF(M335&lt;totalMonths,(totalMonths-M335)/totalMonths *(J335-J334)+P334,0))</f>
        <v>0</v>
      </c>
      <c r="Q335">
        <f>IF(AND(MyRowHidden(ROW())=FALSE,MyRowHidden(ROW()-1)=TRUE),0,IF(M335&lt;totalMonths,(totalMonths-M335)/totalMonths *(K335-K334)+Q334,0))</f>
        <v>0</v>
      </c>
      <c r="R335">
        <f t="shared" si="34"/>
        <v>65485</v>
      </c>
      <c r="S335">
        <f t="shared" si="35"/>
        <v>0</v>
      </c>
    </row>
    <row r="336" spans="1:19" hidden="1" x14ac:dyDescent="0.25">
      <c r="A336" s="1"/>
      <c r="C336" s="1"/>
      <c r="D336" s="1">
        <v>41746</v>
      </c>
      <c r="E336">
        <v>24689</v>
      </c>
      <c r="F336" s="1">
        <v>41746</v>
      </c>
      <c r="G336">
        <v>3675</v>
      </c>
      <c r="H336" s="1">
        <f t="shared" si="30"/>
        <v>41746</v>
      </c>
      <c r="I336">
        <f>IF(AND(MyRowHidden(ROW())=FALSE,MyRowHidden(ROW()-1)=TRUE),0,(E336-E335)*unitsOfDHp+I335)</f>
        <v>69650</v>
      </c>
      <c r="J336">
        <f>IF(AND(MyRowHidden(ROW())=FALSE,MyRowHidden(ROW()-1)=TRUE),0,(G336-G335)*unitsOfExo+J335)</f>
        <v>511200</v>
      </c>
      <c r="K336" s="9">
        <f t="shared" si="31"/>
        <v>-511200</v>
      </c>
      <c r="L336">
        <f t="shared" si="32"/>
        <v>580850</v>
      </c>
      <c r="M336">
        <f>IF(AND(MyRowHidden(ROW())=FALSE,MyRowHidden(ROW()-1)=TRUE),0,IF(MONTH(H336)&lt;&gt;MONTH(H335),M335+1,M335))</f>
        <v>15</v>
      </c>
      <c r="N336">
        <f t="shared" si="33"/>
        <v>69650</v>
      </c>
      <c r="O336">
        <f>IF(AND(MyRowHidden(ROW())=FALSE,MyRowHidden(ROW()-1)=TRUE),0,IF(M336&lt;totalMonths,(totalMonths-M336)/totalMonths *(I336-I335)+O335,0))</f>
        <v>0</v>
      </c>
      <c r="P336">
        <f>IF(AND(MyRowHidden(ROW())=FALSE,MyRowHidden(ROW()-1)=TRUE),0,IF(M336&lt;totalMonths,(totalMonths-M336)/totalMonths *(J336-J335)+P335,0))</f>
        <v>0</v>
      </c>
      <c r="Q336">
        <f>IF(AND(MyRowHidden(ROW())=FALSE,MyRowHidden(ROW()-1)=TRUE),0,IF(M336&lt;totalMonths,(totalMonths-M336)/totalMonths *(K336-K335)+Q335,0))</f>
        <v>0</v>
      </c>
      <c r="R336">
        <f t="shared" si="34"/>
        <v>69650</v>
      </c>
      <c r="S336">
        <f t="shared" si="35"/>
        <v>0</v>
      </c>
    </row>
    <row r="337" spans="1:19" hidden="1" x14ac:dyDescent="0.25">
      <c r="A337" s="1"/>
      <c r="C337" s="1"/>
      <c r="D337" s="1">
        <v>41747</v>
      </c>
      <c r="E337">
        <v>24612</v>
      </c>
      <c r="F337" s="1">
        <v>41747</v>
      </c>
      <c r="G337">
        <v>3737.5</v>
      </c>
      <c r="H337" s="1">
        <f t="shared" si="30"/>
        <v>41747</v>
      </c>
      <c r="I337">
        <f>IF(AND(MyRowHidden(ROW())=FALSE,MyRowHidden(ROW()-1)=TRUE),0,(E337-E336)*unitsOfDHp+I336)</f>
        <v>66955</v>
      </c>
      <c r="J337">
        <f>IF(AND(MyRowHidden(ROW())=FALSE,MyRowHidden(ROW()-1)=TRUE),0,(G337-G336)*unitsOfExo+J336)</f>
        <v>529200</v>
      </c>
      <c r="K337" s="9">
        <f t="shared" si="31"/>
        <v>-529200</v>
      </c>
      <c r="L337">
        <f t="shared" si="32"/>
        <v>596155</v>
      </c>
      <c r="M337">
        <f>IF(AND(MyRowHidden(ROW())=FALSE,MyRowHidden(ROW()-1)=TRUE),0,IF(MONTH(H337)&lt;&gt;MONTH(H336),M336+1,M336))</f>
        <v>15</v>
      </c>
      <c r="N337">
        <f t="shared" si="33"/>
        <v>66955</v>
      </c>
      <c r="O337">
        <f>IF(AND(MyRowHidden(ROW())=FALSE,MyRowHidden(ROW()-1)=TRUE),0,IF(M337&lt;totalMonths,(totalMonths-M337)/totalMonths *(I337-I336)+O336,0))</f>
        <v>0</v>
      </c>
      <c r="P337">
        <f>IF(AND(MyRowHidden(ROW())=FALSE,MyRowHidden(ROW()-1)=TRUE),0,IF(M337&lt;totalMonths,(totalMonths-M337)/totalMonths *(J337-J336)+P336,0))</f>
        <v>0</v>
      </c>
      <c r="Q337">
        <f>IF(AND(MyRowHidden(ROW())=FALSE,MyRowHidden(ROW()-1)=TRUE),0,IF(M337&lt;totalMonths,(totalMonths-M337)/totalMonths *(K337-K336)+Q336,0))</f>
        <v>0</v>
      </c>
      <c r="R337">
        <f t="shared" si="34"/>
        <v>66955</v>
      </c>
      <c r="S337">
        <f t="shared" si="35"/>
        <v>0</v>
      </c>
    </row>
    <row r="338" spans="1:19" hidden="1" x14ac:dyDescent="0.25">
      <c r="A338" s="1"/>
      <c r="C338" s="1"/>
      <c r="D338" s="1">
        <v>41750</v>
      </c>
      <c r="E338">
        <v>24233</v>
      </c>
      <c r="F338" s="1">
        <v>41750</v>
      </c>
      <c r="G338">
        <v>3362.5</v>
      </c>
      <c r="H338" s="1">
        <f t="shared" si="30"/>
        <v>41750</v>
      </c>
      <c r="I338">
        <f>IF(AND(MyRowHidden(ROW())=FALSE,MyRowHidden(ROW()-1)=TRUE),0,(E338-E337)*unitsOfDHp+I337)</f>
        <v>53690</v>
      </c>
      <c r="J338">
        <f>IF(AND(MyRowHidden(ROW())=FALSE,MyRowHidden(ROW()-1)=TRUE),0,(G338-G337)*unitsOfExo+J337)</f>
        <v>421200</v>
      </c>
      <c r="K338" s="9">
        <f t="shared" si="31"/>
        <v>-421200</v>
      </c>
      <c r="L338">
        <f t="shared" si="32"/>
        <v>474890</v>
      </c>
      <c r="M338">
        <f>IF(AND(MyRowHidden(ROW())=FALSE,MyRowHidden(ROW()-1)=TRUE),0,IF(MONTH(H338)&lt;&gt;MONTH(H337),M337+1,M337))</f>
        <v>15</v>
      </c>
      <c r="N338">
        <f t="shared" si="33"/>
        <v>53690</v>
      </c>
      <c r="O338">
        <f>IF(AND(MyRowHidden(ROW())=FALSE,MyRowHidden(ROW()-1)=TRUE),0,IF(M338&lt;totalMonths,(totalMonths-M338)/totalMonths *(I338-I337)+O337,0))</f>
        <v>0</v>
      </c>
      <c r="P338">
        <f>IF(AND(MyRowHidden(ROW())=FALSE,MyRowHidden(ROW()-1)=TRUE),0,IF(M338&lt;totalMonths,(totalMonths-M338)/totalMonths *(J338-J337)+P337,0))</f>
        <v>0</v>
      </c>
      <c r="Q338">
        <f>IF(AND(MyRowHidden(ROW())=FALSE,MyRowHidden(ROW()-1)=TRUE),0,IF(M338&lt;totalMonths,(totalMonths-M338)/totalMonths *(K338-K337)+Q337,0))</f>
        <v>0</v>
      </c>
      <c r="R338">
        <f t="shared" si="34"/>
        <v>53690</v>
      </c>
      <c r="S338">
        <f t="shared" si="35"/>
        <v>0</v>
      </c>
    </row>
    <row r="339" spans="1:19" hidden="1" x14ac:dyDescent="0.25">
      <c r="A339" s="1"/>
      <c r="C339" s="1"/>
      <c r="D339" s="1">
        <v>41751</v>
      </c>
      <c r="E339">
        <v>24040</v>
      </c>
      <c r="F339" s="1">
        <v>41751</v>
      </c>
      <c r="G339">
        <v>3900</v>
      </c>
      <c r="H339" s="1">
        <f t="shared" si="30"/>
        <v>41751</v>
      </c>
      <c r="I339">
        <f>IF(AND(MyRowHidden(ROW())=FALSE,MyRowHidden(ROW()-1)=TRUE),0,(E339-E338)*unitsOfDHp+I338)</f>
        <v>46935</v>
      </c>
      <c r="J339">
        <f>IF(AND(MyRowHidden(ROW())=FALSE,MyRowHidden(ROW()-1)=TRUE),0,(G339-G338)*unitsOfExo+J338)</f>
        <v>576000</v>
      </c>
      <c r="K339" s="9">
        <f t="shared" si="31"/>
        <v>-576000</v>
      </c>
      <c r="L339">
        <f t="shared" si="32"/>
        <v>622935</v>
      </c>
      <c r="M339">
        <f>IF(AND(MyRowHidden(ROW())=FALSE,MyRowHidden(ROW()-1)=TRUE),0,IF(MONTH(H339)&lt;&gt;MONTH(H338),M338+1,M338))</f>
        <v>15</v>
      </c>
      <c r="N339">
        <f t="shared" si="33"/>
        <v>46935</v>
      </c>
      <c r="O339">
        <f>IF(AND(MyRowHidden(ROW())=FALSE,MyRowHidden(ROW()-1)=TRUE),0,IF(M339&lt;totalMonths,(totalMonths-M339)/totalMonths *(I339-I338)+O338,0))</f>
        <v>0</v>
      </c>
      <c r="P339">
        <f>IF(AND(MyRowHidden(ROW())=FALSE,MyRowHidden(ROW()-1)=TRUE),0,IF(M339&lt;totalMonths,(totalMonths-M339)/totalMonths *(J339-J338)+P338,0))</f>
        <v>0</v>
      </c>
      <c r="Q339">
        <f>IF(AND(MyRowHidden(ROW())=FALSE,MyRowHidden(ROW()-1)=TRUE),0,IF(M339&lt;totalMonths,(totalMonths-M339)/totalMonths *(K339-K338)+Q338,0))</f>
        <v>0</v>
      </c>
      <c r="R339">
        <f t="shared" si="34"/>
        <v>46935</v>
      </c>
      <c r="S339">
        <f t="shared" si="35"/>
        <v>0</v>
      </c>
    </row>
    <row r="340" spans="1:19" hidden="1" x14ac:dyDescent="0.25">
      <c r="A340" s="1"/>
      <c r="C340" s="1"/>
      <c r="D340" s="1">
        <v>41752</v>
      </c>
      <c r="E340">
        <v>24206</v>
      </c>
      <c r="F340" s="1">
        <v>41752</v>
      </c>
      <c r="G340">
        <v>4125</v>
      </c>
      <c r="H340" s="1">
        <f t="shared" si="30"/>
        <v>41752</v>
      </c>
      <c r="I340">
        <f>IF(AND(MyRowHidden(ROW())=FALSE,MyRowHidden(ROW()-1)=TRUE),0,(E340-E339)*unitsOfDHp+I339)</f>
        <v>52745</v>
      </c>
      <c r="J340">
        <f>IF(AND(MyRowHidden(ROW())=FALSE,MyRowHidden(ROW()-1)=TRUE),0,(G340-G339)*unitsOfExo+J339)</f>
        <v>640800</v>
      </c>
      <c r="K340" s="9">
        <f t="shared" si="31"/>
        <v>-640800</v>
      </c>
      <c r="L340">
        <f t="shared" si="32"/>
        <v>693545</v>
      </c>
      <c r="M340">
        <f>IF(AND(MyRowHidden(ROW())=FALSE,MyRowHidden(ROW()-1)=TRUE),0,IF(MONTH(H340)&lt;&gt;MONTH(H339),M339+1,M339))</f>
        <v>15</v>
      </c>
      <c r="N340">
        <f t="shared" si="33"/>
        <v>52745</v>
      </c>
      <c r="O340">
        <f>IF(AND(MyRowHidden(ROW())=FALSE,MyRowHidden(ROW()-1)=TRUE),0,IF(M340&lt;totalMonths,(totalMonths-M340)/totalMonths *(I340-I339)+O339,0))</f>
        <v>0</v>
      </c>
      <c r="P340">
        <f>IF(AND(MyRowHidden(ROW())=FALSE,MyRowHidden(ROW()-1)=TRUE),0,IF(M340&lt;totalMonths,(totalMonths-M340)/totalMonths *(J340-J339)+P339,0))</f>
        <v>0</v>
      </c>
      <c r="Q340">
        <f>IF(AND(MyRowHidden(ROW())=FALSE,MyRowHidden(ROW()-1)=TRUE),0,IF(M340&lt;totalMonths,(totalMonths-M340)/totalMonths *(K340-K339)+Q339,0))</f>
        <v>0</v>
      </c>
      <c r="R340">
        <f t="shared" si="34"/>
        <v>52745</v>
      </c>
      <c r="S340">
        <f t="shared" si="35"/>
        <v>0</v>
      </c>
    </row>
    <row r="341" spans="1:19" hidden="1" x14ac:dyDescent="0.25">
      <c r="A341" s="1"/>
      <c r="C341" s="1"/>
      <c r="D341" s="1">
        <v>41753</v>
      </c>
      <c r="E341">
        <v>24199</v>
      </c>
      <c r="F341" s="1">
        <v>41753</v>
      </c>
      <c r="G341">
        <v>4062.5</v>
      </c>
      <c r="H341" s="1">
        <f t="shared" si="30"/>
        <v>41753</v>
      </c>
      <c r="I341">
        <f>IF(AND(MyRowHidden(ROW())=FALSE,MyRowHidden(ROW()-1)=TRUE),0,(E341-E340)*unitsOfDHp+I340)</f>
        <v>52500</v>
      </c>
      <c r="J341">
        <f>IF(AND(MyRowHidden(ROW())=FALSE,MyRowHidden(ROW()-1)=TRUE),0,(G341-G340)*unitsOfExo+J340)</f>
        <v>622800</v>
      </c>
      <c r="K341" s="9">
        <f t="shared" si="31"/>
        <v>-622800</v>
      </c>
      <c r="L341">
        <f t="shared" si="32"/>
        <v>675300</v>
      </c>
      <c r="M341">
        <f>IF(AND(MyRowHidden(ROW())=FALSE,MyRowHidden(ROW()-1)=TRUE),0,IF(MONTH(H341)&lt;&gt;MONTH(H340),M340+1,M340))</f>
        <v>15</v>
      </c>
      <c r="N341">
        <f t="shared" si="33"/>
        <v>52500</v>
      </c>
      <c r="O341">
        <f>IF(AND(MyRowHidden(ROW())=FALSE,MyRowHidden(ROW()-1)=TRUE),0,IF(M341&lt;totalMonths,(totalMonths-M341)/totalMonths *(I341-I340)+O340,0))</f>
        <v>0</v>
      </c>
      <c r="P341">
        <f>IF(AND(MyRowHidden(ROW())=FALSE,MyRowHidden(ROW()-1)=TRUE),0,IF(M341&lt;totalMonths,(totalMonths-M341)/totalMonths *(J341-J340)+P340,0))</f>
        <v>0</v>
      </c>
      <c r="Q341">
        <f>IF(AND(MyRowHidden(ROW())=FALSE,MyRowHidden(ROW()-1)=TRUE),0,IF(M341&lt;totalMonths,(totalMonths-M341)/totalMonths *(K341-K340)+Q340,0))</f>
        <v>0</v>
      </c>
      <c r="R341">
        <f t="shared" si="34"/>
        <v>52500</v>
      </c>
      <c r="S341">
        <f t="shared" si="35"/>
        <v>0</v>
      </c>
    </row>
    <row r="342" spans="1:19" hidden="1" x14ac:dyDescent="0.25">
      <c r="A342" s="1"/>
      <c r="C342" s="1"/>
      <c r="D342" s="1">
        <v>41754</v>
      </c>
      <c r="E342">
        <v>24030</v>
      </c>
      <c r="F342" s="1">
        <v>41754</v>
      </c>
      <c r="G342">
        <v>4350</v>
      </c>
      <c r="H342" s="1">
        <f t="shared" si="30"/>
        <v>41754</v>
      </c>
      <c r="I342">
        <f>IF(AND(MyRowHidden(ROW())=FALSE,MyRowHidden(ROW()-1)=TRUE),0,(E342-E341)*unitsOfDHp+I341)</f>
        <v>46585</v>
      </c>
      <c r="J342">
        <f>IF(AND(MyRowHidden(ROW())=FALSE,MyRowHidden(ROW()-1)=TRUE),0,(G342-G341)*unitsOfExo+J341)</f>
        <v>705600</v>
      </c>
      <c r="K342" s="9">
        <f t="shared" si="31"/>
        <v>-705600</v>
      </c>
      <c r="L342">
        <f t="shared" si="32"/>
        <v>752185</v>
      </c>
      <c r="M342">
        <f>IF(AND(MyRowHidden(ROW())=FALSE,MyRowHidden(ROW()-1)=TRUE),0,IF(MONTH(H342)&lt;&gt;MONTH(H341),M341+1,M341))</f>
        <v>15</v>
      </c>
      <c r="N342">
        <f t="shared" si="33"/>
        <v>46585</v>
      </c>
      <c r="O342">
        <f>IF(AND(MyRowHidden(ROW())=FALSE,MyRowHidden(ROW()-1)=TRUE),0,IF(M342&lt;totalMonths,(totalMonths-M342)/totalMonths *(I342-I341)+O341,0))</f>
        <v>0</v>
      </c>
      <c r="P342">
        <f>IF(AND(MyRowHidden(ROW())=FALSE,MyRowHidden(ROW()-1)=TRUE),0,IF(M342&lt;totalMonths,(totalMonths-M342)/totalMonths *(J342-J341)+P341,0))</f>
        <v>0</v>
      </c>
      <c r="Q342">
        <f>IF(AND(MyRowHidden(ROW())=FALSE,MyRowHidden(ROW()-1)=TRUE),0,IF(M342&lt;totalMonths,(totalMonths-M342)/totalMonths *(K342-K341)+Q341,0))</f>
        <v>0</v>
      </c>
      <c r="R342">
        <f t="shared" si="34"/>
        <v>46585</v>
      </c>
      <c r="S342">
        <f t="shared" si="35"/>
        <v>0</v>
      </c>
    </row>
    <row r="343" spans="1:19" hidden="1" x14ac:dyDescent="0.25">
      <c r="A343" s="1"/>
      <c r="C343" s="1"/>
      <c r="D343" s="1">
        <v>41757</v>
      </c>
      <c r="E343">
        <v>23956</v>
      </c>
      <c r="F343" s="1">
        <v>41757</v>
      </c>
      <c r="G343">
        <v>4437.5</v>
      </c>
      <c r="H343" s="1">
        <f t="shared" si="30"/>
        <v>41757</v>
      </c>
      <c r="I343">
        <f>IF(AND(MyRowHidden(ROW())=FALSE,MyRowHidden(ROW()-1)=TRUE),0,(E343-E342)*unitsOfDHp+I342)</f>
        <v>43995</v>
      </c>
      <c r="J343">
        <f>IF(AND(MyRowHidden(ROW())=FALSE,MyRowHidden(ROW()-1)=TRUE),0,(G343-G342)*unitsOfExo+J342)</f>
        <v>730800</v>
      </c>
      <c r="K343" s="9">
        <f t="shared" si="31"/>
        <v>-730800</v>
      </c>
      <c r="L343">
        <f t="shared" si="32"/>
        <v>774795</v>
      </c>
      <c r="M343">
        <f>IF(AND(MyRowHidden(ROW())=FALSE,MyRowHidden(ROW()-1)=TRUE),0,IF(MONTH(H343)&lt;&gt;MONTH(H342),M342+1,M342))</f>
        <v>15</v>
      </c>
      <c r="N343">
        <f t="shared" si="33"/>
        <v>43995</v>
      </c>
      <c r="O343">
        <f>IF(AND(MyRowHidden(ROW())=FALSE,MyRowHidden(ROW()-1)=TRUE),0,IF(M343&lt;totalMonths,(totalMonths-M343)/totalMonths *(I343-I342)+O342,0))</f>
        <v>0</v>
      </c>
      <c r="P343">
        <f>IF(AND(MyRowHidden(ROW())=FALSE,MyRowHidden(ROW()-1)=TRUE),0,IF(M343&lt;totalMonths,(totalMonths-M343)/totalMonths *(J343-J342)+P342,0))</f>
        <v>0</v>
      </c>
      <c r="Q343">
        <f>IF(AND(MyRowHidden(ROW())=FALSE,MyRowHidden(ROW()-1)=TRUE),0,IF(M343&lt;totalMonths,(totalMonths-M343)/totalMonths *(K343-K342)+Q342,0))</f>
        <v>0</v>
      </c>
      <c r="R343">
        <f t="shared" si="34"/>
        <v>43995</v>
      </c>
      <c r="S343">
        <f t="shared" si="35"/>
        <v>0</v>
      </c>
    </row>
    <row r="344" spans="1:19" hidden="1" x14ac:dyDescent="0.25">
      <c r="A344" s="1"/>
      <c r="C344" s="1"/>
      <c r="D344" s="1">
        <v>41758</v>
      </c>
      <c r="E344">
        <v>23810</v>
      </c>
      <c r="F344" s="1">
        <v>41758</v>
      </c>
      <c r="G344">
        <v>4712.5</v>
      </c>
      <c r="H344" s="1">
        <f t="shared" si="30"/>
        <v>41758</v>
      </c>
      <c r="I344">
        <f>IF(AND(MyRowHidden(ROW())=FALSE,MyRowHidden(ROW()-1)=TRUE),0,(E344-E343)*unitsOfDHp+I343)</f>
        <v>38885</v>
      </c>
      <c r="J344">
        <f>IF(AND(MyRowHidden(ROW())=FALSE,MyRowHidden(ROW()-1)=TRUE),0,(G344-G343)*unitsOfExo+J343)</f>
        <v>810000</v>
      </c>
      <c r="K344" s="9">
        <f t="shared" si="31"/>
        <v>-810000</v>
      </c>
      <c r="L344">
        <f t="shared" si="32"/>
        <v>848885</v>
      </c>
      <c r="M344">
        <f>IF(AND(MyRowHidden(ROW())=FALSE,MyRowHidden(ROW()-1)=TRUE),0,IF(MONTH(H344)&lt;&gt;MONTH(H343),M343+1,M343))</f>
        <v>15</v>
      </c>
      <c r="N344">
        <f t="shared" si="33"/>
        <v>38885</v>
      </c>
      <c r="O344">
        <f>IF(AND(MyRowHidden(ROW())=FALSE,MyRowHidden(ROW()-1)=TRUE),0,IF(M344&lt;totalMonths,(totalMonths-M344)/totalMonths *(I344-I343)+O343,0))</f>
        <v>0</v>
      </c>
      <c r="P344">
        <f>IF(AND(MyRowHidden(ROW())=FALSE,MyRowHidden(ROW()-1)=TRUE),0,IF(M344&lt;totalMonths,(totalMonths-M344)/totalMonths *(J344-J343)+P343,0))</f>
        <v>0</v>
      </c>
      <c r="Q344">
        <f>IF(AND(MyRowHidden(ROW())=FALSE,MyRowHidden(ROW()-1)=TRUE),0,IF(M344&lt;totalMonths,(totalMonths-M344)/totalMonths *(K344-K343)+Q343,0))</f>
        <v>0</v>
      </c>
      <c r="R344">
        <f t="shared" si="34"/>
        <v>38885</v>
      </c>
      <c r="S344">
        <f t="shared" si="35"/>
        <v>0</v>
      </c>
    </row>
    <row r="345" spans="1:19" hidden="1" x14ac:dyDescent="0.25">
      <c r="A345" s="1"/>
      <c r="C345" s="1"/>
      <c r="D345" s="1">
        <v>41759</v>
      </c>
      <c r="E345">
        <v>23846</v>
      </c>
      <c r="F345" s="1">
        <v>41759</v>
      </c>
      <c r="G345">
        <v>4650</v>
      </c>
      <c r="H345" s="1">
        <f t="shared" si="30"/>
        <v>41759</v>
      </c>
      <c r="I345">
        <f>IF(AND(MyRowHidden(ROW())=FALSE,MyRowHidden(ROW()-1)=TRUE),0,(E345-E344)*unitsOfDHp+I344)</f>
        <v>40145</v>
      </c>
      <c r="J345">
        <f>IF(AND(MyRowHidden(ROW())=FALSE,MyRowHidden(ROW()-1)=TRUE),0,(G345-G344)*unitsOfExo+J344)</f>
        <v>792000</v>
      </c>
      <c r="K345" s="9">
        <f t="shared" si="31"/>
        <v>-792000</v>
      </c>
      <c r="L345">
        <f t="shared" si="32"/>
        <v>832145</v>
      </c>
      <c r="M345">
        <f>IF(AND(MyRowHidden(ROW())=FALSE,MyRowHidden(ROW()-1)=TRUE),0,IF(MONTH(H345)&lt;&gt;MONTH(H344),M344+1,M344))</f>
        <v>15</v>
      </c>
      <c r="N345">
        <f t="shared" si="33"/>
        <v>40145</v>
      </c>
      <c r="O345">
        <f>IF(AND(MyRowHidden(ROW())=FALSE,MyRowHidden(ROW()-1)=TRUE),0,IF(M345&lt;totalMonths,(totalMonths-M345)/totalMonths *(I345-I344)+O344,0))</f>
        <v>0</v>
      </c>
      <c r="P345">
        <f>IF(AND(MyRowHidden(ROW())=FALSE,MyRowHidden(ROW()-1)=TRUE),0,IF(M345&lt;totalMonths,(totalMonths-M345)/totalMonths *(J345-J344)+P344,0))</f>
        <v>0</v>
      </c>
      <c r="Q345">
        <f>IF(AND(MyRowHidden(ROW())=FALSE,MyRowHidden(ROW()-1)=TRUE),0,IF(M345&lt;totalMonths,(totalMonths-M345)/totalMonths *(K345-K344)+Q344,0))</f>
        <v>0</v>
      </c>
      <c r="R345">
        <f t="shared" si="34"/>
        <v>40145</v>
      </c>
      <c r="S345">
        <f t="shared" si="35"/>
        <v>0</v>
      </c>
    </row>
    <row r="346" spans="1:19" hidden="1" x14ac:dyDescent="0.25">
      <c r="A346" s="1"/>
      <c r="C346" s="1"/>
      <c r="D346" s="1">
        <v>41760</v>
      </c>
      <c r="E346">
        <v>24388</v>
      </c>
      <c r="F346" s="1">
        <v>41760</v>
      </c>
      <c r="G346">
        <v>4175</v>
      </c>
      <c r="H346" s="1">
        <f t="shared" si="30"/>
        <v>41760</v>
      </c>
      <c r="I346">
        <f>IF(AND(MyRowHidden(ROW())=FALSE,MyRowHidden(ROW()-1)=TRUE),0,(E346-E345)*unitsOfDHp+I345)</f>
        <v>59115</v>
      </c>
      <c r="J346">
        <f>IF(AND(MyRowHidden(ROW())=FALSE,MyRowHidden(ROW()-1)=TRUE),0,(G346-G345)*unitsOfExo+J345)</f>
        <v>655200</v>
      </c>
      <c r="K346" s="9">
        <f t="shared" si="31"/>
        <v>-655200</v>
      </c>
      <c r="L346">
        <f t="shared" si="32"/>
        <v>714315</v>
      </c>
      <c r="M346">
        <f>IF(AND(MyRowHidden(ROW())=FALSE,MyRowHidden(ROW()-1)=TRUE),0,IF(MONTH(H346)&lt;&gt;MONTH(H345),M345+1,M345))</f>
        <v>16</v>
      </c>
      <c r="N346">
        <f t="shared" si="33"/>
        <v>59115</v>
      </c>
      <c r="O346">
        <f>IF(AND(MyRowHidden(ROW())=FALSE,MyRowHidden(ROW()-1)=TRUE),0,IF(M346&lt;totalMonths,(totalMonths-M346)/totalMonths *(I346-I345)+O345,0))</f>
        <v>0</v>
      </c>
      <c r="P346">
        <f>IF(AND(MyRowHidden(ROW())=FALSE,MyRowHidden(ROW()-1)=TRUE),0,IF(M346&lt;totalMonths,(totalMonths-M346)/totalMonths *(J346-J345)+P345,0))</f>
        <v>0</v>
      </c>
      <c r="Q346">
        <f>IF(AND(MyRowHidden(ROW())=FALSE,MyRowHidden(ROW()-1)=TRUE),0,IF(M346&lt;totalMonths,(totalMonths-M346)/totalMonths *(K346-K345)+Q345,0))</f>
        <v>0</v>
      </c>
      <c r="R346">
        <f t="shared" si="34"/>
        <v>59115</v>
      </c>
      <c r="S346">
        <f t="shared" si="35"/>
        <v>0</v>
      </c>
    </row>
    <row r="347" spans="1:19" hidden="1" x14ac:dyDescent="0.25">
      <c r="A347" s="1"/>
      <c r="C347" s="1"/>
      <c r="D347" s="1">
        <v>41761</v>
      </c>
      <c r="E347">
        <v>24385</v>
      </c>
      <c r="F347" s="1">
        <v>41761</v>
      </c>
      <c r="G347">
        <v>3637.5</v>
      </c>
      <c r="H347" s="1">
        <f t="shared" si="30"/>
        <v>41761</v>
      </c>
      <c r="I347">
        <f>IF(AND(MyRowHidden(ROW())=FALSE,MyRowHidden(ROW()-1)=TRUE),0,(E347-E346)*unitsOfDHp+I346)</f>
        <v>59010</v>
      </c>
      <c r="J347">
        <f>IF(AND(MyRowHidden(ROW())=FALSE,MyRowHidden(ROW()-1)=TRUE),0,(G347-G346)*unitsOfExo+J346)</f>
        <v>500400</v>
      </c>
      <c r="K347" s="9">
        <f t="shared" si="31"/>
        <v>-500400</v>
      </c>
      <c r="L347">
        <f t="shared" si="32"/>
        <v>559410</v>
      </c>
      <c r="M347">
        <f>IF(AND(MyRowHidden(ROW())=FALSE,MyRowHidden(ROW()-1)=TRUE),0,IF(MONTH(H347)&lt;&gt;MONTH(H346),M346+1,M346))</f>
        <v>16</v>
      </c>
      <c r="N347">
        <f t="shared" si="33"/>
        <v>59010</v>
      </c>
      <c r="O347">
        <f>IF(AND(MyRowHidden(ROW())=FALSE,MyRowHidden(ROW()-1)=TRUE),0,IF(M347&lt;totalMonths,(totalMonths-M347)/totalMonths *(I347-I346)+O346,0))</f>
        <v>0</v>
      </c>
      <c r="P347">
        <f>IF(AND(MyRowHidden(ROW())=FALSE,MyRowHidden(ROW()-1)=TRUE),0,IF(M347&lt;totalMonths,(totalMonths-M347)/totalMonths *(J347-J346)+P346,0))</f>
        <v>0</v>
      </c>
      <c r="Q347">
        <f>IF(AND(MyRowHidden(ROW())=FALSE,MyRowHidden(ROW()-1)=TRUE),0,IF(M347&lt;totalMonths,(totalMonths-M347)/totalMonths *(K347-K346)+Q346,0))</f>
        <v>0</v>
      </c>
      <c r="R347">
        <f t="shared" si="34"/>
        <v>59010</v>
      </c>
      <c r="S347">
        <f t="shared" si="35"/>
        <v>0</v>
      </c>
    </row>
    <row r="348" spans="1:19" hidden="1" x14ac:dyDescent="0.25">
      <c r="A348" s="1"/>
      <c r="C348" s="1"/>
      <c r="D348" s="1">
        <v>41764</v>
      </c>
      <c r="E348">
        <v>24544</v>
      </c>
      <c r="F348" s="1">
        <v>41764</v>
      </c>
      <c r="G348">
        <v>4175</v>
      </c>
      <c r="H348" s="1">
        <f t="shared" si="30"/>
        <v>41764</v>
      </c>
      <c r="I348">
        <f>IF(AND(MyRowHidden(ROW())=FALSE,MyRowHidden(ROW()-1)=TRUE),0,(E348-E347)*unitsOfDHp+I347)</f>
        <v>64575</v>
      </c>
      <c r="J348">
        <f>IF(AND(MyRowHidden(ROW())=FALSE,MyRowHidden(ROW()-1)=TRUE),0,(G348-G347)*unitsOfExo+J347)</f>
        <v>655200</v>
      </c>
      <c r="K348" s="9">
        <f t="shared" si="31"/>
        <v>-655200</v>
      </c>
      <c r="L348">
        <f t="shared" si="32"/>
        <v>719775</v>
      </c>
      <c r="M348">
        <f>IF(AND(MyRowHidden(ROW())=FALSE,MyRowHidden(ROW()-1)=TRUE),0,IF(MONTH(H348)&lt;&gt;MONTH(H347),M347+1,M347))</f>
        <v>16</v>
      </c>
      <c r="N348">
        <f t="shared" si="33"/>
        <v>64575</v>
      </c>
      <c r="O348">
        <f>IF(AND(MyRowHidden(ROW())=FALSE,MyRowHidden(ROW()-1)=TRUE),0,IF(M348&lt;totalMonths,(totalMonths-M348)/totalMonths *(I348-I347)+O347,0))</f>
        <v>0</v>
      </c>
      <c r="P348">
        <f>IF(AND(MyRowHidden(ROW())=FALSE,MyRowHidden(ROW()-1)=TRUE),0,IF(M348&lt;totalMonths,(totalMonths-M348)/totalMonths *(J348-J347)+P347,0))</f>
        <v>0</v>
      </c>
      <c r="Q348">
        <f>IF(AND(MyRowHidden(ROW())=FALSE,MyRowHidden(ROW()-1)=TRUE),0,IF(M348&lt;totalMonths,(totalMonths-M348)/totalMonths *(K348-K347)+Q347,0))</f>
        <v>0</v>
      </c>
      <c r="R348">
        <f t="shared" si="34"/>
        <v>64575</v>
      </c>
      <c r="S348">
        <f t="shared" si="35"/>
        <v>0</v>
      </c>
    </row>
    <row r="349" spans="1:19" hidden="1" x14ac:dyDescent="0.25">
      <c r="A349" s="1"/>
      <c r="C349" s="1"/>
      <c r="D349" s="1">
        <v>41765</v>
      </c>
      <c r="E349">
        <v>24994</v>
      </c>
      <c r="F349" s="1">
        <v>41765</v>
      </c>
      <c r="G349">
        <v>4662.5</v>
      </c>
      <c r="H349" s="1">
        <f t="shared" si="30"/>
        <v>41765</v>
      </c>
      <c r="I349">
        <f>IF(AND(MyRowHidden(ROW())=FALSE,MyRowHidden(ROW()-1)=TRUE),0,(E349-E348)*unitsOfDHp+I348)</f>
        <v>80325</v>
      </c>
      <c r="J349">
        <f>IF(AND(MyRowHidden(ROW())=FALSE,MyRowHidden(ROW()-1)=TRUE),0,(G349-G348)*unitsOfExo+J348)</f>
        <v>795600</v>
      </c>
      <c r="K349" s="9">
        <f t="shared" si="31"/>
        <v>-795600</v>
      </c>
      <c r="L349">
        <f t="shared" si="32"/>
        <v>875925</v>
      </c>
      <c r="M349">
        <f>IF(AND(MyRowHidden(ROW())=FALSE,MyRowHidden(ROW()-1)=TRUE),0,IF(MONTH(H349)&lt;&gt;MONTH(H348),M348+1,M348))</f>
        <v>16</v>
      </c>
      <c r="N349">
        <f t="shared" si="33"/>
        <v>80325</v>
      </c>
      <c r="O349">
        <f>IF(AND(MyRowHidden(ROW())=FALSE,MyRowHidden(ROW()-1)=TRUE),0,IF(M349&lt;totalMonths,(totalMonths-M349)/totalMonths *(I349-I348)+O348,0))</f>
        <v>0</v>
      </c>
      <c r="P349">
        <f>IF(AND(MyRowHidden(ROW())=FALSE,MyRowHidden(ROW()-1)=TRUE),0,IF(M349&lt;totalMonths,(totalMonths-M349)/totalMonths *(J349-J348)+P348,0))</f>
        <v>0</v>
      </c>
      <c r="Q349">
        <f>IF(AND(MyRowHidden(ROW())=FALSE,MyRowHidden(ROW()-1)=TRUE),0,IF(M349&lt;totalMonths,(totalMonths-M349)/totalMonths *(K349-K348)+Q348,0))</f>
        <v>0</v>
      </c>
      <c r="R349">
        <f t="shared" si="34"/>
        <v>80325</v>
      </c>
      <c r="S349">
        <f t="shared" si="35"/>
        <v>0</v>
      </c>
    </row>
    <row r="350" spans="1:19" hidden="1" x14ac:dyDescent="0.25">
      <c r="A350" s="1"/>
      <c r="C350" s="1"/>
      <c r="D350" s="1">
        <v>41766</v>
      </c>
      <c r="E350">
        <v>24838</v>
      </c>
      <c r="F350" s="1">
        <v>41766</v>
      </c>
      <c r="G350">
        <v>4362.5</v>
      </c>
      <c r="H350" s="1">
        <f t="shared" si="30"/>
        <v>41766</v>
      </c>
      <c r="I350">
        <f>IF(AND(MyRowHidden(ROW())=FALSE,MyRowHidden(ROW()-1)=TRUE),0,(E350-E349)*unitsOfDHp+I349)</f>
        <v>74865</v>
      </c>
      <c r="J350">
        <f>IF(AND(MyRowHidden(ROW())=FALSE,MyRowHidden(ROW()-1)=TRUE),0,(G350-G349)*unitsOfExo+J349)</f>
        <v>709200</v>
      </c>
      <c r="K350" s="9">
        <f t="shared" si="31"/>
        <v>-709200</v>
      </c>
      <c r="L350">
        <f t="shared" si="32"/>
        <v>784065</v>
      </c>
      <c r="M350">
        <f>IF(AND(MyRowHidden(ROW())=FALSE,MyRowHidden(ROW()-1)=TRUE),0,IF(MONTH(H350)&lt;&gt;MONTH(H349),M349+1,M349))</f>
        <v>16</v>
      </c>
      <c r="N350">
        <f t="shared" si="33"/>
        <v>74865</v>
      </c>
      <c r="O350">
        <f>IF(AND(MyRowHidden(ROW())=FALSE,MyRowHidden(ROW()-1)=TRUE),0,IF(M350&lt;totalMonths,(totalMonths-M350)/totalMonths *(I350-I349)+O349,0))</f>
        <v>0</v>
      </c>
      <c r="P350">
        <f>IF(AND(MyRowHidden(ROW())=FALSE,MyRowHidden(ROW()-1)=TRUE),0,IF(M350&lt;totalMonths,(totalMonths-M350)/totalMonths *(J350-J349)+P349,0))</f>
        <v>0</v>
      </c>
      <c r="Q350">
        <f>IF(AND(MyRowHidden(ROW())=FALSE,MyRowHidden(ROW()-1)=TRUE),0,IF(M350&lt;totalMonths,(totalMonths-M350)/totalMonths *(K350-K349)+Q349,0))</f>
        <v>0</v>
      </c>
      <c r="R350">
        <f t="shared" si="34"/>
        <v>74865</v>
      </c>
      <c r="S350">
        <f t="shared" si="35"/>
        <v>0</v>
      </c>
    </row>
    <row r="351" spans="1:19" hidden="1" x14ac:dyDescent="0.25">
      <c r="A351" s="1"/>
      <c r="C351" s="1"/>
      <c r="D351" s="1">
        <v>41767</v>
      </c>
      <c r="E351">
        <v>24558</v>
      </c>
      <c r="F351" s="1">
        <v>41767</v>
      </c>
      <c r="G351">
        <v>4662.5</v>
      </c>
      <c r="H351" s="1">
        <f t="shared" si="30"/>
        <v>41767</v>
      </c>
      <c r="I351">
        <f>IF(AND(MyRowHidden(ROW())=FALSE,MyRowHidden(ROW()-1)=TRUE),0,(E351-E350)*unitsOfDHp+I350)</f>
        <v>65065</v>
      </c>
      <c r="J351">
        <f>IF(AND(MyRowHidden(ROW())=FALSE,MyRowHidden(ROW()-1)=TRUE),0,(G351-G350)*unitsOfExo+J350)</f>
        <v>795600</v>
      </c>
      <c r="K351" s="9">
        <f t="shared" si="31"/>
        <v>-795600</v>
      </c>
      <c r="L351">
        <f t="shared" si="32"/>
        <v>860665</v>
      </c>
      <c r="M351">
        <f>IF(AND(MyRowHidden(ROW())=FALSE,MyRowHidden(ROW()-1)=TRUE),0,IF(MONTH(H351)&lt;&gt;MONTH(H350),M350+1,M350))</f>
        <v>16</v>
      </c>
      <c r="N351">
        <f t="shared" si="33"/>
        <v>65065</v>
      </c>
      <c r="O351">
        <f>IF(AND(MyRowHidden(ROW())=FALSE,MyRowHidden(ROW()-1)=TRUE),0,IF(M351&lt;totalMonths,(totalMonths-M351)/totalMonths *(I351-I350)+O350,0))</f>
        <v>0</v>
      </c>
      <c r="P351">
        <f>IF(AND(MyRowHidden(ROW())=FALSE,MyRowHidden(ROW()-1)=TRUE),0,IF(M351&lt;totalMonths,(totalMonths-M351)/totalMonths *(J351-J350)+P350,0))</f>
        <v>0</v>
      </c>
      <c r="Q351">
        <f>IF(AND(MyRowHidden(ROW())=FALSE,MyRowHidden(ROW()-1)=TRUE),0,IF(M351&lt;totalMonths,(totalMonths-M351)/totalMonths *(K351-K350)+Q350,0))</f>
        <v>0</v>
      </c>
      <c r="R351">
        <f t="shared" si="34"/>
        <v>65065</v>
      </c>
      <c r="S351">
        <f t="shared" si="35"/>
        <v>0</v>
      </c>
    </row>
    <row r="352" spans="1:19" hidden="1" x14ac:dyDescent="0.25">
      <c r="A352" s="1"/>
      <c r="C352" s="1"/>
      <c r="D352" s="1">
        <v>41768</v>
      </c>
      <c r="E352">
        <v>24660</v>
      </c>
      <c r="F352" s="1">
        <v>41768</v>
      </c>
      <c r="G352">
        <v>4337.5</v>
      </c>
      <c r="H352" s="1">
        <f t="shared" si="30"/>
        <v>41768</v>
      </c>
      <c r="I352">
        <f>IF(AND(MyRowHidden(ROW())=FALSE,MyRowHidden(ROW()-1)=TRUE),0,(E352-E351)*unitsOfDHp+I351)</f>
        <v>68635</v>
      </c>
      <c r="J352">
        <f>IF(AND(MyRowHidden(ROW())=FALSE,MyRowHidden(ROW()-1)=TRUE),0,(G352-G351)*unitsOfExo+J351)</f>
        <v>702000</v>
      </c>
      <c r="K352" s="9">
        <f t="shared" si="31"/>
        <v>-702000</v>
      </c>
      <c r="L352">
        <f t="shared" si="32"/>
        <v>770635</v>
      </c>
      <c r="M352">
        <f>IF(AND(MyRowHidden(ROW())=FALSE,MyRowHidden(ROW()-1)=TRUE),0,IF(MONTH(H352)&lt;&gt;MONTH(H351),M351+1,M351))</f>
        <v>16</v>
      </c>
      <c r="N352">
        <f t="shared" si="33"/>
        <v>68635</v>
      </c>
      <c r="O352">
        <f>IF(AND(MyRowHidden(ROW())=FALSE,MyRowHidden(ROW()-1)=TRUE),0,IF(M352&lt;totalMonths,(totalMonths-M352)/totalMonths *(I352-I351)+O351,0))</f>
        <v>0</v>
      </c>
      <c r="P352">
        <f>IF(AND(MyRowHidden(ROW())=FALSE,MyRowHidden(ROW()-1)=TRUE),0,IF(M352&lt;totalMonths,(totalMonths-M352)/totalMonths *(J352-J351)+P351,0))</f>
        <v>0</v>
      </c>
      <c r="Q352">
        <f>IF(AND(MyRowHidden(ROW())=FALSE,MyRowHidden(ROW()-1)=TRUE),0,IF(M352&lt;totalMonths,(totalMonths-M352)/totalMonths *(K352-K351)+Q351,0))</f>
        <v>0</v>
      </c>
      <c r="R352">
        <f t="shared" si="34"/>
        <v>68635</v>
      </c>
      <c r="S352">
        <f t="shared" si="35"/>
        <v>0</v>
      </c>
    </row>
    <row r="353" spans="1:19" hidden="1" x14ac:dyDescent="0.25">
      <c r="A353" s="1"/>
      <c r="C353" s="1"/>
      <c r="D353" s="1">
        <v>41771</v>
      </c>
      <c r="E353">
        <v>25685</v>
      </c>
      <c r="F353" s="1">
        <v>41771</v>
      </c>
      <c r="G353">
        <v>3887.5</v>
      </c>
      <c r="H353" s="1">
        <f t="shared" si="30"/>
        <v>41771</v>
      </c>
      <c r="I353">
        <f>IF(AND(MyRowHidden(ROW())=FALSE,MyRowHidden(ROW()-1)=TRUE),0,(E353-E352)*unitsOfDHp+I352)</f>
        <v>104510</v>
      </c>
      <c r="J353">
        <f>IF(AND(MyRowHidden(ROW())=FALSE,MyRowHidden(ROW()-1)=TRUE),0,(G353-G352)*unitsOfExo+J352)</f>
        <v>572400</v>
      </c>
      <c r="K353" s="9">
        <f t="shared" si="31"/>
        <v>-572400</v>
      </c>
      <c r="L353">
        <f t="shared" si="32"/>
        <v>676910</v>
      </c>
      <c r="M353">
        <f>IF(AND(MyRowHidden(ROW())=FALSE,MyRowHidden(ROW()-1)=TRUE),0,IF(MONTH(H353)&lt;&gt;MONTH(H352),M352+1,M352))</f>
        <v>16</v>
      </c>
      <c r="N353">
        <f t="shared" si="33"/>
        <v>104510</v>
      </c>
      <c r="O353">
        <f>IF(AND(MyRowHidden(ROW())=FALSE,MyRowHidden(ROW()-1)=TRUE),0,IF(M353&lt;totalMonths,(totalMonths-M353)/totalMonths *(I353-I352)+O352,0))</f>
        <v>0</v>
      </c>
      <c r="P353">
        <f>IF(AND(MyRowHidden(ROW())=FALSE,MyRowHidden(ROW()-1)=TRUE),0,IF(M353&lt;totalMonths,(totalMonths-M353)/totalMonths *(J353-J352)+P352,0))</f>
        <v>0</v>
      </c>
      <c r="Q353">
        <f>IF(AND(MyRowHidden(ROW())=FALSE,MyRowHidden(ROW()-1)=TRUE),0,IF(M353&lt;totalMonths,(totalMonths-M353)/totalMonths *(K353-K352)+Q352,0))</f>
        <v>0</v>
      </c>
      <c r="R353">
        <f t="shared" si="34"/>
        <v>104510</v>
      </c>
      <c r="S353">
        <f t="shared" si="35"/>
        <v>0</v>
      </c>
    </row>
    <row r="354" spans="1:19" hidden="1" x14ac:dyDescent="0.25">
      <c r="A354" s="1"/>
      <c r="C354" s="1"/>
      <c r="D354" s="1">
        <v>41772</v>
      </c>
      <c r="E354">
        <v>25556</v>
      </c>
      <c r="F354" s="1">
        <v>41772</v>
      </c>
      <c r="G354">
        <v>3987.5</v>
      </c>
      <c r="H354" s="1">
        <f t="shared" si="30"/>
        <v>41772</v>
      </c>
      <c r="I354">
        <f>IF(AND(MyRowHidden(ROW())=FALSE,MyRowHidden(ROW()-1)=TRUE),0,(E354-E353)*unitsOfDHp+I353)</f>
        <v>99995</v>
      </c>
      <c r="J354">
        <f>IF(AND(MyRowHidden(ROW())=FALSE,MyRowHidden(ROW()-1)=TRUE),0,(G354-G353)*unitsOfExo+J353)</f>
        <v>601200</v>
      </c>
      <c r="K354" s="9">
        <f t="shared" si="31"/>
        <v>-601200</v>
      </c>
      <c r="L354">
        <f t="shared" si="32"/>
        <v>701195</v>
      </c>
      <c r="M354">
        <f>IF(AND(MyRowHidden(ROW())=FALSE,MyRowHidden(ROW()-1)=TRUE),0,IF(MONTH(H354)&lt;&gt;MONTH(H353),M353+1,M353))</f>
        <v>16</v>
      </c>
      <c r="N354">
        <f t="shared" si="33"/>
        <v>99995</v>
      </c>
      <c r="O354">
        <f>IF(AND(MyRowHidden(ROW())=FALSE,MyRowHidden(ROW()-1)=TRUE),0,IF(M354&lt;totalMonths,(totalMonths-M354)/totalMonths *(I354-I353)+O353,0))</f>
        <v>0</v>
      </c>
      <c r="P354">
        <f>IF(AND(MyRowHidden(ROW())=FALSE,MyRowHidden(ROW()-1)=TRUE),0,IF(M354&lt;totalMonths,(totalMonths-M354)/totalMonths *(J354-J353)+P353,0))</f>
        <v>0</v>
      </c>
      <c r="Q354">
        <f>IF(AND(MyRowHidden(ROW())=FALSE,MyRowHidden(ROW()-1)=TRUE),0,IF(M354&lt;totalMonths,(totalMonths-M354)/totalMonths *(K354-K353)+Q353,0))</f>
        <v>0</v>
      </c>
      <c r="R354">
        <f t="shared" si="34"/>
        <v>99995</v>
      </c>
      <c r="S354">
        <f t="shared" si="35"/>
        <v>0</v>
      </c>
    </row>
    <row r="355" spans="1:19" hidden="1" x14ac:dyDescent="0.25">
      <c r="A355" s="1"/>
      <c r="C355" s="1"/>
      <c r="D355" s="1">
        <v>41773</v>
      </c>
      <c r="E355">
        <v>25659</v>
      </c>
      <c r="F355" s="1">
        <v>41773</v>
      </c>
      <c r="G355">
        <v>3725</v>
      </c>
      <c r="H355" s="1">
        <f t="shared" si="30"/>
        <v>41773</v>
      </c>
      <c r="I355">
        <f>IF(AND(MyRowHidden(ROW())=FALSE,MyRowHidden(ROW()-1)=TRUE),0,(E355-E354)*unitsOfDHp+I354)</f>
        <v>103600</v>
      </c>
      <c r="J355">
        <f>IF(AND(MyRowHidden(ROW())=FALSE,MyRowHidden(ROW()-1)=TRUE),0,(G355-G354)*unitsOfExo+J354)</f>
        <v>525600</v>
      </c>
      <c r="K355" s="9">
        <f t="shared" si="31"/>
        <v>-525600</v>
      </c>
      <c r="L355">
        <f t="shared" si="32"/>
        <v>629200</v>
      </c>
      <c r="M355">
        <f>IF(AND(MyRowHidden(ROW())=FALSE,MyRowHidden(ROW()-1)=TRUE),0,IF(MONTH(H355)&lt;&gt;MONTH(H354),M354+1,M354))</f>
        <v>16</v>
      </c>
      <c r="N355">
        <f t="shared" si="33"/>
        <v>103600</v>
      </c>
      <c r="O355">
        <f>IF(AND(MyRowHidden(ROW())=FALSE,MyRowHidden(ROW()-1)=TRUE),0,IF(M355&lt;totalMonths,(totalMonths-M355)/totalMonths *(I355-I354)+O354,0))</f>
        <v>0</v>
      </c>
      <c r="P355">
        <f>IF(AND(MyRowHidden(ROW())=FALSE,MyRowHidden(ROW()-1)=TRUE),0,IF(M355&lt;totalMonths,(totalMonths-M355)/totalMonths *(J355-J354)+P354,0))</f>
        <v>0</v>
      </c>
      <c r="Q355">
        <f>IF(AND(MyRowHidden(ROW())=FALSE,MyRowHidden(ROW()-1)=TRUE),0,IF(M355&lt;totalMonths,(totalMonths-M355)/totalMonths *(K355-K354)+Q354,0))</f>
        <v>0</v>
      </c>
      <c r="R355">
        <f t="shared" si="34"/>
        <v>103600</v>
      </c>
      <c r="S355">
        <f t="shared" si="35"/>
        <v>0</v>
      </c>
    </row>
    <row r="356" spans="1:19" hidden="1" x14ac:dyDescent="0.25">
      <c r="A356" s="1"/>
      <c r="C356" s="1"/>
      <c r="D356" s="1">
        <v>41774</v>
      </c>
      <c r="E356">
        <v>27869</v>
      </c>
      <c r="F356" s="1">
        <v>41774</v>
      </c>
      <c r="G356">
        <v>3125</v>
      </c>
      <c r="H356" s="1">
        <f t="shared" si="30"/>
        <v>41774</v>
      </c>
      <c r="I356">
        <f>IF(AND(MyRowHidden(ROW())=FALSE,MyRowHidden(ROW()-1)=TRUE),0,(E356-E355)*unitsOfDHp+I355)</f>
        <v>180950</v>
      </c>
      <c r="J356">
        <f>IF(AND(MyRowHidden(ROW())=FALSE,MyRowHidden(ROW()-1)=TRUE),0,(G356-G355)*unitsOfExo+J355)</f>
        <v>352800</v>
      </c>
      <c r="K356" s="9">
        <f t="shared" si="31"/>
        <v>-352800</v>
      </c>
      <c r="L356">
        <f t="shared" si="32"/>
        <v>533750</v>
      </c>
      <c r="M356">
        <f>IF(AND(MyRowHidden(ROW())=FALSE,MyRowHidden(ROW()-1)=TRUE),0,IF(MONTH(H356)&lt;&gt;MONTH(H355),M355+1,M355))</f>
        <v>16</v>
      </c>
      <c r="N356">
        <f t="shared" si="33"/>
        <v>180950</v>
      </c>
      <c r="O356">
        <f>IF(AND(MyRowHidden(ROW())=FALSE,MyRowHidden(ROW()-1)=TRUE),0,IF(M356&lt;totalMonths,(totalMonths-M356)/totalMonths *(I356-I355)+O355,0))</f>
        <v>0</v>
      </c>
      <c r="P356">
        <f>IF(AND(MyRowHidden(ROW())=FALSE,MyRowHidden(ROW()-1)=TRUE),0,IF(M356&lt;totalMonths,(totalMonths-M356)/totalMonths *(J356-J355)+P355,0))</f>
        <v>0</v>
      </c>
      <c r="Q356">
        <f>IF(AND(MyRowHidden(ROW())=FALSE,MyRowHidden(ROW()-1)=TRUE),0,IF(M356&lt;totalMonths,(totalMonths-M356)/totalMonths *(K356-K355)+Q355,0))</f>
        <v>0</v>
      </c>
      <c r="R356">
        <f t="shared" si="34"/>
        <v>180950</v>
      </c>
      <c r="S356">
        <f t="shared" si="35"/>
        <v>0</v>
      </c>
    </row>
    <row r="357" spans="1:19" hidden="1" x14ac:dyDescent="0.25">
      <c r="A357" s="1"/>
      <c r="C357" s="1"/>
      <c r="D357" s="1">
        <v>41775</v>
      </c>
      <c r="E357">
        <v>27951</v>
      </c>
      <c r="F357" s="1">
        <v>41775</v>
      </c>
      <c r="G357">
        <v>3025</v>
      </c>
      <c r="H357" s="1">
        <f t="shared" si="30"/>
        <v>41775</v>
      </c>
      <c r="I357">
        <f>IF(AND(MyRowHidden(ROW())=FALSE,MyRowHidden(ROW()-1)=TRUE),0,(E357-E356)*unitsOfDHp+I356)</f>
        <v>183820</v>
      </c>
      <c r="J357">
        <f>IF(AND(MyRowHidden(ROW())=FALSE,MyRowHidden(ROW()-1)=TRUE),0,(G357-G356)*unitsOfExo+J356)</f>
        <v>324000</v>
      </c>
      <c r="K357" s="9">
        <f t="shared" si="31"/>
        <v>-324000</v>
      </c>
      <c r="L357">
        <f t="shared" si="32"/>
        <v>507820</v>
      </c>
      <c r="M357">
        <f>IF(AND(MyRowHidden(ROW())=FALSE,MyRowHidden(ROW()-1)=TRUE),0,IF(MONTH(H357)&lt;&gt;MONTH(H356),M356+1,M356))</f>
        <v>16</v>
      </c>
      <c r="N357">
        <f t="shared" si="33"/>
        <v>183820</v>
      </c>
      <c r="O357">
        <f>IF(AND(MyRowHidden(ROW())=FALSE,MyRowHidden(ROW()-1)=TRUE),0,IF(M357&lt;totalMonths,(totalMonths-M357)/totalMonths *(I357-I356)+O356,0))</f>
        <v>0</v>
      </c>
      <c r="P357">
        <f>IF(AND(MyRowHidden(ROW())=FALSE,MyRowHidden(ROW()-1)=TRUE),0,IF(M357&lt;totalMonths,(totalMonths-M357)/totalMonths *(J357-J356)+P356,0))</f>
        <v>0</v>
      </c>
      <c r="Q357">
        <f>IF(AND(MyRowHidden(ROW())=FALSE,MyRowHidden(ROW()-1)=TRUE),0,IF(M357&lt;totalMonths,(totalMonths-M357)/totalMonths *(K357-K356)+Q356,0))</f>
        <v>0</v>
      </c>
      <c r="R357">
        <f t="shared" si="34"/>
        <v>183820</v>
      </c>
      <c r="S357">
        <f t="shared" si="35"/>
        <v>0</v>
      </c>
    </row>
    <row r="358" spans="1:19" hidden="1" x14ac:dyDescent="0.25">
      <c r="A358" s="1"/>
      <c r="C358" s="1"/>
      <c r="D358" s="1">
        <v>41778</v>
      </c>
      <c r="E358">
        <v>28171</v>
      </c>
      <c r="F358" s="1">
        <v>41778</v>
      </c>
      <c r="G358">
        <v>2775</v>
      </c>
      <c r="H358" s="1">
        <f t="shared" si="30"/>
        <v>41778</v>
      </c>
      <c r="I358">
        <f>IF(AND(MyRowHidden(ROW())=FALSE,MyRowHidden(ROW()-1)=TRUE),0,(E358-E357)*unitsOfDHp+I357)</f>
        <v>191520</v>
      </c>
      <c r="J358">
        <f>IF(AND(MyRowHidden(ROW())=FALSE,MyRowHidden(ROW()-1)=TRUE),0,(G358-G357)*unitsOfExo+J357)</f>
        <v>252000</v>
      </c>
      <c r="K358" s="9">
        <f t="shared" si="31"/>
        <v>-252000</v>
      </c>
      <c r="L358">
        <f t="shared" si="32"/>
        <v>443520</v>
      </c>
      <c r="M358">
        <f>IF(AND(MyRowHidden(ROW())=FALSE,MyRowHidden(ROW()-1)=TRUE),0,IF(MONTH(H358)&lt;&gt;MONTH(H357),M357+1,M357))</f>
        <v>16</v>
      </c>
      <c r="N358">
        <f t="shared" si="33"/>
        <v>191520</v>
      </c>
      <c r="O358">
        <f>IF(AND(MyRowHidden(ROW())=FALSE,MyRowHidden(ROW()-1)=TRUE),0,IF(M358&lt;totalMonths,(totalMonths-M358)/totalMonths *(I358-I357)+O357,0))</f>
        <v>0</v>
      </c>
      <c r="P358">
        <f>IF(AND(MyRowHidden(ROW())=FALSE,MyRowHidden(ROW()-1)=TRUE),0,IF(M358&lt;totalMonths,(totalMonths-M358)/totalMonths *(J358-J357)+P357,0))</f>
        <v>0</v>
      </c>
      <c r="Q358">
        <f>IF(AND(MyRowHidden(ROW())=FALSE,MyRowHidden(ROW()-1)=TRUE),0,IF(M358&lt;totalMonths,(totalMonths-M358)/totalMonths *(K358-K357)+Q357,0))</f>
        <v>0</v>
      </c>
      <c r="R358">
        <f t="shared" si="34"/>
        <v>191520</v>
      </c>
      <c r="S358">
        <f t="shared" si="35"/>
        <v>0</v>
      </c>
    </row>
    <row r="359" spans="1:19" hidden="1" x14ac:dyDescent="0.25">
      <c r="A359" s="1"/>
      <c r="C359" s="1"/>
      <c r="D359" s="1">
        <v>41779</v>
      </c>
      <c r="E359">
        <v>28243</v>
      </c>
      <c r="F359" s="1">
        <v>41779</v>
      </c>
      <c r="G359">
        <v>2625</v>
      </c>
      <c r="H359" s="1">
        <f t="shared" si="30"/>
        <v>41779</v>
      </c>
      <c r="I359">
        <f>IF(AND(MyRowHidden(ROW())=FALSE,MyRowHidden(ROW()-1)=TRUE),0,(E359-E358)*unitsOfDHp+I358)</f>
        <v>194040</v>
      </c>
      <c r="J359">
        <f>IF(AND(MyRowHidden(ROW())=FALSE,MyRowHidden(ROW()-1)=TRUE),0,(G359-G358)*unitsOfExo+J358)</f>
        <v>208800</v>
      </c>
      <c r="K359" s="9">
        <f t="shared" si="31"/>
        <v>-208800</v>
      </c>
      <c r="L359">
        <f t="shared" si="32"/>
        <v>402840</v>
      </c>
      <c r="M359">
        <f>IF(AND(MyRowHidden(ROW())=FALSE,MyRowHidden(ROW()-1)=TRUE),0,IF(MONTH(H359)&lt;&gt;MONTH(H358),M358+1,M358))</f>
        <v>16</v>
      </c>
      <c r="N359">
        <f t="shared" si="33"/>
        <v>194040</v>
      </c>
      <c r="O359">
        <f>IF(AND(MyRowHidden(ROW())=FALSE,MyRowHidden(ROW()-1)=TRUE),0,IF(M359&lt;totalMonths,(totalMonths-M359)/totalMonths *(I359-I358)+O358,0))</f>
        <v>0</v>
      </c>
      <c r="P359">
        <f>IF(AND(MyRowHidden(ROW())=FALSE,MyRowHidden(ROW()-1)=TRUE),0,IF(M359&lt;totalMonths,(totalMonths-M359)/totalMonths *(J359-J358)+P358,0))</f>
        <v>0</v>
      </c>
      <c r="Q359">
        <f>IF(AND(MyRowHidden(ROW())=FALSE,MyRowHidden(ROW()-1)=TRUE),0,IF(M359&lt;totalMonths,(totalMonths-M359)/totalMonths *(K359-K358)+Q358,0))</f>
        <v>0</v>
      </c>
      <c r="R359">
        <f t="shared" si="34"/>
        <v>194040</v>
      </c>
      <c r="S359">
        <f t="shared" si="35"/>
        <v>0</v>
      </c>
    </row>
    <row r="360" spans="1:19" hidden="1" x14ac:dyDescent="0.25">
      <c r="A360" s="1"/>
      <c r="C360" s="1"/>
      <c r="D360" s="1">
        <v>41780</v>
      </c>
      <c r="E360">
        <v>28206</v>
      </c>
      <c r="F360" s="1">
        <v>41780</v>
      </c>
      <c r="G360">
        <v>2637.5</v>
      </c>
      <c r="H360" s="1">
        <f t="shared" si="30"/>
        <v>41780</v>
      </c>
      <c r="I360">
        <f>IF(AND(MyRowHidden(ROW())=FALSE,MyRowHidden(ROW()-1)=TRUE),0,(E360-E359)*unitsOfDHp+I359)</f>
        <v>192745</v>
      </c>
      <c r="J360">
        <f>IF(AND(MyRowHidden(ROW())=FALSE,MyRowHidden(ROW()-1)=TRUE),0,(G360-G359)*unitsOfExo+J359)</f>
        <v>212400</v>
      </c>
      <c r="K360" s="9">
        <f t="shared" si="31"/>
        <v>-212400</v>
      </c>
      <c r="L360">
        <f t="shared" si="32"/>
        <v>405145</v>
      </c>
      <c r="M360">
        <f>IF(AND(MyRowHidden(ROW())=FALSE,MyRowHidden(ROW()-1)=TRUE),0,IF(MONTH(H360)&lt;&gt;MONTH(H359),M359+1,M359))</f>
        <v>16</v>
      </c>
      <c r="N360">
        <f t="shared" si="33"/>
        <v>192745</v>
      </c>
      <c r="O360">
        <f>IF(AND(MyRowHidden(ROW())=FALSE,MyRowHidden(ROW()-1)=TRUE),0,IF(M360&lt;totalMonths,(totalMonths-M360)/totalMonths *(I360-I359)+O359,0))</f>
        <v>0</v>
      </c>
      <c r="P360">
        <f>IF(AND(MyRowHidden(ROW())=FALSE,MyRowHidden(ROW()-1)=TRUE),0,IF(M360&lt;totalMonths,(totalMonths-M360)/totalMonths *(J360-J359)+P359,0))</f>
        <v>0</v>
      </c>
      <c r="Q360">
        <f>IF(AND(MyRowHidden(ROW())=FALSE,MyRowHidden(ROW()-1)=TRUE),0,IF(M360&lt;totalMonths,(totalMonths-M360)/totalMonths *(K360-K359)+Q359,0))</f>
        <v>0</v>
      </c>
      <c r="R360">
        <f t="shared" si="34"/>
        <v>192745</v>
      </c>
      <c r="S360">
        <f t="shared" si="35"/>
        <v>0</v>
      </c>
    </row>
    <row r="361" spans="1:19" hidden="1" x14ac:dyDescent="0.25">
      <c r="A361" s="1"/>
      <c r="C361" s="1"/>
      <c r="D361" s="1">
        <v>41781</v>
      </c>
      <c r="E361">
        <v>28188</v>
      </c>
      <c r="F361" s="1">
        <v>41781</v>
      </c>
      <c r="G361">
        <v>2700</v>
      </c>
      <c r="H361" s="1">
        <f t="shared" si="30"/>
        <v>41781</v>
      </c>
      <c r="I361">
        <f>IF(AND(MyRowHidden(ROW())=FALSE,MyRowHidden(ROW()-1)=TRUE),0,(E361-E360)*unitsOfDHp+I360)</f>
        <v>192115</v>
      </c>
      <c r="J361">
        <f>IF(AND(MyRowHidden(ROW())=FALSE,MyRowHidden(ROW()-1)=TRUE),0,(G361-G360)*unitsOfExo+J360)</f>
        <v>230400</v>
      </c>
      <c r="K361" s="9">
        <f t="shared" si="31"/>
        <v>-230400</v>
      </c>
      <c r="L361">
        <f t="shared" si="32"/>
        <v>422515</v>
      </c>
      <c r="M361">
        <f>IF(AND(MyRowHidden(ROW())=FALSE,MyRowHidden(ROW()-1)=TRUE),0,IF(MONTH(H361)&lt;&gt;MONTH(H360),M360+1,M360))</f>
        <v>16</v>
      </c>
      <c r="N361">
        <f t="shared" si="33"/>
        <v>192115</v>
      </c>
      <c r="O361">
        <f>IF(AND(MyRowHidden(ROW())=FALSE,MyRowHidden(ROW()-1)=TRUE),0,IF(M361&lt;totalMonths,(totalMonths-M361)/totalMonths *(I361-I360)+O360,0))</f>
        <v>0</v>
      </c>
      <c r="P361">
        <f>IF(AND(MyRowHidden(ROW())=FALSE,MyRowHidden(ROW()-1)=TRUE),0,IF(M361&lt;totalMonths,(totalMonths-M361)/totalMonths *(J361-J360)+P360,0))</f>
        <v>0</v>
      </c>
      <c r="Q361">
        <f>IF(AND(MyRowHidden(ROW())=FALSE,MyRowHidden(ROW()-1)=TRUE),0,IF(M361&lt;totalMonths,(totalMonths-M361)/totalMonths *(K361-K360)+Q360,0))</f>
        <v>0</v>
      </c>
      <c r="R361">
        <f t="shared" si="34"/>
        <v>192115</v>
      </c>
      <c r="S361">
        <f t="shared" si="35"/>
        <v>0</v>
      </c>
    </row>
    <row r="362" spans="1:19" hidden="1" x14ac:dyDescent="0.25">
      <c r="A362" s="1"/>
      <c r="C362" s="1"/>
      <c r="D362" s="1">
        <v>41782</v>
      </c>
      <c r="E362">
        <v>28197</v>
      </c>
      <c r="F362" s="1">
        <v>41782</v>
      </c>
      <c r="G362">
        <v>2787.5</v>
      </c>
      <c r="H362" s="1">
        <f t="shared" si="30"/>
        <v>41782</v>
      </c>
      <c r="I362">
        <f>IF(AND(MyRowHidden(ROW())=FALSE,MyRowHidden(ROW()-1)=TRUE),0,(E362-E361)*unitsOfDHp+I361)</f>
        <v>192430</v>
      </c>
      <c r="J362">
        <f>IF(AND(MyRowHidden(ROW())=FALSE,MyRowHidden(ROW()-1)=TRUE),0,(G362-G361)*unitsOfExo+J361)</f>
        <v>255600</v>
      </c>
      <c r="K362" s="9">
        <f t="shared" si="31"/>
        <v>-255600</v>
      </c>
      <c r="L362">
        <f t="shared" si="32"/>
        <v>448030</v>
      </c>
      <c r="M362">
        <f>IF(AND(MyRowHidden(ROW())=FALSE,MyRowHidden(ROW()-1)=TRUE),0,IF(MONTH(H362)&lt;&gt;MONTH(H361),M361+1,M361))</f>
        <v>16</v>
      </c>
      <c r="N362">
        <f t="shared" si="33"/>
        <v>192430</v>
      </c>
      <c r="O362">
        <f>IF(AND(MyRowHidden(ROW())=FALSE,MyRowHidden(ROW()-1)=TRUE),0,IF(M362&lt;totalMonths,(totalMonths-M362)/totalMonths *(I362-I361)+O361,0))</f>
        <v>0</v>
      </c>
      <c r="P362">
        <f>IF(AND(MyRowHidden(ROW())=FALSE,MyRowHidden(ROW()-1)=TRUE),0,IF(M362&lt;totalMonths,(totalMonths-M362)/totalMonths *(J362-J361)+P361,0))</f>
        <v>0</v>
      </c>
      <c r="Q362">
        <f>IF(AND(MyRowHidden(ROW())=FALSE,MyRowHidden(ROW()-1)=TRUE),0,IF(M362&lt;totalMonths,(totalMonths-M362)/totalMonths *(K362-K361)+Q361,0))</f>
        <v>0</v>
      </c>
      <c r="R362">
        <f t="shared" si="34"/>
        <v>192430</v>
      </c>
      <c r="S362">
        <f t="shared" si="35"/>
        <v>0</v>
      </c>
    </row>
    <row r="363" spans="1:19" hidden="1" x14ac:dyDescent="0.25">
      <c r="A363" s="1"/>
      <c r="C363" s="1"/>
      <c r="D363" s="1">
        <v>41786</v>
      </c>
      <c r="E363">
        <v>27983</v>
      </c>
      <c r="F363" s="1">
        <v>41786</v>
      </c>
      <c r="G363">
        <v>2437.5</v>
      </c>
      <c r="H363" s="1">
        <f t="shared" si="30"/>
        <v>41786</v>
      </c>
      <c r="I363">
        <f>IF(AND(MyRowHidden(ROW())=FALSE,MyRowHidden(ROW()-1)=TRUE),0,(E363-E362)*unitsOfDHp+I362)</f>
        <v>184940</v>
      </c>
      <c r="J363">
        <f>IF(AND(MyRowHidden(ROW())=FALSE,MyRowHidden(ROW()-1)=TRUE),0,(G363-G362)*unitsOfExo+J362)</f>
        <v>154800</v>
      </c>
      <c r="K363" s="9">
        <f t="shared" si="31"/>
        <v>-154800</v>
      </c>
      <c r="L363">
        <f t="shared" si="32"/>
        <v>339740</v>
      </c>
      <c r="M363">
        <f>IF(AND(MyRowHidden(ROW())=FALSE,MyRowHidden(ROW()-1)=TRUE),0,IF(MONTH(H363)&lt;&gt;MONTH(H362),M362+1,M362))</f>
        <v>16</v>
      </c>
      <c r="N363">
        <f t="shared" si="33"/>
        <v>184940</v>
      </c>
      <c r="O363">
        <f>IF(AND(MyRowHidden(ROW())=FALSE,MyRowHidden(ROW()-1)=TRUE),0,IF(M363&lt;totalMonths,(totalMonths-M363)/totalMonths *(I363-I362)+O362,0))</f>
        <v>0</v>
      </c>
      <c r="P363">
        <f>IF(AND(MyRowHidden(ROW())=FALSE,MyRowHidden(ROW()-1)=TRUE),0,IF(M363&lt;totalMonths,(totalMonths-M363)/totalMonths *(J363-J362)+P362,0))</f>
        <v>0</v>
      </c>
      <c r="Q363">
        <f>IF(AND(MyRowHidden(ROW())=FALSE,MyRowHidden(ROW()-1)=TRUE),0,IF(M363&lt;totalMonths,(totalMonths-M363)/totalMonths *(K363-K362)+Q362,0))</f>
        <v>0</v>
      </c>
      <c r="R363">
        <f t="shared" si="34"/>
        <v>184940</v>
      </c>
      <c r="S363">
        <f t="shared" si="35"/>
        <v>0</v>
      </c>
    </row>
    <row r="364" spans="1:19" hidden="1" x14ac:dyDescent="0.25">
      <c r="A364" s="1"/>
      <c r="C364" s="1"/>
      <c r="D364" s="1">
        <v>41787</v>
      </c>
      <c r="E364">
        <v>27936</v>
      </c>
      <c r="F364" s="1">
        <v>41787</v>
      </c>
      <c r="G364">
        <v>2512.5</v>
      </c>
      <c r="H364" s="1">
        <f t="shared" si="30"/>
        <v>41787</v>
      </c>
      <c r="I364">
        <f>IF(AND(MyRowHidden(ROW())=FALSE,MyRowHidden(ROW()-1)=TRUE),0,(E364-E363)*unitsOfDHp+I363)</f>
        <v>183295</v>
      </c>
      <c r="J364">
        <f>IF(AND(MyRowHidden(ROW())=FALSE,MyRowHidden(ROW()-1)=TRUE),0,(G364-G363)*unitsOfExo+J363)</f>
        <v>176400</v>
      </c>
      <c r="K364" s="9">
        <f t="shared" si="31"/>
        <v>-176400</v>
      </c>
      <c r="L364">
        <f t="shared" si="32"/>
        <v>359695</v>
      </c>
      <c r="M364">
        <f>IF(AND(MyRowHidden(ROW())=FALSE,MyRowHidden(ROW()-1)=TRUE),0,IF(MONTH(H364)&lt;&gt;MONTH(H363),M363+1,M363))</f>
        <v>16</v>
      </c>
      <c r="N364">
        <f t="shared" si="33"/>
        <v>183295</v>
      </c>
      <c r="O364">
        <f>IF(AND(MyRowHidden(ROW())=FALSE,MyRowHidden(ROW()-1)=TRUE),0,IF(M364&lt;totalMonths,(totalMonths-M364)/totalMonths *(I364-I363)+O363,0))</f>
        <v>0</v>
      </c>
      <c r="P364">
        <f>IF(AND(MyRowHidden(ROW())=FALSE,MyRowHidden(ROW()-1)=TRUE),0,IF(M364&lt;totalMonths,(totalMonths-M364)/totalMonths *(J364-J363)+P363,0))</f>
        <v>0</v>
      </c>
      <c r="Q364">
        <f>IF(AND(MyRowHidden(ROW())=FALSE,MyRowHidden(ROW()-1)=TRUE),0,IF(M364&lt;totalMonths,(totalMonths-M364)/totalMonths *(K364-K363)+Q363,0))</f>
        <v>0</v>
      </c>
      <c r="R364">
        <f t="shared" si="34"/>
        <v>183295</v>
      </c>
      <c r="S364">
        <f t="shared" si="35"/>
        <v>0</v>
      </c>
    </row>
    <row r="365" spans="1:19" hidden="1" x14ac:dyDescent="0.25">
      <c r="A365" s="1"/>
      <c r="C365" s="1"/>
      <c r="D365" s="1">
        <v>41788</v>
      </c>
      <c r="E365">
        <v>27995</v>
      </c>
      <c r="F365" s="1">
        <v>41788</v>
      </c>
      <c r="G365">
        <v>2350</v>
      </c>
      <c r="H365" s="1">
        <f t="shared" si="30"/>
        <v>41788</v>
      </c>
      <c r="I365">
        <f>IF(AND(MyRowHidden(ROW())=FALSE,MyRowHidden(ROW()-1)=TRUE),0,(E365-E364)*unitsOfDHp+I364)</f>
        <v>185360</v>
      </c>
      <c r="J365">
        <f>IF(AND(MyRowHidden(ROW())=FALSE,MyRowHidden(ROW()-1)=TRUE),0,(G365-G364)*unitsOfExo+J364)</f>
        <v>129600</v>
      </c>
      <c r="K365" s="9">
        <f t="shared" si="31"/>
        <v>-129600</v>
      </c>
      <c r="L365">
        <f t="shared" si="32"/>
        <v>314960</v>
      </c>
      <c r="M365">
        <f>IF(AND(MyRowHidden(ROW())=FALSE,MyRowHidden(ROW()-1)=TRUE),0,IF(MONTH(H365)&lt;&gt;MONTH(H364),M364+1,M364))</f>
        <v>16</v>
      </c>
      <c r="N365">
        <f t="shared" si="33"/>
        <v>185360</v>
      </c>
      <c r="O365">
        <f>IF(AND(MyRowHidden(ROW())=FALSE,MyRowHidden(ROW()-1)=TRUE),0,IF(M365&lt;totalMonths,(totalMonths-M365)/totalMonths *(I365-I364)+O364,0))</f>
        <v>0</v>
      </c>
      <c r="P365">
        <f>IF(AND(MyRowHidden(ROW())=FALSE,MyRowHidden(ROW()-1)=TRUE),0,IF(M365&lt;totalMonths,(totalMonths-M365)/totalMonths *(J365-J364)+P364,0))</f>
        <v>0</v>
      </c>
      <c r="Q365">
        <f>IF(AND(MyRowHidden(ROW())=FALSE,MyRowHidden(ROW()-1)=TRUE),0,IF(M365&lt;totalMonths,(totalMonths-M365)/totalMonths *(K365-K364)+Q364,0))</f>
        <v>0</v>
      </c>
      <c r="R365">
        <f t="shared" si="34"/>
        <v>185360</v>
      </c>
      <c r="S365">
        <f t="shared" si="35"/>
        <v>0</v>
      </c>
    </row>
    <row r="366" spans="1:19" hidden="1" x14ac:dyDescent="0.25">
      <c r="A366" s="1"/>
      <c r="C366" s="1"/>
      <c r="D366" s="1">
        <v>41789</v>
      </c>
      <c r="E366">
        <v>28102</v>
      </c>
      <c r="F366" s="1">
        <v>41789</v>
      </c>
      <c r="G366">
        <v>2262.5</v>
      </c>
      <c r="H366" s="1">
        <f t="shared" si="30"/>
        <v>41789</v>
      </c>
      <c r="I366">
        <f>IF(AND(MyRowHidden(ROW())=FALSE,MyRowHidden(ROW()-1)=TRUE),0,(E366-E365)*unitsOfDHp+I365)</f>
        <v>189105</v>
      </c>
      <c r="J366">
        <f>IF(AND(MyRowHidden(ROW())=FALSE,MyRowHidden(ROW()-1)=TRUE),0,(G366-G365)*unitsOfExo+J365)</f>
        <v>104400</v>
      </c>
      <c r="K366" s="9">
        <f t="shared" si="31"/>
        <v>-104400</v>
      </c>
      <c r="L366">
        <f t="shared" si="32"/>
        <v>293505</v>
      </c>
      <c r="M366">
        <f>IF(AND(MyRowHidden(ROW())=FALSE,MyRowHidden(ROW()-1)=TRUE),0,IF(MONTH(H366)&lt;&gt;MONTH(H365),M365+1,M365))</f>
        <v>16</v>
      </c>
      <c r="N366">
        <f t="shared" si="33"/>
        <v>189105</v>
      </c>
      <c r="O366">
        <f>IF(AND(MyRowHidden(ROW())=FALSE,MyRowHidden(ROW()-1)=TRUE),0,IF(M366&lt;totalMonths,(totalMonths-M366)/totalMonths *(I366-I365)+O365,0))</f>
        <v>0</v>
      </c>
      <c r="P366">
        <f>IF(AND(MyRowHidden(ROW())=FALSE,MyRowHidden(ROW()-1)=TRUE),0,IF(M366&lt;totalMonths,(totalMonths-M366)/totalMonths *(J366-J365)+P365,0))</f>
        <v>0</v>
      </c>
      <c r="Q366">
        <f>IF(AND(MyRowHidden(ROW())=FALSE,MyRowHidden(ROW()-1)=TRUE),0,IF(M366&lt;totalMonths,(totalMonths-M366)/totalMonths *(K366-K365)+Q365,0))</f>
        <v>0</v>
      </c>
      <c r="R366">
        <f t="shared" si="34"/>
        <v>189105</v>
      </c>
      <c r="S366">
        <f t="shared" si="35"/>
        <v>0</v>
      </c>
    </row>
    <row r="367" spans="1:19" hidden="1" x14ac:dyDescent="0.25">
      <c r="A367" s="1"/>
      <c r="C367" s="1"/>
      <c r="D367" s="1">
        <v>41792</v>
      </c>
      <c r="E367">
        <v>28113</v>
      </c>
      <c r="F367" s="1">
        <v>41792</v>
      </c>
      <c r="G367">
        <v>2262.5</v>
      </c>
      <c r="H367" s="1">
        <f t="shared" si="30"/>
        <v>41792</v>
      </c>
      <c r="I367">
        <f>IF(AND(MyRowHidden(ROW())=FALSE,MyRowHidden(ROW()-1)=TRUE),0,(E367-E366)*unitsOfDHp+I366)</f>
        <v>189490</v>
      </c>
      <c r="J367">
        <f>IF(AND(MyRowHidden(ROW())=FALSE,MyRowHidden(ROW()-1)=TRUE),0,(G367-G366)*unitsOfExo+J366)</f>
        <v>104400</v>
      </c>
      <c r="K367" s="9">
        <f t="shared" si="31"/>
        <v>-104400</v>
      </c>
      <c r="L367">
        <f t="shared" si="32"/>
        <v>293890</v>
      </c>
      <c r="M367">
        <f>IF(AND(MyRowHidden(ROW())=FALSE,MyRowHidden(ROW()-1)=TRUE),0,IF(MONTH(H367)&lt;&gt;MONTH(H366),M366+1,M366))</f>
        <v>17</v>
      </c>
      <c r="N367">
        <f t="shared" si="33"/>
        <v>189490</v>
      </c>
      <c r="O367">
        <f>IF(AND(MyRowHidden(ROW())=FALSE,MyRowHidden(ROW()-1)=TRUE),0,IF(M367&lt;totalMonths,(totalMonths-M367)/totalMonths *(I367-I366)+O366,0))</f>
        <v>0</v>
      </c>
      <c r="P367">
        <f>IF(AND(MyRowHidden(ROW())=FALSE,MyRowHidden(ROW()-1)=TRUE),0,IF(M367&lt;totalMonths,(totalMonths-M367)/totalMonths *(J367-J366)+P366,0))</f>
        <v>0</v>
      </c>
      <c r="Q367">
        <f>IF(AND(MyRowHidden(ROW())=FALSE,MyRowHidden(ROW()-1)=TRUE),0,IF(M367&lt;totalMonths,(totalMonths-M367)/totalMonths *(K367-K366)+Q366,0))</f>
        <v>0</v>
      </c>
      <c r="R367">
        <f t="shared" si="34"/>
        <v>189490</v>
      </c>
      <c r="S367">
        <f t="shared" si="35"/>
        <v>0</v>
      </c>
    </row>
    <row r="368" spans="1:19" hidden="1" x14ac:dyDescent="0.25">
      <c r="A368" s="1"/>
      <c r="C368" s="1"/>
      <c r="D368" s="1">
        <v>41793</v>
      </c>
      <c r="E368">
        <v>28587</v>
      </c>
      <c r="F368" s="1">
        <v>41793</v>
      </c>
      <c r="G368">
        <v>1787.5</v>
      </c>
      <c r="H368" s="1">
        <f t="shared" si="30"/>
        <v>41793</v>
      </c>
      <c r="I368">
        <f>IF(AND(MyRowHidden(ROW())=FALSE,MyRowHidden(ROW()-1)=TRUE),0,(E368-E367)*unitsOfDHp+I367)</f>
        <v>206080</v>
      </c>
      <c r="J368">
        <f>IF(AND(MyRowHidden(ROW())=FALSE,MyRowHidden(ROW()-1)=TRUE),0,(G368-G367)*unitsOfExo+J367)</f>
        <v>-32400</v>
      </c>
      <c r="K368" s="9">
        <f t="shared" si="31"/>
        <v>32400</v>
      </c>
      <c r="L368">
        <f t="shared" si="32"/>
        <v>173680</v>
      </c>
      <c r="M368">
        <f>IF(AND(MyRowHidden(ROW())=FALSE,MyRowHidden(ROW()-1)=TRUE),0,IF(MONTH(H368)&lt;&gt;MONTH(H367),M367+1,M367))</f>
        <v>17</v>
      </c>
      <c r="N368">
        <f t="shared" si="33"/>
        <v>206080</v>
      </c>
      <c r="O368">
        <f>IF(AND(MyRowHidden(ROW())=FALSE,MyRowHidden(ROW()-1)=TRUE),0,IF(M368&lt;totalMonths,(totalMonths-M368)/totalMonths *(I368-I367)+O367,0))</f>
        <v>0</v>
      </c>
      <c r="P368">
        <f>IF(AND(MyRowHidden(ROW())=FALSE,MyRowHidden(ROW()-1)=TRUE),0,IF(M368&lt;totalMonths,(totalMonths-M368)/totalMonths *(J368-J367)+P367,0))</f>
        <v>0</v>
      </c>
      <c r="Q368">
        <f>IF(AND(MyRowHidden(ROW())=FALSE,MyRowHidden(ROW()-1)=TRUE),0,IF(M368&lt;totalMonths,(totalMonths-M368)/totalMonths *(K368-K367)+Q367,0))</f>
        <v>0</v>
      </c>
      <c r="R368">
        <f t="shared" si="34"/>
        <v>206080</v>
      </c>
      <c r="S368">
        <f t="shared" si="35"/>
        <v>0</v>
      </c>
    </row>
    <row r="369" spans="1:19" hidden="1" x14ac:dyDescent="0.25">
      <c r="A369" s="1"/>
      <c r="C369" s="1"/>
      <c r="D369" s="1">
        <v>41794</v>
      </c>
      <c r="E369">
        <v>28607</v>
      </c>
      <c r="F369" s="1">
        <v>41794</v>
      </c>
      <c r="G369">
        <v>1737.5</v>
      </c>
      <c r="H369" s="1">
        <f t="shared" si="30"/>
        <v>41794</v>
      </c>
      <c r="I369">
        <f>IF(AND(MyRowHidden(ROW())=FALSE,MyRowHidden(ROW()-1)=TRUE),0,(E369-E368)*unitsOfDHp+I368)</f>
        <v>206780</v>
      </c>
      <c r="J369">
        <f>IF(AND(MyRowHidden(ROW())=FALSE,MyRowHidden(ROW()-1)=TRUE),0,(G369-G368)*unitsOfExo+J368)</f>
        <v>-46800</v>
      </c>
      <c r="K369" s="9">
        <f t="shared" si="31"/>
        <v>46800</v>
      </c>
      <c r="L369">
        <f t="shared" si="32"/>
        <v>159980</v>
      </c>
      <c r="M369">
        <f>IF(AND(MyRowHidden(ROW())=FALSE,MyRowHidden(ROW()-1)=TRUE),0,IF(MONTH(H369)&lt;&gt;MONTH(H368),M368+1,M368))</f>
        <v>17</v>
      </c>
      <c r="N369">
        <f t="shared" si="33"/>
        <v>206780</v>
      </c>
      <c r="O369">
        <f>IF(AND(MyRowHidden(ROW())=FALSE,MyRowHidden(ROW()-1)=TRUE),0,IF(M369&lt;totalMonths,(totalMonths-M369)/totalMonths *(I369-I368)+O368,0))</f>
        <v>0</v>
      </c>
      <c r="P369">
        <f>IF(AND(MyRowHidden(ROW())=FALSE,MyRowHidden(ROW()-1)=TRUE),0,IF(M369&lt;totalMonths,(totalMonths-M369)/totalMonths *(J369-J368)+P368,0))</f>
        <v>0</v>
      </c>
      <c r="Q369">
        <f>IF(AND(MyRowHidden(ROW())=FALSE,MyRowHidden(ROW()-1)=TRUE),0,IF(M369&lt;totalMonths,(totalMonths-M369)/totalMonths *(K369-K368)+Q368,0))</f>
        <v>0</v>
      </c>
      <c r="R369">
        <f t="shared" si="34"/>
        <v>206780</v>
      </c>
      <c r="S369">
        <f t="shared" si="35"/>
        <v>0</v>
      </c>
    </row>
    <row r="370" spans="1:19" hidden="1" x14ac:dyDescent="0.25">
      <c r="A370" s="1"/>
      <c r="C370" s="1"/>
      <c r="D370" s="1">
        <v>41795</v>
      </c>
      <c r="E370">
        <v>28768</v>
      </c>
      <c r="F370" s="1">
        <v>41795</v>
      </c>
      <c r="G370">
        <v>1437.5</v>
      </c>
      <c r="H370" s="1">
        <f t="shared" si="30"/>
        <v>41795</v>
      </c>
      <c r="I370">
        <f>IF(AND(MyRowHidden(ROW())=FALSE,MyRowHidden(ROW()-1)=TRUE),0,(E370-E369)*unitsOfDHp+I369)</f>
        <v>212415</v>
      </c>
      <c r="J370">
        <f>IF(AND(MyRowHidden(ROW())=FALSE,MyRowHidden(ROW()-1)=TRUE),0,(G370-G369)*unitsOfExo+J369)</f>
        <v>-133200</v>
      </c>
      <c r="K370" s="9">
        <f t="shared" si="31"/>
        <v>133200</v>
      </c>
      <c r="L370">
        <f t="shared" si="32"/>
        <v>79215</v>
      </c>
      <c r="M370">
        <f>IF(AND(MyRowHidden(ROW())=FALSE,MyRowHidden(ROW()-1)=TRUE),0,IF(MONTH(H370)&lt;&gt;MONTH(H369),M369+1,M369))</f>
        <v>17</v>
      </c>
      <c r="N370">
        <f t="shared" si="33"/>
        <v>212415</v>
      </c>
      <c r="O370">
        <f>IF(AND(MyRowHidden(ROW())=FALSE,MyRowHidden(ROW()-1)=TRUE),0,IF(M370&lt;totalMonths,(totalMonths-M370)/totalMonths *(I370-I369)+O369,0))</f>
        <v>0</v>
      </c>
      <c r="P370">
        <f>IF(AND(MyRowHidden(ROW())=FALSE,MyRowHidden(ROW()-1)=TRUE),0,IF(M370&lt;totalMonths,(totalMonths-M370)/totalMonths *(J370-J369)+P369,0))</f>
        <v>0</v>
      </c>
      <c r="Q370">
        <f>IF(AND(MyRowHidden(ROW())=FALSE,MyRowHidden(ROW()-1)=TRUE),0,IF(M370&lt;totalMonths,(totalMonths-M370)/totalMonths *(K370-K369)+Q369,0))</f>
        <v>0</v>
      </c>
      <c r="R370">
        <f t="shared" si="34"/>
        <v>212415</v>
      </c>
      <c r="S370">
        <f t="shared" si="35"/>
        <v>0</v>
      </c>
    </row>
    <row r="371" spans="1:19" hidden="1" x14ac:dyDescent="0.25">
      <c r="A371" s="1"/>
      <c r="C371" s="1"/>
      <c r="D371" s="1">
        <v>41796</v>
      </c>
      <c r="E371">
        <v>28624</v>
      </c>
      <c r="F371" s="1">
        <v>41796</v>
      </c>
      <c r="G371">
        <v>1762.5</v>
      </c>
      <c r="H371" s="1">
        <f t="shared" si="30"/>
        <v>41796</v>
      </c>
      <c r="I371">
        <f>IF(AND(MyRowHidden(ROW())=FALSE,MyRowHidden(ROW()-1)=TRUE),0,(E371-E370)*unitsOfDHp+I370)</f>
        <v>207375</v>
      </c>
      <c r="J371">
        <f>IF(AND(MyRowHidden(ROW())=FALSE,MyRowHidden(ROW()-1)=TRUE),0,(G371-G370)*unitsOfExo+J370)</f>
        <v>-39600</v>
      </c>
      <c r="K371" s="9">
        <f t="shared" si="31"/>
        <v>39600</v>
      </c>
      <c r="L371">
        <f t="shared" si="32"/>
        <v>167775</v>
      </c>
      <c r="M371">
        <f>IF(AND(MyRowHidden(ROW())=FALSE,MyRowHidden(ROW()-1)=TRUE),0,IF(MONTH(H371)&lt;&gt;MONTH(H370),M370+1,M370))</f>
        <v>17</v>
      </c>
      <c r="N371">
        <f t="shared" si="33"/>
        <v>207375</v>
      </c>
      <c r="O371">
        <f>IF(AND(MyRowHidden(ROW())=FALSE,MyRowHidden(ROW()-1)=TRUE),0,IF(M371&lt;totalMonths,(totalMonths-M371)/totalMonths *(I371-I370)+O370,0))</f>
        <v>0</v>
      </c>
      <c r="P371">
        <f>IF(AND(MyRowHidden(ROW())=FALSE,MyRowHidden(ROW()-1)=TRUE),0,IF(M371&lt;totalMonths,(totalMonths-M371)/totalMonths *(J371-J370)+P370,0))</f>
        <v>0</v>
      </c>
      <c r="Q371">
        <f>IF(AND(MyRowHidden(ROW())=FALSE,MyRowHidden(ROW()-1)=TRUE),0,IF(M371&lt;totalMonths,(totalMonths-M371)/totalMonths *(K371-K370)+Q370,0))</f>
        <v>0</v>
      </c>
      <c r="R371">
        <f t="shared" si="34"/>
        <v>207375</v>
      </c>
      <c r="S371">
        <f t="shared" si="35"/>
        <v>0</v>
      </c>
    </row>
    <row r="372" spans="1:19" hidden="1" x14ac:dyDescent="0.25">
      <c r="A372" s="1"/>
      <c r="C372" s="1"/>
      <c r="D372" s="1">
        <v>41799</v>
      </c>
      <c r="E372">
        <v>28866</v>
      </c>
      <c r="F372" s="1">
        <v>41799</v>
      </c>
      <c r="G372">
        <v>1287.5</v>
      </c>
      <c r="H372" s="1">
        <f t="shared" si="30"/>
        <v>41799</v>
      </c>
      <c r="I372">
        <f>IF(AND(MyRowHidden(ROW())=FALSE,MyRowHidden(ROW()-1)=TRUE),0,(E372-E371)*unitsOfDHp+I371)</f>
        <v>215845</v>
      </c>
      <c r="J372">
        <f>IF(AND(MyRowHidden(ROW())=FALSE,MyRowHidden(ROW()-1)=TRUE),0,(G372-G371)*unitsOfExo+J371)</f>
        <v>-176400</v>
      </c>
      <c r="K372" s="9">
        <f t="shared" si="31"/>
        <v>176400</v>
      </c>
      <c r="L372">
        <f t="shared" si="32"/>
        <v>39445</v>
      </c>
      <c r="M372">
        <f>IF(AND(MyRowHidden(ROW())=FALSE,MyRowHidden(ROW()-1)=TRUE),0,IF(MONTH(H372)&lt;&gt;MONTH(H371),M371+1,M371))</f>
        <v>17</v>
      </c>
      <c r="N372">
        <f t="shared" si="33"/>
        <v>215845</v>
      </c>
      <c r="O372">
        <f>IF(AND(MyRowHidden(ROW())=FALSE,MyRowHidden(ROW()-1)=TRUE),0,IF(M372&lt;totalMonths,(totalMonths-M372)/totalMonths *(I372-I371)+O371,0))</f>
        <v>0</v>
      </c>
      <c r="P372">
        <f>IF(AND(MyRowHidden(ROW())=FALSE,MyRowHidden(ROW()-1)=TRUE),0,IF(M372&lt;totalMonths,(totalMonths-M372)/totalMonths *(J372-J371)+P371,0))</f>
        <v>0</v>
      </c>
      <c r="Q372">
        <f>IF(AND(MyRowHidden(ROW())=FALSE,MyRowHidden(ROW()-1)=TRUE),0,IF(M372&lt;totalMonths,(totalMonths-M372)/totalMonths *(K372-K371)+Q371,0))</f>
        <v>0</v>
      </c>
      <c r="R372">
        <f t="shared" si="34"/>
        <v>215845</v>
      </c>
      <c r="S372">
        <f t="shared" si="35"/>
        <v>0</v>
      </c>
    </row>
    <row r="373" spans="1:19" hidden="1" x14ac:dyDescent="0.25">
      <c r="A373" s="1"/>
      <c r="C373" s="1"/>
      <c r="D373" s="1">
        <v>41800</v>
      </c>
      <c r="E373">
        <v>28873</v>
      </c>
      <c r="F373" s="1">
        <v>41800</v>
      </c>
      <c r="G373">
        <v>1237.5</v>
      </c>
      <c r="H373" s="1">
        <f t="shared" si="30"/>
        <v>41800</v>
      </c>
      <c r="I373">
        <f>IF(AND(MyRowHidden(ROW())=FALSE,MyRowHidden(ROW()-1)=TRUE),0,(E373-E372)*unitsOfDHp+I372)</f>
        <v>216090</v>
      </c>
      <c r="J373">
        <f>IF(AND(MyRowHidden(ROW())=FALSE,MyRowHidden(ROW()-1)=TRUE),0,(G373-G372)*unitsOfExo+J372)</f>
        <v>-190800</v>
      </c>
      <c r="K373" s="9">
        <f t="shared" si="31"/>
        <v>190800</v>
      </c>
      <c r="L373">
        <f t="shared" si="32"/>
        <v>25290</v>
      </c>
      <c r="M373">
        <f>IF(AND(MyRowHidden(ROW())=FALSE,MyRowHidden(ROW()-1)=TRUE),0,IF(MONTH(H373)&lt;&gt;MONTH(H372),M372+1,M372))</f>
        <v>17</v>
      </c>
      <c r="N373">
        <f t="shared" si="33"/>
        <v>216090</v>
      </c>
      <c r="O373">
        <f>IF(AND(MyRowHidden(ROW())=FALSE,MyRowHidden(ROW()-1)=TRUE),0,IF(M373&lt;totalMonths,(totalMonths-M373)/totalMonths *(I373-I372)+O372,0))</f>
        <v>0</v>
      </c>
      <c r="P373">
        <f>IF(AND(MyRowHidden(ROW())=FALSE,MyRowHidden(ROW()-1)=TRUE),0,IF(M373&lt;totalMonths,(totalMonths-M373)/totalMonths *(J373-J372)+P372,0))</f>
        <v>0</v>
      </c>
      <c r="Q373">
        <f>IF(AND(MyRowHidden(ROW())=FALSE,MyRowHidden(ROW()-1)=TRUE),0,IF(M373&lt;totalMonths,(totalMonths-M373)/totalMonths *(K373-K372)+Q372,0))</f>
        <v>0</v>
      </c>
      <c r="R373">
        <f t="shared" si="34"/>
        <v>216090</v>
      </c>
      <c r="S373">
        <f t="shared" si="35"/>
        <v>0</v>
      </c>
    </row>
    <row r="374" spans="1:19" hidden="1" x14ac:dyDescent="0.25">
      <c r="A374" s="1"/>
      <c r="C374" s="1"/>
      <c r="D374" s="1">
        <v>41801</v>
      </c>
      <c r="E374">
        <v>29012</v>
      </c>
      <c r="F374" s="1">
        <v>41801</v>
      </c>
      <c r="G374">
        <v>925</v>
      </c>
      <c r="H374" s="1">
        <f t="shared" si="30"/>
        <v>41801</v>
      </c>
      <c r="I374">
        <f>IF(AND(MyRowHidden(ROW())=FALSE,MyRowHidden(ROW()-1)=TRUE),0,(E374-E373)*unitsOfDHp+I373)</f>
        <v>220955</v>
      </c>
      <c r="J374">
        <f>IF(AND(MyRowHidden(ROW())=FALSE,MyRowHidden(ROW()-1)=TRUE),0,(G374-G373)*unitsOfExo+J373)</f>
        <v>-280800</v>
      </c>
      <c r="K374" s="9">
        <f t="shared" si="31"/>
        <v>280800</v>
      </c>
      <c r="L374">
        <f t="shared" si="32"/>
        <v>-59845</v>
      </c>
      <c r="M374">
        <f>IF(AND(MyRowHidden(ROW())=FALSE,MyRowHidden(ROW()-1)=TRUE),0,IF(MONTH(H374)&lt;&gt;MONTH(H373),M373+1,M373))</f>
        <v>17</v>
      </c>
      <c r="N374">
        <f t="shared" si="33"/>
        <v>220955</v>
      </c>
      <c r="O374">
        <f>IF(AND(MyRowHidden(ROW())=FALSE,MyRowHidden(ROW()-1)=TRUE),0,IF(M374&lt;totalMonths,(totalMonths-M374)/totalMonths *(I374-I373)+O373,0))</f>
        <v>0</v>
      </c>
      <c r="P374">
        <f>IF(AND(MyRowHidden(ROW())=FALSE,MyRowHidden(ROW()-1)=TRUE),0,IF(M374&lt;totalMonths,(totalMonths-M374)/totalMonths *(J374-J373)+P373,0))</f>
        <v>0</v>
      </c>
      <c r="Q374">
        <f>IF(AND(MyRowHidden(ROW())=FALSE,MyRowHidden(ROW()-1)=TRUE),0,IF(M374&lt;totalMonths,(totalMonths-M374)/totalMonths *(K374-K373)+Q373,0))</f>
        <v>0</v>
      </c>
      <c r="R374">
        <f t="shared" si="34"/>
        <v>220955</v>
      </c>
      <c r="S374">
        <f t="shared" si="35"/>
        <v>0</v>
      </c>
    </row>
    <row r="375" spans="1:19" hidden="1" x14ac:dyDescent="0.25">
      <c r="A375" s="1"/>
      <c r="C375" s="1"/>
      <c r="D375" s="1">
        <v>41802</v>
      </c>
      <c r="E375">
        <v>29006</v>
      </c>
      <c r="F375" s="1">
        <v>41802</v>
      </c>
      <c r="G375">
        <v>1037.5</v>
      </c>
      <c r="H375" s="1">
        <f t="shared" si="30"/>
        <v>41802</v>
      </c>
      <c r="I375">
        <f>IF(AND(MyRowHidden(ROW())=FALSE,MyRowHidden(ROW()-1)=TRUE),0,(E375-E374)*unitsOfDHp+I374)</f>
        <v>220745</v>
      </c>
      <c r="J375">
        <f>IF(AND(MyRowHidden(ROW())=FALSE,MyRowHidden(ROW()-1)=TRUE),0,(G375-G374)*unitsOfExo+J374)</f>
        <v>-248400</v>
      </c>
      <c r="K375" s="9">
        <f t="shared" si="31"/>
        <v>248400</v>
      </c>
      <c r="L375">
        <f t="shared" si="32"/>
        <v>-27655</v>
      </c>
      <c r="M375">
        <f>IF(AND(MyRowHidden(ROW())=FALSE,MyRowHidden(ROW()-1)=TRUE),0,IF(MONTH(H375)&lt;&gt;MONTH(H374),M374+1,M374))</f>
        <v>17</v>
      </c>
      <c r="N375">
        <f t="shared" si="33"/>
        <v>220745</v>
      </c>
      <c r="O375">
        <f>IF(AND(MyRowHidden(ROW())=FALSE,MyRowHidden(ROW()-1)=TRUE),0,IF(M375&lt;totalMonths,(totalMonths-M375)/totalMonths *(I375-I374)+O374,0))</f>
        <v>0</v>
      </c>
      <c r="P375">
        <f>IF(AND(MyRowHidden(ROW())=FALSE,MyRowHidden(ROW()-1)=TRUE),0,IF(M375&lt;totalMonths,(totalMonths-M375)/totalMonths *(J375-J374)+P374,0))</f>
        <v>0</v>
      </c>
      <c r="Q375">
        <f>IF(AND(MyRowHidden(ROW())=FALSE,MyRowHidden(ROW()-1)=TRUE),0,IF(M375&lt;totalMonths,(totalMonths-M375)/totalMonths *(K375-K374)+Q374,0))</f>
        <v>0</v>
      </c>
      <c r="R375">
        <f t="shared" si="34"/>
        <v>220745</v>
      </c>
      <c r="S375">
        <f t="shared" si="35"/>
        <v>0</v>
      </c>
    </row>
    <row r="376" spans="1:19" hidden="1" x14ac:dyDescent="0.25">
      <c r="A376" s="1"/>
      <c r="C376" s="1"/>
      <c r="D376" s="1">
        <v>41803</v>
      </c>
      <c r="E376">
        <v>28987</v>
      </c>
      <c r="F376" s="1">
        <v>41803</v>
      </c>
      <c r="G376">
        <v>1162.5</v>
      </c>
      <c r="H376" s="1">
        <f t="shared" si="30"/>
        <v>41803</v>
      </c>
      <c r="I376">
        <f>IF(AND(MyRowHidden(ROW())=FALSE,MyRowHidden(ROW()-1)=TRUE),0,(E376-E375)*unitsOfDHp+I375)</f>
        <v>220080</v>
      </c>
      <c r="J376">
        <f>IF(AND(MyRowHidden(ROW())=FALSE,MyRowHidden(ROW()-1)=TRUE),0,(G376-G375)*unitsOfExo+J375)</f>
        <v>-212400</v>
      </c>
      <c r="K376" s="9">
        <f t="shared" si="31"/>
        <v>212400</v>
      </c>
      <c r="L376">
        <f t="shared" si="32"/>
        <v>7680</v>
      </c>
      <c r="M376">
        <f>IF(AND(MyRowHidden(ROW())=FALSE,MyRowHidden(ROW()-1)=TRUE),0,IF(MONTH(H376)&lt;&gt;MONTH(H375),M375+1,M375))</f>
        <v>17</v>
      </c>
      <c r="N376">
        <f t="shared" si="33"/>
        <v>220080</v>
      </c>
      <c r="O376">
        <f>IF(AND(MyRowHidden(ROW())=FALSE,MyRowHidden(ROW()-1)=TRUE),0,IF(M376&lt;totalMonths,(totalMonths-M376)/totalMonths *(I376-I375)+O375,0))</f>
        <v>0</v>
      </c>
      <c r="P376">
        <f>IF(AND(MyRowHidden(ROW())=FALSE,MyRowHidden(ROW()-1)=TRUE),0,IF(M376&lt;totalMonths,(totalMonths-M376)/totalMonths *(J376-J375)+P375,0))</f>
        <v>0</v>
      </c>
      <c r="Q376">
        <f>IF(AND(MyRowHidden(ROW())=FALSE,MyRowHidden(ROW()-1)=TRUE),0,IF(M376&lt;totalMonths,(totalMonths-M376)/totalMonths *(K376-K375)+Q375,0))</f>
        <v>0</v>
      </c>
      <c r="R376">
        <f t="shared" si="34"/>
        <v>220080</v>
      </c>
      <c r="S376">
        <f t="shared" si="35"/>
        <v>0</v>
      </c>
    </row>
    <row r="377" spans="1:19" hidden="1" x14ac:dyDescent="0.25">
      <c r="A377" s="1"/>
      <c r="C377" s="1"/>
      <c r="D377" s="1">
        <v>41806</v>
      </c>
      <c r="E377">
        <v>29124</v>
      </c>
      <c r="F377" s="1">
        <v>41806</v>
      </c>
      <c r="G377">
        <v>987.5</v>
      </c>
      <c r="H377" s="1">
        <f t="shared" si="30"/>
        <v>41806</v>
      </c>
      <c r="I377">
        <f>IF(AND(MyRowHidden(ROW())=FALSE,MyRowHidden(ROW()-1)=TRUE),0,(E377-E376)*unitsOfDHp+I376)</f>
        <v>224875</v>
      </c>
      <c r="J377">
        <f>IF(AND(MyRowHidden(ROW())=FALSE,MyRowHidden(ROW()-1)=TRUE),0,(G377-G376)*unitsOfExo+J376)</f>
        <v>-262800</v>
      </c>
      <c r="K377" s="9">
        <f t="shared" si="31"/>
        <v>262800</v>
      </c>
      <c r="L377">
        <f t="shared" si="32"/>
        <v>-37925</v>
      </c>
      <c r="M377">
        <f>IF(AND(MyRowHidden(ROW())=FALSE,MyRowHidden(ROW()-1)=TRUE),0,IF(MONTH(H377)&lt;&gt;MONTH(H376),M376+1,M376))</f>
        <v>17</v>
      </c>
      <c r="N377">
        <f t="shared" si="33"/>
        <v>224875</v>
      </c>
      <c r="O377">
        <f>IF(AND(MyRowHidden(ROW())=FALSE,MyRowHidden(ROW()-1)=TRUE),0,IF(M377&lt;totalMonths,(totalMonths-M377)/totalMonths *(I377-I376)+O376,0))</f>
        <v>0</v>
      </c>
      <c r="P377">
        <f>IF(AND(MyRowHidden(ROW())=FALSE,MyRowHidden(ROW()-1)=TRUE),0,IF(M377&lt;totalMonths,(totalMonths-M377)/totalMonths *(J377-J376)+P376,0))</f>
        <v>0</v>
      </c>
      <c r="Q377">
        <f>IF(AND(MyRowHidden(ROW())=FALSE,MyRowHidden(ROW()-1)=TRUE),0,IF(M377&lt;totalMonths,(totalMonths-M377)/totalMonths *(K377-K376)+Q376,0))</f>
        <v>0</v>
      </c>
      <c r="R377">
        <f t="shared" si="34"/>
        <v>224875</v>
      </c>
      <c r="S377">
        <f t="shared" si="35"/>
        <v>0</v>
      </c>
    </row>
    <row r="378" spans="1:19" hidden="1" x14ac:dyDescent="0.25">
      <c r="A378" s="1"/>
      <c r="C378" s="1"/>
      <c r="D378" s="1">
        <v>41807</v>
      </c>
      <c r="E378">
        <v>29154</v>
      </c>
      <c r="F378" s="1">
        <v>41807</v>
      </c>
      <c r="G378">
        <v>862.5</v>
      </c>
      <c r="H378" s="1">
        <f t="shared" si="30"/>
        <v>41807</v>
      </c>
      <c r="I378">
        <f>IF(AND(MyRowHidden(ROW())=FALSE,MyRowHidden(ROW()-1)=TRUE),0,(E378-E377)*unitsOfDHp+I377)</f>
        <v>225925</v>
      </c>
      <c r="J378">
        <f>IF(AND(MyRowHidden(ROW())=FALSE,MyRowHidden(ROW()-1)=TRUE),0,(G378-G377)*unitsOfExo+J377)</f>
        <v>-298800</v>
      </c>
      <c r="K378" s="9">
        <f t="shared" si="31"/>
        <v>298800</v>
      </c>
      <c r="L378">
        <f t="shared" si="32"/>
        <v>-72875</v>
      </c>
      <c r="M378">
        <f>IF(AND(MyRowHidden(ROW())=FALSE,MyRowHidden(ROW()-1)=TRUE),0,IF(MONTH(H378)&lt;&gt;MONTH(H377),M377+1,M377))</f>
        <v>17</v>
      </c>
      <c r="N378">
        <f t="shared" si="33"/>
        <v>225925</v>
      </c>
      <c r="O378">
        <f>IF(AND(MyRowHidden(ROW())=FALSE,MyRowHidden(ROW()-1)=TRUE),0,IF(M378&lt;totalMonths,(totalMonths-M378)/totalMonths *(I378-I377)+O377,0))</f>
        <v>0</v>
      </c>
      <c r="P378">
        <f>IF(AND(MyRowHidden(ROW())=FALSE,MyRowHidden(ROW()-1)=TRUE),0,IF(M378&lt;totalMonths,(totalMonths-M378)/totalMonths *(J378-J377)+P377,0))</f>
        <v>0</v>
      </c>
      <c r="Q378">
        <f>IF(AND(MyRowHidden(ROW())=FALSE,MyRowHidden(ROW()-1)=TRUE),0,IF(M378&lt;totalMonths,(totalMonths-M378)/totalMonths *(K378-K377)+Q377,0))</f>
        <v>0</v>
      </c>
      <c r="R378">
        <f t="shared" si="34"/>
        <v>225925</v>
      </c>
      <c r="S378">
        <f t="shared" si="35"/>
        <v>0</v>
      </c>
    </row>
    <row r="379" spans="1:19" hidden="1" x14ac:dyDescent="0.25">
      <c r="A379" s="1"/>
      <c r="C379" s="1"/>
      <c r="D379" s="1">
        <v>41808</v>
      </c>
      <c r="E379">
        <v>29223</v>
      </c>
      <c r="F379" s="1">
        <v>41808</v>
      </c>
      <c r="G379">
        <v>1037.5</v>
      </c>
      <c r="H379" s="1">
        <f t="shared" si="30"/>
        <v>41808</v>
      </c>
      <c r="I379">
        <f>IF(AND(MyRowHidden(ROW())=FALSE,MyRowHidden(ROW()-1)=TRUE),0,(E379-E378)*unitsOfDHp+I378)</f>
        <v>228340</v>
      </c>
      <c r="J379">
        <f>IF(AND(MyRowHidden(ROW())=FALSE,MyRowHidden(ROW()-1)=TRUE),0,(G379-G378)*unitsOfExo+J378)</f>
        <v>-248400</v>
      </c>
      <c r="K379" s="9">
        <f t="shared" si="31"/>
        <v>248400</v>
      </c>
      <c r="L379">
        <f t="shared" si="32"/>
        <v>-20060</v>
      </c>
      <c r="M379">
        <f>IF(AND(MyRowHidden(ROW())=FALSE,MyRowHidden(ROW()-1)=TRUE),0,IF(MONTH(H379)&lt;&gt;MONTH(H378),M378+1,M378))</f>
        <v>17</v>
      </c>
      <c r="N379">
        <f t="shared" si="33"/>
        <v>228340</v>
      </c>
      <c r="O379">
        <f>IF(AND(MyRowHidden(ROW())=FALSE,MyRowHidden(ROW()-1)=TRUE),0,IF(M379&lt;totalMonths,(totalMonths-M379)/totalMonths *(I379-I378)+O378,0))</f>
        <v>0</v>
      </c>
      <c r="P379">
        <f>IF(AND(MyRowHidden(ROW())=FALSE,MyRowHidden(ROW()-1)=TRUE),0,IF(M379&lt;totalMonths,(totalMonths-M379)/totalMonths *(J379-J378)+P378,0))</f>
        <v>0</v>
      </c>
      <c r="Q379">
        <f>IF(AND(MyRowHidden(ROW())=FALSE,MyRowHidden(ROW()-1)=TRUE),0,IF(M379&lt;totalMonths,(totalMonths-M379)/totalMonths *(K379-K378)+Q378,0))</f>
        <v>0</v>
      </c>
      <c r="R379">
        <f t="shared" si="34"/>
        <v>228340</v>
      </c>
      <c r="S379">
        <f t="shared" si="35"/>
        <v>0</v>
      </c>
    </row>
    <row r="380" spans="1:19" hidden="1" x14ac:dyDescent="0.25">
      <c r="A380" s="1"/>
      <c r="C380" s="1"/>
      <c r="D380" s="1">
        <v>41809</v>
      </c>
      <c r="E380">
        <v>29201</v>
      </c>
      <c r="F380" s="1">
        <v>41809</v>
      </c>
      <c r="G380">
        <v>1412.5</v>
      </c>
      <c r="H380" s="1">
        <f t="shared" si="30"/>
        <v>41809</v>
      </c>
      <c r="I380">
        <f>IF(AND(MyRowHidden(ROW())=FALSE,MyRowHidden(ROW()-1)=TRUE),0,(E380-E379)*unitsOfDHp+I379)</f>
        <v>227570</v>
      </c>
      <c r="J380">
        <f>IF(AND(MyRowHidden(ROW())=FALSE,MyRowHidden(ROW()-1)=TRUE),0,(G380-G379)*unitsOfExo+J379)</f>
        <v>-140400</v>
      </c>
      <c r="K380" s="9">
        <f t="shared" si="31"/>
        <v>140400</v>
      </c>
      <c r="L380">
        <f t="shared" si="32"/>
        <v>87170</v>
      </c>
      <c r="M380">
        <f>IF(AND(MyRowHidden(ROW())=FALSE,MyRowHidden(ROW()-1)=TRUE),0,IF(MONTH(H380)&lt;&gt;MONTH(H379),M379+1,M379))</f>
        <v>17</v>
      </c>
      <c r="N380">
        <f t="shared" si="33"/>
        <v>227570</v>
      </c>
      <c r="O380">
        <f>IF(AND(MyRowHidden(ROW())=FALSE,MyRowHidden(ROW()-1)=TRUE),0,IF(M380&lt;totalMonths,(totalMonths-M380)/totalMonths *(I380-I379)+O379,0))</f>
        <v>0</v>
      </c>
      <c r="P380">
        <f>IF(AND(MyRowHidden(ROW())=FALSE,MyRowHidden(ROW()-1)=TRUE),0,IF(M380&lt;totalMonths,(totalMonths-M380)/totalMonths *(J380-J379)+P379,0))</f>
        <v>0</v>
      </c>
      <c r="Q380">
        <f>IF(AND(MyRowHidden(ROW())=FALSE,MyRowHidden(ROW()-1)=TRUE),0,IF(M380&lt;totalMonths,(totalMonths-M380)/totalMonths *(K380-K379)+Q379,0))</f>
        <v>0</v>
      </c>
      <c r="R380">
        <f t="shared" si="34"/>
        <v>227570</v>
      </c>
      <c r="S380">
        <f t="shared" si="35"/>
        <v>0</v>
      </c>
    </row>
    <row r="381" spans="1:19" hidden="1" x14ac:dyDescent="0.25">
      <c r="A381" s="1"/>
      <c r="C381" s="1"/>
      <c r="D381" s="1">
        <v>41810</v>
      </c>
      <c r="E381">
        <v>28813</v>
      </c>
      <c r="F381" s="1">
        <v>41810</v>
      </c>
      <c r="G381">
        <v>1525</v>
      </c>
      <c r="H381" s="1">
        <f t="shared" si="30"/>
        <v>41810</v>
      </c>
      <c r="I381">
        <f>IF(AND(MyRowHidden(ROW())=FALSE,MyRowHidden(ROW()-1)=TRUE),0,(E381-E380)*unitsOfDHp+I380)</f>
        <v>213990</v>
      </c>
      <c r="J381">
        <f>IF(AND(MyRowHidden(ROW())=FALSE,MyRowHidden(ROW()-1)=TRUE),0,(G381-G380)*unitsOfExo+J380)</f>
        <v>-108000</v>
      </c>
      <c r="K381" s="9">
        <f t="shared" si="31"/>
        <v>108000</v>
      </c>
      <c r="L381">
        <f t="shared" si="32"/>
        <v>105990</v>
      </c>
      <c r="M381">
        <f>IF(AND(MyRowHidden(ROW())=FALSE,MyRowHidden(ROW()-1)=TRUE),0,IF(MONTH(H381)&lt;&gt;MONTH(H380),M380+1,M380))</f>
        <v>17</v>
      </c>
      <c r="N381">
        <f t="shared" si="33"/>
        <v>213990</v>
      </c>
      <c r="O381">
        <f>IF(AND(MyRowHidden(ROW())=FALSE,MyRowHidden(ROW()-1)=TRUE),0,IF(M381&lt;totalMonths,(totalMonths-M381)/totalMonths *(I381-I380)+O380,0))</f>
        <v>0</v>
      </c>
      <c r="P381">
        <f>IF(AND(MyRowHidden(ROW())=FALSE,MyRowHidden(ROW()-1)=TRUE),0,IF(M381&lt;totalMonths,(totalMonths-M381)/totalMonths *(J381-J380)+P380,0))</f>
        <v>0</v>
      </c>
      <c r="Q381">
        <f>IF(AND(MyRowHidden(ROW())=FALSE,MyRowHidden(ROW()-1)=TRUE),0,IF(M381&lt;totalMonths,(totalMonths-M381)/totalMonths *(K381-K380)+Q380,0))</f>
        <v>0</v>
      </c>
      <c r="R381">
        <f t="shared" si="34"/>
        <v>213990</v>
      </c>
      <c r="S381">
        <f t="shared" si="35"/>
        <v>0</v>
      </c>
    </row>
    <row r="382" spans="1:19" hidden="1" x14ac:dyDescent="0.25">
      <c r="A382" s="1"/>
      <c r="C382" s="1"/>
      <c r="D382" s="1">
        <v>41813</v>
      </c>
      <c r="E382">
        <v>28976</v>
      </c>
      <c r="F382" s="1">
        <v>41813</v>
      </c>
      <c r="G382">
        <v>1187.5</v>
      </c>
      <c r="H382" s="1">
        <f t="shared" si="30"/>
        <v>41813</v>
      </c>
      <c r="I382">
        <f>IF(AND(MyRowHidden(ROW())=FALSE,MyRowHidden(ROW()-1)=TRUE),0,(E382-E381)*unitsOfDHp+I381)</f>
        <v>219695</v>
      </c>
      <c r="J382">
        <f>IF(AND(MyRowHidden(ROW())=FALSE,MyRowHidden(ROW()-1)=TRUE),0,(G382-G381)*unitsOfExo+J381)</f>
        <v>-205200</v>
      </c>
      <c r="K382" s="9">
        <f t="shared" si="31"/>
        <v>205200</v>
      </c>
      <c r="L382">
        <f t="shared" si="32"/>
        <v>14495</v>
      </c>
      <c r="M382">
        <f>IF(AND(MyRowHidden(ROW())=FALSE,MyRowHidden(ROW()-1)=TRUE),0,IF(MONTH(H382)&lt;&gt;MONTH(H381),M381+1,M381))</f>
        <v>17</v>
      </c>
      <c r="N382">
        <f t="shared" si="33"/>
        <v>219695</v>
      </c>
      <c r="O382">
        <f>IF(AND(MyRowHidden(ROW())=FALSE,MyRowHidden(ROW()-1)=TRUE),0,IF(M382&lt;totalMonths,(totalMonths-M382)/totalMonths *(I382-I381)+O381,0))</f>
        <v>0</v>
      </c>
      <c r="P382">
        <f>IF(AND(MyRowHidden(ROW())=FALSE,MyRowHidden(ROW()-1)=TRUE),0,IF(M382&lt;totalMonths,(totalMonths-M382)/totalMonths *(J382-J381)+P381,0))</f>
        <v>0</v>
      </c>
      <c r="Q382">
        <f>IF(AND(MyRowHidden(ROW())=FALSE,MyRowHidden(ROW()-1)=TRUE),0,IF(M382&lt;totalMonths,(totalMonths-M382)/totalMonths *(K382-K381)+Q381,0))</f>
        <v>0</v>
      </c>
      <c r="R382">
        <f t="shared" si="34"/>
        <v>219695</v>
      </c>
      <c r="S382">
        <f t="shared" si="35"/>
        <v>0</v>
      </c>
    </row>
    <row r="383" spans="1:19" hidden="1" x14ac:dyDescent="0.25">
      <c r="A383" s="1"/>
      <c r="C383" s="1"/>
      <c r="D383" s="1">
        <v>41814</v>
      </c>
      <c r="E383">
        <v>29060</v>
      </c>
      <c r="F383" s="1">
        <v>41814</v>
      </c>
      <c r="G383">
        <v>1050</v>
      </c>
      <c r="H383" s="1">
        <f t="shared" si="30"/>
        <v>41814</v>
      </c>
      <c r="I383">
        <f>IF(AND(MyRowHidden(ROW())=FALSE,MyRowHidden(ROW()-1)=TRUE),0,(E383-E382)*unitsOfDHp+I382)</f>
        <v>222635</v>
      </c>
      <c r="J383">
        <f>IF(AND(MyRowHidden(ROW())=FALSE,MyRowHidden(ROW()-1)=TRUE),0,(G383-G382)*unitsOfExo+J382)</f>
        <v>-244800</v>
      </c>
      <c r="K383" s="9">
        <f t="shared" si="31"/>
        <v>244800</v>
      </c>
      <c r="L383">
        <f t="shared" si="32"/>
        <v>-22165</v>
      </c>
      <c r="M383">
        <f>IF(AND(MyRowHidden(ROW())=FALSE,MyRowHidden(ROW()-1)=TRUE),0,IF(MONTH(H383)&lt;&gt;MONTH(H382),M382+1,M382))</f>
        <v>17</v>
      </c>
      <c r="N383">
        <f t="shared" si="33"/>
        <v>222635</v>
      </c>
      <c r="O383">
        <f>IF(AND(MyRowHidden(ROW())=FALSE,MyRowHidden(ROW()-1)=TRUE),0,IF(M383&lt;totalMonths,(totalMonths-M383)/totalMonths *(I383-I382)+O382,0))</f>
        <v>0</v>
      </c>
      <c r="P383">
        <f>IF(AND(MyRowHidden(ROW())=FALSE,MyRowHidden(ROW()-1)=TRUE),0,IF(M383&lt;totalMonths,(totalMonths-M383)/totalMonths *(J383-J382)+P382,0))</f>
        <v>0</v>
      </c>
      <c r="Q383">
        <f>IF(AND(MyRowHidden(ROW())=FALSE,MyRowHidden(ROW()-1)=TRUE),0,IF(M383&lt;totalMonths,(totalMonths-M383)/totalMonths *(K383-K382)+Q382,0))</f>
        <v>0</v>
      </c>
      <c r="R383">
        <f t="shared" si="34"/>
        <v>222635</v>
      </c>
      <c r="S383">
        <f t="shared" si="35"/>
        <v>0</v>
      </c>
    </row>
    <row r="384" spans="1:19" hidden="1" x14ac:dyDescent="0.25">
      <c r="A384" s="1"/>
      <c r="C384" s="1"/>
      <c r="D384" s="1">
        <v>41815</v>
      </c>
      <c r="E384">
        <v>29057</v>
      </c>
      <c r="F384" s="1">
        <v>41815</v>
      </c>
      <c r="G384">
        <v>937.5</v>
      </c>
      <c r="H384" s="1">
        <f t="shared" si="30"/>
        <v>41815</v>
      </c>
      <c r="I384">
        <f>IF(AND(MyRowHidden(ROW())=FALSE,MyRowHidden(ROW()-1)=TRUE),0,(E384-E383)*unitsOfDHp+I383)</f>
        <v>222530</v>
      </c>
      <c r="J384">
        <f>IF(AND(MyRowHidden(ROW())=FALSE,MyRowHidden(ROW()-1)=TRUE),0,(G384-G383)*unitsOfExo+J383)</f>
        <v>-277200</v>
      </c>
      <c r="K384" s="9">
        <f t="shared" si="31"/>
        <v>277200</v>
      </c>
      <c r="L384">
        <f t="shared" si="32"/>
        <v>-54670</v>
      </c>
      <c r="M384">
        <f>IF(AND(MyRowHidden(ROW())=FALSE,MyRowHidden(ROW()-1)=TRUE),0,IF(MONTH(H384)&lt;&gt;MONTH(H383),M383+1,M383))</f>
        <v>17</v>
      </c>
      <c r="N384">
        <f t="shared" si="33"/>
        <v>222530</v>
      </c>
      <c r="O384">
        <f>IF(AND(MyRowHidden(ROW())=FALSE,MyRowHidden(ROW()-1)=TRUE),0,IF(M384&lt;totalMonths,(totalMonths-M384)/totalMonths *(I384-I383)+O383,0))</f>
        <v>0</v>
      </c>
      <c r="P384">
        <f>IF(AND(MyRowHidden(ROW())=FALSE,MyRowHidden(ROW()-1)=TRUE),0,IF(M384&lt;totalMonths,(totalMonths-M384)/totalMonths *(J384-J383)+P383,0))</f>
        <v>0</v>
      </c>
      <c r="Q384">
        <f>IF(AND(MyRowHidden(ROW())=FALSE,MyRowHidden(ROW()-1)=TRUE),0,IF(M384&lt;totalMonths,(totalMonths-M384)/totalMonths *(K384-K383)+Q383,0))</f>
        <v>0</v>
      </c>
      <c r="R384">
        <f t="shared" si="34"/>
        <v>222530</v>
      </c>
      <c r="S384">
        <f t="shared" si="35"/>
        <v>0</v>
      </c>
    </row>
    <row r="385" spans="1:19" hidden="1" x14ac:dyDescent="0.25">
      <c r="A385" s="1"/>
      <c r="C385" s="1"/>
      <c r="D385" s="1">
        <v>41816</v>
      </c>
      <c r="E385">
        <v>29175</v>
      </c>
      <c r="F385" s="1">
        <v>41816</v>
      </c>
      <c r="G385">
        <v>1150</v>
      </c>
      <c r="H385" s="1">
        <f t="shared" si="30"/>
        <v>41816</v>
      </c>
      <c r="I385">
        <f>IF(AND(MyRowHidden(ROW())=FALSE,MyRowHidden(ROW()-1)=TRUE),0,(E385-E384)*unitsOfDHp+I384)</f>
        <v>226660</v>
      </c>
      <c r="J385">
        <f>IF(AND(MyRowHidden(ROW())=FALSE,MyRowHidden(ROW()-1)=TRUE),0,(G385-G384)*unitsOfExo+J384)</f>
        <v>-216000</v>
      </c>
      <c r="K385" s="9">
        <f t="shared" si="31"/>
        <v>216000</v>
      </c>
      <c r="L385">
        <f t="shared" si="32"/>
        <v>10660</v>
      </c>
      <c r="M385">
        <f>IF(AND(MyRowHidden(ROW())=FALSE,MyRowHidden(ROW()-1)=TRUE),0,IF(MONTH(H385)&lt;&gt;MONTH(H384),M384+1,M384))</f>
        <v>17</v>
      </c>
      <c r="N385">
        <f t="shared" si="33"/>
        <v>226660</v>
      </c>
      <c r="O385">
        <f>IF(AND(MyRowHidden(ROW())=FALSE,MyRowHidden(ROW()-1)=TRUE),0,IF(M385&lt;totalMonths,(totalMonths-M385)/totalMonths *(I385-I384)+O384,0))</f>
        <v>0</v>
      </c>
      <c r="P385">
        <f>IF(AND(MyRowHidden(ROW())=FALSE,MyRowHidden(ROW()-1)=TRUE),0,IF(M385&lt;totalMonths,(totalMonths-M385)/totalMonths *(J385-J384)+P384,0))</f>
        <v>0</v>
      </c>
      <c r="Q385">
        <f>IF(AND(MyRowHidden(ROW())=FALSE,MyRowHidden(ROW()-1)=TRUE),0,IF(M385&lt;totalMonths,(totalMonths-M385)/totalMonths *(K385-K384)+Q384,0))</f>
        <v>0</v>
      </c>
      <c r="R385">
        <f t="shared" si="34"/>
        <v>226660</v>
      </c>
      <c r="S385">
        <f t="shared" si="35"/>
        <v>0</v>
      </c>
    </row>
    <row r="386" spans="1:19" hidden="1" x14ac:dyDescent="0.25">
      <c r="A386" s="1"/>
      <c r="C386" s="1"/>
      <c r="D386" s="1">
        <v>41817</v>
      </c>
      <c r="E386">
        <v>29202</v>
      </c>
      <c r="F386" s="1">
        <v>41817</v>
      </c>
      <c r="G386">
        <v>987.5</v>
      </c>
      <c r="H386" s="1">
        <f t="shared" si="30"/>
        <v>41817</v>
      </c>
      <c r="I386">
        <f>IF(AND(MyRowHidden(ROW())=FALSE,MyRowHidden(ROW()-1)=TRUE),0,(E386-E385)*unitsOfDHp+I385)</f>
        <v>227605</v>
      </c>
      <c r="J386">
        <f>IF(AND(MyRowHidden(ROW())=FALSE,MyRowHidden(ROW()-1)=TRUE),0,(G386-G385)*unitsOfExo+J385)</f>
        <v>-262800</v>
      </c>
      <c r="K386" s="9">
        <f t="shared" si="31"/>
        <v>262800</v>
      </c>
      <c r="L386">
        <f t="shared" si="32"/>
        <v>-35195</v>
      </c>
      <c r="M386">
        <f>IF(AND(MyRowHidden(ROW())=FALSE,MyRowHidden(ROW()-1)=TRUE),0,IF(MONTH(H386)&lt;&gt;MONTH(H385),M385+1,M385))</f>
        <v>17</v>
      </c>
      <c r="N386">
        <f t="shared" si="33"/>
        <v>227605</v>
      </c>
      <c r="O386">
        <f>IF(AND(MyRowHidden(ROW())=FALSE,MyRowHidden(ROW()-1)=TRUE),0,IF(M386&lt;totalMonths,(totalMonths-M386)/totalMonths *(I386-I385)+O385,0))</f>
        <v>0</v>
      </c>
      <c r="P386">
        <f>IF(AND(MyRowHidden(ROW())=FALSE,MyRowHidden(ROW()-1)=TRUE),0,IF(M386&lt;totalMonths,(totalMonths-M386)/totalMonths *(J386-J385)+P385,0))</f>
        <v>0</v>
      </c>
      <c r="Q386">
        <f>IF(AND(MyRowHidden(ROW())=FALSE,MyRowHidden(ROW()-1)=TRUE),0,IF(M386&lt;totalMonths,(totalMonths-M386)/totalMonths *(K386-K385)+Q385,0))</f>
        <v>0</v>
      </c>
      <c r="R386">
        <f t="shared" si="34"/>
        <v>227605</v>
      </c>
      <c r="S386">
        <f t="shared" si="35"/>
        <v>0</v>
      </c>
    </row>
    <row r="387" spans="1:19" hidden="1" x14ac:dyDescent="0.25">
      <c r="A387" s="1"/>
      <c r="C387" s="1"/>
      <c r="D387" s="1">
        <v>41820</v>
      </c>
      <c r="E387">
        <v>28158</v>
      </c>
      <c r="F387" s="1">
        <v>41820</v>
      </c>
      <c r="G387">
        <v>162.5</v>
      </c>
      <c r="H387" s="1">
        <f t="shared" si="30"/>
        <v>41820</v>
      </c>
      <c r="I387">
        <f>IF(AND(MyRowHidden(ROW())=FALSE,MyRowHidden(ROW()-1)=TRUE),0,(E387-E386)*unitsOfDHp+I386)</f>
        <v>191065</v>
      </c>
      <c r="J387">
        <f>IF(AND(MyRowHidden(ROW())=FALSE,MyRowHidden(ROW()-1)=TRUE),0,(G387-G386)*unitsOfExo+J386)</f>
        <v>-500400</v>
      </c>
      <c r="K387" s="9">
        <f t="shared" si="31"/>
        <v>500400</v>
      </c>
      <c r="L387">
        <f t="shared" si="32"/>
        <v>-309335</v>
      </c>
      <c r="M387">
        <f>IF(AND(MyRowHidden(ROW())=FALSE,MyRowHidden(ROW()-1)=TRUE),0,IF(MONTH(H387)&lt;&gt;MONTH(H386),M386+1,M386))</f>
        <v>17</v>
      </c>
      <c r="N387">
        <f t="shared" si="33"/>
        <v>191065</v>
      </c>
      <c r="O387">
        <f>IF(AND(MyRowHidden(ROW())=FALSE,MyRowHidden(ROW()-1)=TRUE),0,IF(M387&lt;totalMonths,(totalMonths-M387)/totalMonths *(I387-I386)+O386,0))</f>
        <v>0</v>
      </c>
      <c r="P387">
        <f>IF(AND(MyRowHidden(ROW())=FALSE,MyRowHidden(ROW()-1)=TRUE),0,IF(M387&lt;totalMonths,(totalMonths-M387)/totalMonths *(J387-J386)+P386,0))</f>
        <v>0</v>
      </c>
      <c r="Q387">
        <f>IF(AND(MyRowHidden(ROW())=FALSE,MyRowHidden(ROW()-1)=TRUE),0,IF(M387&lt;totalMonths,(totalMonths-M387)/totalMonths *(K387-K386)+Q386,0))</f>
        <v>0</v>
      </c>
      <c r="R387">
        <f t="shared" si="34"/>
        <v>191065</v>
      </c>
      <c r="S387">
        <f t="shared" si="35"/>
        <v>0</v>
      </c>
    </row>
    <row r="388" spans="1:19" hidden="1" x14ac:dyDescent="0.25">
      <c r="A388" s="1"/>
      <c r="C388" s="1"/>
      <c r="D388" s="1">
        <v>41821</v>
      </c>
      <c r="E388">
        <v>28212</v>
      </c>
      <c r="F388" s="1">
        <v>41821</v>
      </c>
      <c r="G388">
        <v>0</v>
      </c>
      <c r="H388" s="1">
        <f t="shared" si="30"/>
        <v>41821</v>
      </c>
      <c r="I388">
        <f>IF(AND(MyRowHidden(ROW())=FALSE,MyRowHidden(ROW()-1)=TRUE),0,(E388-E387)*unitsOfDHp+I387)</f>
        <v>192955</v>
      </c>
      <c r="J388">
        <f>IF(AND(MyRowHidden(ROW())=FALSE,MyRowHidden(ROW()-1)=TRUE),0,(G388-G387)*unitsOfExo+J387)</f>
        <v>-547200</v>
      </c>
      <c r="K388" s="9">
        <f t="shared" si="31"/>
        <v>547200</v>
      </c>
      <c r="L388">
        <f t="shared" si="32"/>
        <v>-354245</v>
      </c>
      <c r="M388">
        <f>IF(AND(MyRowHidden(ROW())=FALSE,MyRowHidden(ROW()-1)=TRUE),0,IF(MONTH(H388)&lt;&gt;MONTH(H387),M387+1,M387))</f>
        <v>18</v>
      </c>
      <c r="N388">
        <f t="shared" si="33"/>
        <v>192955</v>
      </c>
      <c r="O388">
        <f>IF(AND(MyRowHidden(ROW())=FALSE,MyRowHidden(ROW()-1)=TRUE),0,IF(M388&lt;totalMonths,(totalMonths-M388)/totalMonths *(I388-I387)+O387,0))</f>
        <v>0</v>
      </c>
      <c r="P388">
        <f>IF(AND(MyRowHidden(ROW())=FALSE,MyRowHidden(ROW()-1)=TRUE),0,IF(M388&lt;totalMonths,(totalMonths-M388)/totalMonths *(J388-J387)+P387,0))</f>
        <v>0</v>
      </c>
      <c r="Q388">
        <f>IF(AND(MyRowHidden(ROW())=FALSE,MyRowHidden(ROW()-1)=TRUE),0,IF(M388&lt;totalMonths,(totalMonths-M388)/totalMonths *(K388-K387)+Q387,0))</f>
        <v>0</v>
      </c>
      <c r="R388">
        <f t="shared" si="34"/>
        <v>192955</v>
      </c>
      <c r="S388">
        <f t="shared" si="35"/>
        <v>0</v>
      </c>
    </row>
    <row r="389" spans="1:19" hidden="1" x14ac:dyDescent="0.25">
      <c r="A389" s="1"/>
      <c r="C389" s="1"/>
      <c r="D389" s="1">
        <v>41822</v>
      </c>
      <c r="E389">
        <v>28172</v>
      </c>
      <c r="F389" s="1">
        <v>41822</v>
      </c>
      <c r="G389">
        <v>-175</v>
      </c>
      <c r="H389" s="1">
        <f t="shared" si="30"/>
        <v>41822</v>
      </c>
      <c r="I389">
        <f>IF(AND(MyRowHidden(ROW())=FALSE,MyRowHidden(ROW()-1)=TRUE),0,(E389-E388)*unitsOfDHp+I388)</f>
        <v>191555</v>
      </c>
      <c r="J389">
        <f>IF(AND(MyRowHidden(ROW())=FALSE,MyRowHidden(ROW()-1)=TRUE),0,(G389-G388)*unitsOfExo+J388)</f>
        <v>-597600</v>
      </c>
      <c r="K389" s="9">
        <f t="shared" si="31"/>
        <v>597600</v>
      </c>
      <c r="L389">
        <f t="shared" si="32"/>
        <v>-406045</v>
      </c>
      <c r="M389">
        <f>IF(AND(MyRowHidden(ROW())=FALSE,MyRowHidden(ROW()-1)=TRUE),0,IF(MONTH(H389)&lt;&gt;MONTH(H388),M388+1,M388))</f>
        <v>18</v>
      </c>
      <c r="N389">
        <f t="shared" si="33"/>
        <v>191555</v>
      </c>
      <c r="O389">
        <f>IF(AND(MyRowHidden(ROW())=FALSE,MyRowHidden(ROW()-1)=TRUE),0,IF(M389&lt;totalMonths,(totalMonths-M389)/totalMonths *(I389-I388)+O388,0))</f>
        <v>0</v>
      </c>
      <c r="P389">
        <f>IF(AND(MyRowHidden(ROW())=FALSE,MyRowHidden(ROW()-1)=TRUE),0,IF(M389&lt;totalMonths,(totalMonths-M389)/totalMonths *(J389-J388)+P388,0))</f>
        <v>0</v>
      </c>
      <c r="Q389">
        <f>IF(AND(MyRowHidden(ROW())=FALSE,MyRowHidden(ROW()-1)=TRUE),0,IF(M389&lt;totalMonths,(totalMonths-M389)/totalMonths *(K389-K388)+Q388,0))</f>
        <v>0</v>
      </c>
      <c r="R389">
        <f t="shared" si="34"/>
        <v>191555</v>
      </c>
      <c r="S389">
        <f t="shared" si="35"/>
        <v>0</v>
      </c>
    </row>
    <row r="390" spans="1:19" hidden="1" x14ac:dyDescent="0.25">
      <c r="A390" s="1"/>
      <c r="C390" s="1"/>
      <c r="D390" s="1">
        <v>41823</v>
      </c>
      <c r="E390">
        <v>28149</v>
      </c>
      <c r="F390" s="1">
        <v>41823</v>
      </c>
      <c r="G390">
        <v>-225</v>
      </c>
      <c r="H390" s="1">
        <f t="shared" si="30"/>
        <v>41823</v>
      </c>
      <c r="I390">
        <f>IF(AND(MyRowHidden(ROW())=FALSE,MyRowHidden(ROW()-1)=TRUE),0,(E390-E389)*unitsOfDHp+I389)</f>
        <v>190750</v>
      </c>
      <c r="J390">
        <f>IF(AND(MyRowHidden(ROW())=FALSE,MyRowHidden(ROW()-1)=TRUE),0,(G390-G389)*unitsOfExo+J389)</f>
        <v>-612000</v>
      </c>
      <c r="K390" s="9">
        <f t="shared" si="31"/>
        <v>612000</v>
      </c>
      <c r="L390">
        <f t="shared" si="32"/>
        <v>-421250</v>
      </c>
      <c r="M390">
        <f>IF(AND(MyRowHidden(ROW())=FALSE,MyRowHidden(ROW()-1)=TRUE),0,IF(MONTH(H390)&lt;&gt;MONTH(H389),M389+1,M389))</f>
        <v>18</v>
      </c>
      <c r="N390">
        <f t="shared" si="33"/>
        <v>190750</v>
      </c>
      <c r="O390">
        <f>IF(AND(MyRowHidden(ROW())=FALSE,MyRowHidden(ROW()-1)=TRUE),0,IF(M390&lt;totalMonths,(totalMonths-M390)/totalMonths *(I390-I389)+O389,0))</f>
        <v>0</v>
      </c>
      <c r="P390">
        <f>IF(AND(MyRowHidden(ROW())=FALSE,MyRowHidden(ROW()-1)=TRUE),0,IF(M390&lt;totalMonths,(totalMonths-M390)/totalMonths *(J390-J389)+P389,0))</f>
        <v>0</v>
      </c>
      <c r="Q390">
        <f>IF(AND(MyRowHidden(ROW())=FALSE,MyRowHidden(ROW()-1)=TRUE),0,IF(M390&lt;totalMonths,(totalMonths-M390)/totalMonths *(K390-K389)+Q389,0))</f>
        <v>0</v>
      </c>
      <c r="R390">
        <f t="shared" si="34"/>
        <v>190750</v>
      </c>
      <c r="S390">
        <f t="shared" si="35"/>
        <v>0</v>
      </c>
    </row>
    <row r="391" spans="1:19" hidden="1" x14ac:dyDescent="0.25">
      <c r="A391" s="1"/>
      <c r="C391" s="1"/>
      <c r="D391" s="1">
        <v>41827</v>
      </c>
      <c r="E391">
        <v>27856</v>
      </c>
      <c r="F391" s="1">
        <v>41827</v>
      </c>
      <c r="G391">
        <v>-625</v>
      </c>
      <c r="H391" s="1">
        <f t="shared" si="30"/>
        <v>41827</v>
      </c>
      <c r="I391">
        <f>IF(AND(MyRowHidden(ROW())=FALSE,MyRowHidden(ROW()-1)=TRUE),0,(E391-E390)*unitsOfDHp+I390)</f>
        <v>180495</v>
      </c>
      <c r="J391">
        <f>IF(AND(MyRowHidden(ROW())=FALSE,MyRowHidden(ROW()-1)=TRUE),0,(G391-G390)*unitsOfExo+J390)</f>
        <v>-727200</v>
      </c>
      <c r="K391" s="9">
        <f t="shared" si="31"/>
        <v>727200</v>
      </c>
      <c r="L391">
        <f t="shared" si="32"/>
        <v>-546705</v>
      </c>
      <c r="M391">
        <f>IF(AND(MyRowHidden(ROW())=FALSE,MyRowHidden(ROW()-1)=TRUE),0,IF(MONTH(H391)&lt;&gt;MONTH(H390),M390+1,M390))</f>
        <v>18</v>
      </c>
      <c r="N391">
        <f t="shared" si="33"/>
        <v>180495</v>
      </c>
      <c r="O391">
        <f>IF(AND(MyRowHidden(ROW())=FALSE,MyRowHidden(ROW()-1)=TRUE),0,IF(M391&lt;totalMonths,(totalMonths-M391)/totalMonths *(I391-I390)+O390,0))</f>
        <v>0</v>
      </c>
      <c r="P391">
        <f>IF(AND(MyRowHidden(ROW())=FALSE,MyRowHidden(ROW()-1)=TRUE),0,IF(M391&lt;totalMonths,(totalMonths-M391)/totalMonths *(J391-J390)+P390,0))</f>
        <v>0</v>
      </c>
      <c r="Q391">
        <f>IF(AND(MyRowHidden(ROW())=FALSE,MyRowHidden(ROW()-1)=TRUE),0,IF(M391&lt;totalMonths,(totalMonths-M391)/totalMonths *(K391-K390)+Q390,0))</f>
        <v>0</v>
      </c>
      <c r="R391">
        <f t="shared" si="34"/>
        <v>180495</v>
      </c>
      <c r="S391">
        <f t="shared" si="35"/>
        <v>0</v>
      </c>
    </row>
    <row r="392" spans="1:19" hidden="1" x14ac:dyDescent="0.25">
      <c r="A392" s="1"/>
      <c r="C392" s="1"/>
      <c r="D392" s="1">
        <v>41828</v>
      </c>
      <c r="E392">
        <v>27695</v>
      </c>
      <c r="F392" s="1">
        <v>41828</v>
      </c>
      <c r="G392">
        <v>-650</v>
      </c>
      <c r="H392" s="1">
        <f t="shared" si="30"/>
        <v>41828</v>
      </c>
      <c r="I392">
        <f>IF(AND(MyRowHidden(ROW())=FALSE,MyRowHidden(ROW()-1)=TRUE),0,(E392-E391)*unitsOfDHp+I391)</f>
        <v>174860</v>
      </c>
      <c r="J392">
        <f>IF(AND(MyRowHidden(ROW())=FALSE,MyRowHidden(ROW()-1)=TRUE),0,(G392-G391)*unitsOfExo+J391)</f>
        <v>-734400</v>
      </c>
      <c r="K392" s="9">
        <f t="shared" si="31"/>
        <v>734400</v>
      </c>
      <c r="L392">
        <f t="shared" si="32"/>
        <v>-559540</v>
      </c>
      <c r="M392">
        <f>IF(AND(MyRowHidden(ROW())=FALSE,MyRowHidden(ROW()-1)=TRUE),0,IF(MONTH(H392)&lt;&gt;MONTH(H391),M391+1,M391))</f>
        <v>18</v>
      </c>
      <c r="N392">
        <f t="shared" si="33"/>
        <v>174860</v>
      </c>
      <c r="O392">
        <f>IF(AND(MyRowHidden(ROW())=FALSE,MyRowHidden(ROW()-1)=TRUE),0,IF(M392&lt;totalMonths,(totalMonths-M392)/totalMonths *(I392-I391)+O391,0))</f>
        <v>0</v>
      </c>
      <c r="P392">
        <f>IF(AND(MyRowHidden(ROW())=FALSE,MyRowHidden(ROW()-1)=TRUE),0,IF(M392&lt;totalMonths,(totalMonths-M392)/totalMonths *(J392-J391)+P391,0))</f>
        <v>0</v>
      </c>
      <c r="Q392">
        <f>IF(AND(MyRowHidden(ROW())=FALSE,MyRowHidden(ROW()-1)=TRUE),0,IF(M392&lt;totalMonths,(totalMonths-M392)/totalMonths *(K392-K391)+Q391,0))</f>
        <v>0</v>
      </c>
      <c r="R392">
        <f t="shared" si="34"/>
        <v>174860</v>
      </c>
      <c r="S392">
        <f t="shared" si="35"/>
        <v>0</v>
      </c>
    </row>
    <row r="393" spans="1:19" hidden="1" x14ac:dyDescent="0.25">
      <c r="A393" s="1"/>
      <c r="C393" s="1"/>
      <c r="D393" s="1">
        <v>41829</v>
      </c>
      <c r="E393">
        <v>27394</v>
      </c>
      <c r="F393" s="1">
        <v>41829</v>
      </c>
      <c r="G393">
        <v>-862.5</v>
      </c>
      <c r="H393" s="1">
        <f t="shared" si="30"/>
        <v>41829</v>
      </c>
      <c r="I393">
        <f>IF(AND(MyRowHidden(ROW())=FALSE,MyRowHidden(ROW()-1)=TRUE),0,(E393-E392)*unitsOfDHp+I392)</f>
        <v>164325</v>
      </c>
      <c r="J393">
        <f>IF(AND(MyRowHidden(ROW())=FALSE,MyRowHidden(ROW()-1)=TRUE),0,(G393-G392)*unitsOfExo+J392)</f>
        <v>-795600</v>
      </c>
      <c r="K393" s="9">
        <f t="shared" si="31"/>
        <v>795600</v>
      </c>
      <c r="L393">
        <f t="shared" si="32"/>
        <v>-631275</v>
      </c>
      <c r="M393">
        <f>IF(AND(MyRowHidden(ROW())=FALSE,MyRowHidden(ROW()-1)=TRUE),0,IF(MONTH(H393)&lt;&gt;MONTH(H392),M392+1,M392))</f>
        <v>18</v>
      </c>
      <c r="N393">
        <f t="shared" si="33"/>
        <v>164325</v>
      </c>
      <c r="O393">
        <f>IF(AND(MyRowHidden(ROW())=FALSE,MyRowHidden(ROW()-1)=TRUE),0,IF(M393&lt;totalMonths,(totalMonths-M393)/totalMonths *(I393-I392)+O392,0))</f>
        <v>0</v>
      </c>
      <c r="P393">
        <f>IF(AND(MyRowHidden(ROW())=FALSE,MyRowHidden(ROW()-1)=TRUE),0,IF(M393&lt;totalMonths,(totalMonths-M393)/totalMonths *(J393-J392)+P392,0))</f>
        <v>0</v>
      </c>
      <c r="Q393">
        <f>IF(AND(MyRowHidden(ROW())=FALSE,MyRowHidden(ROW()-1)=TRUE),0,IF(M393&lt;totalMonths,(totalMonths-M393)/totalMonths *(K393-K392)+Q392,0))</f>
        <v>0</v>
      </c>
      <c r="R393">
        <f t="shared" si="34"/>
        <v>164325</v>
      </c>
      <c r="S393">
        <f t="shared" si="35"/>
        <v>0</v>
      </c>
    </row>
    <row r="394" spans="1:19" hidden="1" x14ac:dyDescent="0.25">
      <c r="A394" s="1"/>
      <c r="C394" s="1"/>
      <c r="D394" s="1">
        <v>41830</v>
      </c>
      <c r="E394">
        <v>27253</v>
      </c>
      <c r="F394" s="1">
        <v>41830</v>
      </c>
      <c r="G394">
        <v>-1025</v>
      </c>
      <c r="H394" s="1">
        <f t="shared" si="30"/>
        <v>41830</v>
      </c>
      <c r="I394">
        <f>IF(AND(MyRowHidden(ROW())=FALSE,MyRowHidden(ROW()-1)=TRUE),0,(E394-E393)*unitsOfDHp+I393)</f>
        <v>159390</v>
      </c>
      <c r="J394">
        <f>IF(AND(MyRowHidden(ROW())=FALSE,MyRowHidden(ROW()-1)=TRUE),0,(G394-G393)*unitsOfExo+J393)</f>
        <v>-842400</v>
      </c>
      <c r="K394" s="9">
        <f t="shared" si="31"/>
        <v>842400</v>
      </c>
      <c r="L394">
        <f t="shared" si="32"/>
        <v>-683010</v>
      </c>
      <c r="M394">
        <f>IF(AND(MyRowHidden(ROW())=FALSE,MyRowHidden(ROW()-1)=TRUE),0,IF(MONTH(H394)&lt;&gt;MONTH(H393),M393+1,M393))</f>
        <v>18</v>
      </c>
      <c r="N394">
        <f t="shared" si="33"/>
        <v>159390</v>
      </c>
      <c r="O394">
        <f>IF(AND(MyRowHidden(ROW())=FALSE,MyRowHidden(ROW()-1)=TRUE),0,IF(M394&lt;totalMonths,(totalMonths-M394)/totalMonths *(I394-I393)+O393,0))</f>
        <v>0</v>
      </c>
      <c r="P394">
        <f>IF(AND(MyRowHidden(ROW())=FALSE,MyRowHidden(ROW()-1)=TRUE),0,IF(M394&lt;totalMonths,(totalMonths-M394)/totalMonths *(J394-J393)+P393,0))</f>
        <v>0</v>
      </c>
      <c r="Q394">
        <f>IF(AND(MyRowHidden(ROW())=FALSE,MyRowHidden(ROW()-1)=TRUE),0,IF(M394&lt;totalMonths,(totalMonths-M394)/totalMonths *(K394-K393)+Q393,0))</f>
        <v>0</v>
      </c>
      <c r="R394">
        <f t="shared" si="34"/>
        <v>159390</v>
      </c>
      <c r="S394">
        <f t="shared" si="35"/>
        <v>0</v>
      </c>
    </row>
    <row r="395" spans="1:19" hidden="1" x14ac:dyDescent="0.25">
      <c r="A395" s="1"/>
      <c r="C395" s="1"/>
      <c r="D395" s="1">
        <v>41831</v>
      </c>
      <c r="E395">
        <v>27205</v>
      </c>
      <c r="F395" s="1">
        <v>41831</v>
      </c>
      <c r="G395">
        <v>-1325</v>
      </c>
      <c r="H395" s="1">
        <f t="shared" si="30"/>
        <v>41831</v>
      </c>
      <c r="I395">
        <f>IF(AND(MyRowHidden(ROW())=FALSE,MyRowHidden(ROW()-1)=TRUE),0,(E395-E394)*unitsOfDHp+I394)</f>
        <v>157710</v>
      </c>
      <c r="J395">
        <f>IF(AND(MyRowHidden(ROW())=FALSE,MyRowHidden(ROW()-1)=TRUE),0,(G395-G394)*unitsOfExo+J394)</f>
        <v>-928800</v>
      </c>
      <c r="K395" s="9">
        <f t="shared" si="31"/>
        <v>928800</v>
      </c>
      <c r="L395">
        <f t="shared" si="32"/>
        <v>-771090</v>
      </c>
      <c r="M395">
        <f>IF(AND(MyRowHidden(ROW())=FALSE,MyRowHidden(ROW()-1)=TRUE),0,IF(MONTH(H395)&lt;&gt;MONTH(H394),M394+1,M394))</f>
        <v>18</v>
      </c>
      <c r="N395">
        <f t="shared" si="33"/>
        <v>157710</v>
      </c>
      <c r="O395">
        <f>IF(AND(MyRowHidden(ROW())=FALSE,MyRowHidden(ROW()-1)=TRUE),0,IF(M395&lt;totalMonths,(totalMonths-M395)/totalMonths *(I395-I394)+O394,0))</f>
        <v>0</v>
      </c>
      <c r="P395">
        <f>IF(AND(MyRowHidden(ROW())=FALSE,MyRowHidden(ROW()-1)=TRUE),0,IF(M395&lt;totalMonths,(totalMonths-M395)/totalMonths *(J395-J394)+P394,0))</f>
        <v>0</v>
      </c>
      <c r="Q395">
        <f>IF(AND(MyRowHidden(ROW())=FALSE,MyRowHidden(ROW()-1)=TRUE),0,IF(M395&lt;totalMonths,(totalMonths-M395)/totalMonths *(K395-K394)+Q394,0))</f>
        <v>0</v>
      </c>
      <c r="R395">
        <f t="shared" si="34"/>
        <v>157710</v>
      </c>
      <c r="S395">
        <f t="shared" si="35"/>
        <v>0</v>
      </c>
    </row>
    <row r="396" spans="1:19" hidden="1" x14ac:dyDescent="0.25">
      <c r="A396" s="1"/>
      <c r="C396" s="1"/>
      <c r="D396" s="1">
        <v>41834</v>
      </c>
      <c r="E396">
        <v>27098</v>
      </c>
      <c r="F396" s="1">
        <v>41834</v>
      </c>
      <c r="G396">
        <v>-950</v>
      </c>
      <c r="H396" s="1">
        <f t="shared" si="30"/>
        <v>41834</v>
      </c>
      <c r="I396">
        <f>IF(AND(MyRowHidden(ROW())=FALSE,MyRowHidden(ROW()-1)=TRUE),0,(E396-E395)*unitsOfDHp+I395)</f>
        <v>153965</v>
      </c>
      <c r="J396">
        <f>IF(AND(MyRowHidden(ROW())=FALSE,MyRowHidden(ROW()-1)=TRUE),0,(G396-G395)*unitsOfExo+J395)</f>
        <v>-820800</v>
      </c>
      <c r="K396" s="9">
        <f t="shared" si="31"/>
        <v>820800</v>
      </c>
      <c r="L396">
        <f t="shared" si="32"/>
        <v>-666835</v>
      </c>
      <c r="M396">
        <f>IF(AND(MyRowHidden(ROW())=FALSE,MyRowHidden(ROW()-1)=TRUE),0,IF(MONTH(H396)&lt;&gt;MONTH(H395),M395+1,M395))</f>
        <v>18</v>
      </c>
      <c r="N396">
        <f t="shared" si="33"/>
        <v>153965</v>
      </c>
      <c r="O396">
        <f>IF(AND(MyRowHidden(ROW())=FALSE,MyRowHidden(ROW()-1)=TRUE),0,IF(M396&lt;totalMonths,(totalMonths-M396)/totalMonths *(I396-I395)+O395,0))</f>
        <v>0</v>
      </c>
      <c r="P396">
        <f>IF(AND(MyRowHidden(ROW())=FALSE,MyRowHidden(ROW()-1)=TRUE),0,IF(M396&lt;totalMonths,(totalMonths-M396)/totalMonths *(J396-J395)+P395,0))</f>
        <v>0</v>
      </c>
      <c r="Q396">
        <f>IF(AND(MyRowHidden(ROW())=FALSE,MyRowHidden(ROW()-1)=TRUE),0,IF(M396&lt;totalMonths,(totalMonths-M396)/totalMonths *(K396-K395)+Q395,0))</f>
        <v>0</v>
      </c>
      <c r="R396">
        <f t="shared" si="34"/>
        <v>153965</v>
      </c>
      <c r="S396">
        <f t="shared" si="35"/>
        <v>0</v>
      </c>
    </row>
    <row r="397" spans="1:19" hidden="1" x14ac:dyDescent="0.25">
      <c r="A397" s="1"/>
      <c r="C397" s="1"/>
      <c r="D397" s="1">
        <v>41835</v>
      </c>
      <c r="E397">
        <v>27154</v>
      </c>
      <c r="F397" s="1">
        <v>41835</v>
      </c>
      <c r="G397">
        <v>-1262.5</v>
      </c>
      <c r="H397" s="1">
        <f t="shared" ref="H397:H460" si="36">D397</f>
        <v>41835</v>
      </c>
      <c r="I397">
        <f>IF(AND(MyRowHidden(ROW())=FALSE,MyRowHidden(ROW()-1)=TRUE),0,(E397-E396)*unitsOfDHp+I396)</f>
        <v>155925</v>
      </c>
      <c r="J397">
        <f>IF(AND(MyRowHidden(ROW())=FALSE,MyRowHidden(ROW()-1)=TRUE),0,(G397-G396)*unitsOfExo+J396)</f>
        <v>-910800</v>
      </c>
      <c r="K397" s="9">
        <f t="shared" ref="K397:K460" si="37">-(J397-J396)+K396</f>
        <v>910800</v>
      </c>
      <c r="L397">
        <f t="shared" ref="L397:L460" si="38">I397+J397</f>
        <v>-754875</v>
      </c>
      <c r="M397">
        <f>IF(AND(MyRowHidden(ROW())=FALSE,MyRowHidden(ROW()-1)=TRUE),0,IF(MONTH(H397)&lt;&gt;MONTH(H396),M396+1,M396))</f>
        <v>18</v>
      </c>
      <c r="N397">
        <f t="shared" ref="N397:N460" si="39">I397</f>
        <v>155925</v>
      </c>
      <c r="O397">
        <f>IF(AND(MyRowHidden(ROW())=FALSE,MyRowHidden(ROW()-1)=TRUE),0,IF(M397&lt;totalMonths,(totalMonths-M397)/totalMonths *(I397-I396)+O396,0))</f>
        <v>0</v>
      </c>
      <c r="P397">
        <f>IF(AND(MyRowHidden(ROW())=FALSE,MyRowHidden(ROW()-1)=TRUE),0,IF(M397&lt;totalMonths,(totalMonths-M397)/totalMonths *(J397-J396)+P396,0))</f>
        <v>0</v>
      </c>
      <c r="Q397">
        <f>IF(AND(MyRowHidden(ROW())=FALSE,MyRowHidden(ROW()-1)=TRUE),0,IF(M397&lt;totalMonths,(totalMonths-M397)/totalMonths *(K397-K396)+Q396,0))</f>
        <v>0</v>
      </c>
      <c r="R397">
        <f t="shared" ref="R397:R460" si="40">N397+P397</f>
        <v>155925</v>
      </c>
      <c r="S397">
        <f t="shared" ref="S397:S460" si="41">O397+P397</f>
        <v>0</v>
      </c>
    </row>
    <row r="398" spans="1:19" hidden="1" x14ac:dyDescent="0.25">
      <c r="A398" s="1"/>
      <c r="C398" s="1"/>
      <c r="D398" s="1">
        <v>41836</v>
      </c>
      <c r="E398">
        <v>27150</v>
      </c>
      <c r="F398" s="1">
        <v>41836</v>
      </c>
      <c r="G398">
        <v>-1200</v>
      </c>
      <c r="H398" s="1">
        <f t="shared" si="36"/>
        <v>41836</v>
      </c>
      <c r="I398">
        <f>IF(AND(MyRowHidden(ROW())=FALSE,MyRowHidden(ROW()-1)=TRUE),0,(E398-E397)*unitsOfDHp+I397)</f>
        <v>155785</v>
      </c>
      <c r="J398">
        <f>IF(AND(MyRowHidden(ROW())=FALSE,MyRowHidden(ROW()-1)=TRUE),0,(G398-G397)*unitsOfExo+J397)</f>
        <v>-892800</v>
      </c>
      <c r="K398" s="9">
        <f t="shared" si="37"/>
        <v>892800</v>
      </c>
      <c r="L398">
        <f t="shared" si="38"/>
        <v>-737015</v>
      </c>
      <c r="M398">
        <f>IF(AND(MyRowHidden(ROW())=FALSE,MyRowHidden(ROW()-1)=TRUE),0,IF(MONTH(H398)&lt;&gt;MONTH(H397),M397+1,M397))</f>
        <v>18</v>
      </c>
      <c r="N398">
        <f t="shared" si="39"/>
        <v>155785</v>
      </c>
      <c r="O398">
        <f>IF(AND(MyRowHidden(ROW())=FALSE,MyRowHidden(ROW()-1)=TRUE),0,IF(M398&lt;totalMonths,(totalMonths-M398)/totalMonths *(I398-I397)+O397,0))</f>
        <v>0</v>
      </c>
      <c r="P398">
        <f>IF(AND(MyRowHidden(ROW())=FALSE,MyRowHidden(ROW()-1)=TRUE),0,IF(M398&lt;totalMonths,(totalMonths-M398)/totalMonths *(J398-J397)+P397,0))</f>
        <v>0</v>
      </c>
      <c r="Q398">
        <f>IF(AND(MyRowHidden(ROW())=FALSE,MyRowHidden(ROW()-1)=TRUE),0,IF(M398&lt;totalMonths,(totalMonths-M398)/totalMonths *(K398-K397)+Q397,0))</f>
        <v>0</v>
      </c>
      <c r="R398">
        <f t="shared" si="40"/>
        <v>155785</v>
      </c>
      <c r="S398">
        <f t="shared" si="41"/>
        <v>0</v>
      </c>
    </row>
    <row r="399" spans="1:19" hidden="1" x14ac:dyDescent="0.25">
      <c r="A399" s="1"/>
      <c r="C399" s="1"/>
      <c r="D399" s="1">
        <v>41837</v>
      </c>
      <c r="E399">
        <v>27068</v>
      </c>
      <c r="F399" s="1">
        <v>41837</v>
      </c>
      <c r="G399">
        <v>-1025</v>
      </c>
      <c r="H399" s="1">
        <f t="shared" si="36"/>
        <v>41837</v>
      </c>
      <c r="I399">
        <f>IF(AND(MyRowHidden(ROW())=FALSE,MyRowHidden(ROW()-1)=TRUE),0,(E399-E398)*unitsOfDHp+I398)</f>
        <v>152915</v>
      </c>
      <c r="J399">
        <f>IF(AND(MyRowHidden(ROW())=FALSE,MyRowHidden(ROW()-1)=TRUE),0,(G399-G398)*unitsOfExo+J398)</f>
        <v>-842400</v>
      </c>
      <c r="K399" s="9">
        <f t="shared" si="37"/>
        <v>842400</v>
      </c>
      <c r="L399">
        <f t="shared" si="38"/>
        <v>-689485</v>
      </c>
      <c r="M399">
        <f>IF(AND(MyRowHidden(ROW())=FALSE,MyRowHidden(ROW()-1)=TRUE),0,IF(MONTH(H399)&lt;&gt;MONTH(H398),M398+1,M398))</f>
        <v>18</v>
      </c>
      <c r="N399">
        <f t="shared" si="39"/>
        <v>152915</v>
      </c>
      <c r="O399">
        <f>IF(AND(MyRowHidden(ROW())=FALSE,MyRowHidden(ROW()-1)=TRUE),0,IF(M399&lt;totalMonths,(totalMonths-M399)/totalMonths *(I399-I398)+O398,0))</f>
        <v>0</v>
      </c>
      <c r="P399">
        <f>IF(AND(MyRowHidden(ROW())=FALSE,MyRowHidden(ROW()-1)=TRUE),0,IF(M399&lt;totalMonths,(totalMonths-M399)/totalMonths *(J399-J398)+P398,0))</f>
        <v>0</v>
      </c>
      <c r="Q399">
        <f>IF(AND(MyRowHidden(ROW())=FALSE,MyRowHidden(ROW()-1)=TRUE),0,IF(M399&lt;totalMonths,(totalMonths-M399)/totalMonths *(K399-K398)+Q398,0))</f>
        <v>0</v>
      </c>
      <c r="R399">
        <f t="shared" si="40"/>
        <v>152915</v>
      </c>
      <c r="S399">
        <f t="shared" si="41"/>
        <v>0</v>
      </c>
    </row>
    <row r="400" spans="1:19" hidden="1" x14ac:dyDescent="0.25">
      <c r="A400" s="1"/>
      <c r="C400" s="1"/>
      <c r="D400" s="1">
        <v>41838</v>
      </c>
      <c r="E400">
        <v>27189</v>
      </c>
      <c r="F400" s="1">
        <v>41838</v>
      </c>
      <c r="G400">
        <v>-1400</v>
      </c>
      <c r="H400" s="1">
        <f t="shared" si="36"/>
        <v>41838</v>
      </c>
      <c r="I400">
        <f>IF(AND(MyRowHidden(ROW())=FALSE,MyRowHidden(ROW()-1)=TRUE),0,(E400-E399)*unitsOfDHp+I399)</f>
        <v>157150</v>
      </c>
      <c r="J400">
        <f>IF(AND(MyRowHidden(ROW())=FALSE,MyRowHidden(ROW()-1)=TRUE),0,(G400-G399)*unitsOfExo+J399)</f>
        <v>-950400</v>
      </c>
      <c r="K400" s="9">
        <f t="shared" si="37"/>
        <v>950400</v>
      </c>
      <c r="L400">
        <f t="shared" si="38"/>
        <v>-793250</v>
      </c>
      <c r="M400">
        <f>IF(AND(MyRowHidden(ROW())=FALSE,MyRowHidden(ROW()-1)=TRUE),0,IF(MONTH(H400)&lt;&gt;MONTH(H399),M399+1,M399))</f>
        <v>18</v>
      </c>
      <c r="N400">
        <f t="shared" si="39"/>
        <v>157150</v>
      </c>
      <c r="O400">
        <f>IF(AND(MyRowHidden(ROW())=FALSE,MyRowHidden(ROW()-1)=TRUE),0,IF(M400&lt;totalMonths,(totalMonths-M400)/totalMonths *(I400-I399)+O399,0))</f>
        <v>0</v>
      </c>
      <c r="P400">
        <f>IF(AND(MyRowHidden(ROW())=FALSE,MyRowHidden(ROW()-1)=TRUE),0,IF(M400&lt;totalMonths,(totalMonths-M400)/totalMonths *(J400-J399)+P399,0))</f>
        <v>0</v>
      </c>
      <c r="Q400">
        <f>IF(AND(MyRowHidden(ROW())=FALSE,MyRowHidden(ROW()-1)=TRUE),0,IF(M400&lt;totalMonths,(totalMonths-M400)/totalMonths *(K400-K399)+Q399,0))</f>
        <v>0</v>
      </c>
      <c r="R400">
        <f t="shared" si="40"/>
        <v>157150</v>
      </c>
      <c r="S400">
        <f t="shared" si="41"/>
        <v>0</v>
      </c>
    </row>
    <row r="401" spans="1:19" hidden="1" x14ac:dyDescent="0.25">
      <c r="A401" s="1"/>
      <c r="C401" s="1"/>
      <c r="D401" s="1">
        <v>41841</v>
      </c>
      <c r="E401">
        <v>27429</v>
      </c>
      <c r="F401" s="1">
        <v>41841</v>
      </c>
      <c r="G401">
        <v>-1750</v>
      </c>
      <c r="H401" s="1">
        <f t="shared" si="36"/>
        <v>41841</v>
      </c>
      <c r="I401">
        <f>IF(AND(MyRowHidden(ROW())=FALSE,MyRowHidden(ROW()-1)=TRUE),0,(E401-E400)*unitsOfDHp+I400)</f>
        <v>165550</v>
      </c>
      <c r="J401">
        <f>IF(AND(MyRowHidden(ROW())=FALSE,MyRowHidden(ROW()-1)=TRUE),0,(G401-G400)*unitsOfExo+J400)</f>
        <v>-1051200</v>
      </c>
      <c r="K401" s="9">
        <f t="shared" si="37"/>
        <v>1051200</v>
      </c>
      <c r="L401">
        <f t="shared" si="38"/>
        <v>-885650</v>
      </c>
      <c r="M401">
        <f>IF(AND(MyRowHidden(ROW())=FALSE,MyRowHidden(ROW()-1)=TRUE),0,IF(MONTH(H401)&lt;&gt;MONTH(H400),M400+1,M400))</f>
        <v>18</v>
      </c>
      <c r="N401">
        <f t="shared" si="39"/>
        <v>165550</v>
      </c>
      <c r="O401">
        <f>IF(AND(MyRowHidden(ROW())=FALSE,MyRowHidden(ROW()-1)=TRUE),0,IF(M401&lt;totalMonths,(totalMonths-M401)/totalMonths *(I401-I400)+O400,0))</f>
        <v>0</v>
      </c>
      <c r="P401">
        <f>IF(AND(MyRowHidden(ROW())=FALSE,MyRowHidden(ROW()-1)=TRUE),0,IF(M401&lt;totalMonths,(totalMonths-M401)/totalMonths *(J401-J400)+P400,0))</f>
        <v>0</v>
      </c>
      <c r="Q401">
        <f>IF(AND(MyRowHidden(ROW())=FALSE,MyRowHidden(ROW()-1)=TRUE),0,IF(M401&lt;totalMonths,(totalMonths-M401)/totalMonths *(K401-K400)+Q400,0))</f>
        <v>0</v>
      </c>
      <c r="R401">
        <f t="shared" si="40"/>
        <v>165550</v>
      </c>
      <c r="S401">
        <f t="shared" si="41"/>
        <v>0</v>
      </c>
    </row>
    <row r="402" spans="1:19" hidden="1" x14ac:dyDescent="0.25">
      <c r="A402" s="1"/>
      <c r="C402" s="1"/>
      <c r="D402" s="1">
        <v>41842</v>
      </c>
      <c r="E402">
        <v>27502</v>
      </c>
      <c r="F402" s="1">
        <v>41842</v>
      </c>
      <c r="G402">
        <v>-1950</v>
      </c>
      <c r="H402" s="1">
        <f t="shared" si="36"/>
        <v>41842</v>
      </c>
      <c r="I402">
        <f>IF(AND(MyRowHidden(ROW())=FALSE,MyRowHidden(ROW()-1)=TRUE),0,(E402-E401)*unitsOfDHp+I401)</f>
        <v>168105</v>
      </c>
      <c r="J402">
        <f>IF(AND(MyRowHidden(ROW())=FALSE,MyRowHidden(ROW()-1)=TRUE),0,(G402-G401)*unitsOfExo+J401)</f>
        <v>-1108800</v>
      </c>
      <c r="K402" s="9">
        <f t="shared" si="37"/>
        <v>1108800</v>
      </c>
      <c r="L402">
        <f t="shared" si="38"/>
        <v>-940695</v>
      </c>
      <c r="M402">
        <f>IF(AND(MyRowHidden(ROW())=FALSE,MyRowHidden(ROW()-1)=TRUE),0,IF(MONTH(H402)&lt;&gt;MONTH(H401),M401+1,M401))</f>
        <v>18</v>
      </c>
      <c r="N402">
        <f t="shared" si="39"/>
        <v>168105</v>
      </c>
      <c r="O402">
        <f>IF(AND(MyRowHidden(ROW())=FALSE,MyRowHidden(ROW()-1)=TRUE),0,IF(M402&lt;totalMonths,(totalMonths-M402)/totalMonths *(I402-I401)+O401,0))</f>
        <v>0</v>
      </c>
      <c r="P402">
        <f>IF(AND(MyRowHidden(ROW())=FALSE,MyRowHidden(ROW()-1)=TRUE),0,IF(M402&lt;totalMonths,(totalMonths-M402)/totalMonths *(J402-J401)+P401,0))</f>
        <v>0</v>
      </c>
      <c r="Q402">
        <f>IF(AND(MyRowHidden(ROW())=FALSE,MyRowHidden(ROW()-1)=TRUE),0,IF(M402&lt;totalMonths,(totalMonths-M402)/totalMonths *(K402-K401)+Q401,0))</f>
        <v>0</v>
      </c>
      <c r="R402">
        <f t="shared" si="40"/>
        <v>168105</v>
      </c>
      <c r="S402">
        <f t="shared" si="41"/>
        <v>0</v>
      </c>
    </row>
    <row r="403" spans="1:19" hidden="1" x14ac:dyDescent="0.25">
      <c r="A403" s="1"/>
      <c r="C403" s="1"/>
      <c r="D403" s="1">
        <v>41843</v>
      </c>
      <c r="E403">
        <v>27478</v>
      </c>
      <c r="F403" s="1">
        <v>41843</v>
      </c>
      <c r="G403">
        <v>-1900</v>
      </c>
      <c r="H403" s="1">
        <f t="shared" si="36"/>
        <v>41843</v>
      </c>
      <c r="I403">
        <f>IF(AND(MyRowHidden(ROW())=FALSE,MyRowHidden(ROW()-1)=TRUE),0,(E403-E402)*unitsOfDHp+I402)</f>
        <v>167265</v>
      </c>
      <c r="J403">
        <f>IF(AND(MyRowHidden(ROW())=FALSE,MyRowHidden(ROW()-1)=TRUE),0,(G403-G402)*unitsOfExo+J402)</f>
        <v>-1094400</v>
      </c>
      <c r="K403" s="9">
        <f t="shared" si="37"/>
        <v>1094400</v>
      </c>
      <c r="L403">
        <f t="shared" si="38"/>
        <v>-927135</v>
      </c>
      <c r="M403">
        <f>IF(AND(MyRowHidden(ROW())=FALSE,MyRowHidden(ROW()-1)=TRUE),0,IF(MONTH(H403)&lt;&gt;MONTH(H402),M402+1,M402))</f>
        <v>18</v>
      </c>
      <c r="N403">
        <f t="shared" si="39"/>
        <v>167265</v>
      </c>
      <c r="O403">
        <f>IF(AND(MyRowHidden(ROW())=FALSE,MyRowHidden(ROW()-1)=TRUE),0,IF(M403&lt;totalMonths,(totalMonths-M403)/totalMonths *(I403-I402)+O402,0))</f>
        <v>0</v>
      </c>
      <c r="P403">
        <f>IF(AND(MyRowHidden(ROW())=FALSE,MyRowHidden(ROW()-1)=TRUE),0,IF(M403&lt;totalMonths,(totalMonths-M403)/totalMonths *(J403-J402)+P402,0))</f>
        <v>0</v>
      </c>
      <c r="Q403">
        <f>IF(AND(MyRowHidden(ROW())=FALSE,MyRowHidden(ROW()-1)=TRUE),0,IF(M403&lt;totalMonths,(totalMonths-M403)/totalMonths *(K403-K402)+Q402,0))</f>
        <v>0</v>
      </c>
      <c r="R403">
        <f t="shared" si="40"/>
        <v>167265</v>
      </c>
      <c r="S403">
        <f t="shared" si="41"/>
        <v>0</v>
      </c>
    </row>
    <row r="404" spans="1:19" hidden="1" x14ac:dyDescent="0.25">
      <c r="A404" s="1"/>
      <c r="C404" s="1"/>
      <c r="D404" s="1">
        <v>41844</v>
      </c>
      <c r="E404">
        <v>27503</v>
      </c>
      <c r="F404" s="1">
        <v>41844</v>
      </c>
      <c r="G404">
        <v>-1975</v>
      </c>
      <c r="H404" s="1">
        <f t="shared" si="36"/>
        <v>41844</v>
      </c>
      <c r="I404">
        <f>IF(AND(MyRowHidden(ROW())=FALSE,MyRowHidden(ROW()-1)=TRUE),0,(E404-E403)*unitsOfDHp+I403)</f>
        <v>168140</v>
      </c>
      <c r="J404">
        <f>IF(AND(MyRowHidden(ROW())=FALSE,MyRowHidden(ROW()-1)=TRUE),0,(G404-G403)*unitsOfExo+J403)</f>
        <v>-1116000</v>
      </c>
      <c r="K404" s="9">
        <f t="shared" si="37"/>
        <v>1116000</v>
      </c>
      <c r="L404">
        <f t="shared" si="38"/>
        <v>-947860</v>
      </c>
      <c r="M404">
        <f>IF(AND(MyRowHidden(ROW())=FALSE,MyRowHidden(ROW()-1)=TRUE),0,IF(MONTH(H404)&lt;&gt;MONTH(H403),M403+1,M403))</f>
        <v>18</v>
      </c>
      <c r="N404">
        <f t="shared" si="39"/>
        <v>168140</v>
      </c>
      <c r="O404">
        <f>IF(AND(MyRowHidden(ROW())=FALSE,MyRowHidden(ROW()-1)=TRUE),0,IF(M404&lt;totalMonths,(totalMonths-M404)/totalMonths *(I404-I403)+O403,0))</f>
        <v>0</v>
      </c>
      <c r="P404">
        <f>IF(AND(MyRowHidden(ROW())=FALSE,MyRowHidden(ROW()-1)=TRUE),0,IF(M404&lt;totalMonths,(totalMonths-M404)/totalMonths *(J404-J403)+P403,0))</f>
        <v>0</v>
      </c>
      <c r="Q404">
        <f>IF(AND(MyRowHidden(ROW())=FALSE,MyRowHidden(ROW()-1)=TRUE),0,IF(M404&lt;totalMonths,(totalMonths-M404)/totalMonths *(K404-K403)+Q403,0))</f>
        <v>0</v>
      </c>
      <c r="R404">
        <f t="shared" si="40"/>
        <v>168140</v>
      </c>
      <c r="S404">
        <f t="shared" si="41"/>
        <v>0</v>
      </c>
    </row>
    <row r="405" spans="1:19" hidden="1" x14ac:dyDescent="0.25">
      <c r="A405" s="1"/>
      <c r="C405" s="1"/>
      <c r="D405" s="1">
        <v>41845</v>
      </c>
      <c r="E405">
        <v>27457</v>
      </c>
      <c r="F405" s="1">
        <v>41845</v>
      </c>
      <c r="G405">
        <v>-1887.5</v>
      </c>
      <c r="H405" s="1">
        <f t="shared" si="36"/>
        <v>41845</v>
      </c>
      <c r="I405">
        <f>IF(AND(MyRowHidden(ROW())=FALSE,MyRowHidden(ROW()-1)=TRUE),0,(E405-E404)*unitsOfDHp+I404)</f>
        <v>166530</v>
      </c>
      <c r="J405">
        <f>IF(AND(MyRowHidden(ROW())=FALSE,MyRowHidden(ROW()-1)=TRUE),0,(G405-G404)*unitsOfExo+J404)</f>
        <v>-1090800</v>
      </c>
      <c r="K405" s="9">
        <f t="shared" si="37"/>
        <v>1090800</v>
      </c>
      <c r="L405">
        <f t="shared" si="38"/>
        <v>-924270</v>
      </c>
      <c r="M405">
        <f>IF(AND(MyRowHidden(ROW())=FALSE,MyRowHidden(ROW()-1)=TRUE),0,IF(MONTH(H405)&lt;&gt;MONTH(H404),M404+1,M404))</f>
        <v>18</v>
      </c>
      <c r="N405">
        <f t="shared" si="39"/>
        <v>166530</v>
      </c>
      <c r="O405">
        <f>IF(AND(MyRowHidden(ROW())=FALSE,MyRowHidden(ROW()-1)=TRUE),0,IF(M405&lt;totalMonths,(totalMonths-M405)/totalMonths *(I405-I404)+O404,0))</f>
        <v>0</v>
      </c>
      <c r="P405">
        <f>IF(AND(MyRowHidden(ROW())=FALSE,MyRowHidden(ROW()-1)=TRUE),0,IF(M405&lt;totalMonths,(totalMonths-M405)/totalMonths *(J405-J404)+P404,0))</f>
        <v>0</v>
      </c>
      <c r="Q405">
        <f>IF(AND(MyRowHidden(ROW())=FALSE,MyRowHidden(ROW()-1)=TRUE),0,IF(M405&lt;totalMonths,(totalMonths-M405)/totalMonths *(K405-K404)+Q404,0))</f>
        <v>0</v>
      </c>
      <c r="R405">
        <f t="shared" si="40"/>
        <v>166530</v>
      </c>
      <c r="S405">
        <f t="shared" si="41"/>
        <v>0</v>
      </c>
    </row>
    <row r="406" spans="1:19" hidden="1" x14ac:dyDescent="0.25">
      <c r="A406" s="1"/>
      <c r="C406" s="1"/>
      <c r="D406" s="1">
        <v>41848</v>
      </c>
      <c r="E406">
        <v>27276</v>
      </c>
      <c r="F406" s="1">
        <v>41848</v>
      </c>
      <c r="G406">
        <v>-1600</v>
      </c>
      <c r="H406" s="1">
        <f t="shared" si="36"/>
        <v>41848</v>
      </c>
      <c r="I406">
        <f>IF(AND(MyRowHidden(ROW())=FALSE,MyRowHidden(ROW()-1)=TRUE),0,(E406-E405)*unitsOfDHp+I405)</f>
        <v>160195</v>
      </c>
      <c r="J406">
        <f>IF(AND(MyRowHidden(ROW())=FALSE,MyRowHidden(ROW()-1)=TRUE),0,(G406-G405)*unitsOfExo+J405)</f>
        <v>-1008000</v>
      </c>
      <c r="K406" s="9">
        <f t="shared" si="37"/>
        <v>1008000</v>
      </c>
      <c r="L406">
        <f t="shared" si="38"/>
        <v>-847805</v>
      </c>
      <c r="M406">
        <f>IF(AND(MyRowHidden(ROW())=FALSE,MyRowHidden(ROW()-1)=TRUE),0,IF(MONTH(H406)&lt;&gt;MONTH(H405),M405+1,M405))</f>
        <v>18</v>
      </c>
      <c r="N406">
        <f t="shared" si="39"/>
        <v>160195</v>
      </c>
      <c r="O406">
        <f>IF(AND(MyRowHidden(ROW())=FALSE,MyRowHidden(ROW()-1)=TRUE),0,IF(M406&lt;totalMonths,(totalMonths-M406)/totalMonths *(I406-I405)+O405,0))</f>
        <v>0</v>
      </c>
      <c r="P406">
        <f>IF(AND(MyRowHidden(ROW())=FALSE,MyRowHidden(ROW()-1)=TRUE),0,IF(M406&lt;totalMonths,(totalMonths-M406)/totalMonths *(J406-J405)+P405,0))</f>
        <v>0</v>
      </c>
      <c r="Q406">
        <f>IF(AND(MyRowHidden(ROW())=FALSE,MyRowHidden(ROW()-1)=TRUE),0,IF(M406&lt;totalMonths,(totalMonths-M406)/totalMonths *(K406-K405)+Q405,0))</f>
        <v>0</v>
      </c>
      <c r="R406">
        <f t="shared" si="40"/>
        <v>160195</v>
      </c>
      <c r="S406">
        <f t="shared" si="41"/>
        <v>0</v>
      </c>
    </row>
    <row r="407" spans="1:19" hidden="1" x14ac:dyDescent="0.25">
      <c r="A407" s="1"/>
      <c r="C407" s="1"/>
      <c r="D407" s="1">
        <v>41849</v>
      </c>
      <c r="E407">
        <v>28154</v>
      </c>
      <c r="F407" s="1">
        <v>41849</v>
      </c>
      <c r="G407">
        <v>-1950</v>
      </c>
      <c r="H407" s="1">
        <f t="shared" si="36"/>
        <v>41849</v>
      </c>
      <c r="I407">
        <f>IF(AND(MyRowHidden(ROW())=FALSE,MyRowHidden(ROW()-1)=TRUE),0,(E407-E406)*unitsOfDHp+I406)</f>
        <v>190925</v>
      </c>
      <c r="J407">
        <f>IF(AND(MyRowHidden(ROW())=FALSE,MyRowHidden(ROW()-1)=TRUE),0,(G407-G406)*unitsOfExo+J406)</f>
        <v>-1108800</v>
      </c>
      <c r="K407" s="9">
        <f t="shared" si="37"/>
        <v>1108800</v>
      </c>
      <c r="L407">
        <f t="shared" si="38"/>
        <v>-917875</v>
      </c>
      <c r="M407">
        <f>IF(AND(MyRowHidden(ROW())=FALSE,MyRowHidden(ROW()-1)=TRUE),0,IF(MONTH(H407)&lt;&gt;MONTH(H406),M406+1,M406))</f>
        <v>18</v>
      </c>
      <c r="N407">
        <f t="shared" si="39"/>
        <v>190925</v>
      </c>
      <c r="O407">
        <f>IF(AND(MyRowHidden(ROW())=FALSE,MyRowHidden(ROW()-1)=TRUE),0,IF(M407&lt;totalMonths,(totalMonths-M407)/totalMonths *(I407-I406)+O406,0))</f>
        <v>0</v>
      </c>
      <c r="P407">
        <f>IF(AND(MyRowHidden(ROW())=FALSE,MyRowHidden(ROW()-1)=TRUE),0,IF(M407&lt;totalMonths,(totalMonths-M407)/totalMonths *(J407-J406)+P406,0))</f>
        <v>0</v>
      </c>
      <c r="Q407">
        <f>IF(AND(MyRowHidden(ROW())=FALSE,MyRowHidden(ROW()-1)=TRUE),0,IF(M407&lt;totalMonths,(totalMonths-M407)/totalMonths *(K407-K406)+Q406,0))</f>
        <v>0</v>
      </c>
      <c r="R407">
        <f t="shared" si="40"/>
        <v>190925</v>
      </c>
      <c r="S407">
        <f t="shared" si="41"/>
        <v>0</v>
      </c>
    </row>
    <row r="408" spans="1:19" hidden="1" x14ac:dyDescent="0.25">
      <c r="A408" s="1"/>
      <c r="C408" s="1"/>
      <c r="D408" s="1">
        <v>41850</v>
      </c>
      <c r="E408">
        <v>28275</v>
      </c>
      <c r="F408" s="1">
        <v>41850</v>
      </c>
      <c r="G408">
        <v>-1975</v>
      </c>
      <c r="H408" s="1">
        <f t="shared" si="36"/>
        <v>41850</v>
      </c>
      <c r="I408">
        <f>IF(AND(MyRowHidden(ROW())=FALSE,MyRowHidden(ROW()-1)=TRUE),0,(E408-E407)*unitsOfDHp+I407)</f>
        <v>195160</v>
      </c>
      <c r="J408">
        <f>IF(AND(MyRowHidden(ROW())=FALSE,MyRowHidden(ROW()-1)=TRUE),0,(G408-G407)*unitsOfExo+J407)</f>
        <v>-1116000</v>
      </c>
      <c r="K408" s="9">
        <f t="shared" si="37"/>
        <v>1116000</v>
      </c>
      <c r="L408">
        <f t="shared" si="38"/>
        <v>-920840</v>
      </c>
      <c r="M408">
        <f>IF(AND(MyRowHidden(ROW())=FALSE,MyRowHidden(ROW()-1)=TRUE),0,IF(MONTH(H408)&lt;&gt;MONTH(H407),M407+1,M407))</f>
        <v>18</v>
      </c>
      <c r="N408">
        <f t="shared" si="39"/>
        <v>195160</v>
      </c>
      <c r="O408">
        <f>IF(AND(MyRowHidden(ROW())=FALSE,MyRowHidden(ROW()-1)=TRUE),0,IF(M408&lt;totalMonths,(totalMonths-M408)/totalMonths *(I408-I407)+O407,0))</f>
        <v>0</v>
      </c>
      <c r="P408">
        <f>IF(AND(MyRowHidden(ROW())=FALSE,MyRowHidden(ROW()-1)=TRUE),0,IF(M408&lt;totalMonths,(totalMonths-M408)/totalMonths *(J408-J407)+P407,0))</f>
        <v>0</v>
      </c>
      <c r="Q408">
        <f>IF(AND(MyRowHidden(ROW())=FALSE,MyRowHidden(ROW()-1)=TRUE),0,IF(M408&lt;totalMonths,(totalMonths-M408)/totalMonths *(K408-K407)+Q407,0))</f>
        <v>0</v>
      </c>
      <c r="R408">
        <f t="shared" si="40"/>
        <v>195160</v>
      </c>
      <c r="S408">
        <f t="shared" si="41"/>
        <v>0</v>
      </c>
    </row>
    <row r="409" spans="1:19" hidden="1" x14ac:dyDescent="0.25">
      <c r="A409" s="1"/>
      <c r="C409" s="1"/>
      <c r="D409" s="1">
        <v>41851</v>
      </c>
      <c r="E409">
        <v>28423</v>
      </c>
      <c r="F409" s="1">
        <v>41851</v>
      </c>
      <c r="G409">
        <v>-2112.5</v>
      </c>
      <c r="H409" s="1">
        <f t="shared" si="36"/>
        <v>41851</v>
      </c>
      <c r="I409">
        <f>IF(AND(MyRowHidden(ROW())=FALSE,MyRowHidden(ROW()-1)=TRUE),0,(E409-E408)*unitsOfDHp+I408)</f>
        <v>200340</v>
      </c>
      <c r="J409">
        <f>IF(AND(MyRowHidden(ROW())=FALSE,MyRowHidden(ROW()-1)=TRUE),0,(G409-G408)*unitsOfExo+J408)</f>
        <v>-1155600</v>
      </c>
      <c r="K409" s="9">
        <f t="shared" si="37"/>
        <v>1155600</v>
      </c>
      <c r="L409">
        <f t="shared" si="38"/>
        <v>-955260</v>
      </c>
      <c r="M409">
        <f>IF(AND(MyRowHidden(ROW())=FALSE,MyRowHidden(ROW()-1)=TRUE),0,IF(MONTH(H409)&lt;&gt;MONTH(H408),M408+1,M408))</f>
        <v>18</v>
      </c>
      <c r="N409">
        <f t="shared" si="39"/>
        <v>200340</v>
      </c>
      <c r="O409">
        <f>IF(AND(MyRowHidden(ROW())=FALSE,MyRowHidden(ROW()-1)=TRUE),0,IF(M409&lt;totalMonths,(totalMonths-M409)/totalMonths *(I409-I408)+O408,0))</f>
        <v>0</v>
      </c>
      <c r="P409">
        <f>IF(AND(MyRowHidden(ROW())=FALSE,MyRowHidden(ROW()-1)=TRUE),0,IF(M409&lt;totalMonths,(totalMonths-M409)/totalMonths *(J409-J408)+P408,0))</f>
        <v>0</v>
      </c>
      <c r="Q409">
        <f>IF(AND(MyRowHidden(ROW())=FALSE,MyRowHidden(ROW()-1)=TRUE),0,IF(M409&lt;totalMonths,(totalMonths-M409)/totalMonths *(K409-K408)+Q408,0))</f>
        <v>0</v>
      </c>
      <c r="R409">
        <f t="shared" si="40"/>
        <v>200340</v>
      </c>
      <c r="S409">
        <f t="shared" si="41"/>
        <v>0</v>
      </c>
    </row>
    <row r="410" spans="1:19" hidden="1" x14ac:dyDescent="0.25">
      <c r="A410" s="1"/>
      <c r="C410" s="1"/>
      <c r="D410" s="1">
        <v>41852</v>
      </c>
      <c r="E410">
        <v>28541</v>
      </c>
      <c r="F410" s="1">
        <v>41852</v>
      </c>
      <c r="G410">
        <v>-2300</v>
      </c>
      <c r="H410" s="1">
        <f t="shared" si="36"/>
        <v>41852</v>
      </c>
      <c r="I410">
        <f>IF(AND(MyRowHidden(ROW())=FALSE,MyRowHidden(ROW()-1)=TRUE),0,(E410-E409)*unitsOfDHp+I409)</f>
        <v>204470</v>
      </c>
      <c r="J410">
        <f>IF(AND(MyRowHidden(ROW())=FALSE,MyRowHidden(ROW()-1)=TRUE),0,(G410-G409)*unitsOfExo+J409)</f>
        <v>-1209600</v>
      </c>
      <c r="K410" s="9">
        <f t="shared" si="37"/>
        <v>1209600</v>
      </c>
      <c r="L410">
        <f t="shared" si="38"/>
        <v>-1005130</v>
      </c>
      <c r="M410">
        <f>IF(AND(MyRowHidden(ROW())=FALSE,MyRowHidden(ROW()-1)=TRUE),0,IF(MONTH(H410)&lt;&gt;MONTH(H409),M409+1,M409))</f>
        <v>19</v>
      </c>
      <c r="N410">
        <f t="shared" si="39"/>
        <v>204470</v>
      </c>
      <c r="O410">
        <f>IF(AND(MyRowHidden(ROW())=FALSE,MyRowHidden(ROW()-1)=TRUE),0,IF(M410&lt;totalMonths,(totalMonths-M410)/totalMonths *(I410-I409)+O409,0))</f>
        <v>0</v>
      </c>
      <c r="P410">
        <f>IF(AND(MyRowHidden(ROW())=FALSE,MyRowHidden(ROW()-1)=TRUE),0,IF(M410&lt;totalMonths,(totalMonths-M410)/totalMonths *(J410-J409)+P409,0))</f>
        <v>0</v>
      </c>
      <c r="Q410">
        <f>IF(AND(MyRowHidden(ROW())=FALSE,MyRowHidden(ROW()-1)=TRUE),0,IF(M410&lt;totalMonths,(totalMonths-M410)/totalMonths *(K410-K409)+Q409,0))</f>
        <v>0</v>
      </c>
      <c r="R410">
        <f t="shared" si="40"/>
        <v>204470</v>
      </c>
      <c r="S410">
        <f t="shared" si="41"/>
        <v>0</v>
      </c>
    </row>
    <row r="411" spans="1:19" hidden="1" x14ac:dyDescent="0.25">
      <c r="A411" s="1"/>
      <c r="C411" s="1"/>
      <c r="D411" s="1">
        <v>41855</v>
      </c>
      <c r="E411">
        <v>28410</v>
      </c>
      <c r="F411" s="1">
        <v>41855</v>
      </c>
      <c r="G411">
        <v>-2037.5</v>
      </c>
      <c r="H411" s="1">
        <f t="shared" si="36"/>
        <v>41855</v>
      </c>
      <c r="I411">
        <f>IF(AND(MyRowHidden(ROW())=FALSE,MyRowHidden(ROW()-1)=TRUE),0,(E411-E410)*unitsOfDHp+I410)</f>
        <v>199885</v>
      </c>
      <c r="J411">
        <f>IF(AND(MyRowHidden(ROW())=FALSE,MyRowHidden(ROW()-1)=TRUE),0,(G411-G410)*unitsOfExo+J410)</f>
        <v>-1134000</v>
      </c>
      <c r="K411" s="9">
        <f t="shared" si="37"/>
        <v>1134000</v>
      </c>
      <c r="L411">
        <f t="shared" si="38"/>
        <v>-934115</v>
      </c>
      <c r="M411">
        <f>IF(AND(MyRowHidden(ROW())=FALSE,MyRowHidden(ROW()-1)=TRUE),0,IF(MONTH(H411)&lt;&gt;MONTH(H410),M410+1,M410))</f>
        <v>19</v>
      </c>
      <c r="N411">
        <f t="shared" si="39"/>
        <v>199885</v>
      </c>
      <c r="O411">
        <f>IF(AND(MyRowHidden(ROW())=FALSE,MyRowHidden(ROW()-1)=TRUE),0,IF(M411&lt;totalMonths,(totalMonths-M411)/totalMonths *(I411-I410)+O410,0))</f>
        <v>0</v>
      </c>
      <c r="P411">
        <f>IF(AND(MyRowHidden(ROW())=FALSE,MyRowHidden(ROW()-1)=TRUE),0,IF(M411&lt;totalMonths,(totalMonths-M411)/totalMonths *(J411-J410)+P410,0))</f>
        <v>0</v>
      </c>
      <c r="Q411">
        <f>IF(AND(MyRowHidden(ROW())=FALSE,MyRowHidden(ROW()-1)=TRUE),0,IF(M411&lt;totalMonths,(totalMonths-M411)/totalMonths *(K411-K410)+Q410,0))</f>
        <v>0</v>
      </c>
      <c r="R411">
        <f t="shared" si="40"/>
        <v>199885</v>
      </c>
      <c r="S411">
        <f t="shared" si="41"/>
        <v>0</v>
      </c>
    </row>
    <row r="412" spans="1:19" hidden="1" x14ac:dyDescent="0.25">
      <c r="A412" s="1"/>
      <c r="C412" s="1"/>
      <c r="D412" s="1">
        <v>41856</v>
      </c>
      <c r="E412">
        <v>28381</v>
      </c>
      <c r="F412" s="1">
        <v>41856</v>
      </c>
      <c r="G412">
        <v>-2262.5</v>
      </c>
      <c r="H412" s="1">
        <f t="shared" si="36"/>
        <v>41856</v>
      </c>
      <c r="I412">
        <f>IF(AND(MyRowHidden(ROW())=FALSE,MyRowHidden(ROW()-1)=TRUE),0,(E412-E411)*unitsOfDHp+I411)</f>
        <v>198870</v>
      </c>
      <c r="J412">
        <f>IF(AND(MyRowHidden(ROW())=FALSE,MyRowHidden(ROW()-1)=TRUE),0,(G412-G411)*unitsOfExo+J411)</f>
        <v>-1198800</v>
      </c>
      <c r="K412" s="9">
        <f t="shared" si="37"/>
        <v>1198800</v>
      </c>
      <c r="L412">
        <f t="shared" si="38"/>
        <v>-999930</v>
      </c>
      <c r="M412">
        <f>IF(AND(MyRowHidden(ROW())=FALSE,MyRowHidden(ROW()-1)=TRUE),0,IF(MONTH(H412)&lt;&gt;MONTH(H411),M411+1,M411))</f>
        <v>19</v>
      </c>
      <c r="N412">
        <f t="shared" si="39"/>
        <v>198870</v>
      </c>
      <c r="O412">
        <f>IF(AND(MyRowHidden(ROW())=FALSE,MyRowHidden(ROW()-1)=TRUE),0,IF(M412&lt;totalMonths,(totalMonths-M412)/totalMonths *(I412-I411)+O411,0))</f>
        <v>0</v>
      </c>
      <c r="P412">
        <f>IF(AND(MyRowHidden(ROW())=FALSE,MyRowHidden(ROW()-1)=TRUE),0,IF(M412&lt;totalMonths,(totalMonths-M412)/totalMonths *(J412-J411)+P411,0))</f>
        <v>0</v>
      </c>
      <c r="Q412">
        <f>IF(AND(MyRowHidden(ROW())=FALSE,MyRowHidden(ROW()-1)=TRUE),0,IF(M412&lt;totalMonths,(totalMonths-M412)/totalMonths *(K412-K411)+Q411,0))</f>
        <v>0</v>
      </c>
      <c r="R412">
        <f t="shared" si="40"/>
        <v>198870</v>
      </c>
      <c r="S412">
        <f t="shared" si="41"/>
        <v>0</v>
      </c>
    </row>
    <row r="413" spans="1:19" hidden="1" x14ac:dyDescent="0.25">
      <c r="A413" s="1"/>
      <c r="C413" s="1"/>
      <c r="D413" s="1">
        <v>41857</v>
      </c>
      <c r="E413">
        <v>27985</v>
      </c>
      <c r="F413" s="1">
        <v>41857</v>
      </c>
      <c r="G413">
        <v>-1912.5</v>
      </c>
      <c r="H413" s="1">
        <f t="shared" si="36"/>
        <v>41857</v>
      </c>
      <c r="I413">
        <f>IF(AND(MyRowHidden(ROW())=FALSE,MyRowHidden(ROW()-1)=TRUE),0,(E413-E412)*unitsOfDHp+I412)</f>
        <v>185010</v>
      </c>
      <c r="J413">
        <f>IF(AND(MyRowHidden(ROW())=FALSE,MyRowHidden(ROW()-1)=TRUE),0,(G413-G412)*unitsOfExo+J412)</f>
        <v>-1098000</v>
      </c>
      <c r="K413" s="9">
        <f t="shared" si="37"/>
        <v>1098000</v>
      </c>
      <c r="L413">
        <f t="shared" si="38"/>
        <v>-912990</v>
      </c>
      <c r="M413">
        <f>IF(AND(MyRowHidden(ROW())=FALSE,MyRowHidden(ROW()-1)=TRUE),0,IF(MONTH(H413)&lt;&gt;MONTH(H412),M412+1,M412))</f>
        <v>19</v>
      </c>
      <c r="N413">
        <f t="shared" si="39"/>
        <v>185010</v>
      </c>
      <c r="O413">
        <f>IF(AND(MyRowHidden(ROW())=FALSE,MyRowHidden(ROW()-1)=TRUE),0,IF(M413&lt;totalMonths,(totalMonths-M413)/totalMonths *(I413-I412)+O412,0))</f>
        <v>0</v>
      </c>
      <c r="P413">
        <f>IF(AND(MyRowHidden(ROW())=FALSE,MyRowHidden(ROW()-1)=TRUE),0,IF(M413&lt;totalMonths,(totalMonths-M413)/totalMonths *(J413-J412)+P412,0))</f>
        <v>0</v>
      </c>
      <c r="Q413">
        <f>IF(AND(MyRowHidden(ROW())=FALSE,MyRowHidden(ROW()-1)=TRUE),0,IF(M413&lt;totalMonths,(totalMonths-M413)/totalMonths *(K413-K412)+Q412,0))</f>
        <v>0</v>
      </c>
      <c r="R413">
        <f t="shared" si="40"/>
        <v>185010</v>
      </c>
      <c r="S413">
        <f t="shared" si="41"/>
        <v>0</v>
      </c>
    </row>
    <row r="414" spans="1:19" hidden="1" x14ac:dyDescent="0.25">
      <c r="A414" s="1"/>
      <c r="C414" s="1"/>
      <c r="D414" s="1">
        <v>41858</v>
      </c>
      <c r="E414">
        <v>28322</v>
      </c>
      <c r="F414" s="1">
        <v>41858</v>
      </c>
      <c r="G414">
        <v>-2112.5</v>
      </c>
      <c r="H414" s="1">
        <f t="shared" si="36"/>
        <v>41858</v>
      </c>
      <c r="I414">
        <f>IF(AND(MyRowHidden(ROW())=FALSE,MyRowHidden(ROW()-1)=TRUE),0,(E414-E413)*unitsOfDHp+I413)</f>
        <v>196805</v>
      </c>
      <c r="J414">
        <f>IF(AND(MyRowHidden(ROW())=FALSE,MyRowHidden(ROW()-1)=TRUE),0,(G414-G413)*unitsOfExo+J413)</f>
        <v>-1155600</v>
      </c>
      <c r="K414" s="9">
        <f t="shared" si="37"/>
        <v>1155600</v>
      </c>
      <c r="L414">
        <f t="shared" si="38"/>
        <v>-958795</v>
      </c>
      <c r="M414">
        <f>IF(AND(MyRowHidden(ROW())=FALSE,MyRowHidden(ROW()-1)=TRUE),0,IF(MONTH(H414)&lt;&gt;MONTH(H413),M413+1,M413))</f>
        <v>19</v>
      </c>
      <c r="N414">
        <f t="shared" si="39"/>
        <v>196805</v>
      </c>
      <c r="O414">
        <f>IF(AND(MyRowHidden(ROW())=FALSE,MyRowHidden(ROW()-1)=TRUE),0,IF(M414&lt;totalMonths,(totalMonths-M414)/totalMonths *(I414-I413)+O413,0))</f>
        <v>0</v>
      </c>
      <c r="P414">
        <f>IF(AND(MyRowHidden(ROW())=FALSE,MyRowHidden(ROW()-1)=TRUE),0,IF(M414&lt;totalMonths,(totalMonths-M414)/totalMonths *(J414-J413)+P413,0))</f>
        <v>0</v>
      </c>
      <c r="Q414">
        <f>IF(AND(MyRowHidden(ROW())=FALSE,MyRowHidden(ROW()-1)=TRUE),0,IF(M414&lt;totalMonths,(totalMonths-M414)/totalMonths *(K414-K413)+Q413,0))</f>
        <v>0</v>
      </c>
      <c r="R414">
        <f t="shared" si="40"/>
        <v>196805</v>
      </c>
      <c r="S414">
        <f t="shared" si="41"/>
        <v>0</v>
      </c>
    </row>
    <row r="415" spans="1:19" hidden="1" x14ac:dyDescent="0.25">
      <c r="A415" s="1"/>
      <c r="C415" s="1"/>
      <c r="D415" s="1">
        <v>41859</v>
      </c>
      <c r="E415">
        <v>29038</v>
      </c>
      <c r="F415" s="1">
        <v>41859</v>
      </c>
      <c r="G415">
        <v>-2400</v>
      </c>
      <c r="H415" s="1">
        <f t="shared" si="36"/>
        <v>41859</v>
      </c>
      <c r="I415">
        <f>IF(AND(MyRowHidden(ROW())=FALSE,MyRowHidden(ROW()-1)=TRUE),0,(E415-E414)*unitsOfDHp+I414)</f>
        <v>221865</v>
      </c>
      <c r="J415">
        <f>IF(AND(MyRowHidden(ROW())=FALSE,MyRowHidden(ROW()-1)=TRUE),0,(G415-G414)*unitsOfExo+J414)</f>
        <v>-1238400</v>
      </c>
      <c r="K415" s="9">
        <f t="shared" si="37"/>
        <v>1238400</v>
      </c>
      <c r="L415">
        <f t="shared" si="38"/>
        <v>-1016535</v>
      </c>
      <c r="M415">
        <f>IF(AND(MyRowHidden(ROW())=FALSE,MyRowHidden(ROW()-1)=TRUE),0,IF(MONTH(H415)&lt;&gt;MONTH(H414),M414+1,M414))</f>
        <v>19</v>
      </c>
      <c r="N415">
        <f t="shared" si="39"/>
        <v>221865</v>
      </c>
      <c r="O415">
        <f>IF(AND(MyRowHidden(ROW())=FALSE,MyRowHidden(ROW()-1)=TRUE),0,IF(M415&lt;totalMonths,(totalMonths-M415)/totalMonths *(I415-I414)+O414,0))</f>
        <v>0</v>
      </c>
      <c r="P415">
        <f>IF(AND(MyRowHidden(ROW())=FALSE,MyRowHidden(ROW()-1)=TRUE),0,IF(M415&lt;totalMonths,(totalMonths-M415)/totalMonths *(J415-J414)+P414,0))</f>
        <v>0</v>
      </c>
      <c r="Q415">
        <f>IF(AND(MyRowHidden(ROW())=FALSE,MyRowHidden(ROW()-1)=TRUE),0,IF(M415&lt;totalMonths,(totalMonths-M415)/totalMonths *(K415-K414)+Q414,0))</f>
        <v>0</v>
      </c>
      <c r="R415">
        <f t="shared" si="40"/>
        <v>221865</v>
      </c>
      <c r="S415">
        <f t="shared" si="41"/>
        <v>0</v>
      </c>
    </row>
    <row r="416" spans="1:19" hidden="1" x14ac:dyDescent="0.25">
      <c r="A416" s="1"/>
      <c r="C416" s="1"/>
      <c r="D416" s="1">
        <v>41862</v>
      </c>
      <c r="E416">
        <v>28988</v>
      </c>
      <c r="F416" s="1">
        <v>41862</v>
      </c>
      <c r="G416">
        <v>-2225</v>
      </c>
      <c r="H416" s="1">
        <f t="shared" si="36"/>
        <v>41862</v>
      </c>
      <c r="I416">
        <f>IF(AND(MyRowHidden(ROW())=FALSE,MyRowHidden(ROW()-1)=TRUE),0,(E416-E415)*unitsOfDHp+I415)</f>
        <v>220115</v>
      </c>
      <c r="J416">
        <f>IF(AND(MyRowHidden(ROW())=FALSE,MyRowHidden(ROW()-1)=TRUE),0,(G416-G415)*unitsOfExo+J415)</f>
        <v>-1188000</v>
      </c>
      <c r="K416" s="9">
        <f t="shared" si="37"/>
        <v>1188000</v>
      </c>
      <c r="L416">
        <f t="shared" si="38"/>
        <v>-967885</v>
      </c>
      <c r="M416">
        <f>IF(AND(MyRowHidden(ROW())=FALSE,MyRowHidden(ROW()-1)=TRUE),0,IF(MONTH(H416)&lt;&gt;MONTH(H415),M415+1,M415))</f>
        <v>19</v>
      </c>
      <c r="N416">
        <f t="shared" si="39"/>
        <v>220115</v>
      </c>
      <c r="O416">
        <f>IF(AND(MyRowHidden(ROW())=FALSE,MyRowHidden(ROW()-1)=TRUE),0,IF(M416&lt;totalMonths,(totalMonths-M416)/totalMonths *(I416-I415)+O415,0))</f>
        <v>0</v>
      </c>
      <c r="P416">
        <f>IF(AND(MyRowHidden(ROW())=FALSE,MyRowHidden(ROW()-1)=TRUE),0,IF(M416&lt;totalMonths,(totalMonths-M416)/totalMonths *(J416-J415)+P415,0))</f>
        <v>0</v>
      </c>
      <c r="Q416">
        <f>IF(AND(MyRowHidden(ROW())=FALSE,MyRowHidden(ROW()-1)=TRUE),0,IF(M416&lt;totalMonths,(totalMonths-M416)/totalMonths *(K416-K415)+Q415,0))</f>
        <v>0</v>
      </c>
      <c r="R416">
        <f t="shared" si="40"/>
        <v>220115</v>
      </c>
      <c r="S416">
        <f t="shared" si="41"/>
        <v>0</v>
      </c>
    </row>
    <row r="417" spans="1:19" hidden="1" x14ac:dyDescent="0.25">
      <c r="A417" s="1"/>
      <c r="C417" s="1"/>
      <c r="D417" s="1">
        <v>41863</v>
      </c>
      <c r="E417">
        <v>29013</v>
      </c>
      <c r="F417" s="1">
        <v>41863</v>
      </c>
      <c r="G417">
        <v>-2050</v>
      </c>
      <c r="H417" s="1">
        <f t="shared" si="36"/>
        <v>41863</v>
      </c>
      <c r="I417">
        <f>IF(AND(MyRowHidden(ROW())=FALSE,MyRowHidden(ROW()-1)=TRUE),0,(E417-E416)*unitsOfDHp+I416)</f>
        <v>220990</v>
      </c>
      <c r="J417">
        <f>IF(AND(MyRowHidden(ROW())=FALSE,MyRowHidden(ROW()-1)=TRUE),0,(G417-G416)*unitsOfExo+J416)</f>
        <v>-1137600</v>
      </c>
      <c r="K417" s="9">
        <f t="shared" si="37"/>
        <v>1137600</v>
      </c>
      <c r="L417">
        <f t="shared" si="38"/>
        <v>-916610</v>
      </c>
      <c r="M417">
        <f>IF(AND(MyRowHidden(ROW())=FALSE,MyRowHidden(ROW()-1)=TRUE),0,IF(MONTH(H417)&lt;&gt;MONTH(H416),M416+1,M416))</f>
        <v>19</v>
      </c>
      <c r="N417">
        <f t="shared" si="39"/>
        <v>220990</v>
      </c>
      <c r="O417">
        <f>IF(AND(MyRowHidden(ROW())=FALSE,MyRowHidden(ROW()-1)=TRUE),0,IF(M417&lt;totalMonths,(totalMonths-M417)/totalMonths *(I417-I416)+O416,0))</f>
        <v>0</v>
      </c>
      <c r="P417">
        <f>IF(AND(MyRowHidden(ROW())=FALSE,MyRowHidden(ROW()-1)=TRUE),0,IF(M417&lt;totalMonths,(totalMonths-M417)/totalMonths *(J417-J416)+P416,0))</f>
        <v>0</v>
      </c>
      <c r="Q417">
        <f>IF(AND(MyRowHidden(ROW())=FALSE,MyRowHidden(ROW()-1)=TRUE),0,IF(M417&lt;totalMonths,(totalMonths-M417)/totalMonths *(K417-K416)+Q416,0))</f>
        <v>0</v>
      </c>
      <c r="R417">
        <f t="shared" si="40"/>
        <v>220990</v>
      </c>
      <c r="S417">
        <f t="shared" si="41"/>
        <v>0</v>
      </c>
    </row>
    <row r="418" spans="1:19" hidden="1" x14ac:dyDescent="0.25">
      <c r="A418" s="1"/>
      <c r="C418" s="1"/>
      <c r="D418" s="1">
        <v>41864</v>
      </c>
      <c r="E418">
        <v>29011</v>
      </c>
      <c r="F418" s="1">
        <v>41864</v>
      </c>
      <c r="G418">
        <v>-2087.5</v>
      </c>
      <c r="H418" s="1">
        <f t="shared" si="36"/>
        <v>41864</v>
      </c>
      <c r="I418">
        <f>IF(AND(MyRowHidden(ROW())=FALSE,MyRowHidden(ROW()-1)=TRUE),0,(E418-E417)*unitsOfDHp+I417)</f>
        <v>220920</v>
      </c>
      <c r="J418">
        <f>IF(AND(MyRowHidden(ROW())=FALSE,MyRowHidden(ROW()-1)=TRUE),0,(G418-G417)*unitsOfExo+J417)</f>
        <v>-1148400</v>
      </c>
      <c r="K418" s="9">
        <f t="shared" si="37"/>
        <v>1148400</v>
      </c>
      <c r="L418">
        <f t="shared" si="38"/>
        <v>-927480</v>
      </c>
      <c r="M418">
        <f>IF(AND(MyRowHidden(ROW())=FALSE,MyRowHidden(ROW()-1)=TRUE),0,IF(MONTH(H418)&lt;&gt;MONTH(H417),M417+1,M417))</f>
        <v>19</v>
      </c>
      <c r="N418">
        <f t="shared" si="39"/>
        <v>220920</v>
      </c>
      <c r="O418">
        <f>IF(AND(MyRowHidden(ROW())=FALSE,MyRowHidden(ROW()-1)=TRUE),0,IF(M418&lt;totalMonths,(totalMonths-M418)/totalMonths *(I418-I417)+O417,0))</f>
        <v>0</v>
      </c>
      <c r="P418">
        <f>IF(AND(MyRowHidden(ROW())=FALSE,MyRowHidden(ROW()-1)=TRUE),0,IF(M418&lt;totalMonths,(totalMonths-M418)/totalMonths *(J418-J417)+P417,0))</f>
        <v>0</v>
      </c>
      <c r="Q418">
        <f>IF(AND(MyRowHidden(ROW())=FALSE,MyRowHidden(ROW()-1)=TRUE),0,IF(M418&lt;totalMonths,(totalMonths-M418)/totalMonths *(K418-K417)+Q417,0))</f>
        <v>0</v>
      </c>
      <c r="R418">
        <f t="shared" si="40"/>
        <v>220920</v>
      </c>
      <c r="S418">
        <f t="shared" si="41"/>
        <v>0</v>
      </c>
    </row>
    <row r="419" spans="1:19" hidden="1" x14ac:dyDescent="0.25">
      <c r="A419" s="1"/>
      <c r="C419" s="1"/>
      <c r="D419" s="1">
        <v>41865</v>
      </c>
      <c r="E419">
        <v>29106</v>
      </c>
      <c r="F419" s="1">
        <v>41865</v>
      </c>
      <c r="G419">
        <v>-1900</v>
      </c>
      <c r="H419" s="1">
        <f t="shared" si="36"/>
        <v>41865</v>
      </c>
      <c r="I419">
        <f>IF(AND(MyRowHidden(ROW())=FALSE,MyRowHidden(ROW()-1)=TRUE),0,(E419-E418)*unitsOfDHp+I418)</f>
        <v>224245</v>
      </c>
      <c r="J419">
        <f>IF(AND(MyRowHidden(ROW())=FALSE,MyRowHidden(ROW()-1)=TRUE),0,(G419-G418)*unitsOfExo+J418)</f>
        <v>-1094400</v>
      </c>
      <c r="K419" s="9">
        <f t="shared" si="37"/>
        <v>1094400</v>
      </c>
      <c r="L419">
        <f t="shared" si="38"/>
        <v>-870155</v>
      </c>
      <c r="M419">
        <f>IF(AND(MyRowHidden(ROW())=FALSE,MyRowHidden(ROW()-1)=TRUE),0,IF(MONTH(H419)&lt;&gt;MONTH(H418),M418+1,M418))</f>
        <v>19</v>
      </c>
      <c r="N419">
        <f t="shared" si="39"/>
        <v>224245</v>
      </c>
      <c r="O419">
        <f>IF(AND(MyRowHidden(ROW())=FALSE,MyRowHidden(ROW()-1)=TRUE),0,IF(M419&lt;totalMonths,(totalMonths-M419)/totalMonths *(I419-I418)+O418,0))</f>
        <v>0</v>
      </c>
      <c r="P419">
        <f>IF(AND(MyRowHidden(ROW())=FALSE,MyRowHidden(ROW()-1)=TRUE),0,IF(M419&lt;totalMonths,(totalMonths-M419)/totalMonths *(J419-J418)+P418,0))</f>
        <v>0</v>
      </c>
      <c r="Q419">
        <f>IF(AND(MyRowHidden(ROW())=FALSE,MyRowHidden(ROW()-1)=TRUE),0,IF(M419&lt;totalMonths,(totalMonths-M419)/totalMonths *(K419-K418)+Q418,0))</f>
        <v>0</v>
      </c>
      <c r="R419">
        <f t="shared" si="40"/>
        <v>224245</v>
      </c>
      <c r="S419">
        <f t="shared" si="41"/>
        <v>0</v>
      </c>
    </row>
    <row r="420" spans="1:19" hidden="1" x14ac:dyDescent="0.25">
      <c r="A420" s="1"/>
      <c r="C420" s="1"/>
      <c r="D420" s="1">
        <v>41866</v>
      </c>
      <c r="E420">
        <v>29050</v>
      </c>
      <c r="F420" s="1">
        <v>41866</v>
      </c>
      <c r="G420">
        <v>-1712.5</v>
      </c>
      <c r="H420" s="1">
        <f t="shared" si="36"/>
        <v>41866</v>
      </c>
      <c r="I420">
        <f>IF(AND(MyRowHidden(ROW())=FALSE,MyRowHidden(ROW()-1)=TRUE),0,(E420-E419)*unitsOfDHp+I419)</f>
        <v>222285</v>
      </c>
      <c r="J420">
        <f>IF(AND(MyRowHidden(ROW())=FALSE,MyRowHidden(ROW()-1)=TRUE),0,(G420-G419)*unitsOfExo+J419)</f>
        <v>-1040400</v>
      </c>
      <c r="K420" s="9">
        <f t="shared" si="37"/>
        <v>1040400</v>
      </c>
      <c r="L420">
        <f t="shared" si="38"/>
        <v>-818115</v>
      </c>
      <c r="M420">
        <f>IF(AND(MyRowHidden(ROW())=FALSE,MyRowHidden(ROW()-1)=TRUE),0,IF(MONTH(H420)&lt;&gt;MONTH(H419),M419+1,M419))</f>
        <v>19</v>
      </c>
      <c r="N420">
        <f t="shared" si="39"/>
        <v>222285</v>
      </c>
      <c r="O420">
        <f>IF(AND(MyRowHidden(ROW())=FALSE,MyRowHidden(ROW()-1)=TRUE),0,IF(M420&lt;totalMonths,(totalMonths-M420)/totalMonths *(I420-I419)+O419,0))</f>
        <v>0</v>
      </c>
      <c r="P420">
        <f>IF(AND(MyRowHidden(ROW())=FALSE,MyRowHidden(ROW()-1)=TRUE),0,IF(M420&lt;totalMonths,(totalMonths-M420)/totalMonths *(J420-J419)+P419,0))</f>
        <v>0</v>
      </c>
      <c r="Q420">
        <f>IF(AND(MyRowHidden(ROW())=FALSE,MyRowHidden(ROW()-1)=TRUE),0,IF(M420&lt;totalMonths,(totalMonths-M420)/totalMonths *(K420-K419)+Q419,0))</f>
        <v>0</v>
      </c>
      <c r="R420">
        <f t="shared" si="40"/>
        <v>222285</v>
      </c>
      <c r="S420">
        <f t="shared" si="41"/>
        <v>0</v>
      </c>
    </row>
    <row r="421" spans="1:19" hidden="1" x14ac:dyDescent="0.25">
      <c r="A421" s="1"/>
      <c r="C421" s="1"/>
      <c r="D421" s="1">
        <v>41869</v>
      </c>
      <c r="E421">
        <v>29526</v>
      </c>
      <c r="F421" s="1">
        <v>41869</v>
      </c>
      <c r="G421">
        <v>-1937.5</v>
      </c>
      <c r="H421" s="1">
        <f t="shared" si="36"/>
        <v>41869</v>
      </c>
      <c r="I421">
        <f>IF(AND(MyRowHidden(ROW())=FALSE,MyRowHidden(ROW()-1)=TRUE),0,(E421-E420)*unitsOfDHp+I420)</f>
        <v>238945</v>
      </c>
      <c r="J421">
        <f>IF(AND(MyRowHidden(ROW())=FALSE,MyRowHidden(ROW()-1)=TRUE),0,(G421-G420)*unitsOfExo+J420)</f>
        <v>-1105200</v>
      </c>
      <c r="K421" s="9">
        <f t="shared" si="37"/>
        <v>1105200</v>
      </c>
      <c r="L421">
        <f t="shared" si="38"/>
        <v>-866255</v>
      </c>
      <c r="M421">
        <f>IF(AND(MyRowHidden(ROW())=FALSE,MyRowHidden(ROW()-1)=TRUE),0,IF(MONTH(H421)&lt;&gt;MONTH(H420),M420+1,M420))</f>
        <v>19</v>
      </c>
      <c r="N421">
        <f t="shared" si="39"/>
        <v>238945</v>
      </c>
      <c r="O421">
        <f>IF(AND(MyRowHidden(ROW())=FALSE,MyRowHidden(ROW()-1)=TRUE),0,IF(M421&lt;totalMonths,(totalMonths-M421)/totalMonths *(I421-I420)+O420,0))</f>
        <v>0</v>
      </c>
      <c r="P421">
        <f>IF(AND(MyRowHidden(ROW())=FALSE,MyRowHidden(ROW()-1)=TRUE),0,IF(M421&lt;totalMonths,(totalMonths-M421)/totalMonths *(J421-J420)+P420,0))</f>
        <v>0</v>
      </c>
      <c r="Q421">
        <f>IF(AND(MyRowHidden(ROW())=FALSE,MyRowHidden(ROW()-1)=TRUE),0,IF(M421&lt;totalMonths,(totalMonths-M421)/totalMonths *(K421-K420)+Q420,0))</f>
        <v>0</v>
      </c>
      <c r="R421">
        <f t="shared" si="40"/>
        <v>238945</v>
      </c>
      <c r="S421">
        <f t="shared" si="41"/>
        <v>0</v>
      </c>
    </row>
    <row r="422" spans="1:19" hidden="1" x14ac:dyDescent="0.25">
      <c r="A422" s="1"/>
      <c r="C422" s="1"/>
      <c r="D422" s="1">
        <v>41870</v>
      </c>
      <c r="E422">
        <v>29471</v>
      </c>
      <c r="F422" s="1">
        <v>41870</v>
      </c>
      <c r="G422">
        <v>-1925</v>
      </c>
      <c r="H422" s="1">
        <f t="shared" si="36"/>
        <v>41870</v>
      </c>
      <c r="I422">
        <f>IF(AND(MyRowHidden(ROW())=FALSE,MyRowHidden(ROW()-1)=TRUE),0,(E422-E421)*unitsOfDHp+I421)</f>
        <v>237020</v>
      </c>
      <c r="J422">
        <f>IF(AND(MyRowHidden(ROW())=FALSE,MyRowHidden(ROW()-1)=TRUE),0,(G422-G421)*unitsOfExo+J421)</f>
        <v>-1101600</v>
      </c>
      <c r="K422" s="9">
        <f t="shared" si="37"/>
        <v>1101600</v>
      </c>
      <c r="L422">
        <f t="shared" si="38"/>
        <v>-864580</v>
      </c>
      <c r="M422">
        <f>IF(AND(MyRowHidden(ROW())=FALSE,MyRowHidden(ROW()-1)=TRUE),0,IF(MONTH(H422)&lt;&gt;MONTH(H421),M421+1,M421))</f>
        <v>19</v>
      </c>
      <c r="N422">
        <f t="shared" si="39"/>
        <v>237020</v>
      </c>
      <c r="O422">
        <f>IF(AND(MyRowHidden(ROW())=FALSE,MyRowHidden(ROW()-1)=TRUE),0,IF(M422&lt;totalMonths,(totalMonths-M422)/totalMonths *(I422-I421)+O421,0))</f>
        <v>0</v>
      </c>
      <c r="P422">
        <f>IF(AND(MyRowHidden(ROW())=FALSE,MyRowHidden(ROW()-1)=TRUE),0,IF(M422&lt;totalMonths,(totalMonths-M422)/totalMonths *(J422-J421)+P421,0))</f>
        <v>0</v>
      </c>
      <c r="Q422">
        <f>IF(AND(MyRowHidden(ROW())=FALSE,MyRowHidden(ROW()-1)=TRUE),0,IF(M422&lt;totalMonths,(totalMonths-M422)/totalMonths *(K422-K421)+Q421,0))</f>
        <v>0</v>
      </c>
      <c r="R422">
        <f t="shared" si="40"/>
        <v>237020</v>
      </c>
      <c r="S422">
        <f t="shared" si="41"/>
        <v>0</v>
      </c>
    </row>
    <row r="423" spans="1:19" hidden="1" x14ac:dyDescent="0.25">
      <c r="A423" s="1"/>
      <c r="C423" s="1"/>
      <c r="D423" s="1">
        <v>41871</v>
      </c>
      <c r="E423">
        <v>29921</v>
      </c>
      <c r="F423" s="1">
        <v>41871</v>
      </c>
      <c r="G423">
        <v>-2075</v>
      </c>
      <c r="H423" s="1">
        <f t="shared" si="36"/>
        <v>41871</v>
      </c>
      <c r="I423">
        <f>IF(AND(MyRowHidden(ROW())=FALSE,MyRowHidden(ROW()-1)=TRUE),0,(E423-E422)*unitsOfDHp+I422)</f>
        <v>252770</v>
      </c>
      <c r="J423">
        <f>IF(AND(MyRowHidden(ROW())=FALSE,MyRowHidden(ROW()-1)=TRUE),0,(G423-G422)*unitsOfExo+J422)</f>
        <v>-1144800</v>
      </c>
      <c r="K423" s="9">
        <f t="shared" si="37"/>
        <v>1144800</v>
      </c>
      <c r="L423">
        <f t="shared" si="38"/>
        <v>-892030</v>
      </c>
      <c r="M423">
        <f>IF(AND(MyRowHidden(ROW())=FALSE,MyRowHidden(ROW()-1)=TRUE),0,IF(MONTH(H423)&lt;&gt;MONTH(H422),M422+1,M422))</f>
        <v>19</v>
      </c>
      <c r="N423">
        <f t="shared" si="39"/>
        <v>252770</v>
      </c>
      <c r="O423">
        <f>IF(AND(MyRowHidden(ROW())=FALSE,MyRowHidden(ROW()-1)=TRUE),0,IF(M423&lt;totalMonths,(totalMonths-M423)/totalMonths *(I423-I422)+O422,0))</f>
        <v>0</v>
      </c>
      <c r="P423">
        <f>IF(AND(MyRowHidden(ROW())=FALSE,MyRowHidden(ROW()-1)=TRUE),0,IF(M423&lt;totalMonths,(totalMonths-M423)/totalMonths *(J423-J422)+P422,0))</f>
        <v>0</v>
      </c>
      <c r="Q423">
        <f>IF(AND(MyRowHidden(ROW())=FALSE,MyRowHidden(ROW()-1)=TRUE),0,IF(M423&lt;totalMonths,(totalMonths-M423)/totalMonths *(K423-K422)+Q422,0))</f>
        <v>0</v>
      </c>
      <c r="R423">
        <f t="shared" si="40"/>
        <v>252770</v>
      </c>
      <c r="S423">
        <f t="shared" si="41"/>
        <v>0</v>
      </c>
    </row>
    <row r="424" spans="1:19" hidden="1" x14ac:dyDescent="0.25">
      <c r="A424" s="1"/>
      <c r="C424" s="1"/>
      <c r="D424" s="1">
        <v>41872</v>
      </c>
      <c r="E424">
        <v>29775</v>
      </c>
      <c r="F424" s="1">
        <v>41872</v>
      </c>
      <c r="G424">
        <v>-1850</v>
      </c>
      <c r="H424" s="1">
        <f t="shared" si="36"/>
        <v>41872</v>
      </c>
      <c r="I424">
        <f>IF(AND(MyRowHidden(ROW())=FALSE,MyRowHidden(ROW()-1)=TRUE),0,(E424-E423)*unitsOfDHp+I423)</f>
        <v>247660</v>
      </c>
      <c r="J424">
        <f>IF(AND(MyRowHidden(ROW())=FALSE,MyRowHidden(ROW()-1)=TRUE),0,(G424-G423)*unitsOfExo+J423)</f>
        <v>-1080000</v>
      </c>
      <c r="K424" s="9">
        <f t="shared" si="37"/>
        <v>1080000</v>
      </c>
      <c r="L424">
        <f t="shared" si="38"/>
        <v>-832340</v>
      </c>
      <c r="M424">
        <f>IF(AND(MyRowHidden(ROW())=FALSE,MyRowHidden(ROW()-1)=TRUE),0,IF(MONTH(H424)&lt;&gt;MONTH(H423),M423+1,M423))</f>
        <v>19</v>
      </c>
      <c r="N424">
        <f t="shared" si="39"/>
        <v>247660</v>
      </c>
      <c r="O424">
        <f>IF(AND(MyRowHidden(ROW())=FALSE,MyRowHidden(ROW()-1)=TRUE),0,IF(M424&lt;totalMonths,(totalMonths-M424)/totalMonths *(I424-I423)+O423,0))</f>
        <v>0</v>
      </c>
      <c r="P424">
        <f>IF(AND(MyRowHidden(ROW())=FALSE,MyRowHidden(ROW()-1)=TRUE),0,IF(M424&lt;totalMonths,(totalMonths-M424)/totalMonths *(J424-J423)+P423,0))</f>
        <v>0</v>
      </c>
      <c r="Q424">
        <f>IF(AND(MyRowHidden(ROW())=FALSE,MyRowHidden(ROW()-1)=TRUE),0,IF(M424&lt;totalMonths,(totalMonths-M424)/totalMonths *(K424-K423)+Q423,0))</f>
        <v>0</v>
      </c>
      <c r="R424">
        <f t="shared" si="40"/>
        <v>247660</v>
      </c>
      <c r="S424">
        <f t="shared" si="41"/>
        <v>0</v>
      </c>
    </row>
    <row r="425" spans="1:19" hidden="1" x14ac:dyDescent="0.25">
      <c r="A425" s="1"/>
      <c r="C425" s="1"/>
      <c r="D425" s="1">
        <v>41873</v>
      </c>
      <c r="E425">
        <v>29697</v>
      </c>
      <c r="F425" s="1">
        <v>41873</v>
      </c>
      <c r="G425">
        <v>-1687.5</v>
      </c>
      <c r="H425" s="1">
        <f t="shared" si="36"/>
        <v>41873</v>
      </c>
      <c r="I425">
        <f>IF(AND(MyRowHidden(ROW())=FALSE,MyRowHidden(ROW()-1)=TRUE),0,(E425-E424)*unitsOfDHp+I424)</f>
        <v>244930</v>
      </c>
      <c r="J425">
        <f>IF(AND(MyRowHidden(ROW())=FALSE,MyRowHidden(ROW()-1)=TRUE),0,(G425-G424)*unitsOfExo+J424)</f>
        <v>-1033200</v>
      </c>
      <c r="K425" s="9">
        <f t="shared" si="37"/>
        <v>1033200</v>
      </c>
      <c r="L425">
        <f t="shared" si="38"/>
        <v>-788270</v>
      </c>
      <c r="M425">
        <f>IF(AND(MyRowHidden(ROW())=FALSE,MyRowHidden(ROW()-1)=TRUE),0,IF(MONTH(H425)&lt;&gt;MONTH(H424),M424+1,M424))</f>
        <v>19</v>
      </c>
      <c r="N425">
        <f t="shared" si="39"/>
        <v>244930</v>
      </c>
      <c r="O425">
        <f>IF(AND(MyRowHidden(ROW())=FALSE,MyRowHidden(ROW()-1)=TRUE),0,IF(M425&lt;totalMonths,(totalMonths-M425)/totalMonths *(I425-I424)+O424,0))</f>
        <v>0</v>
      </c>
      <c r="P425">
        <f>IF(AND(MyRowHidden(ROW())=FALSE,MyRowHidden(ROW()-1)=TRUE),0,IF(M425&lt;totalMonths,(totalMonths-M425)/totalMonths *(J425-J424)+P424,0))</f>
        <v>0</v>
      </c>
      <c r="Q425">
        <f>IF(AND(MyRowHidden(ROW())=FALSE,MyRowHidden(ROW()-1)=TRUE),0,IF(M425&lt;totalMonths,(totalMonths-M425)/totalMonths *(K425-K424)+Q424,0))</f>
        <v>0</v>
      </c>
      <c r="R425">
        <f t="shared" si="40"/>
        <v>244930</v>
      </c>
      <c r="S425">
        <f t="shared" si="41"/>
        <v>0</v>
      </c>
    </row>
    <row r="426" spans="1:19" hidden="1" x14ac:dyDescent="0.25">
      <c r="A426" s="1"/>
      <c r="C426" s="1"/>
      <c r="D426" s="1">
        <v>41876</v>
      </c>
      <c r="E426">
        <v>29830</v>
      </c>
      <c r="F426" s="1">
        <v>41876</v>
      </c>
      <c r="G426">
        <v>-1987.5</v>
      </c>
      <c r="H426" s="1">
        <f t="shared" si="36"/>
        <v>41876</v>
      </c>
      <c r="I426">
        <f>IF(AND(MyRowHidden(ROW())=FALSE,MyRowHidden(ROW()-1)=TRUE),0,(E426-E425)*unitsOfDHp+I425)</f>
        <v>249585</v>
      </c>
      <c r="J426">
        <f>IF(AND(MyRowHidden(ROW())=FALSE,MyRowHidden(ROW()-1)=TRUE),0,(G426-G425)*unitsOfExo+J425)</f>
        <v>-1119600</v>
      </c>
      <c r="K426" s="9">
        <f t="shared" si="37"/>
        <v>1119600</v>
      </c>
      <c r="L426">
        <f t="shared" si="38"/>
        <v>-870015</v>
      </c>
      <c r="M426">
        <f>IF(AND(MyRowHidden(ROW())=FALSE,MyRowHidden(ROW()-1)=TRUE),0,IF(MONTH(H426)&lt;&gt;MONTH(H425),M425+1,M425))</f>
        <v>19</v>
      </c>
      <c r="N426">
        <f t="shared" si="39"/>
        <v>249585</v>
      </c>
      <c r="O426">
        <f>IF(AND(MyRowHidden(ROW())=FALSE,MyRowHidden(ROW()-1)=TRUE),0,IF(M426&lt;totalMonths,(totalMonths-M426)/totalMonths *(I426-I425)+O425,0))</f>
        <v>0</v>
      </c>
      <c r="P426">
        <f>IF(AND(MyRowHidden(ROW())=FALSE,MyRowHidden(ROW()-1)=TRUE),0,IF(M426&lt;totalMonths,(totalMonths-M426)/totalMonths *(J426-J425)+P425,0))</f>
        <v>0</v>
      </c>
      <c r="Q426">
        <f>IF(AND(MyRowHidden(ROW())=FALSE,MyRowHidden(ROW()-1)=TRUE),0,IF(M426&lt;totalMonths,(totalMonths-M426)/totalMonths *(K426-K425)+Q425,0))</f>
        <v>0</v>
      </c>
      <c r="R426">
        <f t="shared" si="40"/>
        <v>249585</v>
      </c>
      <c r="S426">
        <f t="shared" si="41"/>
        <v>0</v>
      </c>
    </row>
    <row r="427" spans="1:19" hidden="1" x14ac:dyDescent="0.25">
      <c r="A427" s="1"/>
      <c r="C427" s="1"/>
      <c r="D427" s="1">
        <v>41877</v>
      </c>
      <c r="E427">
        <v>30199</v>
      </c>
      <c r="F427" s="1">
        <v>41877</v>
      </c>
      <c r="G427">
        <v>-2262.5</v>
      </c>
      <c r="H427" s="1">
        <f t="shared" si="36"/>
        <v>41877</v>
      </c>
      <c r="I427">
        <f>IF(AND(MyRowHidden(ROW())=FALSE,MyRowHidden(ROW()-1)=TRUE),0,(E427-E426)*unitsOfDHp+I426)</f>
        <v>262500</v>
      </c>
      <c r="J427">
        <f>IF(AND(MyRowHidden(ROW())=FALSE,MyRowHidden(ROW()-1)=TRUE),0,(G427-G426)*unitsOfExo+J426)</f>
        <v>-1198800</v>
      </c>
      <c r="K427" s="9">
        <f t="shared" si="37"/>
        <v>1198800</v>
      </c>
      <c r="L427">
        <f t="shared" si="38"/>
        <v>-936300</v>
      </c>
      <c r="M427">
        <f>IF(AND(MyRowHidden(ROW())=FALSE,MyRowHidden(ROW()-1)=TRUE),0,IF(MONTH(H427)&lt;&gt;MONTH(H426),M426+1,M426))</f>
        <v>19</v>
      </c>
      <c r="N427">
        <f t="shared" si="39"/>
        <v>262500</v>
      </c>
      <c r="O427">
        <f>IF(AND(MyRowHidden(ROW())=FALSE,MyRowHidden(ROW()-1)=TRUE),0,IF(M427&lt;totalMonths,(totalMonths-M427)/totalMonths *(I427-I426)+O426,0))</f>
        <v>0</v>
      </c>
      <c r="P427">
        <f>IF(AND(MyRowHidden(ROW())=FALSE,MyRowHidden(ROW()-1)=TRUE),0,IF(M427&lt;totalMonths,(totalMonths-M427)/totalMonths *(J427-J426)+P426,0))</f>
        <v>0</v>
      </c>
      <c r="Q427">
        <f>IF(AND(MyRowHidden(ROW())=FALSE,MyRowHidden(ROW()-1)=TRUE),0,IF(M427&lt;totalMonths,(totalMonths-M427)/totalMonths *(K427-K426)+Q426,0))</f>
        <v>0</v>
      </c>
      <c r="R427">
        <f t="shared" si="40"/>
        <v>262500</v>
      </c>
      <c r="S427">
        <f t="shared" si="41"/>
        <v>0</v>
      </c>
    </row>
    <row r="428" spans="1:19" hidden="1" x14ac:dyDescent="0.25">
      <c r="A428" s="1"/>
      <c r="C428" s="1"/>
      <c r="D428" s="1">
        <v>41878</v>
      </c>
      <c r="E428">
        <v>30204</v>
      </c>
      <c r="F428" s="1">
        <v>41878</v>
      </c>
      <c r="G428">
        <v>-2262.5</v>
      </c>
      <c r="H428" s="1">
        <f t="shared" si="36"/>
        <v>41878</v>
      </c>
      <c r="I428">
        <f>IF(AND(MyRowHidden(ROW())=FALSE,MyRowHidden(ROW()-1)=TRUE),0,(E428-E427)*unitsOfDHp+I427)</f>
        <v>262675</v>
      </c>
      <c r="J428">
        <f>IF(AND(MyRowHidden(ROW())=FALSE,MyRowHidden(ROW()-1)=TRUE),0,(G428-G427)*unitsOfExo+J427)</f>
        <v>-1198800</v>
      </c>
      <c r="K428" s="9">
        <f t="shared" si="37"/>
        <v>1198800</v>
      </c>
      <c r="L428">
        <f t="shared" si="38"/>
        <v>-936125</v>
      </c>
      <c r="M428">
        <f>IF(AND(MyRowHidden(ROW())=FALSE,MyRowHidden(ROW()-1)=TRUE),0,IF(MONTH(H428)&lt;&gt;MONTH(H427),M427+1,M427))</f>
        <v>19</v>
      </c>
      <c r="N428">
        <f t="shared" si="39"/>
        <v>262675</v>
      </c>
      <c r="O428">
        <f>IF(AND(MyRowHidden(ROW())=FALSE,MyRowHidden(ROW()-1)=TRUE),0,IF(M428&lt;totalMonths,(totalMonths-M428)/totalMonths *(I428-I427)+O427,0))</f>
        <v>0</v>
      </c>
      <c r="P428">
        <f>IF(AND(MyRowHidden(ROW())=FALSE,MyRowHidden(ROW()-1)=TRUE),0,IF(M428&lt;totalMonths,(totalMonths-M428)/totalMonths *(J428-J427)+P427,0))</f>
        <v>0</v>
      </c>
      <c r="Q428">
        <f>IF(AND(MyRowHidden(ROW())=FALSE,MyRowHidden(ROW()-1)=TRUE),0,IF(M428&lt;totalMonths,(totalMonths-M428)/totalMonths *(K428-K427)+Q427,0))</f>
        <v>0</v>
      </c>
      <c r="R428">
        <f t="shared" si="40"/>
        <v>262675</v>
      </c>
      <c r="S428">
        <f t="shared" si="41"/>
        <v>0</v>
      </c>
    </row>
    <row r="429" spans="1:19" hidden="1" x14ac:dyDescent="0.25">
      <c r="A429" s="1"/>
      <c r="C429" s="1"/>
      <c r="D429" s="1">
        <v>41879</v>
      </c>
      <c r="E429">
        <v>30207</v>
      </c>
      <c r="F429" s="1">
        <v>41879</v>
      </c>
      <c r="G429">
        <v>-1987.5</v>
      </c>
      <c r="H429" s="1">
        <f t="shared" si="36"/>
        <v>41879</v>
      </c>
      <c r="I429">
        <f>IF(AND(MyRowHidden(ROW())=FALSE,MyRowHidden(ROW()-1)=TRUE),0,(E429-E428)*unitsOfDHp+I428)</f>
        <v>262780</v>
      </c>
      <c r="J429">
        <f>IF(AND(MyRowHidden(ROW())=FALSE,MyRowHidden(ROW()-1)=TRUE),0,(G429-G428)*unitsOfExo+J428)</f>
        <v>-1119600</v>
      </c>
      <c r="K429" s="9">
        <f t="shared" si="37"/>
        <v>1119600</v>
      </c>
      <c r="L429">
        <f t="shared" si="38"/>
        <v>-856820</v>
      </c>
      <c r="M429">
        <f>IF(AND(MyRowHidden(ROW())=FALSE,MyRowHidden(ROW()-1)=TRUE),0,IF(MONTH(H429)&lt;&gt;MONTH(H428),M428+1,M428))</f>
        <v>19</v>
      </c>
      <c r="N429">
        <f t="shared" si="39"/>
        <v>262780</v>
      </c>
      <c r="O429">
        <f>IF(AND(MyRowHidden(ROW())=FALSE,MyRowHidden(ROW()-1)=TRUE),0,IF(M429&lt;totalMonths,(totalMonths-M429)/totalMonths *(I429-I428)+O428,0))</f>
        <v>0</v>
      </c>
      <c r="P429">
        <f>IF(AND(MyRowHidden(ROW())=FALSE,MyRowHidden(ROW()-1)=TRUE),0,IF(M429&lt;totalMonths,(totalMonths-M429)/totalMonths *(J429-J428)+P428,0))</f>
        <v>0</v>
      </c>
      <c r="Q429">
        <f>IF(AND(MyRowHidden(ROW())=FALSE,MyRowHidden(ROW()-1)=TRUE),0,IF(M429&lt;totalMonths,(totalMonths-M429)/totalMonths *(K429-K428)+Q428,0))</f>
        <v>0</v>
      </c>
      <c r="R429">
        <f t="shared" si="40"/>
        <v>262780</v>
      </c>
      <c r="S429">
        <f t="shared" si="41"/>
        <v>0</v>
      </c>
    </row>
    <row r="430" spans="1:19" hidden="1" x14ac:dyDescent="0.25">
      <c r="A430" s="1"/>
      <c r="C430" s="1"/>
      <c r="D430" s="1">
        <v>41880</v>
      </c>
      <c r="E430">
        <v>30178</v>
      </c>
      <c r="F430" s="1">
        <v>41880</v>
      </c>
      <c r="G430">
        <v>-2162.5</v>
      </c>
      <c r="H430" s="1">
        <f t="shared" si="36"/>
        <v>41880</v>
      </c>
      <c r="I430">
        <f>IF(AND(MyRowHidden(ROW())=FALSE,MyRowHidden(ROW()-1)=TRUE),0,(E430-E429)*unitsOfDHp+I429)</f>
        <v>261765</v>
      </c>
      <c r="J430">
        <f>IF(AND(MyRowHidden(ROW())=FALSE,MyRowHidden(ROW()-1)=TRUE),0,(G430-G429)*unitsOfExo+J429)</f>
        <v>-1170000</v>
      </c>
      <c r="K430" s="9">
        <f t="shared" si="37"/>
        <v>1170000</v>
      </c>
      <c r="L430">
        <f t="shared" si="38"/>
        <v>-908235</v>
      </c>
      <c r="M430">
        <f>IF(AND(MyRowHidden(ROW())=FALSE,MyRowHidden(ROW()-1)=TRUE),0,IF(MONTH(H430)&lt;&gt;MONTH(H429),M429+1,M429))</f>
        <v>19</v>
      </c>
      <c r="N430">
        <f t="shared" si="39"/>
        <v>261765</v>
      </c>
      <c r="O430">
        <f>IF(AND(MyRowHidden(ROW())=FALSE,MyRowHidden(ROW()-1)=TRUE),0,IF(M430&lt;totalMonths,(totalMonths-M430)/totalMonths *(I430-I429)+O429,0))</f>
        <v>0</v>
      </c>
      <c r="P430">
        <f>IF(AND(MyRowHidden(ROW())=FALSE,MyRowHidden(ROW()-1)=TRUE),0,IF(M430&lt;totalMonths,(totalMonths-M430)/totalMonths *(J430-J429)+P429,0))</f>
        <v>0</v>
      </c>
      <c r="Q430">
        <f>IF(AND(MyRowHidden(ROW())=FALSE,MyRowHidden(ROW()-1)=TRUE),0,IF(M430&lt;totalMonths,(totalMonths-M430)/totalMonths *(K430-K429)+Q429,0))</f>
        <v>0</v>
      </c>
      <c r="R430">
        <f t="shared" si="40"/>
        <v>261765</v>
      </c>
      <c r="S430">
        <f t="shared" si="41"/>
        <v>0</v>
      </c>
    </row>
    <row r="431" spans="1:19" hidden="1" x14ac:dyDescent="0.25">
      <c r="A431" s="1"/>
      <c r="C431" s="1"/>
      <c r="D431" s="1">
        <v>41884</v>
      </c>
      <c r="E431">
        <v>30150</v>
      </c>
      <c r="F431" s="1">
        <v>41884</v>
      </c>
      <c r="G431">
        <v>-2212.5</v>
      </c>
      <c r="H431" s="1">
        <f t="shared" si="36"/>
        <v>41884</v>
      </c>
      <c r="I431">
        <f>IF(AND(MyRowHidden(ROW())=FALSE,MyRowHidden(ROW()-1)=TRUE),0,(E431-E430)*unitsOfDHp+I430)</f>
        <v>260785</v>
      </c>
      <c r="J431">
        <f>IF(AND(MyRowHidden(ROW())=FALSE,MyRowHidden(ROW()-1)=TRUE),0,(G431-G430)*unitsOfExo+J430)</f>
        <v>-1184400</v>
      </c>
      <c r="K431" s="9">
        <f t="shared" si="37"/>
        <v>1184400</v>
      </c>
      <c r="L431">
        <f t="shared" si="38"/>
        <v>-923615</v>
      </c>
      <c r="M431">
        <f>IF(AND(MyRowHidden(ROW())=FALSE,MyRowHidden(ROW()-1)=TRUE),0,IF(MONTH(H431)&lt;&gt;MONTH(H430),M430+1,M430))</f>
        <v>20</v>
      </c>
      <c r="N431">
        <f t="shared" si="39"/>
        <v>260785</v>
      </c>
      <c r="O431">
        <f>IF(AND(MyRowHidden(ROW())=FALSE,MyRowHidden(ROW()-1)=TRUE),0,IF(M431&lt;totalMonths,(totalMonths-M431)/totalMonths *(I431-I430)+O430,0))</f>
        <v>0</v>
      </c>
      <c r="P431">
        <f>IF(AND(MyRowHidden(ROW())=FALSE,MyRowHidden(ROW()-1)=TRUE),0,IF(M431&lt;totalMonths,(totalMonths-M431)/totalMonths *(J431-J430)+P430,0))</f>
        <v>0</v>
      </c>
      <c r="Q431">
        <f>IF(AND(MyRowHidden(ROW())=FALSE,MyRowHidden(ROW()-1)=TRUE),0,IF(M431&lt;totalMonths,(totalMonths-M431)/totalMonths *(K431-K430)+Q430,0))</f>
        <v>0</v>
      </c>
      <c r="R431">
        <f t="shared" si="40"/>
        <v>260785</v>
      </c>
      <c r="S431">
        <f t="shared" si="41"/>
        <v>0</v>
      </c>
    </row>
    <row r="432" spans="1:19" hidden="1" x14ac:dyDescent="0.25">
      <c r="A432" s="1"/>
      <c r="C432" s="1"/>
      <c r="D432" s="1">
        <v>41885</v>
      </c>
      <c r="E432">
        <v>30440</v>
      </c>
      <c r="F432" s="1">
        <v>41885</v>
      </c>
      <c r="G432">
        <v>-2875</v>
      </c>
      <c r="H432" s="1">
        <f t="shared" si="36"/>
        <v>41885</v>
      </c>
      <c r="I432">
        <f>IF(AND(MyRowHidden(ROW())=FALSE,MyRowHidden(ROW()-1)=TRUE),0,(E432-E431)*unitsOfDHp+I431)</f>
        <v>270935</v>
      </c>
      <c r="J432">
        <f>IF(AND(MyRowHidden(ROW())=FALSE,MyRowHidden(ROW()-1)=TRUE),0,(G432-G431)*unitsOfExo+J431)</f>
        <v>-1375200</v>
      </c>
      <c r="K432" s="9">
        <f t="shared" si="37"/>
        <v>1375200</v>
      </c>
      <c r="L432">
        <f t="shared" si="38"/>
        <v>-1104265</v>
      </c>
      <c r="M432">
        <f>IF(AND(MyRowHidden(ROW())=FALSE,MyRowHidden(ROW()-1)=TRUE),0,IF(MONTH(H432)&lt;&gt;MONTH(H431),M431+1,M431))</f>
        <v>20</v>
      </c>
      <c r="N432">
        <f t="shared" si="39"/>
        <v>270935</v>
      </c>
      <c r="O432">
        <f>IF(AND(MyRowHidden(ROW())=FALSE,MyRowHidden(ROW()-1)=TRUE),0,IF(M432&lt;totalMonths,(totalMonths-M432)/totalMonths *(I432-I431)+O431,0))</f>
        <v>0</v>
      </c>
      <c r="P432">
        <f>IF(AND(MyRowHidden(ROW())=FALSE,MyRowHidden(ROW()-1)=TRUE),0,IF(M432&lt;totalMonths,(totalMonths-M432)/totalMonths *(J432-J431)+P431,0))</f>
        <v>0</v>
      </c>
      <c r="Q432">
        <f>IF(AND(MyRowHidden(ROW())=FALSE,MyRowHidden(ROW()-1)=TRUE),0,IF(M432&lt;totalMonths,(totalMonths-M432)/totalMonths *(K432-K431)+Q431,0))</f>
        <v>0</v>
      </c>
      <c r="R432">
        <f t="shared" si="40"/>
        <v>270935</v>
      </c>
      <c r="S432">
        <f t="shared" si="41"/>
        <v>0</v>
      </c>
    </row>
    <row r="433" spans="1:19" hidden="1" x14ac:dyDescent="0.25">
      <c r="A433" s="1"/>
      <c r="C433" s="1"/>
      <c r="D433" s="1">
        <v>41886</v>
      </c>
      <c r="E433">
        <v>30490</v>
      </c>
      <c r="F433" s="1">
        <v>41886</v>
      </c>
      <c r="G433">
        <v>-3200</v>
      </c>
      <c r="H433" s="1">
        <f t="shared" si="36"/>
        <v>41886</v>
      </c>
      <c r="I433">
        <f>IF(AND(MyRowHidden(ROW())=FALSE,MyRowHidden(ROW()-1)=TRUE),0,(E433-E432)*unitsOfDHp+I432)</f>
        <v>272685</v>
      </c>
      <c r="J433">
        <f>IF(AND(MyRowHidden(ROW())=FALSE,MyRowHidden(ROW()-1)=TRUE),0,(G433-G432)*unitsOfExo+J432)</f>
        <v>-1468800</v>
      </c>
      <c r="K433" s="9">
        <f t="shared" si="37"/>
        <v>1468800</v>
      </c>
      <c r="L433">
        <f t="shared" si="38"/>
        <v>-1196115</v>
      </c>
      <c r="M433">
        <f>IF(AND(MyRowHidden(ROW())=FALSE,MyRowHidden(ROW()-1)=TRUE),0,IF(MONTH(H433)&lt;&gt;MONTH(H432),M432+1,M432))</f>
        <v>20</v>
      </c>
      <c r="N433">
        <f t="shared" si="39"/>
        <v>272685</v>
      </c>
      <c r="O433">
        <f>IF(AND(MyRowHidden(ROW())=FALSE,MyRowHidden(ROW()-1)=TRUE),0,IF(M433&lt;totalMonths,(totalMonths-M433)/totalMonths *(I433-I432)+O432,0))</f>
        <v>0</v>
      </c>
      <c r="P433">
        <f>IF(AND(MyRowHidden(ROW())=FALSE,MyRowHidden(ROW()-1)=TRUE),0,IF(M433&lt;totalMonths,(totalMonths-M433)/totalMonths *(J433-J432)+P432,0))</f>
        <v>0</v>
      </c>
      <c r="Q433">
        <f>IF(AND(MyRowHidden(ROW())=FALSE,MyRowHidden(ROW()-1)=TRUE),0,IF(M433&lt;totalMonths,(totalMonths-M433)/totalMonths *(K433-K432)+Q432,0))</f>
        <v>0</v>
      </c>
      <c r="R433">
        <f t="shared" si="40"/>
        <v>272685</v>
      </c>
      <c r="S433">
        <f t="shared" si="41"/>
        <v>0</v>
      </c>
    </row>
    <row r="434" spans="1:19" hidden="1" x14ac:dyDescent="0.25">
      <c r="A434" s="1"/>
      <c r="C434" s="1"/>
      <c r="D434" s="1">
        <v>41887</v>
      </c>
      <c r="E434">
        <v>30400</v>
      </c>
      <c r="F434" s="1">
        <v>41887</v>
      </c>
      <c r="G434">
        <v>-2737.5</v>
      </c>
      <c r="H434" s="1">
        <f t="shared" si="36"/>
        <v>41887</v>
      </c>
      <c r="I434">
        <f>IF(AND(MyRowHidden(ROW())=FALSE,MyRowHidden(ROW()-1)=TRUE),0,(E434-E433)*unitsOfDHp+I433)</f>
        <v>269535</v>
      </c>
      <c r="J434">
        <f>IF(AND(MyRowHidden(ROW())=FALSE,MyRowHidden(ROW()-1)=TRUE),0,(G434-G433)*unitsOfExo+J433)</f>
        <v>-1335600</v>
      </c>
      <c r="K434" s="9">
        <f t="shared" si="37"/>
        <v>1335600</v>
      </c>
      <c r="L434">
        <f t="shared" si="38"/>
        <v>-1066065</v>
      </c>
      <c r="M434">
        <f>IF(AND(MyRowHidden(ROW())=FALSE,MyRowHidden(ROW()-1)=TRUE),0,IF(MONTH(H434)&lt;&gt;MONTH(H433),M433+1,M433))</f>
        <v>20</v>
      </c>
      <c r="N434">
        <f t="shared" si="39"/>
        <v>269535</v>
      </c>
      <c r="O434">
        <f>IF(AND(MyRowHidden(ROW())=FALSE,MyRowHidden(ROW()-1)=TRUE),0,IF(M434&lt;totalMonths,(totalMonths-M434)/totalMonths *(I434-I433)+O433,0))</f>
        <v>0</v>
      </c>
      <c r="P434">
        <f>IF(AND(MyRowHidden(ROW())=FALSE,MyRowHidden(ROW()-1)=TRUE),0,IF(M434&lt;totalMonths,(totalMonths-M434)/totalMonths *(J434-J433)+P433,0))</f>
        <v>0</v>
      </c>
      <c r="Q434">
        <f>IF(AND(MyRowHidden(ROW())=FALSE,MyRowHidden(ROW()-1)=TRUE),0,IF(M434&lt;totalMonths,(totalMonths-M434)/totalMonths *(K434-K433)+Q433,0))</f>
        <v>0</v>
      </c>
      <c r="R434">
        <f t="shared" si="40"/>
        <v>269535</v>
      </c>
      <c r="S434">
        <f t="shared" si="41"/>
        <v>0</v>
      </c>
    </row>
    <row r="435" spans="1:19" hidden="1" x14ac:dyDescent="0.25">
      <c r="A435" s="1"/>
      <c r="C435" s="1"/>
      <c r="D435" s="1">
        <v>41890</v>
      </c>
      <c r="E435">
        <v>30333</v>
      </c>
      <c r="F435" s="1">
        <v>41890</v>
      </c>
      <c r="G435">
        <v>-3075</v>
      </c>
      <c r="H435" s="1">
        <f t="shared" si="36"/>
        <v>41890</v>
      </c>
      <c r="I435">
        <f>IF(AND(MyRowHidden(ROW())=FALSE,MyRowHidden(ROW()-1)=TRUE),0,(E435-E434)*unitsOfDHp+I434)</f>
        <v>267190</v>
      </c>
      <c r="J435">
        <f>IF(AND(MyRowHidden(ROW())=FALSE,MyRowHidden(ROW()-1)=TRUE),0,(G435-G434)*unitsOfExo+J434)</f>
        <v>-1432800</v>
      </c>
      <c r="K435" s="9">
        <f t="shared" si="37"/>
        <v>1432800</v>
      </c>
      <c r="L435">
        <f t="shared" si="38"/>
        <v>-1165610</v>
      </c>
      <c r="M435">
        <f>IF(AND(MyRowHidden(ROW())=FALSE,MyRowHidden(ROW()-1)=TRUE),0,IF(MONTH(H435)&lt;&gt;MONTH(H434),M434+1,M434))</f>
        <v>20</v>
      </c>
      <c r="N435">
        <f t="shared" si="39"/>
        <v>267190</v>
      </c>
      <c r="O435">
        <f>IF(AND(MyRowHidden(ROW())=FALSE,MyRowHidden(ROW()-1)=TRUE),0,IF(M435&lt;totalMonths,(totalMonths-M435)/totalMonths *(I435-I434)+O434,0))</f>
        <v>0</v>
      </c>
      <c r="P435">
        <f>IF(AND(MyRowHidden(ROW())=FALSE,MyRowHidden(ROW()-1)=TRUE),0,IF(M435&lt;totalMonths,(totalMonths-M435)/totalMonths *(J435-J434)+P434,0))</f>
        <v>0</v>
      </c>
      <c r="Q435">
        <f>IF(AND(MyRowHidden(ROW())=FALSE,MyRowHidden(ROW()-1)=TRUE),0,IF(M435&lt;totalMonths,(totalMonths-M435)/totalMonths *(K435-K434)+Q434,0))</f>
        <v>0</v>
      </c>
      <c r="R435">
        <f t="shared" si="40"/>
        <v>267190</v>
      </c>
      <c r="S435">
        <f t="shared" si="41"/>
        <v>0</v>
      </c>
    </row>
    <row r="436" spans="1:19" hidden="1" x14ac:dyDescent="0.25">
      <c r="A436" s="1"/>
      <c r="C436" s="1"/>
      <c r="D436" s="1">
        <v>41891</v>
      </c>
      <c r="E436">
        <v>30370</v>
      </c>
      <c r="F436" s="1">
        <v>41891</v>
      </c>
      <c r="G436">
        <v>-3200</v>
      </c>
      <c r="H436" s="1">
        <f t="shared" si="36"/>
        <v>41891</v>
      </c>
      <c r="I436">
        <f>IF(AND(MyRowHidden(ROW())=FALSE,MyRowHidden(ROW()-1)=TRUE),0,(E436-E435)*unitsOfDHp+I435)</f>
        <v>268485</v>
      </c>
      <c r="J436">
        <f>IF(AND(MyRowHidden(ROW())=FALSE,MyRowHidden(ROW()-1)=TRUE),0,(G436-G435)*unitsOfExo+J435)</f>
        <v>-1468800</v>
      </c>
      <c r="K436" s="9">
        <f t="shared" si="37"/>
        <v>1468800</v>
      </c>
      <c r="L436">
        <f t="shared" si="38"/>
        <v>-1200315</v>
      </c>
      <c r="M436">
        <f>IF(AND(MyRowHidden(ROW())=FALSE,MyRowHidden(ROW()-1)=TRUE),0,IF(MONTH(H436)&lt;&gt;MONTH(H435),M435+1,M435))</f>
        <v>20</v>
      </c>
      <c r="N436">
        <f t="shared" si="39"/>
        <v>268485</v>
      </c>
      <c r="O436">
        <f>IF(AND(MyRowHidden(ROW())=FALSE,MyRowHidden(ROW()-1)=TRUE),0,IF(M436&lt;totalMonths,(totalMonths-M436)/totalMonths *(I436-I435)+O435,0))</f>
        <v>0</v>
      </c>
      <c r="P436">
        <f>IF(AND(MyRowHidden(ROW())=FALSE,MyRowHidden(ROW()-1)=TRUE),0,IF(M436&lt;totalMonths,(totalMonths-M436)/totalMonths *(J436-J435)+P435,0))</f>
        <v>0</v>
      </c>
      <c r="Q436">
        <f>IF(AND(MyRowHidden(ROW())=FALSE,MyRowHidden(ROW()-1)=TRUE),0,IF(M436&lt;totalMonths,(totalMonths-M436)/totalMonths *(K436-K435)+Q435,0))</f>
        <v>0</v>
      </c>
      <c r="R436">
        <f t="shared" si="40"/>
        <v>268485</v>
      </c>
      <c r="S436">
        <f t="shared" si="41"/>
        <v>0</v>
      </c>
    </row>
    <row r="437" spans="1:19" hidden="1" x14ac:dyDescent="0.25">
      <c r="A437" s="1"/>
      <c r="C437" s="1"/>
      <c r="D437" s="1">
        <v>41892</v>
      </c>
      <c r="E437">
        <v>30375</v>
      </c>
      <c r="F437" s="1">
        <v>41892</v>
      </c>
      <c r="G437">
        <v>-3012.5</v>
      </c>
      <c r="H437" s="1">
        <f t="shared" si="36"/>
        <v>41892</v>
      </c>
      <c r="I437">
        <f>IF(AND(MyRowHidden(ROW())=FALSE,MyRowHidden(ROW()-1)=TRUE),0,(E437-E436)*unitsOfDHp+I436)</f>
        <v>268660</v>
      </c>
      <c r="J437">
        <f>IF(AND(MyRowHidden(ROW())=FALSE,MyRowHidden(ROW()-1)=TRUE),0,(G437-G436)*unitsOfExo+J436)</f>
        <v>-1414800</v>
      </c>
      <c r="K437" s="9">
        <f t="shared" si="37"/>
        <v>1414800</v>
      </c>
      <c r="L437">
        <f t="shared" si="38"/>
        <v>-1146140</v>
      </c>
      <c r="M437">
        <f>IF(AND(MyRowHidden(ROW())=FALSE,MyRowHidden(ROW()-1)=TRUE),0,IF(MONTH(H437)&lt;&gt;MONTH(H436),M436+1,M436))</f>
        <v>20</v>
      </c>
      <c r="N437">
        <f t="shared" si="39"/>
        <v>268660</v>
      </c>
      <c r="O437">
        <f>IF(AND(MyRowHidden(ROW())=FALSE,MyRowHidden(ROW()-1)=TRUE),0,IF(M437&lt;totalMonths,(totalMonths-M437)/totalMonths *(I437-I436)+O436,0))</f>
        <v>0</v>
      </c>
      <c r="P437">
        <f>IF(AND(MyRowHidden(ROW())=FALSE,MyRowHidden(ROW()-1)=TRUE),0,IF(M437&lt;totalMonths,(totalMonths-M437)/totalMonths *(J437-J436)+P436,0))</f>
        <v>0</v>
      </c>
      <c r="Q437">
        <f>IF(AND(MyRowHidden(ROW())=FALSE,MyRowHidden(ROW()-1)=TRUE),0,IF(M437&lt;totalMonths,(totalMonths-M437)/totalMonths *(K437-K436)+Q436,0))</f>
        <v>0</v>
      </c>
      <c r="R437">
        <f t="shared" si="40"/>
        <v>268660</v>
      </c>
      <c r="S437">
        <f t="shared" si="41"/>
        <v>0</v>
      </c>
    </row>
    <row r="438" spans="1:19" hidden="1" x14ac:dyDescent="0.25">
      <c r="A438" s="1"/>
      <c r="C438" s="1"/>
      <c r="D438" s="1">
        <v>41893</v>
      </c>
      <c r="E438">
        <v>30297</v>
      </c>
      <c r="F438" s="1">
        <v>41893</v>
      </c>
      <c r="G438">
        <v>-3387.5</v>
      </c>
      <c r="H438" s="1">
        <f t="shared" si="36"/>
        <v>41893</v>
      </c>
      <c r="I438">
        <f>IF(AND(MyRowHidden(ROW())=FALSE,MyRowHidden(ROW()-1)=TRUE),0,(E438-E437)*unitsOfDHp+I437)</f>
        <v>265930</v>
      </c>
      <c r="J438">
        <f>IF(AND(MyRowHidden(ROW())=FALSE,MyRowHidden(ROW()-1)=TRUE),0,(G438-G437)*unitsOfExo+J437)</f>
        <v>-1522800</v>
      </c>
      <c r="K438" s="9">
        <f t="shared" si="37"/>
        <v>1522800</v>
      </c>
      <c r="L438">
        <f t="shared" si="38"/>
        <v>-1256870</v>
      </c>
      <c r="M438">
        <f>IF(AND(MyRowHidden(ROW())=FALSE,MyRowHidden(ROW()-1)=TRUE),0,IF(MONTH(H438)&lt;&gt;MONTH(H437),M437+1,M437))</f>
        <v>20</v>
      </c>
      <c r="N438">
        <f t="shared" si="39"/>
        <v>265930</v>
      </c>
      <c r="O438">
        <f>IF(AND(MyRowHidden(ROW())=FALSE,MyRowHidden(ROW()-1)=TRUE),0,IF(M438&lt;totalMonths,(totalMonths-M438)/totalMonths *(I438-I437)+O437,0))</f>
        <v>0</v>
      </c>
      <c r="P438">
        <f>IF(AND(MyRowHidden(ROW())=FALSE,MyRowHidden(ROW()-1)=TRUE),0,IF(M438&lt;totalMonths,(totalMonths-M438)/totalMonths *(J438-J437)+P437,0))</f>
        <v>0</v>
      </c>
      <c r="Q438">
        <f>IF(AND(MyRowHidden(ROW())=FALSE,MyRowHidden(ROW()-1)=TRUE),0,IF(M438&lt;totalMonths,(totalMonths-M438)/totalMonths *(K438-K437)+Q437,0))</f>
        <v>0</v>
      </c>
      <c r="R438">
        <f t="shared" si="40"/>
        <v>265930</v>
      </c>
      <c r="S438">
        <f t="shared" si="41"/>
        <v>0</v>
      </c>
    </row>
    <row r="439" spans="1:19" hidden="1" x14ac:dyDescent="0.25">
      <c r="A439" s="1"/>
      <c r="C439" s="1"/>
      <c r="D439" s="1">
        <v>41894</v>
      </c>
      <c r="E439">
        <v>30352</v>
      </c>
      <c r="F439" s="1">
        <v>41894</v>
      </c>
      <c r="G439">
        <v>-3425</v>
      </c>
      <c r="H439" s="1">
        <f t="shared" si="36"/>
        <v>41894</v>
      </c>
      <c r="I439">
        <f>IF(AND(MyRowHidden(ROW())=FALSE,MyRowHidden(ROW()-1)=TRUE),0,(E439-E438)*unitsOfDHp+I438)</f>
        <v>267855</v>
      </c>
      <c r="J439">
        <f>IF(AND(MyRowHidden(ROW())=FALSE,MyRowHidden(ROW()-1)=TRUE),0,(G439-G438)*unitsOfExo+J438)</f>
        <v>-1533600</v>
      </c>
      <c r="K439" s="9">
        <f t="shared" si="37"/>
        <v>1533600</v>
      </c>
      <c r="L439">
        <f t="shared" si="38"/>
        <v>-1265745</v>
      </c>
      <c r="M439">
        <f>IF(AND(MyRowHidden(ROW())=FALSE,MyRowHidden(ROW()-1)=TRUE),0,IF(MONTH(H439)&lt;&gt;MONTH(H438),M438+1,M438))</f>
        <v>20</v>
      </c>
      <c r="N439">
        <f t="shared" si="39"/>
        <v>267855</v>
      </c>
      <c r="O439">
        <f>IF(AND(MyRowHidden(ROW())=FALSE,MyRowHidden(ROW()-1)=TRUE),0,IF(M439&lt;totalMonths,(totalMonths-M439)/totalMonths *(I439-I438)+O438,0))</f>
        <v>0</v>
      </c>
      <c r="P439">
        <f>IF(AND(MyRowHidden(ROW())=FALSE,MyRowHidden(ROW()-1)=TRUE),0,IF(M439&lt;totalMonths,(totalMonths-M439)/totalMonths *(J439-J438)+P438,0))</f>
        <v>0</v>
      </c>
      <c r="Q439">
        <f>IF(AND(MyRowHidden(ROW())=FALSE,MyRowHidden(ROW()-1)=TRUE),0,IF(M439&lt;totalMonths,(totalMonths-M439)/totalMonths *(K439-K438)+Q438,0))</f>
        <v>0</v>
      </c>
      <c r="R439">
        <f t="shared" si="40"/>
        <v>267855</v>
      </c>
      <c r="S439">
        <f t="shared" si="41"/>
        <v>0</v>
      </c>
    </row>
    <row r="440" spans="1:19" hidden="1" x14ac:dyDescent="0.25">
      <c r="A440" s="1"/>
      <c r="C440" s="1"/>
      <c r="D440" s="1">
        <v>41897</v>
      </c>
      <c r="E440">
        <v>30428</v>
      </c>
      <c r="F440" s="1">
        <v>41897</v>
      </c>
      <c r="G440">
        <v>-3200</v>
      </c>
      <c r="H440" s="1">
        <f t="shared" si="36"/>
        <v>41897</v>
      </c>
      <c r="I440">
        <f>IF(AND(MyRowHidden(ROW())=FALSE,MyRowHidden(ROW()-1)=TRUE),0,(E440-E439)*unitsOfDHp+I439)</f>
        <v>270515</v>
      </c>
      <c r="J440">
        <f>IF(AND(MyRowHidden(ROW())=FALSE,MyRowHidden(ROW()-1)=TRUE),0,(G440-G439)*unitsOfExo+J439)</f>
        <v>-1468800</v>
      </c>
      <c r="K440" s="9">
        <f t="shared" si="37"/>
        <v>1468800</v>
      </c>
      <c r="L440">
        <f t="shared" si="38"/>
        <v>-1198285</v>
      </c>
      <c r="M440">
        <f>IF(AND(MyRowHidden(ROW())=FALSE,MyRowHidden(ROW()-1)=TRUE),0,IF(MONTH(H440)&lt;&gt;MONTH(H439),M439+1,M439))</f>
        <v>20</v>
      </c>
      <c r="N440">
        <f t="shared" si="39"/>
        <v>270515</v>
      </c>
      <c r="O440">
        <f>IF(AND(MyRowHidden(ROW())=FALSE,MyRowHidden(ROW()-1)=TRUE),0,IF(M440&lt;totalMonths,(totalMonths-M440)/totalMonths *(I440-I439)+O439,0))</f>
        <v>0</v>
      </c>
      <c r="P440">
        <f>IF(AND(MyRowHidden(ROW())=FALSE,MyRowHidden(ROW()-1)=TRUE),0,IF(M440&lt;totalMonths,(totalMonths-M440)/totalMonths *(J440-J439)+P439,0))</f>
        <v>0</v>
      </c>
      <c r="Q440">
        <f>IF(AND(MyRowHidden(ROW())=FALSE,MyRowHidden(ROW()-1)=TRUE),0,IF(M440&lt;totalMonths,(totalMonths-M440)/totalMonths *(K440-K439)+Q439,0))</f>
        <v>0</v>
      </c>
      <c r="R440">
        <f t="shared" si="40"/>
        <v>270515</v>
      </c>
      <c r="S440">
        <f t="shared" si="41"/>
        <v>0</v>
      </c>
    </row>
    <row r="441" spans="1:19" hidden="1" x14ac:dyDescent="0.25">
      <c r="A441" s="1"/>
      <c r="C441" s="1"/>
      <c r="D441" s="1">
        <v>41898</v>
      </c>
      <c r="E441">
        <v>30425</v>
      </c>
      <c r="F441" s="1">
        <v>41898</v>
      </c>
      <c r="G441">
        <v>-3112.5</v>
      </c>
      <c r="H441" s="1">
        <f t="shared" si="36"/>
        <v>41898</v>
      </c>
      <c r="I441">
        <f>IF(AND(MyRowHidden(ROW())=FALSE,MyRowHidden(ROW()-1)=TRUE),0,(E441-E440)*unitsOfDHp+I440)</f>
        <v>270410</v>
      </c>
      <c r="J441">
        <f>IF(AND(MyRowHidden(ROW())=FALSE,MyRowHidden(ROW()-1)=TRUE),0,(G441-G440)*unitsOfExo+J440)</f>
        <v>-1443600</v>
      </c>
      <c r="K441" s="9">
        <f t="shared" si="37"/>
        <v>1443600</v>
      </c>
      <c r="L441">
        <f t="shared" si="38"/>
        <v>-1173190</v>
      </c>
      <c r="M441">
        <f>IF(AND(MyRowHidden(ROW())=FALSE,MyRowHidden(ROW()-1)=TRUE),0,IF(MONTH(H441)&lt;&gt;MONTH(H440),M440+1,M440))</f>
        <v>20</v>
      </c>
      <c r="N441">
        <f t="shared" si="39"/>
        <v>270410</v>
      </c>
      <c r="O441">
        <f>IF(AND(MyRowHidden(ROW())=FALSE,MyRowHidden(ROW()-1)=TRUE),0,IF(M441&lt;totalMonths,(totalMonths-M441)/totalMonths *(I441-I440)+O440,0))</f>
        <v>0</v>
      </c>
      <c r="P441">
        <f>IF(AND(MyRowHidden(ROW())=FALSE,MyRowHidden(ROW()-1)=TRUE),0,IF(M441&lt;totalMonths,(totalMonths-M441)/totalMonths *(J441-J440)+P440,0))</f>
        <v>0</v>
      </c>
      <c r="Q441">
        <f>IF(AND(MyRowHidden(ROW())=FALSE,MyRowHidden(ROW()-1)=TRUE),0,IF(M441&lt;totalMonths,(totalMonths-M441)/totalMonths *(K441-K440)+Q440,0))</f>
        <v>0</v>
      </c>
      <c r="R441">
        <f t="shared" si="40"/>
        <v>270410</v>
      </c>
      <c r="S441">
        <f t="shared" si="41"/>
        <v>0</v>
      </c>
    </row>
    <row r="442" spans="1:19" hidden="1" x14ac:dyDescent="0.25">
      <c r="A442" s="1"/>
      <c r="C442" s="1"/>
      <c r="D442" s="1">
        <v>41899</v>
      </c>
      <c r="E442">
        <v>30399</v>
      </c>
      <c r="F442" s="1">
        <v>41899</v>
      </c>
      <c r="G442">
        <v>-3275</v>
      </c>
      <c r="H442" s="1">
        <f t="shared" si="36"/>
        <v>41899</v>
      </c>
      <c r="I442">
        <f>IF(AND(MyRowHidden(ROW())=FALSE,MyRowHidden(ROW()-1)=TRUE),0,(E442-E441)*unitsOfDHp+I441)</f>
        <v>269500</v>
      </c>
      <c r="J442">
        <f>IF(AND(MyRowHidden(ROW())=FALSE,MyRowHidden(ROW()-1)=TRUE),0,(G442-G441)*unitsOfExo+J441)</f>
        <v>-1490400</v>
      </c>
      <c r="K442" s="9">
        <f t="shared" si="37"/>
        <v>1490400</v>
      </c>
      <c r="L442">
        <f t="shared" si="38"/>
        <v>-1220900</v>
      </c>
      <c r="M442">
        <f>IF(AND(MyRowHidden(ROW())=FALSE,MyRowHidden(ROW()-1)=TRUE),0,IF(MONTH(H442)&lt;&gt;MONTH(H441),M441+1,M441))</f>
        <v>20</v>
      </c>
      <c r="N442">
        <f t="shared" si="39"/>
        <v>269500</v>
      </c>
      <c r="O442">
        <f>IF(AND(MyRowHidden(ROW())=FALSE,MyRowHidden(ROW()-1)=TRUE),0,IF(M442&lt;totalMonths,(totalMonths-M442)/totalMonths *(I442-I441)+O441,0))</f>
        <v>0</v>
      </c>
      <c r="P442">
        <f>IF(AND(MyRowHidden(ROW())=FALSE,MyRowHidden(ROW()-1)=TRUE),0,IF(M442&lt;totalMonths,(totalMonths-M442)/totalMonths *(J442-J441)+P441,0))</f>
        <v>0</v>
      </c>
      <c r="Q442">
        <f>IF(AND(MyRowHidden(ROW())=FALSE,MyRowHidden(ROW()-1)=TRUE),0,IF(M442&lt;totalMonths,(totalMonths-M442)/totalMonths *(K442-K441)+Q441,0))</f>
        <v>0</v>
      </c>
      <c r="R442">
        <f t="shared" si="40"/>
        <v>269500</v>
      </c>
      <c r="S442">
        <f t="shared" si="41"/>
        <v>0</v>
      </c>
    </row>
    <row r="443" spans="1:19" hidden="1" x14ac:dyDescent="0.25">
      <c r="A443" s="1"/>
      <c r="C443" s="1"/>
      <c r="D443" s="1">
        <v>41900</v>
      </c>
      <c r="E443">
        <v>30410</v>
      </c>
      <c r="F443" s="1">
        <v>41900</v>
      </c>
      <c r="G443">
        <v>-3412.5</v>
      </c>
      <c r="H443" s="1">
        <f t="shared" si="36"/>
        <v>41900</v>
      </c>
      <c r="I443">
        <f>IF(AND(MyRowHidden(ROW())=FALSE,MyRowHidden(ROW()-1)=TRUE),0,(E443-E442)*unitsOfDHp+I442)</f>
        <v>269885</v>
      </c>
      <c r="J443">
        <f>IF(AND(MyRowHidden(ROW())=FALSE,MyRowHidden(ROW()-1)=TRUE),0,(G443-G442)*unitsOfExo+J442)</f>
        <v>-1530000</v>
      </c>
      <c r="K443" s="9">
        <f t="shared" si="37"/>
        <v>1530000</v>
      </c>
      <c r="L443">
        <f t="shared" si="38"/>
        <v>-1260115</v>
      </c>
      <c r="M443">
        <f>IF(AND(MyRowHidden(ROW())=FALSE,MyRowHidden(ROW()-1)=TRUE),0,IF(MONTH(H443)&lt;&gt;MONTH(H442),M442+1,M442))</f>
        <v>20</v>
      </c>
      <c r="N443">
        <f t="shared" si="39"/>
        <v>269885</v>
      </c>
      <c r="O443">
        <f>IF(AND(MyRowHidden(ROW())=FALSE,MyRowHidden(ROW()-1)=TRUE),0,IF(M443&lt;totalMonths,(totalMonths-M443)/totalMonths *(I443-I442)+O442,0))</f>
        <v>0</v>
      </c>
      <c r="P443">
        <f>IF(AND(MyRowHidden(ROW())=FALSE,MyRowHidden(ROW()-1)=TRUE),0,IF(M443&lt;totalMonths,(totalMonths-M443)/totalMonths *(J443-J442)+P442,0))</f>
        <v>0</v>
      </c>
      <c r="Q443">
        <f>IF(AND(MyRowHidden(ROW())=FALSE,MyRowHidden(ROW()-1)=TRUE),0,IF(M443&lt;totalMonths,(totalMonths-M443)/totalMonths *(K443-K442)+Q442,0))</f>
        <v>0</v>
      </c>
      <c r="R443">
        <f t="shared" si="40"/>
        <v>269885</v>
      </c>
      <c r="S443">
        <f t="shared" si="41"/>
        <v>0</v>
      </c>
    </row>
    <row r="444" spans="1:19" hidden="1" x14ac:dyDescent="0.25">
      <c r="A444" s="1"/>
      <c r="C444" s="1"/>
      <c r="D444" s="1">
        <v>41901</v>
      </c>
      <c r="E444">
        <v>30320</v>
      </c>
      <c r="F444" s="1">
        <v>41901</v>
      </c>
      <c r="G444">
        <v>-3712.5</v>
      </c>
      <c r="H444" s="1">
        <f t="shared" si="36"/>
        <v>41901</v>
      </c>
      <c r="I444">
        <f>IF(AND(MyRowHidden(ROW())=FALSE,MyRowHidden(ROW()-1)=TRUE),0,(E444-E443)*unitsOfDHp+I443)</f>
        <v>266735</v>
      </c>
      <c r="J444">
        <f>IF(AND(MyRowHidden(ROW())=FALSE,MyRowHidden(ROW()-1)=TRUE),0,(G444-G443)*unitsOfExo+J443)</f>
        <v>-1616400</v>
      </c>
      <c r="K444" s="9">
        <f t="shared" si="37"/>
        <v>1616400</v>
      </c>
      <c r="L444">
        <f t="shared" si="38"/>
        <v>-1349665</v>
      </c>
      <c r="M444">
        <f>IF(AND(MyRowHidden(ROW())=FALSE,MyRowHidden(ROW()-1)=TRUE),0,IF(MONTH(H444)&lt;&gt;MONTH(H443),M443+1,M443))</f>
        <v>20</v>
      </c>
      <c r="N444">
        <f t="shared" si="39"/>
        <v>266735</v>
      </c>
      <c r="O444">
        <f>IF(AND(MyRowHidden(ROW())=FALSE,MyRowHidden(ROW()-1)=TRUE),0,IF(M444&lt;totalMonths,(totalMonths-M444)/totalMonths *(I444-I443)+O443,0))</f>
        <v>0</v>
      </c>
      <c r="P444">
        <f>IF(AND(MyRowHidden(ROW())=FALSE,MyRowHidden(ROW()-1)=TRUE),0,IF(M444&lt;totalMonths,(totalMonths-M444)/totalMonths *(J444-J443)+P443,0))</f>
        <v>0</v>
      </c>
      <c r="Q444">
        <f>IF(AND(MyRowHidden(ROW())=FALSE,MyRowHidden(ROW()-1)=TRUE),0,IF(M444&lt;totalMonths,(totalMonths-M444)/totalMonths *(K444-K443)+Q443,0))</f>
        <v>0</v>
      </c>
      <c r="R444">
        <f t="shared" si="40"/>
        <v>266735</v>
      </c>
      <c r="S444">
        <f t="shared" si="41"/>
        <v>0</v>
      </c>
    </row>
    <row r="445" spans="1:19" hidden="1" x14ac:dyDescent="0.25">
      <c r="A445" s="1"/>
      <c r="C445" s="1"/>
      <c r="D445" s="1">
        <v>41904</v>
      </c>
      <c r="E445">
        <v>30157</v>
      </c>
      <c r="F445" s="1">
        <v>41904</v>
      </c>
      <c r="G445">
        <v>-3825</v>
      </c>
      <c r="H445" s="1">
        <f t="shared" si="36"/>
        <v>41904</v>
      </c>
      <c r="I445">
        <f>IF(AND(MyRowHidden(ROW())=FALSE,MyRowHidden(ROW()-1)=TRUE),0,(E445-E444)*unitsOfDHp+I444)</f>
        <v>261030</v>
      </c>
      <c r="J445">
        <f>IF(AND(MyRowHidden(ROW())=FALSE,MyRowHidden(ROW()-1)=TRUE),0,(G445-G444)*unitsOfExo+J444)</f>
        <v>-1648800</v>
      </c>
      <c r="K445" s="9">
        <f t="shared" si="37"/>
        <v>1648800</v>
      </c>
      <c r="L445">
        <f t="shared" si="38"/>
        <v>-1387770</v>
      </c>
      <c r="M445">
        <f>IF(AND(MyRowHidden(ROW())=FALSE,MyRowHidden(ROW()-1)=TRUE),0,IF(MONTH(H445)&lt;&gt;MONTH(H444),M444+1,M444))</f>
        <v>20</v>
      </c>
      <c r="N445">
        <f t="shared" si="39"/>
        <v>261030</v>
      </c>
      <c r="O445">
        <f>IF(AND(MyRowHidden(ROW())=FALSE,MyRowHidden(ROW()-1)=TRUE),0,IF(M445&lt;totalMonths,(totalMonths-M445)/totalMonths *(I445-I444)+O444,0))</f>
        <v>0</v>
      </c>
      <c r="P445">
        <f>IF(AND(MyRowHidden(ROW())=FALSE,MyRowHidden(ROW()-1)=TRUE),0,IF(M445&lt;totalMonths,(totalMonths-M445)/totalMonths *(J445-J444)+P444,0))</f>
        <v>0</v>
      </c>
      <c r="Q445">
        <f>IF(AND(MyRowHidden(ROW())=FALSE,MyRowHidden(ROW()-1)=TRUE),0,IF(M445&lt;totalMonths,(totalMonths-M445)/totalMonths *(K445-K444)+Q444,0))</f>
        <v>0</v>
      </c>
      <c r="R445">
        <f t="shared" si="40"/>
        <v>261030</v>
      </c>
      <c r="S445">
        <f t="shared" si="41"/>
        <v>0</v>
      </c>
    </row>
    <row r="446" spans="1:19" hidden="1" x14ac:dyDescent="0.25">
      <c r="A446" s="1"/>
      <c r="C446" s="1"/>
      <c r="D446" s="1">
        <v>41905</v>
      </c>
      <c r="E446">
        <v>29602</v>
      </c>
      <c r="F446" s="1">
        <v>41905</v>
      </c>
      <c r="G446">
        <v>-4062.5</v>
      </c>
      <c r="H446" s="1">
        <f t="shared" si="36"/>
        <v>41905</v>
      </c>
      <c r="I446">
        <f>IF(AND(MyRowHidden(ROW())=FALSE,MyRowHidden(ROW()-1)=TRUE),0,(E446-E445)*unitsOfDHp+I445)</f>
        <v>241605</v>
      </c>
      <c r="J446">
        <f>IF(AND(MyRowHidden(ROW())=FALSE,MyRowHidden(ROW()-1)=TRUE),0,(G446-G445)*unitsOfExo+J445)</f>
        <v>-1717200</v>
      </c>
      <c r="K446" s="9">
        <f t="shared" si="37"/>
        <v>1717200</v>
      </c>
      <c r="L446">
        <f t="shared" si="38"/>
        <v>-1475595</v>
      </c>
      <c r="M446">
        <f>IF(AND(MyRowHidden(ROW())=FALSE,MyRowHidden(ROW()-1)=TRUE),0,IF(MONTH(H446)&lt;&gt;MONTH(H445),M445+1,M445))</f>
        <v>20</v>
      </c>
      <c r="N446">
        <f t="shared" si="39"/>
        <v>241605</v>
      </c>
      <c r="O446">
        <f>IF(AND(MyRowHidden(ROW())=FALSE,MyRowHidden(ROW()-1)=TRUE),0,IF(M446&lt;totalMonths,(totalMonths-M446)/totalMonths *(I446-I445)+O445,0))</f>
        <v>0</v>
      </c>
      <c r="P446">
        <f>IF(AND(MyRowHidden(ROW())=FALSE,MyRowHidden(ROW()-1)=TRUE),0,IF(M446&lt;totalMonths,(totalMonths-M446)/totalMonths *(J446-J445)+P445,0))</f>
        <v>0</v>
      </c>
      <c r="Q446">
        <f>IF(AND(MyRowHidden(ROW())=FALSE,MyRowHidden(ROW()-1)=TRUE),0,IF(M446&lt;totalMonths,(totalMonths-M446)/totalMonths *(K446-K445)+Q445,0))</f>
        <v>0</v>
      </c>
      <c r="R446">
        <f t="shared" si="40"/>
        <v>241605</v>
      </c>
      <c r="S446">
        <f t="shared" si="41"/>
        <v>0</v>
      </c>
    </row>
    <row r="447" spans="1:19" hidden="1" x14ac:dyDescent="0.25">
      <c r="A447" s="1"/>
      <c r="C447" s="1"/>
      <c r="D447" s="1">
        <v>41906</v>
      </c>
      <c r="E447">
        <v>29872</v>
      </c>
      <c r="F447" s="1">
        <v>41906</v>
      </c>
      <c r="G447">
        <v>-3875</v>
      </c>
      <c r="H447" s="1">
        <f t="shared" si="36"/>
        <v>41906</v>
      </c>
      <c r="I447">
        <f>IF(AND(MyRowHidden(ROW())=FALSE,MyRowHidden(ROW()-1)=TRUE),0,(E447-E446)*unitsOfDHp+I446)</f>
        <v>251055</v>
      </c>
      <c r="J447">
        <f>IF(AND(MyRowHidden(ROW())=FALSE,MyRowHidden(ROW()-1)=TRUE),0,(G447-G446)*unitsOfExo+J446)</f>
        <v>-1663200</v>
      </c>
      <c r="K447" s="9">
        <f t="shared" si="37"/>
        <v>1663200</v>
      </c>
      <c r="L447">
        <f t="shared" si="38"/>
        <v>-1412145</v>
      </c>
      <c r="M447">
        <f>IF(AND(MyRowHidden(ROW())=FALSE,MyRowHidden(ROW()-1)=TRUE),0,IF(MONTH(H447)&lt;&gt;MONTH(H446),M446+1,M446))</f>
        <v>20</v>
      </c>
      <c r="N447">
        <f t="shared" si="39"/>
        <v>251055</v>
      </c>
      <c r="O447">
        <f>IF(AND(MyRowHidden(ROW())=FALSE,MyRowHidden(ROW()-1)=TRUE),0,IF(M447&lt;totalMonths,(totalMonths-M447)/totalMonths *(I447-I446)+O446,0))</f>
        <v>0</v>
      </c>
      <c r="P447">
        <f>IF(AND(MyRowHidden(ROW())=FALSE,MyRowHidden(ROW()-1)=TRUE),0,IF(M447&lt;totalMonths,(totalMonths-M447)/totalMonths *(J447-J446)+P446,0))</f>
        <v>0</v>
      </c>
      <c r="Q447">
        <f>IF(AND(MyRowHidden(ROW())=FALSE,MyRowHidden(ROW()-1)=TRUE),0,IF(M447&lt;totalMonths,(totalMonths-M447)/totalMonths *(K447-K446)+Q446,0))</f>
        <v>0</v>
      </c>
      <c r="R447">
        <f t="shared" si="40"/>
        <v>251055</v>
      </c>
      <c r="S447">
        <f t="shared" si="41"/>
        <v>0</v>
      </c>
    </row>
    <row r="448" spans="1:19" hidden="1" x14ac:dyDescent="0.25">
      <c r="A448" s="1"/>
      <c r="C448" s="1"/>
      <c r="D448" s="1">
        <v>41907</v>
      </c>
      <c r="E448">
        <v>29665</v>
      </c>
      <c r="F448" s="1">
        <v>41907</v>
      </c>
      <c r="G448">
        <v>-4050</v>
      </c>
      <c r="H448" s="1">
        <f t="shared" si="36"/>
        <v>41907</v>
      </c>
      <c r="I448">
        <f>IF(AND(MyRowHidden(ROW())=FALSE,MyRowHidden(ROW()-1)=TRUE),0,(E448-E447)*unitsOfDHp+I447)</f>
        <v>243810</v>
      </c>
      <c r="J448">
        <f>IF(AND(MyRowHidden(ROW())=FALSE,MyRowHidden(ROW()-1)=TRUE),0,(G448-G447)*unitsOfExo+J447)</f>
        <v>-1713600</v>
      </c>
      <c r="K448" s="9">
        <f t="shared" si="37"/>
        <v>1713600</v>
      </c>
      <c r="L448">
        <f t="shared" si="38"/>
        <v>-1469790</v>
      </c>
      <c r="M448">
        <f>IF(AND(MyRowHidden(ROW())=FALSE,MyRowHidden(ROW()-1)=TRUE),0,IF(MONTH(H448)&lt;&gt;MONTH(H447),M447+1,M447))</f>
        <v>20</v>
      </c>
      <c r="N448">
        <f t="shared" si="39"/>
        <v>243810</v>
      </c>
      <c r="O448">
        <f>IF(AND(MyRowHidden(ROW())=FALSE,MyRowHidden(ROW()-1)=TRUE),0,IF(M448&lt;totalMonths,(totalMonths-M448)/totalMonths *(I448-I447)+O447,0))</f>
        <v>0</v>
      </c>
      <c r="P448">
        <f>IF(AND(MyRowHidden(ROW())=FALSE,MyRowHidden(ROW()-1)=TRUE),0,IF(M448&lt;totalMonths,(totalMonths-M448)/totalMonths *(J448-J447)+P447,0))</f>
        <v>0</v>
      </c>
      <c r="Q448">
        <f>IF(AND(MyRowHidden(ROW())=FALSE,MyRowHidden(ROW()-1)=TRUE),0,IF(M448&lt;totalMonths,(totalMonths-M448)/totalMonths *(K448-K447)+Q447,0))</f>
        <v>0</v>
      </c>
      <c r="R448">
        <f t="shared" si="40"/>
        <v>243810</v>
      </c>
      <c r="S448">
        <f t="shared" si="41"/>
        <v>0</v>
      </c>
    </row>
    <row r="449" spans="1:19" hidden="1" x14ac:dyDescent="0.25">
      <c r="A449" s="1"/>
      <c r="C449" s="1"/>
      <c r="D449" s="1">
        <v>41908</v>
      </c>
      <c r="E449">
        <v>29637</v>
      </c>
      <c r="F449" s="1">
        <v>41908</v>
      </c>
      <c r="G449">
        <v>-4175</v>
      </c>
      <c r="H449" s="1">
        <f t="shared" si="36"/>
        <v>41908</v>
      </c>
      <c r="I449">
        <f>IF(AND(MyRowHidden(ROW())=FALSE,MyRowHidden(ROW()-1)=TRUE),0,(E449-E448)*unitsOfDHp+I448)</f>
        <v>242830</v>
      </c>
      <c r="J449">
        <f>IF(AND(MyRowHidden(ROW())=FALSE,MyRowHidden(ROW()-1)=TRUE),0,(G449-G448)*unitsOfExo+J448)</f>
        <v>-1749600</v>
      </c>
      <c r="K449" s="9">
        <f t="shared" si="37"/>
        <v>1749600</v>
      </c>
      <c r="L449">
        <f t="shared" si="38"/>
        <v>-1506770</v>
      </c>
      <c r="M449">
        <f>IF(AND(MyRowHidden(ROW())=FALSE,MyRowHidden(ROW()-1)=TRUE),0,IF(MONTH(H449)&lt;&gt;MONTH(H448),M448+1,M448))</f>
        <v>20</v>
      </c>
      <c r="N449">
        <f t="shared" si="39"/>
        <v>242830</v>
      </c>
      <c r="O449">
        <f>IF(AND(MyRowHidden(ROW())=FALSE,MyRowHidden(ROW()-1)=TRUE),0,IF(M449&lt;totalMonths,(totalMonths-M449)/totalMonths *(I449-I448)+O448,0))</f>
        <v>0</v>
      </c>
      <c r="P449">
        <f>IF(AND(MyRowHidden(ROW())=FALSE,MyRowHidden(ROW()-1)=TRUE),0,IF(M449&lt;totalMonths,(totalMonths-M449)/totalMonths *(J449-J448)+P448,0))</f>
        <v>0</v>
      </c>
      <c r="Q449">
        <f>IF(AND(MyRowHidden(ROW())=FALSE,MyRowHidden(ROW()-1)=TRUE),0,IF(M449&lt;totalMonths,(totalMonths-M449)/totalMonths *(K449-K448)+Q448,0))</f>
        <v>0</v>
      </c>
      <c r="R449">
        <f t="shared" si="40"/>
        <v>242830</v>
      </c>
      <c r="S449">
        <f t="shared" si="41"/>
        <v>0</v>
      </c>
    </row>
    <row r="450" spans="1:19" hidden="1" x14ac:dyDescent="0.25">
      <c r="A450" s="1"/>
      <c r="C450" s="1"/>
      <c r="D450" s="1">
        <v>41911</v>
      </c>
      <c r="E450">
        <v>29723</v>
      </c>
      <c r="F450" s="1">
        <v>41911</v>
      </c>
      <c r="G450">
        <v>-4075</v>
      </c>
      <c r="H450" s="1">
        <f t="shared" si="36"/>
        <v>41911</v>
      </c>
      <c r="I450">
        <f>IF(AND(MyRowHidden(ROW())=FALSE,MyRowHidden(ROW()-1)=TRUE),0,(E450-E449)*unitsOfDHp+I449)</f>
        <v>245840</v>
      </c>
      <c r="J450">
        <f>IF(AND(MyRowHidden(ROW())=FALSE,MyRowHidden(ROW()-1)=TRUE),0,(G450-G449)*unitsOfExo+J449)</f>
        <v>-1720800</v>
      </c>
      <c r="K450" s="9">
        <f t="shared" si="37"/>
        <v>1720800</v>
      </c>
      <c r="L450">
        <f t="shared" si="38"/>
        <v>-1474960</v>
      </c>
      <c r="M450">
        <f>IF(AND(MyRowHidden(ROW())=FALSE,MyRowHidden(ROW()-1)=TRUE),0,IF(MONTH(H450)&lt;&gt;MONTH(H449),M449+1,M449))</f>
        <v>20</v>
      </c>
      <c r="N450">
        <f t="shared" si="39"/>
        <v>245840</v>
      </c>
      <c r="O450">
        <f>IF(AND(MyRowHidden(ROW())=FALSE,MyRowHidden(ROW()-1)=TRUE),0,IF(M450&lt;totalMonths,(totalMonths-M450)/totalMonths *(I450-I449)+O449,0))</f>
        <v>0</v>
      </c>
      <c r="P450">
        <f>IF(AND(MyRowHidden(ROW())=FALSE,MyRowHidden(ROW()-1)=TRUE),0,IF(M450&lt;totalMonths,(totalMonths-M450)/totalMonths *(J450-J449)+P449,0))</f>
        <v>0</v>
      </c>
      <c r="Q450">
        <f>IF(AND(MyRowHidden(ROW())=FALSE,MyRowHidden(ROW()-1)=TRUE),0,IF(M450&lt;totalMonths,(totalMonths-M450)/totalMonths *(K450-K449)+Q449,0))</f>
        <v>0</v>
      </c>
      <c r="R450">
        <f t="shared" si="40"/>
        <v>245840</v>
      </c>
      <c r="S450">
        <f t="shared" si="41"/>
        <v>0</v>
      </c>
    </row>
    <row r="451" spans="1:19" hidden="1" x14ac:dyDescent="0.25">
      <c r="A451" s="1"/>
      <c r="C451" s="1"/>
      <c r="D451" s="1">
        <v>41912</v>
      </c>
      <c r="E451">
        <v>29591</v>
      </c>
      <c r="F451" s="1">
        <v>41912</v>
      </c>
      <c r="G451">
        <v>-4262.5</v>
      </c>
      <c r="H451" s="1">
        <f t="shared" si="36"/>
        <v>41912</v>
      </c>
      <c r="I451">
        <f>IF(AND(MyRowHidden(ROW())=FALSE,MyRowHidden(ROW()-1)=TRUE),0,(E451-E450)*unitsOfDHp+I450)</f>
        <v>241220</v>
      </c>
      <c r="J451">
        <f>IF(AND(MyRowHidden(ROW())=FALSE,MyRowHidden(ROW()-1)=TRUE),0,(G451-G450)*unitsOfExo+J450)</f>
        <v>-1774800</v>
      </c>
      <c r="K451" s="9">
        <f t="shared" si="37"/>
        <v>1774800</v>
      </c>
      <c r="L451">
        <f t="shared" si="38"/>
        <v>-1533580</v>
      </c>
      <c r="M451">
        <f>IF(AND(MyRowHidden(ROW())=FALSE,MyRowHidden(ROW()-1)=TRUE),0,IF(MONTH(H451)&lt;&gt;MONTH(H450),M450+1,M450))</f>
        <v>20</v>
      </c>
      <c r="N451">
        <f t="shared" si="39"/>
        <v>241220</v>
      </c>
      <c r="O451">
        <f>IF(AND(MyRowHidden(ROW())=FALSE,MyRowHidden(ROW()-1)=TRUE),0,IF(M451&lt;totalMonths,(totalMonths-M451)/totalMonths *(I451-I450)+O450,0))</f>
        <v>0</v>
      </c>
      <c r="P451">
        <f>IF(AND(MyRowHidden(ROW())=FALSE,MyRowHidden(ROW()-1)=TRUE),0,IF(M451&lt;totalMonths,(totalMonths-M451)/totalMonths *(J451-J450)+P450,0))</f>
        <v>0</v>
      </c>
      <c r="Q451">
        <f>IF(AND(MyRowHidden(ROW())=FALSE,MyRowHidden(ROW()-1)=TRUE),0,IF(M451&lt;totalMonths,(totalMonths-M451)/totalMonths *(K451-K450)+Q450,0))</f>
        <v>0</v>
      </c>
      <c r="R451">
        <f t="shared" si="40"/>
        <v>241220</v>
      </c>
      <c r="S451">
        <f t="shared" si="41"/>
        <v>0</v>
      </c>
    </row>
    <row r="452" spans="1:19" hidden="1" x14ac:dyDescent="0.25">
      <c r="A452" s="1"/>
      <c r="C452" s="1"/>
      <c r="D452" s="1">
        <v>41913</v>
      </c>
      <c r="E452">
        <v>29662</v>
      </c>
      <c r="F452" s="1">
        <v>41913</v>
      </c>
      <c r="G452">
        <v>-4287.5</v>
      </c>
      <c r="H452" s="1">
        <f t="shared" si="36"/>
        <v>41913</v>
      </c>
      <c r="I452">
        <f>IF(AND(MyRowHidden(ROW())=FALSE,MyRowHidden(ROW()-1)=TRUE),0,(E452-E451)*unitsOfDHp+I451)</f>
        <v>243705</v>
      </c>
      <c r="J452">
        <f>IF(AND(MyRowHidden(ROW())=FALSE,MyRowHidden(ROW()-1)=TRUE),0,(G452-G451)*unitsOfExo+J451)</f>
        <v>-1782000</v>
      </c>
      <c r="K452" s="9">
        <f t="shared" si="37"/>
        <v>1782000</v>
      </c>
      <c r="L452">
        <f t="shared" si="38"/>
        <v>-1538295</v>
      </c>
      <c r="M452">
        <f>IF(AND(MyRowHidden(ROW())=FALSE,MyRowHidden(ROW()-1)=TRUE),0,IF(MONTH(H452)&lt;&gt;MONTH(H451),M451+1,M451))</f>
        <v>21</v>
      </c>
      <c r="N452">
        <f t="shared" si="39"/>
        <v>243705</v>
      </c>
      <c r="O452">
        <f>IF(AND(MyRowHidden(ROW())=FALSE,MyRowHidden(ROW()-1)=TRUE),0,IF(M452&lt;totalMonths,(totalMonths-M452)/totalMonths *(I452-I451)+O451,0))</f>
        <v>0</v>
      </c>
      <c r="P452">
        <f>IF(AND(MyRowHidden(ROW())=FALSE,MyRowHidden(ROW()-1)=TRUE),0,IF(M452&lt;totalMonths,(totalMonths-M452)/totalMonths *(J452-J451)+P451,0))</f>
        <v>0</v>
      </c>
      <c r="Q452">
        <f>IF(AND(MyRowHidden(ROW())=FALSE,MyRowHidden(ROW()-1)=TRUE),0,IF(M452&lt;totalMonths,(totalMonths-M452)/totalMonths *(K452-K451)+Q451,0))</f>
        <v>0</v>
      </c>
      <c r="R452">
        <f t="shared" si="40"/>
        <v>243705</v>
      </c>
      <c r="S452">
        <f t="shared" si="41"/>
        <v>0</v>
      </c>
    </row>
    <row r="453" spans="1:19" hidden="1" x14ac:dyDescent="0.25">
      <c r="A453" s="1"/>
      <c r="C453" s="1"/>
      <c r="D453" s="1">
        <v>41914</v>
      </c>
      <c r="E453">
        <v>29669</v>
      </c>
      <c r="F453" s="1">
        <v>41914</v>
      </c>
      <c r="G453">
        <v>-4275</v>
      </c>
      <c r="H453" s="1">
        <f t="shared" si="36"/>
        <v>41914</v>
      </c>
      <c r="I453">
        <f>IF(AND(MyRowHidden(ROW())=FALSE,MyRowHidden(ROW()-1)=TRUE),0,(E453-E452)*unitsOfDHp+I452)</f>
        <v>243950</v>
      </c>
      <c r="J453">
        <f>IF(AND(MyRowHidden(ROW())=FALSE,MyRowHidden(ROW()-1)=TRUE),0,(G453-G452)*unitsOfExo+J452)</f>
        <v>-1778400</v>
      </c>
      <c r="K453" s="9">
        <f t="shared" si="37"/>
        <v>1778400</v>
      </c>
      <c r="L453">
        <f t="shared" si="38"/>
        <v>-1534450</v>
      </c>
      <c r="M453">
        <f>IF(AND(MyRowHidden(ROW())=FALSE,MyRowHidden(ROW()-1)=TRUE),0,IF(MONTH(H453)&lt;&gt;MONTH(H452),M452+1,M452))</f>
        <v>21</v>
      </c>
      <c r="N453">
        <f t="shared" si="39"/>
        <v>243950</v>
      </c>
      <c r="O453">
        <f>IF(AND(MyRowHidden(ROW())=FALSE,MyRowHidden(ROW()-1)=TRUE),0,IF(M453&lt;totalMonths,(totalMonths-M453)/totalMonths *(I453-I452)+O452,0))</f>
        <v>0</v>
      </c>
      <c r="P453">
        <f>IF(AND(MyRowHidden(ROW())=FALSE,MyRowHidden(ROW()-1)=TRUE),0,IF(M453&lt;totalMonths,(totalMonths-M453)/totalMonths *(J453-J452)+P452,0))</f>
        <v>0</v>
      </c>
      <c r="Q453">
        <f>IF(AND(MyRowHidden(ROW())=FALSE,MyRowHidden(ROW()-1)=TRUE),0,IF(M453&lt;totalMonths,(totalMonths-M453)/totalMonths *(K453-K452)+Q452,0))</f>
        <v>0</v>
      </c>
      <c r="R453">
        <f t="shared" si="40"/>
        <v>243950</v>
      </c>
      <c r="S453">
        <f t="shared" si="41"/>
        <v>0</v>
      </c>
    </row>
    <row r="454" spans="1:19" hidden="1" x14ac:dyDescent="0.25">
      <c r="A454" s="1"/>
      <c r="C454" s="1"/>
      <c r="D454" s="1">
        <v>41915</v>
      </c>
      <c r="E454">
        <v>29715</v>
      </c>
      <c r="F454" s="1">
        <v>41915</v>
      </c>
      <c r="G454">
        <v>-4200</v>
      </c>
      <c r="H454" s="1">
        <f t="shared" si="36"/>
        <v>41915</v>
      </c>
      <c r="I454">
        <f>IF(AND(MyRowHidden(ROW())=FALSE,MyRowHidden(ROW()-1)=TRUE),0,(E454-E453)*unitsOfDHp+I453)</f>
        <v>245560</v>
      </c>
      <c r="J454">
        <f>IF(AND(MyRowHidden(ROW())=FALSE,MyRowHidden(ROW()-1)=TRUE),0,(G454-G453)*unitsOfExo+J453)</f>
        <v>-1756800</v>
      </c>
      <c r="K454" s="9">
        <f t="shared" si="37"/>
        <v>1756800</v>
      </c>
      <c r="L454">
        <f t="shared" si="38"/>
        <v>-1511240</v>
      </c>
      <c r="M454">
        <f>IF(AND(MyRowHidden(ROW())=FALSE,MyRowHidden(ROW()-1)=TRUE),0,IF(MONTH(H454)&lt;&gt;MONTH(H453),M453+1,M453))</f>
        <v>21</v>
      </c>
      <c r="N454">
        <f t="shared" si="39"/>
        <v>245560</v>
      </c>
      <c r="O454">
        <f>IF(AND(MyRowHidden(ROW())=FALSE,MyRowHidden(ROW()-1)=TRUE),0,IF(M454&lt;totalMonths,(totalMonths-M454)/totalMonths *(I454-I453)+O453,0))</f>
        <v>0</v>
      </c>
      <c r="P454">
        <f>IF(AND(MyRowHidden(ROW())=FALSE,MyRowHidden(ROW()-1)=TRUE),0,IF(M454&lt;totalMonths,(totalMonths-M454)/totalMonths *(J454-J453)+P453,0))</f>
        <v>0</v>
      </c>
      <c r="Q454">
        <f>IF(AND(MyRowHidden(ROW())=FALSE,MyRowHidden(ROW()-1)=TRUE),0,IF(M454&lt;totalMonths,(totalMonths-M454)/totalMonths *(K454-K453)+Q453,0))</f>
        <v>0</v>
      </c>
      <c r="R454">
        <f t="shared" si="40"/>
        <v>245560</v>
      </c>
      <c r="S454">
        <f t="shared" si="41"/>
        <v>0</v>
      </c>
    </row>
    <row r="455" spans="1:19" hidden="1" x14ac:dyDescent="0.25">
      <c r="A455" s="1"/>
      <c r="C455" s="1"/>
      <c r="D455" s="1">
        <v>41918</v>
      </c>
      <c r="E455">
        <v>29721</v>
      </c>
      <c r="F455" s="1">
        <v>41918</v>
      </c>
      <c r="G455">
        <v>-3750</v>
      </c>
      <c r="H455" s="1">
        <f t="shared" si="36"/>
        <v>41918</v>
      </c>
      <c r="I455">
        <f>IF(AND(MyRowHidden(ROW())=FALSE,MyRowHidden(ROW()-1)=TRUE),0,(E455-E454)*unitsOfDHp+I454)</f>
        <v>245770</v>
      </c>
      <c r="J455">
        <f>IF(AND(MyRowHidden(ROW())=FALSE,MyRowHidden(ROW()-1)=TRUE),0,(G455-G454)*unitsOfExo+J454)</f>
        <v>-1627200</v>
      </c>
      <c r="K455" s="9">
        <f t="shared" si="37"/>
        <v>1627200</v>
      </c>
      <c r="L455">
        <f t="shared" si="38"/>
        <v>-1381430</v>
      </c>
      <c r="M455">
        <f>IF(AND(MyRowHidden(ROW())=FALSE,MyRowHidden(ROW()-1)=TRUE),0,IF(MONTH(H455)&lt;&gt;MONTH(H454),M454+1,M454))</f>
        <v>21</v>
      </c>
      <c r="N455">
        <f t="shared" si="39"/>
        <v>245770</v>
      </c>
      <c r="O455">
        <f>IF(AND(MyRowHidden(ROW())=FALSE,MyRowHidden(ROW()-1)=TRUE),0,IF(M455&lt;totalMonths,(totalMonths-M455)/totalMonths *(I455-I454)+O454,0))</f>
        <v>0</v>
      </c>
      <c r="P455">
        <f>IF(AND(MyRowHidden(ROW())=FALSE,MyRowHidden(ROW()-1)=TRUE),0,IF(M455&lt;totalMonths,(totalMonths-M455)/totalMonths *(J455-J454)+P454,0))</f>
        <v>0</v>
      </c>
      <c r="Q455">
        <f>IF(AND(MyRowHidden(ROW())=FALSE,MyRowHidden(ROW()-1)=TRUE),0,IF(M455&lt;totalMonths,(totalMonths-M455)/totalMonths *(K455-K454)+Q454,0))</f>
        <v>0</v>
      </c>
      <c r="R455">
        <f t="shared" si="40"/>
        <v>245770</v>
      </c>
      <c r="S455">
        <f t="shared" si="41"/>
        <v>0</v>
      </c>
    </row>
    <row r="456" spans="1:19" hidden="1" x14ac:dyDescent="0.25">
      <c r="A456" s="1"/>
      <c r="C456" s="1"/>
      <c r="D456" s="1">
        <v>41919</v>
      </c>
      <c r="E456">
        <v>28792</v>
      </c>
      <c r="F456" s="1">
        <v>41919</v>
      </c>
      <c r="G456">
        <v>-3375</v>
      </c>
      <c r="H456" s="1">
        <f t="shared" si="36"/>
        <v>41919</v>
      </c>
      <c r="I456">
        <f>IF(AND(MyRowHidden(ROW())=FALSE,MyRowHidden(ROW()-1)=TRUE),0,(E456-E455)*unitsOfDHp+I455)</f>
        <v>213255</v>
      </c>
      <c r="J456">
        <f>IF(AND(MyRowHidden(ROW())=FALSE,MyRowHidden(ROW()-1)=TRUE),0,(G456-G455)*unitsOfExo+J455)</f>
        <v>-1519200</v>
      </c>
      <c r="K456" s="9">
        <f t="shared" si="37"/>
        <v>1519200</v>
      </c>
      <c r="L456">
        <f t="shared" si="38"/>
        <v>-1305945</v>
      </c>
      <c r="M456">
        <f>IF(AND(MyRowHidden(ROW())=FALSE,MyRowHidden(ROW()-1)=TRUE),0,IF(MONTH(H456)&lt;&gt;MONTH(H455),M455+1,M455))</f>
        <v>21</v>
      </c>
      <c r="N456">
        <f t="shared" si="39"/>
        <v>213255</v>
      </c>
      <c r="O456">
        <f>IF(AND(MyRowHidden(ROW())=FALSE,MyRowHidden(ROW()-1)=TRUE),0,IF(M456&lt;totalMonths,(totalMonths-M456)/totalMonths *(I456-I455)+O455,0))</f>
        <v>0</v>
      </c>
      <c r="P456">
        <f>IF(AND(MyRowHidden(ROW())=FALSE,MyRowHidden(ROW()-1)=TRUE),0,IF(M456&lt;totalMonths,(totalMonths-M456)/totalMonths *(J456-J455)+P455,0))</f>
        <v>0</v>
      </c>
      <c r="Q456">
        <f>IF(AND(MyRowHidden(ROW())=FALSE,MyRowHidden(ROW()-1)=TRUE),0,IF(M456&lt;totalMonths,(totalMonths-M456)/totalMonths *(K456-K455)+Q455,0))</f>
        <v>0</v>
      </c>
      <c r="R456">
        <f t="shared" si="40"/>
        <v>213255</v>
      </c>
      <c r="S456">
        <f t="shared" si="41"/>
        <v>0</v>
      </c>
    </row>
    <row r="457" spans="1:19" hidden="1" x14ac:dyDescent="0.25">
      <c r="A457" s="1"/>
      <c r="C457" s="1"/>
      <c r="D457" s="1">
        <v>41920</v>
      </c>
      <c r="E457">
        <v>28567</v>
      </c>
      <c r="F457" s="1">
        <v>41920</v>
      </c>
      <c r="G457">
        <v>-3237.5</v>
      </c>
      <c r="H457" s="1">
        <f t="shared" si="36"/>
        <v>41920</v>
      </c>
      <c r="I457">
        <f>IF(AND(MyRowHidden(ROW())=FALSE,MyRowHidden(ROW()-1)=TRUE),0,(E457-E456)*unitsOfDHp+I456)</f>
        <v>205380</v>
      </c>
      <c r="J457">
        <f>IF(AND(MyRowHidden(ROW())=FALSE,MyRowHidden(ROW()-1)=TRUE),0,(G457-G456)*unitsOfExo+J456)</f>
        <v>-1479600</v>
      </c>
      <c r="K457" s="9">
        <f t="shared" si="37"/>
        <v>1479600</v>
      </c>
      <c r="L457">
        <f t="shared" si="38"/>
        <v>-1274220</v>
      </c>
      <c r="M457">
        <f>IF(AND(MyRowHidden(ROW())=FALSE,MyRowHidden(ROW()-1)=TRUE),0,IF(MONTH(H457)&lt;&gt;MONTH(H456),M456+1,M456))</f>
        <v>21</v>
      </c>
      <c r="N457">
        <f t="shared" si="39"/>
        <v>205380</v>
      </c>
      <c r="O457">
        <f>IF(AND(MyRowHidden(ROW())=FALSE,MyRowHidden(ROW()-1)=TRUE),0,IF(M457&lt;totalMonths,(totalMonths-M457)/totalMonths *(I457-I456)+O456,0))</f>
        <v>0</v>
      </c>
      <c r="P457">
        <f>IF(AND(MyRowHidden(ROW())=FALSE,MyRowHidden(ROW()-1)=TRUE),0,IF(M457&lt;totalMonths,(totalMonths-M457)/totalMonths *(J457-J456)+P456,0))</f>
        <v>0</v>
      </c>
      <c r="Q457">
        <f>IF(AND(MyRowHidden(ROW())=FALSE,MyRowHidden(ROW()-1)=TRUE),0,IF(M457&lt;totalMonths,(totalMonths-M457)/totalMonths *(K457-K456)+Q456,0))</f>
        <v>0</v>
      </c>
      <c r="R457">
        <f t="shared" si="40"/>
        <v>205380</v>
      </c>
      <c r="S457">
        <f t="shared" si="41"/>
        <v>0</v>
      </c>
    </row>
    <row r="458" spans="1:19" hidden="1" x14ac:dyDescent="0.25">
      <c r="A458" s="1"/>
      <c r="C458" s="1"/>
      <c r="D458" s="1">
        <v>41921</v>
      </c>
      <c r="E458">
        <v>28392</v>
      </c>
      <c r="F458" s="1">
        <v>41921</v>
      </c>
      <c r="G458">
        <v>-3075</v>
      </c>
      <c r="H458" s="1">
        <f t="shared" si="36"/>
        <v>41921</v>
      </c>
      <c r="I458">
        <f>IF(AND(MyRowHidden(ROW())=FALSE,MyRowHidden(ROW()-1)=TRUE),0,(E458-E457)*unitsOfDHp+I457)</f>
        <v>199255</v>
      </c>
      <c r="J458">
        <f>IF(AND(MyRowHidden(ROW())=FALSE,MyRowHidden(ROW()-1)=TRUE),0,(G458-G457)*unitsOfExo+J457)</f>
        <v>-1432800</v>
      </c>
      <c r="K458" s="9">
        <f t="shared" si="37"/>
        <v>1432800</v>
      </c>
      <c r="L458">
        <f t="shared" si="38"/>
        <v>-1233545</v>
      </c>
      <c r="M458">
        <f>IF(AND(MyRowHidden(ROW())=FALSE,MyRowHidden(ROW()-1)=TRUE),0,IF(MONTH(H458)&lt;&gt;MONTH(H457),M457+1,M457))</f>
        <v>21</v>
      </c>
      <c r="N458">
        <f t="shared" si="39"/>
        <v>199255</v>
      </c>
      <c r="O458">
        <f>IF(AND(MyRowHidden(ROW())=FALSE,MyRowHidden(ROW()-1)=TRUE),0,IF(M458&lt;totalMonths,(totalMonths-M458)/totalMonths *(I458-I457)+O457,0))</f>
        <v>0</v>
      </c>
      <c r="P458">
        <f>IF(AND(MyRowHidden(ROW())=FALSE,MyRowHidden(ROW()-1)=TRUE),0,IF(M458&lt;totalMonths,(totalMonths-M458)/totalMonths *(J458-J457)+P457,0))</f>
        <v>0</v>
      </c>
      <c r="Q458">
        <f>IF(AND(MyRowHidden(ROW())=FALSE,MyRowHidden(ROW()-1)=TRUE),0,IF(M458&lt;totalMonths,(totalMonths-M458)/totalMonths *(K458-K457)+Q457,0))</f>
        <v>0</v>
      </c>
      <c r="R458">
        <f t="shared" si="40"/>
        <v>199255</v>
      </c>
      <c r="S458">
        <f t="shared" si="41"/>
        <v>0</v>
      </c>
    </row>
    <row r="459" spans="1:19" hidden="1" x14ac:dyDescent="0.25">
      <c r="A459" s="1"/>
      <c r="C459" s="1"/>
      <c r="D459" s="1">
        <v>41922</v>
      </c>
      <c r="E459">
        <v>29001</v>
      </c>
      <c r="F459" s="1">
        <v>41922</v>
      </c>
      <c r="G459">
        <v>-3712.5</v>
      </c>
      <c r="H459" s="1">
        <f t="shared" si="36"/>
        <v>41922</v>
      </c>
      <c r="I459">
        <f>IF(AND(MyRowHidden(ROW())=FALSE,MyRowHidden(ROW()-1)=TRUE),0,(E459-E458)*unitsOfDHp+I458)</f>
        <v>220570</v>
      </c>
      <c r="J459">
        <f>IF(AND(MyRowHidden(ROW())=FALSE,MyRowHidden(ROW()-1)=TRUE),0,(G459-G458)*unitsOfExo+J458)</f>
        <v>-1616400</v>
      </c>
      <c r="K459" s="9">
        <f t="shared" si="37"/>
        <v>1616400</v>
      </c>
      <c r="L459">
        <f t="shared" si="38"/>
        <v>-1395830</v>
      </c>
      <c r="M459">
        <f>IF(AND(MyRowHidden(ROW())=FALSE,MyRowHidden(ROW()-1)=TRUE),0,IF(MONTH(H459)&lt;&gt;MONTH(H458),M458+1,M458))</f>
        <v>21</v>
      </c>
      <c r="N459">
        <f t="shared" si="39"/>
        <v>220570</v>
      </c>
      <c r="O459">
        <f>IF(AND(MyRowHidden(ROW())=FALSE,MyRowHidden(ROW()-1)=TRUE),0,IF(M459&lt;totalMonths,(totalMonths-M459)/totalMonths *(I459-I458)+O458,0))</f>
        <v>0</v>
      </c>
      <c r="P459">
        <f>IF(AND(MyRowHidden(ROW())=FALSE,MyRowHidden(ROW()-1)=TRUE),0,IF(M459&lt;totalMonths,(totalMonths-M459)/totalMonths *(J459-J458)+P458,0))</f>
        <v>0</v>
      </c>
      <c r="Q459">
        <f>IF(AND(MyRowHidden(ROW())=FALSE,MyRowHidden(ROW()-1)=TRUE),0,IF(M459&lt;totalMonths,(totalMonths-M459)/totalMonths *(K459-K458)+Q458,0))</f>
        <v>0</v>
      </c>
      <c r="R459">
        <f t="shared" si="40"/>
        <v>220570</v>
      </c>
      <c r="S459">
        <f t="shared" si="41"/>
        <v>0</v>
      </c>
    </row>
    <row r="460" spans="1:19" hidden="1" x14ac:dyDescent="0.25">
      <c r="A460" s="1"/>
      <c r="C460" s="1"/>
      <c r="D460" s="1">
        <v>41926</v>
      </c>
      <c r="E460">
        <v>28217</v>
      </c>
      <c r="F460" s="1">
        <v>41926</v>
      </c>
      <c r="G460">
        <v>-2612.5</v>
      </c>
      <c r="H460" s="1">
        <f t="shared" si="36"/>
        <v>41926</v>
      </c>
      <c r="I460">
        <f>IF(AND(MyRowHidden(ROW())=FALSE,MyRowHidden(ROW()-1)=TRUE),0,(E460-E459)*unitsOfDHp+I459)</f>
        <v>193130</v>
      </c>
      <c r="J460">
        <f>IF(AND(MyRowHidden(ROW())=FALSE,MyRowHidden(ROW()-1)=TRUE),0,(G460-G459)*unitsOfExo+J459)</f>
        <v>-1299600</v>
      </c>
      <c r="K460" s="9">
        <f t="shared" si="37"/>
        <v>1299600</v>
      </c>
      <c r="L460">
        <f t="shared" si="38"/>
        <v>-1106470</v>
      </c>
      <c r="M460">
        <f>IF(AND(MyRowHidden(ROW())=FALSE,MyRowHidden(ROW()-1)=TRUE),0,IF(MONTH(H460)&lt;&gt;MONTH(H459),M459+1,M459))</f>
        <v>21</v>
      </c>
      <c r="N460">
        <f t="shared" si="39"/>
        <v>193130</v>
      </c>
      <c r="O460">
        <f>IF(AND(MyRowHidden(ROW())=FALSE,MyRowHidden(ROW()-1)=TRUE),0,IF(M460&lt;totalMonths,(totalMonths-M460)/totalMonths *(I460-I459)+O459,0))</f>
        <v>0</v>
      </c>
      <c r="P460">
        <f>IF(AND(MyRowHidden(ROW())=FALSE,MyRowHidden(ROW()-1)=TRUE),0,IF(M460&lt;totalMonths,(totalMonths-M460)/totalMonths *(J460-J459)+P459,0))</f>
        <v>0</v>
      </c>
      <c r="Q460">
        <f>IF(AND(MyRowHidden(ROW())=FALSE,MyRowHidden(ROW()-1)=TRUE),0,IF(M460&lt;totalMonths,(totalMonths-M460)/totalMonths *(K460-K459)+Q459,0))</f>
        <v>0</v>
      </c>
      <c r="R460">
        <f t="shared" si="40"/>
        <v>193130</v>
      </c>
      <c r="S460">
        <f t="shared" si="41"/>
        <v>0</v>
      </c>
    </row>
    <row r="461" spans="1:19" hidden="1" x14ac:dyDescent="0.25">
      <c r="A461" s="1"/>
      <c r="C461" s="1"/>
      <c r="D461" s="1">
        <v>41927</v>
      </c>
      <c r="E461">
        <v>28798</v>
      </c>
      <c r="F461" s="1">
        <v>41927</v>
      </c>
      <c r="G461">
        <v>-2925</v>
      </c>
      <c r="H461" s="1">
        <f t="shared" ref="H461:H524" si="42">D461</f>
        <v>41927</v>
      </c>
      <c r="I461">
        <f>IF(AND(MyRowHidden(ROW())=FALSE,MyRowHidden(ROW()-1)=TRUE),0,(E461-E460)*unitsOfDHp+I460)</f>
        <v>213465</v>
      </c>
      <c r="J461">
        <f>IF(AND(MyRowHidden(ROW())=FALSE,MyRowHidden(ROW()-1)=TRUE),0,(G461-G460)*unitsOfExo+J460)</f>
        <v>-1389600</v>
      </c>
      <c r="K461" s="9">
        <f t="shared" ref="K461:K524" si="43">-(J461-J460)+K460</f>
        <v>1389600</v>
      </c>
      <c r="L461">
        <f t="shared" ref="L461:L524" si="44">I461+J461</f>
        <v>-1176135</v>
      </c>
      <c r="M461">
        <f>IF(AND(MyRowHidden(ROW())=FALSE,MyRowHidden(ROW()-1)=TRUE),0,IF(MONTH(H461)&lt;&gt;MONTH(H460),M460+1,M460))</f>
        <v>21</v>
      </c>
      <c r="N461">
        <f t="shared" ref="N461:N524" si="45">I461</f>
        <v>213465</v>
      </c>
      <c r="O461">
        <f>IF(AND(MyRowHidden(ROW())=FALSE,MyRowHidden(ROW()-1)=TRUE),0,IF(M461&lt;totalMonths,(totalMonths-M461)/totalMonths *(I461-I460)+O460,0))</f>
        <v>0</v>
      </c>
      <c r="P461">
        <f>IF(AND(MyRowHidden(ROW())=FALSE,MyRowHidden(ROW()-1)=TRUE),0,IF(M461&lt;totalMonths,(totalMonths-M461)/totalMonths *(J461-J460)+P460,0))</f>
        <v>0</v>
      </c>
      <c r="Q461">
        <f>IF(AND(MyRowHidden(ROW())=FALSE,MyRowHidden(ROW()-1)=TRUE),0,IF(M461&lt;totalMonths,(totalMonths-M461)/totalMonths *(K461-K460)+Q460,0))</f>
        <v>0</v>
      </c>
      <c r="R461">
        <f t="shared" ref="R461:R524" si="46">N461+P461</f>
        <v>213465</v>
      </c>
      <c r="S461">
        <f t="shared" ref="S461:S524" si="47">O461+P461</f>
        <v>0</v>
      </c>
    </row>
    <row r="462" spans="1:19" hidden="1" x14ac:dyDescent="0.25">
      <c r="A462" s="1"/>
      <c r="C462" s="1"/>
      <c r="D462" s="1">
        <v>41928</v>
      </c>
      <c r="E462">
        <v>28473</v>
      </c>
      <c r="F462" s="1">
        <v>41928</v>
      </c>
      <c r="G462">
        <v>-2787.5</v>
      </c>
      <c r="H462" s="1">
        <f t="shared" si="42"/>
        <v>41928</v>
      </c>
      <c r="I462">
        <f>IF(AND(MyRowHidden(ROW())=FALSE,MyRowHidden(ROW()-1)=TRUE),0,(E462-E461)*unitsOfDHp+I461)</f>
        <v>202090</v>
      </c>
      <c r="J462">
        <f>IF(AND(MyRowHidden(ROW())=FALSE,MyRowHidden(ROW()-1)=TRUE),0,(G462-G461)*unitsOfExo+J461)</f>
        <v>-1350000</v>
      </c>
      <c r="K462" s="9">
        <f t="shared" si="43"/>
        <v>1350000</v>
      </c>
      <c r="L462">
        <f t="shared" si="44"/>
        <v>-1147910</v>
      </c>
      <c r="M462">
        <f>IF(AND(MyRowHidden(ROW())=FALSE,MyRowHidden(ROW()-1)=TRUE),0,IF(MONTH(H462)&lt;&gt;MONTH(H461),M461+1,M461))</f>
        <v>21</v>
      </c>
      <c r="N462">
        <f t="shared" si="45"/>
        <v>202090</v>
      </c>
      <c r="O462">
        <f>IF(AND(MyRowHidden(ROW())=FALSE,MyRowHidden(ROW()-1)=TRUE),0,IF(M462&lt;totalMonths,(totalMonths-M462)/totalMonths *(I462-I461)+O461,0))</f>
        <v>0</v>
      </c>
      <c r="P462">
        <f>IF(AND(MyRowHidden(ROW())=FALSE,MyRowHidden(ROW()-1)=TRUE),0,IF(M462&lt;totalMonths,(totalMonths-M462)/totalMonths *(J462-J461)+P461,0))</f>
        <v>0</v>
      </c>
      <c r="Q462">
        <f>IF(AND(MyRowHidden(ROW())=FALSE,MyRowHidden(ROW()-1)=TRUE),0,IF(M462&lt;totalMonths,(totalMonths-M462)/totalMonths *(K462-K461)+Q461,0))</f>
        <v>0</v>
      </c>
      <c r="R462">
        <f t="shared" si="46"/>
        <v>202090</v>
      </c>
      <c r="S462">
        <f t="shared" si="47"/>
        <v>0</v>
      </c>
    </row>
    <row r="463" spans="1:19" hidden="1" x14ac:dyDescent="0.25">
      <c r="A463" s="1"/>
      <c r="C463" s="1"/>
      <c r="D463" s="1">
        <v>41929</v>
      </c>
      <c r="E463">
        <v>28813</v>
      </c>
      <c r="F463" s="1">
        <v>41929</v>
      </c>
      <c r="G463">
        <v>-2962.5</v>
      </c>
      <c r="H463" s="1">
        <f t="shared" si="42"/>
        <v>41929</v>
      </c>
      <c r="I463">
        <f>IF(AND(MyRowHidden(ROW())=FALSE,MyRowHidden(ROW()-1)=TRUE),0,(E463-E462)*unitsOfDHp+I462)</f>
        <v>213990</v>
      </c>
      <c r="J463">
        <f>IF(AND(MyRowHidden(ROW())=FALSE,MyRowHidden(ROW()-1)=TRUE),0,(G463-G462)*unitsOfExo+J462)</f>
        <v>-1400400</v>
      </c>
      <c r="K463" s="9">
        <f t="shared" si="43"/>
        <v>1400400</v>
      </c>
      <c r="L463">
        <f t="shared" si="44"/>
        <v>-1186410</v>
      </c>
      <c r="M463">
        <f>IF(AND(MyRowHidden(ROW())=FALSE,MyRowHidden(ROW()-1)=TRUE),0,IF(MONTH(H463)&lt;&gt;MONTH(H462),M462+1,M462))</f>
        <v>21</v>
      </c>
      <c r="N463">
        <f t="shared" si="45"/>
        <v>213990</v>
      </c>
      <c r="O463">
        <f>IF(AND(MyRowHidden(ROW())=FALSE,MyRowHidden(ROW()-1)=TRUE),0,IF(M463&lt;totalMonths,(totalMonths-M463)/totalMonths *(I463-I462)+O462,0))</f>
        <v>0</v>
      </c>
      <c r="P463">
        <f>IF(AND(MyRowHidden(ROW())=FALSE,MyRowHidden(ROW()-1)=TRUE),0,IF(M463&lt;totalMonths,(totalMonths-M463)/totalMonths *(J463-J462)+P462,0))</f>
        <v>0</v>
      </c>
      <c r="Q463">
        <f>IF(AND(MyRowHidden(ROW())=FALSE,MyRowHidden(ROW()-1)=TRUE),0,IF(M463&lt;totalMonths,(totalMonths-M463)/totalMonths *(K463-K462)+Q462,0))</f>
        <v>0</v>
      </c>
      <c r="R463">
        <f t="shared" si="46"/>
        <v>213990</v>
      </c>
      <c r="S463">
        <f t="shared" si="47"/>
        <v>0</v>
      </c>
    </row>
    <row r="464" spans="1:19" hidden="1" x14ac:dyDescent="0.25">
      <c r="A464" s="1"/>
      <c r="C464" s="1"/>
      <c r="D464" s="1">
        <v>41932</v>
      </c>
      <c r="E464">
        <v>28921</v>
      </c>
      <c r="F464" s="1">
        <v>41932</v>
      </c>
      <c r="G464">
        <v>-2987.5</v>
      </c>
      <c r="H464" s="1">
        <f t="shared" si="42"/>
        <v>41932</v>
      </c>
      <c r="I464">
        <f>IF(AND(MyRowHidden(ROW())=FALSE,MyRowHidden(ROW()-1)=TRUE),0,(E464-E463)*unitsOfDHp+I463)</f>
        <v>217770</v>
      </c>
      <c r="J464">
        <f>IF(AND(MyRowHidden(ROW())=FALSE,MyRowHidden(ROW()-1)=TRUE),0,(G464-G463)*unitsOfExo+J463)</f>
        <v>-1407600</v>
      </c>
      <c r="K464" s="9">
        <f t="shared" si="43"/>
        <v>1407600</v>
      </c>
      <c r="L464">
        <f t="shared" si="44"/>
        <v>-1189830</v>
      </c>
      <c r="M464">
        <f>IF(AND(MyRowHidden(ROW())=FALSE,MyRowHidden(ROW()-1)=TRUE),0,IF(MONTH(H464)&lt;&gt;MONTH(H463),M463+1,M463))</f>
        <v>21</v>
      </c>
      <c r="N464">
        <f t="shared" si="45"/>
        <v>217770</v>
      </c>
      <c r="O464">
        <f>IF(AND(MyRowHidden(ROW())=FALSE,MyRowHidden(ROW()-1)=TRUE),0,IF(M464&lt;totalMonths,(totalMonths-M464)/totalMonths *(I464-I463)+O463,0))</f>
        <v>0</v>
      </c>
      <c r="P464">
        <f>IF(AND(MyRowHidden(ROW())=FALSE,MyRowHidden(ROW()-1)=TRUE),0,IF(M464&lt;totalMonths,(totalMonths-M464)/totalMonths *(J464-J463)+P463,0))</f>
        <v>0</v>
      </c>
      <c r="Q464">
        <f>IF(AND(MyRowHidden(ROW())=FALSE,MyRowHidden(ROW()-1)=TRUE),0,IF(M464&lt;totalMonths,(totalMonths-M464)/totalMonths *(K464-K463)+Q463,0))</f>
        <v>0</v>
      </c>
      <c r="R464">
        <f t="shared" si="46"/>
        <v>217770</v>
      </c>
      <c r="S464">
        <f t="shared" si="47"/>
        <v>0</v>
      </c>
    </row>
    <row r="465" spans="1:19" hidden="1" x14ac:dyDescent="0.25">
      <c r="A465" s="1"/>
      <c r="C465" s="1"/>
      <c r="D465" s="1">
        <v>41933</v>
      </c>
      <c r="E465">
        <v>28383</v>
      </c>
      <c r="F465" s="1">
        <v>41933</v>
      </c>
      <c r="G465">
        <v>-2512.5</v>
      </c>
      <c r="H465" s="1">
        <f t="shared" si="42"/>
        <v>41933</v>
      </c>
      <c r="I465">
        <f>IF(AND(MyRowHidden(ROW())=FALSE,MyRowHidden(ROW()-1)=TRUE),0,(E465-E464)*unitsOfDHp+I464)</f>
        <v>198940</v>
      </c>
      <c r="J465">
        <f>IF(AND(MyRowHidden(ROW())=FALSE,MyRowHidden(ROW()-1)=TRUE),0,(G465-G464)*unitsOfExo+J464)</f>
        <v>-1270800</v>
      </c>
      <c r="K465" s="9">
        <f t="shared" si="43"/>
        <v>1270800</v>
      </c>
      <c r="L465">
        <f t="shared" si="44"/>
        <v>-1071860</v>
      </c>
      <c r="M465">
        <f>IF(AND(MyRowHidden(ROW())=FALSE,MyRowHidden(ROW()-1)=TRUE),0,IF(MONTH(H465)&lt;&gt;MONTH(H464),M464+1,M464))</f>
        <v>21</v>
      </c>
      <c r="N465">
        <f t="shared" si="45"/>
        <v>198940</v>
      </c>
      <c r="O465">
        <f>IF(AND(MyRowHidden(ROW())=FALSE,MyRowHidden(ROW()-1)=TRUE),0,IF(M465&lt;totalMonths,(totalMonths-M465)/totalMonths *(I465-I464)+O464,0))</f>
        <v>0</v>
      </c>
      <c r="P465">
        <f>IF(AND(MyRowHidden(ROW())=FALSE,MyRowHidden(ROW()-1)=TRUE),0,IF(M465&lt;totalMonths,(totalMonths-M465)/totalMonths *(J465-J464)+P464,0))</f>
        <v>0</v>
      </c>
      <c r="Q465">
        <f>IF(AND(MyRowHidden(ROW())=FALSE,MyRowHidden(ROW()-1)=TRUE),0,IF(M465&lt;totalMonths,(totalMonths-M465)/totalMonths *(K465-K464)+Q464,0))</f>
        <v>0</v>
      </c>
      <c r="R465">
        <f t="shared" si="46"/>
        <v>198940</v>
      </c>
      <c r="S465">
        <f t="shared" si="47"/>
        <v>0</v>
      </c>
    </row>
    <row r="466" spans="1:19" hidden="1" x14ac:dyDescent="0.25">
      <c r="A466" s="1"/>
      <c r="C466" s="1"/>
      <c r="D466" s="1">
        <v>41934</v>
      </c>
      <c r="E466">
        <v>28393</v>
      </c>
      <c r="F466" s="1">
        <v>41934</v>
      </c>
      <c r="G466">
        <v>-2675</v>
      </c>
      <c r="H466" s="1">
        <f t="shared" si="42"/>
        <v>41934</v>
      </c>
      <c r="I466">
        <f>IF(AND(MyRowHidden(ROW())=FALSE,MyRowHidden(ROW()-1)=TRUE),0,(E466-E465)*unitsOfDHp+I465)</f>
        <v>199290</v>
      </c>
      <c r="J466">
        <f>IF(AND(MyRowHidden(ROW())=FALSE,MyRowHidden(ROW()-1)=TRUE),0,(G466-G465)*unitsOfExo+J465)</f>
        <v>-1317600</v>
      </c>
      <c r="K466" s="9">
        <f t="shared" si="43"/>
        <v>1317600</v>
      </c>
      <c r="L466">
        <f t="shared" si="44"/>
        <v>-1118310</v>
      </c>
      <c r="M466">
        <f>IF(AND(MyRowHidden(ROW())=FALSE,MyRowHidden(ROW()-1)=TRUE),0,IF(MONTH(H466)&lt;&gt;MONTH(H465),M465+1,M465))</f>
        <v>21</v>
      </c>
      <c r="N466">
        <f t="shared" si="45"/>
        <v>199290</v>
      </c>
      <c r="O466">
        <f>IF(AND(MyRowHidden(ROW())=FALSE,MyRowHidden(ROW()-1)=TRUE),0,IF(M466&lt;totalMonths,(totalMonths-M466)/totalMonths *(I466-I465)+O465,0))</f>
        <v>0</v>
      </c>
      <c r="P466">
        <f>IF(AND(MyRowHidden(ROW())=FALSE,MyRowHidden(ROW()-1)=TRUE),0,IF(M466&lt;totalMonths,(totalMonths-M466)/totalMonths *(J466-J465)+P465,0))</f>
        <v>0</v>
      </c>
      <c r="Q466">
        <f>IF(AND(MyRowHidden(ROW())=FALSE,MyRowHidden(ROW()-1)=TRUE),0,IF(M466&lt;totalMonths,(totalMonths-M466)/totalMonths *(K466-K465)+Q465,0))</f>
        <v>0</v>
      </c>
      <c r="R466">
        <f t="shared" si="46"/>
        <v>199290</v>
      </c>
      <c r="S466">
        <f t="shared" si="47"/>
        <v>0</v>
      </c>
    </row>
    <row r="467" spans="1:19" hidden="1" x14ac:dyDescent="0.25">
      <c r="A467" s="1"/>
      <c r="C467" s="1"/>
      <c r="D467" s="1">
        <v>41935</v>
      </c>
      <c r="E467">
        <v>28442</v>
      </c>
      <c r="F467" s="1">
        <v>41935</v>
      </c>
      <c r="G467">
        <v>-2387.5</v>
      </c>
      <c r="H467" s="1">
        <f t="shared" si="42"/>
        <v>41935</v>
      </c>
      <c r="I467">
        <f>IF(AND(MyRowHidden(ROW())=FALSE,MyRowHidden(ROW()-1)=TRUE),0,(E467-E466)*unitsOfDHp+I466)</f>
        <v>201005</v>
      </c>
      <c r="J467">
        <f>IF(AND(MyRowHidden(ROW())=FALSE,MyRowHidden(ROW()-1)=TRUE),0,(G467-G466)*unitsOfExo+J466)</f>
        <v>-1234800</v>
      </c>
      <c r="K467" s="9">
        <f t="shared" si="43"/>
        <v>1234800</v>
      </c>
      <c r="L467">
        <f t="shared" si="44"/>
        <v>-1033795</v>
      </c>
      <c r="M467">
        <f>IF(AND(MyRowHidden(ROW())=FALSE,MyRowHidden(ROW()-1)=TRUE),0,IF(MONTH(H467)&lt;&gt;MONTH(H466),M466+1,M466))</f>
        <v>21</v>
      </c>
      <c r="N467">
        <f t="shared" si="45"/>
        <v>201005</v>
      </c>
      <c r="O467">
        <f>IF(AND(MyRowHidden(ROW())=FALSE,MyRowHidden(ROW()-1)=TRUE),0,IF(M467&lt;totalMonths,(totalMonths-M467)/totalMonths *(I467-I466)+O466,0))</f>
        <v>0</v>
      </c>
      <c r="P467">
        <f>IF(AND(MyRowHidden(ROW())=FALSE,MyRowHidden(ROW()-1)=TRUE),0,IF(M467&lt;totalMonths,(totalMonths-M467)/totalMonths *(J467-J466)+P466,0))</f>
        <v>0</v>
      </c>
      <c r="Q467">
        <f>IF(AND(MyRowHidden(ROW())=FALSE,MyRowHidden(ROW()-1)=TRUE),0,IF(M467&lt;totalMonths,(totalMonths-M467)/totalMonths *(K467-K466)+Q466,0))</f>
        <v>0</v>
      </c>
      <c r="R467">
        <f t="shared" si="46"/>
        <v>201005</v>
      </c>
      <c r="S467">
        <f t="shared" si="47"/>
        <v>0</v>
      </c>
    </row>
    <row r="468" spans="1:19" hidden="1" x14ac:dyDescent="0.25">
      <c r="A468" s="1"/>
      <c r="C468" s="1"/>
      <c r="D468" s="1">
        <v>41936</v>
      </c>
      <c r="E468">
        <v>28448</v>
      </c>
      <c r="F468" s="1">
        <v>41936</v>
      </c>
      <c r="G468">
        <v>-2687.5</v>
      </c>
      <c r="H468" s="1">
        <f t="shared" si="42"/>
        <v>41936</v>
      </c>
      <c r="I468">
        <f>IF(AND(MyRowHidden(ROW())=FALSE,MyRowHidden(ROW()-1)=TRUE),0,(E468-E467)*unitsOfDHp+I467)</f>
        <v>201215</v>
      </c>
      <c r="J468">
        <f>IF(AND(MyRowHidden(ROW())=FALSE,MyRowHidden(ROW()-1)=TRUE),0,(G468-G467)*unitsOfExo+J467)</f>
        <v>-1321200</v>
      </c>
      <c r="K468" s="9">
        <f t="shared" si="43"/>
        <v>1321200</v>
      </c>
      <c r="L468">
        <f t="shared" si="44"/>
        <v>-1119985</v>
      </c>
      <c r="M468">
        <f>IF(AND(MyRowHidden(ROW())=FALSE,MyRowHidden(ROW()-1)=TRUE),0,IF(MONTH(H468)&lt;&gt;MONTH(H467),M467+1,M467))</f>
        <v>21</v>
      </c>
      <c r="N468">
        <f t="shared" si="45"/>
        <v>201215</v>
      </c>
      <c r="O468">
        <f>IF(AND(MyRowHidden(ROW())=FALSE,MyRowHidden(ROW()-1)=TRUE),0,IF(M468&lt;totalMonths,(totalMonths-M468)/totalMonths *(I468-I467)+O467,0))</f>
        <v>0</v>
      </c>
      <c r="P468">
        <f>IF(AND(MyRowHidden(ROW())=FALSE,MyRowHidden(ROW()-1)=TRUE),0,IF(M468&lt;totalMonths,(totalMonths-M468)/totalMonths *(J468-J467)+P467,0))</f>
        <v>0</v>
      </c>
      <c r="Q468">
        <f>IF(AND(MyRowHidden(ROW())=FALSE,MyRowHidden(ROW()-1)=TRUE),0,IF(M468&lt;totalMonths,(totalMonths-M468)/totalMonths *(K468-K467)+Q467,0))</f>
        <v>0</v>
      </c>
      <c r="R468">
        <f t="shared" si="46"/>
        <v>201215</v>
      </c>
      <c r="S468">
        <f t="shared" si="47"/>
        <v>0</v>
      </c>
    </row>
    <row r="469" spans="1:19" hidden="1" x14ac:dyDescent="0.25">
      <c r="A469" s="1"/>
      <c r="C469" s="1"/>
      <c r="D469" s="1">
        <v>41939</v>
      </c>
      <c r="E469">
        <v>28521</v>
      </c>
      <c r="F469" s="1">
        <v>41939</v>
      </c>
      <c r="G469">
        <v>-2312.5</v>
      </c>
      <c r="H469" s="1">
        <f t="shared" si="42"/>
        <v>41939</v>
      </c>
      <c r="I469">
        <f>IF(AND(MyRowHidden(ROW())=FALSE,MyRowHidden(ROW()-1)=TRUE),0,(E469-E468)*unitsOfDHp+I468)</f>
        <v>203770</v>
      </c>
      <c r="J469">
        <f>IF(AND(MyRowHidden(ROW())=FALSE,MyRowHidden(ROW()-1)=TRUE),0,(G469-G468)*unitsOfExo+J468)</f>
        <v>-1213200</v>
      </c>
      <c r="K469" s="9">
        <f t="shared" si="43"/>
        <v>1213200</v>
      </c>
      <c r="L469">
        <f t="shared" si="44"/>
        <v>-1009430</v>
      </c>
      <c r="M469">
        <f>IF(AND(MyRowHidden(ROW())=FALSE,MyRowHidden(ROW()-1)=TRUE),0,IF(MONTH(H469)&lt;&gt;MONTH(H468),M468+1,M468))</f>
        <v>21</v>
      </c>
      <c r="N469">
        <f t="shared" si="45"/>
        <v>203770</v>
      </c>
      <c r="O469">
        <f>IF(AND(MyRowHidden(ROW())=FALSE,MyRowHidden(ROW()-1)=TRUE),0,IF(M469&lt;totalMonths,(totalMonths-M469)/totalMonths *(I469-I468)+O468,0))</f>
        <v>0</v>
      </c>
      <c r="P469">
        <f>IF(AND(MyRowHidden(ROW())=FALSE,MyRowHidden(ROW()-1)=TRUE),0,IF(M469&lt;totalMonths,(totalMonths-M469)/totalMonths *(J469-J468)+P468,0))</f>
        <v>0</v>
      </c>
      <c r="Q469">
        <f>IF(AND(MyRowHidden(ROW())=FALSE,MyRowHidden(ROW()-1)=TRUE),0,IF(M469&lt;totalMonths,(totalMonths-M469)/totalMonths *(K469-K468)+Q468,0))</f>
        <v>0</v>
      </c>
      <c r="R469">
        <f t="shared" si="46"/>
        <v>203770</v>
      </c>
      <c r="S469">
        <f t="shared" si="47"/>
        <v>0</v>
      </c>
    </row>
    <row r="470" spans="1:19" hidden="1" x14ac:dyDescent="0.25">
      <c r="A470" s="1"/>
      <c r="C470" s="1"/>
      <c r="D470" s="1">
        <v>41940</v>
      </c>
      <c r="E470">
        <v>28384</v>
      </c>
      <c r="F470" s="1">
        <v>41940</v>
      </c>
      <c r="G470">
        <v>-2137.5</v>
      </c>
      <c r="H470" s="1">
        <f t="shared" si="42"/>
        <v>41940</v>
      </c>
      <c r="I470">
        <f>IF(AND(MyRowHidden(ROW())=FALSE,MyRowHidden(ROW()-1)=TRUE),0,(E470-E469)*unitsOfDHp+I469)</f>
        <v>198975</v>
      </c>
      <c r="J470">
        <f>IF(AND(MyRowHidden(ROW())=FALSE,MyRowHidden(ROW()-1)=TRUE),0,(G470-G469)*unitsOfExo+J469)</f>
        <v>-1162800</v>
      </c>
      <c r="K470" s="9">
        <f t="shared" si="43"/>
        <v>1162800</v>
      </c>
      <c r="L470">
        <f t="shared" si="44"/>
        <v>-963825</v>
      </c>
      <c r="M470">
        <f>IF(AND(MyRowHidden(ROW())=FALSE,MyRowHidden(ROW()-1)=TRUE),0,IF(MONTH(H470)&lt;&gt;MONTH(H469),M469+1,M469))</f>
        <v>21</v>
      </c>
      <c r="N470">
        <f t="shared" si="45"/>
        <v>198975</v>
      </c>
      <c r="O470">
        <f>IF(AND(MyRowHidden(ROW())=FALSE,MyRowHidden(ROW()-1)=TRUE),0,IF(M470&lt;totalMonths,(totalMonths-M470)/totalMonths *(I470-I469)+O469,0))</f>
        <v>0</v>
      </c>
      <c r="P470">
        <f>IF(AND(MyRowHidden(ROW())=FALSE,MyRowHidden(ROW()-1)=TRUE),0,IF(M470&lt;totalMonths,(totalMonths-M470)/totalMonths *(J470-J469)+P469,0))</f>
        <v>0</v>
      </c>
      <c r="Q470">
        <f>IF(AND(MyRowHidden(ROW())=FALSE,MyRowHidden(ROW()-1)=TRUE),0,IF(M470&lt;totalMonths,(totalMonths-M470)/totalMonths *(K470-K469)+Q469,0))</f>
        <v>0</v>
      </c>
      <c r="R470">
        <f t="shared" si="46"/>
        <v>198975</v>
      </c>
      <c r="S470">
        <f t="shared" si="47"/>
        <v>0</v>
      </c>
    </row>
    <row r="471" spans="1:19" hidden="1" x14ac:dyDescent="0.25">
      <c r="A471" s="1"/>
      <c r="C471" s="1"/>
      <c r="D471" s="1">
        <v>41941</v>
      </c>
      <c r="E471">
        <v>28050</v>
      </c>
      <c r="F471" s="1">
        <v>41941</v>
      </c>
      <c r="G471">
        <v>-1712.5</v>
      </c>
      <c r="H471" s="1">
        <f t="shared" si="42"/>
        <v>41941</v>
      </c>
      <c r="I471">
        <f>IF(AND(MyRowHidden(ROW())=FALSE,MyRowHidden(ROW()-1)=TRUE),0,(E471-E470)*unitsOfDHp+I470)</f>
        <v>187285</v>
      </c>
      <c r="J471">
        <f>IF(AND(MyRowHidden(ROW())=FALSE,MyRowHidden(ROW()-1)=TRUE),0,(G471-G470)*unitsOfExo+J470)</f>
        <v>-1040400</v>
      </c>
      <c r="K471" s="9">
        <f t="shared" si="43"/>
        <v>1040400</v>
      </c>
      <c r="L471">
        <f t="shared" si="44"/>
        <v>-853115</v>
      </c>
      <c r="M471">
        <f>IF(AND(MyRowHidden(ROW())=FALSE,MyRowHidden(ROW()-1)=TRUE),0,IF(MONTH(H471)&lt;&gt;MONTH(H470),M470+1,M470))</f>
        <v>21</v>
      </c>
      <c r="N471">
        <f t="shared" si="45"/>
        <v>187285</v>
      </c>
      <c r="O471">
        <f>IF(AND(MyRowHidden(ROW())=FALSE,MyRowHidden(ROW()-1)=TRUE),0,IF(M471&lt;totalMonths,(totalMonths-M471)/totalMonths *(I471-I470)+O470,0))</f>
        <v>0</v>
      </c>
      <c r="P471">
        <f>IF(AND(MyRowHidden(ROW())=FALSE,MyRowHidden(ROW()-1)=TRUE),0,IF(M471&lt;totalMonths,(totalMonths-M471)/totalMonths *(J471-J470)+P470,0))</f>
        <v>0</v>
      </c>
      <c r="Q471">
        <f>IF(AND(MyRowHidden(ROW())=FALSE,MyRowHidden(ROW()-1)=TRUE),0,IF(M471&lt;totalMonths,(totalMonths-M471)/totalMonths *(K471-K470)+Q470,0))</f>
        <v>0</v>
      </c>
      <c r="R471">
        <f t="shared" si="46"/>
        <v>187285</v>
      </c>
      <c r="S471">
        <f t="shared" si="47"/>
        <v>0</v>
      </c>
    </row>
    <row r="472" spans="1:19" hidden="1" x14ac:dyDescent="0.25">
      <c r="A472" s="1"/>
      <c r="C472" s="1"/>
      <c r="D472" s="1">
        <v>41942</v>
      </c>
      <c r="E472">
        <v>27906</v>
      </c>
      <c r="F472" s="1">
        <v>41942</v>
      </c>
      <c r="G472">
        <v>-1562.5</v>
      </c>
      <c r="H472" s="1">
        <f t="shared" si="42"/>
        <v>41942</v>
      </c>
      <c r="I472">
        <f>IF(AND(MyRowHidden(ROW())=FALSE,MyRowHidden(ROW()-1)=TRUE),0,(E472-E471)*unitsOfDHp+I471)</f>
        <v>182245</v>
      </c>
      <c r="J472">
        <f>IF(AND(MyRowHidden(ROW())=FALSE,MyRowHidden(ROW()-1)=TRUE),0,(G472-G471)*unitsOfExo+J471)</f>
        <v>-997200</v>
      </c>
      <c r="K472" s="9">
        <f t="shared" si="43"/>
        <v>997200</v>
      </c>
      <c r="L472">
        <f t="shared" si="44"/>
        <v>-814955</v>
      </c>
      <c r="M472">
        <f>IF(AND(MyRowHidden(ROW())=FALSE,MyRowHidden(ROW()-1)=TRUE),0,IF(MONTH(H472)&lt;&gt;MONTH(H471),M471+1,M471))</f>
        <v>21</v>
      </c>
      <c r="N472">
        <f t="shared" si="45"/>
        <v>182245</v>
      </c>
      <c r="O472">
        <f>IF(AND(MyRowHidden(ROW())=FALSE,MyRowHidden(ROW()-1)=TRUE),0,IF(M472&lt;totalMonths,(totalMonths-M472)/totalMonths *(I472-I471)+O471,0))</f>
        <v>0</v>
      </c>
      <c r="P472">
        <f>IF(AND(MyRowHidden(ROW())=FALSE,MyRowHidden(ROW()-1)=TRUE),0,IF(M472&lt;totalMonths,(totalMonths-M472)/totalMonths *(J472-J471)+P471,0))</f>
        <v>0</v>
      </c>
      <c r="Q472">
        <f>IF(AND(MyRowHidden(ROW())=FALSE,MyRowHidden(ROW()-1)=TRUE),0,IF(M472&lt;totalMonths,(totalMonths-M472)/totalMonths *(K472-K471)+Q471,0))</f>
        <v>0</v>
      </c>
      <c r="R472">
        <f t="shared" si="46"/>
        <v>182245</v>
      </c>
      <c r="S472">
        <f t="shared" si="47"/>
        <v>0</v>
      </c>
    </row>
    <row r="473" spans="1:19" hidden="1" x14ac:dyDescent="0.25">
      <c r="A473" s="1"/>
      <c r="C473" s="1"/>
      <c r="D473" s="1">
        <v>41943</v>
      </c>
      <c r="E473">
        <v>27999</v>
      </c>
      <c r="F473" s="1">
        <v>41943</v>
      </c>
      <c r="G473">
        <v>-1712.5</v>
      </c>
      <c r="H473" s="1">
        <f t="shared" si="42"/>
        <v>41943</v>
      </c>
      <c r="I473">
        <f>IF(AND(MyRowHidden(ROW())=FALSE,MyRowHidden(ROW()-1)=TRUE),0,(E473-E472)*unitsOfDHp+I472)</f>
        <v>185500</v>
      </c>
      <c r="J473">
        <f>IF(AND(MyRowHidden(ROW())=FALSE,MyRowHidden(ROW()-1)=TRUE),0,(G473-G472)*unitsOfExo+J472)</f>
        <v>-1040400</v>
      </c>
      <c r="K473" s="9">
        <f t="shared" si="43"/>
        <v>1040400</v>
      </c>
      <c r="L473">
        <f t="shared" si="44"/>
        <v>-854900</v>
      </c>
      <c r="M473">
        <f>IF(AND(MyRowHidden(ROW())=FALSE,MyRowHidden(ROW()-1)=TRUE),0,IF(MONTH(H473)&lt;&gt;MONTH(H472),M472+1,M472))</f>
        <v>21</v>
      </c>
      <c r="N473">
        <f t="shared" si="45"/>
        <v>185500</v>
      </c>
      <c r="O473">
        <f>IF(AND(MyRowHidden(ROW())=FALSE,MyRowHidden(ROW()-1)=TRUE),0,IF(M473&lt;totalMonths,(totalMonths-M473)/totalMonths *(I473-I472)+O472,0))</f>
        <v>0</v>
      </c>
      <c r="P473">
        <f>IF(AND(MyRowHidden(ROW())=FALSE,MyRowHidden(ROW()-1)=TRUE),0,IF(M473&lt;totalMonths,(totalMonths-M473)/totalMonths *(J473-J472)+P472,0))</f>
        <v>0</v>
      </c>
      <c r="Q473">
        <f>IF(AND(MyRowHidden(ROW())=FALSE,MyRowHidden(ROW()-1)=TRUE),0,IF(M473&lt;totalMonths,(totalMonths-M473)/totalMonths *(K473-K472)+Q472,0))</f>
        <v>0</v>
      </c>
      <c r="R473">
        <f t="shared" si="46"/>
        <v>185500</v>
      </c>
      <c r="S473">
        <f t="shared" si="47"/>
        <v>0</v>
      </c>
    </row>
    <row r="474" spans="1:19" hidden="1" x14ac:dyDescent="0.25">
      <c r="A474" s="1"/>
      <c r="C474" s="1"/>
      <c r="D474" s="1">
        <v>41946</v>
      </c>
      <c r="E474">
        <v>28109</v>
      </c>
      <c r="F474" s="1">
        <v>41946</v>
      </c>
      <c r="G474">
        <v>-1775</v>
      </c>
      <c r="H474" s="1">
        <f t="shared" si="42"/>
        <v>41946</v>
      </c>
      <c r="I474">
        <f>IF(AND(MyRowHidden(ROW())=FALSE,MyRowHidden(ROW()-1)=TRUE),0,(E474-E473)*unitsOfDHp+I473)</f>
        <v>189350</v>
      </c>
      <c r="J474">
        <f>IF(AND(MyRowHidden(ROW())=FALSE,MyRowHidden(ROW()-1)=TRUE),0,(G474-G473)*unitsOfExo+J473)</f>
        <v>-1058400</v>
      </c>
      <c r="K474" s="9">
        <f t="shared" si="43"/>
        <v>1058400</v>
      </c>
      <c r="L474">
        <f t="shared" si="44"/>
        <v>-869050</v>
      </c>
      <c r="M474">
        <f>IF(AND(MyRowHidden(ROW())=FALSE,MyRowHidden(ROW()-1)=TRUE),0,IF(MONTH(H474)&lt;&gt;MONTH(H473),M473+1,M473))</f>
        <v>22</v>
      </c>
      <c r="N474">
        <f t="shared" si="45"/>
        <v>189350</v>
      </c>
      <c r="O474">
        <f>IF(AND(MyRowHidden(ROW())=FALSE,MyRowHidden(ROW()-1)=TRUE),0,IF(M474&lt;totalMonths,(totalMonths-M474)/totalMonths *(I474-I473)+O473,0))</f>
        <v>0</v>
      </c>
      <c r="P474">
        <f>IF(AND(MyRowHidden(ROW())=FALSE,MyRowHidden(ROW()-1)=TRUE),0,IF(M474&lt;totalMonths,(totalMonths-M474)/totalMonths *(J474-J473)+P473,0))</f>
        <v>0</v>
      </c>
      <c r="Q474">
        <f>IF(AND(MyRowHidden(ROW())=FALSE,MyRowHidden(ROW()-1)=TRUE),0,IF(M474&lt;totalMonths,(totalMonths-M474)/totalMonths *(K474-K473)+Q473,0))</f>
        <v>0</v>
      </c>
      <c r="R474">
        <f t="shared" si="46"/>
        <v>189350</v>
      </c>
      <c r="S474">
        <f t="shared" si="47"/>
        <v>0</v>
      </c>
    </row>
    <row r="475" spans="1:19" hidden="1" x14ac:dyDescent="0.25">
      <c r="A475" s="1"/>
      <c r="C475" s="1"/>
      <c r="D475" s="1">
        <v>41947</v>
      </c>
      <c r="E475">
        <v>28363</v>
      </c>
      <c r="F475" s="1">
        <v>41947</v>
      </c>
      <c r="G475">
        <v>-2062.5</v>
      </c>
      <c r="H475" s="1">
        <f t="shared" si="42"/>
        <v>41947</v>
      </c>
      <c r="I475">
        <f>IF(AND(MyRowHidden(ROW())=FALSE,MyRowHidden(ROW()-1)=TRUE),0,(E475-E474)*unitsOfDHp+I474)</f>
        <v>198240</v>
      </c>
      <c r="J475">
        <f>IF(AND(MyRowHidden(ROW())=FALSE,MyRowHidden(ROW()-1)=TRUE),0,(G475-G474)*unitsOfExo+J474)</f>
        <v>-1141200</v>
      </c>
      <c r="K475" s="9">
        <f t="shared" si="43"/>
        <v>1141200</v>
      </c>
      <c r="L475">
        <f t="shared" si="44"/>
        <v>-942960</v>
      </c>
      <c r="M475">
        <f>IF(AND(MyRowHidden(ROW())=FALSE,MyRowHidden(ROW()-1)=TRUE),0,IF(MONTH(H475)&lt;&gt;MONTH(H474),M474+1,M474))</f>
        <v>22</v>
      </c>
      <c r="N475">
        <f t="shared" si="45"/>
        <v>198240</v>
      </c>
      <c r="O475">
        <f>IF(AND(MyRowHidden(ROW())=FALSE,MyRowHidden(ROW()-1)=TRUE),0,IF(M475&lt;totalMonths,(totalMonths-M475)/totalMonths *(I475-I474)+O474,0))</f>
        <v>0</v>
      </c>
      <c r="P475">
        <f>IF(AND(MyRowHidden(ROW())=FALSE,MyRowHidden(ROW()-1)=TRUE),0,IF(M475&lt;totalMonths,(totalMonths-M475)/totalMonths *(J475-J474)+P474,0))</f>
        <v>0</v>
      </c>
      <c r="Q475">
        <f>IF(AND(MyRowHidden(ROW())=FALSE,MyRowHidden(ROW()-1)=TRUE),0,IF(M475&lt;totalMonths,(totalMonths-M475)/totalMonths *(K475-K474)+Q474,0))</f>
        <v>0</v>
      </c>
      <c r="R475">
        <f t="shared" si="46"/>
        <v>198240</v>
      </c>
      <c r="S475">
        <f t="shared" si="47"/>
        <v>0</v>
      </c>
    </row>
    <row r="476" spans="1:19" hidden="1" x14ac:dyDescent="0.25">
      <c r="A476" s="1"/>
      <c r="C476" s="1"/>
      <c r="D476" s="1">
        <v>41948</v>
      </c>
      <c r="E476">
        <v>28248</v>
      </c>
      <c r="F476" s="1">
        <v>41948</v>
      </c>
      <c r="G476">
        <v>-1887.5</v>
      </c>
      <c r="H476" s="1">
        <f t="shared" si="42"/>
        <v>41948</v>
      </c>
      <c r="I476">
        <f>IF(AND(MyRowHidden(ROW())=FALSE,MyRowHidden(ROW()-1)=TRUE),0,(E476-E475)*unitsOfDHp+I475)</f>
        <v>194215</v>
      </c>
      <c r="J476">
        <f>IF(AND(MyRowHidden(ROW())=FALSE,MyRowHidden(ROW()-1)=TRUE),0,(G476-G475)*unitsOfExo+J475)</f>
        <v>-1090800</v>
      </c>
      <c r="K476" s="9">
        <f t="shared" si="43"/>
        <v>1090800</v>
      </c>
      <c r="L476">
        <f t="shared" si="44"/>
        <v>-896585</v>
      </c>
      <c r="M476">
        <f>IF(AND(MyRowHidden(ROW())=FALSE,MyRowHidden(ROW()-1)=TRUE),0,IF(MONTH(H476)&lt;&gt;MONTH(H475),M475+1,M475))</f>
        <v>22</v>
      </c>
      <c r="N476">
        <f t="shared" si="45"/>
        <v>194215</v>
      </c>
      <c r="O476">
        <f>IF(AND(MyRowHidden(ROW())=FALSE,MyRowHidden(ROW()-1)=TRUE),0,IF(M476&lt;totalMonths,(totalMonths-M476)/totalMonths *(I476-I475)+O475,0))</f>
        <v>0</v>
      </c>
      <c r="P476">
        <f>IF(AND(MyRowHidden(ROW())=FALSE,MyRowHidden(ROW()-1)=TRUE),0,IF(M476&lt;totalMonths,(totalMonths-M476)/totalMonths *(J476-J475)+P475,0))</f>
        <v>0</v>
      </c>
      <c r="Q476">
        <f>IF(AND(MyRowHidden(ROW())=FALSE,MyRowHidden(ROW()-1)=TRUE),0,IF(M476&lt;totalMonths,(totalMonths-M476)/totalMonths *(K476-K475)+Q475,0))</f>
        <v>0</v>
      </c>
      <c r="R476">
        <f t="shared" si="46"/>
        <v>194215</v>
      </c>
      <c r="S476">
        <f t="shared" si="47"/>
        <v>0</v>
      </c>
    </row>
    <row r="477" spans="1:19" hidden="1" x14ac:dyDescent="0.25">
      <c r="A477" s="1"/>
      <c r="C477" s="1"/>
      <c r="D477" s="1">
        <v>41949</v>
      </c>
      <c r="E477">
        <v>28248</v>
      </c>
      <c r="F477" s="1">
        <v>41949</v>
      </c>
      <c r="G477">
        <v>-1762.5</v>
      </c>
      <c r="H477" s="1">
        <f t="shared" si="42"/>
        <v>41949</v>
      </c>
      <c r="I477">
        <f>IF(AND(MyRowHidden(ROW())=FALSE,MyRowHidden(ROW()-1)=TRUE),0,(E477-E476)*unitsOfDHp+I476)</f>
        <v>194215</v>
      </c>
      <c r="J477">
        <f>IF(AND(MyRowHidden(ROW())=FALSE,MyRowHidden(ROW()-1)=TRUE),0,(G477-G476)*unitsOfExo+J476)</f>
        <v>-1054800</v>
      </c>
      <c r="K477" s="9">
        <f t="shared" si="43"/>
        <v>1054800</v>
      </c>
      <c r="L477">
        <f t="shared" si="44"/>
        <v>-860585</v>
      </c>
      <c r="M477">
        <f>IF(AND(MyRowHidden(ROW())=FALSE,MyRowHidden(ROW()-1)=TRUE),0,IF(MONTH(H477)&lt;&gt;MONTH(H476),M476+1,M476))</f>
        <v>22</v>
      </c>
      <c r="N477">
        <f t="shared" si="45"/>
        <v>194215</v>
      </c>
      <c r="O477">
        <f>IF(AND(MyRowHidden(ROW())=FALSE,MyRowHidden(ROW()-1)=TRUE),0,IF(M477&lt;totalMonths,(totalMonths-M477)/totalMonths *(I477-I476)+O476,0))</f>
        <v>0</v>
      </c>
      <c r="P477">
        <f>IF(AND(MyRowHidden(ROW())=FALSE,MyRowHidden(ROW()-1)=TRUE),0,IF(M477&lt;totalMonths,(totalMonths-M477)/totalMonths *(J477-J476)+P476,0))</f>
        <v>0</v>
      </c>
      <c r="Q477">
        <f>IF(AND(MyRowHidden(ROW())=FALSE,MyRowHidden(ROW()-1)=TRUE),0,IF(M477&lt;totalMonths,(totalMonths-M477)/totalMonths *(K477-K476)+Q476,0))</f>
        <v>0</v>
      </c>
      <c r="R477">
        <f t="shared" si="46"/>
        <v>194215</v>
      </c>
      <c r="S477">
        <f t="shared" si="47"/>
        <v>0</v>
      </c>
    </row>
    <row r="478" spans="1:19" hidden="1" x14ac:dyDescent="0.25">
      <c r="A478" s="1"/>
      <c r="C478" s="1"/>
      <c r="D478" s="1">
        <v>41950</v>
      </c>
      <c r="E478">
        <v>28274</v>
      </c>
      <c r="F478" s="1">
        <v>41950</v>
      </c>
      <c r="G478">
        <v>-1937.5</v>
      </c>
      <c r="H478" s="1">
        <f t="shared" si="42"/>
        <v>41950</v>
      </c>
      <c r="I478">
        <f>IF(AND(MyRowHidden(ROW())=FALSE,MyRowHidden(ROW()-1)=TRUE),0,(E478-E477)*unitsOfDHp+I477)</f>
        <v>195125</v>
      </c>
      <c r="J478">
        <f>IF(AND(MyRowHidden(ROW())=FALSE,MyRowHidden(ROW()-1)=TRUE),0,(G478-G477)*unitsOfExo+J477)</f>
        <v>-1105200</v>
      </c>
      <c r="K478" s="9">
        <f t="shared" si="43"/>
        <v>1105200</v>
      </c>
      <c r="L478">
        <f t="shared" si="44"/>
        <v>-910075</v>
      </c>
      <c r="M478">
        <f>IF(AND(MyRowHidden(ROW())=FALSE,MyRowHidden(ROW()-1)=TRUE),0,IF(MONTH(H478)&lt;&gt;MONTH(H477),M477+1,M477))</f>
        <v>22</v>
      </c>
      <c r="N478">
        <f t="shared" si="45"/>
        <v>195125</v>
      </c>
      <c r="O478">
        <f>IF(AND(MyRowHidden(ROW())=FALSE,MyRowHidden(ROW()-1)=TRUE),0,IF(M478&lt;totalMonths,(totalMonths-M478)/totalMonths *(I478-I477)+O477,0))</f>
        <v>0</v>
      </c>
      <c r="P478">
        <f>IF(AND(MyRowHidden(ROW())=FALSE,MyRowHidden(ROW()-1)=TRUE),0,IF(M478&lt;totalMonths,(totalMonths-M478)/totalMonths *(J478-J477)+P477,0))</f>
        <v>0</v>
      </c>
      <c r="Q478">
        <f>IF(AND(MyRowHidden(ROW())=FALSE,MyRowHidden(ROW()-1)=TRUE),0,IF(M478&lt;totalMonths,(totalMonths-M478)/totalMonths *(K478-K477)+Q477,0))</f>
        <v>0</v>
      </c>
      <c r="R478">
        <f t="shared" si="46"/>
        <v>195125</v>
      </c>
      <c r="S478">
        <f t="shared" si="47"/>
        <v>0</v>
      </c>
    </row>
    <row r="479" spans="1:19" hidden="1" x14ac:dyDescent="0.25">
      <c r="A479" s="1"/>
      <c r="C479" s="1"/>
      <c r="D479" s="1">
        <v>41953</v>
      </c>
      <c r="E479">
        <v>28182</v>
      </c>
      <c r="F479" s="1">
        <v>41953</v>
      </c>
      <c r="G479">
        <v>-1812.5</v>
      </c>
      <c r="H479" s="1">
        <f t="shared" si="42"/>
        <v>41953</v>
      </c>
      <c r="I479">
        <f>IF(AND(MyRowHidden(ROW())=FALSE,MyRowHidden(ROW()-1)=TRUE),0,(E479-E478)*unitsOfDHp+I478)</f>
        <v>191905</v>
      </c>
      <c r="J479">
        <f>IF(AND(MyRowHidden(ROW())=FALSE,MyRowHidden(ROW()-1)=TRUE),0,(G479-G478)*unitsOfExo+J478)</f>
        <v>-1069200</v>
      </c>
      <c r="K479" s="9">
        <f t="shared" si="43"/>
        <v>1069200</v>
      </c>
      <c r="L479">
        <f t="shared" si="44"/>
        <v>-877295</v>
      </c>
      <c r="M479">
        <f>IF(AND(MyRowHidden(ROW())=FALSE,MyRowHidden(ROW()-1)=TRUE),0,IF(MONTH(H479)&lt;&gt;MONTH(H478),M478+1,M478))</f>
        <v>22</v>
      </c>
      <c r="N479">
        <f t="shared" si="45"/>
        <v>191905</v>
      </c>
      <c r="O479">
        <f>IF(AND(MyRowHidden(ROW())=FALSE,MyRowHidden(ROW()-1)=TRUE),0,IF(M479&lt;totalMonths,(totalMonths-M479)/totalMonths *(I479-I478)+O478,0))</f>
        <v>0</v>
      </c>
      <c r="P479">
        <f>IF(AND(MyRowHidden(ROW())=FALSE,MyRowHidden(ROW()-1)=TRUE),0,IF(M479&lt;totalMonths,(totalMonths-M479)/totalMonths *(J479-J478)+P478,0))</f>
        <v>0</v>
      </c>
      <c r="Q479">
        <f>IF(AND(MyRowHidden(ROW())=FALSE,MyRowHidden(ROW()-1)=TRUE),0,IF(M479&lt;totalMonths,(totalMonths-M479)/totalMonths *(K479-K478)+Q478,0))</f>
        <v>0</v>
      </c>
      <c r="R479">
        <f t="shared" si="46"/>
        <v>191905</v>
      </c>
      <c r="S479">
        <f t="shared" si="47"/>
        <v>0</v>
      </c>
    </row>
    <row r="480" spans="1:19" hidden="1" x14ac:dyDescent="0.25">
      <c r="A480" s="1"/>
      <c r="C480" s="1"/>
      <c r="D480" s="1">
        <v>41955</v>
      </c>
      <c r="E480">
        <v>28147</v>
      </c>
      <c r="F480" s="1">
        <v>41955</v>
      </c>
      <c r="G480">
        <v>-1450</v>
      </c>
      <c r="H480" s="1">
        <f t="shared" si="42"/>
        <v>41955</v>
      </c>
      <c r="I480">
        <f>IF(AND(MyRowHidden(ROW())=FALSE,MyRowHidden(ROW()-1)=TRUE),0,(E480-E479)*unitsOfDHp+I479)</f>
        <v>190680</v>
      </c>
      <c r="J480">
        <f>IF(AND(MyRowHidden(ROW())=FALSE,MyRowHidden(ROW()-1)=TRUE),0,(G480-G479)*unitsOfExo+J479)</f>
        <v>-964800</v>
      </c>
      <c r="K480" s="9">
        <f t="shared" si="43"/>
        <v>964800</v>
      </c>
      <c r="L480">
        <f t="shared" si="44"/>
        <v>-774120</v>
      </c>
      <c r="M480">
        <f>IF(AND(MyRowHidden(ROW())=FALSE,MyRowHidden(ROW()-1)=TRUE),0,IF(MONTH(H480)&lt;&gt;MONTH(H479),M479+1,M479))</f>
        <v>22</v>
      </c>
      <c r="N480">
        <f t="shared" si="45"/>
        <v>190680</v>
      </c>
      <c r="O480">
        <f>IF(AND(MyRowHidden(ROW())=FALSE,MyRowHidden(ROW()-1)=TRUE),0,IF(M480&lt;totalMonths,(totalMonths-M480)/totalMonths *(I480-I479)+O479,0))</f>
        <v>0</v>
      </c>
      <c r="P480">
        <f>IF(AND(MyRowHidden(ROW())=FALSE,MyRowHidden(ROW()-1)=TRUE),0,IF(M480&lt;totalMonths,(totalMonths-M480)/totalMonths *(J480-J479)+P479,0))</f>
        <v>0</v>
      </c>
      <c r="Q480">
        <f>IF(AND(MyRowHidden(ROW())=FALSE,MyRowHidden(ROW()-1)=TRUE),0,IF(M480&lt;totalMonths,(totalMonths-M480)/totalMonths *(K480-K479)+Q479,0))</f>
        <v>0</v>
      </c>
      <c r="R480">
        <f t="shared" si="46"/>
        <v>190680</v>
      </c>
      <c r="S480">
        <f t="shared" si="47"/>
        <v>0</v>
      </c>
    </row>
    <row r="481" spans="1:19" hidden="1" x14ac:dyDescent="0.25">
      <c r="A481" s="1"/>
      <c r="C481" s="1"/>
      <c r="D481" s="1">
        <v>41956</v>
      </c>
      <c r="E481">
        <v>27854</v>
      </c>
      <c r="F481" s="1">
        <v>41956</v>
      </c>
      <c r="G481">
        <v>-1187.5</v>
      </c>
      <c r="H481" s="1">
        <f t="shared" si="42"/>
        <v>41956</v>
      </c>
      <c r="I481">
        <f>IF(AND(MyRowHidden(ROW())=FALSE,MyRowHidden(ROW()-1)=TRUE),0,(E481-E480)*unitsOfDHp+I480)</f>
        <v>180425</v>
      </c>
      <c r="J481">
        <f>IF(AND(MyRowHidden(ROW())=FALSE,MyRowHidden(ROW()-1)=TRUE),0,(G481-G480)*unitsOfExo+J480)</f>
        <v>-889200</v>
      </c>
      <c r="K481" s="9">
        <f t="shared" si="43"/>
        <v>889200</v>
      </c>
      <c r="L481">
        <f t="shared" si="44"/>
        <v>-708775</v>
      </c>
      <c r="M481">
        <f>IF(AND(MyRowHidden(ROW())=FALSE,MyRowHidden(ROW()-1)=TRUE),0,IF(MONTH(H481)&lt;&gt;MONTH(H480),M480+1,M480))</f>
        <v>22</v>
      </c>
      <c r="N481">
        <f t="shared" si="45"/>
        <v>180425</v>
      </c>
      <c r="O481">
        <f>IF(AND(MyRowHidden(ROW())=FALSE,MyRowHidden(ROW()-1)=TRUE),0,IF(M481&lt;totalMonths,(totalMonths-M481)/totalMonths *(I481-I480)+O480,0))</f>
        <v>0</v>
      </c>
      <c r="P481">
        <f>IF(AND(MyRowHidden(ROW())=FALSE,MyRowHidden(ROW()-1)=TRUE),0,IF(M481&lt;totalMonths,(totalMonths-M481)/totalMonths *(J481-J480)+P480,0))</f>
        <v>0</v>
      </c>
      <c r="Q481">
        <f>IF(AND(MyRowHidden(ROW())=FALSE,MyRowHidden(ROW()-1)=TRUE),0,IF(M481&lt;totalMonths,(totalMonths-M481)/totalMonths *(K481-K480)+Q480,0))</f>
        <v>0</v>
      </c>
      <c r="R481">
        <f t="shared" si="46"/>
        <v>180425</v>
      </c>
      <c r="S481">
        <f t="shared" si="47"/>
        <v>0</v>
      </c>
    </row>
    <row r="482" spans="1:19" hidden="1" x14ac:dyDescent="0.25">
      <c r="A482" s="1"/>
      <c r="C482" s="1"/>
      <c r="D482" s="1">
        <v>41957</v>
      </c>
      <c r="E482">
        <v>27837</v>
      </c>
      <c r="F482" s="1">
        <v>41957</v>
      </c>
      <c r="G482">
        <v>-1187.5</v>
      </c>
      <c r="H482" s="1">
        <f t="shared" si="42"/>
        <v>41957</v>
      </c>
      <c r="I482">
        <f>IF(AND(MyRowHidden(ROW())=FALSE,MyRowHidden(ROW()-1)=TRUE),0,(E482-E481)*unitsOfDHp+I481)</f>
        <v>179830</v>
      </c>
      <c r="J482">
        <f>IF(AND(MyRowHidden(ROW())=FALSE,MyRowHidden(ROW()-1)=TRUE),0,(G482-G481)*unitsOfExo+J481)</f>
        <v>-889200</v>
      </c>
      <c r="K482" s="9">
        <f t="shared" si="43"/>
        <v>889200</v>
      </c>
      <c r="L482">
        <f t="shared" si="44"/>
        <v>-709370</v>
      </c>
      <c r="M482">
        <f>IF(AND(MyRowHidden(ROW())=FALSE,MyRowHidden(ROW()-1)=TRUE),0,IF(MONTH(H482)&lt;&gt;MONTH(H481),M481+1,M481))</f>
        <v>22</v>
      </c>
      <c r="N482">
        <f t="shared" si="45"/>
        <v>179830</v>
      </c>
      <c r="O482">
        <f>IF(AND(MyRowHidden(ROW())=FALSE,MyRowHidden(ROW()-1)=TRUE),0,IF(M482&lt;totalMonths,(totalMonths-M482)/totalMonths *(I482-I481)+O481,0))</f>
        <v>0</v>
      </c>
      <c r="P482">
        <f>IF(AND(MyRowHidden(ROW())=FALSE,MyRowHidden(ROW()-1)=TRUE),0,IF(M482&lt;totalMonths,(totalMonths-M482)/totalMonths *(J482-J481)+P481,0))</f>
        <v>0</v>
      </c>
      <c r="Q482">
        <f>IF(AND(MyRowHidden(ROW())=FALSE,MyRowHidden(ROW()-1)=TRUE),0,IF(M482&lt;totalMonths,(totalMonths-M482)/totalMonths *(K482-K481)+Q481,0))</f>
        <v>0</v>
      </c>
      <c r="R482">
        <f t="shared" si="46"/>
        <v>179830</v>
      </c>
      <c r="S482">
        <f t="shared" si="47"/>
        <v>0</v>
      </c>
    </row>
    <row r="483" spans="1:19" hidden="1" x14ac:dyDescent="0.25">
      <c r="A483" s="1"/>
      <c r="C483" s="1"/>
      <c r="D483" s="1">
        <v>41960</v>
      </c>
      <c r="E483">
        <v>28198</v>
      </c>
      <c r="F483" s="1">
        <v>41960</v>
      </c>
      <c r="G483">
        <v>-1487.5</v>
      </c>
      <c r="H483" s="1">
        <f t="shared" si="42"/>
        <v>41960</v>
      </c>
      <c r="I483">
        <f>IF(AND(MyRowHidden(ROW())=FALSE,MyRowHidden(ROW()-1)=TRUE),0,(E483-E482)*unitsOfDHp+I482)</f>
        <v>192465</v>
      </c>
      <c r="J483">
        <f>IF(AND(MyRowHidden(ROW())=FALSE,MyRowHidden(ROW()-1)=TRUE),0,(G483-G482)*unitsOfExo+J482)</f>
        <v>-975600</v>
      </c>
      <c r="K483" s="9">
        <f t="shared" si="43"/>
        <v>975600</v>
      </c>
      <c r="L483">
        <f t="shared" si="44"/>
        <v>-783135</v>
      </c>
      <c r="M483">
        <f>IF(AND(MyRowHidden(ROW())=FALSE,MyRowHidden(ROW()-1)=TRUE),0,IF(MONTH(H483)&lt;&gt;MONTH(H482),M482+1,M482))</f>
        <v>22</v>
      </c>
      <c r="N483">
        <f t="shared" si="45"/>
        <v>192465</v>
      </c>
      <c r="O483">
        <f>IF(AND(MyRowHidden(ROW())=FALSE,MyRowHidden(ROW()-1)=TRUE),0,IF(M483&lt;totalMonths,(totalMonths-M483)/totalMonths *(I483-I482)+O482,0))</f>
        <v>0</v>
      </c>
      <c r="P483">
        <f>IF(AND(MyRowHidden(ROW())=FALSE,MyRowHidden(ROW()-1)=TRUE),0,IF(M483&lt;totalMonths,(totalMonths-M483)/totalMonths *(J483-J482)+P482,0))</f>
        <v>0</v>
      </c>
      <c r="Q483">
        <f>IF(AND(MyRowHidden(ROW())=FALSE,MyRowHidden(ROW()-1)=TRUE),0,IF(M483&lt;totalMonths,(totalMonths-M483)/totalMonths *(K483-K482)+Q482,0))</f>
        <v>0</v>
      </c>
      <c r="R483">
        <f t="shared" si="46"/>
        <v>192465</v>
      </c>
      <c r="S483">
        <f t="shared" si="47"/>
        <v>0</v>
      </c>
    </row>
    <row r="484" spans="1:19" hidden="1" x14ac:dyDescent="0.25">
      <c r="A484" s="1"/>
      <c r="C484" s="1"/>
      <c r="D484" s="1">
        <v>41961</v>
      </c>
      <c r="E484">
        <v>28379</v>
      </c>
      <c r="F484" s="1">
        <v>41961</v>
      </c>
      <c r="G484">
        <v>-1675</v>
      </c>
      <c r="H484" s="1">
        <f t="shared" si="42"/>
        <v>41961</v>
      </c>
      <c r="I484">
        <f>IF(AND(MyRowHidden(ROW())=FALSE,MyRowHidden(ROW()-1)=TRUE),0,(E484-E483)*unitsOfDHp+I483)</f>
        <v>198800</v>
      </c>
      <c r="J484">
        <f>IF(AND(MyRowHidden(ROW())=FALSE,MyRowHidden(ROW()-1)=TRUE),0,(G484-G483)*unitsOfExo+J483)</f>
        <v>-1029600</v>
      </c>
      <c r="K484" s="9">
        <f t="shared" si="43"/>
        <v>1029600</v>
      </c>
      <c r="L484">
        <f t="shared" si="44"/>
        <v>-830800</v>
      </c>
      <c r="M484">
        <f>IF(AND(MyRowHidden(ROW())=FALSE,MyRowHidden(ROW()-1)=TRUE),0,IF(MONTH(H484)&lt;&gt;MONTH(H483),M483+1,M483))</f>
        <v>22</v>
      </c>
      <c r="N484">
        <f t="shared" si="45"/>
        <v>198800</v>
      </c>
      <c r="O484">
        <f>IF(AND(MyRowHidden(ROW())=FALSE,MyRowHidden(ROW()-1)=TRUE),0,IF(M484&lt;totalMonths,(totalMonths-M484)/totalMonths *(I484-I483)+O483,0))</f>
        <v>0</v>
      </c>
      <c r="P484">
        <f>IF(AND(MyRowHidden(ROW())=FALSE,MyRowHidden(ROW()-1)=TRUE),0,IF(M484&lt;totalMonths,(totalMonths-M484)/totalMonths *(J484-J483)+P483,0))</f>
        <v>0</v>
      </c>
      <c r="Q484">
        <f>IF(AND(MyRowHidden(ROW())=FALSE,MyRowHidden(ROW()-1)=TRUE),0,IF(M484&lt;totalMonths,(totalMonths-M484)/totalMonths *(K484-K483)+Q483,0))</f>
        <v>0</v>
      </c>
      <c r="R484">
        <f t="shared" si="46"/>
        <v>198800</v>
      </c>
      <c r="S484">
        <f t="shared" si="47"/>
        <v>0</v>
      </c>
    </row>
    <row r="485" spans="1:19" hidden="1" x14ac:dyDescent="0.25">
      <c r="A485" s="1"/>
      <c r="C485" s="1"/>
      <c r="D485" s="1">
        <v>41962</v>
      </c>
      <c r="E485">
        <v>28877</v>
      </c>
      <c r="F485" s="1">
        <v>41962</v>
      </c>
      <c r="G485">
        <v>-2162.5</v>
      </c>
      <c r="H485" s="1">
        <f t="shared" si="42"/>
        <v>41962</v>
      </c>
      <c r="I485">
        <f>IF(AND(MyRowHidden(ROW())=FALSE,MyRowHidden(ROW()-1)=TRUE),0,(E485-E484)*unitsOfDHp+I484)</f>
        <v>216230</v>
      </c>
      <c r="J485">
        <f>IF(AND(MyRowHidden(ROW())=FALSE,MyRowHidden(ROW()-1)=TRUE),0,(G485-G484)*unitsOfExo+J484)</f>
        <v>-1170000</v>
      </c>
      <c r="K485" s="9">
        <f t="shared" si="43"/>
        <v>1170000</v>
      </c>
      <c r="L485">
        <f t="shared" si="44"/>
        <v>-953770</v>
      </c>
      <c r="M485">
        <f>IF(AND(MyRowHidden(ROW())=FALSE,MyRowHidden(ROW()-1)=TRUE),0,IF(MONTH(H485)&lt;&gt;MONTH(H484),M484+1,M484))</f>
        <v>22</v>
      </c>
      <c r="N485">
        <f t="shared" si="45"/>
        <v>216230</v>
      </c>
      <c r="O485">
        <f>IF(AND(MyRowHidden(ROW())=FALSE,MyRowHidden(ROW()-1)=TRUE),0,IF(M485&lt;totalMonths,(totalMonths-M485)/totalMonths *(I485-I484)+O484,0))</f>
        <v>0</v>
      </c>
      <c r="P485">
        <f>IF(AND(MyRowHidden(ROW())=FALSE,MyRowHidden(ROW()-1)=TRUE),0,IF(M485&lt;totalMonths,(totalMonths-M485)/totalMonths *(J485-J484)+P484,0))</f>
        <v>0</v>
      </c>
      <c r="Q485">
        <f>IF(AND(MyRowHidden(ROW())=FALSE,MyRowHidden(ROW()-1)=TRUE),0,IF(M485&lt;totalMonths,(totalMonths-M485)/totalMonths *(K485-K484)+Q484,0))</f>
        <v>0</v>
      </c>
      <c r="R485">
        <f t="shared" si="46"/>
        <v>216230</v>
      </c>
      <c r="S485">
        <f t="shared" si="47"/>
        <v>0</v>
      </c>
    </row>
    <row r="486" spans="1:19" hidden="1" x14ac:dyDescent="0.25">
      <c r="A486" s="1"/>
      <c r="C486" s="1"/>
      <c r="D486" s="1">
        <v>41963</v>
      </c>
      <c r="E486">
        <v>29408</v>
      </c>
      <c r="F486" s="1">
        <v>41963</v>
      </c>
      <c r="G486">
        <v>-1700</v>
      </c>
      <c r="H486" s="1">
        <f t="shared" si="42"/>
        <v>41963</v>
      </c>
      <c r="I486">
        <f>IF(AND(MyRowHidden(ROW())=FALSE,MyRowHidden(ROW()-1)=TRUE),0,(E486-E485)*unitsOfDHp+I485)</f>
        <v>234815</v>
      </c>
      <c r="J486">
        <f>IF(AND(MyRowHidden(ROW())=FALSE,MyRowHidden(ROW()-1)=TRUE),0,(G486-G485)*unitsOfExo+J485)</f>
        <v>-1036800</v>
      </c>
      <c r="K486" s="9">
        <f t="shared" si="43"/>
        <v>1036800</v>
      </c>
      <c r="L486">
        <f t="shared" si="44"/>
        <v>-801985</v>
      </c>
      <c r="M486">
        <f>IF(AND(MyRowHidden(ROW())=FALSE,MyRowHidden(ROW()-1)=TRUE),0,IF(MONTH(H486)&lt;&gt;MONTH(H485),M485+1,M485))</f>
        <v>22</v>
      </c>
      <c r="N486">
        <f t="shared" si="45"/>
        <v>234815</v>
      </c>
      <c r="O486">
        <f>IF(AND(MyRowHidden(ROW())=FALSE,MyRowHidden(ROW()-1)=TRUE),0,IF(M486&lt;totalMonths,(totalMonths-M486)/totalMonths *(I486-I485)+O485,0))</f>
        <v>0</v>
      </c>
      <c r="P486">
        <f>IF(AND(MyRowHidden(ROW())=FALSE,MyRowHidden(ROW()-1)=TRUE),0,IF(M486&lt;totalMonths,(totalMonths-M486)/totalMonths *(J486-J485)+P485,0))</f>
        <v>0</v>
      </c>
      <c r="Q486">
        <f>IF(AND(MyRowHidden(ROW())=FALSE,MyRowHidden(ROW()-1)=TRUE),0,IF(M486&lt;totalMonths,(totalMonths-M486)/totalMonths *(K486-K485)+Q485,0))</f>
        <v>0</v>
      </c>
      <c r="R486">
        <f t="shared" si="46"/>
        <v>234815</v>
      </c>
      <c r="S486">
        <f t="shared" si="47"/>
        <v>0</v>
      </c>
    </row>
    <row r="487" spans="1:19" hidden="1" x14ac:dyDescent="0.25">
      <c r="A487" s="1"/>
      <c r="C487" s="1"/>
      <c r="D487" s="1">
        <v>41964</v>
      </c>
      <c r="E487">
        <v>29707</v>
      </c>
      <c r="F487" s="1">
        <v>41964</v>
      </c>
      <c r="G487">
        <v>-1500</v>
      </c>
      <c r="H487" s="1">
        <f t="shared" si="42"/>
        <v>41964</v>
      </c>
      <c r="I487">
        <f>IF(AND(MyRowHidden(ROW())=FALSE,MyRowHidden(ROW()-1)=TRUE),0,(E487-E486)*unitsOfDHp+I486)</f>
        <v>245280</v>
      </c>
      <c r="J487">
        <f>IF(AND(MyRowHidden(ROW())=FALSE,MyRowHidden(ROW()-1)=TRUE),0,(G487-G486)*unitsOfExo+J486)</f>
        <v>-979200</v>
      </c>
      <c r="K487" s="9">
        <f t="shared" si="43"/>
        <v>979200</v>
      </c>
      <c r="L487">
        <f t="shared" si="44"/>
        <v>-733920</v>
      </c>
      <c r="M487">
        <f>IF(AND(MyRowHidden(ROW())=FALSE,MyRowHidden(ROW()-1)=TRUE),0,IF(MONTH(H487)&lt;&gt;MONTH(H486),M486+1,M486))</f>
        <v>22</v>
      </c>
      <c r="N487">
        <f t="shared" si="45"/>
        <v>245280</v>
      </c>
      <c r="O487">
        <f>IF(AND(MyRowHidden(ROW())=FALSE,MyRowHidden(ROW()-1)=TRUE),0,IF(M487&lt;totalMonths,(totalMonths-M487)/totalMonths *(I487-I486)+O486,0))</f>
        <v>0</v>
      </c>
      <c r="P487">
        <f>IF(AND(MyRowHidden(ROW())=FALSE,MyRowHidden(ROW()-1)=TRUE),0,IF(M487&lt;totalMonths,(totalMonths-M487)/totalMonths *(J487-J486)+P486,0))</f>
        <v>0</v>
      </c>
      <c r="Q487">
        <f>IF(AND(MyRowHidden(ROW())=FALSE,MyRowHidden(ROW()-1)=TRUE),0,IF(M487&lt;totalMonths,(totalMonths-M487)/totalMonths *(K487-K486)+Q486,0))</f>
        <v>0</v>
      </c>
      <c r="R487">
        <f t="shared" si="46"/>
        <v>245280</v>
      </c>
      <c r="S487">
        <f t="shared" si="47"/>
        <v>0</v>
      </c>
    </row>
    <row r="488" spans="1:19" hidden="1" x14ac:dyDescent="0.25">
      <c r="A488" s="1"/>
      <c r="C488" s="1"/>
      <c r="D488" s="1">
        <v>41967</v>
      </c>
      <c r="E488">
        <v>29447</v>
      </c>
      <c r="F488" s="1">
        <v>41967</v>
      </c>
      <c r="G488">
        <v>-2012.5</v>
      </c>
      <c r="H488" s="1">
        <f t="shared" si="42"/>
        <v>41967</v>
      </c>
      <c r="I488">
        <f>IF(AND(MyRowHidden(ROW())=FALSE,MyRowHidden(ROW()-1)=TRUE),0,(E488-E487)*unitsOfDHp+I487)</f>
        <v>236180</v>
      </c>
      <c r="J488">
        <f>IF(AND(MyRowHidden(ROW())=FALSE,MyRowHidden(ROW()-1)=TRUE),0,(G488-G487)*unitsOfExo+J487)</f>
        <v>-1126800</v>
      </c>
      <c r="K488" s="9">
        <f t="shared" si="43"/>
        <v>1126800</v>
      </c>
      <c r="L488">
        <f t="shared" si="44"/>
        <v>-890620</v>
      </c>
      <c r="M488">
        <f>IF(AND(MyRowHidden(ROW())=FALSE,MyRowHidden(ROW()-1)=TRUE),0,IF(MONTH(H488)&lt;&gt;MONTH(H487),M487+1,M487))</f>
        <v>22</v>
      </c>
      <c r="N488">
        <f t="shared" si="45"/>
        <v>236180</v>
      </c>
      <c r="O488">
        <f>IF(AND(MyRowHidden(ROW())=FALSE,MyRowHidden(ROW()-1)=TRUE),0,IF(M488&lt;totalMonths,(totalMonths-M488)/totalMonths *(I488-I487)+O487,0))</f>
        <v>0</v>
      </c>
      <c r="P488">
        <f>IF(AND(MyRowHidden(ROW())=FALSE,MyRowHidden(ROW()-1)=TRUE),0,IF(M488&lt;totalMonths,(totalMonths-M488)/totalMonths *(J488-J487)+P487,0))</f>
        <v>0</v>
      </c>
      <c r="Q488">
        <f>IF(AND(MyRowHidden(ROW())=FALSE,MyRowHidden(ROW()-1)=TRUE),0,IF(M488&lt;totalMonths,(totalMonths-M488)/totalMonths *(K488-K487)+Q487,0))</f>
        <v>0</v>
      </c>
      <c r="R488">
        <f t="shared" si="46"/>
        <v>236180</v>
      </c>
      <c r="S488">
        <f t="shared" si="47"/>
        <v>0</v>
      </c>
    </row>
    <row r="489" spans="1:19" hidden="1" x14ac:dyDescent="0.25">
      <c r="A489" s="1"/>
      <c r="C489" s="1"/>
      <c r="D489" s="1">
        <v>41968</v>
      </c>
      <c r="E489">
        <v>29397</v>
      </c>
      <c r="F489" s="1">
        <v>41968</v>
      </c>
      <c r="G489">
        <v>-1725</v>
      </c>
      <c r="H489" s="1">
        <f t="shared" si="42"/>
        <v>41968</v>
      </c>
      <c r="I489">
        <f>IF(AND(MyRowHidden(ROW())=FALSE,MyRowHidden(ROW()-1)=TRUE),0,(E489-E488)*unitsOfDHp+I488)</f>
        <v>234430</v>
      </c>
      <c r="J489">
        <f>IF(AND(MyRowHidden(ROW())=FALSE,MyRowHidden(ROW()-1)=TRUE),0,(G489-G488)*unitsOfExo+J488)</f>
        <v>-1044000</v>
      </c>
      <c r="K489" s="9">
        <f t="shared" si="43"/>
        <v>1044000</v>
      </c>
      <c r="L489">
        <f t="shared" si="44"/>
        <v>-809570</v>
      </c>
      <c r="M489">
        <f>IF(AND(MyRowHidden(ROW())=FALSE,MyRowHidden(ROW()-1)=TRUE),0,IF(MONTH(H489)&lt;&gt;MONTH(H488),M488+1,M488))</f>
        <v>22</v>
      </c>
      <c r="N489">
        <f t="shared" si="45"/>
        <v>234430</v>
      </c>
      <c r="O489">
        <f>IF(AND(MyRowHidden(ROW())=FALSE,MyRowHidden(ROW()-1)=TRUE),0,IF(M489&lt;totalMonths,(totalMonths-M489)/totalMonths *(I489-I488)+O488,0))</f>
        <v>0</v>
      </c>
      <c r="P489">
        <f>IF(AND(MyRowHidden(ROW())=FALSE,MyRowHidden(ROW()-1)=TRUE),0,IF(M489&lt;totalMonths,(totalMonths-M489)/totalMonths *(J489-J488)+P488,0))</f>
        <v>0</v>
      </c>
      <c r="Q489">
        <f>IF(AND(MyRowHidden(ROW())=FALSE,MyRowHidden(ROW()-1)=TRUE),0,IF(M489&lt;totalMonths,(totalMonths-M489)/totalMonths *(K489-K488)+Q488,0))</f>
        <v>0</v>
      </c>
      <c r="R489">
        <f t="shared" si="46"/>
        <v>234430</v>
      </c>
      <c r="S489">
        <f t="shared" si="47"/>
        <v>0</v>
      </c>
    </row>
    <row r="490" spans="1:19" hidden="1" x14ac:dyDescent="0.25">
      <c r="A490" s="1"/>
      <c r="C490" s="1"/>
      <c r="D490" s="1">
        <v>41969</v>
      </c>
      <c r="E490">
        <v>29226</v>
      </c>
      <c r="F490" s="1">
        <v>41969</v>
      </c>
      <c r="G490">
        <v>-1425</v>
      </c>
      <c r="H490" s="1">
        <f t="shared" si="42"/>
        <v>41969</v>
      </c>
      <c r="I490">
        <f>IF(AND(MyRowHidden(ROW())=FALSE,MyRowHidden(ROW()-1)=TRUE),0,(E490-E489)*unitsOfDHp+I489)</f>
        <v>228445</v>
      </c>
      <c r="J490">
        <f>IF(AND(MyRowHidden(ROW())=FALSE,MyRowHidden(ROW()-1)=TRUE),0,(G490-G489)*unitsOfExo+J489)</f>
        <v>-957600</v>
      </c>
      <c r="K490" s="9">
        <f t="shared" si="43"/>
        <v>957600</v>
      </c>
      <c r="L490">
        <f t="shared" si="44"/>
        <v>-729155</v>
      </c>
      <c r="M490">
        <f>IF(AND(MyRowHidden(ROW())=FALSE,MyRowHidden(ROW()-1)=TRUE),0,IF(MONTH(H490)&lt;&gt;MONTH(H489),M489+1,M489))</f>
        <v>22</v>
      </c>
      <c r="N490">
        <f t="shared" si="45"/>
        <v>228445</v>
      </c>
      <c r="O490">
        <f>IF(AND(MyRowHidden(ROW())=FALSE,MyRowHidden(ROW()-1)=TRUE),0,IF(M490&lt;totalMonths,(totalMonths-M490)/totalMonths *(I490-I489)+O489,0))</f>
        <v>0</v>
      </c>
      <c r="P490">
        <f>IF(AND(MyRowHidden(ROW())=FALSE,MyRowHidden(ROW()-1)=TRUE),0,IF(M490&lt;totalMonths,(totalMonths-M490)/totalMonths *(J490-J489)+P489,0))</f>
        <v>0</v>
      </c>
      <c r="Q490">
        <f>IF(AND(MyRowHidden(ROW())=FALSE,MyRowHidden(ROW()-1)=TRUE),0,IF(M490&lt;totalMonths,(totalMonths-M490)/totalMonths *(K490-K489)+Q489,0))</f>
        <v>0</v>
      </c>
      <c r="R490">
        <f t="shared" si="46"/>
        <v>228445</v>
      </c>
      <c r="S490">
        <f t="shared" si="47"/>
        <v>0</v>
      </c>
    </row>
    <row r="491" spans="1:19" hidden="1" x14ac:dyDescent="0.25">
      <c r="A491" s="1"/>
      <c r="C491" s="1"/>
      <c r="D491" s="1">
        <v>41971</v>
      </c>
      <c r="E491">
        <v>29281</v>
      </c>
      <c r="F491" s="1">
        <v>41971</v>
      </c>
      <c r="G491">
        <v>-1550</v>
      </c>
      <c r="H491" s="1">
        <f t="shared" si="42"/>
        <v>41971</v>
      </c>
      <c r="I491">
        <f>IF(AND(MyRowHidden(ROW())=FALSE,MyRowHidden(ROW()-1)=TRUE),0,(E491-E490)*unitsOfDHp+I490)</f>
        <v>230370</v>
      </c>
      <c r="J491">
        <f>IF(AND(MyRowHidden(ROW())=FALSE,MyRowHidden(ROW()-1)=TRUE),0,(G491-G490)*unitsOfExo+J490)</f>
        <v>-993600</v>
      </c>
      <c r="K491" s="9">
        <f t="shared" si="43"/>
        <v>993600</v>
      </c>
      <c r="L491">
        <f t="shared" si="44"/>
        <v>-763230</v>
      </c>
      <c r="M491">
        <f>IF(AND(MyRowHidden(ROW())=FALSE,MyRowHidden(ROW()-1)=TRUE),0,IF(MONTH(H491)&lt;&gt;MONTH(H490),M490+1,M490))</f>
        <v>22</v>
      </c>
      <c r="N491">
        <f t="shared" si="45"/>
        <v>230370</v>
      </c>
      <c r="O491">
        <f>IF(AND(MyRowHidden(ROW())=FALSE,MyRowHidden(ROW()-1)=TRUE),0,IF(M491&lt;totalMonths,(totalMonths-M491)/totalMonths *(I491-I490)+O490,0))</f>
        <v>0</v>
      </c>
      <c r="P491">
        <f>IF(AND(MyRowHidden(ROW())=FALSE,MyRowHidden(ROW()-1)=TRUE),0,IF(M491&lt;totalMonths,(totalMonths-M491)/totalMonths *(J491-J490)+P490,0))</f>
        <v>0</v>
      </c>
      <c r="Q491">
        <f>IF(AND(MyRowHidden(ROW())=FALSE,MyRowHidden(ROW()-1)=TRUE),0,IF(M491&lt;totalMonths,(totalMonths-M491)/totalMonths *(K491-K490)+Q490,0))</f>
        <v>0</v>
      </c>
      <c r="R491">
        <f t="shared" si="46"/>
        <v>230370</v>
      </c>
      <c r="S491">
        <f t="shared" si="47"/>
        <v>0</v>
      </c>
    </row>
    <row r="492" spans="1:19" hidden="1" x14ac:dyDescent="0.25">
      <c r="A492" s="1"/>
      <c r="C492" s="1"/>
      <c r="D492" s="1">
        <v>41974</v>
      </c>
      <c r="E492">
        <v>29364</v>
      </c>
      <c r="F492" s="1">
        <v>41974</v>
      </c>
      <c r="G492">
        <v>-1625</v>
      </c>
      <c r="H492" s="1">
        <f t="shared" si="42"/>
        <v>41974</v>
      </c>
      <c r="I492">
        <f>IF(AND(MyRowHidden(ROW())=FALSE,MyRowHidden(ROW()-1)=TRUE),0,(E492-E491)*unitsOfDHp+I491)</f>
        <v>233275</v>
      </c>
      <c r="J492">
        <f>IF(AND(MyRowHidden(ROW())=FALSE,MyRowHidden(ROW()-1)=TRUE),0,(G492-G491)*unitsOfExo+J491)</f>
        <v>-1015200</v>
      </c>
      <c r="K492" s="9">
        <f t="shared" si="43"/>
        <v>1015200</v>
      </c>
      <c r="L492">
        <f t="shared" si="44"/>
        <v>-781925</v>
      </c>
      <c r="M492">
        <f>IF(AND(MyRowHidden(ROW())=FALSE,MyRowHidden(ROW()-1)=TRUE),0,IF(MONTH(H492)&lt;&gt;MONTH(H491),M491+1,M491))</f>
        <v>23</v>
      </c>
      <c r="N492">
        <f t="shared" si="45"/>
        <v>233275</v>
      </c>
      <c r="O492">
        <f>IF(AND(MyRowHidden(ROW())=FALSE,MyRowHidden(ROW()-1)=TRUE),0,IF(M492&lt;totalMonths,(totalMonths-M492)/totalMonths *(I492-I491)+O491,0))</f>
        <v>0</v>
      </c>
      <c r="P492">
        <f>IF(AND(MyRowHidden(ROW())=FALSE,MyRowHidden(ROW()-1)=TRUE),0,IF(M492&lt;totalMonths,(totalMonths-M492)/totalMonths *(J492-J491)+P491,0))</f>
        <v>0</v>
      </c>
      <c r="Q492">
        <f>IF(AND(MyRowHidden(ROW())=FALSE,MyRowHidden(ROW()-1)=TRUE),0,IF(M492&lt;totalMonths,(totalMonths-M492)/totalMonths *(K492-K491)+Q491,0))</f>
        <v>0</v>
      </c>
      <c r="R492">
        <f t="shared" si="46"/>
        <v>233275</v>
      </c>
      <c r="S492">
        <f t="shared" si="47"/>
        <v>0</v>
      </c>
    </row>
    <row r="493" spans="1:19" hidden="1" x14ac:dyDescent="0.25">
      <c r="A493" s="1"/>
      <c r="C493" s="1"/>
      <c r="D493" s="1">
        <v>41975</v>
      </c>
      <c r="E493">
        <v>29810</v>
      </c>
      <c r="F493" s="1">
        <v>41975</v>
      </c>
      <c r="G493">
        <v>-1900</v>
      </c>
      <c r="H493" s="1">
        <f t="shared" si="42"/>
        <v>41975</v>
      </c>
      <c r="I493">
        <f>IF(AND(MyRowHidden(ROW())=FALSE,MyRowHidden(ROW()-1)=TRUE),0,(E493-E492)*unitsOfDHp+I492)</f>
        <v>248885</v>
      </c>
      <c r="J493">
        <f>IF(AND(MyRowHidden(ROW())=FALSE,MyRowHidden(ROW()-1)=TRUE),0,(G493-G492)*unitsOfExo+J492)</f>
        <v>-1094400</v>
      </c>
      <c r="K493" s="9">
        <f t="shared" si="43"/>
        <v>1094400</v>
      </c>
      <c r="L493">
        <f t="shared" si="44"/>
        <v>-845515</v>
      </c>
      <c r="M493">
        <f>IF(AND(MyRowHidden(ROW())=FALSE,MyRowHidden(ROW()-1)=TRUE),0,IF(MONTH(H493)&lt;&gt;MONTH(H492),M492+1,M492))</f>
        <v>23</v>
      </c>
      <c r="N493">
        <f t="shared" si="45"/>
        <v>248885</v>
      </c>
      <c r="O493">
        <f>IF(AND(MyRowHidden(ROW())=FALSE,MyRowHidden(ROW()-1)=TRUE),0,IF(M493&lt;totalMonths,(totalMonths-M493)/totalMonths *(I493-I492)+O492,0))</f>
        <v>0</v>
      </c>
      <c r="P493">
        <f>IF(AND(MyRowHidden(ROW())=FALSE,MyRowHidden(ROW()-1)=TRUE),0,IF(M493&lt;totalMonths,(totalMonths-M493)/totalMonths *(J493-J492)+P492,0))</f>
        <v>0</v>
      </c>
      <c r="Q493">
        <f>IF(AND(MyRowHidden(ROW())=FALSE,MyRowHidden(ROW()-1)=TRUE),0,IF(M493&lt;totalMonths,(totalMonths-M493)/totalMonths *(K493-K492)+Q492,0))</f>
        <v>0</v>
      </c>
      <c r="R493">
        <f t="shared" si="46"/>
        <v>248885</v>
      </c>
      <c r="S493">
        <f t="shared" si="47"/>
        <v>0</v>
      </c>
    </row>
    <row r="494" spans="1:19" hidden="1" x14ac:dyDescent="0.25">
      <c r="A494" s="1"/>
      <c r="C494" s="1"/>
      <c r="D494" s="1">
        <v>41976</v>
      </c>
      <c r="E494">
        <v>29963</v>
      </c>
      <c r="F494" s="1">
        <v>41976</v>
      </c>
      <c r="G494">
        <v>-2000</v>
      </c>
      <c r="H494" s="1">
        <f t="shared" si="42"/>
        <v>41976</v>
      </c>
      <c r="I494">
        <f>IF(AND(MyRowHidden(ROW())=FALSE,MyRowHidden(ROW()-1)=TRUE),0,(E494-E493)*unitsOfDHp+I493)</f>
        <v>254240</v>
      </c>
      <c r="J494">
        <f>IF(AND(MyRowHidden(ROW())=FALSE,MyRowHidden(ROW()-1)=TRUE),0,(G494-G493)*unitsOfExo+J493)</f>
        <v>-1123200</v>
      </c>
      <c r="K494" s="9">
        <f t="shared" si="43"/>
        <v>1123200</v>
      </c>
      <c r="L494">
        <f t="shared" si="44"/>
        <v>-868960</v>
      </c>
      <c r="M494">
        <f>IF(AND(MyRowHidden(ROW())=FALSE,MyRowHidden(ROW()-1)=TRUE),0,IF(MONTH(H494)&lt;&gt;MONTH(H493),M493+1,M493))</f>
        <v>23</v>
      </c>
      <c r="N494">
        <f t="shared" si="45"/>
        <v>254240</v>
      </c>
      <c r="O494">
        <f>IF(AND(MyRowHidden(ROW())=FALSE,MyRowHidden(ROW()-1)=TRUE),0,IF(M494&lt;totalMonths,(totalMonths-M494)/totalMonths *(I494-I493)+O493,0))</f>
        <v>0</v>
      </c>
      <c r="P494">
        <f>IF(AND(MyRowHidden(ROW())=FALSE,MyRowHidden(ROW()-1)=TRUE),0,IF(M494&lt;totalMonths,(totalMonths-M494)/totalMonths *(J494-J493)+P493,0))</f>
        <v>0</v>
      </c>
      <c r="Q494">
        <f>IF(AND(MyRowHidden(ROW())=FALSE,MyRowHidden(ROW()-1)=TRUE),0,IF(M494&lt;totalMonths,(totalMonths-M494)/totalMonths *(K494-K493)+Q493,0))</f>
        <v>0</v>
      </c>
      <c r="R494">
        <f t="shared" si="46"/>
        <v>254240</v>
      </c>
      <c r="S494">
        <f t="shared" si="47"/>
        <v>0</v>
      </c>
    </row>
    <row r="495" spans="1:19" hidden="1" x14ac:dyDescent="0.25">
      <c r="A495" s="1"/>
      <c r="C495" s="1"/>
      <c r="D495" s="1">
        <v>41977</v>
      </c>
      <c r="E495">
        <v>29868</v>
      </c>
      <c r="F495" s="1">
        <v>41977</v>
      </c>
      <c r="G495">
        <v>-1562.5</v>
      </c>
      <c r="H495" s="1">
        <f t="shared" si="42"/>
        <v>41977</v>
      </c>
      <c r="I495">
        <f>IF(AND(MyRowHidden(ROW())=FALSE,MyRowHidden(ROW()-1)=TRUE),0,(E495-E494)*unitsOfDHp+I494)</f>
        <v>250915</v>
      </c>
      <c r="J495">
        <f>IF(AND(MyRowHidden(ROW())=FALSE,MyRowHidden(ROW()-1)=TRUE),0,(G495-G494)*unitsOfExo+J494)</f>
        <v>-997200</v>
      </c>
      <c r="K495" s="9">
        <f t="shared" si="43"/>
        <v>997200</v>
      </c>
      <c r="L495">
        <f t="shared" si="44"/>
        <v>-746285</v>
      </c>
      <c r="M495">
        <f>IF(AND(MyRowHidden(ROW())=FALSE,MyRowHidden(ROW()-1)=TRUE),0,IF(MONTH(H495)&lt;&gt;MONTH(H494),M494+1,M494))</f>
        <v>23</v>
      </c>
      <c r="N495">
        <f t="shared" si="45"/>
        <v>250915</v>
      </c>
      <c r="O495">
        <f>IF(AND(MyRowHidden(ROW())=FALSE,MyRowHidden(ROW()-1)=TRUE),0,IF(M495&lt;totalMonths,(totalMonths-M495)/totalMonths *(I495-I494)+O494,0))</f>
        <v>0</v>
      </c>
      <c r="P495">
        <f>IF(AND(MyRowHidden(ROW())=FALSE,MyRowHidden(ROW()-1)=TRUE),0,IF(M495&lt;totalMonths,(totalMonths-M495)/totalMonths *(J495-J494)+P494,0))</f>
        <v>0</v>
      </c>
      <c r="Q495">
        <f>IF(AND(MyRowHidden(ROW())=FALSE,MyRowHidden(ROW()-1)=TRUE),0,IF(M495&lt;totalMonths,(totalMonths-M495)/totalMonths *(K495-K494)+Q494,0))</f>
        <v>0</v>
      </c>
      <c r="R495">
        <f t="shared" si="46"/>
        <v>250915</v>
      </c>
      <c r="S495">
        <f t="shared" si="47"/>
        <v>0</v>
      </c>
    </row>
    <row r="496" spans="1:19" hidden="1" x14ac:dyDescent="0.25">
      <c r="A496" s="1"/>
      <c r="C496" s="1"/>
      <c r="D496" s="1">
        <v>41978</v>
      </c>
      <c r="E496">
        <v>30243</v>
      </c>
      <c r="F496" s="1">
        <v>41978</v>
      </c>
      <c r="G496">
        <v>-1250</v>
      </c>
      <c r="H496" s="1">
        <f t="shared" si="42"/>
        <v>41978</v>
      </c>
      <c r="I496">
        <f>IF(AND(MyRowHidden(ROW())=FALSE,MyRowHidden(ROW()-1)=TRUE),0,(E496-E495)*unitsOfDHp+I495)</f>
        <v>264040</v>
      </c>
      <c r="J496">
        <f>IF(AND(MyRowHidden(ROW())=FALSE,MyRowHidden(ROW()-1)=TRUE),0,(G496-G495)*unitsOfExo+J495)</f>
        <v>-907200</v>
      </c>
      <c r="K496" s="9">
        <f t="shared" si="43"/>
        <v>907200</v>
      </c>
      <c r="L496">
        <f t="shared" si="44"/>
        <v>-643160</v>
      </c>
      <c r="M496">
        <f>IF(AND(MyRowHidden(ROW())=FALSE,MyRowHidden(ROW()-1)=TRUE),0,IF(MONTH(H496)&lt;&gt;MONTH(H495),M495+1,M495))</f>
        <v>23</v>
      </c>
      <c r="N496">
        <f t="shared" si="45"/>
        <v>264040</v>
      </c>
      <c r="O496">
        <f>IF(AND(MyRowHidden(ROW())=FALSE,MyRowHidden(ROW()-1)=TRUE),0,IF(M496&lt;totalMonths,(totalMonths-M496)/totalMonths *(I496-I495)+O495,0))</f>
        <v>0</v>
      </c>
      <c r="P496">
        <f>IF(AND(MyRowHidden(ROW())=FALSE,MyRowHidden(ROW()-1)=TRUE),0,IF(M496&lt;totalMonths,(totalMonths-M496)/totalMonths *(J496-J495)+P495,0))</f>
        <v>0</v>
      </c>
      <c r="Q496">
        <f>IF(AND(MyRowHidden(ROW())=FALSE,MyRowHidden(ROW()-1)=TRUE),0,IF(M496&lt;totalMonths,(totalMonths-M496)/totalMonths *(K496-K495)+Q495,0))</f>
        <v>0</v>
      </c>
      <c r="R496">
        <f t="shared" si="46"/>
        <v>264040</v>
      </c>
      <c r="S496">
        <f t="shared" si="47"/>
        <v>0</v>
      </c>
    </row>
    <row r="497" spans="1:19" hidden="1" x14ac:dyDescent="0.25">
      <c r="A497" s="1"/>
      <c r="C497" s="1"/>
      <c r="D497" s="1">
        <v>41981</v>
      </c>
      <c r="E497">
        <v>30264</v>
      </c>
      <c r="F497" s="1">
        <v>41981</v>
      </c>
      <c r="G497">
        <v>-1362.5</v>
      </c>
      <c r="H497" s="1">
        <f t="shared" si="42"/>
        <v>41981</v>
      </c>
      <c r="I497">
        <f>IF(AND(MyRowHidden(ROW())=FALSE,MyRowHidden(ROW()-1)=TRUE),0,(E497-E496)*unitsOfDHp+I496)</f>
        <v>264775</v>
      </c>
      <c r="J497">
        <f>IF(AND(MyRowHidden(ROW())=FALSE,MyRowHidden(ROW()-1)=TRUE),0,(G497-G496)*unitsOfExo+J496)</f>
        <v>-939600</v>
      </c>
      <c r="K497" s="9">
        <f t="shared" si="43"/>
        <v>939600</v>
      </c>
      <c r="L497">
        <f t="shared" si="44"/>
        <v>-674825</v>
      </c>
      <c r="M497">
        <f>IF(AND(MyRowHidden(ROW())=FALSE,MyRowHidden(ROW()-1)=TRUE),0,IF(MONTH(H497)&lt;&gt;MONTH(H496),M496+1,M496))</f>
        <v>23</v>
      </c>
      <c r="N497">
        <f t="shared" si="45"/>
        <v>264775</v>
      </c>
      <c r="O497">
        <f>IF(AND(MyRowHidden(ROW())=FALSE,MyRowHidden(ROW()-1)=TRUE),0,IF(M497&lt;totalMonths,(totalMonths-M497)/totalMonths *(I497-I496)+O496,0))</f>
        <v>0</v>
      </c>
      <c r="P497">
        <f>IF(AND(MyRowHidden(ROW())=FALSE,MyRowHidden(ROW()-1)=TRUE),0,IF(M497&lt;totalMonths,(totalMonths-M497)/totalMonths *(J497-J496)+P496,0))</f>
        <v>0</v>
      </c>
      <c r="Q497">
        <f>IF(AND(MyRowHidden(ROW())=FALSE,MyRowHidden(ROW()-1)=TRUE),0,IF(M497&lt;totalMonths,(totalMonths-M497)/totalMonths *(K497-K496)+Q496,0))</f>
        <v>0</v>
      </c>
      <c r="R497">
        <f t="shared" si="46"/>
        <v>264775</v>
      </c>
      <c r="S497">
        <f t="shared" si="47"/>
        <v>0</v>
      </c>
    </row>
    <row r="498" spans="1:19" hidden="1" x14ac:dyDescent="0.25">
      <c r="A498" s="1"/>
      <c r="C498" s="1"/>
      <c r="D498" s="1">
        <v>41982</v>
      </c>
      <c r="E498">
        <v>30173</v>
      </c>
      <c r="F498" s="1">
        <v>41982</v>
      </c>
      <c r="G498">
        <v>-1212.5</v>
      </c>
      <c r="H498" s="1">
        <f t="shared" si="42"/>
        <v>41982</v>
      </c>
      <c r="I498">
        <f>IF(AND(MyRowHidden(ROW())=FALSE,MyRowHidden(ROW()-1)=TRUE),0,(E498-E497)*unitsOfDHp+I497)</f>
        <v>261590</v>
      </c>
      <c r="J498">
        <f>IF(AND(MyRowHidden(ROW())=FALSE,MyRowHidden(ROW()-1)=TRUE),0,(G498-G497)*unitsOfExo+J497)</f>
        <v>-896400</v>
      </c>
      <c r="K498" s="9">
        <f t="shared" si="43"/>
        <v>896400</v>
      </c>
      <c r="L498">
        <f t="shared" si="44"/>
        <v>-634810</v>
      </c>
      <c r="M498">
        <f>IF(AND(MyRowHidden(ROW())=FALSE,MyRowHidden(ROW()-1)=TRUE),0,IF(MONTH(H498)&lt;&gt;MONTH(H497),M497+1,M497))</f>
        <v>23</v>
      </c>
      <c r="N498">
        <f t="shared" si="45"/>
        <v>261590</v>
      </c>
      <c r="O498">
        <f>IF(AND(MyRowHidden(ROW())=FALSE,MyRowHidden(ROW()-1)=TRUE),0,IF(M498&lt;totalMonths,(totalMonths-M498)/totalMonths *(I498-I497)+O497,0))</f>
        <v>0</v>
      </c>
      <c r="P498">
        <f>IF(AND(MyRowHidden(ROW())=FALSE,MyRowHidden(ROW()-1)=TRUE),0,IF(M498&lt;totalMonths,(totalMonths-M498)/totalMonths *(J498-J497)+P497,0))</f>
        <v>0</v>
      </c>
      <c r="Q498">
        <f>IF(AND(MyRowHidden(ROW())=FALSE,MyRowHidden(ROW()-1)=TRUE),0,IF(M498&lt;totalMonths,(totalMonths-M498)/totalMonths *(K498-K497)+Q497,0))</f>
        <v>0</v>
      </c>
      <c r="R498">
        <f t="shared" si="46"/>
        <v>261590</v>
      </c>
      <c r="S498">
        <f t="shared" si="47"/>
        <v>0</v>
      </c>
    </row>
    <row r="499" spans="1:19" hidden="1" x14ac:dyDescent="0.25">
      <c r="A499" s="1"/>
      <c r="C499" s="1"/>
      <c r="D499" s="1">
        <v>41983</v>
      </c>
      <c r="E499">
        <v>30163</v>
      </c>
      <c r="F499" s="1">
        <v>41983</v>
      </c>
      <c r="G499">
        <v>-1300</v>
      </c>
      <c r="H499" s="1">
        <f t="shared" si="42"/>
        <v>41983</v>
      </c>
      <c r="I499">
        <f>IF(AND(MyRowHidden(ROW())=FALSE,MyRowHidden(ROW()-1)=TRUE),0,(E499-E498)*unitsOfDHp+I498)</f>
        <v>261240</v>
      </c>
      <c r="J499">
        <f>IF(AND(MyRowHidden(ROW())=FALSE,MyRowHidden(ROW()-1)=TRUE),0,(G499-G498)*unitsOfExo+J498)</f>
        <v>-921600</v>
      </c>
      <c r="K499" s="9">
        <f t="shared" si="43"/>
        <v>921600</v>
      </c>
      <c r="L499">
        <f t="shared" si="44"/>
        <v>-660360</v>
      </c>
      <c r="M499">
        <f>IF(AND(MyRowHidden(ROW())=FALSE,MyRowHidden(ROW()-1)=TRUE),0,IF(MONTH(H499)&lt;&gt;MONTH(H498),M498+1,M498))</f>
        <v>23</v>
      </c>
      <c r="N499">
        <f t="shared" si="45"/>
        <v>261240</v>
      </c>
      <c r="O499">
        <f>IF(AND(MyRowHidden(ROW())=FALSE,MyRowHidden(ROW()-1)=TRUE),0,IF(M499&lt;totalMonths,(totalMonths-M499)/totalMonths *(I499-I498)+O498,0))</f>
        <v>0</v>
      </c>
      <c r="P499">
        <f>IF(AND(MyRowHidden(ROW())=FALSE,MyRowHidden(ROW()-1)=TRUE),0,IF(M499&lt;totalMonths,(totalMonths-M499)/totalMonths *(J499-J498)+P498,0))</f>
        <v>0</v>
      </c>
      <c r="Q499">
        <f>IF(AND(MyRowHidden(ROW())=FALSE,MyRowHidden(ROW()-1)=TRUE),0,IF(M499&lt;totalMonths,(totalMonths-M499)/totalMonths *(K499-K498)+Q498,0))</f>
        <v>0</v>
      </c>
      <c r="R499">
        <f t="shared" si="46"/>
        <v>261240</v>
      </c>
      <c r="S499">
        <f t="shared" si="47"/>
        <v>0</v>
      </c>
    </row>
    <row r="500" spans="1:19" hidden="1" x14ac:dyDescent="0.25">
      <c r="A500" s="1"/>
      <c r="C500" s="1"/>
      <c r="D500" s="1">
        <v>41984</v>
      </c>
      <c r="E500">
        <v>29707</v>
      </c>
      <c r="F500" s="1">
        <v>41984</v>
      </c>
      <c r="G500">
        <v>-1062.5</v>
      </c>
      <c r="H500" s="1">
        <f t="shared" si="42"/>
        <v>41984</v>
      </c>
      <c r="I500">
        <f>IF(AND(MyRowHidden(ROW())=FALSE,MyRowHidden(ROW()-1)=TRUE),0,(E500-E499)*unitsOfDHp+I499)</f>
        <v>245280</v>
      </c>
      <c r="J500">
        <f>IF(AND(MyRowHidden(ROW())=FALSE,MyRowHidden(ROW()-1)=TRUE),0,(G500-G499)*unitsOfExo+J499)</f>
        <v>-853200</v>
      </c>
      <c r="K500" s="9">
        <f t="shared" si="43"/>
        <v>853200</v>
      </c>
      <c r="L500">
        <f t="shared" si="44"/>
        <v>-607920</v>
      </c>
      <c r="M500">
        <f>IF(AND(MyRowHidden(ROW())=FALSE,MyRowHidden(ROW()-1)=TRUE),0,IF(MONTH(H500)&lt;&gt;MONTH(H499),M499+1,M499))</f>
        <v>23</v>
      </c>
      <c r="N500">
        <f t="shared" si="45"/>
        <v>245280</v>
      </c>
      <c r="O500">
        <f>IF(AND(MyRowHidden(ROW())=FALSE,MyRowHidden(ROW()-1)=TRUE),0,IF(M500&lt;totalMonths,(totalMonths-M500)/totalMonths *(I500-I499)+O499,0))</f>
        <v>0</v>
      </c>
      <c r="P500">
        <f>IF(AND(MyRowHidden(ROW())=FALSE,MyRowHidden(ROW()-1)=TRUE),0,IF(M500&lt;totalMonths,(totalMonths-M500)/totalMonths *(J500-J499)+P499,0))</f>
        <v>0</v>
      </c>
      <c r="Q500">
        <f>IF(AND(MyRowHidden(ROW())=FALSE,MyRowHidden(ROW()-1)=TRUE),0,IF(M500&lt;totalMonths,(totalMonths-M500)/totalMonths *(K500-K499)+Q499,0))</f>
        <v>0</v>
      </c>
      <c r="R500">
        <f t="shared" si="46"/>
        <v>245280</v>
      </c>
      <c r="S500">
        <f t="shared" si="47"/>
        <v>0</v>
      </c>
    </row>
    <row r="501" spans="1:19" hidden="1" x14ac:dyDescent="0.25">
      <c r="A501" s="1"/>
      <c r="C501" s="1"/>
      <c r="D501" s="1">
        <v>41985</v>
      </c>
      <c r="E501">
        <v>28774</v>
      </c>
      <c r="F501" s="1">
        <v>41985</v>
      </c>
      <c r="G501">
        <v>-425</v>
      </c>
      <c r="H501" s="1">
        <f t="shared" si="42"/>
        <v>41985</v>
      </c>
      <c r="I501">
        <f>IF(AND(MyRowHidden(ROW())=FALSE,MyRowHidden(ROW()-1)=TRUE),0,(E501-E500)*unitsOfDHp+I500)</f>
        <v>212625</v>
      </c>
      <c r="J501">
        <f>IF(AND(MyRowHidden(ROW())=FALSE,MyRowHidden(ROW()-1)=TRUE),0,(G501-G500)*unitsOfExo+J500)</f>
        <v>-669600</v>
      </c>
      <c r="K501" s="9">
        <f t="shared" si="43"/>
        <v>669600</v>
      </c>
      <c r="L501">
        <f t="shared" si="44"/>
        <v>-456975</v>
      </c>
      <c r="M501">
        <f>IF(AND(MyRowHidden(ROW())=FALSE,MyRowHidden(ROW()-1)=TRUE),0,IF(MONTH(H501)&lt;&gt;MONTH(H500),M500+1,M500))</f>
        <v>23</v>
      </c>
      <c r="N501">
        <f t="shared" si="45"/>
        <v>212625</v>
      </c>
      <c r="O501">
        <f>IF(AND(MyRowHidden(ROW())=FALSE,MyRowHidden(ROW()-1)=TRUE),0,IF(M501&lt;totalMonths,(totalMonths-M501)/totalMonths *(I501-I500)+O500,0))</f>
        <v>0</v>
      </c>
      <c r="P501">
        <f>IF(AND(MyRowHidden(ROW())=FALSE,MyRowHidden(ROW()-1)=TRUE),0,IF(M501&lt;totalMonths,(totalMonths-M501)/totalMonths *(J501-J500)+P500,0))</f>
        <v>0</v>
      </c>
      <c r="Q501">
        <f>IF(AND(MyRowHidden(ROW())=FALSE,MyRowHidden(ROW()-1)=TRUE),0,IF(M501&lt;totalMonths,(totalMonths-M501)/totalMonths *(K501-K500)+Q500,0))</f>
        <v>0</v>
      </c>
      <c r="R501">
        <f t="shared" si="46"/>
        <v>212625</v>
      </c>
      <c r="S501">
        <f t="shared" si="47"/>
        <v>0</v>
      </c>
    </row>
    <row r="502" spans="1:19" hidden="1" x14ac:dyDescent="0.25">
      <c r="A502" s="1"/>
      <c r="C502" s="1"/>
      <c r="D502" s="1">
        <v>41988</v>
      </c>
      <c r="E502">
        <v>28899</v>
      </c>
      <c r="F502" s="1">
        <v>41988</v>
      </c>
      <c r="G502">
        <v>-500</v>
      </c>
      <c r="H502" s="1">
        <f t="shared" si="42"/>
        <v>41988</v>
      </c>
      <c r="I502">
        <f>IF(AND(MyRowHidden(ROW())=FALSE,MyRowHidden(ROW()-1)=TRUE),0,(E502-E501)*unitsOfDHp+I501)</f>
        <v>217000</v>
      </c>
      <c r="J502">
        <f>IF(AND(MyRowHidden(ROW())=FALSE,MyRowHidden(ROW()-1)=TRUE),0,(G502-G501)*unitsOfExo+J501)</f>
        <v>-691200</v>
      </c>
      <c r="K502" s="9">
        <f t="shared" si="43"/>
        <v>691200</v>
      </c>
      <c r="L502">
        <f t="shared" si="44"/>
        <v>-474200</v>
      </c>
      <c r="M502">
        <f>IF(AND(MyRowHidden(ROW())=FALSE,MyRowHidden(ROW()-1)=TRUE),0,IF(MONTH(H502)&lt;&gt;MONTH(H501),M501+1,M501))</f>
        <v>23</v>
      </c>
      <c r="N502">
        <f t="shared" si="45"/>
        <v>217000</v>
      </c>
      <c r="O502">
        <f>IF(AND(MyRowHidden(ROW())=FALSE,MyRowHidden(ROW()-1)=TRUE),0,IF(M502&lt;totalMonths,(totalMonths-M502)/totalMonths *(I502-I501)+O501,0))</f>
        <v>0</v>
      </c>
      <c r="P502">
        <f>IF(AND(MyRowHidden(ROW())=FALSE,MyRowHidden(ROW()-1)=TRUE),0,IF(M502&lt;totalMonths,(totalMonths-M502)/totalMonths *(J502-J501)+P501,0))</f>
        <v>0</v>
      </c>
      <c r="Q502">
        <f>IF(AND(MyRowHidden(ROW())=FALSE,MyRowHidden(ROW()-1)=TRUE),0,IF(M502&lt;totalMonths,(totalMonths-M502)/totalMonths *(K502-K501)+Q501,0))</f>
        <v>0</v>
      </c>
      <c r="R502">
        <f t="shared" si="46"/>
        <v>217000</v>
      </c>
      <c r="S502">
        <f t="shared" si="47"/>
        <v>0</v>
      </c>
    </row>
    <row r="503" spans="1:19" hidden="1" x14ac:dyDescent="0.25">
      <c r="A503" s="1"/>
      <c r="C503" s="1"/>
      <c r="D503" s="1">
        <v>41989</v>
      </c>
      <c r="E503">
        <v>29027</v>
      </c>
      <c r="F503" s="1">
        <v>41989</v>
      </c>
      <c r="G503">
        <v>-575</v>
      </c>
      <c r="H503" s="1">
        <f t="shared" si="42"/>
        <v>41989</v>
      </c>
      <c r="I503">
        <f>IF(AND(MyRowHidden(ROW())=FALSE,MyRowHidden(ROW()-1)=TRUE),0,(E503-E502)*unitsOfDHp+I502)</f>
        <v>221480</v>
      </c>
      <c r="J503">
        <f>IF(AND(MyRowHidden(ROW())=FALSE,MyRowHidden(ROW()-1)=TRUE),0,(G503-G502)*unitsOfExo+J502)</f>
        <v>-712800</v>
      </c>
      <c r="K503" s="9">
        <f t="shared" si="43"/>
        <v>712800</v>
      </c>
      <c r="L503">
        <f t="shared" si="44"/>
        <v>-491320</v>
      </c>
      <c r="M503">
        <f>IF(AND(MyRowHidden(ROW())=FALSE,MyRowHidden(ROW()-1)=TRUE),0,IF(MONTH(H503)&lt;&gt;MONTH(H502),M502+1,M502))</f>
        <v>23</v>
      </c>
      <c r="N503">
        <f t="shared" si="45"/>
        <v>221480</v>
      </c>
      <c r="O503">
        <f>IF(AND(MyRowHidden(ROW())=FALSE,MyRowHidden(ROW()-1)=TRUE),0,IF(M503&lt;totalMonths,(totalMonths-M503)/totalMonths *(I503-I502)+O502,0))</f>
        <v>0</v>
      </c>
      <c r="P503">
        <f>IF(AND(MyRowHidden(ROW())=FALSE,MyRowHidden(ROW()-1)=TRUE),0,IF(M503&lt;totalMonths,(totalMonths-M503)/totalMonths *(J503-J502)+P502,0))</f>
        <v>0</v>
      </c>
      <c r="Q503">
        <f>IF(AND(MyRowHidden(ROW())=FALSE,MyRowHidden(ROW()-1)=TRUE),0,IF(M503&lt;totalMonths,(totalMonths-M503)/totalMonths *(K503-K502)+Q502,0))</f>
        <v>0</v>
      </c>
      <c r="R503">
        <f t="shared" si="46"/>
        <v>221480</v>
      </c>
      <c r="S503">
        <f t="shared" si="47"/>
        <v>0</v>
      </c>
    </row>
    <row r="504" spans="1:19" hidden="1" x14ac:dyDescent="0.25">
      <c r="A504" s="1"/>
      <c r="C504" s="1"/>
      <c r="D504" s="1">
        <v>41990</v>
      </c>
      <c r="E504">
        <v>28881</v>
      </c>
      <c r="F504" s="1">
        <v>41990</v>
      </c>
      <c r="G504">
        <v>-512.5</v>
      </c>
      <c r="H504" s="1">
        <f t="shared" si="42"/>
        <v>41990</v>
      </c>
      <c r="I504">
        <f>IF(AND(MyRowHidden(ROW())=FALSE,MyRowHidden(ROW()-1)=TRUE),0,(E504-E503)*unitsOfDHp+I503)</f>
        <v>216370</v>
      </c>
      <c r="J504">
        <f>IF(AND(MyRowHidden(ROW())=FALSE,MyRowHidden(ROW()-1)=TRUE),0,(G504-G503)*unitsOfExo+J503)</f>
        <v>-694800</v>
      </c>
      <c r="K504" s="9">
        <f t="shared" si="43"/>
        <v>694800</v>
      </c>
      <c r="L504">
        <f t="shared" si="44"/>
        <v>-478430</v>
      </c>
      <c r="M504">
        <f>IF(AND(MyRowHidden(ROW())=FALSE,MyRowHidden(ROW()-1)=TRUE),0,IF(MONTH(H504)&lt;&gt;MONTH(H503),M503+1,M503))</f>
        <v>23</v>
      </c>
      <c r="N504">
        <f t="shared" si="45"/>
        <v>216370</v>
      </c>
      <c r="O504">
        <f>IF(AND(MyRowHidden(ROW())=FALSE,MyRowHidden(ROW()-1)=TRUE),0,IF(M504&lt;totalMonths,(totalMonths-M504)/totalMonths *(I504-I503)+O503,0))</f>
        <v>0</v>
      </c>
      <c r="P504">
        <f>IF(AND(MyRowHidden(ROW())=FALSE,MyRowHidden(ROW()-1)=TRUE),0,IF(M504&lt;totalMonths,(totalMonths-M504)/totalMonths *(J504-J503)+P503,0))</f>
        <v>0</v>
      </c>
      <c r="Q504">
        <f>IF(AND(MyRowHidden(ROW())=FALSE,MyRowHidden(ROW()-1)=TRUE),0,IF(M504&lt;totalMonths,(totalMonths-M504)/totalMonths *(K504-K503)+Q503,0))</f>
        <v>0</v>
      </c>
      <c r="R504">
        <f t="shared" si="46"/>
        <v>216370</v>
      </c>
      <c r="S504">
        <f t="shared" si="47"/>
        <v>0</v>
      </c>
    </row>
    <row r="505" spans="1:19" hidden="1" x14ac:dyDescent="0.25">
      <c r="A505" s="1"/>
      <c r="C505" s="1"/>
      <c r="D505" s="1">
        <v>41991</v>
      </c>
      <c r="E505">
        <v>28628</v>
      </c>
      <c r="F505" s="1">
        <v>41991</v>
      </c>
      <c r="G505">
        <v>-362.5</v>
      </c>
      <c r="H505" s="1">
        <f t="shared" si="42"/>
        <v>41991</v>
      </c>
      <c r="I505">
        <f>IF(AND(MyRowHidden(ROW())=FALSE,MyRowHidden(ROW()-1)=TRUE),0,(E505-E504)*unitsOfDHp+I504)</f>
        <v>207515</v>
      </c>
      <c r="J505">
        <f>IF(AND(MyRowHidden(ROW())=FALSE,MyRowHidden(ROW()-1)=TRUE),0,(G505-G504)*unitsOfExo+J504)</f>
        <v>-651600</v>
      </c>
      <c r="K505" s="9">
        <f t="shared" si="43"/>
        <v>651600</v>
      </c>
      <c r="L505">
        <f t="shared" si="44"/>
        <v>-444085</v>
      </c>
      <c r="M505">
        <f>IF(AND(MyRowHidden(ROW())=FALSE,MyRowHidden(ROW()-1)=TRUE),0,IF(MONTH(H505)&lt;&gt;MONTH(H504),M504+1,M504))</f>
        <v>23</v>
      </c>
      <c r="N505">
        <f t="shared" si="45"/>
        <v>207515</v>
      </c>
      <c r="O505">
        <f>IF(AND(MyRowHidden(ROW())=FALSE,MyRowHidden(ROW()-1)=TRUE),0,IF(M505&lt;totalMonths,(totalMonths-M505)/totalMonths *(I505-I504)+O504,0))</f>
        <v>0</v>
      </c>
      <c r="P505">
        <f>IF(AND(MyRowHidden(ROW())=FALSE,MyRowHidden(ROW()-1)=TRUE),0,IF(M505&lt;totalMonths,(totalMonths-M505)/totalMonths *(J505-J504)+P504,0))</f>
        <v>0</v>
      </c>
      <c r="Q505">
        <f>IF(AND(MyRowHidden(ROW())=FALSE,MyRowHidden(ROW()-1)=TRUE),0,IF(M505&lt;totalMonths,(totalMonths-M505)/totalMonths *(K505-K504)+Q504,0))</f>
        <v>0</v>
      </c>
      <c r="R505">
        <f t="shared" si="46"/>
        <v>207515</v>
      </c>
      <c r="S505">
        <f t="shared" si="47"/>
        <v>0</v>
      </c>
    </row>
    <row r="506" spans="1:19" hidden="1" x14ac:dyDescent="0.25">
      <c r="A506" s="1"/>
      <c r="C506" s="1"/>
      <c r="D506" s="1">
        <v>41992</v>
      </c>
      <c r="E506">
        <v>28709</v>
      </c>
      <c r="F506" s="1">
        <v>41992</v>
      </c>
      <c r="G506">
        <v>-462.5</v>
      </c>
      <c r="H506" s="1">
        <f t="shared" si="42"/>
        <v>41992</v>
      </c>
      <c r="I506">
        <f>IF(AND(MyRowHidden(ROW())=FALSE,MyRowHidden(ROW()-1)=TRUE),0,(E506-E505)*unitsOfDHp+I505)</f>
        <v>210350</v>
      </c>
      <c r="J506">
        <f>IF(AND(MyRowHidden(ROW())=FALSE,MyRowHidden(ROW()-1)=TRUE),0,(G506-G505)*unitsOfExo+J505)</f>
        <v>-680400</v>
      </c>
      <c r="K506" s="9">
        <f t="shared" si="43"/>
        <v>680400</v>
      </c>
      <c r="L506">
        <f t="shared" si="44"/>
        <v>-470050</v>
      </c>
      <c r="M506">
        <f>IF(AND(MyRowHidden(ROW())=FALSE,MyRowHidden(ROW()-1)=TRUE),0,IF(MONTH(H506)&lt;&gt;MONTH(H505),M505+1,M505))</f>
        <v>23</v>
      </c>
      <c r="N506">
        <f t="shared" si="45"/>
        <v>210350</v>
      </c>
      <c r="O506">
        <f>IF(AND(MyRowHidden(ROW())=FALSE,MyRowHidden(ROW()-1)=TRUE),0,IF(M506&lt;totalMonths,(totalMonths-M506)/totalMonths *(I506-I505)+O505,0))</f>
        <v>0</v>
      </c>
      <c r="P506">
        <f>IF(AND(MyRowHidden(ROW())=FALSE,MyRowHidden(ROW()-1)=TRUE),0,IF(M506&lt;totalMonths,(totalMonths-M506)/totalMonths *(J506-J505)+P505,0))</f>
        <v>0</v>
      </c>
      <c r="Q506">
        <f>IF(AND(MyRowHidden(ROW())=FALSE,MyRowHidden(ROW()-1)=TRUE),0,IF(M506&lt;totalMonths,(totalMonths-M506)/totalMonths *(K506-K505)+Q505,0))</f>
        <v>0</v>
      </c>
      <c r="R506">
        <f t="shared" si="46"/>
        <v>210350</v>
      </c>
      <c r="S506">
        <f t="shared" si="47"/>
        <v>0</v>
      </c>
    </row>
    <row r="507" spans="1:19" hidden="1" x14ac:dyDescent="0.25">
      <c r="A507" s="1"/>
      <c r="C507" s="1"/>
      <c r="D507" s="1">
        <v>41995</v>
      </c>
      <c r="E507">
        <v>28232</v>
      </c>
      <c r="F507" s="1">
        <v>41995</v>
      </c>
      <c r="G507">
        <v>-300</v>
      </c>
      <c r="H507" s="1">
        <f t="shared" si="42"/>
        <v>41995</v>
      </c>
      <c r="I507">
        <f>IF(AND(MyRowHidden(ROW())=FALSE,MyRowHidden(ROW()-1)=TRUE),0,(E507-E506)*unitsOfDHp+I506)</f>
        <v>193655</v>
      </c>
      <c r="J507">
        <f>IF(AND(MyRowHidden(ROW())=FALSE,MyRowHidden(ROW()-1)=TRUE),0,(G507-G506)*unitsOfExo+J506)</f>
        <v>-633600</v>
      </c>
      <c r="K507" s="9">
        <f t="shared" si="43"/>
        <v>633600</v>
      </c>
      <c r="L507">
        <f t="shared" si="44"/>
        <v>-439945</v>
      </c>
      <c r="M507">
        <f>IF(AND(MyRowHidden(ROW())=FALSE,MyRowHidden(ROW()-1)=TRUE),0,IF(MONTH(H507)&lt;&gt;MONTH(H506),M506+1,M506))</f>
        <v>23</v>
      </c>
      <c r="N507">
        <f t="shared" si="45"/>
        <v>193655</v>
      </c>
      <c r="O507">
        <f>IF(AND(MyRowHidden(ROW())=FALSE,MyRowHidden(ROW()-1)=TRUE),0,IF(M507&lt;totalMonths,(totalMonths-M507)/totalMonths *(I507-I506)+O506,0))</f>
        <v>0</v>
      </c>
      <c r="P507">
        <f>IF(AND(MyRowHidden(ROW())=FALSE,MyRowHidden(ROW()-1)=TRUE),0,IF(M507&lt;totalMonths,(totalMonths-M507)/totalMonths *(J507-J506)+P506,0))</f>
        <v>0</v>
      </c>
      <c r="Q507">
        <f>IF(AND(MyRowHidden(ROW())=FALSE,MyRowHidden(ROW()-1)=TRUE),0,IF(M507&lt;totalMonths,(totalMonths-M507)/totalMonths *(K507-K506)+Q506,0))</f>
        <v>0</v>
      </c>
      <c r="R507">
        <f t="shared" si="46"/>
        <v>193655</v>
      </c>
      <c r="S507">
        <f t="shared" si="47"/>
        <v>0</v>
      </c>
    </row>
    <row r="508" spans="1:19" hidden="1" x14ac:dyDescent="0.25">
      <c r="A508" s="1"/>
      <c r="C508" s="1"/>
      <c r="D508" s="1">
        <v>41996</v>
      </c>
      <c r="E508">
        <v>28099</v>
      </c>
      <c r="F508" s="1">
        <v>41996</v>
      </c>
      <c r="G508">
        <v>-225</v>
      </c>
      <c r="H508" s="1">
        <f t="shared" si="42"/>
        <v>41996</v>
      </c>
      <c r="I508">
        <f>IF(AND(MyRowHidden(ROW())=FALSE,MyRowHidden(ROW()-1)=TRUE),0,(E508-E507)*unitsOfDHp+I507)</f>
        <v>189000</v>
      </c>
      <c r="J508">
        <f>IF(AND(MyRowHidden(ROW())=FALSE,MyRowHidden(ROW()-1)=TRUE),0,(G508-G507)*unitsOfExo+J507)</f>
        <v>-612000</v>
      </c>
      <c r="K508" s="9">
        <f t="shared" si="43"/>
        <v>612000</v>
      </c>
      <c r="L508">
        <f t="shared" si="44"/>
        <v>-423000</v>
      </c>
      <c r="M508">
        <f>IF(AND(MyRowHidden(ROW())=FALSE,MyRowHidden(ROW()-1)=TRUE),0,IF(MONTH(H508)&lt;&gt;MONTH(H507),M507+1,M507))</f>
        <v>23</v>
      </c>
      <c r="N508">
        <f t="shared" si="45"/>
        <v>189000</v>
      </c>
      <c r="O508">
        <f>IF(AND(MyRowHidden(ROW())=FALSE,MyRowHidden(ROW()-1)=TRUE),0,IF(M508&lt;totalMonths,(totalMonths-M508)/totalMonths *(I508-I507)+O507,0))</f>
        <v>0</v>
      </c>
      <c r="P508">
        <f>IF(AND(MyRowHidden(ROW())=FALSE,MyRowHidden(ROW()-1)=TRUE),0,IF(M508&lt;totalMonths,(totalMonths-M508)/totalMonths *(J508-J507)+P507,0))</f>
        <v>0</v>
      </c>
      <c r="Q508">
        <f>IF(AND(MyRowHidden(ROW())=FALSE,MyRowHidden(ROW()-1)=TRUE),0,IF(M508&lt;totalMonths,(totalMonths-M508)/totalMonths *(K508-K507)+Q507,0))</f>
        <v>0</v>
      </c>
      <c r="R508">
        <f t="shared" si="46"/>
        <v>189000</v>
      </c>
      <c r="S508">
        <f t="shared" si="47"/>
        <v>0</v>
      </c>
    </row>
    <row r="509" spans="1:19" hidden="1" x14ac:dyDescent="0.25">
      <c r="A509" s="1"/>
      <c r="C509" s="1"/>
      <c r="D509" s="1">
        <v>41997</v>
      </c>
      <c r="E509">
        <v>28374</v>
      </c>
      <c r="F509" s="1">
        <v>41997</v>
      </c>
      <c r="G509">
        <v>-512.5</v>
      </c>
      <c r="H509" s="1">
        <f t="shared" si="42"/>
        <v>41997</v>
      </c>
      <c r="I509">
        <f>IF(AND(MyRowHidden(ROW())=FALSE,MyRowHidden(ROW()-1)=TRUE),0,(E509-E508)*unitsOfDHp+I508)</f>
        <v>198625</v>
      </c>
      <c r="J509">
        <f>IF(AND(MyRowHidden(ROW())=FALSE,MyRowHidden(ROW()-1)=TRUE),0,(G509-G508)*unitsOfExo+J508)</f>
        <v>-694800</v>
      </c>
      <c r="K509" s="9">
        <f t="shared" si="43"/>
        <v>694800</v>
      </c>
      <c r="L509">
        <f t="shared" si="44"/>
        <v>-496175</v>
      </c>
      <c r="M509">
        <f>IF(AND(MyRowHidden(ROW())=FALSE,MyRowHidden(ROW()-1)=TRUE),0,IF(MONTH(H509)&lt;&gt;MONTH(H508),M508+1,M508))</f>
        <v>23</v>
      </c>
      <c r="N509">
        <f t="shared" si="45"/>
        <v>198625</v>
      </c>
      <c r="O509">
        <f>IF(AND(MyRowHidden(ROW())=FALSE,MyRowHidden(ROW()-1)=TRUE),0,IF(M509&lt;totalMonths,(totalMonths-M509)/totalMonths *(I509-I508)+O508,0))</f>
        <v>0</v>
      </c>
      <c r="P509">
        <f>IF(AND(MyRowHidden(ROW())=FALSE,MyRowHidden(ROW()-1)=TRUE),0,IF(M509&lt;totalMonths,(totalMonths-M509)/totalMonths *(J509-J508)+P508,0))</f>
        <v>0</v>
      </c>
      <c r="Q509">
        <f>IF(AND(MyRowHidden(ROW())=FALSE,MyRowHidden(ROW()-1)=TRUE),0,IF(M509&lt;totalMonths,(totalMonths-M509)/totalMonths *(K509-K508)+Q508,0))</f>
        <v>0</v>
      </c>
      <c r="R509">
        <f t="shared" si="46"/>
        <v>198625</v>
      </c>
      <c r="S509">
        <f t="shared" si="47"/>
        <v>0</v>
      </c>
    </row>
    <row r="510" spans="1:19" hidden="1" x14ac:dyDescent="0.25">
      <c r="A510" s="1"/>
      <c r="C510" s="1"/>
      <c r="D510" s="1">
        <v>41999</v>
      </c>
      <c r="E510">
        <v>27889</v>
      </c>
      <c r="F510" s="1">
        <v>41999</v>
      </c>
      <c r="G510">
        <v>-250</v>
      </c>
      <c r="H510" s="1">
        <f t="shared" si="42"/>
        <v>41999</v>
      </c>
      <c r="I510">
        <f>IF(AND(MyRowHidden(ROW())=FALSE,MyRowHidden(ROW()-1)=TRUE),0,(E510-E509)*unitsOfDHp+I509)</f>
        <v>181650</v>
      </c>
      <c r="J510">
        <f>IF(AND(MyRowHidden(ROW())=FALSE,MyRowHidden(ROW()-1)=TRUE),0,(G510-G509)*unitsOfExo+J509)</f>
        <v>-619200</v>
      </c>
      <c r="K510" s="9">
        <f t="shared" si="43"/>
        <v>619200</v>
      </c>
      <c r="L510">
        <f t="shared" si="44"/>
        <v>-437550</v>
      </c>
      <c r="M510">
        <f>IF(AND(MyRowHidden(ROW())=FALSE,MyRowHidden(ROW()-1)=TRUE),0,IF(MONTH(H510)&lt;&gt;MONTH(H509),M509+1,M509))</f>
        <v>23</v>
      </c>
      <c r="N510">
        <f t="shared" si="45"/>
        <v>181650</v>
      </c>
      <c r="O510">
        <f>IF(AND(MyRowHidden(ROW())=FALSE,MyRowHidden(ROW()-1)=TRUE),0,IF(M510&lt;totalMonths,(totalMonths-M510)/totalMonths *(I510-I509)+O509,0))</f>
        <v>0</v>
      </c>
      <c r="P510">
        <f>IF(AND(MyRowHidden(ROW())=FALSE,MyRowHidden(ROW()-1)=TRUE),0,IF(M510&lt;totalMonths,(totalMonths-M510)/totalMonths *(J510-J509)+P509,0))</f>
        <v>0</v>
      </c>
      <c r="Q510">
        <f>IF(AND(MyRowHidden(ROW())=FALSE,MyRowHidden(ROW()-1)=TRUE),0,IF(M510&lt;totalMonths,(totalMonths-M510)/totalMonths *(K510-K509)+Q509,0))</f>
        <v>0</v>
      </c>
      <c r="R510">
        <f t="shared" si="46"/>
        <v>181650</v>
      </c>
      <c r="S510">
        <f t="shared" si="47"/>
        <v>0</v>
      </c>
    </row>
    <row r="511" spans="1:19" hidden="1" x14ac:dyDescent="0.25">
      <c r="A511" s="1"/>
      <c r="C511" s="1"/>
      <c r="D511" s="1">
        <v>42002</v>
      </c>
      <c r="E511">
        <v>27943</v>
      </c>
      <c r="F511" s="1">
        <v>42002</v>
      </c>
      <c r="G511">
        <v>-287.5</v>
      </c>
      <c r="H511" s="1">
        <f t="shared" si="42"/>
        <v>42002</v>
      </c>
      <c r="I511">
        <f>IF(AND(MyRowHidden(ROW())=FALSE,MyRowHidden(ROW()-1)=TRUE),0,(E511-E510)*unitsOfDHp+I510)</f>
        <v>183540</v>
      </c>
      <c r="J511">
        <f>IF(AND(MyRowHidden(ROW())=FALSE,MyRowHidden(ROW()-1)=TRUE),0,(G511-G510)*unitsOfExo+J510)</f>
        <v>-630000</v>
      </c>
      <c r="K511" s="9">
        <f t="shared" si="43"/>
        <v>630000</v>
      </c>
      <c r="L511">
        <f t="shared" si="44"/>
        <v>-446460</v>
      </c>
      <c r="M511">
        <f>IF(AND(MyRowHidden(ROW())=FALSE,MyRowHidden(ROW()-1)=TRUE),0,IF(MONTH(H511)&lt;&gt;MONTH(H510),M510+1,M510))</f>
        <v>23</v>
      </c>
      <c r="N511">
        <f t="shared" si="45"/>
        <v>183540</v>
      </c>
      <c r="O511">
        <f>IF(AND(MyRowHidden(ROW())=FALSE,MyRowHidden(ROW()-1)=TRUE),0,IF(M511&lt;totalMonths,(totalMonths-M511)/totalMonths *(I511-I510)+O510,0))</f>
        <v>0</v>
      </c>
      <c r="P511">
        <f>IF(AND(MyRowHidden(ROW())=FALSE,MyRowHidden(ROW()-1)=TRUE),0,IF(M511&lt;totalMonths,(totalMonths-M511)/totalMonths *(J511-J510)+P510,0))</f>
        <v>0</v>
      </c>
      <c r="Q511">
        <f>IF(AND(MyRowHidden(ROW())=FALSE,MyRowHidden(ROW()-1)=TRUE),0,IF(M511&lt;totalMonths,(totalMonths-M511)/totalMonths *(K511-K510)+Q510,0))</f>
        <v>0</v>
      </c>
      <c r="R511">
        <f t="shared" si="46"/>
        <v>183540</v>
      </c>
      <c r="S511">
        <f t="shared" si="47"/>
        <v>0</v>
      </c>
    </row>
    <row r="512" spans="1:19" hidden="1" x14ac:dyDescent="0.25">
      <c r="A512" s="1"/>
      <c r="C512" s="1"/>
      <c r="D512" s="1">
        <v>42003</v>
      </c>
      <c r="E512">
        <v>28512</v>
      </c>
      <c r="F512" s="1">
        <v>42003</v>
      </c>
      <c r="G512">
        <v>-575</v>
      </c>
      <c r="H512" s="1">
        <f t="shared" si="42"/>
        <v>42003</v>
      </c>
      <c r="I512">
        <f>IF(AND(MyRowHidden(ROW())=FALSE,MyRowHidden(ROW()-1)=TRUE),0,(E512-E511)*unitsOfDHp+I511)</f>
        <v>203455</v>
      </c>
      <c r="J512">
        <f>IF(AND(MyRowHidden(ROW())=FALSE,MyRowHidden(ROW()-1)=TRUE),0,(G512-G511)*unitsOfExo+J511)</f>
        <v>-712800</v>
      </c>
      <c r="K512" s="9">
        <f t="shared" si="43"/>
        <v>712800</v>
      </c>
      <c r="L512">
        <f t="shared" si="44"/>
        <v>-509345</v>
      </c>
      <c r="M512">
        <f>IF(AND(MyRowHidden(ROW())=FALSE,MyRowHidden(ROW()-1)=TRUE),0,IF(MONTH(H512)&lt;&gt;MONTH(H511),M511+1,M511))</f>
        <v>23</v>
      </c>
      <c r="N512">
        <f t="shared" si="45"/>
        <v>203455</v>
      </c>
      <c r="O512">
        <f>IF(AND(MyRowHidden(ROW())=FALSE,MyRowHidden(ROW()-1)=TRUE),0,IF(M512&lt;totalMonths,(totalMonths-M512)/totalMonths *(I512-I511)+O511,0))</f>
        <v>0</v>
      </c>
      <c r="P512">
        <f>IF(AND(MyRowHidden(ROW())=FALSE,MyRowHidden(ROW()-1)=TRUE),0,IF(M512&lt;totalMonths,(totalMonths-M512)/totalMonths *(J512-J511)+P511,0))</f>
        <v>0</v>
      </c>
      <c r="Q512">
        <f>IF(AND(MyRowHidden(ROW())=FALSE,MyRowHidden(ROW()-1)=TRUE),0,IF(M512&lt;totalMonths,(totalMonths-M512)/totalMonths *(K512-K511)+Q511,0))</f>
        <v>0</v>
      </c>
      <c r="R512">
        <f t="shared" si="46"/>
        <v>203455</v>
      </c>
      <c r="S512">
        <f t="shared" si="47"/>
        <v>0</v>
      </c>
    </row>
    <row r="513" spans="1:19" hidden="1" x14ac:dyDescent="0.25">
      <c r="A513" s="1"/>
      <c r="C513" s="1"/>
      <c r="D513" s="1">
        <v>42004</v>
      </c>
      <c r="E513">
        <v>28791</v>
      </c>
      <c r="F513" s="1">
        <v>42004</v>
      </c>
      <c r="G513">
        <v>-1075</v>
      </c>
      <c r="H513" s="1">
        <f t="shared" si="42"/>
        <v>42004</v>
      </c>
      <c r="I513">
        <f>IF(AND(MyRowHidden(ROW())=FALSE,MyRowHidden(ROW()-1)=TRUE),0,(E513-E512)*unitsOfDHp+I512)</f>
        <v>213220</v>
      </c>
      <c r="J513">
        <f>IF(AND(MyRowHidden(ROW())=FALSE,MyRowHidden(ROW()-1)=TRUE),0,(G513-G512)*unitsOfExo+J512)</f>
        <v>-856800</v>
      </c>
      <c r="K513" s="9">
        <f t="shared" si="43"/>
        <v>856800</v>
      </c>
      <c r="L513">
        <f t="shared" si="44"/>
        <v>-643580</v>
      </c>
      <c r="M513">
        <f>IF(AND(MyRowHidden(ROW())=FALSE,MyRowHidden(ROW()-1)=TRUE),0,IF(MONTH(H513)&lt;&gt;MONTH(H512),M512+1,M512))</f>
        <v>23</v>
      </c>
      <c r="N513">
        <f t="shared" si="45"/>
        <v>213220</v>
      </c>
      <c r="O513">
        <f>IF(AND(MyRowHidden(ROW())=FALSE,MyRowHidden(ROW()-1)=TRUE),0,IF(M513&lt;totalMonths,(totalMonths-M513)/totalMonths *(I513-I512)+O512,0))</f>
        <v>0</v>
      </c>
      <c r="P513">
        <f>IF(AND(MyRowHidden(ROW())=FALSE,MyRowHidden(ROW()-1)=TRUE),0,IF(M513&lt;totalMonths,(totalMonths-M513)/totalMonths *(J513-J512)+P512,0))</f>
        <v>0</v>
      </c>
      <c r="Q513">
        <f>IF(AND(MyRowHidden(ROW())=FALSE,MyRowHidden(ROW()-1)=TRUE),0,IF(M513&lt;totalMonths,(totalMonths-M513)/totalMonths *(K513-K512)+Q512,0))</f>
        <v>0</v>
      </c>
      <c r="R513">
        <f t="shared" si="46"/>
        <v>213220</v>
      </c>
      <c r="S513">
        <f t="shared" si="47"/>
        <v>0</v>
      </c>
    </row>
    <row r="514" spans="1:19" hidden="1" x14ac:dyDescent="0.25">
      <c r="A514" s="1"/>
      <c r="C514" s="1"/>
      <c r="D514" s="1">
        <v>42006</v>
      </c>
      <c r="E514">
        <v>28830</v>
      </c>
      <c r="F514" s="1">
        <v>42006</v>
      </c>
      <c r="G514">
        <v>-1125</v>
      </c>
      <c r="H514" s="1">
        <f t="shared" si="42"/>
        <v>42006</v>
      </c>
      <c r="I514">
        <f>IF(AND(MyRowHidden(ROW())=FALSE,MyRowHidden(ROW()-1)=TRUE),0,(E514-E513)*unitsOfDHp+I513)</f>
        <v>214585</v>
      </c>
      <c r="J514">
        <f>IF(AND(MyRowHidden(ROW())=FALSE,MyRowHidden(ROW()-1)=TRUE),0,(G514-G513)*unitsOfExo+J513)</f>
        <v>-871200</v>
      </c>
      <c r="K514" s="9">
        <f t="shared" si="43"/>
        <v>871200</v>
      </c>
      <c r="L514">
        <f t="shared" si="44"/>
        <v>-656615</v>
      </c>
      <c r="M514">
        <f>IF(AND(MyRowHidden(ROW())=FALSE,MyRowHidden(ROW()-1)=TRUE),0,IF(MONTH(H514)&lt;&gt;MONTH(H513),M513+1,M513))</f>
        <v>24</v>
      </c>
      <c r="N514">
        <f t="shared" si="45"/>
        <v>214585</v>
      </c>
      <c r="O514">
        <f>IF(AND(MyRowHidden(ROW())=FALSE,MyRowHidden(ROW()-1)=TRUE),0,IF(M514&lt;totalMonths,(totalMonths-M514)/totalMonths *(I514-I513)+O513,0))</f>
        <v>0</v>
      </c>
      <c r="P514">
        <f>IF(AND(MyRowHidden(ROW())=FALSE,MyRowHidden(ROW()-1)=TRUE),0,IF(M514&lt;totalMonths,(totalMonths-M514)/totalMonths *(J514-J513)+P513,0))</f>
        <v>0</v>
      </c>
      <c r="Q514">
        <f>IF(AND(MyRowHidden(ROW())=FALSE,MyRowHidden(ROW()-1)=TRUE),0,IF(M514&lt;totalMonths,(totalMonths-M514)/totalMonths *(K514-K513)+Q513,0))</f>
        <v>0</v>
      </c>
      <c r="R514">
        <f t="shared" si="46"/>
        <v>214585</v>
      </c>
      <c r="S514">
        <f t="shared" si="47"/>
        <v>0</v>
      </c>
    </row>
    <row r="515" spans="1:19" hidden="1" x14ac:dyDescent="0.25">
      <c r="A515" s="1"/>
      <c r="C515" s="1"/>
      <c r="D515" s="1">
        <v>42009</v>
      </c>
      <c r="E515">
        <v>28474</v>
      </c>
      <c r="F515" s="1">
        <v>42009</v>
      </c>
      <c r="G515">
        <v>-625</v>
      </c>
      <c r="H515" s="1">
        <f t="shared" si="42"/>
        <v>42009</v>
      </c>
      <c r="I515">
        <f>IF(AND(MyRowHidden(ROW())=FALSE,MyRowHidden(ROW()-1)=TRUE),0,(E515-E514)*unitsOfDHp+I514)</f>
        <v>202125</v>
      </c>
      <c r="J515">
        <f>IF(AND(MyRowHidden(ROW())=FALSE,MyRowHidden(ROW()-1)=TRUE),0,(G515-G514)*unitsOfExo+J514)</f>
        <v>-727200</v>
      </c>
      <c r="K515" s="9">
        <f t="shared" si="43"/>
        <v>727200</v>
      </c>
      <c r="L515">
        <f t="shared" si="44"/>
        <v>-525075</v>
      </c>
      <c r="M515">
        <f>IF(AND(MyRowHidden(ROW())=FALSE,MyRowHidden(ROW()-1)=TRUE),0,IF(MONTH(H515)&lt;&gt;MONTH(H514),M514+1,M514))</f>
        <v>24</v>
      </c>
      <c r="N515">
        <f t="shared" si="45"/>
        <v>202125</v>
      </c>
      <c r="O515">
        <f>IF(AND(MyRowHidden(ROW())=FALSE,MyRowHidden(ROW()-1)=TRUE),0,IF(M515&lt;totalMonths,(totalMonths-M515)/totalMonths *(I515-I514)+O514,0))</f>
        <v>0</v>
      </c>
      <c r="P515">
        <f>IF(AND(MyRowHidden(ROW())=FALSE,MyRowHidden(ROW()-1)=TRUE),0,IF(M515&lt;totalMonths,(totalMonths-M515)/totalMonths *(J515-J514)+P514,0))</f>
        <v>0</v>
      </c>
      <c r="Q515">
        <f>IF(AND(MyRowHidden(ROW())=FALSE,MyRowHidden(ROW()-1)=TRUE),0,IF(M515&lt;totalMonths,(totalMonths-M515)/totalMonths *(K515-K514)+Q514,0))</f>
        <v>0</v>
      </c>
      <c r="R515">
        <f t="shared" si="46"/>
        <v>202125</v>
      </c>
      <c r="S515">
        <f t="shared" si="47"/>
        <v>0</v>
      </c>
    </row>
    <row r="516" spans="1:19" hidden="1" x14ac:dyDescent="0.25">
      <c r="A516" s="1"/>
      <c r="C516" s="1"/>
      <c r="D516" s="1">
        <v>42010</v>
      </c>
      <c r="E516">
        <v>28468</v>
      </c>
      <c r="F516" s="1">
        <v>42010</v>
      </c>
      <c r="G516">
        <v>-662.5</v>
      </c>
      <c r="H516" s="1">
        <f t="shared" si="42"/>
        <v>42010</v>
      </c>
      <c r="I516">
        <f>IF(AND(MyRowHidden(ROW())=FALSE,MyRowHidden(ROW()-1)=TRUE),0,(E516-E515)*unitsOfDHp+I515)</f>
        <v>201915</v>
      </c>
      <c r="J516">
        <f>IF(AND(MyRowHidden(ROW())=FALSE,MyRowHidden(ROW()-1)=TRUE),0,(G516-G515)*unitsOfExo+J515)</f>
        <v>-738000</v>
      </c>
      <c r="K516" s="9">
        <f t="shared" si="43"/>
        <v>738000</v>
      </c>
      <c r="L516">
        <f t="shared" si="44"/>
        <v>-536085</v>
      </c>
      <c r="M516">
        <f>IF(AND(MyRowHidden(ROW())=FALSE,MyRowHidden(ROW()-1)=TRUE),0,IF(MONTH(H516)&lt;&gt;MONTH(H515),M515+1,M515))</f>
        <v>24</v>
      </c>
      <c r="N516">
        <f t="shared" si="45"/>
        <v>201915</v>
      </c>
      <c r="O516">
        <f>IF(AND(MyRowHidden(ROW())=FALSE,MyRowHidden(ROW()-1)=TRUE),0,IF(M516&lt;totalMonths,(totalMonths-M516)/totalMonths *(I516-I515)+O515,0))</f>
        <v>0</v>
      </c>
      <c r="P516">
        <f>IF(AND(MyRowHidden(ROW())=FALSE,MyRowHidden(ROW()-1)=TRUE),0,IF(M516&lt;totalMonths,(totalMonths-M516)/totalMonths *(J516-J515)+P515,0))</f>
        <v>0</v>
      </c>
      <c r="Q516">
        <f>IF(AND(MyRowHidden(ROW())=FALSE,MyRowHidden(ROW()-1)=TRUE),0,IF(M516&lt;totalMonths,(totalMonths-M516)/totalMonths *(K516-K515)+Q515,0))</f>
        <v>0</v>
      </c>
      <c r="R516">
        <f t="shared" si="46"/>
        <v>201915</v>
      </c>
      <c r="S516">
        <f t="shared" si="47"/>
        <v>0</v>
      </c>
    </row>
    <row r="517" spans="1:19" hidden="1" x14ac:dyDescent="0.25">
      <c r="A517" s="1"/>
      <c r="C517" s="1"/>
      <c r="D517" s="1">
        <v>42011</v>
      </c>
      <c r="E517">
        <v>29044</v>
      </c>
      <c r="F517" s="1">
        <v>42011</v>
      </c>
      <c r="G517">
        <v>-1075</v>
      </c>
      <c r="H517" s="1">
        <f t="shared" si="42"/>
        <v>42011</v>
      </c>
      <c r="I517">
        <f>IF(AND(MyRowHidden(ROW())=FALSE,MyRowHidden(ROW()-1)=TRUE),0,(E517-E516)*unitsOfDHp+I516)</f>
        <v>222075</v>
      </c>
      <c r="J517">
        <f>IF(AND(MyRowHidden(ROW())=FALSE,MyRowHidden(ROW()-1)=TRUE),0,(G517-G516)*unitsOfExo+J516)</f>
        <v>-856800</v>
      </c>
      <c r="K517" s="9">
        <f t="shared" si="43"/>
        <v>856800</v>
      </c>
      <c r="L517">
        <f t="shared" si="44"/>
        <v>-634725</v>
      </c>
      <c r="M517">
        <f>IF(AND(MyRowHidden(ROW())=FALSE,MyRowHidden(ROW()-1)=TRUE),0,IF(MONTH(H517)&lt;&gt;MONTH(H516),M516+1,M516))</f>
        <v>24</v>
      </c>
      <c r="N517">
        <f t="shared" si="45"/>
        <v>222075</v>
      </c>
      <c r="O517">
        <f>IF(AND(MyRowHidden(ROW())=FALSE,MyRowHidden(ROW()-1)=TRUE),0,IF(M517&lt;totalMonths,(totalMonths-M517)/totalMonths *(I517-I516)+O516,0))</f>
        <v>0</v>
      </c>
      <c r="P517">
        <f>IF(AND(MyRowHidden(ROW())=FALSE,MyRowHidden(ROW()-1)=TRUE),0,IF(M517&lt;totalMonths,(totalMonths-M517)/totalMonths *(J517-J516)+P516,0))</f>
        <v>0</v>
      </c>
      <c r="Q517">
        <f>IF(AND(MyRowHidden(ROW())=FALSE,MyRowHidden(ROW()-1)=TRUE),0,IF(M517&lt;totalMonths,(totalMonths-M517)/totalMonths *(K517-K516)+Q516,0))</f>
        <v>0</v>
      </c>
      <c r="R517">
        <f t="shared" si="46"/>
        <v>222075</v>
      </c>
      <c r="S517">
        <f t="shared" si="47"/>
        <v>0</v>
      </c>
    </row>
    <row r="518" spans="1:19" hidden="1" x14ac:dyDescent="0.25">
      <c r="A518" s="1"/>
      <c r="C518" s="1"/>
      <c r="D518" s="1">
        <v>42012</v>
      </c>
      <c r="E518">
        <v>29254</v>
      </c>
      <c r="F518" s="1">
        <v>42012</v>
      </c>
      <c r="G518">
        <v>-1175</v>
      </c>
      <c r="H518" s="1">
        <f t="shared" si="42"/>
        <v>42012</v>
      </c>
      <c r="I518">
        <f>IF(AND(MyRowHidden(ROW())=FALSE,MyRowHidden(ROW()-1)=TRUE),0,(E518-E517)*unitsOfDHp+I517)</f>
        <v>229425</v>
      </c>
      <c r="J518">
        <f>IF(AND(MyRowHidden(ROW())=FALSE,MyRowHidden(ROW()-1)=TRUE),0,(G518-G517)*unitsOfExo+J517)</f>
        <v>-885600</v>
      </c>
      <c r="K518" s="9">
        <f t="shared" si="43"/>
        <v>885600</v>
      </c>
      <c r="L518">
        <f t="shared" si="44"/>
        <v>-656175</v>
      </c>
      <c r="M518">
        <f>IF(AND(MyRowHidden(ROW())=FALSE,MyRowHidden(ROW()-1)=TRUE),0,IF(MONTH(H518)&lt;&gt;MONTH(H517),M517+1,M517))</f>
        <v>24</v>
      </c>
      <c r="N518">
        <f t="shared" si="45"/>
        <v>229425</v>
      </c>
      <c r="O518">
        <f>IF(AND(MyRowHidden(ROW())=FALSE,MyRowHidden(ROW()-1)=TRUE),0,IF(M518&lt;totalMonths,(totalMonths-M518)/totalMonths *(I518-I517)+O517,0))</f>
        <v>0</v>
      </c>
      <c r="P518">
        <f>IF(AND(MyRowHidden(ROW())=FALSE,MyRowHidden(ROW()-1)=TRUE),0,IF(M518&lt;totalMonths,(totalMonths-M518)/totalMonths *(J518-J517)+P517,0))</f>
        <v>0</v>
      </c>
      <c r="Q518">
        <f>IF(AND(MyRowHidden(ROW())=FALSE,MyRowHidden(ROW()-1)=TRUE),0,IF(M518&lt;totalMonths,(totalMonths-M518)/totalMonths *(K518-K517)+Q517,0))</f>
        <v>0</v>
      </c>
      <c r="R518">
        <f t="shared" si="46"/>
        <v>229425</v>
      </c>
      <c r="S518">
        <f t="shared" si="47"/>
        <v>0</v>
      </c>
    </row>
    <row r="519" spans="1:19" hidden="1" x14ac:dyDescent="0.25">
      <c r="A519" s="1"/>
      <c r="C519" s="1"/>
      <c r="D519" s="1">
        <v>42013</v>
      </c>
      <c r="E519">
        <v>29126</v>
      </c>
      <c r="F519" s="1">
        <v>42013</v>
      </c>
      <c r="G519">
        <v>-862.5</v>
      </c>
      <c r="H519" s="1">
        <f t="shared" si="42"/>
        <v>42013</v>
      </c>
      <c r="I519">
        <f>IF(AND(MyRowHidden(ROW())=FALSE,MyRowHidden(ROW()-1)=TRUE),0,(E519-E518)*unitsOfDHp+I518)</f>
        <v>224945</v>
      </c>
      <c r="J519">
        <f>IF(AND(MyRowHidden(ROW())=FALSE,MyRowHidden(ROW()-1)=TRUE),0,(G519-G518)*unitsOfExo+J518)</f>
        <v>-795600</v>
      </c>
      <c r="K519" s="9">
        <f t="shared" si="43"/>
        <v>795600</v>
      </c>
      <c r="L519">
        <f t="shared" si="44"/>
        <v>-570655</v>
      </c>
      <c r="M519">
        <f>IF(AND(MyRowHidden(ROW())=FALSE,MyRowHidden(ROW()-1)=TRUE),0,IF(MONTH(H519)&lt;&gt;MONTH(H518),M518+1,M518))</f>
        <v>24</v>
      </c>
      <c r="N519">
        <f t="shared" si="45"/>
        <v>224945</v>
      </c>
      <c r="O519">
        <f>IF(AND(MyRowHidden(ROW())=FALSE,MyRowHidden(ROW()-1)=TRUE),0,IF(M519&lt;totalMonths,(totalMonths-M519)/totalMonths *(I519-I518)+O518,0))</f>
        <v>0</v>
      </c>
      <c r="P519">
        <f>IF(AND(MyRowHidden(ROW())=FALSE,MyRowHidden(ROW()-1)=TRUE),0,IF(M519&lt;totalMonths,(totalMonths-M519)/totalMonths *(J519-J518)+P518,0))</f>
        <v>0</v>
      </c>
      <c r="Q519">
        <f>IF(AND(MyRowHidden(ROW())=FALSE,MyRowHidden(ROW()-1)=TRUE),0,IF(M519&lt;totalMonths,(totalMonths-M519)/totalMonths *(K519-K518)+Q518,0))</f>
        <v>0</v>
      </c>
      <c r="R519">
        <f t="shared" si="46"/>
        <v>224945</v>
      </c>
      <c r="S519">
        <f t="shared" si="47"/>
        <v>0</v>
      </c>
    </row>
    <row r="520" spans="1:19" hidden="1" x14ac:dyDescent="0.25">
      <c r="A520" s="1"/>
      <c r="C520" s="1"/>
      <c r="D520" s="1">
        <v>42016</v>
      </c>
      <c r="E520">
        <v>29044</v>
      </c>
      <c r="F520" s="1">
        <v>42016</v>
      </c>
      <c r="G520">
        <v>-762.5</v>
      </c>
      <c r="H520" s="1">
        <f t="shared" si="42"/>
        <v>42016</v>
      </c>
      <c r="I520">
        <f>IF(AND(MyRowHidden(ROW())=FALSE,MyRowHidden(ROW()-1)=TRUE),0,(E520-E519)*unitsOfDHp+I519)</f>
        <v>222075</v>
      </c>
      <c r="J520">
        <f>IF(AND(MyRowHidden(ROW())=FALSE,MyRowHidden(ROW()-1)=TRUE),0,(G520-G519)*unitsOfExo+J519)</f>
        <v>-766800</v>
      </c>
      <c r="K520" s="9">
        <f t="shared" si="43"/>
        <v>766800</v>
      </c>
      <c r="L520">
        <f t="shared" si="44"/>
        <v>-544725</v>
      </c>
      <c r="M520">
        <f>IF(AND(MyRowHidden(ROW())=FALSE,MyRowHidden(ROW()-1)=TRUE),0,IF(MONTH(H520)&lt;&gt;MONTH(H519),M519+1,M519))</f>
        <v>24</v>
      </c>
      <c r="N520">
        <f t="shared" si="45"/>
        <v>222075</v>
      </c>
      <c r="O520">
        <f>IF(AND(MyRowHidden(ROW())=FALSE,MyRowHidden(ROW()-1)=TRUE),0,IF(M520&lt;totalMonths,(totalMonths-M520)/totalMonths *(I520-I519)+O519,0))</f>
        <v>0</v>
      </c>
      <c r="P520">
        <f>IF(AND(MyRowHidden(ROW())=FALSE,MyRowHidden(ROW()-1)=TRUE),0,IF(M520&lt;totalMonths,(totalMonths-M520)/totalMonths *(J520-J519)+P519,0))</f>
        <v>0</v>
      </c>
      <c r="Q520">
        <f>IF(AND(MyRowHidden(ROW())=FALSE,MyRowHidden(ROW()-1)=TRUE),0,IF(M520&lt;totalMonths,(totalMonths-M520)/totalMonths *(K520-K519)+Q519,0))</f>
        <v>0</v>
      </c>
      <c r="R520">
        <f t="shared" si="46"/>
        <v>222075</v>
      </c>
      <c r="S520">
        <f t="shared" si="47"/>
        <v>0</v>
      </c>
    </row>
    <row r="521" spans="1:19" hidden="1" x14ac:dyDescent="0.25">
      <c r="A521" s="1"/>
      <c r="C521" s="1"/>
      <c r="D521" s="1">
        <v>42017</v>
      </c>
      <c r="E521">
        <v>29565</v>
      </c>
      <c r="F521" s="1">
        <v>42017</v>
      </c>
      <c r="G521">
        <v>-1587.5</v>
      </c>
      <c r="H521" s="1">
        <f t="shared" si="42"/>
        <v>42017</v>
      </c>
      <c r="I521">
        <f>IF(AND(MyRowHidden(ROW())=FALSE,MyRowHidden(ROW()-1)=TRUE),0,(E521-E520)*unitsOfDHp+I520)</f>
        <v>240310</v>
      </c>
      <c r="J521">
        <f>IF(AND(MyRowHidden(ROW())=FALSE,MyRowHidden(ROW()-1)=TRUE),0,(G521-G520)*unitsOfExo+J520)</f>
        <v>-1004400</v>
      </c>
      <c r="K521" s="9">
        <f t="shared" si="43"/>
        <v>1004400</v>
      </c>
      <c r="L521">
        <f t="shared" si="44"/>
        <v>-764090</v>
      </c>
      <c r="M521">
        <f>IF(AND(MyRowHidden(ROW())=FALSE,MyRowHidden(ROW()-1)=TRUE),0,IF(MONTH(H521)&lt;&gt;MONTH(H520),M520+1,M520))</f>
        <v>24</v>
      </c>
      <c r="N521">
        <f t="shared" si="45"/>
        <v>240310</v>
      </c>
      <c r="O521">
        <f>IF(AND(MyRowHidden(ROW())=FALSE,MyRowHidden(ROW()-1)=TRUE),0,IF(M521&lt;totalMonths,(totalMonths-M521)/totalMonths *(I521-I520)+O520,0))</f>
        <v>0</v>
      </c>
      <c r="P521">
        <f>IF(AND(MyRowHidden(ROW())=FALSE,MyRowHidden(ROW()-1)=TRUE),0,IF(M521&lt;totalMonths,(totalMonths-M521)/totalMonths *(J521-J520)+P520,0))</f>
        <v>0</v>
      </c>
      <c r="Q521">
        <f>IF(AND(MyRowHidden(ROW())=FALSE,MyRowHidden(ROW()-1)=TRUE),0,IF(M521&lt;totalMonths,(totalMonths-M521)/totalMonths *(K521-K520)+Q520,0))</f>
        <v>0</v>
      </c>
      <c r="R521">
        <f t="shared" si="46"/>
        <v>240310</v>
      </c>
      <c r="S521">
        <f t="shared" si="47"/>
        <v>0</v>
      </c>
    </row>
    <row r="522" spans="1:19" hidden="1" x14ac:dyDescent="0.25">
      <c r="A522" s="1"/>
      <c r="C522" s="1"/>
      <c r="D522" s="1">
        <v>42018</v>
      </c>
      <c r="E522">
        <v>29679</v>
      </c>
      <c r="F522" s="1">
        <v>42018</v>
      </c>
      <c r="G522">
        <v>-1912.5</v>
      </c>
      <c r="H522" s="1">
        <f t="shared" si="42"/>
        <v>42018</v>
      </c>
      <c r="I522">
        <f>IF(AND(MyRowHidden(ROW())=FALSE,MyRowHidden(ROW()-1)=TRUE),0,(E522-E521)*unitsOfDHp+I521)</f>
        <v>244300</v>
      </c>
      <c r="J522">
        <f>IF(AND(MyRowHidden(ROW())=FALSE,MyRowHidden(ROW()-1)=TRUE),0,(G522-G521)*unitsOfExo+J521)</f>
        <v>-1098000</v>
      </c>
      <c r="K522" s="9">
        <f t="shared" si="43"/>
        <v>1098000</v>
      </c>
      <c r="L522">
        <f t="shared" si="44"/>
        <v>-853700</v>
      </c>
      <c r="M522">
        <f>IF(AND(MyRowHidden(ROW())=FALSE,MyRowHidden(ROW()-1)=TRUE),0,IF(MONTH(H522)&lt;&gt;MONTH(H521),M521+1,M521))</f>
        <v>24</v>
      </c>
      <c r="N522">
        <f t="shared" si="45"/>
        <v>244300</v>
      </c>
      <c r="O522">
        <f>IF(AND(MyRowHidden(ROW())=FALSE,MyRowHidden(ROW()-1)=TRUE),0,IF(M522&lt;totalMonths,(totalMonths-M522)/totalMonths *(I522-I521)+O521,0))</f>
        <v>0</v>
      </c>
      <c r="P522">
        <f>IF(AND(MyRowHidden(ROW())=FALSE,MyRowHidden(ROW()-1)=TRUE),0,IF(M522&lt;totalMonths,(totalMonths-M522)/totalMonths *(J522-J521)+P521,0))</f>
        <v>0</v>
      </c>
      <c r="Q522">
        <f>IF(AND(MyRowHidden(ROW())=FALSE,MyRowHidden(ROW()-1)=TRUE),0,IF(M522&lt;totalMonths,(totalMonths-M522)/totalMonths *(K522-K521)+Q521,0))</f>
        <v>0</v>
      </c>
      <c r="R522">
        <f t="shared" si="46"/>
        <v>244300</v>
      </c>
      <c r="S522">
        <f t="shared" si="47"/>
        <v>0</v>
      </c>
    </row>
    <row r="523" spans="1:19" hidden="1" x14ac:dyDescent="0.25">
      <c r="A523" s="1"/>
      <c r="C523" s="1"/>
      <c r="D523" s="1">
        <v>42019</v>
      </c>
      <c r="E523">
        <v>29783</v>
      </c>
      <c r="F523" s="1">
        <v>42019</v>
      </c>
      <c r="G523">
        <v>-1987.5</v>
      </c>
      <c r="H523" s="1">
        <f t="shared" si="42"/>
        <v>42019</v>
      </c>
      <c r="I523">
        <f>IF(AND(MyRowHidden(ROW())=FALSE,MyRowHidden(ROW()-1)=TRUE),0,(E523-E522)*unitsOfDHp+I522)</f>
        <v>247940</v>
      </c>
      <c r="J523">
        <f>IF(AND(MyRowHidden(ROW())=FALSE,MyRowHidden(ROW()-1)=TRUE),0,(G523-G522)*unitsOfExo+J522)</f>
        <v>-1119600</v>
      </c>
      <c r="K523" s="9">
        <f t="shared" si="43"/>
        <v>1119600</v>
      </c>
      <c r="L523">
        <f t="shared" si="44"/>
        <v>-871660</v>
      </c>
      <c r="M523">
        <f>IF(AND(MyRowHidden(ROW())=FALSE,MyRowHidden(ROW()-1)=TRUE),0,IF(MONTH(H523)&lt;&gt;MONTH(H522),M522+1,M522))</f>
        <v>24</v>
      </c>
      <c r="N523">
        <f t="shared" si="45"/>
        <v>247940</v>
      </c>
      <c r="O523">
        <f>IF(AND(MyRowHidden(ROW())=FALSE,MyRowHidden(ROW()-1)=TRUE),0,IF(M523&lt;totalMonths,(totalMonths-M523)/totalMonths *(I523-I522)+O522,0))</f>
        <v>0</v>
      </c>
      <c r="P523">
        <f>IF(AND(MyRowHidden(ROW())=FALSE,MyRowHidden(ROW()-1)=TRUE),0,IF(M523&lt;totalMonths,(totalMonths-M523)/totalMonths *(J523-J522)+P522,0))</f>
        <v>0</v>
      </c>
      <c r="Q523">
        <f>IF(AND(MyRowHidden(ROW())=FALSE,MyRowHidden(ROW()-1)=TRUE),0,IF(M523&lt;totalMonths,(totalMonths-M523)/totalMonths *(K523-K522)+Q522,0))</f>
        <v>0</v>
      </c>
      <c r="R523">
        <f t="shared" si="46"/>
        <v>247940</v>
      </c>
      <c r="S523">
        <f t="shared" si="47"/>
        <v>0</v>
      </c>
    </row>
    <row r="524" spans="1:19" hidden="1" x14ac:dyDescent="0.25">
      <c r="A524" s="1"/>
      <c r="C524" s="1"/>
      <c r="D524" s="1">
        <v>42020</v>
      </c>
      <c r="E524">
        <v>29575</v>
      </c>
      <c r="F524" s="1">
        <v>42020</v>
      </c>
      <c r="G524">
        <v>-1550</v>
      </c>
      <c r="H524" s="1">
        <f t="shared" si="42"/>
        <v>42020</v>
      </c>
      <c r="I524">
        <f>IF(AND(MyRowHidden(ROW())=FALSE,MyRowHidden(ROW()-1)=TRUE),0,(E524-E523)*unitsOfDHp+I523)</f>
        <v>240660</v>
      </c>
      <c r="J524">
        <f>IF(AND(MyRowHidden(ROW())=FALSE,MyRowHidden(ROW()-1)=TRUE),0,(G524-G523)*unitsOfExo+J523)</f>
        <v>-993600</v>
      </c>
      <c r="K524" s="9">
        <f t="shared" si="43"/>
        <v>993600</v>
      </c>
      <c r="L524">
        <f t="shared" si="44"/>
        <v>-752940</v>
      </c>
      <c r="M524">
        <f>IF(AND(MyRowHidden(ROW())=FALSE,MyRowHidden(ROW()-1)=TRUE),0,IF(MONTH(H524)&lt;&gt;MONTH(H523),M523+1,M523))</f>
        <v>24</v>
      </c>
      <c r="N524">
        <f t="shared" si="45"/>
        <v>240660</v>
      </c>
      <c r="O524">
        <f>IF(AND(MyRowHidden(ROW())=FALSE,MyRowHidden(ROW()-1)=TRUE),0,IF(M524&lt;totalMonths,(totalMonths-M524)/totalMonths *(I524-I523)+O523,0))</f>
        <v>0</v>
      </c>
      <c r="P524">
        <f>IF(AND(MyRowHidden(ROW())=FALSE,MyRowHidden(ROW()-1)=TRUE),0,IF(M524&lt;totalMonths,(totalMonths-M524)/totalMonths *(J524-J523)+P523,0))</f>
        <v>0</v>
      </c>
      <c r="Q524">
        <f>IF(AND(MyRowHidden(ROW())=FALSE,MyRowHidden(ROW()-1)=TRUE),0,IF(M524&lt;totalMonths,(totalMonths-M524)/totalMonths *(K524-K523)+Q523,0))</f>
        <v>0</v>
      </c>
      <c r="R524">
        <f t="shared" si="46"/>
        <v>240660</v>
      </c>
      <c r="S524">
        <f t="shared" si="47"/>
        <v>0</v>
      </c>
    </row>
    <row r="525" spans="1:19" hidden="1" x14ac:dyDescent="0.25">
      <c r="A525" s="1"/>
      <c r="C525" s="1"/>
      <c r="D525" s="1">
        <v>42024</v>
      </c>
      <c r="E525">
        <v>29546</v>
      </c>
      <c r="F525" s="1">
        <v>42024</v>
      </c>
      <c r="G525">
        <v>-1425</v>
      </c>
      <c r="H525" s="1">
        <f t="shared" ref="H525:H588" si="48">D525</f>
        <v>42024</v>
      </c>
      <c r="I525">
        <f>IF(AND(MyRowHidden(ROW())=FALSE,MyRowHidden(ROW()-1)=TRUE),0,(E525-E524)*unitsOfDHp+I524)</f>
        <v>239645</v>
      </c>
      <c r="J525">
        <f>IF(AND(MyRowHidden(ROW())=FALSE,MyRowHidden(ROW()-1)=TRUE),0,(G525-G524)*unitsOfExo+J524)</f>
        <v>-957600</v>
      </c>
      <c r="K525" s="9">
        <f t="shared" ref="K525:K588" si="49">-(J525-J524)+K524</f>
        <v>957600</v>
      </c>
      <c r="L525">
        <f t="shared" ref="L525:L588" si="50">I525+J525</f>
        <v>-717955</v>
      </c>
      <c r="M525">
        <f>IF(AND(MyRowHidden(ROW())=FALSE,MyRowHidden(ROW()-1)=TRUE),0,IF(MONTH(H525)&lt;&gt;MONTH(H524),M524+1,M524))</f>
        <v>24</v>
      </c>
      <c r="N525">
        <f t="shared" ref="N525:N588" si="51">I525</f>
        <v>239645</v>
      </c>
      <c r="O525">
        <f>IF(AND(MyRowHidden(ROW())=FALSE,MyRowHidden(ROW()-1)=TRUE),0,IF(M525&lt;totalMonths,(totalMonths-M525)/totalMonths *(I525-I524)+O524,0))</f>
        <v>0</v>
      </c>
      <c r="P525">
        <f>IF(AND(MyRowHidden(ROW())=FALSE,MyRowHidden(ROW()-1)=TRUE),0,IF(M525&lt;totalMonths,(totalMonths-M525)/totalMonths *(J525-J524)+P524,0))</f>
        <v>0</v>
      </c>
      <c r="Q525">
        <f>IF(AND(MyRowHidden(ROW())=FALSE,MyRowHidden(ROW()-1)=TRUE),0,IF(M525&lt;totalMonths,(totalMonths-M525)/totalMonths *(K525-K524)+Q524,0))</f>
        <v>0</v>
      </c>
      <c r="R525">
        <f t="shared" ref="R525:R588" si="52">N525+P525</f>
        <v>239645</v>
      </c>
      <c r="S525">
        <f t="shared" ref="S525:S588" si="53">O525+P525</f>
        <v>0</v>
      </c>
    </row>
    <row r="526" spans="1:19" hidden="1" x14ac:dyDescent="0.25">
      <c r="A526" s="1"/>
      <c r="C526" s="1"/>
      <c r="D526" s="1">
        <v>42025</v>
      </c>
      <c r="E526">
        <v>29503</v>
      </c>
      <c r="F526" s="1">
        <v>42025</v>
      </c>
      <c r="G526">
        <v>-1512.5</v>
      </c>
      <c r="H526" s="1">
        <f t="shared" si="48"/>
        <v>42025</v>
      </c>
      <c r="I526">
        <f>IF(AND(MyRowHidden(ROW())=FALSE,MyRowHidden(ROW()-1)=TRUE),0,(E526-E525)*unitsOfDHp+I525)</f>
        <v>238140</v>
      </c>
      <c r="J526">
        <f>IF(AND(MyRowHidden(ROW())=FALSE,MyRowHidden(ROW()-1)=TRUE),0,(G526-G525)*unitsOfExo+J525)</f>
        <v>-982800</v>
      </c>
      <c r="K526" s="9">
        <f t="shared" si="49"/>
        <v>982800</v>
      </c>
      <c r="L526">
        <f t="shared" si="50"/>
        <v>-744660</v>
      </c>
      <c r="M526">
        <f>IF(AND(MyRowHidden(ROW())=FALSE,MyRowHidden(ROW()-1)=TRUE),0,IF(MONTH(H526)&lt;&gt;MONTH(H525),M525+1,M525))</f>
        <v>24</v>
      </c>
      <c r="N526">
        <f t="shared" si="51"/>
        <v>238140</v>
      </c>
      <c r="O526">
        <f>IF(AND(MyRowHidden(ROW())=FALSE,MyRowHidden(ROW()-1)=TRUE),0,IF(M526&lt;totalMonths,(totalMonths-M526)/totalMonths *(I526-I525)+O525,0))</f>
        <v>0</v>
      </c>
      <c r="P526">
        <f>IF(AND(MyRowHidden(ROW())=FALSE,MyRowHidden(ROW()-1)=TRUE),0,IF(M526&lt;totalMonths,(totalMonths-M526)/totalMonths *(J526-J525)+P525,0))</f>
        <v>0</v>
      </c>
      <c r="Q526">
        <f>IF(AND(MyRowHidden(ROW())=FALSE,MyRowHidden(ROW()-1)=TRUE),0,IF(M526&lt;totalMonths,(totalMonths-M526)/totalMonths *(K526-K525)+Q525,0))</f>
        <v>0</v>
      </c>
      <c r="R526">
        <f t="shared" si="52"/>
        <v>238140</v>
      </c>
      <c r="S526">
        <f t="shared" si="53"/>
        <v>0</v>
      </c>
    </row>
    <row r="527" spans="1:19" hidden="1" x14ac:dyDescent="0.25">
      <c r="A527" s="1"/>
      <c r="C527" s="1"/>
      <c r="D527" s="1">
        <v>42026</v>
      </c>
      <c r="E527">
        <v>29503</v>
      </c>
      <c r="F527" s="1">
        <v>42026</v>
      </c>
      <c r="G527">
        <v>-1712.5</v>
      </c>
      <c r="H527" s="1">
        <f t="shared" si="48"/>
        <v>42026</v>
      </c>
      <c r="I527">
        <f>IF(AND(MyRowHidden(ROW())=FALSE,MyRowHidden(ROW()-1)=TRUE),0,(E527-E526)*unitsOfDHp+I526)</f>
        <v>238140</v>
      </c>
      <c r="J527">
        <f>IF(AND(MyRowHidden(ROW())=FALSE,MyRowHidden(ROW()-1)=TRUE),0,(G527-G526)*unitsOfExo+J526)</f>
        <v>-1040400</v>
      </c>
      <c r="K527" s="9">
        <f t="shared" si="49"/>
        <v>1040400</v>
      </c>
      <c r="L527">
        <f t="shared" si="50"/>
        <v>-802260</v>
      </c>
      <c r="M527">
        <f>IF(AND(MyRowHidden(ROW())=FALSE,MyRowHidden(ROW()-1)=TRUE),0,IF(MONTH(H527)&lt;&gt;MONTH(H526),M526+1,M526))</f>
        <v>24</v>
      </c>
      <c r="N527">
        <f t="shared" si="51"/>
        <v>238140</v>
      </c>
      <c r="O527">
        <f>IF(AND(MyRowHidden(ROW())=FALSE,MyRowHidden(ROW()-1)=TRUE),0,IF(M527&lt;totalMonths,(totalMonths-M527)/totalMonths *(I527-I526)+O526,0))</f>
        <v>0</v>
      </c>
      <c r="P527">
        <f>IF(AND(MyRowHidden(ROW())=FALSE,MyRowHidden(ROW()-1)=TRUE),0,IF(M527&lt;totalMonths,(totalMonths-M527)/totalMonths *(J527-J526)+P526,0))</f>
        <v>0</v>
      </c>
      <c r="Q527">
        <f>IF(AND(MyRowHidden(ROW())=FALSE,MyRowHidden(ROW()-1)=TRUE),0,IF(M527&lt;totalMonths,(totalMonths-M527)/totalMonths *(K527-K526)+Q526,0))</f>
        <v>0</v>
      </c>
      <c r="R527">
        <f t="shared" si="52"/>
        <v>238140</v>
      </c>
      <c r="S527">
        <f t="shared" si="53"/>
        <v>0</v>
      </c>
    </row>
    <row r="528" spans="1:19" hidden="1" x14ac:dyDescent="0.25">
      <c r="A528" s="1"/>
      <c r="C528" s="1"/>
      <c r="D528" s="1">
        <v>42027</v>
      </c>
      <c r="E528">
        <v>29498</v>
      </c>
      <c r="F528" s="1">
        <v>42027</v>
      </c>
      <c r="G528">
        <v>-1625</v>
      </c>
      <c r="H528" s="1">
        <f t="shared" si="48"/>
        <v>42027</v>
      </c>
      <c r="I528">
        <f>IF(AND(MyRowHidden(ROW())=FALSE,MyRowHidden(ROW()-1)=TRUE),0,(E528-E527)*unitsOfDHp+I527)</f>
        <v>237965</v>
      </c>
      <c r="J528">
        <f>IF(AND(MyRowHidden(ROW())=FALSE,MyRowHidden(ROW()-1)=TRUE),0,(G528-G527)*unitsOfExo+J527)</f>
        <v>-1015200</v>
      </c>
      <c r="K528" s="9">
        <f t="shared" si="49"/>
        <v>1015200</v>
      </c>
      <c r="L528">
        <f t="shared" si="50"/>
        <v>-777235</v>
      </c>
      <c r="M528">
        <f>IF(AND(MyRowHidden(ROW())=FALSE,MyRowHidden(ROW()-1)=TRUE),0,IF(MONTH(H528)&lt;&gt;MONTH(H527),M527+1,M527))</f>
        <v>24</v>
      </c>
      <c r="N528">
        <f t="shared" si="51"/>
        <v>237965</v>
      </c>
      <c r="O528">
        <f>IF(AND(MyRowHidden(ROW())=FALSE,MyRowHidden(ROW()-1)=TRUE),0,IF(M528&lt;totalMonths,(totalMonths-M528)/totalMonths *(I528-I527)+O527,0))</f>
        <v>0</v>
      </c>
      <c r="P528">
        <f>IF(AND(MyRowHidden(ROW())=FALSE,MyRowHidden(ROW()-1)=TRUE),0,IF(M528&lt;totalMonths,(totalMonths-M528)/totalMonths *(J528-J527)+P527,0))</f>
        <v>0</v>
      </c>
      <c r="Q528">
        <f>IF(AND(MyRowHidden(ROW())=FALSE,MyRowHidden(ROW()-1)=TRUE),0,IF(M528&lt;totalMonths,(totalMonths-M528)/totalMonths *(K528-K527)+Q527,0))</f>
        <v>0</v>
      </c>
      <c r="R528">
        <f t="shared" si="52"/>
        <v>237965</v>
      </c>
      <c r="S528">
        <f t="shared" si="53"/>
        <v>0</v>
      </c>
    </row>
    <row r="529" spans="1:19" hidden="1" x14ac:dyDescent="0.25">
      <c r="A529" s="1"/>
      <c r="C529" s="1"/>
      <c r="D529" s="1">
        <v>42030</v>
      </c>
      <c r="E529">
        <v>29421</v>
      </c>
      <c r="F529" s="1">
        <v>42030</v>
      </c>
      <c r="G529">
        <v>-1675</v>
      </c>
      <c r="H529" s="1">
        <f t="shared" si="48"/>
        <v>42030</v>
      </c>
      <c r="I529">
        <f>IF(AND(MyRowHidden(ROW())=FALSE,MyRowHidden(ROW()-1)=TRUE),0,(E529-E528)*unitsOfDHp+I528)</f>
        <v>235270</v>
      </c>
      <c r="J529">
        <f>IF(AND(MyRowHidden(ROW())=FALSE,MyRowHidden(ROW()-1)=TRUE),0,(G529-G528)*unitsOfExo+J528)</f>
        <v>-1029600</v>
      </c>
      <c r="K529" s="9">
        <f t="shared" si="49"/>
        <v>1029600</v>
      </c>
      <c r="L529">
        <f t="shared" si="50"/>
        <v>-794330</v>
      </c>
      <c r="M529">
        <f>IF(AND(MyRowHidden(ROW())=FALSE,MyRowHidden(ROW()-1)=TRUE),0,IF(MONTH(H529)&lt;&gt;MONTH(H528),M528+1,M528))</f>
        <v>24</v>
      </c>
      <c r="N529">
        <f t="shared" si="51"/>
        <v>235270</v>
      </c>
      <c r="O529">
        <f>IF(AND(MyRowHidden(ROW())=FALSE,MyRowHidden(ROW()-1)=TRUE),0,IF(M529&lt;totalMonths,(totalMonths-M529)/totalMonths *(I529-I528)+O528,0))</f>
        <v>0</v>
      </c>
      <c r="P529">
        <f>IF(AND(MyRowHidden(ROW())=FALSE,MyRowHidden(ROW()-1)=TRUE),0,IF(M529&lt;totalMonths,(totalMonths-M529)/totalMonths *(J529-J528)+P528,0))</f>
        <v>0</v>
      </c>
      <c r="Q529">
        <f>IF(AND(MyRowHidden(ROW())=FALSE,MyRowHidden(ROW()-1)=TRUE),0,IF(M529&lt;totalMonths,(totalMonths-M529)/totalMonths *(K529-K528)+Q528,0))</f>
        <v>0</v>
      </c>
      <c r="R529">
        <f t="shared" si="52"/>
        <v>235270</v>
      </c>
      <c r="S529">
        <f t="shared" si="53"/>
        <v>0</v>
      </c>
    </row>
    <row r="530" spans="1:19" hidden="1" x14ac:dyDescent="0.25">
      <c r="A530" s="1"/>
      <c r="C530" s="1"/>
      <c r="D530" s="1">
        <v>42031</v>
      </c>
      <c r="E530">
        <v>29410</v>
      </c>
      <c r="F530" s="1">
        <v>42031</v>
      </c>
      <c r="G530">
        <v>-1762.5</v>
      </c>
      <c r="H530" s="1">
        <f t="shared" si="48"/>
        <v>42031</v>
      </c>
      <c r="I530">
        <f>IF(AND(MyRowHidden(ROW())=FALSE,MyRowHidden(ROW()-1)=TRUE),0,(E530-E529)*unitsOfDHp+I529)</f>
        <v>234885</v>
      </c>
      <c r="J530">
        <f>IF(AND(MyRowHidden(ROW())=FALSE,MyRowHidden(ROW()-1)=TRUE),0,(G530-G529)*unitsOfExo+J529)</f>
        <v>-1054800</v>
      </c>
      <c r="K530" s="9">
        <f t="shared" si="49"/>
        <v>1054800</v>
      </c>
      <c r="L530">
        <f t="shared" si="50"/>
        <v>-819915</v>
      </c>
      <c r="M530">
        <f>IF(AND(MyRowHidden(ROW())=FALSE,MyRowHidden(ROW()-1)=TRUE),0,IF(MONTH(H530)&lt;&gt;MONTH(H529),M529+1,M529))</f>
        <v>24</v>
      </c>
      <c r="N530">
        <f t="shared" si="51"/>
        <v>234885</v>
      </c>
      <c r="O530">
        <f>IF(AND(MyRowHidden(ROW())=FALSE,MyRowHidden(ROW()-1)=TRUE),0,IF(M530&lt;totalMonths,(totalMonths-M530)/totalMonths *(I530-I529)+O529,0))</f>
        <v>0</v>
      </c>
      <c r="P530">
        <f>IF(AND(MyRowHidden(ROW())=FALSE,MyRowHidden(ROW()-1)=TRUE),0,IF(M530&lt;totalMonths,(totalMonths-M530)/totalMonths *(J530-J529)+P529,0))</f>
        <v>0</v>
      </c>
      <c r="Q530">
        <f>IF(AND(MyRowHidden(ROW())=FALSE,MyRowHidden(ROW()-1)=TRUE),0,IF(M530&lt;totalMonths,(totalMonths-M530)/totalMonths *(K530-K529)+Q529,0))</f>
        <v>0</v>
      </c>
      <c r="R530">
        <f t="shared" si="52"/>
        <v>234885</v>
      </c>
      <c r="S530">
        <f t="shared" si="53"/>
        <v>0</v>
      </c>
    </row>
    <row r="531" spans="1:19" hidden="1" x14ac:dyDescent="0.25">
      <c r="A531" s="1"/>
      <c r="C531" s="1"/>
      <c r="D531" s="1">
        <v>42032</v>
      </c>
      <c r="E531">
        <v>29040</v>
      </c>
      <c r="F531" s="1">
        <v>42032</v>
      </c>
      <c r="G531">
        <v>-2087.5</v>
      </c>
      <c r="H531" s="1">
        <f t="shared" si="48"/>
        <v>42032</v>
      </c>
      <c r="I531">
        <f>IF(AND(MyRowHidden(ROW())=FALSE,MyRowHidden(ROW()-1)=TRUE),0,(E531-E530)*unitsOfDHp+I530)</f>
        <v>221935</v>
      </c>
      <c r="J531">
        <f>IF(AND(MyRowHidden(ROW())=FALSE,MyRowHidden(ROW()-1)=TRUE),0,(G531-G530)*unitsOfExo+J530)</f>
        <v>-1148400</v>
      </c>
      <c r="K531" s="9">
        <f t="shared" si="49"/>
        <v>1148400</v>
      </c>
      <c r="L531">
        <f t="shared" si="50"/>
        <v>-926465</v>
      </c>
      <c r="M531">
        <f>IF(AND(MyRowHidden(ROW())=FALSE,MyRowHidden(ROW()-1)=TRUE),0,IF(MONTH(H531)&lt;&gt;MONTH(H530),M530+1,M530))</f>
        <v>24</v>
      </c>
      <c r="N531">
        <f t="shared" si="51"/>
        <v>221935</v>
      </c>
      <c r="O531">
        <f>IF(AND(MyRowHidden(ROW())=FALSE,MyRowHidden(ROW()-1)=TRUE),0,IF(M531&lt;totalMonths,(totalMonths-M531)/totalMonths *(I531-I530)+O530,0))</f>
        <v>0</v>
      </c>
      <c r="P531">
        <f>IF(AND(MyRowHidden(ROW())=FALSE,MyRowHidden(ROW()-1)=TRUE),0,IF(M531&lt;totalMonths,(totalMonths-M531)/totalMonths *(J531-J530)+P530,0))</f>
        <v>0</v>
      </c>
      <c r="Q531">
        <f>IF(AND(MyRowHidden(ROW())=FALSE,MyRowHidden(ROW()-1)=TRUE),0,IF(M531&lt;totalMonths,(totalMonths-M531)/totalMonths *(K531-K530)+Q530,0))</f>
        <v>0</v>
      </c>
      <c r="R531">
        <f t="shared" si="52"/>
        <v>221935</v>
      </c>
      <c r="S531">
        <f t="shared" si="53"/>
        <v>0</v>
      </c>
    </row>
    <row r="532" spans="1:19" hidden="1" x14ac:dyDescent="0.25">
      <c r="A532" s="1"/>
      <c r="C532" s="1"/>
      <c r="D532" s="1">
        <v>42033</v>
      </c>
      <c r="E532">
        <v>28407</v>
      </c>
      <c r="F532" s="1">
        <v>42033</v>
      </c>
      <c r="G532">
        <v>-2387.5</v>
      </c>
      <c r="H532" s="1">
        <f t="shared" si="48"/>
        <v>42033</v>
      </c>
      <c r="I532">
        <f>IF(AND(MyRowHidden(ROW())=FALSE,MyRowHidden(ROW()-1)=TRUE),0,(E532-E531)*unitsOfDHp+I531)</f>
        <v>199780</v>
      </c>
      <c r="J532">
        <f>IF(AND(MyRowHidden(ROW())=FALSE,MyRowHidden(ROW()-1)=TRUE),0,(G532-G531)*unitsOfExo+J531)</f>
        <v>-1234800</v>
      </c>
      <c r="K532" s="9">
        <f t="shared" si="49"/>
        <v>1234800</v>
      </c>
      <c r="L532">
        <f t="shared" si="50"/>
        <v>-1035020</v>
      </c>
      <c r="M532">
        <f>IF(AND(MyRowHidden(ROW())=FALSE,MyRowHidden(ROW()-1)=TRUE),0,IF(MONTH(H532)&lt;&gt;MONTH(H531),M531+1,M531))</f>
        <v>24</v>
      </c>
      <c r="N532">
        <f t="shared" si="51"/>
        <v>199780</v>
      </c>
      <c r="O532">
        <f>IF(AND(MyRowHidden(ROW())=FALSE,MyRowHidden(ROW()-1)=TRUE),0,IF(M532&lt;totalMonths,(totalMonths-M532)/totalMonths *(I532-I531)+O531,0))</f>
        <v>0</v>
      </c>
      <c r="P532">
        <f>IF(AND(MyRowHidden(ROW())=FALSE,MyRowHidden(ROW()-1)=TRUE),0,IF(M532&lt;totalMonths,(totalMonths-M532)/totalMonths *(J532-J531)+P531,0))</f>
        <v>0</v>
      </c>
      <c r="Q532">
        <f>IF(AND(MyRowHidden(ROW())=FALSE,MyRowHidden(ROW()-1)=TRUE),0,IF(M532&lt;totalMonths,(totalMonths-M532)/totalMonths *(K532-K531)+Q531,0))</f>
        <v>0</v>
      </c>
      <c r="R532">
        <f t="shared" si="52"/>
        <v>199780</v>
      </c>
      <c r="S532">
        <f t="shared" si="53"/>
        <v>0</v>
      </c>
    </row>
    <row r="533" spans="1:19" hidden="1" x14ac:dyDescent="0.25">
      <c r="A533" s="1"/>
      <c r="C533" s="1"/>
      <c r="D533" s="1">
        <v>42034</v>
      </c>
      <c r="E533">
        <v>28393</v>
      </c>
      <c r="F533" s="1">
        <v>42034</v>
      </c>
      <c r="G533">
        <v>-2400</v>
      </c>
      <c r="H533" s="1">
        <f t="shared" si="48"/>
        <v>42034</v>
      </c>
      <c r="I533">
        <f>IF(AND(MyRowHidden(ROW())=FALSE,MyRowHidden(ROW()-1)=TRUE),0,(E533-E532)*unitsOfDHp+I532)</f>
        <v>199290</v>
      </c>
      <c r="J533">
        <f>IF(AND(MyRowHidden(ROW())=FALSE,MyRowHidden(ROW()-1)=TRUE),0,(G533-G532)*unitsOfExo+J532)</f>
        <v>-1238400</v>
      </c>
      <c r="K533" s="9">
        <f t="shared" si="49"/>
        <v>1238400</v>
      </c>
      <c r="L533">
        <f t="shared" si="50"/>
        <v>-1039110</v>
      </c>
      <c r="M533">
        <f>IF(AND(MyRowHidden(ROW())=FALSE,MyRowHidden(ROW()-1)=TRUE),0,IF(MONTH(H533)&lt;&gt;MONTH(H532),M532+1,M532))</f>
        <v>24</v>
      </c>
      <c r="N533">
        <f t="shared" si="51"/>
        <v>199290</v>
      </c>
      <c r="O533">
        <f>IF(AND(MyRowHidden(ROW())=FALSE,MyRowHidden(ROW()-1)=TRUE),0,IF(M533&lt;totalMonths,(totalMonths-M533)/totalMonths *(I533-I532)+O532,0))</f>
        <v>0</v>
      </c>
      <c r="P533">
        <f>IF(AND(MyRowHidden(ROW())=FALSE,MyRowHidden(ROW()-1)=TRUE),0,IF(M533&lt;totalMonths,(totalMonths-M533)/totalMonths *(J533-J532)+P532,0))</f>
        <v>0</v>
      </c>
      <c r="Q533">
        <f>IF(AND(MyRowHidden(ROW())=FALSE,MyRowHidden(ROW()-1)=TRUE),0,IF(M533&lt;totalMonths,(totalMonths-M533)/totalMonths *(K533-K532)+Q532,0))</f>
        <v>0</v>
      </c>
      <c r="R533">
        <f t="shared" si="52"/>
        <v>199290</v>
      </c>
      <c r="S533">
        <f t="shared" si="53"/>
        <v>0</v>
      </c>
    </row>
    <row r="534" spans="1:19" hidden="1" x14ac:dyDescent="0.25">
      <c r="A534" s="1"/>
      <c r="C534" s="1"/>
      <c r="D534" s="1">
        <v>42037</v>
      </c>
      <c r="E534">
        <v>28408</v>
      </c>
      <c r="F534" s="1">
        <v>42037</v>
      </c>
      <c r="G534">
        <v>-2375</v>
      </c>
      <c r="H534" s="1">
        <f t="shared" si="48"/>
        <v>42037</v>
      </c>
      <c r="I534">
        <f>IF(AND(MyRowHidden(ROW())=FALSE,MyRowHidden(ROW()-1)=TRUE),0,(E534-E533)*unitsOfDHp+I533)</f>
        <v>199815</v>
      </c>
      <c r="J534">
        <f>IF(AND(MyRowHidden(ROW())=FALSE,MyRowHidden(ROW()-1)=TRUE),0,(G534-G533)*unitsOfExo+J533)</f>
        <v>-1231200</v>
      </c>
      <c r="K534" s="9">
        <f t="shared" si="49"/>
        <v>1231200</v>
      </c>
      <c r="L534">
        <f t="shared" si="50"/>
        <v>-1031385</v>
      </c>
      <c r="M534">
        <f>IF(AND(MyRowHidden(ROW())=FALSE,MyRowHidden(ROW()-1)=TRUE),0,IF(MONTH(H534)&lt;&gt;MONTH(H533),M533+1,M533))</f>
        <v>25</v>
      </c>
      <c r="N534">
        <f t="shared" si="51"/>
        <v>199815</v>
      </c>
      <c r="O534">
        <f>IF(AND(MyRowHidden(ROW())=FALSE,MyRowHidden(ROW()-1)=TRUE),0,IF(M534&lt;totalMonths,(totalMonths-M534)/totalMonths *(I534-I533)+O533,0))</f>
        <v>0</v>
      </c>
      <c r="P534">
        <f>IF(AND(MyRowHidden(ROW())=FALSE,MyRowHidden(ROW()-1)=TRUE),0,IF(M534&lt;totalMonths,(totalMonths-M534)/totalMonths *(J534-J533)+P533,0))</f>
        <v>0</v>
      </c>
      <c r="Q534">
        <f>IF(AND(MyRowHidden(ROW())=FALSE,MyRowHidden(ROW()-1)=TRUE),0,IF(M534&lt;totalMonths,(totalMonths-M534)/totalMonths *(K534-K533)+Q533,0))</f>
        <v>0</v>
      </c>
      <c r="R534">
        <f t="shared" si="52"/>
        <v>199815</v>
      </c>
      <c r="S534">
        <f t="shared" si="53"/>
        <v>0</v>
      </c>
    </row>
    <row r="535" spans="1:19" hidden="1" x14ac:dyDescent="0.25">
      <c r="A535" s="1"/>
      <c r="C535" s="1"/>
      <c r="D535" s="1">
        <v>42038</v>
      </c>
      <c r="E535">
        <v>28948</v>
      </c>
      <c r="F535" s="1">
        <v>42038</v>
      </c>
      <c r="G535">
        <v>-1600</v>
      </c>
      <c r="H535" s="1">
        <f t="shared" si="48"/>
        <v>42038</v>
      </c>
      <c r="I535">
        <f>IF(AND(MyRowHidden(ROW())=FALSE,MyRowHidden(ROW()-1)=TRUE),0,(E535-E534)*unitsOfDHp+I534)</f>
        <v>218715</v>
      </c>
      <c r="J535">
        <f>IF(AND(MyRowHidden(ROW())=FALSE,MyRowHidden(ROW()-1)=TRUE),0,(G535-G534)*unitsOfExo+J534)</f>
        <v>-1008000</v>
      </c>
      <c r="K535" s="9">
        <f t="shared" si="49"/>
        <v>1008000</v>
      </c>
      <c r="L535">
        <f t="shared" si="50"/>
        <v>-789285</v>
      </c>
      <c r="M535">
        <f>IF(AND(MyRowHidden(ROW())=FALSE,MyRowHidden(ROW()-1)=TRUE),0,IF(MONTH(H535)&lt;&gt;MONTH(H534),M534+1,M534))</f>
        <v>25</v>
      </c>
      <c r="N535">
        <f t="shared" si="51"/>
        <v>218715</v>
      </c>
      <c r="O535">
        <f>IF(AND(MyRowHidden(ROW())=FALSE,MyRowHidden(ROW()-1)=TRUE),0,IF(M535&lt;totalMonths,(totalMonths-M535)/totalMonths *(I535-I534)+O534,0))</f>
        <v>0</v>
      </c>
      <c r="P535">
        <f>IF(AND(MyRowHidden(ROW())=FALSE,MyRowHidden(ROW()-1)=TRUE),0,IF(M535&lt;totalMonths,(totalMonths-M535)/totalMonths *(J535-J534)+P534,0))</f>
        <v>0</v>
      </c>
      <c r="Q535">
        <f>IF(AND(MyRowHidden(ROW())=FALSE,MyRowHidden(ROW()-1)=TRUE),0,IF(M535&lt;totalMonths,(totalMonths-M535)/totalMonths *(K535-K534)+Q534,0))</f>
        <v>0</v>
      </c>
      <c r="R535">
        <f t="shared" si="52"/>
        <v>218715</v>
      </c>
      <c r="S535">
        <f t="shared" si="53"/>
        <v>0</v>
      </c>
    </row>
    <row r="536" spans="1:19" hidden="1" x14ac:dyDescent="0.25">
      <c r="A536" s="1"/>
      <c r="C536" s="1"/>
      <c r="D536" s="1">
        <v>42039</v>
      </c>
      <c r="E536">
        <v>28773</v>
      </c>
      <c r="F536" s="1">
        <v>42039</v>
      </c>
      <c r="G536">
        <v>-1862.5</v>
      </c>
      <c r="H536" s="1">
        <f t="shared" si="48"/>
        <v>42039</v>
      </c>
      <c r="I536">
        <f>IF(AND(MyRowHidden(ROW())=FALSE,MyRowHidden(ROW()-1)=TRUE),0,(E536-E535)*unitsOfDHp+I535)</f>
        <v>212590</v>
      </c>
      <c r="J536">
        <f>IF(AND(MyRowHidden(ROW())=FALSE,MyRowHidden(ROW()-1)=TRUE),0,(G536-G535)*unitsOfExo+J535)</f>
        <v>-1083600</v>
      </c>
      <c r="K536" s="9">
        <f t="shared" si="49"/>
        <v>1083600</v>
      </c>
      <c r="L536">
        <f t="shared" si="50"/>
        <v>-871010</v>
      </c>
      <c r="M536">
        <f>IF(AND(MyRowHidden(ROW())=FALSE,MyRowHidden(ROW()-1)=TRUE),0,IF(MONTH(H536)&lt;&gt;MONTH(H535),M535+1,M535))</f>
        <v>25</v>
      </c>
      <c r="N536">
        <f t="shared" si="51"/>
        <v>212590</v>
      </c>
      <c r="O536">
        <f>IF(AND(MyRowHidden(ROW())=FALSE,MyRowHidden(ROW()-1)=TRUE),0,IF(M536&lt;totalMonths,(totalMonths-M536)/totalMonths *(I536-I535)+O535,0))</f>
        <v>0</v>
      </c>
      <c r="P536">
        <f>IF(AND(MyRowHidden(ROW())=FALSE,MyRowHidden(ROW()-1)=TRUE),0,IF(M536&lt;totalMonths,(totalMonths-M536)/totalMonths *(J536-J535)+P535,0))</f>
        <v>0</v>
      </c>
      <c r="Q536">
        <f>IF(AND(MyRowHidden(ROW())=FALSE,MyRowHidden(ROW()-1)=TRUE),0,IF(M536&lt;totalMonths,(totalMonths-M536)/totalMonths *(K536-K535)+Q535,0))</f>
        <v>0</v>
      </c>
      <c r="R536">
        <f t="shared" si="52"/>
        <v>212590</v>
      </c>
      <c r="S536">
        <f t="shared" si="53"/>
        <v>0</v>
      </c>
    </row>
    <row r="537" spans="1:19" hidden="1" x14ac:dyDescent="0.25">
      <c r="A537" s="1"/>
      <c r="C537" s="1"/>
      <c r="D537" s="1">
        <v>42040</v>
      </c>
      <c r="E537">
        <v>28685</v>
      </c>
      <c r="F537" s="1">
        <v>42040</v>
      </c>
      <c r="G537">
        <v>-1712.5</v>
      </c>
      <c r="H537" s="1">
        <f t="shared" si="48"/>
        <v>42040</v>
      </c>
      <c r="I537">
        <f>IF(AND(MyRowHidden(ROW())=FALSE,MyRowHidden(ROW()-1)=TRUE),0,(E537-E536)*unitsOfDHp+I536)</f>
        <v>209510</v>
      </c>
      <c r="J537">
        <f>IF(AND(MyRowHidden(ROW())=FALSE,MyRowHidden(ROW()-1)=TRUE),0,(G537-G536)*unitsOfExo+J536)</f>
        <v>-1040400</v>
      </c>
      <c r="K537" s="9">
        <f t="shared" si="49"/>
        <v>1040400</v>
      </c>
      <c r="L537">
        <f t="shared" si="50"/>
        <v>-830890</v>
      </c>
      <c r="M537">
        <f>IF(AND(MyRowHidden(ROW())=FALSE,MyRowHidden(ROW()-1)=TRUE),0,IF(MONTH(H537)&lt;&gt;MONTH(H536),M536+1,M536))</f>
        <v>25</v>
      </c>
      <c r="N537">
        <f t="shared" si="51"/>
        <v>209510</v>
      </c>
      <c r="O537">
        <f>IF(AND(MyRowHidden(ROW())=FALSE,MyRowHidden(ROW()-1)=TRUE),0,IF(M537&lt;totalMonths,(totalMonths-M537)/totalMonths *(I537-I536)+O536,0))</f>
        <v>0</v>
      </c>
      <c r="P537">
        <f>IF(AND(MyRowHidden(ROW())=FALSE,MyRowHidden(ROW()-1)=TRUE),0,IF(M537&lt;totalMonths,(totalMonths-M537)/totalMonths *(J537-J536)+P536,0))</f>
        <v>0</v>
      </c>
      <c r="Q537">
        <f>IF(AND(MyRowHidden(ROW())=FALSE,MyRowHidden(ROW()-1)=TRUE),0,IF(M537&lt;totalMonths,(totalMonths-M537)/totalMonths *(K537-K536)+Q536,0))</f>
        <v>0</v>
      </c>
      <c r="R537">
        <f t="shared" si="52"/>
        <v>209510</v>
      </c>
      <c r="S537">
        <f t="shared" si="53"/>
        <v>0</v>
      </c>
    </row>
    <row r="538" spans="1:19" hidden="1" x14ac:dyDescent="0.25">
      <c r="A538" s="1"/>
      <c r="C538" s="1"/>
      <c r="D538" s="1">
        <v>42041</v>
      </c>
      <c r="E538">
        <v>28653</v>
      </c>
      <c r="F538" s="1">
        <v>42041</v>
      </c>
      <c r="G538">
        <v>-1775</v>
      </c>
      <c r="H538" s="1">
        <f t="shared" si="48"/>
        <v>42041</v>
      </c>
      <c r="I538">
        <f>IF(AND(MyRowHidden(ROW())=FALSE,MyRowHidden(ROW()-1)=TRUE),0,(E538-E537)*unitsOfDHp+I537)</f>
        <v>208390</v>
      </c>
      <c r="J538">
        <f>IF(AND(MyRowHidden(ROW())=FALSE,MyRowHidden(ROW()-1)=TRUE),0,(G538-G537)*unitsOfExo+J537)</f>
        <v>-1058400</v>
      </c>
      <c r="K538" s="9">
        <f t="shared" si="49"/>
        <v>1058400</v>
      </c>
      <c r="L538">
        <f t="shared" si="50"/>
        <v>-850010</v>
      </c>
      <c r="M538">
        <f>IF(AND(MyRowHidden(ROW())=FALSE,MyRowHidden(ROW()-1)=TRUE),0,IF(MONTH(H538)&lt;&gt;MONTH(H537),M537+1,M537))</f>
        <v>25</v>
      </c>
      <c r="N538">
        <f t="shared" si="51"/>
        <v>208390</v>
      </c>
      <c r="O538">
        <f>IF(AND(MyRowHidden(ROW())=FALSE,MyRowHidden(ROW()-1)=TRUE),0,IF(M538&lt;totalMonths,(totalMonths-M538)/totalMonths *(I538-I537)+O537,0))</f>
        <v>0</v>
      </c>
      <c r="P538">
        <f>IF(AND(MyRowHidden(ROW())=FALSE,MyRowHidden(ROW()-1)=TRUE),0,IF(M538&lt;totalMonths,(totalMonths-M538)/totalMonths *(J538-J537)+P537,0))</f>
        <v>0</v>
      </c>
      <c r="Q538">
        <f>IF(AND(MyRowHidden(ROW())=FALSE,MyRowHidden(ROW()-1)=TRUE),0,IF(M538&lt;totalMonths,(totalMonths-M538)/totalMonths *(K538-K537)+Q537,0))</f>
        <v>0</v>
      </c>
      <c r="R538">
        <f t="shared" si="52"/>
        <v>208390</v>
      </c>
      <c r="S538">
        <f t="shared" si="53"/>
        <v>0</v>
      </c>
    </row>
    <row r="539" spans="1:19" hidden="1" x14ac:dyDescent="0.25">
      <c r="A539" s="1"/>
      <c r="C539" s="1"/>
      <c r="D539" s="1">
        <v>42044</v>
      </c>
      <c r="E539">
        <v>28422</v>
      </c>
      <c r="F539" s="1">
        <v>42044</v>
      </c>
      <c r="G539">
        <v>-1375</v>
      </c>
      <c r="H539" s="1">
        <f t="shared" si="48"/>
        <v>42044</v>
      </c>
      <c r="I539">
        <f>IF(AND(MyRowHidden(ROW())=FALSE,MyRowHidden(ROW()-1)=TRUE),0,(E539-E538)*unitsOfDHp+I538)</f>
        <v>200305</v>
      </c>
      <c r="J539">
        <f>IF(AND(MyRowHidden(ROW())=FALSE,MyRowHidden(ROW()-1)=TRUE),0,(G539-G538)*unitsOfExo+J538)</f>
        <v>-943200</v>
      </c>
      <c r="K539" s="9">
        <f t="shared" si="49"/>
        <v>943200</v>
      </c>
      <c r="L539">
        <f t="shared" si="50"/>
        <v>-742895</v>
      </c>
      <c r="M539">
        <f>IF(AND(MyRowHidden(ROW())=FALSE,MyRowHidden(ROW()-1)=TRUE),0,IF(MONTH(H539)&lt;&gt;MONTH(H538),M538+1,M538))</f>
        <v>25</v>
      </c>
      <c r="N539">
        <f t="shared" si="51"/>
        <v>200305</v>
      </c>
      <c r="O539">
        <f>IF(AND(MyRowHidden(ROW())=FALSE,MyRowHidden(ROW()-1)=TRUE),0,IF(M539&lt;totalMonths,(totalMonths-M539)/totalMonths *(I539-I538)+O538,0))</f>
        <v>0</v>
      </c>
      <c r="P539">
        <f>IF(AND(MyRowHidden(ROW())=FALSE,MyRowHidden(ROW()-1)=TRUE),0,IF(M539&lt;totalMonths,(totalMonths-M539)/totalMonths *(J539-J538)+P538,0))</f>
        <v>0</v>
      </c>
      <c r="Q539">
        <f>IF(AND(MyRowHidden(ROW())=FALSE,MyRowHidden(ROW()-1)=TRUE),0,IF(M539&lt;totalMonths,(totalMonths-M539)/totalMonths *(K539-K538)+Q538,0))</f>
        <v>0</v>
      </c>
      <c r="R539">
        <f t="shared" si="52"/>
        <v>200305</v>
      </c>
      <c r="S539">
        <f t="shared" si="53"/>
        <v>0</v>
      </c>
    </row>
    <row r="540" spans="1:19" hidden="1" x14ac:dyDescent="0.25">
      <c r="A540" s="1"/>
      <c r="C540" s="1"/>
      <c r="D540" s="1">
        <v>42045</v>
      </c>
      <c r="E540">
        <v>28601</v>
      </c>
      <c r="F540" s="1">
        <v>42045</v>
      </c>
      <c r="G540">
        <v>-1550</v>
      </c>
      <c r="H540" s="1">
        <f t="shared" si="48"/>
        <v>42045</v>
      </c>
      <c r="I540">
        <f>IF(AND(MyRowHidden(ROW())=FALSE,MyRowHidden(ROW()-1)=TRUE),0,(E540-E539)*unitsOfDHp+I539)</f>
        <v>206570</v>
      </c>
      <c r="J540">
        <f>IF(AND(MyRowHidden(ROW())=FALSE,MyRowHidden(ROW()-1)=TRUE),0,(G540-G539)*unitsOfExo+J539)</f>
        <v>-993600</v>
      </c>
      <c r="K540" s="9">
        <f t="shared" si="49"/>
        <v>993600</v>
      </c>
      <c r="L540">
        <f t="shared" si="50"/>
        <v>-787030</v>
      </c>
      <c r="M540">
        <f>IF(AND(MyRowHidden(ROW())=FALSE,MyRowHidden(ROW()-1)=TRUE),0,IF(MONTH(H540)&lt;&gt;MONTH(H539),M539+1,M539))</f>
        <v>25</v>
      </c>
      <c r="N540">
        <f t="shared" si="51"/>
        <v>206570</v>
      </c>
      <c r="O540">
        <f>IF(AND(MyRowHidden(ROW())=FALSE,MyRowHidden(ROW()-1)=TRUE),0,IF(M540&lt;totalMonths,(totalMonths-M540)/totalMonths *(I540-I539)+O539,0))</f>
        <v>0</v>
      </c>
      <c r="P540">
        <f>IF(AND(MyRowHidden(ROW())=FALSE,MyRowHidden(ROW()-1)=TRUE),0,IF(M540&lt;totalMonths,(totalMonths-M540)/totalMonths *(J540-J539)+P539,0))</f>
        <v>0</v>
      </c>
      <c r="Q540">
        <f>IF(AND(MyRowHidden(ROW())=FALSE,MyRowHidden(ROW()-1)=TRUE),0,IF(M540&lt;totalMonths,(totalMonths-M540)/totalMonths *(K540-K539)+Q539,0))</f>
        <v>0</v>
      </c>
      <c r="R540">
        <f t="shared" si="52"/>
        <v>206570</v>
      </c>
      <c r="S540">
        <f t="shared" si="53"/>
        <v>0</v>
      </c>
    </row>
    <row r="541" spans="1:19" hidden="1" x14ac:dyDescent="0.25">
      <c r="A541" s="1"/>
      <c r="C541" s="1"/>
      <c r="D541" s="1">
        <v>42046</v>
      </c>
      <c r="E541">
        <v>28646</v>
      </c>
      <c r="F541" s="1">
        <v>42046</v>
      </c>
      <c r="G541">
        <v>-1550</v>
      </c>
      <c r="H541" s="1">
        <f t="shared" si="48"/>
        <v>42046</v>
      </c>
      <c r="I541">
        <f>IF(AND(MyRowHidden(ROW())=FALSE,MyRowHidden(ROW()-1)=TRUE),0,(E541-E540)*unitsOfDHp+I540)</f>
        <v>208145</v>
      </c>
      <c r="J541">
        <f>IF(AND(MyRowHidden(ROW())=FALSE,MyRowHidden(ROW()-1)=TRUE),0,(G541-G540)*unitsOfExo+J540)</f>
        <v>-993600</v>
      </c>
      <c r="K541" s="9">
        <f t="shared" si="49"/>
        <v>993600</v>
      </c>
      <c r="L541">
        <f t="shared" si="50"/>
        <v>-785455</v>
      </c>
      <c r="M541">
        <f>IF(AND(MyRowHidden(ROW())=FALSE,MyRowHidden(ROW()-1)=TRUE),0,IF(MONTH(H541)&lt;&gt;MONTH(H540),M540+1,M540))</f>
        <v>25</v>
      </c>
      <c r="N541">
        <f t="shared" si="51"/>
        <v>208145</v>
      </c>
      <c r="O541">
        <f>IF(AND(MyRowHidden(ROW())=FALSE,MyRowHidden(ROW()-1)=TRUE),0,IF(M541&lt;totalMonths,(totalMonths-M541)/totalMonths *(I541-I540)+O540,0))</f>
        <v>0</v>
      </c>
      <c r="P541">
        <f>IF(AND(MyRowHidden(ROW())=FALSE,MyRowHidden(ROW()-1)=TRUE),0,IF(M541&lt;totalMonths,(totalMonths-M541)/totalMonths *(J541-J540)+P540,0))</f>
        <v>0</v>
      </c>
      <c r="Q541">
        <f>IF(AND(MyRowHidden(ROW())=FALSE,MyRowHidden(ROW()-1)=TRUE),0,IF(M541&lt;totalMonths,(totalMonths-M541)/totalMonths *(K541-K540)+Q540,0))</f>
        <v>0</v>
      </c>
      <c r="R541">
        <f t="shared" si="52"/>
        <v>208145</v>
      </c>
      <c r="S541">
        <f t="shared" si="53"/>
        <v>0</v>
      </c>
    </row>
    <row r="542" spans="1:19" hidden="1" x14ac:dyDescent="0.25">
      <c r="A542" s="1"/>
      <c r="C542" s="1"/>
      <c r="D542" s="1">
        <v>42047</v>
      </c>
      <c r="E542">
        <v>29167</v>
      </c>
      <c r="F542" s="1">
        <v>42047</v>
      </c>
      <c r="G542">
        <v>-1762.5</v>
      </c>
      <c r="H542" s="1">
        <f t="shared" si="48"/>
        <v>42047</v>
      </c>
      <c r="I542">
        <f>IF(AND(MyRowHidden(ROW())=FALSE,MyRowHidden(ROW()-1)=TRUE),0,(E542-E541)*unitsOfDHp+I541)</f>
        <v>226380</v>
      </c>
      <c r="J542">
        <f>IF(AND(MyRowHidden(ROW())=FALSE,MyRowHidden(ROW()-1)=TRUE),0,(G542-G541)*unitsOfExo+J541)</f>
        <v>-1054800</v>
      </c>
      <c r="K542" s="9">
        <f t="shared" si="49"/>
        <v>1054800</v>
      </c>
      <c r="L542">
        <f t="shared" si="50"/>
        <v>-828420</v>
      </c>
      <c r="M542">
        <f>IF(AND(MyRowHidden(ROW())=FALSE,MyRowHidden(ROW()-1)=TRUE),0,IF(MONTH(H542)&lt;&gt;MONTH(H541),M541+1,M541))</f>
        <v>25</v>
      </c>
      <c r="N542">
        <f t="shared" si="51"/>
        <v>226380</v>
      </c>
      <c r="O542">
        <f>IF(AND(MyRowHidden(ROW())=FALSE,MyRowHidden(ROW()-1)=TRUE),0,IF(M542&lt;totalMonths,(totalMonths-M542)/totalMonths *(I542-I541)+O541,0))</f>
        <v>0</v>
      </c>
      <c r="P542">
        <f>IF(AND(MyRowHidden(ROW())=FALSE,MyRowHidden(ROW()-1)=TRUE),0,IF(M542&lt;totalMonths,(totalMonths-M542)/totalMonths *(J542-J541)+P541,0))</f>
        <v>0</v>
      </c>
      <c r="Q542">
        <f>IF(AND(MyRowHidden(ROW())=FALSE,MyRowHidden(ROW()-1)=TRUE),0,IF(M542&lt;totalMonths,(totalMonths-M542)/totalMonths *(K542-K541)+Q541,0))</f>
        <v>0</v>
      </c>
      <c r="R542">
        <f t="shared" si="52"/>
        <v>226380</v>
      </c>
      <c r="S542">
        <f t="shared" si="53"/>
        <v>0</v>
      </c>
    </row>
    <row r="543" spans="1:19" hidden="1" x14ac:dyDescent="0.25">
      <c r="A543" s="1"/>
      <c r="C543" s="1"/>
      <c r="D543" s="1">
        <v>42048</v>
      </c>
      <c r="E543">
        <v>29162</v>
      </c>
      <c r="F543" s="1">
        <v>42048</v>
      </c>
      <c r="G543">
        <v>-1637.5</v>
      </c>
      <c r="H543" s="1">
        <f t="shared" si="48"/>
        <v>42048</v>
      </c>
      <c r="I543">
        <f>IF(AND(MyRowHidden(ROW())=FALSE,MyRowHidden(ROW()-1)=TRUE),0,(E543-E542)*unitsOfDHp+I542)</f>
        <v>226205</v>
      </c>
      <c r="J543">
        <f>IF(AND(MyRowHidden(ROW())=FALSE,MyRowHidden(ROW()-1)=TRUE),0,(G543-G542)*unitsOfExo+J542)</f>
        <v>-1018800</v>
      </c>
      <c r="K543" s="9">
        <f t="shared" si="49"/>
        <v>1018800</v>
      </c>
      <c r="L543">
        <f t="shared" si="50"/>
        <v>-792595</v>
      </c>
      <c r="M543">
        <f>IF(AND(MyRowHidden(ROW())=FALSE,MyRowHidden(ROW()-1)=TRUE),0,IF(MONTH(H543)&lt;&gt;MONTH(H542),M542+1,M542))</f>
        <v>25</v>
      </c>
      <c r="N543">
        <f t="shared" si="51"/>
        <v>226205</v>
      </c>
      <c r="O543">
        <f>IF(AND(MyRowHidden(ROW())=FALSE,MyRowHidden(ROW()-1)=TRUE),0,IF(M543&lt;totalMonths,(totalMonths-M543)/totalMonths *(I543-I542)+O542,0))</f>
        <v>0</v>
      </c>
      <c r="P543">
        <f>IF(AND(MyRowHidden(ROW())=FALSE,MyRowHidden(ROW()-1)=TRUE),0,IF(M543&lt;totalMonths,(totalMonths-M543)/totalMonths *(J543-J542)+P542,0))</f>
        <v>0</v>
      </c>
      <c r="Q543">
        <f>IF(AND(MyRowHidden(ROW())=FALSE,MyRowHidden(ROW()-1)=TRUE),0,IF(M543&lt;totalMonths,(totalMonths-M543)/totalMonths *(K543-K542)+Q542,0))</f>
        <v>0</v>
      </c>
      <c r="R543">
        <f t="shared" si="52"/>
        <v>226205</v>
      </c>
      <c r="S543">
        <f t="shared" si="53"/>
        <v>0</v>
      </c>
    </row>
    <row r="544" spans="1:19" hidden="1" x14ac:dyDescent="0.25">
      <c r="A544" s="1"/>
      <c r="C544" s="1"/>
      <c r="D544" s="1">
        <v>42052</v>
      </c>
      <c r="E544">
        <v>29188</v>
      </c>
      <c r="F544" s="1">
        <v>42052</v>
      </c>
      <c r="G544">
        <v>-1462.5</v>
      </c>
      <c r="H544" s="1">
        <f t="shared" si="48"/>
        <v>42052</v>
      </c>
      <c r="I544">
        <f>IF(AND(MyRowHidden(ROW())=FALSE,MyRowHidden(ROW()-1)=TRUE),0,(E544-E543)*unitsOfDHp+I543)</f>
        <v>227115</v>
      </c>
      <c r="J544">
        <f>IF(AND(MyRowHidden(ROW())=FALSE,MyRowHidden(ROW()-1)=TRUE),0,(G544-G543)*unitsOfExo+J543)</f>
        <v>-968400</v>
      </c>
      <c r="K544" s="9">
        <f t="shared" si="49"/>
        <v>968400</v>
      </c>
      <c r="L544">
        <f t="shared" si="50"/>
        <v>-741285</v>
      </c>
      <c r="M544">
        <f>IF(AND(MyRowHidden(ROW())=FALSE,MyRowHidden(ROW()-1)=TRUE),0,IF(MONTH(H544)&lt;&gt;MONTH(H543),M543+1,M543))</f>
        <v>25</v>
      </c>
      <c r="N544">
        <f t="shared" si="51"/>
        <v>227115</v>
      </c>
      <c r="O544">
        <f>IF(AND(MyRowHidden(ROW())=FALSE,MyRowHidden(ROW()-1)=TRUE),0,IF(M544&lt;totalMonths,(totalMonths-M544)/totalMonths *(I544-I543)+O543,0))</f>
        <v>0</v>
      </c>
      <c r="P544">
        <f>IF(AND(MyRowHidden(ROW())=FALSE,MyRowHidden(ROW()-1)=TRUE),0,IF(M544&lt;totalMonths,(totalMonths-M544)/totalMonths *(J544-J543)+P543,0))</f>
        <v>0</v>
      </c>
      <c r="Q544">
        <f>IF(AND(MyRowHidden(ROW())=FALSE,MyRowHidden(ROW()-1)=TRUE),0,IF(M544&lt;totalMonths,(totalMonths-M544)/totalMonths *(K544-K543)+Q543,0))</f>
        <v>0</v>
      </c>
      <c r="R544">
        <f t="shared" si="52"/>
        <v>227115</v>
      </c>
      <c r="S544">
        <f t="shared" si="53"/>
        <v>0</v>
      </c>
    </row>
    <row r="545" spans="1:19" hidden="1" x14ac:dyDescent="0.25">
      <c r="A545" s="1"/>
      <c r="C545" s="1"/>
      <c r="D545" s="1">
        <v>42053</v>
      </c>
      <c r="E545">
        <v>29058</v>
      </c>
      <c r="F545" s="1">
        <v>42053</v>
      </c>
      <c r="G545">
        <v>-1725</v>
      </c>
      <c r="H545" s="1">
        <f t="shared" si="48"/>
        <v>42053</v>
      </c>
      <c r="I545">
        <f>IF(AND(MyRowHidden(ROW())=FALSE,MyRowHidden(ROW()-1)=TRUE),0,(E545-E544)*unitsOfDHp+I544)</f>
        <v>222565</v>
      </c>
      <c r="J545">
        <f>IF(AND(MyRowHidden(ROW())=FALSE,MyRowHidden(ROW()-1)=TRUE),0,(G545-G544)*unitsOfExo+J544)</f>
        <v>-1044000</v>
      </c>
      <c r="K545" s="9">
        <f t="shared" si="49"/>
        <v>1044000</v>
      </c>
      <c r="L545">
        <f t="shared" si="50"/>
        <v>-821435</v>
      </c>
      <c r="M545">
        <f>IF(AND(MyRowHidden(ROW())=FALSE,MyRowHidden(ROW()-1)=TRUE),0,IF(MONTH(H545)&lt;&gt;MONTH(H544),M544+1,M544))</f>
        <v>25</v>
      </c>
      <c r="N545">
        <f t="shared" si="51"/>
        <v>222565</v>
      </c>
      <c r="O545">
        <f>IF(AND(MyRowHidden(ROW())=FALSE,MyRowHidden(ROW()-1)=TRUE),0,IF(M545&lt;totalMonths,(totalMonths-M545)/totalMonths *(I545-I544)+O544,0))</f>
        <v>0</v>
      </c>
      <c r="P545">
        <f>IF(AND(MyRowHidden(ROW())=FALSE,MyRowHidden(ROW()-1)=TRUE),0,IF(M545&lt;totalMonths,(totalMonths-M545)/totalMonths *(J545-J544)+P544,0))</f>
        <v>0</v>
      </c>
      <c r="Q545">
        <f>IF(AND(MyRowHidden(ROW())=FALSE,MyRowHidden(ROW()-1)=TRUE),0,IF(M545&lt;totalMonths,(totalMonths-M545)/totalMonths *(K545-K544)+Q544,0))</f>
        <v>0</v>
      </c>
      <c r="R545">
        <f t="shared" si="52"/>
        <v>222565</v>
      </c>
      <c r="S545">
        <f t="shared" si="53"/>
        <v>0</v>
      </c>
    </row>
    <row r="546" spans="1:19" hidden="1" x14ac:dyDescent="0.25">
      <c r="A546" s="1"/>
      <c r="C546" s="1"/>
      <c r="D546" s="1">
        <v>42054</v>
      </c>
      <c r="E546">
        <v>29021</v>
      </c>
      <c r="F546" s="1">
        <v>42054</v>
      </c>
      <c r="G546">
        <v>-1462.5</v>
      </c>
      <c r="H546" s="1">
        <f t="shared" si="48"/>
        <v>42054</v>
      </c>
      <c r="I546">
        <f>IF(AND(MyRowHidden(ROW())=FALSE,MyRowHidden(ROW()-1)=TRUE),0,(E546-E545)*unitsOfDHp+I545)</f>
        <v>221270</v>
      </c>
      <c r="J546">
        <f>IF(AND(MyRowHidden(ROW())=FALSE,MyRowHidden(ROW()-1)=TRUE),0,(G546-G545)*unitsOfExo+J545)</f>
        <v>-968400</v>
      </c>
      <c r="K546" s="9">
        <f t="shared" si="49"/>
        <v>968400</v>
      </c>
      <c r="L546">
        <f t="shared" si="50"/>
        <v>-747130</v>
      </c>
      <c r="M546">
        <f>IF(AND(MyRowHidden(ROW())=FALSE,MyRowHidden(ROW()-1)=TRUE),0,IF(MONTH(H546)&lt;&gt;MONTH(H545),M545+1,M545))</f>
        <v>25</v>
      </c>
      <c r="N546">
        <f t="shared" si="51"/>
        <v>221270</v>
      </c>
      <c r="O546">
        <f>IF(AND(MyRowHidden(ROW())=FALSE,MyRowHidden(ROW()-1)=TRUE),0,IF(M546&lt;totalMonths,(totalMonths-M546)/totalMonths *(I546-I545)+O545,0))</f>
        <v>0</v>
      </c>
      <c r="P546">
        <f>IF(AND(MyRowHidden(ROW())=FALSE,MyRowHidden(ROW()-1)=TRUE),0,IF(M546&lt;totalMonths,(totalMonths-M546)/totalMonths *(J546-J545)+P545,0))</f>
        <v>0</v>
      </c>
      <c r="Q546">
        <f>IF(AND(MyRowHidden(ROW())=FALSE,MyRowHidden(ROW()-1)=TRUE),0,IF(M546&lt;totalMonths,(totalMonths-M546)/totalMonths *(K546-K545)+Q545,0))</f>
        <v>0</v>
      </c>
      <c r="R546">
        <f t="shared" si="52"/>
        <v>221270</v>
      </c>
      <c r="S546">
        <f t="shared" si="53"/>
        <v>0</v>
      </c>
    </row>
    <row r="547" spans="1:19" hidden="1" x14ac:dyDescent="0.25">
      <c r="A547" s="1"/>
      <c r="C547" s="1"/>
      <c r="D547" s="1">
        <v>42055</v>
      </c>
      <c r="E547">
        <v>28807</v>
      </c>
      <c r="F547" s="1">
        <v>42055</v>
      </c>
      <c r="G547">
        <v>-1712.5</v>
      </c>
      <c r="H547" s="1">
        <f t="shared" si="48"/>
        <v>42055</v>
      </c>
      <c r="I547">
        <f>IF(AND(MyRowHidden(ROW())=FALSE,MyRowHidden(ROW()-1)=TRUE),0,(E547-E546)*unitsOfDHp+I546)</f>
        <v>213780</v>
      </c>
      <c r="J547">
        <f>IF(AND(MyRowHidden(ROW())=FALSE,MyRowHidden(ROW()-1)=TRUE),0,(G547-G546)*unitsOfExo+J546)</f>
        <v>-1040400</v>
      </c>
      <c r="K547" s="9">
        <f t="shared" si="49"/>
        <v>1040400</v>
      </c>
      <c r="L547">
        <f t="shared" si="50"/>
        <v>-826620</v>
      </c>
      <c r="M547">
        <f>IF(AND(MyRowHidden(ROW())=FALSE,MyRowHidden(ROW()-1)=TRUE),0,IF(MONTH(H547)&lt;&gt;MONTH(H546),M546+1,M546))</f>
        <v>25</v>
      </c>
      <c r="N547">
        <f t="shared" si="51"/>
        <v>213780</v>
      </c>
      <c r="O547">
        <f>IF(AND(MyRowHidden(ROW())=FALSE,MyRowHidden(ROW()-1)=TRUE),0,IF(M547&lt;totalMonths,(totalMonths-M547)/totalMonths *(I547-I546)+O546,0))</f>
        <v>0</v>
      </c>
      <c r="P547">
        <f>IF(AND(MyRowHidden(ROW())=FALSE,MyRowHidden(ROW()-1)=TRUE),0,IF(M547&lt;totalMonths,(totalMonths-M547)/totalMonths *(J547-J546)+P546,0))</f>
        <v>0</v>
      </c>
      <c r="Q547">
        <f>IF(AND(MyRowHidden(ROW())=FALSE,MyRowHidden(ROW()-1)=TRUE),0,IF(M547&lt;totalMonths,(totalMonths-M547)/totalMonths *(K547-K546)+Q546,0))</f>
        <v>0</v>
      </c>
      <c r="R547">
        <f t="shared" si="52"/>
        <v>213780</v>
      </c>
      <c r="S547">
        <f t="shared" si="53"/>
        <v>0</v>
      </c>
    </row>
    <row r="548" spans="1:19" hidden="1" x14ac:dyDescent="0.25">
      <c r="A548" s="1"/>
      <c r="C548" s="1"/>
      <c r="D548" s="1">
        <v>42058</v>
      </c>
      <c r="E548">
        <v>28588</v>
      </c>
      <c r="F548" s="1">
        <v>42058</v>
      </c>
      <c r="G548">
        <v>-1937.5</v>
      </c>
      <c r="H548" s="1">
        <f t="shared" si="48"/>
        <v>42058</v>
      </c>
      <c r="I548">
        <f>IF(AND(MyRowHidden(ROW())=FALSE,MyRowHidden(ROW()-1)=TRUE),0,(E548-E547)*unitsOfDHp+I547)</f>
        <v>206115</v>
      </c>
      <c r="J548">
        <f>IF(AND(MyRowHidden(ROW())=FALSE,MyRowHidden(ROW()-1)=TRUE),0,(G548-G547)*unitsOfExo+J547)</f>
        <v>-1105200</v>
      </c>
      <c r="K548" s="9">
        <f t="shared" si="49"/>
        <v>1105200</v>
      </c>
      <c r="L548">
        <f t="shared" si="50"/>
        <v>-899085</v>
      </c>
      <c r="M548">
        <f>IF(AND(MyRowHidden(ROW())=FALSE,MyRowHidden(ROW()-1)=TRUE),0,IF(MONTH(H548)&lt;&gt;MONTH(H547),M547+1,M547))</f>
        <v>25</v>
      </c>
      <c r="N548">
        <f t="shared" si="51"/>
        <v>206115</v>
      </c>
      <c r="O548">
        <f>IF(AND(MyRowHidden(ROW())=FALSE,MyRowHidden(ROW()-1)=TRUE),0,IF(M548&lt;totalMonths,(totalMonths-M548)/totalMonths *(I548-I547)+O547,0))</f>
        <v>0</v>
      </c>
      <c r="P548">
        <f>IF(AND(MyRowHidden(ROW())=FALSE,MyRowHidden(ROW()-1)=TRUE),0,IF(M548&lt;totalMonths,(totalMonths-M548)/totalMonths *(J548-J547)+P547,0))</f>
        <v>0</v>
      </c>
      <c r="Q548">
        <f>IF(AND(MyRowHidden(ROW())=FALSE,MyRowHidden(ROW()-1)=TRUE),0,IF(M548&lt;totalMonths,(totalMonths-M548)/totalMonths *(K548-K547)+Q547,0))</f>
        <v>0</v>
      </c>
      <c r="R548">
        <f t="shared" si="52"/>
        <v>206115</v>
      </c>
      <c r="S548">
        <f t="shared" si="53"/>
        <v>0</v>
      </c>
    </row>
    <row r="549" spans="1:19" hidden="1" x14ac:dyDescent="0.25">
      <c r="A549" s="1"/>
      <c r="C549" s="1"/>
      <c r="D549" s="1">
        <v>42059</v>
      </c>
      <c r="E549">
        <v>28577</v>
      </c>
      <c r="F549" s="1">
        <v>42059</v>
      </c>
      <c r="G549">
        <v>-1975</v>
      </c>
      <c r="H549" s="1">
        <f t="shared" si="48"/>
        <v>42059</v>
      </c>
      <c r="I549">
        <f>IF(AND(MyRowHidden(ROW())=FALSE,MyRowHidden(ROW()-1)=TRUE),0,(E549-E548)*unitsOfDHp+I548)</f>
        <v>205730</v>
      </c>
      <c r="J549">
        <f>IF(AND(MyRowHidden(ROW())=FALSE,MyRowHidden(ROW()-1)=TRUE),0,(G549-G548)*unitsOfExo+J548)</f>
        <v>-1116000</v>
      </c>
      <c r="K549" s="9">
        <f t="shared" si="49"/>
        <v>1116000</v>
      </c>
      <c r="L549">
        <f t="shared" si="50"/>
        <v>-910270</v>
      </c>
      <c r="M549">
        <f>IF(AND(MyRowHidden(ROW())=FALSE,MyRowHidden(ROW()-1)=TRUE),0,IF(MONTH(H549)&lt;&gt;MONTH(H548),M548+1,M548))</f>
        <v>25</v>
      </c>
      <c r="N549">
        <f t="shared" si="51"/>
        <v>205730</v>
      </c>
      <c r="O549">
        <f>IF(AND(MyRowHidden(ROW())=FALSE,MyRowHidden(ROW()-1)=TRUE),0,IF(M549&lt;totalMonths,(totalMonths-M549)/totalMonths *(I549-I548)+O548,0))</f>
        <v>0</v>
      </c>
      <c r="P549">
        <f>IF(AND(MyRowHidden(ROW())=FALSE,MyRowHidden(ROW()-1)=TRUE),0,IF(M549&lt;totalMonths,(totalMonths-M549)/totalMonths *(J549-J548)+P548,0))</f>
        <v>0</v>
      </c>
      <c r="Q549">
        <f>IF(AND(MyRowHidden(ROW())=FALSE,MyRowHidden(ROW()-1)=TRUE),0,IF(M549&lt;totalMonths,(totalMonths-M549)/totalMonths *(K549-K548)+Q548,0))</f>
        <v>0</v>
      </c>
      <c r="R549">
        <f t="shared" si="52"/>
        <v>205730</v>
      </c>
      <c r="S549">
        <f t="shared" si="53"/>
        <v>0</v>
      </c>
    </row>
    <row r="550" spans="1:19" hidden="1" x14ac:dyDescent="0.25">
      <c r="A550" s="1"/>
      <c r="C550" s="1"/>
      <c r="D550" s="1">
        <v>42060</v>
      </c>
      <c r="E550">
        <v>28393</v>
      </c>
      <c r="F550" s="1">
        <v>42060</v>
      </c>
      <c r="G550">
        <v>-2262.5</v>
      </c>
      <c r="H550" s="1">
        <f t="shared" si="48"/>
        <v>42060</v>
      </c>
      <c r="I550">
        <f>IF(AND(MyRowHidden(ROW())=FALSE,MyRowHidden(ROW()-1)=TRUE),0,(E550-E549)*unitsOfDHp+I549)</f>
        <v>199290</v>
      </c>
      <c r="J550">
        <f>IF(AND(MyRowHidden(ROW())=FALSE,MyRowHidden(ROW()-1)=TRUE),0,(G550-G549)*unitsOfExo+J549)</f>
        <v>-1198800</v>
      </c>
      <c r="K550" s="9">
        <f t="shared" si="49"/>
        <v>1198800</v>
      </c>
      <c r="L550">
        <f t="shared" si="50"/>
        <v>-999510</v>
      </c>
      <c r="M550">
        <f>IF(AND(MyRowHidden(ROW())=FALSE,MyRowHidden(ROW()-1)=TRUE),0,IF(MONTH(H550)&lt;&gt;MONTH(H549),M549+1,M549))</f>
        <v>25</v>
      </c>
      <c r="N550">
        <f t="shared" si="51"/>
        <v>199290</v>
      </c>
      <c r="O550">
        <f>IF(AND(MyRowHidden(ROW())=FALSE,MyRowHidden(ROW()-1)=TRUE),0,IF(M550&lt;totalMonths,(totalMonths-M550)/totalMonths *(I550-I549)+O549,0))</f>
        <v>0</v>
      </c>
      <c r="P550">
        <f>IF(AND(MyRowHidden(ROW())=FALSE,MyRowHidden(ROW()-1)=TRUE),0,IF(M550&lt;totalMonths,(totalMonths-M550)/totalMonths *(J550-J549)+P549,0))</f>
        <v>0</v>
      </c>
      <c r="Q550">
        <f>IF(AND(MyRowHidden(ROW())=FALSE,MyRowHidden(ROW()-1)=TRUE),0,IF(M550&lt;totalMonths,(totalMonths-M550)/totalMonths *(K550-K549)+Q549,0))</f>
        <v>0</v>
      </c>
      <c r="R550">
        <f t="shared" si="52"/>
        <v>199290</v>
      </c>
      <c r="S550">
        <f t="shared" si="53"/>
        <v>0</v>
      </c>
    </row>
    <row r="551" spans="1:19" hidden="1" x14ac:dyDescent="0.25">
      <c r="A551" s="1"/>
      <c r="C551" s="1"/>
      <c r="D551" s="1">
        <v>42061</v>
      </c>
      <c r="E551">
        <v>28626</v>
      </c>
      <c r="F551" s="1">
        <v>42061</v>
      </c>
      <c r="G551">
        <v>-1925</v>
      </c>
      <c r="H551" s="1">
        <f t="shared" si="48"/>
        <v>42061</v>
      </c>
      <c r="I551">
        <f>IF(AND(MyRowHidden(ROW())=FALSE,MyRowHidden(ROW()-1)=TRUE),0,(E551-E550)*unitsOfDHp+I550)</f>
        <v>207445</v>
      </c>
      <c r="J551">
        <f>IF(AND(MyRowHidden(ROW())=FALSE,MyRowHidden(ROW()-1)=TRUE),0,(G551-G550)*unitsOfExo+J550)</f>
        <v>-1101600</v>
      </c>
      <c r="K551" s="9">
        <f t="shared" si="49"/>
        <v>1101600</v>
      </c>
      <c r="L551">
        <f t="shared" si="50"/>
        <v>-894155</v>
      </c>
      <c r="M551">
        <f>IF(AND(MyRowHidden(ROW())=FALSE,MyRowHidden(ROW()-1)=TRUE),0,IF(MONTH(H551)&lt;&gt;MONTH(H550),M550+1,M550))</f>
        <v>25</v>
      </c>
      <c r="N551">
        <f t="shared" si="51"/>
        <v>207445</v>
      </c>
      <c r="O551">
        <f>IF(AND(MyRowHidden(ROW())=FALSE,MyRowHidden(ROW()-1)=TRUE),0,IF(M551&lt;totalMonths,(totalMonths-M551)/totalMonths *(I551-I550)+O550,0))</f>
        <v>0</v>
      </c>
      <c r="P551">
        <f>IF(AND(MyRowHidden(ROW())=FALSE,MyRowHidden(ROW()-1)=TRUE),0,IF(M551&lt;totalMonths,(totalMonths-M551)/totalMonths *(J551-J550)+P550,0))</f>
        <v>0</v>
      </c>
      <c r="Q551">
        <f>IF(AND(MyRowHidden(ROW())=FALSE,MyRowHidden(ROW()-1)=TRUE),0,IF(M551&lt;totalMonths,(totalMonths-M551)/totalMonths *(K551-K550)+Q550,0))</f>
        <v>0</v>
      </c>
      <c r="R551">
        <f t="shared" si="52"/>
        <v>207445</v>
      </c>
      <c r="S551">
        <f t="shared" si="53"/>
        <v>0</v>
      </c>
    </row>
    <row r="552" spans="1:19" hidden="1" x14ac:dyDescent="0.25">
      <c r="A552" s="1"/>
      <c r="C552" s="1"/>
      <c r="D552" s="1">
        <v>42062</v>
      </c>
      <c r="E552">
        <v>29249</v>
      </c>
      <c r="F552" s="1">
        <v>42062</v>
      </c>
      <c r="G552">
        <v>-1562.5</v>
      </c>
      <c r="H552" s="1">
        <f t="shared" si="48"/>
        <v>42062</v>
      </c>
      <c r="I552">
        <f>IF(AND(MyRowHidden(ROW())=FALSE,MyRowHidden(ROW()-1)=TRUE),0,(E552-E551)*unitsOfDHp+I551)</f>
        <v>229250</v>
      </c>
      <c r="J552">
        <f>IF(AND(MyRowHidden(ROW())=FALSE,MyRowHidden(ROW()-1)=TRUE),0,(G552-G551)*unitsOfExo+J551)</f>
        <v>-997200</v>
      </c>
      <c r="K552" s="9">
        <f t="shared" si="49"/>
        <v>997200</v>
      </c>
      <c r="L552">
        <f t="shared" si="50"/>
        <v>-767950</v>
      </c>
      <c r="M552">
        <f>IF(AND(MyRowHidden(ROW())=FALSE,MyRowHidden(ROW()-1)=TRUE),0,IF(MONTH(H552)&lt;&gt;MONTH(H551),M551+1,M551))</f>
        <v>25</v>
      </c>
      <c r="N552">
        <f t="shared" si="51"/>
        <v>229250</v>
      </c>
      <c r="O552">
        <f>IF(AND(MyRowHidden(ROW())=FALSE,MyRowHidden(ROW()-1)=TRUE),0,IF(M552&lt;totalMonths,(totalMonths-M552)/totalMonths *(I552-I551)+O551,0))</f>
        <v>0</v>
      </c>
      <c r="P552">
        <f>IF(AND(MyRowHidden(ROW())=FALSE,MyRowHidden(ROW()-1)=TRUE),0,IF(M552&lt;totalMonths,(totalMonths-M552)/totalMonths *(J552-J551)+P551,0))</f>
        <v>0</v>
      </c>
      <c r="Q552">
        <f>IF(AND(MyRowHidden(ROW())=FALSE,MyRowHidden(ROW()-1)=TRUE),0,IF(M552&lt;totalMonths,(totalMonths-M552)/totalMonths *(K552-K551)+Q551,0))</f>
        <v>0</v>
      </c>
      <c r="R552">
        <f t="shared" si="52"/>
        <v>229250</v>
      </c>
      <c r="S552">
        <f t="shared" si="53"/>
        <v>0</v>
      </c>
    </row>
    <row r="553" spans="1:19" hidden="1" x14ac:dyDescent="0.25">
      <c r="A553" s="1"/>
      <c r="C553" s="1"/>
      <c r="D553" s="1">
        <v>42065</v>
      </c>
      <c r="E553">
        <v>29012</v>
      </c>
      <c r="F553" s="1">
        <v>42065</v>
      </c>
      <c r="G553">
        <v>-1975</v>
      </c>
      <c r="H553" s="1">
        <f t="shared" si="48"/>
        <v>42065</v>
      </c>
      <c r="I553">
        <f>IF(AND(MyRowHidden(ROW())=FALSE,MyRowHidden(ROW()-1)=TRUE),0,(E553-E552)*unitsOfDHp+I552)</f>
        <v>220955</v>
      </c>
      <c r="J553">
        <f>IF(AND(MyRowHidden(ROW())=FALSE,MyRowHidden(ROW()-1)=TRUE),0,(G553-G552)*unitsOfExo+J552)</f>
        <v>-1116000</v>
      </c>
      <c r="K553" s="9">
        <f t="shared" si="49"/>
        <v>1116000</v>
      </c>
      <c r="L553">
        <f t="shared" si="50"/>
        <v>-895045</v>
      </c>
      <c r="M553">
        <f>IF(AND(MyRowHidden(ROW())=FALSE,MyRowHidden(ROW()-1)=TRUE),0,IF(MONTH(H553)&lt;&gt;MONTH(H552),M552+1,M552))</f>
        <v>26</v>
      </c>
      <c r="N553">
        <f t="shared" si="51"/>
        <v>220955</v>
      </c>
      <c r="O553">
        <f>IF(AND(MyRowHidden(ROW())=FALSE,MyRowHidden(ROW()-1)=TRUE),0,IF(M553&lt;totalMonths,(totalMonths-M553)/totalMonths *(I553-I552)+O552,0))</f>
        <v>0</v>
      </c>
      <c r="P553">
        <f>IF(AND(MyRowHidden(ROW())=FALSE,MyRowHidden(ROW()-1)=TRUE),0,IF(M553&lt;totalMonths,(totalMonths-M553)/totalMonths *(J553-J552)+P552,0))</f>
        <v>0</v>
      </c>
      <c r="Q553">
        <f>IF(AND(MyRowHidden(ROW())=FALSE,MyRowHidden(ROW()-1)=TRUE),0,IF(M553&lt;totalMonths,(totalMonths-M553)/totalMonths *(K553-K552)+Q552,0))</f>
        <v>0</v>
      </c>
      <c r="R553">
        <f t="shared" si="52"/>
        <v>220955</v>
      </c>
      <c r="S553">
        <f t="shared" si="53"/>
        <v>0</v>
      </c>
    </row>
    <row r="554" spans="1:19" hidden="1" x14ac:dyDescent="0.25">
      <c r="A554" s="1"/>
      <c r="C554" s="1"/>
      <c r="D554" s="1">
        <v>42066</v>
      </c>
      <c r="E554">
        <v>28961</v>
      </c>
      <c r="F554" s="1">
        <v>42066</v>
      </c>
      <c r="G554">
        <v>-1850</v>
      </c>
      <c r="H554" s="1">
        <f t="shared" si="48"/>
        <v>42066</v>
      </c>
      <c r="I554">
        <f>IF(AND(MyRowHidden(ROW())=FALSE,MyRowHidden(ROW()-1)=TRUE),0,(E554-E553)*unitsOfDHp+I553)</f>
        <v>219170</v>
      </c>
      <c r="J554">
        <f>IF(AND(MyRowHidden(ROW())=FALSE,MyRowHidden(ROW()-1)=TRUE),0,(G554-G553)*unitsOfExo+J553)</f>
        <v>-1080000</v>
      </c>
      <c r="K554" s="9">
        <f t="shared" si="49"/>
        <v>1080000</v>
      </c>
      <c r="L554">
        <f t="shared" si="50"/>
        <v>-860830</v>
      </c>
      <c r="M554">
        <f>IF(AND(MyRowHidden(ROW())=FALSE,MyRowHidden(ROW()-1)=TRUE),0,IF(MONTH(H554)&lt;&gt;MONTH(H553),M553+1,M553))</f>
        <v>26</v>
      </c>
      <c r="N554">
        <f t="shared" si="51"/>
        <v>219170</v>
      </c>
      <c r="O554">
        <f>IF(AND(MyRowHidden(ROW())=FALSE,MyRowHidden(ROW()-1)=TRUE),0,IF(M554&lt;totalMonths,(totalMonths-M554)/totalMonths *(I554-I553)+O553,0))</f>
        <v>0</v>
      </c>
      <c r="P554">
        <f>IF(AND(MyRowHidden(ROW())=FALSE,MyRowHidden(ROW()-1)=TRUE),0,IF(M554&lt;totalMonths,(totalMonths-M554)/totalMonths *(J554-J553)+P553,0))</f>
        <v>0</v>
      </c>
      <c r="Q554">
        <f>IF(AND(MyRowHidden(ROW())=FALSE,MyRowHidden(ROW()-1)=TRUE),0,IF(M554&lt;totalMonths,(totalMonths-M554)/totalMonths *(K554-K553)+Q553,0))</f>
        <v>0</v>
      </c>
      <c r="R554">
        <f t="shared" si="52"/>
        <v>219170</v>
      </c>
      <c r="S554">
        <f t="shared" si="53"/>
        <v>0</v>
      </c>
    </row>
    <row r="555" spans="1:19" hidden="1" x14ac:dyDescent="0.25">
      <c r="A555" s="1"/>
      <c r="C555" s="1"/>
      <c r="D555" s="1">
        <v>42067</v>
      </c>
      <c r="E555">
        <v>28955</v>
      </c>
      <c r="F555" s="1">
        <v>42067</v>
      </c>
      <c r="G555">
        <v>-1875</v>
      </c>
      <c r="H555" s="1">
        <f t="shared" si="48"/>
        <v>42067</v>
      </c>
      <c r="I555">
        <f>IF(AND(MyRowHidden(ROW())=FALSE,MyRowHidden(ROW()-1)=TRUE),0,(E555-E554)*unitsOfDHp+I554)</f>
        <v>218960</v>
      </c>
      <c r="J555">
        <f>IF(AND(MyRowHidden(ROW())=FALSE,MyRowHidden(ROW()-1)=TRUE),0,(G555-G554)*unitsOfExo+J554)</f>
        <v>-1087200</v>
      </c>
      <c r="K555" s="9">
        <f t="shared" si="49"/>
        <v>1087200</v>
      </c>
      <c r="L555">
        <f t="shared" si="50"/>
        <v>-868240</v>
      </c>
      <c r="M555">
        <f>IF(AND(MyRowHidden(ROW())=FALSE,MyRowHidden(ROW()-1)=TRUE),0,IF(MONTH(H555)&lt;&gt;MONTH(H554),M554+1,M554))</f>
        <v>26</v>
      </c>
      <c r="N555">
        <f t="shared" si="51"/>
        <v>218960</v>
      </c>
      <c r="O555">
        <f>IF(AND(MyRowHidden(ROW())=FALSE,MyRowHidden(ROW()-1)=TRUE),0,IF(M555&lt;totalMonths,(totalMonths-M555)/totalMonths *(I555-I554)+O554,0))</f>
        <v>0</v>
      </c>
      <c r="P555">
        <f>IF(AND(MyRowHidden(ROW())=FALSE,MyRowHidden(ROW()-1)=TRUE),0,IF(M555&lt;totalMonths,(totalMonths-M555)/totalMonths *(J555-J554)+P554,0))</f>
        <v>0</v>
      </c>
      <c r="Q555">
        <f>IF(AND(MyRowHidden(ROW())=FALSE,MyRowHidden(ROW()-1)=TRUE),0,IF(M555&lt;totalMonths,(totalMonths-M555)/totalMonths *(K555-K554)+Q554,0))</f>
        <v>0</v>
      </c>
      <c r="R555">
        <f t="shared" si="52"/>
        <v>218960</v>
      </c>
      <c r="S555">
        <f t="shared" si="53"/>
        <v>0</v>
      </c>
    </row>
    <row r="556" spans="1:19" hidden="1" x14ac:dyDescent="0.25">
      <c r="A556" s="1"/>
      <c r="C556" s="1"/>
      <c r="D556" s="1">
        <v>42068</v>
      </c>
      <c r="E556">
        <v>28927</v>
      </c>
      <c r="F556" s="1">
        <v>42068</v>
      </c>
      <c r="G556">
        <v>-1750</v>
      </c>
      <c r="H556" s="1">
        <f t="shared" si="48"/>
        <v>42068</v>
      </c>
      <c r="I556">
        <f>IF(AND(MyRowHidden(ROW())=FALSE,MyRowHidden(ROW()-1)=TRUE),0,(E556-E555)*unitsOfDHp+I555)</f>
        <v>217980</v>
      </c>
      <c r="J556">
        <f>IF(AND(MyRowHidden(ROW())=FALSE,MyRowHidden(ROW()-1)=TRUE),0,(G556-G555)*unitsOfExo+J555)</f>
        <v>-1051200</v>
      </c>
      <c r="K556" s="9">
        <f t="shared" si="49"/>
        <v>1051200</v>
      </c>
      <c r="L556">
        <f t="shared" si="50"/>
        <v>-833220</v>
      </c>
      <c r="M556">
        <f>IF(AND(MyRowHidden(ROW())=FALSE,MyRowHidden(ROW()-1)=TRUE),0,IF(MONTH(H556)&lt;&gt;MONTH(H555),M555+1,M555))</f>
        <v>26</v>
      </c>
      <c r="N556">
        <f t="shared" si="51"/>
        <v>217980</v>
      </c>
      <c r="O556">
        <f>IF(AND(MyRowHidden(ROW())=FALSE,MyRowHidden(ROW()-1)=TRUE),0,IF(M556&lt;totalMonths,(totalMonths-M556)/totalMonths *(I556-I555)+O555,0))</f>
        <v>0</v>
      </c>
      <c r="P556">
        <f>IF(AND(MyRowHidden(ROW())=FALSE,MyRowHidden(ROW()-1)=TRUE),0,IF(M556&lt;totalMonths,(totalMonths-M556)/totalMonths *(J556-J555)+P555,0))</f>
        <v>0</v>
      </c>
      <c r="Q556">
        <f>IF(AND(MyRowHidden(ROW())=FALSE,MyRowHidden(ROW()-1)=TRUE),0,IF(M556&lt;totalMonths,(totalMonths-M556)/totalMonths *(K556-K555)+Q555,0))</f>
        <v>0</v>
      </c>
      <c r="R556">
        <f t="shared" si="52"/>
        <v>217980</v>
      </c>
      <c r="S556">
        <f t="shared" si="53"/>
        <v>0</v>
      </c>
    </row>
    <row r="557" spans="1:19" hidden="1" x14ac:dyDescent="0.25">
      <c r="A557" s="1"/>
      <c r="C557" s="1"/>
      <c r="D557" s="1">
        <v>42069</v>
      </c>
      <c r="E557">
        <v>28890</v>
      </c>
      <c r="F557" s="1">
        <v>42069</v>
      </c>
      <c r="G557">
        <v>-2050</v>
      </c>
      <c r="H557" s="1">
        <f t="shared" si="48"/>
        <v>42069</v>
      </c>
      <c r="I557">
        <f>IF(AND(MyRowHidden(ROW())=FALSE,MyRowHidden(ROW()-1)=TRUE),0,(E557-E556)*unitsOfDHp+I556)</f>
        <v>216685</v>
      </c>
      <c r="J557">
        <f>IF(AND(MyRowHidden(ROW())=FALSE,MyRowHidden(ROW()-1)=TRUE),0,(G557-G556)*unitsOfExo+J556)</f>
        <v>-1137600</v>
      </c>
      <c r="K557" s="9">
        <f t="shared" si="49"/>
        <v>1137600</v>
      </c>
      <c r="L557">
        <f t="shared" si="50"/>
        <v>-920915</v>
      </c>
      <c r="M557">
        <f>IF(AND(MyRowHidden(ROW())=FALSE,MyRowHidden(ROW()-1)=TRUE),0,IF(MONTH(H557)&lt;&gt;MONTH(H556),M556+1,M556))</f>
        <v>26</v>
      </c>
      <c r="N557">
        <f t="shared" si="51"/>
        <v>216685</v>
      </c>
      <c r="O557">
        <f>IF(AND(MyRowHidden(ROW())=FALSE,MyRowHidden(ROW()-1)=TRUE),0,IF(M557&lt;totalMonths,(totalMonths-M557)/totalMonths *(I557-I556)+O556,0))</f>
        <v>0</v>
      </c>
      <c r="P557">
        <f>IF(AND(MyRowHidden(ROW())=FALSE,MyRowHidden(ROW()-1)=TRUE),0,IF(M557&lt;totalMonths,(totalMonths-M557)/totalMonths *(J557-J556)+P556,0))</f>
        <v>0</v>
      </c>
      <c r="Q557">
        <f>IF(AND(MyRowHidden(ROW())=FALSE,MyRowHidden(ROW()-1)=TRUE),0,IF(M557&lt;totalMonths,(totalMonths-M557)/totalMonths *(K557-K556)+Q556,0))</f>
        <v>0</v>
      </c>
      <c r="R557">
        <f t="shared" si="52"/>
        <v>216685</v>
      </c>
      <c r="S557">
        <f t="shared" si="53"/>
        <v>0</v>
      </c>
    </row>
    <row r="558" spans="1:19" hidden="1" x14ac:dyDescent="0.25">
      <c r="A558" s="1"/>
      <c r="C558" s="1"/>
      <c r="D558" s="1">
        <v>42072</v>
      </c>
      <c r="E558">
        <v>29109</v>
      </c>
      <c r="F558" s="1">
        <v>42072</v>
      </c>
      <c r="G558">
        <v>-1700</v>
      </c>
      <c r="H558" s="1">
        <f t="shared" si="48"/>
        <v>42072</v>
      </c>
      <c r="I558">
        <f>IF(AND(MyRowHidden(ROW())=FALSE,MyRowHidden(ROW()-1)=TRUE),0,(E558-E557)*unitsOfDHp+I557)</f>
        <v>224350</v>
      </c>
      <c r="J558">
        <f>IF(AND(MyRowHidden(ROW())=FALSE,MyRowHidden(ROW()-1)=TRUE),0,(G558-G557)*unitsOfExo+J557)</f>
        <v>-1036800</v>
      </c>
      <c r="K558" s="9">
        <f t="shared" si="49"/>
        <v>1036800</v>
      </c>
      <c r="L558">
        <f t="shared" si="50"/>
        <v>-812450</v>
      </c>
      <c r="M558">
        <f>IF(AND(MyRowHidden(ROW())=FALSE,MyRowHidden(ROW()-1)=TRUE),0,IF(MONTH(H558)&lt;&gt;MONTH(H557),M557+1,M557))</f>
        <v>26</v>
      </c>
      <c r="N558">
        <f t="shared" si="51"/>
        <v>224350</v>
      </c>
      <c r="O558">
        <f>IF(AND(MyRowHidden(ROW())=FALSE,MyRowHidden(ROW()-1)=TRUE),0,IF(M558&lt;totalMonths,(totalMonths-M558)/totalMonths *(I558-I557)+O557,0))</f>
        <v>0</v>
      </c>
      <c r="P558">
        <f>IF(AND(MyRowHidden(ROW())=FALSE,MyRowHidden(ROW()-1)=TRUE),0,IF(M558&lt;totalMonths,(totalMonths-M558)/totalMonths *(J558-J557)+P557,0))</f>
        <v>0</v>
      </c>
      <c r="Q558">
        <f>IF(AND(MyRowHidden(ROW())=FALSE,MyRowHidden(ROW()-1)=TRUE),0,IF(M558&lt;totalMonths,(totalMonths-M558)/totalMonths *(K558-K557)+Q557,0))</f>
        <v>0</v>
      </c>
      <c r="R558">
        <f t="shared" si="52"/>
        <v>224350</v>
      </c>
      <c r="S558">
        <f t="shared" si="53"/>
        <v>0</v>
      </c>
    </row>
    <row r="559" spans="1:19" hidden="1" x14ac:dyDescent="0.25">
      <c r="A559" s="1"/>
      <c r="C559" s="1"/>
      <c r="D559" s="1">
        <v>42073</v>
      </c>
      <c r="E559">
        <v>28958</v>
      </c>
      <c r="F559" s="1">
        <v>42073</v>
      </c>
      <c r="G559">
        <v>-1900</v>
      </c>
      <c r="H559" s="1">
        <f t="shared" si="48"/>
        <v>42073</v>
      </c>
      <c r="I559">
        <f>IF(AND(MyRowHidden(ROW())=FALSE,MyRowHidden(ROW()-1)=TRUE),0,(E559-E558)*unitsOfDHp+I558)</f>
        <v>219065</v>
      </c>
      <c r="J559">
        <f>IF(AND(MyRowHidden(ROW())=FALSE,MyRowHidden(ROW()-1)=TRUE),0,(G559-G558)*unitsOfExo+J558)</f>
        <v>-1094400</v>
      </c>
      <c r="K559" s="9">
        <f t="shared" si="49"/>
        <v>1094400</v>
      </c>
      <c r="L559">
        <f t="shared" si="50"/>
        <v>-875335</v>
      </c>
      <c r="M559">
        <f>IF(AND(MyRowHidden(ROW())=FALSE,MyRowHidden(ROW()-1)=TRUE),0,IF(MONTH(H559)&lt;&gt;MONTH(H558),M558+1,M558))</f>
        <v>26</v>
      </c>
      <c r="N559">
        <f t="shared" si="51"/>
        <v>219065</v>
      </c>
      <c r="O559">
        <f>IF(AND(MyRowHidden(ROW())=FALSE,MyRowHidden(ROW()-1)=TRUE),0,IF(M559&lt;totalMonths,(totalMonths-M559)/totalMonths *(I559-I558)+O558,0))</f>
        <v>0</v>
      </c>
      <c r="P559">
        <f>IF(AND(MyRowHidden(ROW())=FALSE,MyRowHidden(ROW()-1)=TRUE),0,IF(M559&lt;totalMonths,(totalMonths-M559)/totalMonths *(J559-J558)+P558,0))</f>
        <v>0</v>
      </c>
      <c r="Q559">
        <f>IF(AND(MyRowHidden(ROW())=FALSE,MyRowHidden(ROW()-1)=TRUE),0,IF(M559&lt;totalMonths,(totalMonths-M559)/totalMonths *(K559-K558)+Q558,0))</f>
        <v>0</v>
      </c>
      <c r="R559">
        <f t="shared" si="52"/>
        <v>219065</v>
      </c>
      <c r="S559">
        <f t="shared" si="53"/>
        <v>0</v>
      </c>
    </row>
    <row r="560" spans="1:19" hidden="1" x14ac:dyDescent="0.25">
      <c r="A560" s="1"/>
      <c r="C560" s="1"/>
      <c r="D560" s="1">
        <v>42074</v>
      </c>
      <c r="E560">
        <v>29107</v>
      </c>
      <c r="F560" s="1">
        <v>42074</v>
      </c>
      <c r="G560">
        <v>-1675</v>
      </c>
      <c r="H560" s="1">
        <f t="shared" si="48"/>
        <v>42074</v>
      </c>
      <c r="I560">
        <f>IF(AND(MyRowHidden(ROW())=FALSE,MyRowHidden(ROW()-1)=TRUE),0,(E560-E559)*unitsOfDHp+I559)</f>
        <v>224280</v>
      </c>
      <c r="J560">
        <f>IF(AND(MyRowHidden(ROW())=FALSE,MyRowHidden(ROW()-1)=TRUE),0,(G560-G559)*unitsOfExo+J559)</f>
        <v>-1029600</v>
      </c>
      <c r="K560" s="9">
        <f t="shared" si="49"/>
        <v>1029600</v>
      </c>
      <c r="L560">
        <f t="shared" si="50"/>
        <v>-805320</v>
      </c>
      <c r="M560">
        <f>IF(AND(MyRowHidden(ROW())=FALSE,MyRowHidden(ROW()-1)=TRUE),0,IF(MONTH(H560)&lt;&gt;MONTH(H559),M559+1,M559))</f>
        <v>26</v>
      </c>
      <c r="N560">
        <f t="shared" si="51"/>
        <v>224280</v>
      </c>
      <c r="O560">
        <f>IF(AND(MyRowHidden(ROW())=FALSE,MyRowHidden(ROW()-1)=TRUE),0,IF(M560&lt;totalMonths,(totalMonths-M560)/totalMonths *(I560-I559)+O559,0))</f>
        <v>0</v>
      </c>
      <c r="P560">
        <f>IF(AND(MyRowHidden(ROW())=FALSE,MyRowHidden(ROW()-1)=TRUE),0,IF(M560&lt;totalMonths,(totalMonths-M560)/totalMonths *(J560-J559)+P559,0))</f>
        <v>0</v>
      </c>
      <c r="Q560">
        <f>IF(AND(MyRowHidden(ROW())=FALSE,MyRowHidden(ROW()-1)=TRUE),0,IF(M560&lt;totalMonths,(totalMonths-M560)/totalMonths *(K560-K559)+Q559,0))</f>
        <v>0</v>
      </c>
      <c r="R560">
        <f t="shared" si="52"/>
        <v>224280</v>
      </c>
      <c r="S560">
        <f t="shared" si="53"/>
        <v>0</v>
      </c>
    </row>
    <row r="561" spans="1:19" hidden="1" x14ac:dyDescent="0.25">
      <c r="A561" s="1"/>
      <c r="C561" s="1"/>
      <c r="D561" s="1">
        <v>42075</v>
      </c>
      <c r="E561">
        <v>29106</v>
      </c>
      <c r="F561" s="1">
        <v>42075</v>
      </c>
      <c r="G561">
        <v>-1775</v>
      </c>
      <c r="H561" s="1">
        <f t="shared" si="48"/>
        <v>42075</v>
      </c>
      <c r="I561">
        <f>IF(AND(MyRowHidden(ROW())=FALSE,MyRowHidden(ROW()-1)=TRUE),0,(E561-E560)*unitsOfDHp+I560)</f>
        <v>224245</v>
      </c>
      <c r="J561">
        <f>IF(AND(MyRowHidden(ROW())=FALSE,MyRowHidden(ROW()-1)=TRUE),0,(G561-G560)*unitsOfExo+J560)</f>
        <v>-1058400</v>
      </c>
      <c r="K561" s="9">
        <f t="shared" si="49"/>
        <v>1058400</v>
      </c>
      <c r="L561">
        <f t="shared" si="50"/>
        <v>-834155</v>
      </c>
      <c r="M561">
        <f>IF(AND(MyRowHidden(ROW())=FALSE,MyRowHidden(ROW()-1)=TRUE),0,IF(MONTH(H561)&lt;&gt;MONTH(H560),M560+1,M560))</f>
        <v>26</v>
      </c>
      <c r="N561">
        <f t="shared" si="51"/>
        <v>224245</v>
      </c>
      <c r="O561">
        <f>IF(AND(MyRowHidden(ROW())=FALSE,MyRowHidden(ROW()-1)=TRUE),0,IF(M561&lt;totalMonths,(totalMonths-M561)/totalMonths *(I561-I560)+O560,0))</f>
        <v>0</v>
      </c>
      <c r="P561">
        <f>IF(AND(MyRowHidden(ROW())=FALSE,MyRowHidden(ROW()-1)=TRUE),0,IF(M561&lt;totalMonths,(totalMonths-M561)/totalMonths *(J561-J560)+P560,0))</f>
        <v>0</v>
      </c>
      <c r="Q561">
        <f>IF(AND(MyRowHidden(ROW())=FALSE,MyRowHidden(ROW()-1)=TRUE),0,IF(M561&lt;totalMonths,(totalMonths-M561)/totalMonths *(K561-K560)+Q560,0))</f>
        <v>0</v>
      </c>
      <c r="R561">
        <f t="shared" si="52"/>
        <v>224245</v>
      </c>
      <c r="S561">
        <f t="shared" si="53"/>
        <v>0</v>
      </c>
    </row>
    <row r="562" spans="1:19" hidden="1" x14ac:dyDescent="0.25">
      <c r="A562" s="1"/>
      <c r="C562" s="1"/>
      <c r="D562" s="1">
        <v>42076</v>
      </c>
      <c r="E562">
        <v>29273</v>
      </c>
      <c r="F562" s="1">
        <v>42076</v>
      </c>
      <c r="G562">
        <v>-2187.5</v>
      </c>
      <c r="H562" s="1">
        <f t="shared" si="48"/>
        <v>42076</v>
      </c>
      <c r="I562">
        <f>IF(AND(MyRowHidden(ROW())=FALSE,MyRowHidden(ROW()-1)=TRUE),0,(E562-E561)*unitsOfDHp+I561)</f>
        <v>230090</v>
      </c>
      <c r="J562">
        <f>IF(AND(MyRowHidden(ROW())=FALSE,MyRowHidden(ROW()-1)=TRUE),0,(G562-G561)*unitsOfExo+J561)</f>
        <v>-1177200</v>
      </c>
      <c r="K562" s="9">
        <f t="shared" si="49"/>
        <v>1177200</v>
      </c>
      <c r="L562">
        <f t="shared" si="50"/>
        <v>-947110</v>
      </c>
      <c r="M562">
        <f>IF(AND(MyRowHidden(ROW())=FALSE,MyRowHidden(ROW()-1)=TRUE),0,IF(MONTH(H562)&lt;&gt;MONTH(H561),M561+1,M561))</f>
        <v>26</v>
      </c>
      <c r="N562">
        <f t="shared" si="51"/>
        <v>230090</v>
      </c>
      <c r="O562">
        <f>IF(AND(MyRowHidden(ROW())=FALSE,MyRowHidden(ROW()-1)=TRUE),0,IF(M562&lt;totalMonths,(totalMonths-M562)/totalMonths *(I562-I561)+O561,0))</f>
        <v>0</v>
      </c>
      <c r="P562">
        <f>IF(AND(MyRowHidden(ROW())=FALSE,MyRowHidden(ROW()-1)=TRUE),0,IF(M562&lt;totalMonths,(totalMonths-M562)/totalMonths *(J562-J561)+P561,0))</f>
        <v>0</v>
      </c>
      <c r="Q562">
        <f>IF(AND(MyRowHidden(ROW())=FALSE,MyRowHidden(ROW()-1)=TRUE),0,IF(M562&lt;totalMonths,(totalMonths-M562)/totalMonths *(K562-K561)+Q561,0))</f>
        <v>0</v>
      </c>
      <c r="R562">
        <f t="shared" si="52"/>
        <v>230090</v>
      </c>
      <c r="S562">
        <f t="shared" si="53"/>
        <v>0</v>
      </c>
    </row>
    <row r="563" spans="1:19" hidden="1" x14ac:dyDescent="0.25">
      <c r="A563" s="1"/>
      <c r="C563" s="1"/>
      <c r="D563" s="1">
        <v>42079</v>
      </c>
      <c r="E563">
        <v>28974</v>
      </c>
      <c r="F563" s="1">
        <v>42079</v>
      </c>
      <c r="G563">
        <v>-2312.5</v>
      </c>
      <c r="H563" s="1">
        <f t="shared" si="48"/>
        <v>42079</v>
      </c>
      <c r="I563">
        <f>IF(AND(MyRowHidden(ROW())=FALSE,MyRowHidden(ROW()-1)=TRUE),0,(E563-E562)*unitsOfDHp+I562)</f>
        <v>219625</v>
      </c>
      <c r="J563">
        <f>IF(AND(MyRowHidden(ROW())=FALSE,MyRowHidden(ROW()-1)=TRUE),0,(G563-G562)*unitsOfExo+J562)</f>
        <v>-1213200</v>
      </c>
      <c r="K563" s="9">
        <f t="shared" si="49"/>
        <v>1213200</v>
      </c>
      <c r="L563">
        <f t="shared" si="50"/>
        <v>-993575</v>
      </c>
      <c r="M563">
        <f>IF(AND(MyRowHidden(ROW())=FALSE,MyRowHidden(ROW()-1)=TRUE),0,IF(MONTH(H563)&lt;&gt;MONTH(H562),M562+1,M562))</f>
        <v>26</v>
      </c>
      <c r="N563">
        <f t="shared" si="51"/>
        <v>219625</v>
      </c>
      <c r="O563">
        <f>IF(AND(MyRowHidden(ROW())=FALSE,MyRowHidden(ROW()-1)=TRUE),0,IF(M563&lt;totalMonths,(totalMonths-M563)/totalMonths *(I563-I562)+O562,0))</f>
        <v>0</v>
      </c>
      <c r="P563">
        <f>IF(AND(MyRowHidden(ROW())=FALSE,MyRowHidden(ROW()-1)=TRUE),0,IF(M563&lt;totalMonths,(totalMonths-M563)/totalMonths *(J563-J562)+P562,0))</f>
        <v>0</v>
      </c>
      <c r="Q563">
        <f>IF(AND(MyRowHidden(ROW())=FALSE,MyRowHidden(ROW()-1)=TRUE),0,IF(M563&lt;totalMonths,(totalMonths-M563)/totalMonths *(K563-K562)+Q562,0))</f>
        <v>0</v>
      </c>
      <c r="R563">
        <f t="shared" si="52"/>
        <v>219625</v>
      </c>
      <c r="S563">
        <f t="shared" si="53"/>
        <v>0</v>
      </c>
    </row>
    <row r="564" spans="1:19" hidden="1" x14ac:dyDescent="0.25">
      <c r="A564" s="1"/>
      <c r="C564" s="1"/>
      <c r="D564" s="1">
        <v>42080</v>
      </c>
      <c r="E564">
        <v>27890</v>
      </c>
      <c r="F564" s="1">
        <v>42080</v>
      </c>
      <c r="G564">
        <v>-2712.5</v>
      </c>
      <c r="H564" s="1">
        <f t="shared" si="48"/>
        <v>42080</v>
      </c>
      <c r="I564">
        <f>IF(AND(MyRowHidden(ROW())=FALSE,MyRowHidden(ROW()-1)=TRUE),0,(E564-E563)*unitsOfDHp+I563)</f>
        <v>181685</v>
      </c>
      <c r="J564">
        <f>IF(AND(MyRowHidden(ROW())=FALSE,MyRowHidden(ROW()-1)=TRUE),0,(G564-G563)*unitsOfExo+J563)</f>
        <v>-1328400</v>
      </c>
      <c r="K564" s="9">
        <f t="shared" si="49"/>
        <v>1328400</v>
      </c>
      <c r="L564">
        <f t="shared" si="50"/>
        <v>-1146715</v>
      </c>
      <c r="M564">
        <f>IF(AND(MyRowHidden(ROW())=FALSE,MyRowHidden(ROW()-1)=TRUE),0,IF(MONTH(H564)&lt;&gt;MONTH(H563),M563+1,M563))</f>
        <v>26</v>
      </c>
      <c r="N564">
        <f t="shared" si="51"/>
        <v>181685</v>
      </c>
      <c r="O564">
        <f>IF(AND(MyRowHidden(ROW())=FALSE,MyRowHidden(ROW()-1)=TRUE),0,IF(M564&lt;totalMonths,(totalMonths-M564)/totalMonths *(I564-I563)+O563,0))</f>
        <v>0</v>
      </c>
      <c r="P564">
        <f>IF(AND(MyRowHidden(ROW())=FALSE,MyRowHidden(ROW()-1)=TRUE),0,IF(M564&lt;totalMonths,(totalMonths-M564)/totalMonths *(J564-J563)+P563,0))</f>
        <v>0</v>
      </c>
      <c r="Q564">
        <f>IF(AND(MyRowHidden(ROW())=FALSE,MyRowHidden(ROW()-1)=TRUE),0,IF(M564&lt;totalMonths,(totalMonths-M564)/totalMonths *(K564-K563)+Q563,0))</f>
        <v>0</v>
      </c>
      <c r="R564">
        <f t="shared" si="52"/>
        <v>181685</v>
      </c>
      <c r="S564">
        <f t="shared" si="53"/>
        <v>0</v>
      </c>
    </row>
    <row r="565" spans="1:19" hidden="1" x14ac:dyDescent="0.25">
      <c r="A565" s="1"/>
      <c r="C565" s="1"/>
      <c r="D565" s="1">
        <v>42081</v>
      </c>
      <c r="E565">
        <v>28127</v>
      </c>
      <c r="F565" s="1">
        <v>42081</v>
      </c>
      <c r="G565">
        <v>-2612.5</v>
      </c>
      <c r="H565" s="1">
        <f t="shared" si="48"/>
        <v>42081</v>
      </c>
      <c r="I565">
        <f>IF(AND(MyRowHidden(ROW())=FALSE,MyRowHidden(ROW()-1)=TRUE),0,(E565-E564)*unitsOfDHp+I564)</f>
        <v>189980</v>
      </c>
      <c r="J565">
        <f>IF(AND(MyRowHidden(ROW())=FALSE,MyRowHidden(ROW()-1)=TRUE),0,(G565-G564)*unitsOfExo+J564)</f>
        <v>-1299600</v>
      </c>
      <c r="K565" s="9">
        <f t="shared" si="49"/>
        <v>1299600</v>
      </c>
      <c r="L565">
        <f t="shared" si="50"/>
        <v>-1109620</v>
      </c>
      <c r="M565">
        <f>IF(AND(MyRowHidden(ROW())=FALSE,MyRowHidden(ROW()-1)=TRUE),0,IF(MONTH(H565)&lt;&gt;MONTH(H564),M564+1,M564))</f>
        <v>26</v>
      </c>
      <c r="N565">
        <f t="shared" si="51"/>
        <v>189980</v>
      </c>
      <c r="O565">
        <f>IF(AND(MyRowHidden(ROW())=FALSE,MyRowHidden(ROW()-1)=TRUE),0,IF(M565&lt;totalMonths,(totalMonths-M565)/totalMonths *(I565-I564)+O564,0))</f>
        <v>0</v>
      </c>
      <c r="P565">
        <f>IF(AND(MyRowHidden(ROW())=FALSE,MyRowHidden(ROW()-1)=TRUE),0,IF(M565&lt;totalMonths,(totalMonths-M565)/totalMonths *(J565-J564)+P564,0))</f>
        <v>0</v>
      </c>
      <c r="Q565">
        <f>IF(AND(MyRowHidden(ROW())=FALSE,MyRowHidden(ROW()-1)=TRUE),0,IF(M565&lt;totalMonths,(totalMonths-M565)/totalMonths *(K565-K564)+Q564,0))</f>
        <v>0</v>
      </c>
      <c r="R565">
        <f t="shared" si="52"/>
        <v>189980</v>
      </c>
      <c r="S565">
        <f t="shared" si="53"/>
        <v>0</v>
      </c>
    </row>
    <row r="566" spans="1:19" hidden="1" x14ac:dyDescent="0.25">
      <c r="A566" s="1"/>
      <c r="C566" s="1"/>
      <c r="D566" s="1">
        <v>42082</v>
      </c>
      <c r="E566">
        <v>28140</v>
      </c>
      <c r="F566" s="1">
        <v>42082</v>
      </c>
      <c r="G566">
        <v>-2612.5</v>
      </c>
      <c r="H566" s="1">
        <f t="shared" si="48"/>
        <v>42082</v>
      </c>
      <c r="I566">
        <f>IF(AND(MyRowHidden(ROW())=FALSE,MyRowHidden(ROW()-1)=TRUE),0,(E566-E565)*unitsOfDHp+I565)</f>
        <v>190435</v>
      </c>
      <c r="J566">
        <f>IF(AND(MyRowHidden(ROW())=FALSE,MyRowHidden(ROW()-1)=TRUE),0,(G566-G565)*unitsOfExo+J565)</f>
        <v>-1299600</v>
      </c>
      <c r="K566" s="9">
        <f t="shared" si="49"/>
        <v>1299600</v>
      </c>
      <c r="L566">
        <f t="shared" si="50"/>
        <v>-1109165</v>
      </c>
      <c r="M566">
        <f>IF(AND(MyRowHidden(ROW())=FALSE,MyRowHidden(ROW()-1)=TRUE),0,IF(MONTH(H566)&lt;&gt;MONTH(H565),M565+1,M565))</f>
        <v>26</v>
      </c>
      <c r="N566">
        <f t="shared" si="51"/>
        <v>190435</v>
      </c>
      <c r="O566">
        <f>IF(AND(MyRowHidden(ROW())=FALSE,MyRowHidden(ROW()-1)=TRUE),0,IF(M566&lt;totalMonths,(totalMonths-M566)/totalMonths *(I566-I565)+O565,0))</f>
        <v>0</v>
      </c>
      <c r="P566">
        <f>IF(AND(MyRowHidden(ROW())=FALSE,MyRowHidden(ROW()-1)=TRUE),0,IF(M566&lt;totalMonths,(totalMonths-M566)/totalMonths *(J566-J565)+P565,0))</f>
        <v>0</v>
      </c>
      <c r="Q566">
        <f>IF(AND(MyRowHidden(ROW())=FALSE,MyRowHidden(ROW()-1)=TRUE),0,IF(M566&lt;totalMonths,(totalMonths-M566)/totalMonths *(K566-K565)+Q565,0))</f>
        <v>0</v>
      </c>
      <c r="R566">
        <f t="shared" si="52"/>
        <v>190435</v>
      </c>
      <c r="S566">
        <f t="shared" si="53"/>
        <v>0</v>
      </c>
    </row>
    <row r="567" spans="1:19" hidden="1" x14ac:dyDescent="0.25">
      <c r="A567" s="1"/>
      <c r="C567" s="1"/>
      <c r="D567" s="1">
        <v>42083</v>
      </c>
      <c r="E567">
        <v>29898</v>
      </c>
      <c r="F567" s="1">
        <v>42083</v>
      </c>
      <c r="G567">
        <v>-1937.5</v>
      </c>
      <c r="H567" s="1">
        <f t="shared" si="48"/>
        <v>42083</v>
      </c>
      <c r="I567">
        <f>IF(AND(MyRowHidden(ROW())=FALSE,MyRowHidden(ROW()-1)=TRUE),0,(E567-E566)*unitsOfDHp+I566)</f>
        <v>251965</v>
      </c>
      <c r="J567">
        <f>IF(AND(MyRowHidden(ROW())=FALSE,MyRowHidden(ROW()-1)=TRUE),0,(G567-G566)*unitsOfExo+J566)</f>
        <v>-1105200</v>
      </c>
      <c r="K567" s="9">
        <f t="shared" si="49"/>
        <v>1105200</v>
      </c>
      <c r="L567">
        <f t="shared" si="50"/>
        <v>-853235</v>
      </c>
      <c r="M567">
        <f>IF(AND(MyRowHidden(ROW())=FALSE,MyRowHidden(ROW()-1)=TRUE),0,IF(MONTH(H567)&lt;&gt;MONTH(H566),M566+1,M566))</f>
        <v>26</v>
      </c>
      <c r="N567">
        <f t="shared" si="51"/>
        <v>251965</v>
      </c>
      <c r="O567">
        <f>IF(AND(MyRowHidden(ROW())=FALSE,MyRowHidden(ROW()-1)=TRUE),0,IF(M567&lt;totalMonths,(totalMonths-M567)/totalMonths *(I567-I566)+O566,0))</f>
        <v>0</v>
      </c>
      <c r="P567">
        <f>IF(AND(MyRowHidden(ROW())=FALSE,MyRowHidden(ROW()-1)=TRUE),0,IF(M567&lt;totalMonths,(totalMonths-M567)/totalMonths *(J567-J566)+P566,0))</f>
        <v>0</v>
      </c>
      <c r="Q567">
        <f>IF(AND(MyRowHidden(ROW())=FALSE,MyRowHidden(ROW()-1)=TRUE),0,IF(M567&lt;totalMonths,(totalMonths-M567)/totalMonths *(K567-K566)+Q566,0))</f>
        <v>0</v>
      </c>
      <c r="R567">
        <f t="shared" si="52"/>
        <v>251965</v>
      </c>
      <c r="S567">
        <f t="shared" si="53"/>
        <v>0</v>
      </c>
    </row>
    <row r="568" spans="1:19" hidden="1" x14ac:dyDescent="0.25">
      <c r="A568" s="1"/>
      <c r="C568" s="1"/>
      <c r="D568" s="1">
        <v>42086</v>
      </c>
      <c r="E568">
        <v>30272</v>
      </c>
      <c r="F568" s="1">
        <v>42086</v>
      </c>
      <c r="G568">
        <v>-1700</v>
      </c>
      <c r="H568" s="1">
        <f t="shared" si="48"/>
        <v>42086</v>
      </c>
      <c r="I568">
        <f>IF(AND(MyRowHidden(ROW())=FALSE,MyRowHidden(ROW()-1)=TRUE),0,(E568-E567)*unitsOfDHp+I567)</f>
        <v>265055</v>
      </c>
      <c r="J568">
        <f>IF(AND(MyRowHidden(ROW())=FALSE,MyRowHidden(ROW()-1)=TRUE),0,(G568-G567)*unitsOfExo+J567)</f>
        <v>-1036800</v>
      </c>
      <c r="K568" s="9">
        <f t="shared" si="49"/>
        <v>1036800</v>
      </c>
      <c r="L568">
        <f t="shared" si="50"/>
        <v>-771745</v>
      </c>
      <c r="M568">
        <f>IF(AND(MyRowHidden(ROW())=FALSE,MyRowHidden(ROW()-1)=TRUE),0,IF(MONTH(H568)&lt;&gt;MONTH(H567),M567+1,M567))</f>
        <v>26</v>
      </c>
      <c r="N568">
        <f t="shared" si="51"/>
        <v>265055</v>
      </c>
      <c r="O568">
        <f>IF(AND(MyRowHidden(ROW())=FALSE,MyRowHidden(ROW()-1)=TRUE),0,IF(M568&lt;totalMonths,(totalMonths-M568)/totalMonths *(I568-I567)+O567,0))</f>
        <v>0</v>
      </c>
      <c r="P568">
        <f>IF(AND(MyRowHidden(ROW())=FALSE,MyRowHidden(ROW()-1)=TRUE),0,IF(M568&lt;totalMonths,(totalMonths-M568)/totalMonths *(J568-J567)+P567,0))</f>
        <v>0</v>
      </c>
      <c r="Q568">
        <f>IF(AND(MyRowHidden(ROW())=FALSE,MyRowHidden(ROW()-1)=TRUE),0,IF(M568&lt;totalMonths,(totalMonths-M568)/totalMonths *(K568-K567)+Q567,0))</f>
        <v>0</v>
      </c>
      <c r="R568">
        <f t="shared" si="52"/>
        <v>265055</v>
      </c>
      <c r="S568">
        <f t="shared" si="53"/>
        <v>0</v>
      </c>
    </row>
    <row r="569" spans="1:19" hidden="1" x14ac:dyDescent="0.25">
      <c r="A569" s="1"/>
      <c r="C569" s="1"/>
      <c r="D569" s="1">
        <v>42087</v>
      </c>
      <c r="E569">
        <v>30549</v>
      </c>
      <c r="F569" s="1">
        <v>42087</v>
      </c>
      <c r="G569">
        <v>-1600</v>
      </c>
      <c r="H569" s="1">
        <f t="shared" si="48"/>
        <v>42087</v>
      </c>
      <c r="I569">
        <f>IF(AND(MyRowHidden(ROW())=FALSE,MyRowHidden(ROW()-1)=TRUE),0,(E569-E568)*unitsOfDHp+I568)</f>
        <v>274750</v>
      </c>
      <c r="J569">
        <f>IF(AND(MyRowHidden(ROW())=FALSE,MyRowHidden(ROW()-1)=TRUE),0,(G569-G568)*unitsOfExo+J568)</f>
        <v>-1008000</v>
      </c>
      <c r="K569" s="9">
        <f t="shared" si="49"/>
        <v>1008000</v>
      </c>
      <c r="L569">
        <f t="shared" si="50"/>
        <v>-733250</v>
      </c>
      <c r="M569">
        <f>IF(AND(MyRowHidden(ROW())=FALSE,MyRowHidden(ROW()-1)=TRUE),0,IF(MONTH(H569)&lt;&gt;MONTH(H568),M568+1,M568))</f>
        <v>26</v>
      </c>
      <c r="N569">
        <f t="shared" si="51"/>
        <v>274750</v>
      </c>
      <c r="O569">
        <f>IF(AND(MyRowHidden(ROW())=FALSE,MyRowHidden(ROW()-1)=TRUE),0,IF(M569&lt;totalMonths,(totalMonths-M569)/totalMonths *(I569-I568)+O568,0))</f>
        <v>0</v>
      </c>
      <c r="P569">
        <f>IF(AND(MyRowHidden(ROW())=FALSE,MyRowHidden(ROW()-1)=TRUE),0,IF(M569&lt;totalMonths,(totalMonths-M569)/totalMonths *(J569-J568)+P568,0))</f>
        <v>0</v>
      </c>
      <c r="Q569">
        <f>IF(AND(MyRowHidden(ROW())=FALSE,MyRowHidden(ROW()-1)=TRUE),0,IF(M569&lt;totalMonths,(totalMonths-M569)/totalMonths *(K569-K568)+Q568,0))</f>
        <v>0</v>
      </c>
      <c r="R569">
        <f t="shared" si="52"/>
        <v>274750</v>
      </c>
      <c r="S569">
        <f t="shared" si="53"/>
        <v>0</v>
      </c>
    </row>
    <row r="570" spans="1:19" hidden="1" x14ac:dyDescent="0.25">
      <c r="A570" s="1"/>
      <c r="C570" s="1"/>
      <c r="D570" s="1">
        <v>42088</v>
      </c>
      <c r="E570">
        <v>30403</v>
      </c>
      <c r="F570" s="1">
        <v>42088</v>
      </c>
      <c r="G570">
        <v>-1475</v>
      </c>
      <c r="H570" s="1">
        <f t="shared" si="48"/>
        <v>42088</v>
      </c>
      <c r="I570">
        <f>IF(AND(MyRowHidden(ROW())=FALSE,MyRowHidden(ROW()-1)=TRUE),0,(E570-E569)*unitsOfDHp+I569)</f>
        <v>269640</v>
      </c>
      <c r="J570">
        <f>IF(AND(MyRowHidden(ROW())=FALSE,MyRowHidden(ROW()-1)=TRUE),0,(G570-G569)*unitsOfExo+J569)</f>
        <v>-972000</v>
      </c>
      <c r="K570" s="9">
        <f t="shared" si="49"/>
        <v>972000</v>
      </c>
      <c r="L570">
        <f t="shared" si="50"/>
        <v>-702360</v>
      </c>
      <c r="M570">
        <f>IF(AND(MyRowHidden(ROW())=FALSE,MyRowHidden(ROW()-1)=TRUE),0,IF(MONTH(H570)&lt;&gt;MONTH(H569),M569+1,M569))</f>
        <v>26</v>
      </c>
      <c r="N570">
        <f t="shared" si="51"/>
        <v>269640</v>
      </c>
      <c r="O570">
        <f>IF(AND(MyRowHidden(ROW())=FALSE,MyRowHidden(ROW()-1)=TRUE),0,IF(M570&lt;totalMonths,(totalMonths-M570)/totalMonths *(I570-I569)+O569,0))</f>
        <v>0</v>
      </c>
      <c r="P570">
        <f>IF(AND(MyRowHidden(ROW())=FALSE,MyRowHidden(ROW()-1)=TRUE),0,IF(M570&lt;totalMonths,(totalMonths-M570)/totalMonths *(J570-J569)+P569,0))</f>
        <v>0</v>
      </c>
      <c r="Q570">
        <f>IF(AND(MyRowHidden(ROW())=FALSE,MyRowHidden(ROW()-1)=TRUE),0,IF(M570&lt;totalMonths,(totalMonths-M570)/totalMonths *(K570-K569)+Q569,0))</f>
        <v>0</v>
      </c>
      <c r="R570">
        <f t="shared" si="52"/>
        <v>269640</v>
      </c>
      <c r="S570">
        <f t="shared" si="53"/>
        <v>0</v>
      </c>
    </row>
    <row r="571" spans="1:19" hidden="1" x14ac:dyDescent="0.25">
      <c r="A571" s="1"/>
      <c r="C571" s="1"/>
      <c r="D571" s="1">
        <v>42089</v>
      </c>
      <c r="E571">
        <v>30417</v>
      </c>
      <c r="F571" s="1">
        <v>42089</v>
      </c>
      <c r="G571">
        <v>-1687.5</v>
      </c>
      <c r="H571" s="1">
        <f t="shared" si="48"/>
        <v>42089</v>
      </c>
      <c r="I571">
        <f>IF(AND(MyRowHidden(ROW())=FALSE,MyRowHidden(ROW()-1)=TRUE),0,(E571-E570)*unitsOfDHp+I570)</f>
        <v>270130</v>
      </c>
      <c r="J571">
        <f>IF(AND(MyRowHidden(ROW())=FALSE,MyRowHidden(ROW()-1)=TRUE),0,(G571-G570)*unitsOfExo+J570)</f>
        <v>-1033200</v>
      </c>
      <c r="K571" s="9">
        <f t="shared" si="49"/>
        <v>1033200</v>
      </c>
      <c r="L571">
        <f t="shared" si="50"/>
        <v>-763070</v>
      </c>
      <c r="M571">
        <f>IF(AND(MyRowHidden(ROW())=FALSE,MyRowHidden(ROW()-1)=TRUE),0,IF(MONTH(H571)&lt;&gt;MONTH(H570),M570+1,M570))</f>
        <v>26</v>
      </c>
      <c r="N571">
        <f t="shared" si="51"/>
        <v>270130</v>
      </c>
      <c r="O571">
        <f>IF(AND(MyRowHidden(ROW())=FALSE,MyRowHidden(ROW()-1)=TRUE),0,IF(M571&lt;totalMonths,(totalMonths-M571)/totalMonths *(I571-I570)+O570,0))</f>
        <v>0</v>
      </c>
      <c r="P571">
        <f>IF(AND(MyRowHidden(ROW())=FALSE,MyRowHidden(ROW()-1)=TRUE),0,IF(M571&lt;totalMonths,(totalMonths-M571)/totalMonths *(J571-J570)+P570,0))</f>
        <v>0</v>
      </c>
      <c r="Q571">
        <f>IF(AND(MyRowHidden(ROW())=FALSE,MyRowHidden(ROW()-1)=TRUE),0,IF(M571&lt;totalMonths,(totalMonths-M571)/totalMonths *(K571-K570)+Q570,0))</f>
        <v>0</v>
      </c>
      <c r="R571">
        <f t="shared" si="52"/>
        <v>270130</v>
      </c>
      <c r="S571">
        <f t="shared" si="53"/>
        <v>0</v>
      </c>
    </row>
    <row r="572" spans="1:19" hidden="1" x14ac:dyDescent="0.25">
      <c r="A572" s="1"/>
      <c r="C572" s="1"/>
      <c r="D572" s="1">
        <v>42090</v>
      </c>
      <c r="E572">
        <v>30482</v>
      </c>
      <c r="F572" s="1">
        <v>42090</v>
      </c>
      <c r="G572">
        <v>-1700</v>
      </c>
      <c r="H572" s="1">
        <f t="shared" si="48"/>
        <v>42090</v>
      </c>
      <c r="I572">
        <f>IF(AND(MyRowHidden(ROW())=FALSE,MyRowHidden(ROW()-1)=TRUE),0,(E572-E571)*unitsOfDHp+I571)</f>
        <v>272405</v>
      </c>
      <c r="J572">
        <f>IF(AND(MyRowHidden(ROW())=FALSE,MyRowHidden(ROW()-1)=TRUE),0,(G572-G571)*unitsOfExo+J571)</f>
        <v>-1036800</v>
      </c>
      <c r="K572" s="9">
        <f t="shared" si="49"/>
        <v>1036800</v>
      </c>
      <c r="L572">
        <f t="shared" si="50"/>
        <v>-764395</v>
      </c>
      <c r="M572">
        <f>IF(AND(MyRowHidden(ROW())=FALSE,MyRowHidden(ROW()-1)=TRUE),0,IF(MONTH(H572)&lt;&gt;MONTH(H571),M571+1,M571))</f>
        <v>26</v>
      </c>
      <c r="N572">
        <f t="shared" si="51"/>
        <v>272405</v>
      </c>
      <c r="O572">
        <f>IF(AND(MyRowHidden(ROW())=FALSE,MyRowHidden(ROW()-1)=TRUE),0,IF(M572&lt;totalMonths,(totalMonths-M572)/totalMonths *(I572-I571)+O571,0))</f>
        <v>0</v>
      </c>
      <c r="P572">
        <f>IF(AND(MyRowHidden(ROW())=FALSE,MyRowHidden(ROW()-1)=TRUE),0,IF(M572&lt;totalMonths,(totalMonths-M572)/totalMonths *(J572-J571)+P571,0))</f>
        <v>0</v>
      </c>
      <c r="Q572">
        <f>IF(AND(MyRowHidden(ROW())=FALSE,MyRowHidden(ROW()-1)=TRUE),0,IF(M572&lt;totalMonths,(totalMonths-M572)/totalMonths *(K572-K571)+Q571,0))</f>
        <v>0</v>
      </c>
      <c r="R572">
        <f t="shared" si="52"/>
        <v>272405</v>
      </c>
      <c r="S572">
        <f t="shared" si="53"/>
        <v>0</v>
      </c>
    </row>
    <row r="573" spans="1:19" hidden="1" x14ac:dyDescent="0.25">
      <c r="A573" s="1"/>
      <c r="C573" s="1"/>
      <c r="D573" s="1">
        <v>42093</v>
      </c>
      <c r="E573">
        <v>30674</v>
      </c>
      <c r="F573" s="1">
        <v>42093</v>
      </c>
      <c r="G573">
        <v>-1550</v>
      </c>
      <c r="H573" s="1">
        <f t="shared" si="48"/>
        <v>42093</v>
      </c>
      <c r="I573">
        <f>IF(AND(MyRowHidden(ROW())=FALSE,MyRowHidden(ROW()-1)=TRUE),0,(E573-E572)*unitsOfDHp+I572)</f>
        <v>279125</v>
      </c>
      <c r="J573">
        <f>IF(AND(MyRowHidden(ROW())=FALSE,MyRowHidden(ROW()-1)=TRUE),0,(G573-G572)*unitsOfExo+J572)</f>
        <v>-993600</v>
      </c>
      <c r="K573" s="9">
        <f t="shared" si="49"/>
        <v>993600</v>
      </c>
      <c r="L573">
        <f t="shared" si="50"/>
        <v>-714475</v>
      </c>
      <c r="M573">
        <f>IF(AND(MyRowHidden(ROW())=FALSE,MyRowHidden(ROW()-1)=TRUE),0,IF(MONTH(H573)&lt;&gt;MONTH(H572),M572+1,M572))</f>
        <v>26</v>
      </c>
      <c r="N573">
        <f t="shared" si="51"/>
        <v>279125</v>
      </c>
      <c r="O573">
        <f>IF(AND(MyRowHidden(ROW())=FALSE,MyRowHidden(ROW()-1)=TRUE),0,IF(M573&lt;totalMonths,(totalMonths-M573)/totalMonths *(I573-I572)+O572,0))</f>
        <v>0</v>
      </c>
      <c r="P573">
        <f>IF(AND(MyRowHidden(ROW())=FALSE,MyRowHidden(ROW()-1)=TRUE),0,IF(M573&lt;totalMonths,(totalMonths-M573)/totalMonths *(J573-J572)+P572,0))</f>
        <v>0</v>
      </c>
      <c r="Q573">
        <f>IF(AND(MyRowHidden(ROW())=FALSE,MyRowHidden(ROW()-1)=TRUE),0,IF(M573&lt;totalMonths,(totalMonths-M573)/totalMonths *(K573-K572)+Q572,0))</f>
        <v>0</v>
      </c>
      <c r="R573">
        <f t="shared" si="52"/>
        <v>279125</v>
      </c>
      <c r="S573">
        <f t="shared" si="53"/>
        <v>0</v>
      </c>
    </row>
    <row r="574" spans="1:19" hidden="1" x14ac:dyDescent="0.25">
      <c r="A574" s="1"/>
      <c r="C574" s="1"/>
      <c r="D574" s="1">
        <v>42094</v>
      </c>
      <c r="E574">
        <v>30100</v>
      </c>
      <c r="F574" s="1">
        <v>42094</v>
      </c>
      <c r="G574">
        <v>-2400</v>
      </c>
      <c r="H574" s="1">
        <f t="shared" si="48"/>
        <v>42094</v>
      </c>
      <c r="I574">
        <f>IF(AND(MyRowHidden(ROW())=FALSE,MyRowHidden(ROW()-1)=TRUE),0,(E574-E573)*unitsOfDHp+I573)</f>
        <v>259035</v>
      </c>
      <c r="J574">
        <f>IF(AND(MyRowHidden(ROW())=FALSE,MyRowHidden(ROW()-1)=TRUE),0,(G574-G573)*unitsOfExo+J573)</f>
        <v>-1238400</v>
      </c>
      <c r="K574" s="9">
        <f t="shared" si="49"/>
        <v>1238400</v>
      </c>
      <c r="L574">
        <f t="shared" si="50"/>
        <v>-979365</v>
      </c>
      <c r="M574">
        <f>IF(AND(MyRowHidden(ROW())=FALSE,MyRowHidden(ROW()-1)=TRUE),0,IF(MONTH(H574)&lt;&gt;MONTH(H573),M573+1,M573))</f>
        <v>26</v>
      </c>
      <c r="N574">
        <f t="shared" si="51"/>
        <v>259035</v>
      </c>
      <c r="O574">
        <f>IF(AND(MyRowHidden(ROW())=FALSE,MyRowHidden(ROW()-1)=TRUE),0,IF(M574&lt;totalMonths,(totalMonths-M574)/totalMonths *(I574-I573)+O573,0))</f>
        <v>0</v>
      </c>
      <c r="P574">
        <f>IF(AND(MyRowHidden(ROW())=FALSE,MyRowHidden(ROW()-1)=TRUE),0,IF(M574&lt;totalMonths,(totalMonths-M574)/totalMonths *(J574-J573)+P573,0))</f>
        <v>0</v>
      </c>
      <c r="Q574">
        <f>IF(AND(MyRowHidden(ROW())=FALSE,MyRowHidden(ROW()-1)=TRUE),0,IF(M574&lt;totalMonths,(totalMonths-M574)/totalMonths *(K574-K573)+Q573,0))</f>
        <v>0</v>
      </c>
      <c r="R574">
        <f t="shared" si="52"/>
        <v>259035</v>
      </c>
      <c r="S574">
        <f t="shared" si="53"/>
        <v>0</v>
      </c>
    </row>
    <row r="575" spans="1:19" hidden="1" x14ac:dyDescent="0.25">
      <c r="A575" s="1"/>
      <c r="C575" s="1"/>
      <c r="D575" s="1">
        <v>42095</v>
      </c>
      <c r="E575">
        <v>29782</v>
      </c>
      <c r="F575" s="1">
        <v>42095</v>
      </c>
      <c r="G575">
        <v>-2175</v>
      </c>
      <c r="H575" s="1">
        <f t="shared" si="48"/>
        <v>42095</v>
      </c>
      <c r="I575">
        <f>IF(AND(MyRowHidden(ROW())=FALSE,MyRowHidden(ROW()-1)=TRUE),0,(E575-E574)*unitsOfDHp+I574)</f>
        <v>247905</v>
      </c>
      <c r="J575">
        <f>IF(AND(MyRowHidden(ROW())=FALSE,MyRowHidden(ROW()-1)=TRUE),0,(G575-G574)*unitsOfExo+J574)</f>
        <v>-1173600</v>
      </c>
      <c r="K575" s="9">
        <f t="shared" si="49"/>
        <v>1173600</v>
      </c>
      <c r="L575">
        <f t="shared" si="50"/>
        <v>-925695</v>
      </c>
      <c r="M575">
        <f>IF(AND(MyRowHidden(ROW())=FALSE,MyRowHidden(ROW()-1)=TRUE),0,IF(MONTH(H575)&lt;&gt;MONTH(H574),M574+1,M574))</f>
        <v>27</v>
      </c>
      <c r="N575">
        <f t="shared" si="51"/>
        <v>247905</v>
      </c>
      <c r="O575">
        <f>IF(AND(MyRowHidden(ROW())=FALSE,MyRowHidden(ROW()-1)=TRUE),0,IF(M575&lt;totalMonths,(totalMonths-M575)/totalMonths *(I575-I574)+O574,0))</f>
        <v>0</v>
      </c>
      <c r="P575">
        <f>IF(AND(MyRowHidden(ROW())=FALSE,MyRowHidden(ROW()-1)=TRUE),0,IF(M575&lt;totalMonths,(totalMonths-M575)/totalMonths *(J575-J574)+P574,0))</f>
        <v>0</v>
      </c>
      <c r="Q575">
        <f>IF(AND(MyRowHidden(ROW())=FALSE,MyRowHidden(ROW()-1)=TRUE),0,IF(M575&lt;totalMonths,(totalMonths-M575)/totalMonths *(K575-K574)+Q574,0))</f>
        <v>0</v>
      </c>
      <c r="R575">
        <f t="shared" si="52"/>
        <v>247905</v>
      </c>
      <c r="S575">
        <f t="shared" si="53"/>
        <v>0</v>
      </c>
    </row>
    <row r="576" spans="1:19" hidden="1" x14ac:dyDescent="0.25">
      <c r="A576" s="1"/>
      <c r="C576" s="1"/>
      <c r="D576" s="1">
        <v>42096</v>
      </c>
      <c r="E576">
        <v>29600</v>
      </c>
      <c r="F576" s="1">
        <v>42096</v>
      </c>
      <c r="G576">
        <v>-1887.5</v>
      </c>
      <c r="H576" s="1">
        <f t="shared" si="48"/>
        <v>42096</v>
      </c>
      <c r="I576">
        <f>IF(AND(MyRowHidden(ROW())=FALSE,MyRowHidden(ROW()-1)=TRUE),0,(E576-E575)*unitsOfDHp+I575)</f>
        <v>241535</v>
      </c>
      <c r="J576">
        <f>IF(AND(MyRowHidden(ROW())=FALSE,MyRowHidden(ROW()-1)=TRUE),0,(G576-G575)*unitsOfExo+J575)</f>
        <v>-1090800</v>
      </c>
      <c r="K576" s="9">
        <f t="shared" si="49"/>
        <v>1090800</v>
      </c>
      <c r="L576">
        <f t="shared" si="50"/>
        <v>-849265</v>
      </c>
      <c r="M576">
        <f>IF(AND(MyRowHidden(ROW())=FALSE,MyRowHidden(ROW()-1)=TRUE),0,IF(MONTH(H576)&lt;&gt;MONTH(H575),M575+1,M575))</f>
        <v>27</v>
      </c>
      <c r="N576">
        <f t="shared" si="51"/>
        <v>241535</v>
      </c>
      <c r="O576">
        <f>IF(AND(MyRowHidden(ROW())=FALSE,MyRowHidden(ROW()-1)=TRUE),0,IF(M576&lt;totalMonths,(totalMonths-M576)/totalMonths *(I576-I575)+O575,0))</f>
        <v>0</v>
      </c>
      <c r="P576">
        <f>IF(AND(MyRowHidden(ROW())=FALSE,MyRowHidden(ROW()-1)=TRUE),0,IF(M576&lt;totalMonths,(totalMonths-M576)/totalMonths *(J576-J575)+P575,0))</f>
        <v>0</v>
      </c>
      <c r="Q576">
        <f>IF(AND(MyRowHidden(ROW())=FALSE,MyRowHidden(ROW()-1)=TRUE),0,IF(M576&lt;totalMonths,(totalMonths-M576)/totalMonths *(K576-K575)+Q575,0))</f>
        <v>0</v>
      </c>
      <c r="R576">
        <f t="shared" si="52"/>
        <v>241535</v>
      </c>
      <c r="S576">
        <f t="shared" si="53"/>
        <v>0</v>
      </c>
    </row>
    <row r="577" spans="1:19" hidden="1" x14ac:dyDescent="0.25">
      <c r="A577" s="1"/>
      <c r="C577" s="1"/>
      <c r="D577" s="1">
        <v>42097</v>
      </c>
      <c r="E577">
        <v>29571</v>
      </c>
      <c r="F577" s="1">
        <v>42097</v>
      </c>
      <c r="G577">
        <v>-1887.5</v>
      </c>
      <c r="H577" s="1">
        <f t="shared" si="48"/>
        <v>42097</v>
      </c>
      <c r="I577">
        <f>IF(AND(MyRowHidden(ROW())=FALSE,MyRowHidden(ROW()-1)=TRUE),0,(E577-E576)*unitsOfDHp+I576)</f>
        <v>240520</v>
      </c>
      <c r="J577">
        <f>IF(AND(MyRowHidden(ROW())=FALSE,MyRowHidden(ROW()-1)=TRUE),0,(G577-G576)*unitsOfExo+J576)</f>
        <v>-1090800</v>
      </c>
      <c r="K577" s="9">
        <f t="shared" si="49"/>
        <v>1090800</v>
      </c>
      <c r="L577">
        <f t="shared" si="50"/>
        <v>-850280</v>
      </c>
      <c r="M577">
        <f>IF(AND(MyRowHidden(ROW())=FALSE,MyRowHidden(ROW()-1)=TRUE),0,IF(MONTH(H577)&lt;&gt;MONTH(H576),M576+1,M576))</f>
        <v>27</v>
      </c>
      <c r="N577">
        <f t="shared" si="51"/>
        <v>240520</v>
      </c>
      <c r="O577">
        <f>IF(AND(MyRowHidden(ROW())=FALSE,MyRowHidden(ROW()-1)=TRUE),0,IF(M577&lt;totalMonths,(totalMonths-M577)/totalMonths *(I577-I576)+O576,0))</f>
        <v>0</v>
      </c>
      <c r="P577">
        <f>IF(AND(MyRowHidden(ROW())=FALSE,MyRowHidden(ROW()-1)=TRUE),0,IF(M577&lt;totalMonths,(totalMonths-M577)/totalMonths *(J577-J576)+P576,0))</f>
        <v>0</v>
      </c>
      <c r="Q577">
        <f>IF(AND(MyRowHidden(ROW())=FALSE,MyRowHidden(ROW()-1)=TRUE),0,IF(M577&lt;totalMonths,(totalMonths-M577)/totalMonths *(K577-K576)+Q576,0))</f>
        <v>0</v>
      </c>
      <c r="R577">
        <f t="shared" si="52"/>
        <v>240520</v>
      </c>
      <c r="S577">
        <f t="shared" si="53"/>
        <v>0</v>
      </c>
    </row>
    <row r="578" spans="1:19" hidden="1" x14ac:dyDescent="0.25">
      <c r="A578" s="1"/>
      <c r="C578" s="1"/>
      <c r="D578" s="1">
        <v>42100</v>
      </c>
      <c r="E578">
        <v>29703</v>
      </c>
      <c r="F578" s="1">
        <v>42100</v>
      </c>
      <c r="G578">
        <v>-1975</v>
      </c>
      <c r="H578" s="1">
        <f t="shared" si="48"/>
        <v>42100</v>
      </c>
      <c r="I578">
        <f>IF(AND(MyRowHidden(ROW())=FALSE,MyRowHidden(ROW()-1)=TRUE),0,(E578-E577)*unitsOfDHp+I577)</f>
        <v>245140</v>
      </c>
      <c r="J578">
        <f>IF(AND(MyRowHidden(ROW())=FALSE,MyRowHidden(ROW()-1)=TRUE),0,(G578-G577)*unitsOfExo+J577)</f>
        <v>-1116000</v>
      </c>
      <c r="K578" s="9">
        <f t="shared" si="49"/>
        <v>1116000</v>
      </c>
      <c r="L578">
        <f t="shared" si="50"/>
        <v>-870860</v>
      </c>
      <c r="M578">
        <f>IF(AND(MyRowHidden(ROW())=FALSE,MyRowHidden(ROW()-1)=TRUE),0,IF(MONTH(H578)&lt;&gt;MONTH(H577),M577+1,M577))</f>
        <v>27</v>
      </c>
      <c r="N578">
        <f t="shared" si="51"/>
        <v>245140</v>
      </c>
      <c r="O578">
        <f>IF(AND(MyRowHidden(ROW())=FALSE,MyRowHidden(ROW()-1)=TRUE),0,IF(M578&lt;totalMonths,(totalMonths-M578)/totalMonths *(I578-I577)+O577,0))</f>
        <v>0</v>
      </c>
      <c r="P578">
        <f>IF(AND(MyRowHidden(ROW())=FALSE,MyRowHidden(ROW()-1)=TRUE),0,IF(M578&lt;totalMonths,(totalMonths-M578)/totalMonths *(J578-J577)+P577,0))</f>
        <v>0</v>
      </c>
      <c r="Q578">
        <f>IF(AND(MyRowHidden(ROW())=FALSE,MyRowHidden(ROW()-1)=TRUE),0,IF(M578&lt;totalMonths,(totalMonths-M578)/totalMonths *(K578-K577)+Q577,0))</f>
        <v>0</v>
      </c>
      <c r="R578">
        <f t="shared" si="52"/>
        <v>245140</v>
      </c>
      <c r="S578">
        <f t="shared" si="53"/>
        <v>0</v>
      </c>
    </row>
    <row r="579" spans="1:19" hidden="1" x14ac:dyDescent="0.25">
      <c r="A579" s="1"/>
      <c r="C579" s="1"/>
      <c r="D579" s="1">
        <v>42101</v>
      </c>
      <c r="E579">
        <v>29812</v>
      </c>
      <c r="F579" s="1">
        <v>42101</v>
      </c>
      <c r="G579">
        <v>-2100</v>
      </c>
      <c r="H579" s="1">
        <f t="shared" si="48"/>
        <v>42101</v>
      </c>
      <c r="I579">
        <f>IF(AND(MyRowHidden(ROW())=FALSE,MyRowHidden(ROW()-1)=TRUE),0,(E579-E578)*unitsOfDHp+I578)</f>
        <v>248955</v>
      </c>
      <c r="J579">
        <f>IF(AND(MyRowHidden(ROW())=FALSE,MyRowHidden(ROW()-1)=TRUE),0,(G579-G578)*unitsOfExo+J578)</f>
        <v>-1152000</v>
      </c>
      <c r="K579" s="9">
        <f t="shared" si="49"/>
        <v>1152000</v>
      </c>
      <c r="L579">
        <f t="shared" si="50"/>
        <v>-903045</v>
      </c>
      <c r="M579">
        <f>IF(AND(MyRowHidden(ROW())=FALSE,MyRowHidden(ROW()-1)=TRUE),0,IF(MONTH(H579)&lt;&gt;MONTH(H578),M578+1,M578))</f>
        <v>27</v>
      </c>
      <c r="N579">
        <f t="shared" si="51"/>
        <v>248955</v>
      </c>
      <c r="O579">
        <f>IF(AND(MyRowHidden(ROW())=FALSE,MyRowHidden(ROW()-1)=TRUE),0,IF(M579&lt;totalMonths,(totalMonths-M579)/totalMonths *(I579-I578)+O578,0))</f>
        <v>0</v>
      </c>
      <c r="P579">
        <f>IF(AND(MyRowHidden(ROW())=FALSE,MyRowHidden(ROW()-1)=TRUE),0,IF(M579&lt;totalMonths,(totalMonths-M579)/totalMonths *(J579-J578)+P578,0))</f>
        <v>0</v>
      </c>
      <c r="Q579">
        <f>IF(AND(MyRowHidden(ROW())=FALSE,MyRowHidden(ROW()-1)=TRUE),0,IF(M579&lt;totalMonths,(totalMonths-M579)/totalMonths *(K579-K578)+Q578,0))</f>
        <v>0</v>
      </c>
      <c r="R579">
        <f t="shared" si="52"/>
        <v>248955</v>
      </c>
      <c r="S579">
        <f t="shared" si="53"/>
        <v>0</v>
      </c>
    </row>
    <row r="580" spans="1:19" hidden="1" x14ac:dyDescent="0.25">
      <c r="A580" s="1"/>
      <c r="C580" s="1"/>
      <c r="D580" s="1">
        <v>42102</v>
      </c>
      <c r="E580">
        <v>30005</v>
      </c>
      <c r="F580" s="1">
        <v>42102</v>
      </c>
      <c r="G580">
        <v>-2337.5</v>
      </c>
      <c r="H580" s="1">
        <f t="shared" si="48"/>
        <v>42102</v>
      </c>
      <c r="I580">
        <f>IF(AND(MyRowHidden(ROW())=FALSE,MyRowHidden(ROW()-1)=TRUE),0,(E580-E579)*unitsOfDHp+I579)</f>
        <v>255710</v>
      </c>
      <c r="J580">
        <f>IF(AND(MyRowHidden(ROW())=FALSE,MyRowHidden(ROW()-1)=TRUE),0,(G580-G579)*unitsOfExo+J579)</f>
        <v>-1220400</v>
      </c>
      <c r="K580" s="9">
        <f t="shared" si="49"/>
        <v>1220400</v>
      </c>
      <c r="L580">
        <f t="shared" si="50"/>
        <v>-964690</v>
      </c>
      <c r="M580">
        <f>IF(AND(MyRowHidden(ROW())=FALSE,MyRowHidden(ROW()-1)=TRUE),0,IF(MONTH(H580)&lt;&gt;MONTH(H579),M579+1,M579))</f>
        <v>27</v>
      </c>
      <c r="N580">
        <f t="shared" si="51"/>
        <v>255710</v>
      </c>
      <c r="O580">
        <f>IF(AND(MyRowHidden(ROW())=FALSE,MyRowHidden(ROW()-1)=TRUE),0,IF(M580&lt;totalMonths,(totalMonths-M580)/totalMonths *(I580-I579)+O579,0))</f>
        <v>0</v>
      </c>
      <c r="P580">
        <f>IF(AND(MyRowHidden(ROW())=FALSE,MyRowHidden(ROW()-1)=TRUE),0,IF(M580&lt;totalMonths,(totalMonths-M580)/totalMonths *(J580-J579)+P579,0))</f>
        <v>0</v>
      </c>
      <c r="Q580">
        <f>IF(AND(MyRowHidden(ROW())=FALSE,MyRowHidden(ROW()-1)=TRUE),0,IF(M580&lt;totalMonths,(totalMonths-M580)/totalMonths *(K580-K579)+Q579,0))</f>
        <v>0</v>
      </c>
      <c r="R580">
        <f t="shared" si="52"/>
        <v>255710</v>
      </c>
      <c r="S580">
        <f t="shared" si="53"/>
        <v>0</v>
      </c>
    </row>
    <row r="581" spans="1:19" hidden="1" x14ac:dyDescent="0.25">
      <c r="A581" s="1"/>
      <c r="C581" s="1"/>
      <c r="D581" s="1">
        <v>42103</v>
      </c>
      <c r="E581">
        <v>29984</v>
      </c>
      <c r="F581" s="1">
        <v>42103</v>
      </c>
      <c r="G581">
        <v>-2312.5</v>
      </c>
      <c r="H581" s="1">
        <f t="shared" si="48"/>
        <v>42103</v>
      </c>
      <c r="I581">
        <f>IF(AND(MyRowHidden(ROW())=FALSE,MyRowHidden(ROW()-1)=TRUE),0,(E581-E580)*unitsOfDHp+I580)</f>
        <v>254975</v>
      </c>
      <c r="J581">
        <f>IF(AND(MyRowHidden(ROW())=FALSE,MyRowHidden(ROW()-1)=TRUE),0,(G581-G580)*unitsOfExo+J580)</f>
        <v>-1213200</v>
      </c>
      <c r="K581" s="9">
        <f t="shared" si="49"/>
        <v>1213200</v>
      </c>
      <c r="L581">
        <f t="shared" si="50"/>
        <v>-958225</v>
      </c>
      <c r="M581">
        <f>IF(AND(MyRowHidden(ROW())=FALSE,MyRowHidden(ROW()-1)=TRUE),0,IF(MONTH(H581)&lt;&gt;MONTH(H580),M580+1,M580))</f>
        <v>27</v>
      </c>
      <c r="N581">
        <f t="shared" si="51"/>
        <v>254975</v>
      </c>
      <c r="O581">
        <f>IF(AND(MyRowHidden(ROW())=FALSE,MyRowHidden(ROW()-1)=TRUE),0,IF(M581&lt;totalMonths,(totalMonths-M581)/totalMonths *(I581-I580)+O580,0))</f>
        <v>0</v>
      </c>
      <c r="P581">
        <f>IF(AND(MyRowHidden(ROW())=FALSE,MyRowHidden(ROW()-1)=TRUE),0,IF(M581&lt;totalMonths,(totalMonths-M581)/totalMonths *(J581-J580)+P580,0))</f>
        <v>0</v>
      </c>
      <c r="Q581">
        <f>IF(AND(MyRowHidden(ROW())=FALSE,MyRowHidden(ROW()-1)=TRUE),0,IF(M581&lt;totalMonths,(totalMonths-M581)/totalMonths *(K581-K580)+Q580,0))</f>
        <v>0</v>
      </c>
      <c r="R581">
        <f t="shared" si="52"/>
        <v>254975</v>
      </c>
      <c r="S581">
        <f t="shared" si="53"/>
        <v>0</v>
      </c>
    </row>
    <row r="582" spans="1:19" hidden="1" x14ac:dyDescent="0.25">
      <c r="A582" s="1"/>
      <c r="C582" s="1"/>
      <c r="D582" s="1">
        <v>42104</v>
      </c>
      <c r="E582">
        <v>30128</v>
      </c>
      <c r="F582" s="1">
        <v>42104</v>
      </c>
      <c r="G582">
        <v>-2437.5</v>
      </c>
      <c r="H582" s="1">
        <f t="shared" si="48"/>
        <v>42104</v>
      </c>
      <c r="I582">
        <f>IF(AND(MyRowHidden(ROW())=FALSE,MyRowHidden(ROW()-1)=TRUE),0,(E582-E581)*unitsOfDHp+I581)</f>
        <v>260015</v>
      </c>
      <c r="J582">
        <f>IF(AND(MyRowHidden(ROW())=FALSE,MyRowHidden(ROW()-1)=TRUE),0,(G582-G581)*unitsOfExo+J581)</f>
        <v>-1249200</v>
      </c>
      <c r="K582" s="9">
        <f t="shared" si="49"/>
        <v>1249200</v>
      </c>
      <c r="L582">
        <f t="shared" si="50"/>
        <v>-989185</v>
      </c>
      <c r="M582">
        <f>IF(AND(MyRowHidden(ROW())=FALSE,MyRowHidden(ROW()-1)=TRUE),0,IF(MONTH(H582)&lt;&gt;MONTH(H581),M581+1,M581))</f>
        <v>27</v>
      </c>
      <c r="N582">
        <f t="shared" si="51"/>
        <v>260015</v>
      </c>
      <c r="O582">
        <f>IF(AND(MyRowHidden(ROW())=FALSE,MyRowHidden(ROW()-1)=TRUE),0,IF(M582&lt;totalMonths,(totalMonths-M582)/totalMonths *(I582-I581)+O581,0))</f>
        <v>0</v>
      </c>
      <c r="P582">
        <f>IF(AND(MyRowHidden(ROW())=FALSE,MyRowHidden(ROW()-1)=TRUE),0,IF(M582&lt;totalMonths,(totalMonths-M582)/totalMonths *(J582-J581)+P581,0))</f>
        <v>0</v>
      </c>
      <c r="Q582">
        <f>IF(AND(MyRowHidden(ROW())=FALSE,MyRowHidden(ROW()-1)=TRUE),0,IF(M582&lt;totalMonths,(totalMonths-M582)/totalMonths *(K582-K581)+Q581,0))</f>
        <v>0</v>
      </c>
      <c r="R582">
        <f t="shared" si="52"/>
        <v>260015</v>
      </c>
      <c r="S582">
        <f t="shared" si="53"/>
        <v>0</v>
      </c>
    </row>
    <row r="583" spans="1:19" hidden="1" x14ac:dyDescent="0.25">
      <c r="A583" s="1"/>
      <c r="C583" s="1"/>
      <c r="D583" s="1">
        <v>42107</v>
      </c>
      <c r="E583">
        <v>30159</v>
      </c>
      <c r="F583" s="1">
        <v>42107</v>
      </c>
      <c r="G583">
        <v>-2650</v>
      </c>
      <c r="H583" s="1">
        <f t="shared" si="48"/>
        <v>42107</v>
      </c>
      <c r="I583">
        <f>IF(AND(MyRowHidden(ROW())=FALSE,MyRowHidden(ROW()-1)=TRUE),0,(E583-E582)*unitsOfDHp+I582)</f>
        <v>261100</v>
      </c>
      <c r="J583">
        <f>IF(AND(MyRowHidden(ROW())=FALSE,MyRowHidden(ROW()-1)=TRUE),0,(G583-G582)*unitsOfExo+J582)</f>
        <v>-1310400</v>
      </c>
      <c r="K583" s="9">
        <f t="shared" si="49"/>
        <v>1310400</v>
      </c>
      <c r="L583">
        <f t="shared" si="50"/>
        <v>-1049300</v>
      </c>
      <c r="M583">
        <f>IF(AND(MyRowHidden(ROW())=FALSE,MyRowHidden(ROW()-1)=TRUE),0,IF(MONTH(H583)&lt;&gt;MONTH(H582),M582+1,M582))</f>
        <v>27</v>
      </c>
      <c r="N583">
        <f t="shared" si="51"/>
        <v>261100</v>
      </c>
      <c r="O583">
        <f>IF(AND(MyRowHidden(ROW())=FALSE,MyRowHidden(ROW()-1)=TRUE),0,IF(M583&lt;totalMonths,(totalMonths-M583)/totalMonths *(I583-I582)+O582,0))</f>
        <v>0</v>
      </c>
      <c r="P583">
        <f>IF(AND(MyRowHidden(ROW())=FALSE,MyRowHidden(ROW()-1)=TRUE),0,IF(M583&lt;totalMonths,(totalMonths-M583)/totalMonths *(J583-J582)+P582,0))</f>
        <v>0</v>
      </c>
      <c r="Q583">
        <f>IF(AND(MyRowHidden(ROW())=FALSE,MyRowHidden(ROW()-1)=TRUE),0,IF(M583&lt;totalMonths,(totalMonths-M583)/totalMonths *(K583-K582)+Q582,0))</f>
        <v>0</v>
      </c>
      <c r="R583">
        <f t="shared" si="52"/>
        <v>261100</v>
      </c>
      <c r="S583">
        <f t="shared" si="53"/>
        <v>0</v>
      </c>
    </row>
    <row r="584" spans="1:19" hidden="1" x14ac:dyDescent="0.25">
      <c r="A584" s="1"/>
      <c r="C584" s="1"/>
      <c r="D584" s="1">
        <v>42108</v>
      </c>
      <c r="E584">
        <v>30132</v>
      </c>
      <c r="F584" s="1">
        <v>42108</v>
      </c>
      <c r="G584">
        <v>-2525</v>
      </c>
      <c r="H584" s="1">
        <f t="shared" si="48"/>
        <v>42108</v>
      </c>
      <c r="I584">
        <f>IF(AND(MyRowHidden(ROW())=FALSE,MyRowHidden(ROW()-1)=TRUE),0,(E584-E583)*unitsOfDHp+I583)</f>
        <v>260155</v>
      </c>
      <c r="J584">
        <f>IF(AND(MyRowHidden(ROW())=FALSE,MyRowHidden(ROW()-1)=TRUE),0,(G584-G583)*unitsOfExo+J583)</f>
        <v>-1274400</v>
      </c>
      <c r="K584" s="9">
        <f t="shared" si="49"/>
        <v>1274400</v>
      </c>
      <c r="L584">
        <f t="shared" si="50"/>
        <v>-1014245</v>
      </c>
      <c r="M584">
        <f>IF(AND(MyRowHidden(ROW())=FALSE,MyRowHidden(ROW()-1)=TRUE),0,IF(MONTH(H584)&lt;&gt;MONTH(H583),M583+1,M583))</f>
        <v>27</v>
      </c>
      <c r="N584">
        <f t="shared" si="51"/>
        <v>260155</v>
      </c>
      <c r="O584">
        <f>IF(AND(MyRowHidden(ROW())=FALSE,MyRowHidden(ROW()-1)=TRUE),0,IF(M584&lt;totalMonths,(totalMonths-M584)/totalMonths *(I584-I583)+O583,0))</f>
        <v>0</v>
      </c>
      <c r="P584">
        <f>IF(AND(MyRowHidden(ROW())=FALSE,MyRowHidden(ROW()-1)=TRUE),0,IF(M584&lt;totalMonths,(totalMonths-M584)/totalMonths *(J584-J583)+P583,0))</f>
        <v>0</v>
      </c>
      <c r="Q584">
        <f>IF(AND(MyRowHidden(ROW())=FALSE,MyRowHidden(ROW()-1)=TRUE),0,IF(M584&lt;totalMonths,(totalMonths-M584)/totalMonths *(K584-K583)+Q583,0))</f>
        <v>0</v>
      </c>
      <c r="R584">
        <f t="shared" si="52"/>
        <v>260155</v>
      </c>
      <c r="S584">
        <f t="shared" si="53"/>
        <v>0</v>
      </c>
    </row>
    <row r="585" spans="1:19" hidden="1" x14ac:dyDescent="0.25">
      <c r="A585" s="1"/>
      <c r="C585" s="1"/>
      <c r="D585" s="1">
        <v>42109</v>
      </c>
      <c r="E585">
        <v>30127</v>
      </c>
      <c r="F585" s="1">
        <v>42109</v>
      </c>
      <c r="G585">
        <v>-2475</v>
      </c>
      <c r="H585" s="1">
        <f t="shared" si="48"/>
        <v>42109</v>
      </c>
      <c r="I585">
        <f>IF(AND(MyRowHidden(ROW())=FALSE,MyRowHidden(ROW()-1)=TRUE),0,(E585-E584)*unitsOfDHp+I584)</f>
        <v>259980</v>
      </c>
      <c r="J585">
        <f>IF(AND(MyRowHidden(ROW())=FALSE,MyRowHidden(ROW()-1)=TRUE),0,(G585-G584)*unitsOfExo+J584)</f>
        <v>-1260000</v>
      </c>
      <c r="K585" s="9">
        <f t="shared" si="49"/>
        <v>1260000</v>
      </c>
      <c r="L585">
        <f t="shared" si="50"/>
        <v>-1000020</v>
      </c>
      <c r="M585">
        <f>IF(AND(MyRowHidden(ROW())=FALSE,MyRowHidden(ROW()-1)=TRUE),0,IF(MONTH(H585)&lt;&gt;MONTH(H584),M584+1,M584))</f>
        <v>27</v>
      </c>
      <c r="N585">
        <f t="shared" si="51"/>
        <v>259980</v>
      </c>
      <c r="O585">
        <f>IF(AND(MyRowHidden(ROW())=FALSE,MyRowHidden(ROW()-1)=TRUE),0,IF(M585&lt;totalMonths,(totalMonths-M585)/totalMonths *(I585-I584)+O584,0))</f>
        <v>0</v>
      </c>
      <c r="P585">
        <f>IF(AND(MyRowHidden(ROW())=FALSE,MyRowHidden(ROW()-1)=TRUE),0,IF(M585&lt;totalMonths,(totalMonths-M585)/totalMonths *(J585-J584)+P584,0))</f>
        <v>0</v>
      </c>
      <c r="Q585">
        <f>IF(AND(MyRowHidden(ROW())=FALSE,MyRowHidden(ROW()-1)=TRUE),0,IF(M585&lt;totalMonths,(totalMonths-M585)/totalMonths *(K585-K584)+Q584,0))</f>
        <v>0</v>
      </c>
      <c r="R585">
        <f t="shared" si="52"/>
        <v>259980</v>
      </c>
      <c r="S585">
        <f t="shared" si="53"/>
        <v>0</v>
      </c>
    </row>
    <row r="586" spans="1:19" hidden="1" x14ac:dyDescent="0.25">
      <c r="A586" s="1"/>
      <c r="C586" s="1"/>
      <c r="D586" s="1">
        <v>42110</v>
      </c>
      <c r="E586">
        <v>30117</v>
      </c>
      <c r="F586" s="1">
        <v>42110</v>
      </c>
      <c r="G586">
        <v>-2362.5</v>
      </c>
      <c r="H586" s="1">
        <f t="shared" si="48"/>
        <v>42110</v>
      </c>
      <c r="I586">
        <f>IF(AND(MyRowHidden(ROW())=FALSE,MyRowHidden(ROW()-1)=TRUE),0,(E586-E585)*unitsOfDHp+I585)</f>
        <v>259630</v>
      </c>
      <c r="J586">
        <f>IF(AND(MyRowHidden(ROW())=FALSE,MyRowHidden(ROW()-1)=TRUE),0,(G586-G585)*unitsOfExo+J585)</f>
        <v>-1227600</v>
      </c>
      <c r="K586" s="9">
        <f t="shared" si="49"/>
        <v>1227600</v>
      </c>
      <c r="L586">
        <f t="shared" si="50"/>
        <v>-967970</v>
      </c>
      <c r="M586">
        <f>IF(AND(MyRowHidden(ROW())=FALSE,MyRowHidden(ROW()-1)=TRUE),0,IF(MONTH(H586)&lt;&gt;MONTH(H585),M585+1,M585))</f>
        <v>27</v>
      </c>
      <c r="N586">
        <f t="shared" si="51"/>
        <v>259630</v>
      </c>
      <c r="O586">
        <f>IF(AND(MyRowHidden(ROW())=FALSE,MyRowHidden(ROW()-1)=TRUE),0,IF(M586&lt;totalMonths,(totalMonths-M586)/totalMonths *(I586-I585)+O585,0))</f>
        <v>0</v>
      </c>
      <c r="P586">
        <f>IF(AND(MyRowHidden(ROW())=FALSE,MyRowHidden(ROW()-1)=TRUE),0,IF(M586&lt;totalMonths,(totalMonths-M586)/totalMonths *(J586-J585)+P585,0))</f>
        <v>0</v>
      </c>
      <c r="Q586">
        <f>IF(AND(MyRowHidden(ROW())=FALSE,MyRowHidden(ROW()-1)=TRUE),0,IF(M586&lt;totalMonths,(totalMonths-M586)/totalMonths *(K586-K585)+Q585,0))</f>
        <v>0</v>
      </c>
      <c r="R586">
        <f t="shared" si="52"/>
        <v>259630</v>
      </c>
      <c r="S586">
        <f t="shared" si="53"/>
        <v>0</v>
      </c>
    </row>
    <row r="587" spans="1:19" hidden="1" x14ac:dyDescent="0.25">
      <c r="A587" s="1"/>
      <c r="C587" s="1"/>
      <c r="D587" s="1">
        <v>42111</v>
      </c>
      <c r="E587">
        <v>30101</v>
      </c>
      <c r="F587" s="1">
        <v>42111</v>
      </c>
      <c r="G587">
        <v>-2312.5</v>
      </c>
      <c r="H587" s="1">
        <f t="shared" si="48"/>
        <v>42111</v>
      </c>
      <c r="I587">
        <f>IF(AND(MyRowHidden(ROW())=FALSE,MyRowHidden(ROW()-1)=TRUE),0,(E587-E586)*unitsOfDHp+I586)</f>
        <v>259070</v>
      </c>
      <c r="J587">
        <f>IF(AND(MyRowHidden(ROW())=FALSE,MyRowHidden(ROW()-1)=TRUE),0,(G587-G586)*unitsOfExo+J586)</f>
        <v>-1213200</v>
      </c>
      <c r="K587" s="9">
        <f t="shared" si="49"/>
        <v>1213200</v>
      </c>
      <c r="L587">
        <f t="shared" si="50"/>
        <v>-954130</v>
      </c>
      <c r="M587">
        <f>IF(AND(MyRowHidden(ROW())=FALSE,MyRowHidden(ROW()-1)=TRUE),0,IF(MONTH(H587)&lt;&gt;MONTH(H586),M586+1,M586))</f>
        <v>27</v>
      </c>
      <c r="N587">
        <f t="shared" si="51"/>
        <v>259070</v>
      </c>
      <c r="O587">
        <f>IF(AND(MyRowHidden(ROW())=FALSE,MyRowHidden(ROW()-1)=TRUE),0,IF(M587&lt;totalMonths,(totalMonths-M587)/totalMonths *(I587-I586)+O586,0))</f>
        <v>0</v>
      </c>
      <c r="P587">
        <f>IF(AND(MyRowHidden(ROW())=FALSE,MyRowHidden(ROW()-1)=TRUE),0,IF(M587&lt;totalMonths,(totalMonths-M587)/totalMonths *(J587-J586)+P586,0))</f>
        <v>0</v>
      </c>
      <c r="Q587">
        <f>IF(AND(MyRowHidden(ROW())=FALSE,MyRowHidden(ROW()-1)=TRUE),0,IF(M587&lt;totalMonths,(totalMonths-M587)/totalMonths *(K587-K586)+Q586,0))</f>
        <v>0</v>
      </c>
      <c r="R587">
        <f t="shared" si="52"/>
        <v>259070</v>
      </c>
      <c r="S587">
        <f t="shared" si="53"/>
        <v>0</v>
      </c>
    </row>
    <row r="588" spans="1:19" hidden="1" x14ac:dyDescent="0.25">
      <c r="A588" s="1"/>
      <c r="C588" s="1"/>
      <c r="D588" s="1">
        <v>42114</v>
      </c>
      <c r="E588">
        <v>30030</v>
      </c>
      <c r="F588" s="1">
        <v>42114</v>
      </c>
      <c r="G588">
        <v>-2300</v>
      </c>
      <c r="H588" s="1">
        <f t="shared" si="48"/>
        <v>42114</v>
      </c>
      <c r="I588">
        <f>IF(AND(MyRowHidden(ROW())=FALSE,MyRowHidden(ROW()-1)=TRUE),0,(E588-E587)*unitsOfDHp+I587)</f>
        <v>256585</v>
      </c>
      <c r="J588">
        <f>IF(AND(MyRowHidden(ROW())=FALSE,MyRowHidden(ROW()-1)=TRUE),0,(G588-G587)*unitsOfExo+J587)</f>
        <v>-1209600</v>
      </c>
      <c r="K588" s="9">
        <f t="shared" si="49"/>
        <v>1209600</v>
      </c>
      <c r="L588">
        <f t="shared" si="50"/>
        <v>-953015</v>
      </c>
      <c r="M588">
        <f>IF(AND(MyRowHidden(ROW())=FALSE,MyRowHidden(ROW()-1)=TRUE),0,IF(MONTH(H588)&lt;&gt;MONTH(H587),M587+1,M587))</f>
        <v>27</v>
      </c>
      <c r="N588">
        <f t="shared" si="51"/>
        <v>256585</v>
      </c>
      <c r="O588">
        <f>IF(AND(MyRowHidden(ROW())=FALSE,MyRowHidden(ROW()-1)=TRUE),0,IF(M588&lt;totalMonths,(totalMonths-M588)/totalMonths *(I588-I587)+O587,0))</f>
        <v>0</v>
      </c>
      <c r="P588">
        <f>IF(AND(MyRowHidden(ROW())=FALSE,MyRowHidden(ROW()-1)=TRUE),0,IF(M588&lt;totalMonths,(totalMonths-M588)/totalMonths *(J588-J587)+P587,0))</f>
        <v>0</v>
      </c>
      <c r="Q588">
        <f>IF(AND(MyRowHidden(ROW())=FALSE,MyRowHidden(ROW()-1)=TRUE),0,IF(M588&lt;totalMonths,(totalMonths-M588)/totalMonths *(K588-K587)+Q587,0))</f>
        <v>0</v>
      </c>
      <c r="R588">
        <f t="shared" si="52"/>
        <v>256585</v>
      </c>
      <c r="S588">
        <f t="shared" si="53"/>
        <v>0</v>
      </c>
    </row>
    <row r="589" spans="1:19" hidden="1" x14ac:dyDescent="0.25">
      <c r="A589" s="1"/>
      <c r="C589" s="1"/>
      <c r="D589" s="1">
        <v>42115</v>
      </c>
      <c r="E589">
        <v>30009</v>
      </c>
      <c r="F589" s="1">
        <v>42115</v>
      </c>
      <c r="G589">
        <v>-2587.5</v>
      </c>
      <c r="H589" s="1">
        <f t="shared" ref="H589:H652" si="54">D589</f>
        <v>42115</v>
      </c>
      <c r="I589">
        <f>IF(AND(MyRowHidden(ROW())=FALSE,MyRowHidden(ROW()-1)=TRUE),0,(E589-E588)*unitsOfDHp+I588)</f>
        <v>255850</v>
      </c>
      <c r="J589">
        <f>IF(AND(MyRowHidden(ROW())=FALSE,MyRowHidden(ROW()-1)=TRUE),0,(G589-G588)*unitsOfExo+J588)</f>
        <v>-1292400</v>
      </c>
      <c r="K589" s="9">
        <f t="shared" ref="K589:K652" si="55">-(J589-J588)+K588</f>
        <v>1292400</v>
      </c>
      <c r="L589">
        <f t="shared" ref="L589:L652" si="56">I589+J589</f>
        <v>-1036550</v>
      </c>
      <c r="M589">
        <f>IF(AND(MyRowHidden(ROW())=FALSE,MyRowHidden(ROW()-1)=TRUE),0,IF(MONTH(H589)&lt;&gt;MONTH(H588),M588+1,M588))</f>
        <v>27</v>
      </c>
      <c r="N589">
        <f t="shared" ref="N589:N652" si="57">I589</f>
        <v>255850</v>
      </c>
      <c r="O589">
        <f>IF(AND(MyRowHidden(ROW())=FALSE,MyRowHidden(ROW()-1)=TRUE),0,IF(M589&lt;totalMonths,(totalMonths-M589)/totalMonths *(I589-I588)+O588,0))</f>
        <v>0</v>
      </c>
      <c r="P589">
        <f>IF(AND(MyRowHidden(ROW())=FALSE,MyRowHidden(ROW()-1)=TRUE),0,IF(M589&lt;totalMonths,(totalMonths-M589)/totalMonths *(J589-J588)+P588,0))</f>
        <v>0</v>
      </c>
      <c r="Q589">
        <f>IF(AND(MyRowHidden(ROW())=FALSE,MyRowHidden(ROW()-1)=TRUE),0,IF(M589&lt;totalMonths,(totalMonths-M589)/totalMonths *(K589-K588)+Q588,0))</f>
        <v>0</v>
      </c>
      <c r="R589">
        <f t="shared" ref="R589:R652" si="58">N589+P589</f>
        <v>255850</v>
      </c>
      <c r="S589">
        <f t="shared" ref="S589:S652" si="59">O589+P589</f>
        <v>0</v>
      </c>
    </row>
    <row r="590" spans="1:19" hidden="1" x14ac:dyDescent="0.25">
      <c r="A590" s="1"/>
      <c r="C590" s="1"/>
      <c r="D590" s="1">
        <v>42116</v>
      </c>
      <c r="E590">
        <v>29972</v>
      </c>
      <c r="F590" s="1">
        <v>42116</v>
      </c>
      <c r="G590">
        <v>-2612.5</v>
      </c>
      <c r="H590" s="1">
        <f t="shared" si="54"/>
        <v>42116</v>
      </c>
      <c r="I590">
        <f>IF(AND(MyRowHidden(ROW())=FALSE,MyRowHidden(ROW()-1)=TRUE),0,(E590-E589)*unitsOfDHp+I589)</f>
        <v>254555</v>
      </c>
      <c r="J590">
        <f>IF(AND(MyRowHidden(ROW())=FALSE,MyRowHidden(ROW()-1)=TRUE),0,(G590-G589)*unitsOfExo+J589)</f>
        <v>-1299600</v>
      </c>
      <c r="K590" s="9">
        <f t="shared" si="55"/>
        <v>1299600</v>
      </c>
      <c r="L590">
        <f t="shared" si="56"/>
        <v>-1045045</v>
      </c>
      <c r="M590">
        <f>IF(AND(MyRowHidden(ROW())=FALSE,MyRowHidden(ROW()-1)=TRUE),0,IF(MONTH(H590)&lt;&gt;MONTH(H589),M589+1,M589))</f>
        <v>27</v>
      </c>
      <c r="N590">
        <f t="shared" si="57"/>
        <v>254555</v>
      </c>
      <c r="O590">
        <f>IF(AND(MyRowHidden(ROW())=FALSE,MyRowHidden(ROW()-1)=TRUE),0,IF(M590&lt;totalMonths,(totalMonths-M590)/totalMonths *(I590-I589)+O589,0))</f>
        <v>0</v>
      </c>
      <c r="P590">
        <f>IF(AND(MyRowHidden(ROW())=FALSE,MyRowHidden(ROW()-1)=TRUE),0,IF(M590&lt;totalMonths,(totalMonths-M590)/totalMonths *(J590-J589)+P589,0))</f>
        <v>0</v>
      </c>
      <c r="Q590">
        <f>IF(AND(MyRowHidden(ROW())=FALSE,MyRowHidden(ROW()-1)=TRUE),0,IF(M590&lt;totalMonths,(totalMonths-M590)/totalMonths *(K590-K589)+Q589,0))</f>
        <v>0</v>
      </c>
      <c r="R590">
        <f t="shared" si="58"/>
        <v>254555</v>
      </c>
      <c r="S590">
        <f t="shared" si="59"/>
        <v>0</v>
      </c>
    </row>
    <row r="591" spans="1:19" hidden="1" x14ac:dyDescent="0.25">
      <c r="A591" s="1"/>
      <c r="C591" s="1"/>
      <c r="D591" s="1">
        <v>42117</v>
      </c>
      <c r="E591">
        <v>29961</v>
      </c>
      <c r="F591" s="1">
        <v>42117</v>
      </c>
      <c r="G591">
        <v>-2475</v>
      </c>
      <c r="H591" s="1">
        <f t="shared" si="54"/>
        <v>42117</v>
      </c>
      <c r="I591">
        <f>IF(AND(MyRowHidden(ROW())=FALSE,MyRowHidden(ROW()-1)=TRUE),0,(E591-E590)*unitsOfDHp+I590)</f>
        <v>254170</v>
      </c>
      <c r="J591">
        <f>IF(AND(MyRowHidden(ROW())=FALSE,MyRowHidden(ROW()-1)=TRUE),0,(G591-G590)*unitsOfExo+J590)</f>
        <v>-1260000</v>
      </c>
      <c r="K591" s="9">
        <f t="shared" si="55"/>
        <v>1260000</v>
      </c>
      <c r="L591">
        <f t="shared" si="56"/>
        <v>-1005830</v>
      </c>
      <c r="M591">
        <f>IF(AND(MyRowHidden(ROW())=FALSE,MyRowHidden(ROW()-1)=TRUE),0,IF(MONTH(H591)&lt;&gt;MONTH(H590),M590+1,M590))</f>
        <v>27</v>
      </c>
      <c r="N591">
        <f t="shared" si="57"/>
        <v>254170</v>
      </c>
      <c r="O591">
        <f>IF(AND(MyRowHidden(ROW())=FALSE,MyRowHidden(ROW()-1)=TRUE),0,IF(M591&lt;totalMonths,(totalMonths-M591)/totalMonths *(I591-I590)+O590,0))</f>
        <v>0</v>
      </c>
      <c r="P591">
        <f>IF(AND(MyRowHidden(ROW())=FALSE,MyRowHidden(ROW()-1)=TRUE),0,IF(M591&lt;totalMonths,(totalMonths-M591)/totalMonths *(J591-J590)+P590,0))</f>
        <v>0</v>
      </c>
      <c r="Q591">
        <f>IF(AND(MyRowHidden(ROW())=FALSE,MyRowHidden(ROW()-1)=TRUE),0,IF(M591&lt;totalMonths,(totalMonths-M591)/totalMonths *(K591-K590)+Q590,0))</f>
        <v>0</v>
      </c>
      <c r="R591">
        <f t="shared" si="58"/>
        <v>254170</v>
      </c>
      <c r="S591">
        <f t="shared" si="59"/>
        <v>0</v>
      </c>
    </row>
    <row r="592" spans="1:19" hidden="1" x14ac:dyDescent="0.25">
      <c r="A592" s="1"/>
      <c r="C592" s="1"/>
      <c r="D592" s="1">
        <v>42118</v>
      </c>
      <c r="E592">
        <v>30523</v>
      </c>
      <c r="F592" s="1">
        <v>42118</v>
      </c>
      <c r="G592">
        <v>-2962.5</v>
      </c>
      <c r="H592" s="1">
        <f t="shared" si="54"/>
        <v>42118</v>
      </c>
      <c r="I592">
        <f>IF(AND(MyRowHidden(ROW())=FALSE,MyRowHidden(ROW()-1)=TRUE),0,(E592-E591)*unitsOfDHp+I591)</f>
        <v>273840</v>
      </c>
      <c r="J592">
        <f>IF(AND(MyRowHidden(ROW())=FALSE,MyRowHidden(ROW()-1)=TRUE),0,(G592-G591)*unitsOfExo+J591)</f>
        <v>-1400400</v>
      </c>
      <c r="K592" s="9">
        <f t="shared" si="55"/>
        <v>1400400</v>
      </c>
      <c r="L592">
        <f t="shared" si="56"/>
        <v>-1126560</v>
      </c>
      <c r="M592">
        <f>IF(AND(MyRowHidden(ROW())=FALSE,MyRowHidden(ROW()-1)=TRUE),0,IF(MONTH(H592)&lt;&gt;MONTH(H591),M591+1,M591))</f>
        <v>27</v>
      </c>
      <c r="N592">
        <f t="shared" si="57"/>
        <v>273840</v>
      </c>
      <c r="O592">
        <f>IF(AND(MyRowHidden(ROW())=FALSE,MyRowHidden(ROW()-1)=TRUE),0,IF(M592&lt;totalMonths,(totalMonths-M592)/totalMonths *(I592-I591)+O591,0))</f>
        <v>0</v>
      </c>
      <c r="P592">
        <f>IF(AND(MyRowHidden(ROW())=FALSE,MyRowHidden(ROW()-1)=TRUE),0,IF(M592&lt;totalMonths,(totalMonths-M592)/totalMonths *(J592-J591)+P591,0))</f>
        <v>0</v>
      </c>
      <c r="Q592">
        <f>IF(AND(MyRowHidden(ROW())=FALSE,MyRowHidden(ROW()-1)=TRUE),0,IF(M592&lt;totalMonths,(totalMonths-M592)/totalMonths *(K592-K591)+Q591,0))</f>
        <v>0</v>
      </c>
      <c r="R592">
        <f t="shared" si="58"/>
        <v>273840</v>
      </c>
      <c r="S592">
        <f t="shared" si="59"/>
        <v>0</v>
      </c>
    </row>
    <row r="593" spans="1:19" hidden="1" x14ac:dyDescent="0.25">
      <c r="A593" s="1"/>
      <c r="C593" s="1"/>
      <c r="D593" s="1">
        <v>42121</v>
      </c>
      <c r="E593">
        <v>30445</v>
      </c>
      <c r="F593" s="1">
        <v>42121</v>
      </c>
      <c r="G593">
        <v>-3150</v>
      </c>
      <c r="H593" s="1">
        <f t="shared" si="54"/>
        <v>42121</v>
      </c>
      <c r="I593">
        <f>IF(AND(MyRowHidden(ROW())=FALSE,MyRowHidden(ROW()-1)=TRUE),0,(E593-E592)*unitsOfDHp+I592)</f>
        <v>271110</v>
      </c>
      <c r="J593">
        <f>IF(AND(MyRowHidden(ROW())=FALSE,MyRowHidden(ROW()-1)=TRUE),0,(G593-G592)*unitsOfExo+J592)</f>
        <v>-1454400</v>
      </c>
      <c r="K593" s="9">
        <f t="shared" si="55"/>
        <v>1454400</v>
      </c>
      <c r="L593">
        <f t="shared" si="56"/>
        <v>-1183290</v>
      </c>
      <c r="M593">
        <f>IF(AND(MyRowHidden(ROW())=FALSE,MyRowHidden(ROW()-1)=TRUE),0,IF(MONTH(H593)&lt;&gt;MONTH(H592),M592+1,M592))</f>
        <v>27</v>
      </c>
      <c r="N593">
        <f t="shared" si="57"/>
        <v>271110</v>
      </c>
      <c r="O593">
        <f>IF(AND(MyRowHidden(ROW())=FALSE,MyRowHidden(ROW()-1)=TRUE),0,IF(M593&lt;totalMonths,(totalMonths-M593)/totalMonths *(I593-I592)+O592,0))</f>
        <v>0</v>
      </c>
      <c r="P593">
        <f>IF(AND(MyRowHidden(ROW())=FALSE,MyRowHidden(ROW()-1)=TRUE),0,IF(M593&lt;totalMonths,(totalMonths-M593)/totalMonths *(J593-J592)+P592,0))</f>
        <v>0</v>
      </c>
      <c r="Q593">
        <f>IF(AND(MyRowHidden(ROW())=FALSE,MyRowHidden(ROW()-1)=TRUE),0,IF(M593&lt;totalMonths,(totalMonths-M593)/totalMonths *(K593-K592)+Q592,0))</f>
        <v>0</v>
      </c>
      <c r="R593">
        <f t="shared" si="58"/>
        <v>271110</v>
      </c>
      <c r="S593">
        <f t="shared" si="59"/>
        <v>0</v>
      </c>
    </row>
    <row r="594" spans="1:19" hidden="1" x14ac:dyDescent="0.25">
      <c r="A594" s="1"/>
      <c r="C594" s="1"/>
      <c r="D594" s="1">
        <v>42122</v>
      </c>
      <c r="E594">
        <v>30458</v>
      </c>
      <c r="F594" s="1">
        <v>42122</v>
      </c>
      <c r="G594">
        <v>-3112.5</v>
      </c>
      <c r="H594" s="1">
        <f t="shared" si="54"/>
        <v>42122</v>
      </c>
      <c r="I594">
        <f>IF(AND(MyRowHidden(ROW())=FALSE,MyRowHidden(ROW()-1)=TRUE),0,(E594-E593)*unitsOfDHp+I593)</f>
        <v>271565</v>
      </c>
      <c r="J594">
        <f>IF(AND(MyRowHidden(ROW())=FALSE,MyRowHidden(ROW()-1)=TRUE),0,(G594-G593)*unitsOfExo+J593)</f>
        <v>-1443600</v>
      </c>
      <c r="K594" s="9">
        <f t="shared" si="55"/>
        <v>1443600</v>
      </c>
      <c r="L594">
        <f t="shared" si="56"/>
        <v>-1172035</v>
      </c>
      <c r="M594">
        <f>IF(AND(MyRowHidden(ROW())=FALSE,MyRowHidden(ROW()-1)=TRUE),0,IF(MONTH(H594)&lt;&gt;MONTH(H593),M593+1,M593))</f>
        <v>27</v>
      </c>
      <c r="N594">
        <f t="shared" si="57"/>
        <v>271565</v>
      </c>
      <c r="O594">
        <f>IF(AND(MyRowHidden(ROW())=FALSE,MyRowHidden(ROW()-1)=TRUE),0,IF(M594&lt;totalMonths,(totalMonths-M594)/totalMonths *(I594-I593)+O593,0))</f>
        <v>0</v>
      </c>
      <c r="P594">
        <f>IF(AND(MyRowHidden(ROW())=FALSE,MyRowHidden(ROW()-1)=TRUE),0,IF(M594&lt;totalMonths,(totalMonths-M594)/totalMonths *(J594-J593)+P593,0))</f>
        <v>0</v>
      </c>
      <c r="Q594">
        <f>IF(AND(MyRowHidden(ROW())=FALSE,MyRowHidden(ROW()-1)=TRUE),0,IF(M594&lt;totalMonths,(totalMonths-M594)/totalMonths *(K594-K593)+Q593,0))</f>
        <v>0</v>
      </c>
      <c r="R594">
        <f t="shared" si="58"/>
        <v>271565</v>
      </c>
      <c r="S594">
        <f t="shared" si="59"/>
        <v>0</v>
      </c>
    </row>
    <row r="595" spans="1:19" hidden="1" x14ac:dyDescent="0.25">
      <c r="A595" s="1"/>
      <c r="C595" s="1"/>
      <c r="D595" s="1">
        <v>42123</v>
      </c>
      <c r="E595">
        <v>30581</v>
      </c>
      <c r="F595" s="1">
        <v>42123</v>
      </c>
      <c r="G595">
        <v>-3075</v>
      </c>
      <c r="H595" s="1">
        <f t="shared" si="54"/>
        <v>42123</v>
      </c>
      <c r="I595">
        <f>IF(AND(MyRowHidden(ROW())=FALSE,MyRowHidden(ROW()-1)=TRUE),0,(E595-E594)*unitsOfDHp+I594)</f>
        <v>275870</v>
      </c>
      <c r="J595">
        <f>IF(AND(MyRowHidden(ROW())=FALSE,MyRowHidden(ROW()-1)=TRUE),0,(G595-G594)*unitsOfExo+J594)</f>
        <v>-1432800</v>
      </c>
      <c r="K595" s="9">
        <f t="shared" si="55"/>
        <v>1432800</v>
      </c>
      <c r="L595">
        <f t="shared" si="56"/>
        <v>-1156930</v>
      </c>
      <c r="M595">
        <f>IF(AND(MyRowHidden(ROW())=FALSE,MyRowHidden(ROW()-1)=TRUE),0,IF(MONTH(H595)&lt;&gt;MONTH(H594),M594+1,M594))</f>
        <v>27</v>
      </c>
      <c r="N595">
        <f t="shared" si="57"/>
        <v>275870</v>
      </c>
      <c r="O595">
        <f>IF(AND(MyRowHidden(ROW())=FALSE,MyRowHidden(ROW()-1)=TRUE),0,IF(M595&lt;totalMonths,(totalMonths-M595)/totalMonths *(I595-I594)+O594,0))</f>
        <v>0</v>
      </c>
      <c r="P595">
        <f>IF(AND(MyRowHidden(ROW())=FALSE,MyRowHidden(ROW()-1)=TRUE),0,IF(M595&lt;totalMonths,(totalMonths-M595)/totalMonths *(J595-J594)+P594,0))</f>
        <v>0</v>
      </c>
      <c r="Q595">
        <f>IF(AND(MyRowHidden(ROW())=FALSE,MyRowHidden(ROW()-1)=TRUE),0,IF(M595&lt;totalMonths,(totalMonths-M595)/totalMonths *(K595-K594)+Q594,0))</f>
        <v>0</v>
      </c>
      <c r="R595">
        <f t="shared" si="58"/>
        <v>275870</v>
      </c>
      <c r="S595">
        <f t="shared" si="59"/>
        <v>0</v>
      </c>
    </row>
    <row r="596" spans="1:19" hidden="1" x14ac:dyDescent="0.25">
      <c r="A596" s="1"/>
      <c r="C596" s="1"/>
      <c r="D596" s="1">
        <v>42124</v>
      </c>
      <c r="E596">
        <v>30431</v>
      </c>
      <c r="F596" s="1">
        <v>42124</v>
      </c>
      <c r="G596">
        <v>-3175</v>
      </c>
      <c r="H596" s="1">
        <f t="shared" si="54"/>
        <v>42124</v>
      </c>
      <c r="I596">
        <f>IF(AND(MyRowHidden(ROW())=FALSE,MyRowHidden(ROW()-1)=TRUE),0,(E596-E595)*unitsOfDHp+I595)</f>
        <v>270620</v>
      </c>
      <c r="J596">
        <f>IF(AND(MyRowHidden(ROW())=FALSE,MyRowHidden(ROW()-1)=TRUE),0,(G596-G595)*unitsOfExo+J595)</f>
        <v>-1461600</v>
      </c>
      <c r="K596" s="9">
        <f t="shared" si="55"/>
        <v>1461600</v>
      </c>
      <c r="L596">
        <f t="shared" si="56"/>
        <v>-1190980</v>
      </c>
      <c r="M596">
        <f>IF(AND(MyRowHidden(ROW())=FALSE,MyRowHidden(ROW()-1)=TRUE),0,IF(MONTH(H596)&lt;&gt;MONTH(H595),M595+1,M595))</f>
        <v>27</v>
      </c>
      <c r="N596">
        <f t="shared" si="57"/>
        <v>270620</v>
      </c>
      <c r="O596">
        <f>IF(AND(MyRowHidden(ROW())=FALSE,MyRowHidden(ROW()-1)=TRUE),0,IF(M596&lt;totalMonths,(totalMonths-M596)/totalMonths *(I596-I595)+O595,0))</f>
        <v>0</v>
      </c>
      <c r="P596">
        <f>IF(AND(MyRowHidden(ROW())=FALSE,MyRowHidden(ROW()-1)=TRUE),0,IF(M596&lt;totalMonths,(totalMonths-M596)/totalMonths *(J596-J595)+P595,0))</f>
        <v>0</v>
      </c>
      <c r="Q596">
        <f>IF(AND(MyRowHidden(ROW())=FALSE,MyRowHidden(ROW()-1)=TRUE),0,IF(M596&lt;totalMonths,(totalMonths-M596)/totalMonths *(K596-K595)+Q595,0))</f>
        <v>0</v>
      </c>
      <c r="R596">
        <f t="shared" si="58"/>
        <v>270620</v>
      </c>
      <c r="S596">
        <f t="shared" si="59"/>
        <v>0</v>
      </c>
    </row>
    <row r="597" spans="1:19" hidden="1" x14ac:dyDescent="0.25">
      <c r="A597" s="1"/>
      <c r="C597" s="1"/>
      <c r="D597" s="1">
        <v>42125</v>
      </c>
      <c r="E597">
        <v>30371</v>
      </c>
      <c r="F597" s="1">
        <v>42125</v>
      </c>
      <c r="G597">
        <v>-3300</v>
      </c>
      <c r="H597" s="1">
        <f t="shared" si="54"/>
        <v>42125</v>
      </c>
      <c r="I597">
        <f>IF(AND(MyRowHidden(ROW())=FALSE,MyRowHidden(ROW()-1)=TRUE),0,(E597-E596)*unitsOfDHp+I596)</f>
        <v>268520</v>
      </c>
      <c r="J597">
        <f>IF(AND(MyRowHidden(ROW())=FALSE,MyRowHidden(ROW()-1)=TRUE),0,(G597-G596)*unitsOfExo+J596)</f>
        <v>-1497600</v>
      </c>
      <c r="K597" s="9">
        <f t="shared" si="55"/>
        <v>1497600</v>
      </c>
      <c r="L597">
        <f t="shared" si="56"/>
        <v>-1229080</v>
      </c>
      <c r="M597">
        <f>IF(AND(MyRowHidden(ROW())=FALSE,MyRowHidden(ROW()-1)=TRUE),0,IF(MONTH(H597)&lt;&gt;MONTH(H596),M596+1,M596))</f>
        <v>28</v>
      </c>
      <c r="N597">
        <f t="shared" si="57"/>
        <v>268520</v>
      </c>
      <c r="O597">
        <f>IF(AND(MyRowHidden(ROW())=FALSE,MyRowHidden(ROW()-1)=TRUE),0,IF(M597&lt;totalMonths,(totalMonths-M597)/totalMonths *(I597-I596)+O596,0))</f>
        <v>0</v>
      </c>
      <c r="P597">
        <f>IF(AND(MyRowHidden(ROW())=FALSE,MyRowHidden(ROW()-1)=TRUE),0,IF(M597&lt;totalMonths,(totalMonths-M597)/totalMonths *(J597-J596)+P596,0))</f>
        <v>0</v>
      </c>
      <c r="Q597">
        <f>IF(AND(MyRowHidden(ROW())=FALSE,MyRowHidden(ROW()-1)=TRUE),0,IF(M597&lt;totalMonths,(totalMonths-M597)/totalMonths *(K597-K596)+Q596,0))</f>
        <v>0</v>
      </c>
      <c r="R597">
        <f t="shared" si="58"/>
        <v>268520</v>
      </c>
      <c r="S597">
        <f t="shared" si="59"/>
        <v>0</v>
      </c>
    </row>
    <row r="598" spans="1:19" hidden="1" x14ac:dyDescent="0.25">
      <c r="A598" s="1"/>
      <c r="C598" s="1"/>
      <c r="D598" s="1">
        <v>42128</v>
      </c>
      <c r="E598">
        <v>30436</v>
      </c>
      <c r="F598" s="1">
        <v>42128</v>
      </c>
      <c r="G598">
        <v>-3225</v>
      </c>
      <c r="H598" s="1">
        <f t="shared" si="54"/>
        <v>42128</v>
      </c>
      <c r="I598">
        <f>IF(AND(MyRowHidden(ROW())=FALSE,MyRowHidden(ROW()-1)=TRUE),0,(E598-E597)*unitsOfDHp+I597)</f>
        <v>270795</v>
      </c>
      <c r="J598">
        <f>IF(AND(MyRowHidden(ROW())=FALSE,MyRowHidden(ROW()-1)=TRUE),0,(G598-G597)*unitsOfExo+J597)</f>
        <v>-1476000</v>
      </c>
      <c r="K598" s="9">
        <f t="shared" si="55"/>
        <v>1476000</v>
      </c>
      <c r="L598">
        <f t="shared" si="56"/>
        <v>-1205205</v>
      </c>
      <c r="M598">
        <f>IF(AND(MyRowHidden(ROW())=FALSE,MyRowHidden(ROW()-1)=TRUE),0,IF(MONTH(H598)&lt;&gt;MONTH(H597),M597+1,M597))</f>
        <v>28</v>
      </c>
      <c r="N598">
        <f t="shared" si="57"/>
        <v>270795</v>
      </c>
      <c r="O598">
        <f>IF(AND(MyRowHidden(ROW())=FALSE,MyRowHidden(ROW()-1)=TRUE),0,IF(M598&lt;totalMonths,(totalMonths-M598)/totalMonths *(I598-I597)+O597,0))</f>
        <v>0</v>
      </c>
      <c r="P598">
        <f>IF(AND(MyRowHidden(ROW())=FALSE,MyRowHidden(ROW()-1)=TRUE),0,IF(M598&lt;totalMonths,(totalMonths-M598)/totalMonths *(J598-J597)+P597,0))</f>
        <v>0</v>
      </c>
      <c r="Q598">
        <f>IF(AND(MyRowHidden(ROW())=FALSE,MyRowHidden(ROW()-1)=TRUE),0,IF(M598&lt;totalMonths,(totalMonths-M598)/totalMonths *(K598-K597)+Q597,0))</f>
        <v>0</v>
      </c>
      <c r="R598">
        <f t="shared" si="58"/>
        <v>270795</v>
      </c>
      <c r="S598">
        <f t="shared" si="59"/>
        <v>0</v>
      </c>
    </row>
    <row r="599" spans="1:19" hidden="1" x14ac:dyDescent="0.25">
      <c r="A599" s="1"/>
      <c r="C599" s="1"/>
      <c r="D599" s="1">
        <v>42129</v>
      </c>
      <c r="E599">
        <v>30199</v>
      </c>
      <c r="F599" s="1">
        <v>42129</v>
      </c>
      <c r="G599">
        <v>-3287.5</v>
      </c>
      <c r="H599" s="1">
        <f t="shared" si="54"/>
        <v>42129</v>
      </c>
      <c r="I599">
        <f>IF(AND(MyRowHidden(ROW())=FALSE,MyRowHidden(ROW()-1)=TRUE),0,(E599-E598)*unitsOfDHp+I598)</f>
        <v>262500</v>
      </c>
      <c r="J599">
        <f>IF(AND(MyRowHidden(ROW())=FALSE,MyRowHidden(ROW()-1)=TRUE),0,(G599-G598)*unitsOfExo+J598)</f>
        <v>-1494000</v>
      </c>
      <c r="K599" s="9">
        <f t="shared" si="55"/>
        <v>1494000</v>
      </c>
      <c r="L599">
        <f t="shared" si="56"/>
        <v>-1231500</v>
      </c>
      <c r="M599">
        <f>IF(AND(MyRowHidden(ROW())=FALSE,MyRowHidden(ROW()-1)=TRUE),0,IF(MONTH(H599)&lt;&gt;MONTH(H598),M598+1,M598))</f>
        <v>28</v>
      </c>
      <c r="N599">
        <f t="shared" si="57"/>
        <v>262500</v>
      </c>
      <c r="O599">
        <f>IF(AND(MyRowHidden(ROW())=FALSE,MyRowHidden(ROW()-1)=TRUE),0,IF(M599&lt;totalMonths,(totalMonths-M599)/totalMonths *(I599-I598)+O598,0))</f>
        <v>0</v>
      </c>
      <c r="P599">
        <f>IF(AND(MyRowHidden(ROW())=FALSE,MyRowHidden(ROW()-1)=TRUE),0,IF(M599&lt;totalMonths,(totalMonths-M599)/totalMonths *(J599-J598)+P598,0))</f>
        <v>0</v>
      </c>
      <c r="Q599">
        <f>IF(AND(MyRowHidden(ROW())=FALSE,MyRowHidden(ROW()-1)=TRUE),0,IF(M599&lt;totalMonths,(totalMonths-M599)/totalMonths *(K599-K598)+Q598,0))</f>
        <v>0</v>
      </c>
      <c r="R599">
        <f t="shared" si="58"/>
        <v>262500</v>
      </c>
      <c r="S599">
        <f t="shared" si="59"/>
        <v>0</v>
      </c>
    </row>
    <row r="600" spans="1:19" hidden="1" x14ac:dyDescent="0.25">
      <c r="A600" s="1"/>
      <c r="C600" s="1"/>
      <c r="D600" s="1">
        <v>42130</v>
      </c>
      <c r="E600">
        <v>30540</v>
      </c>
      <c r="F600" s="1">
        <v>42130</v>
      </c>
      <c r="G600">
        <v>-2950</v>
      </c>
      <c r="H600" s="1">
        <f t="shared" si="54"/>
        <v>42130</v>
      </c>
      <c r="I600">
        <f>IF(AND(MyRowHidden(ROW())=FALSE,MyRowHidden(ROW()-1)=TRUE),0,(E600-E599)*unitsOfDHp+I599)</f>
        <v>274435</v>
      </c>
      <c r="J600">
        <f>IF(AND(MyRowHidden(ROW())=FALSE,MyRowHidden(ROW()-1)=TRUE),0,(G600-G599)*unitsOfExo+J599)</f>
        <v>-1396800</v>
      </c>
      <c r="K600" s="9">
        <f t="shared" si="55"/>
        <v>1396800</v>
      </c>
      <c r="L600">
        <f t="shared" si="56"/>
        <v>-1122365</v>
      </c>
      <c r="M600">
        <f>IF(AND(MyRowHidden(ROW())=FALSE,MyRowHidden(ROW()-1)=TRUE),0,IF(MONTH(H600)&lt;&gt;MONTH(H599),M599+1,M599))</f>
        <v>28</v>
      </c>
      <c r="N600">
        <f t="shared" si="57"/>
        <v>274435</v>
      </c>
      <c r="O600">
        <f>IF(AND(MyRowHidden(ROW())=FALSE,MyRowHidden(ROW()-1)=TRUE),0,IF(M600&lt;totalMonths,(totalMonths-M600)/totalMonths *(I600-I599)+O599,0))</f>
        <v>0</v>
      </c>
      <c r="P600">
        <f>IF(AND(MyRowHidden(ROW())=FALSE,MyRowHidden(ROW()-1)=TRUE),0,IF(M600&lt;totalMonths,(totalMonths-M600)/totalMonths *(J600-J599)+P599,0))</f>
        <v>0</v>
      </c>
      <c r="Q600">
        <f>IF(AND(MyRowHidden(ROW())=FALSE,MyRowHidden(ROW()-1)=TRUE),0,IF(M600&lt;totalMonths,(totalMonths-M600)/totalMonths *(K600-K599)+Q599,0))</f>
        <v>0</v>
      </c>
      <c r="R600">
        <f t="shared" si="58"/>
        <v>274435</v>
      </c>
      <c r="S600">
        <f t="shared" si="59"/>
        <v>0</v>
      </c>
    </row>
    <row r="601" spans="1:19" hidden="1" x14ac:dyDescent="0.25">
      <c r="A601" s="1"/>
      <c r="C601" s="1"/>
      <c r="D601" s="1">
        <v>42131</v>
      </c>
      <c r="E601">
        <v>29842</v>
      </c>
      <c r="F601" s="1">
        <v>42131</v>
      </c>
      <c r="G601">
        <v>-3325</v>
      </c>
      <c r="H601" s="1">
        <f t="shared" si="54"/>
        <v>42131</v>
      </c>
      <c r="I601">
        <f>IF(AND(MyRowHidden(ROW())=FALSE,MyRowHidden(ROW()-1)=TRUE),0,(E601-E600)*unitsOfDHp+I600)</f>
        <v>250005</v>
      </c>
      <c r="J601">
        <f>IF(AND(MyRowHidden(ROW())=FALSE,MyRowHidden(ROW()-1)=TRUE),0,(G601-G600)*unitsOfExo+J600)</f>
        <v>-1504800</v>
      </c>
      <c r="K601" s="9">
        <f t="shared" si="55"/>
        <v>1504800</v>
      </c>
      <c r="L601">
        <f t="shared" si="56"/>
        <v>-1254795</v>
      </c>
      <c r="M601">
        <f>IF(AND(MyRowHidden(ROW())=FALSE,MyRowHidden(ROW()-1)=TRUE),0,IF(MONTH(H601)&lt;&gt;MONTH(H600),M600+1,M600))</f>
        <v>28</v>
      </c>
      <c r="N601">
        <f t="shared" si="57"/>
        <v>250005</v>
      </c>
      <c r="O601">
        <f>IF(AND(MyRowHidden(ROW())=FALSE,MyRowHidden(ROW()-1)=TRUE),0,IF(M601&lt;totalMonths,(totalMonths-M601)/totalMonths *(I601-I600)+O600,0))</f>
        <v>0</v>
      </c>
      <c r="P601">
        <f>IF(AND(MyRowHidden(ROW())=FALSE,MyRowHidden(ROW()-1)=TRUE),0,IF(M601&lt;totalMonths,(totalMonths-M601)/totalMonths *(J601-J600)+P600,0))</f>
        <v>0</v>
      </c>
      <c r="Q601">
        <f>IF(AND(MyRowHidden(ROW())=FALSE,MyRowHidden(ROW()-1)=TRUE),0,IF(M601&lt;totalMonths,(totalMonths-M601)/totalMonths *(K601-K600)+Q600,0))</f>
        <v>0</v>
      </c>
      <c r="R601">
        <f t="shared" si="58"/>
        <v>250005</v>
      </c>
      <c r="S601">
        <f t="shared" si="59"/>
        <v>0</v>
      </c>
    </row>
    <row r="602" spans="1:19" hidden="1" x14ac:dyDescent="0.25">
      <c r="A602" s="1"/>
      <c r="C602" s="1"/>
      <c r="D602" s="1">
        <v>42132</v>
      </c>
      <c r="E602">
        <v>29855</v>
      </c>
      <c r="F602" s="1">
        <v>42132</v>
      </c>
      <c r="G602">
        <v>-3400</v>
      </c>
      <c r="H602" s="1">
        <f t="shared" si="54"/>
        <v>42132</v>
      </c>
      <c r="I602">
        <f>IF(AND(MyRowHidden(ROW())=FALSE,MyRowHidden(ROW()-1)=TRUE),0,(E602-E601)*unitsOfDHp+I601)</f>
        <v>250460</v>
      </c>
      <c r="J602">
        <f>IF(AND(MyRowHidden(ROW())=FALSE,MyRowHidden(ROW()-1)=TRUE),0,(G602-G601)*unitsOfExo+J601)</f>
        <v>-1526400</v>
      </c>
      <c r="K602" s="9">
        <f t="shared" si="55"/>
        <v>1526400</v>
      </c>
      <c r="L602">
        <f t="shared" si="56"/>
        <v>-1275940</v>
      </c>
      <c r="M602">
        <f>IF(AND(MyRowHidden(ROW())=FALSE,MyRowHidden(ROW()-1)=TRUE),0,IF(MONTH(H602)&lt;&gt;MONTH(H601),M601+1,M601))</f>
        <v>28</v>
      </c>
      <c r="N602">
        <f t="shared" si="57"/>
        <v>250460</v>
      </c>
      <c r="O602">
        <f>IF(AND(MyRowHidden(ROW())=FALSE,MyRowHidden(ROW()-1)=TRUE),0,IF(M602&lt;totalMonths,(totalMonths-M602)/totalMonths *(I602-I601)+O601,0))</f>
        <v>0</v>
      </c>
      <c r="P602">
        <f>IF(AND(MyRowHidden(ROW())=FALSE,MyRowHidden(ROW()-1)=TRUE),0,IF(M602&lt;totalMonths,(totalMonths-M602)/totalMonths *(J602-J601)+P601,0))</f>
        <v>0</v>
      </c>
      <c r="Q602">
        <f>IF(AND(MyRowHidden(ROW())=FALSE,MyRowHidden(ROW()-1)=TRUE),0,IF(M602&lt;totalMonths,(totalMonths-M602)/totalMonths *(K602-K601)+Q601,0))</f>
        <v>0</v>
      </c>
      <c r="R602">
        <f t="shared" si="58"/>
        <v>250460</v>
      </c>
      <c r="S602">
        <f t="shared" si="59"/>
        <v>0</v>
      </c>
    </row>
    <row r="603" spans="1:19" hidden="1" x14ac:dyDescent="0.25">
      <c r="A603" s="1"/>
      <c r="C603" s="1"/>
      <c r="D603" s="1">
        <v>42135</v>
      </c>
      <c r="E603">
        <v>29351</v>
      </c>
      <c r="F603" s="1">
        <v>42135</v>
      </c>
      <c r="G603">
        <v>-3362.5</v>
      </c>
      <c r="H603" s="1">
        <f t="shared" si="54"/>
        <v>42135</v>
      </c>
      <c r="I603">
        <f>IF(AND(MyRowHidden(ROW())=FALSE,MyRowHidden(ROW()-1)=TRUE),0,(E603-E602)*unitsOfDHp+I602)</f>
        <v>232820</v>
      </c>
      <c r="J603">
        <f>IF(AND(MyRowHidden(ROW())=FALSE,MyRowHidden(ROW()-1)=TRUE),0,(G603-G602)*unitsOfExo+J602)</f>
        <v>-1515600</v>
      </c>
      <c r="K603" s="9">
        <f t="shared" si="55"/>
        <v>1515600</v>
      </c>
      <c r="L603">
        <f t="shared" si="56"/>
        <v>-1282780</v>
      </c>
      <c r="M603">
        <f>IF(AND(MyRowHidden(ROW())=FALSE,MyRowHidden(ROW()-1)=TRUE),0,IF(MONTH(H603)&lt;&gt;MONTH(H602),M602+1,M602))</f>
        <v>28</v>
      </c>
      <c r="N603">
        <f t="shared" si="57"/>
        <v>232820</v>
      </c>
      <c r="O603">
        <f>IF(AND(MyRowHidden(ROW())=FALSE,MyRowHidden(ROW()-1)=TRUE),0,IF(M603&lt;totalMonths,(totalMonths-M603)/totalMonths *(I603-I602)+O602,0))</f>
        <v>0</v>
      </c>
      <c r="P603">
        <f>IF(AND(MyRowHidden(ROW())=FALSE,MyRowHidden(ROW()-1)=TRUE),0,IF(M603&lt;totalMonths,(totalMonths-M603)/totalMonths *(J603-J602)+P602,0))</f>
        <v>0</v>
      </c>
      <c r="Q603">
        <f>IF(AND(MyRowHidden(ROW())=FALSE,MyRowHidden(ROW()-1)=TRUE),0,IF(M603&lt;totalMonths,(totalMonths-M603)/totalMonths *(K603-K602)+Q602,0))</f>
        <v>0</v>
      </c>
      <c r="R603">
        <f t="shared" si="58"/>
        <v>232820</v>
      </c>
      <c r="S603">
        <f t="shared" si="59"/>
        <v>0</v>
      </c>
    </row>
    <row r="604" spans="1:19" hidden="1" x14ac:dyDescent="0.25">
      <c r="A604" s="1"/>
      <c r="C604" s="1"/>
      <c r="D604" s="1">
        <v>42136</v>
      </c>
      <c r="E604">
        <v>29843</v>
      </c>
      <c r="F604" s="1">
        <v>42136</v>
      </c>
      <c r="G604">
        <v>-3300</v>
      </c>
      <c r="H604" s="1">
        <f t="shared" si="54"/>
        <v>42136</v>
      </c>
      <c r="I604">
        <f>IF(AND(MyRowHidden(ROW())=FALSE,MyRowHidden(ROW()-1)=TRUE),0,(E604-E603)*unitsOfDHp+I603)</f>
        <v>250040</v>
      </c>
      <c r="J604">
        <f>IF(AND(MyRowHidden(ROW())=FALSE,MyRowHidden(ROW()-1)=TRUE),0,(G604-G603)*unitsOfExo+J603)</f>
        <v>-1497600</v>
      </c>
      <c r="K604" s="9">
        <f t="shared" si="55"/>
        <v>1497600</v>
      </c>
      <c r="L604">
        <f t="shared" si="56"/>
        <v>-1247560</v>
      </c>
      <c r="M604">
        <f>IF(AND(MyRowHidden(ROW())=FALSE,MyRowHidden(ROW()-1)=TRUE),0,IF(MONTH(H604)&lt;&gt;MONTH(H603),M603+1,M603))</f>
        <v>28</v>
      </c>
      <c r="N604">
        <f t="shared" si="57"/>
        <v>250040</v>
      </c>
      <c r="O604">
        <f>IF(AND(MyRowHidden(ROW())=FALSE,MyRowHidden(ROW()-1)=TRUE),0,IF(M604&lt;totalMonths,(totalMonths-M604)/totalMonths *(I604-I603)+O603,0))</f>
        <v>0</v>
      </c>
      <c r="P604">
        <f>IF(AND(MyRowHidden(ROW())=FALSE,MyRowHidden(ROW()-1)=TRUE),0,IF(M604&lt;totalMonths,(totalMonths-M604)/totalMonths *(J604-J603)+P603,0))</f>
        <v>0</v>
      </c>
      <c r="Q604">
        <f>IF(AND(MyRowHidden(ROW())=FALSE,MyRowHidden(ROW()-1)=TRUE),0,IF(M604&lt;totalMonths,(totalMonths-M604)/totalMonths *(K604-K603)+Q603,0))</f>
        <v>0</v>
      </c>
      <c r="R604">
        <f t="shared" si="58"/>
        <v>250040</v>
      </c>
      <c r="S604">
        <f t="shared" si="59"/>
        <v>0</v>
      </c>
    </row>
    <row r="605" spans="1:19" hidden="1" x14ac:dyDescent="0.25">
      <c r="A605" s="1"/>
      <c r="C605" s="1"/>
      <c r="D605" s="1">
        <v>42137</v>
      </c>
      <c r="E605">
        <v>29553</v>
      </c>
      <c r="F605" s="1">
        <v>42137</v>
      </c>
      <c r="G605">
        <v>-3387.5</v>
      </c>
      <c r="H605" s="1">
        <f t="shared" si="54"/>
        <v>42137</v>
      </c>
      <c r="I605">
        <f>IF(AND(MyRowHidden(ROW())=FALSE,MyRowHidden(ROW()-1)=TRUE),0,(E605-E604)*unitsOfDHp+I604)</f>
        <v>239890</v>
      </c>
      <c r="J605">
        <f>IF(AND(MyRowHidden(ROW())=FALSE,MyRowHidden(ROW()-1)=TRUE),0,(G605-G604)*unitsOfExo+J604)</f>
        <v>-1522800</v>
      </c>
      <c r="K605" s="9">
        <f t="shared" si="55"/>
        <v>1522800</v>
      </c>
      <c r="L605">
        <f t="shared" si="56"/>
        <v>-1282910</v>
      </c>
      <c r="M605">
        <f>IF(AND(MyRowHidden(ROW())=FALSE,MyRowHidden(ROW()-1)=TRUE),0,IF(MONTH(H605)&lt;&gt;MONTH(H604),M604+1,M604))</f>
        <v>28</v>
      </c>
      <c r="N605">
        <f t="shared" si="57"/>
        <v>239890</v>
      </c>
      <c r="O605">
        <f>IF(AND(MyRowHidden(ROW())=FALSE,MyRowHidden(ROW()-1)=TRUE),0,IF(M605&lt;totalMonths,(totalMonths-M605)/totalMonths *(I605-I604)+O604,0))</f>
        <v>0</v>
      </c>
      <c r="P605">
        <f>IF(AND(MyRowHidden(ROW())=FALSE,MyRowHidden(ROW()-1)=TRUE),0,IF(M605&lt;totalMonths,(totalMonths-M605)/totalMonths *(J605-J604)+P604,0))</f>
        <v>0</v>
      </c>
      <c r="Q605">
        <f>IF(AND(MyRowHidden(ROW())=FALSE,MyRowHidden(ROW()-1)=TRUE),0,IF(M605&lt;totalMonths,(totalMonths-M605)/totalMonths *(K605-K604)+Q604,0))</f>
        <v>0</v>
      </c>
      <c r="R605">
        <f t="shared" si="58"/>
        <v>239890</v>
      </c>
      <c r="S605">
        <f t="shared" si="59"/>
        <v>0</v>
      </c>
    </row>
    <row r="606" spans="1:19" hidden="1" x14ac:dyDescent="0.25">
      <c r="A606" s="1"/>
      <c r="C606" s="1"/>
      <c r="D606" s="1">
        <v>42138</v>
      </c>
      <c r="E606">
        <v>30201</v>
      </c>
      <c r="F606" s="1">
        <v>42138</v>
      </c>
      <c r="G606">
        <v>-3062.5</v>
      </c>
      <c r="H606" s="1">
        <f t="shared" si="54"/>
        <v>42138</v>
      </c>
      <c r="I606">
        <f>IF(AND(MyRowHidden(ROW())=FALSE,MyRowHidden(ROW()-1)=TRUE),0,(E606-E605)*unitsOfDHp+I605)</f>
        <v>262570</v>
      </c>
      <c r="J606">
        <f>IF(AND(MyRowHidden(ROW())=FALSE,MyRowHidden(ROW()-1)=TRUE),0,(G606-G605)*unitsOfExo+J605)</f>
        <v>-1429200</v>
      </c>
      <c r="K606" s="9">
        <f t="shared" si="55"/>
        <v>1429200</v>
      </c>
      <c r="L606">
        <f t="shared" si="56"/>
        <v>-1166630</v>
      </c>
      <c r="M606">
        <f>IF(AND(MyRowHidden(ROW())=FALSE,MyRowHidden(ROW()-1)=TRUE),0,IF(MONTH(H606)&lt;&gt;MONTH(H605),M605+1,M605))</f>
        <v>28</v>
      </c>
      <c r="N606">
        <f t="shared" si="57"/>
        <v>262570</v>
      </c>
      <c r="O606">
        <f>IF(AND(MyRowHidden(ROW())=FALSE,MyRowHidden(ROW()-1)=TRUE),0,IF(M606&lt;totalMonths,(totalMonths-M606)/totalMonths *(I606-I605)+O605,0))</f>
        <v>0</v>
      </c>
      <c r="P606">
        <f>IF(AND(MyRowHidden(ROW())=FALSE,MyRowHidden(ROW()-1)=TRUE),0,IF(M606&lt;totalMonths,(totalMonths-M606)/totalMonths *(J606-J605)+P605,0))</f>
        <v>0</v>
      </c>
      <c r="Q606">
        <f>IF(AND(MyRowHidden(ROW())=FALSE,MyRowHidden(ROW()-1)=TRUE),0,IF(M606&lt;totalMonths,(totalMonths-M606)/totalMonths *(K606-K605)+Q605,0))</f>
        <v>0</v>
      </c>
      <c r="R606">
        <f t="shared" si="58"/>
        <v>262570</v>
      </c>
      <c r="S606">
        <f t="shared" si="59"/>
        <v>0</v>
      </c>
    </row>
    <row r="607" spans="1:19" hidden="1" x14ac:dyDescent="0.25">
      <c r="A607" s="1"/>
      <c r="C607" s="1"/>
      <c r="D607" s="1">
        <v>42139</v>
      </c>
      <c r="E607">
        <v>29823</v>
      </c>
      <c r="F607" s="1">
        <v>42139</v>
      </c>
      <c r="G607">
        <v>-3212.5</v>
      </c>
      <c r="H607" s="1">
        <f t="shared" si="54"/>
        <v>42139</v>
      </c>
      <c r="I607">
        <f>IF(AND(MyRowHidden(ROW())=FALSE,MyRowHidden(ROW()-1)=TRUE),0,(E607-E606)*unitsOfDHp+I606)</f>
        <v>249340</v>
      </c>
      <c r="J607">
        <f>IF(AND(MyRowHidden(ROW())=FALSE,MyRowHidden(ROW()-1)=TRUE),0,(G607-G606)*unitsOfExo+J606)</f>
        <v>-1472400</v>
      </c>
      <c r="K607" s="9">
        <f t="shared" si="55"/>
        <v>1472400</v>
      </c>
      <c r="L607">
        <f t="shared" si="56"/>
        <v>-1223060</v>
      </c>
      <c r="M607">
        <f>IF(AND(MyRowHidden(ROW())=FALSE,MyRowHidden(ROW()-1)=TRUE),0,IF(MONTH(H607)&lt;&gt;MONTH(H606),M606+1,M606))</f>
        <v>28</v>
      </c>
      <c r="N607">
        <f t="shared" si="57"/>
        <v>249340</v>
      </c>
      <c r="O607">
        <f>IF(AND(MyRowHidden(ROW())=FALSE,MyRowHidden(ROW()-1)=TRUE),0,IF(M607&lt;totalMonths,(totalMonths-M607)/totalMonths *(I607-I606)+O606,0))</f>
        <v>0</v>
      </c>
      <c r="P607">
        <f>IF(AND(MyRowHidden(ROW())=FALSE,MyRowHidden(ROW()-1)=TRUE),0,IF(M607&lt;totalMonths,(totalMonths-M607)/totalMonths *(J607-J606)+P606,0))</f>
        <v>0</v>
      </c>
      <c r="Q607">
        <f>IF(AND(MyRowHidden(ROW())=FALSE,MyRowHidden(ROW()-1)=TRUE),0,IF(M607&lt;totalMonths,(totalMonths-M607)/totalMonths *(K607-K606)+Q606,0))</f>
        <v>0</v>
      </c>
      <c r="R607">
        <f t="shared" si="58"/>
        <v>249340</v>
      </c>
      <c r="S607">
        <f t="shared" si="59"/>
        <v>0</v>
      </c>
    </row>
    <row r="608" spans="1:19" hidden="1" x14ac:dyDescent="0.25">
      <c r="A608" s="1"/>
      <c r="C608" s="1"/>
      <c r="D608" s="1">
        <v>42142</v>
      </c>
      <c r="E608">
        <v>30014</v>
      </c>
      <c r="F608" s="1">
        <v>42142</v>
      </c>
      <c r="G608">
        <v>-2937.5</v>
      </c>
      <c r="H608" s="1">
        <f t="shared" si="54"/>
        <v>42142</v>
      </c>
      <c r="I608">
        <f>IF(AND(MyRowHidden(ROW())=FALSE,MyRowHidden(ROW()-1)=TRUE),0,(E608-E607)*unitsOfDHp+I607)</f>
        <v>256025</v>
      </c>
      <c r="J608">
        <f>IF(AND(MyRowHidden(ROW())=FALSE,MyRowHidden(ROW()-1)=TRUE),0,(G608-G607)*unitsOfExo+J607)</f>
        <v>-1393200</v>
      </c>
      <c r="K608" s="9">
        <f t="shared" si="55"/>
        <v>1393200</v>
      </c>
      <c r="L608">
        <f t="shared" si="56"/>
        <v>-1137175</v>
      </c>
      <c r="M608">
        <f>IF(AND(MyRowHidden(ROW())=FALSE,MyRowHidden(ROW()-1)=TRUE),0,IF(MONTH(H608)&lt;&gt;MONTH(H607),M607+1,M607))</f>
        <v>28</v>
      </c>
      <c r="N608">
        <f t="shared" si="57"/>
        <v>256025</v>
      </c>
      <c r="O608">
        <f>IF(AND(MyRowHidden(ROW())=FALSE,MyRowHidden(ROW()-1)=TRUE),0,IF(M608&lt;totalMonths,(totalMonths-M608)/totalMonths *(I608-I607)+O607,0))</f>
        <v>0</v>
      </c>
      <c r="P608">
        <f>IF(AND(MyRowHidden(ROW())=FALSE,MyRowHidden(ROW()-1)=TRUE),0,IF(M608&lt;totalMonths,(totalMonths-M608)/totalMonths *(J608-J607)+P607,0))</f>
        <v>0</v>
      </c>
      <c r="Q608">
        <f>IF(AND(MyRowHidden(ROW())=FALSE,MyRowHidden(ROW()-1)=TRUE),0,IF(M608&lt;totalMonths,(totalMonths-M608)/totalMonths *(K608-K607)+Q607,0))</f>
        <v>0</v>
      </c>
      <c r="R608">
        <f t="shared" si="58"/>
        <v>256025</v>
      </c>
      <c r="S608">
        <f t="shared" si="59"/>
        <v>0</v>
      </c>
    </row>
    <row r="609" spans="1:19" hidden="1" x14ac:dyDescent="0.25">
      <c r="A609" s="1"/>
      <c r="C609" s="1"/>
      <c r="D609" s="1">
        <v>42143</v>
      </c>
      <c r="E609">
        <v>29576</v>
      </c>
      <c r="F609" s="1">
        <v>42143</v>
      </c>
      <c r="G609">
        <v>-3350</v>
      </c>
      <c r="H609" s="1">
        <f t="shared" si="54"/>
        <v>42143</v>
      </c>
      <c r="I609">
        <f>IF(AND(MyRowHidden(ROW())=FALSE,MyRowHidden(ROW()-1)=TRUE),0,(E609-E608)*unitsOfDHp+I608)</f>
        <v>240695</v>
      </c>
      <c r="J609">
        <f>IF(AND(MyRowHidden(ROW())=FALSE,MyRowHidden(ROW()-1)=TRUE),0,(G609-G608)*unitsOfExo+J608)</f>
        <v>-1512000</v>
      </c>
      <c r="K609" s="9">
        <f t="shared" si="55"/>
        <v>1512000</v>
      </c>
      <c r="L609">
        <f t="shared" si="56"/>
        <v>-1271305</v>
      </c>
      <c r="M609">
        <f>IF(AND(MyRowHidden(ROW())=FALSE,MyRowHidden(ROW()-1)=TRUE),0,IF(MONTH(H609)&lt;&gt;MONTH(H608),M608+1,M608))</f>
        <v>28</v>
      </c>
      <c r="N609">
        <f t="shared" si="57"/>
        <v>240695</v>
      </c>
      <c r="O609">
        <f>IF(AND(MyRowHidden(ROW())=FALSE,MyRowHidden(ROW()-1)=TRUE),0,IF(M609&lt;totalMonths,(totalMonths-M609)/totalMonths *(I609-I608)+O608,0))</f>
        <v>0</v>
      </c>
      <c r="P609">
        <f>IF(AND(MyRowHidden(ROW())=FALSE,MyRowHidden(ROW()-1)=TRUE),0,IF(M609&lt;totalMonths,(totalMonths-M609)/totalMonths *(J609-J608)+P608,0))</f>
        <v>0</v>
      </c>
      <c r="Q609">
        <f>IF(AND(MyRowHidden(ROW())=FALSE,MyRowHidden(ROW()-1)=TRUE),0,IF(M609&lt;totalMonths,(totalMonths-M609)/totalMonths *(K609-K608)+Q608,0))</f>
        <v>0</v>
      </c>
      <c r="R609">
        <f t="shared" si="58"/>
        <v>240695</v>
      </c>
      <c r="S609">
        <f t="shared" si="59"/>
        <v>0</v>
      </c>
    </row>
    <row r="610" spans="1:19" hidden="1" x14ac:dyDescent="0.25">
      <c r="A610" s="1"/>
      <c r="C610" s="1"/>
      <c r="D610" s="1">
        <v>42144</v>
      </c>
      <c r="E610">
        <v>29539</v>
      </c>
      <c r="F610" s="1">
        <v>42144</v>
      </c>
      <c r="G610">
        <v>-3450</v>
      </c>
      <c r="H610" s="1">
        <f t="shared" si="54"/>
        <v>42144</v>
      </c>
      <c r="I610">
        <f>IF(AND(MyRowHidden(ROW())=FALSE,MyRowHidden(ROW()-1)=TRUE),0,(E610-E609)*unitsOfDHp+I609)</f>
        <v>239400</v>
      </c>
      <c r="J610">
        <f>IF(AND(MyRowHidden(ROW())=FALSE,MyRowHidden(ROW()-1)=TRUE),0,(G610-G609)*unitsOfExo+J609)</f>
        <v>-1540800</v>
      </c>
      <c r="K610" s="9">
        <f t="shared" si="55"/>
        <v>1540800</v>
      </c>
      <c r="L610">
        <f t="shared" si="56"/>
        <v>-1301400</v>
      </c>
      <c r="M610">
        <f>IF(AND(MyRowHidden(ROW())=FALSE,MyRowHidden(ROW()-1)=TRUE),0,IF(MONTH(H610)&lt;&gt;MONTH(H609),M609+1,M609))</f>
        <v>28</v>
      </c>
      <c r="N610">
        <f t="shared" si="57"/>
        <v>239400</v>
      </c>
      <c r="O610">
        <f>IF(AND(MyRowHidden(ROW())=FALSE,MyRowHidden(ROW()-1)=TRUE),0,IF(M610&lt;totalMonths,(totalMonths-M610)/totalMonths *(I610-I609)+O609,0))</f>
        <v>0</v>
      </c>
      <c r="P610">
        <f>IF(AND(MyRowHidden(ROW())=FALSE,MyRowHidden(ROW()-1)=TRUE),0,IF(M610&lt;totalMonths,(totalMonths-M610)/totalMonths *(J610-J609)+P609,0))</f>
        <v>0</v>
      </c>
      <c r="Q610">
        <f>IF(AND(MyRowHidden(ROW())=FALSE,MyRowHidden(ROW()-1)=TRUE),0,IF(M610&lt;totalMonths,(totalMonths-M610)/totalMonths *(K610-K609)+Q609,0))</f>
        <v>0</v>
      </c>
      <c r="R610">
        <f t="shared" si="58"/>
        <v>239400</v>
      </c>
      <c r="S610">
        <f t="shared" si="59"/>
        <v>0</v>
      </c>
    </row>
    <row r="611" spans="1:19" hidden="1" x14ac:dyDescent="0.25">
      <c r="A611" s="1"/>
      <c r="C611" s="1"/>
      <c r="D611" s="1">
        <v>42145</v>
      </c>
      <c r="E611">
        <v>29385</v>
      </c>
      <c r="F611" s="1">
        <v>42145</v>
      </c>
      <c r="G611">
        <v>-3200</v>
      </c>
      <c r="H611" s="1">
        <f t="shared" si="54"/>
        <v>42145</v>
      </c>
      <c r="I611">
        <f>IF(AND(MyRowHidden(ROW())=FALSE,MyRowHidden(ROW()-1)=TRUE),0,(E611-E610)*unitsOfDHp+I610)</f>
        <v>234010</v>
      </c>
      <c r="J611">
        <f>IF(AND(MyRowHidden(ROW())=FALSE,MyRowHidden(ROW()-1)=TRUE),0,(G611-G610)*unitsOfExo+J610)</f>
        <v>-1468800</v>
      </c>
      <c r="K611" s="9">
        <f t="shared" si="55"/>
        <v>1468800</v>
      </c>
      <c r="L611">
        <f t="shared" si="56"/>
        <v>-1234790</v>
      </c>
      <c r="M611">
        <f>IF(AND(MyRowHidden(ROW())=FALSE,MyRowHidden(ROW()-1)=TRUE),0,IF(MONTH(H611)&lt;&gt;MONTH(H610),M610+1,M610))</f>
        <v>28</v>
      </c>
      <c r="N611">
        <f t="shared" si="57"/>
        <v>234010</v>
      </c>
      <c r="O611">
        <f>IF(AND(MyRowHidden(ROW())=FALSE,MyRowHidden(ROW()-1)=TRUE),0,IF(M611&lt;totalMonths,(totalMonths-M611)/totalMonths *(I611-I610)+O610,0))</f>
        <v>0</v>
      </c>
      <c r="P611">
        <f>IF(AND(MyRowHidden(ROW())=FALSE,MyRowHidden(ROW()-1)=TRUE),0,IF(M611&lt;totalMonths,(totalMonths-M611)/totalMonths *(J611-J610)+P610,0))</f>
        <v>0</v>
      </c>
      <c r="Q611">
        <f>IF(AND(MyRowHidden(ROW())=FALSE,MyRowHidden(ROW()-1)=TRUE),0,IF(M611&lt;totalMonths,(totalMonths-M611)/totalMonths *(K611-K610)+Q610,0))</f>
        <v>0</v>
      </c>
      <c r="R611">
        <f t="shared" si="58"/>
        <v>234010</v>
      </c>
      <c r="S611">
        <f t="shared" si="59"/>
        <v>0</v>
      </c>
    </row>
    <row r="612" spans="1:19" hidden="1" x14ac:dyDescent="0.25">
      <c r="A612" s="1"/>
      <c r="C612" s="1"/>
      <c r="D612" s="1">
        <v>42146</v>
      </c>
      <c r="E612">
        <v>29590</v>
      </c>
      <c r="F612" s="1">
        <v>42146</v>
      </c>
      <c r="G612">
        <v>-3400</v>
      </c>
      <c r="H612" s="1">
        <f t="shared" si="54"/>
        <v>42146</v>
      </c>
      <c r="I612">
        <f>IF(AND(MyRowHidden(ROW())=FALSE,MyRowHidden(ROW()-1)=TRUE),0,(E612-E611)*unitsOfDHp+I611)</f>
        <v>241185</v>
      </c>
      <c r="J612">
        <f>IF(AND(MyRowHidden(ROW())=FALSE,MyRowHidden(ROW()-1)=TRUE),0,(G612-G611)*unitsOfExo+J611)</f>
        <v>-1526400</v>
      </c>
      <c r="K612" s="9">
        <f t="shared" si="55"/>
        <v>1526400</v>
      </c>
      <c r="L612">
        <f t="shared" si="56"/>
        <v>-1285215</v>
      </c>
      <c r="M612">
        <f>IF(AND(MyRowHidden(ROW())=FALSE,MyRowHidden(ROW()-1)=TRUE),0,IF(MONTH(H612)&lt;&gt;MONTH(H611),M611+1,M611))</f>
        <v>28</v>
      </c>
      <c r="N612">
        <f t="shared" si="57"/>
        <v>241185</v>
      </c>
      <c r="O612">
        <f>IF(AND(MyRowHidden(ROW())=FALSE,MyRowHidden(ROW()-1)=TRUE),0,IF(M612&lt;totalMonths,(totalMonths-M612)/totalMonths *(I612-I611)+O611,0))</f>
        <v>0</v>
      </c>
      <c r="P612">
        <f>IF(AND(MyRowHidden(ROW())=FALSE,MyRowHidden(ROW()-1)=TRUE),0,IF(M612&lt;totalMonths,(totalMonths-M612)/totalMonths *(J612-J611)+P611,0))</f>
        <v>0</v>
      </c>
      <c r="Q612">
        <f>IF(AND(MyRowHidden(ROW())=FALSE,MyRowHidden(ROW()-1)=TRUE),0,IF(M612&lt;totalMonths,(totalMonths-M612)/totalMonths *(K612-K611)+Q611,0))</f>
        <v>0</v>
      </c>
      <c r="R612">
        <f t="shared" si="58"/>
        <v>241185</v>
      </c>
      <c r="S612">
        <f t="shared" si="59"/>
        <v>0</v>
      </c>
    </row>
    <row r="613" spans="1:19" hidden="1" x14ac:dyDescent="0.25">
      <c r="A613" s="1"/>
      <c r="C613" s="1"/>
      <c r="D613" s="1">
        <v>42150</v>
      </c>
      <c r="E613">
        <v>30133</v>
      </c>
      <c r="F613" s="1">
        <v>42150</v>
      </c>
      <c r="G613">
        <v>-3737.5</v>
      </c>
      <c r="H613" s="1">
        <f t="shared" si="54"/>
        <v>42150</v>
      </c>
      <c r="I613">
        <f>IF(AND(MyRowHidden(ROW())=FALSE,MyRowHidden(ROW()-1)=TRUE),0,(E613-E612)*unitsOfDHp+I612)</f>
        <v>260190</v>
      </c>
      <c r="J613">
        <f>IF(AND(MyRowHidden(ROW())=FALSE,MyRowHidden(ROW()-1)=TRUE),0,(G613-G612)*unitsOfExo+J612)</f>
        <v>-1623600</v>
      </c>
      <c r="K613" s="9">
        <f t="shared" si="55"/>
        <v>1623600</v>
      </c>
      <c r="L613">
        <f t="shared" si="56"/>
        <v>-1363410</v>
      </c>
      <c r="M613">
        <f>IF(AND(MyRowHidden(ROW())=FALSE,MyRowHidden(ROW()-1)=TRUE),0,IF(MONTH(H613)&lt;&gt;MONTH(H612),M612+1,M612))</f>
        <v>28</v>
      </c>
      <c r="N613">
        <f t="shared" si="57"/>
        <v>260190</v>
      </c>
      <c r="O613">
        <f>IF(AND(MyRowHidden(ROW())=FALSE,MyRowHidden(ROW()-1)=TRUE),0,IF(M613&lt;totalMonths,(totalMonths-M613)/totalMonths *(I613-I612)+O612,0))</f>
        <v>0</v>
      </c>
      <c r="P613">
        <f>IF(AND(MyRowHidden(ROW())=FALSE,MyRowHidden(ROW()-1)=TRUE),0,IF(M613&lt;totalMonths,(totalMonths-M613)/totalMonths *(J613-J612)+P612,0))</f>
        <v>0</v>
      </c>
      <c r="Q613">
        <f>IF(AND(MyRowHidden(ROW())=FALSE,MyRowHidden(ROW()-1)=TRUE),0,IF(M613&lt;totalMonths,(totalMonths-M613)/totalMonths *(K613-K612)+Q612,0))</f>
        <v>0</v>
      </c>
      <c r="R613">
        <f t="shared" si="58"/>
        <v>260190</v>
      </c>
      <c r="S613">
        <f t="shared" si="59"/>
        <v>0</v>
      </c>
    </row>
    <row r="614" spans="1:19" hidden="1" x14ac:dyDescent="0.25">
      <c r="A614" s="1"/>
      <c r="C614" s="1"/>
      <c r="D614" s="1">
        <v>42151</v>
      </c>
      <c r="E614">
        <v>29972</v>
      </c>
      <c r="F614" s="1">
        <v>42151</v>
      </c>
      <c r="G614">
        <v>-3937.5</v>
      </c>
      <c r="H614" s="1">
        <f t="shared" si="54"/>
        <v>42151</v>
      </c>
      <c r="I614">
        <f>IF(AND(MyRowHidden(ROW())=FALSE,MyRowHidden(ROW()-1)=TRUE),0,(E614-E613)*unitsOfDHp+I613)</f>
        <v>254555</v>
      </c>
      <c r="J614">
        <f>IF(AND(MyRowHidden(ROW())=FALSE,MyRowHidden(ROW()-1)=TRUE),0,(G614-G613)*unitsOfExo+J613)</f>
        <v>-1681200</v>
      </c>
      <c r="K614" s="9">
        <f t="shared" si="55"/>
        <v>1681200</v>
      </c>
      <c r="L614">
        <f t="shared" si="56"/>
        <v>-1426645</v>
      </c>
      <c r="M614">
        <f>IF(AND(MyRowHidden(ROW())=FALSE,MyRowHidden(ROW()-1)=TRUE),0,IF(MONTH(H614)&lt;&gt;MONTH(H613),M613+1,M613))</f>
        <v>28</v>
      </c>
      <c r="N614">
        <f t="shared" si="57"/>
        <v>254555</v>
      </c>
      <c r="O614">
        <f>IF(AND(MyRowHidden(ROW())=FALSE,MyRowHidden(ROW()-1)=TRUE),0,IF(M614&lt;totalMonths,(totalMonths-M614)/totalMonths *(I614-I613)+O613,0))</f>
        <v>0</v>
      </c>
      <c r="P614">
        <f>IF(AND(MyRowHidden(ROW())=FALSE,MyRowHidden(ROW()-1)=TRUE),0,IF(M614&lt;totalMonths,(totalMonths-M614)/totalMonths *(J614-J613)+P613,0))</f>
        <v>0</v>
      </c>
      <c r="Q614">
        <f>IF(AND(MyRowHidden(ROW())=FALSE,MyRowHidden(ROW()-1)=TRUE),0,IF(M614&lt;totalMonths,(totalMonths-M614)/totalMonths *(K614-K613)+Q613,0))</f>
        <v>0</v>
      </c>
      <c r="R614">
        <f t="shared" si="58"/>
        <v>254555</v>
      </c>
      <c r="S614">
        <f t="shared" si="59"/>
        <v>0</v>
      </c>
    </row>
    <row r="615" spans="1:19" hidden="1" x14ac:dyDescent="0.25">
      <c r="A615" s="1"/>
      <c r="C615" s="1"/>
      <c r="D615" s="1">
        <v>42152</v>
      </c>
      <c r="E615">
        <v>30179</v>
      </c>
      <c r="F615" s="1">
        <v>42152</v>
      </c>
      <c r="G615">
        <v>-3750</v>
      </c>
      <c r="H615" s="1">
        <f t="shared" si="54"/>
        <v>42152</v>
      </c>
      <c r="I615">
        <f>IF(AND(MyRowHidden(ROW())=FALSE,MyRowHidden(ROW()-1)=TRUE),0,(E615-E614)*unitsOfDHp+I614)</f>
        <v>261800</v>
      </c>
      <c r="J615">
        <f>IF(AND(MyRowHidden(ROW())=FALSE,MyRowHidden(ROW()-1)=TRUE),0,(G615-G614)*unitsOfExo+J614)</f>
        <v>-1627200</v>
      </c>
      <c r="K615" s="9">
        <f t="shared" si="55"/>
        <v>1627200</v>
      </c>
      <c r="L615">
        <f t="shared" si="56"/>
        <v>-1365400</v>
      </c>
      <c r="M615">
        <f>IF(AND(MyRowHidden(ROW())=FALSE,MyRowHidden(ROW()-1)=TRUE),0,IF(MONTH(H615)&lt;&gt;MONTH(H614),M614+1,M614))</f>
        <v>28</v>
      </c>
      <c r="N615">
        <f t="shared" si="57"/>
        <v>261800</v>
      </c>
      <c r="O615">
        <f>IF(AND(MyRowHidden(ROW())=FALSE,MyRowHidden(ROW()-1)=TRUE),0,IF(M615&lt;totalMonths,(totalMonths-M615)/totalMonths *(I615-I614)+O614,0))</f>
        <v>0</v>
      </c>
      <c r="P615">
        <f>IF(AND(MyRowHidden(ROW())=FALSE,MyRowHidden(ROW()-1)=TRUE),0,IF(M615&lt;totalMonths,(totalMonths-M615)/totalMonths *(J615-J614)+P614,0))</f>
        <v>0</v>
      </c>
      <c r="Q615">
        <f>IF(AND(MyRowHidden(ROW())=FALSE,MyRowHidden(ROW()-1)=TRUE),0,IF(M615&lt;totalMonths,(totalMonths-M615)/totalMonths *(K615-K614)+Q614,0))</f>
        <v>0</v>
      </c>
      <c r="R615">
        <f t="shared" si="58"/>
        <v>261800</v>
      </c>
      <c r="S615">
        <f t="shared" si="59"/>
        <v>0</v>
      </c>
    </row>
    <row r="616" spans="1:19" hidden="1" x14ac:dyDescent="0.25">
      <c r="A616" s="1"/>
      <c r="C616" s="1"/>
      <c r="D616" s="1">
        <v>42153</v>
      </c>
      <c r="E616">
        <v>29966</v>
      </c>
      <c r="F616" s="1">
        <v>42153</v>
      </c>
      <c r="G616">
        <v>-3912.5</v>
      </c>
      <c r="H616" s="1">
        <f t="shared" si="54"/>
        <v>42153</v>
      </c>
      <c r="I616">
        <f>IF(AND(MyRowHidden(ROW())=FALSE,MyRowHidden(ROW()-1)=TRUE),0,(E616-E615)*unitsOfDHp+I615)</f>
        <v>254345</v>
      </c>
      <c r="J616">
        <f>IF(AND(MyRowHidden(ROW())=FALSE,MyRowHidden(ROW()-1)=TRUE),0,(G616-G615)*unitsOfExo+J615)</f>
        <v>-1674000</v>
      </c>
      <c r="K616" s="9">
        <f t="shared" si="55"/>
        <v>1674000</v>
      </c>
      <c r="L616">
        <f t="shared" si="56"/>
        <v>-1419655</v>
      </c>
      <c r="M616">
        <f>IF(AND(MyRowHidden(ROW())=FALSE,MyRowHidden(ROW()-1)=TRUE),0,IF(MONTH(H616)&lt;&gt;MONTH(H615),M615+1,M615))</f>
        <v>28</v>
      </c>
      <c r="N616">
        <f t="shared" si="57"/>
        <v>254345</v>
      </c>
      <c r="O616">
        <f>IF(AND(MyRowHidden(ROW())=FALSE,MyRowHidden(ROW()-1)=TRUE),0,IF(M616&lt;totalMonths,(totalMonths-M616)/totalMonths *(I616-I615)+O615,0))</f>
        <v>0</v>
      </c>
      <c r="P616">
        <f>IF(AND(MyRowHidden(ROW())=FALSE,MyRowHidden(ROW()-1)=TRUE),0,IF(M616&lt;totalMonths,(totalMonths-M616)/totalMonths *(J616-J615)+P615,0))</f>
        <v>0</v>
      </c>
      <c r="Q616">
        <f>IF(AND(MyRowHidden(ROW())=FALSE,MyRowHidden(ROW()-1)=TRUE),0,IF(M616&lt;totalMonths,(totalMonths-M616)/totalMonths *(K616-K615)+Q615,0))</f>
        <v>0</v>
      </c>
      <c r="R616">
        <f t="shared" si="58"/>
        <v>254345</v>
      </c>
      <c r="S616">
        <f t="shared" si="59"/>
        <v>0</v>
      </c>
    </row>
    <row r="617" spans="1:19" hidden="1" x14ac:dyDescent="0.25">
      <c r="A617" s="1"/>
      <c r="C617" s="1"/>
      <c r="D617" s="1">
        <v>42156</v>
      </c>
      <c r="E617">
        <v>29997</v>
      </c>
      <c r="F617" s="1">
        <v>42156</v>
      </c>
      <c r="G617">
        <v>-3837.5</v>
      </c>
      <c r="H617" s="1">
        <f t="shared" si="54"/>
        <v>42156</v>
      </c>
      <c r="I617">
        <f>IF(AND(MyRowHidden(ROW())=FALSE,MyRowHidden(ROW()-1)=TRUE),0,(E617-E616)*unitsOfDHp+I616)</f>
        <v>255430</v>
      </c>
      <c r="J617">
        <f>IF(AND(MyRowHidden(ROW())=FALSE,MyRowHidden(ROW()-1)=TRUE),0,(G617-G616)*unitsOfExo+J616)</f>
        <v>-1652400</v>
      </c>
      <c r="K617" s="9">
        <f t="shared" si="55"/>
        <v>1652400</v>
      </c>
      <c r="L617">
        <f t="shared" si="56"/>
        <v>-1396970</v>
      </c>
      <c r="M617">
        <f>IF(AND(MyRowHidden(ROW())=FALSE,MyRowHidden(ROW()-1)=TRUE),0,IF(MONTH(H617)&lt;&gt;MONTH(H616),M616+1,M616))</f>
        <v>29</v>
      </c>
      <c r="N617">
        <f t="shared" si="57"/>
        <v>255430</v>
      </c>
      <c r="O617">
        <f>IF(AND(MyRowHidden(ROW())=FALSE,MyRowHidden(ROW()-1)=TRUE),0,IF(M617&lt;totalMonths,(totalMonths-M617)/totalMonths *(I617-I616)+O616,0))</f>
        <v>0</v>
      </c>
      <c r="P617">
        <f>IF(AND(MyRowHidden(ROW())=FALSE,MyRowHidden(ROW()-1)=TRUE),0,IF(M617&lt;totalMonths,(totalMonths-M617)/totalMonths *(J617-J616)+P616,0))</f>
        <v>0</v>
      </c>
      <c r="Q617">
        <f>IF(AND(MyRowHidden(ROW())=FALSE,MyRowHidden(ROW()-1)=TRUE),0,IF(M617&lt;totalMonths,(totalMonths-M617)/totalMonths *(K617-K616)+Q616,0))</f>
        <v>0</v>
      </c>
      <c r="R617">
        <f t="shared" si="58"/>
        <v>255430</v>
      </c>
      <c r="S617">
        <f t="shared" si="59"/>
        <v>0</v>
      </c>
    </row>
    <row r="618" spans="1:19" hidden="1" x14ac:dyDescent="0.25">
      <c r="A618" s="1"/>
      <c r="C618" s="1"/>
      <c r="D618" s="1">
        <v>42157</v>
      </c>
      <c r="E618">
        <v>30221</v>
      </c>
      <c r="F618" s="1">
        <v>42157</v>
      </c>
      <c r="G618">
        <v>-3475</v>
      </c>
      <c r="H618" s="1">
        <f t="shared" si="54"/>
        <v>42157</v>
      </c>
      <c r="I618">
        <f>IF(AND(MyRowHidden(ROW())=FALSE,MyRowHidden(ROW()-1)=TRUE),0,(E618-E617)*unitsOfDHp+I617)</f>
        <v>263270</v>
      </c>
      <c r="J618">
        <f>IF(AND(MyRowHidden(ROW())=FALSE,MyRowHidden(ROW()-1)=TRUE),0,(G618-G617)*unitsOfExo+J617)</f>
        <v>-1548000</v>
      </c>
      <c r="K618" s="9">
        <f t="shared" si="55"/>
        <v>1548000</v>
      </c>
      <c r="L618">
        <f t="shared" si="56"/>
        <v>-1284730</v>
      </c>
      <c r="M618">
        <f>IF(AND(MyRowHidden(ROW())=FALSE,MyRowHidden(ROW()-1)=TRUE),0,IF(MONTH(H618)&lt;&gt;MONTH(H617),M617+1,M617))</f>
        <v>29</v>
      </c>
      <c r="N618">
        <f t="shared" si="57"/>
        <v>263270</v>
      </c>
      <c r="O618">
        <f>IF(AND(MyRowHidden(ROW())=FALSE,MyRowHidden(ROW()-1)=TRUE),0,IF(M618&lt;totalMonths,(totalMonths-M618)/totalMonths *(I618-I617)+O617,0))</f>
        <v>0</v>
      </c>
      <c r="P618">
        <f>IF(AND(MyRowHidden(ROW())=FALSE,MyRowHidden(ROW()-1)=TRUE),0,IF(M618&lt;totalMonths,(totalMonths-M618)/totalMonths *(J618-J617)+P617,0))</f>
        <v>0</v>
      </c>
      <c r="Q618">
        <f>IF(AND(MyRowHidden(ROW())=FALSE,MyRowHidden(ROW()-1)=TRUE),0,IF(M618&lt;totalMonths,(totalMonths-M618)/totalMonths *(K618-K617)+Q617,0))</f>
        <v>0</v>
      </c>
      <c r="R618">
        <f t="shared" si="58"/>
        <v>263270</v>
      </c>
      <c r="S618">
        <f t="shared" si="59"/>
        <v>0</v>
      </c>
    </row>
    <row r="619" spans="1:19" hidden="1" x14ac:dyDescent="0.25">
      <c r="A619" s="1"/>
      <c r="C619" s="1"/>
      <c r="D619" s="1">
        <v>42158</v>
      </c>
      <c r="E619">
        <v>30207</v>
      </c>
      <c r="F619" s="1">
        <v>42158</v>
      </c>
      <c r="G619">
        <v>-3562.5</v>
      </c>
      <c r="H619" s="1">
        <f t="shared" si="54"/>
        <v>42158</v>
      </c>
      <c r="I619">
        <f>IF(AND(MyRowHidden(ROW())=FALSE,MyRowHidden(ROW()-1)=TRUE),0,(E619-E618)*unitsOfDHp+I618)</f>
        <v>262780</v>
      </c>
      <c r="J619">
        <f>IF(AND(MyRowHidden(ROW())=FALSE,MyRowHidden(ROW()-1)=TRUE),0,(G619-G618)*unitsOfExo+J618)</f>
        <v>-1573200</v>
      </c>
      <c r="K619" s="9">
        <f t="shared" si="55"/>
        <v>1573200</v>
      </c>
      <c r="L619">
        <f t="shared" si="56"/>
        <v>-1310420</v>
      </c>
      <c r="M619">
        <f>IF(AND(MyRowHidden(ROW())=FALSE,MyRowHidden(ROW()-1)=TRUE),0,IF(MONTH(H619)&lt;&gt;MONTH(H618),M618+1,M618))</f>
        <v>29</v>
      </c>
      <c r="N619">
        <f t="shared" si="57"/>
        <v>262780</v>
      </c>
      <c r="O619">
        <f>IF(AND(MyRowHidden(ROW())=FALSE,MyRowHidden(ROW()-1)=TRUE),0,IF(M619&lt;totalMonths,(totalMonths-M619)/totalMonths *(I619-I618)+O618,0))</f>
        <v>0</v>
      </c>
      <c r="P619">
        <f>IF(AND(MyRowHidden(ROW())=FALSE,MyRowHidden(ROW()-1)=TRUE),0,IF(M619&lt;totalMonths,(totalMonths-M619)/totalMonths *(J619-J618)+P618,0))</f>
        <v>0</v>
      </c>
      <c r="Q619">
        <f>IF(AND(MyRowHidden(ROW())=FALSE,MyRowHidden(ROW()-1)=TRUE),0,IF(M619&lt;totalMonths,(totalMonths-M619)/totalMonths *(K619-K618)+Q618,0))</f>
        <v>0</v>
      </c>
      <c r="R619">
        <f t="shared" si="58"/>
        <v>262780</v>
      </c>
      <c r="S619">
        <f t="shared" si="59"/>
        <v>0</v>
      </c>
    </row>
    <row r="620" spans="1:19" hidden="1" x14ac:dyDescent="0.25">
      <c r="A620" s="1"/>
      <c r="C620" s="1"/>
      <c r="D620" s="1">
        <v>42159</v>
      </c>
      <c r="E620">
        <v>30051</v>
      </c>
      <c r="F620" s="1">
        <v>42159</v>
      </c>
      <c r="G620">
        <v>-3262.5</v>
      </c>
      <c r="H620" s="1">
        <f t="shared" si="54"/>
        <v>42159</v>
      </c>
      <c r="I620">
        <f>IF(AND(MyRowHidden(ROW())=FALSE,MyRowHidden(ROW()-1)=TRUE),0,(E620-E619)*unitsOfDHp+I619)</f>
        <v>257320</v>
      </c>
      <c r="J620">
        <f>IF(AND(MyRowHidden(ROW())=FALSE,MyRowHidden(ROW()-1)=TRUE),0,(G620-G619)*unitsOfExo+J619)</f>
        <v>-1486800</v>
      </c>
      <c r="K620" s="9">
        <f t="shared" si="55"/>
        <v>1486800</v>
      </c>
      <c r="L620">
        <f t="shared" si="56"/>
        <v>-1229480</v>
      </c>
      <c r="M620">
        <f>IF(AND(MyRowHidden(ROW())=FALSE,MyRowHidden(ROW()-1)=TRUE),0,IF(MONTH(H620)&lt;&gt;MONTH(H619),M619+1,M619))</f>
        <v>29</v>
      </c>
      <c r="N620">
        <f t="shared" si="57"/>
        <v>257320</v>
      </c>
      <c r="O620">
        <f>IF(AND(MyRowHidden(ROW())=FALSE,MyRowHidden(ROW()-1)=TRUE),0,IF(M620&lt;totalMonths,(totalMonths-M620)/totalMonths *(I620-I619)+O619,0))</f>
        <v>0</v>
      </c>
      <c r="P620">
        <f>IF(AND(MyRowHidden(ROW())=FALSE,MyRowHidden(ROW()-1)=TRUE),0,IF(M620&lt;totalMonths,(totalMonths-M620)/totalMonths *(J620-J619)+P619,0))</f>
        <v>0</v>
      </c>
      <c r="Q620">
        <f>IF(AND(MyRowHidden(ROW())=FALSE,MyRowHidden(ROW()-1)=TRUE),0,IF(M620&lt;totalMonths,(totalMonths-M620)/totalMonths *(K620-K619)+Q619,0))</f>
        <v>0</v>
      </c>
      <c r="R620">
        <f t="shared" si="58"/>
        <v>257320</v>
      </c>
      <c r="S620">
        <f t="shared" si="59"/>
        <v>0</v>
      </c>
    </row>
    <row r="621" spans="1:19" hidden="1" x14ac:dyDescent="0.25">
      <c r="A621" s="1"/>
      <c r="C621" s="1"/>
      <c r="D621" s="1">
        <v>42160</v>
      </c>
      <c r="E621">
        <v>30215</v>
      </c>
      <c r="F621" s="1">
        <v>42160</v>
      </c>
      <c r="G621">
        <v>-3425</v>
      </c>
      <c r="H621" s="1">
        <f t="shared" si="54"/>
        <v>42160</v>
      </c>
      <c r="I621">
        <f>IF(AND(MyRowHidden(ROW())=FALSE,MyRowHidden(ROW()-1)=TRUE),0,(E621-E620)*unitsOfDHp+I620)</f>
        <v>263060</v>
      </c>
      <c r="J621">
        <f>IF(AND(MyRowHidden(ROW())=FALSE,MyRowHidden(ROW()-1)=TRUE),0,(G621-G620)*unitsOfExo+J620)</f>
        <v>-1533600</v>
      </c>
      <c r="K621" s="9">
        <f t="shared" si="55"/>
        <v>1533600</v>
      </c>
      <c r="L621">
        <f t="shared" si="56"/>
        <v>-1270540</v>
      </c>
      <c r="M621">
        <f>IF(AND(MyRowHidden(ROW())=FALSE,MyRowHidden(ROW()-1)=TRUE),0,IF(MONTH(H621)&lt;&gt;MONTH(H620),M620+1,M620))</f>
        <v>29</v>
      </c>
      <c r="N621">
        <f t="shared" si="57"/>
        <v>263060</v>
      </c>
      <c r="O621">
        <f>IF(AND(MyRowHidden(ROW())=FALSE,MyRowHidden(ROW()-1)=TRUE),0,IF(M621&lt;totalMonths,(totalMonths-M621)/totalMonths *(I621-I620)+O620,0))</f>
        <v>0</v>
      </c>
      <c r="P621">
        <f>IF(AND(MyRowHidden(ROW())=FALSE,MyRowHidden(ROW()-1)=TRUE),0,IF(M621&lt;totalMonths,(totalMonths-M621)/totalMonths *(J621-J620)+P620,0))</f>
        <v>0</v>
      </c>
      <c r="Q621">
        <f>IF(AND(MyRowHidden(ROW())=FALSE,MyRowHidden(ROW()-1)=TRUE),0,IF(M621&lt;totalMonths,(totalMonths-M621)/totalMonths *(K621-K620)+Q620,0))</f>
        <v>0</v>
      </c>
      <c r="R621">
        <f t="shared" si="58"/>
        <v>263060</v>
      </c>
      <c r="S621">
        <f t="shared" si="59"/>
        <v>0</v>
      </c>
    </row>
    <row r="622" spans="1:19" hidden="1" x14ac:dyDescent="0.25">
      <c r="A622" s="1"/>
      <c r="C622" s="1"/>
      <c r="D622" s="1">
        <v>42163</v>
      </c>
      <c r="E622">
        <v>29872</v>
      </c>
      <c r="F622" s="1">
        <v>42163</v>
      </c>
      <c r="G622">
        <v>-3212.5</v>
      </c>
      <c r="H622" s="1">
        <f t="shared" si="54"/>
        <v>42163</v>
      </c>
      <c r="I622">
        <f>IF(AND(MyRowHidden(ROW())=FALSE,MyRowHidden(ROW()-1)=TRUE),0,(E622-E621)*unitsOfDHp+I621)</f>
        <v>251055</v>
      </c>
      <c r="J622">
        <f>IF(AND(MyRowHidden(ROW())=FALSE,MyRowHidden(ROW()-1)=TRUE),0,(G622-G621)*unitsOfExo+J621)</f>
        <v>-1472400</v>
      </c>
      <c r="K622" s="9">
        <f t="shared" si="55"/>
        <v>1472400</v>
      </c>
      <c r="L622">
        <f t="shared" si="56"/>
        <v>-1221345</v>
      </c>
      <c r="M622">
        <f>IF(AND(MyRowHidden(ROW())=FALSE,MyRowHidden(ROW()-1)=TRUE),0,IF(MONTH(H622)&lt;&gt;MONTH(H621),M621+1,M621))</f>
        <v>29</v>
      </c>
      <c r="N622">
        <f t="shared" si="57"/>
        <v>251055</v>
      </c>
      <c r="O622">
        <f>IF(AND(MyRowHidden(ROW())=FALSE,MyRowHidden(ROW()-1)=TRUE),0,IF(M622&lt;totalMonths,(totalMonths-M622)/totalMonths *(I622-I621)+O621,0))</f>
        <v>0</v>
      </c>
      <c r="P622">
        <f>IF(AND(MyRowHidden(ROW())=FALSE,MyRowHidden(ROW()-1)=TRUE),0,IF(M622&lt;totalMonths,(totalMonths-M622)/totalMonths *(J622-J621)+P621,0))</f>
        <v>0</v>
      </c>
      <c r="Q622">
        <f>IF(AND(MyRowHidden(ROW())=FALSE,MyRowHidden(ROW()-1)=TRUE),0,IF(M622&lt;totalMonths,(totalMonths-M622)/totalMonths *(K622-K621)+Q621,0))</f>
        <v>0</v>
      </c>
      <c r="R622">
        <f t="shared" si="58"/>
        <v>251055</v>
      </c>
      <c r="S622">
        <f t="shared" si="59"/>
        <v>0</v>
      </c>
    </row>
    <row r="623" spans="1:19" hidden="1" x14ac:dyDescent="0.25">
      <c r="A623" s="1"/>
      <c r="C623" s="1"/>
      <c r="D623" s="1">
        <v>42164</v>
      </c>
      <c r="E623">
        <v>29812</v>
      </c>
      <c r="F623" s="1">
        <v>42164</v>
      </c>
      <c r="G623">
        <v>-3175</v>
      </c>
      <c r="H623" s="1">
        <f t="shared" si="54"/>
        <v>42164</v>
      </c>
      <c r="I623">
        <f>IF(AND(MyRowHidden(ROW())=FALSE,MyRowHidden(ROW()-1)=TRUE),0,(E623-E622)*unitsOfDHp+I622)</f>
        <v>248955</v>
      </c>
      <c r="J623">
        <f>IF(AND(MyRowHidden(ROW())=FALSE,MyRowHidden(ROW()-1)=TRUE),0,(G623-G622)*unitsOfExo+J622)</f>
        <v>-1461600</v>
      </c>
      <c r="K623" s="9">
        <f t="shared" si="55"/>
        <v>1461600</v>
      </c>
      <c r="L623">
        <f t="shared" si="56"/>
        <v>-1212645</v>
      </c>
      <c r="M623">
        <f>IF(AND(MyRowHidden(ROW())=FALSE,MyRowHidden(ROW()-1)=TRUE),0,IF(MONTH(H623)&lt;&gt;MONTH(H622),M622+1,M622))</f>
        <v>29</v>
      </c>
      <c r="N623">
        <f t="shared" si="57"/>
        <v>248955</v>
      </c>
      <c r="O623">
        <f>IF(AND(MyRowHidden(ROW())=FALSE,MyRowHidden(ROW()-1)=TRUE),0,IF(M623&lt;totalMonths,(totalMonths-M623)/totalMonths *(I623-I622)+O622,0))</f>
        <v>0</v>
      </c>
      <c r="P623">
        <f>IF(AND(MyRowHidden(ROW())=FALSE,MyRowHidden(ROW()-1)=TRUE),0,IF(M623&lt;totalMonths,(totalMonths-M623)/totalMonths *(J623-J622)+P622,0))</f>
        <v>0</v>
      </c>
      <c r="Q623">
        <f>IF(AND(MyRowHidden(ROW())=FALSE,MyRowHidden(ROW()-1)=TRUE),0,IF(M623&lt;totalMonths,(totalMonths-M623)/totalMonths *(K623-K622)+Q622,0))</f>
        <v>0</v>
      </c>
      <c r="R623">
        <f t="shared" si="58"/>
        <v>248955</v>
      </c>
      <c r="S623">
        <f t="shared" si="59"/>
        <v>0</v>
      </c>
    </row>
    <row r="624" spans="1:19" hidden="1" x14ac:dyDescent="0.25">
      <c r="A624" s="1"/>
      <c r="C624" s="1"/>
      <c r="D624" s="1">
        <v>42165</v>
      </c>
      <c r="E624">
        <v>30200</v>
      </c>
      <c r="F624" s="1">
        <v>42165</v>
      </c>
      <c r="G624">
        <v>-3475</v>
      </c>
      <c r="H624" s="1">
        <f t="shared" si="54"/>
        <v>42165</v>
      </c>
      <c r="I624">
        <f>IF(AND(MyRowHidden(ROW())=FALSE,MyRowHidden(ROW()-1)=TRUE),0,(E624-E623)*unitsOfDHp+I623)</f>
        <v>262535</v>
      </c>
      <c r="J624">
        <f>IF(AND(MyRowHidden(ROW())=FALSE,MyRowHidden(ROW()-1)=TRUE),0,(G624-G623)*unitsOfExo+J623)</f>
        <v>-1548000</v>
      </c>
      <c r="K624" s="9">
        <f t="shared" si="55"/>
        <v>1548000</v>
      </c>
      <c r="L624">
        <f t="shared" si="56"/>
        <v>-1285465</v>
      </c>
      <c r="M624">
        <f>IF(AND(MyRowHidden(ROW())=FALSE,MyRowHidden(ROW()-1)=TRUE),0,IF(MONTH(H624)&lt;&gt;MONTH(H623),M623+1,M623))</f>
        <v>29</v>
      </c>
      <c r="N624">
        <f t="shared" si="57"/>
        <v>262535</v>
      </c>
      <c r="O624">
        <f>IF(AND(MyRowHidden(ROW())=FALSE,MyRowHidden(ROW()-1)=TRUE),0,IF(M624&lt;totalMonths,(totalMonths-M624)/totalMonths *(I624-I623)+O623,0))</f>
        <v>0</v>
      </c>
      <c r="P624">
        <f>IF(AND(MyRowHidden(ROW())=FALSE,MyRowHidden(ROW()-1)=TRUE),0,IF(M624&lt;totalMonths,(totalMonths-M624)/totalMonths *(J624-J623)+P623,0))</f>
        <v>0</v>
      </c>
      <c r="Q624">
        <f>IF(AND(MyRowHidden(ROW())=FALSE,MyRowHidden(ROW()-1)=TRUE),0,IF(M624&lt;totalMonths,(totalMonths-M624)/totalMonths *(K624-K623)+Q623,0))</f>
        <v>0</v>
      </c>
      <c r="R624">
        <f t="shared" si="58"/>
        <v>262535</v>
      </c>
      <c r="S624">
        <f t="shared" si="59"/>
        <v>0</v>
      </c>
    </row>
    <row r="625" spans="1:19" hidden="1" x14ac:dyDescent="0.25">
      <c r="A625" s="1"/>
      <c r="C625" s="1"/>
      <c r="D625" s="1">
        <v>42166</v>
      </c>
      <c r="E625">
        <v>30264</v>
      </c>
      <c r="F625" s="1">
        <v>42166</v>
      </c>
      <c r="G625">
        <v>-3675</v>
      </c>
      <c r="H625" s="1">
        <f t="shared" si="54"/>
        <v>42166</v>
      </c>
      <c r="I625">
        <f>IF(AND(MyRowHidden(ROW())=FALSE,MyRowHidden(ROW()-1)=TRUE),0,(E625-E624)*unitsOfDHp+I624)</f>
        <v>264775</v>
      </c>
      <c r="J625">
        <f>IF(AND(MyRowHidden(ROW())=FALSE,MyRowHidden(ROW()-1)=TRUE),0,(G625-G624)*unitsOfExo+J624)</f>
        <v>-1605600</v>
      </c>
      <c r="K625" s="9">
        <f t="shared" si="55"/>
        <v>1605600</v>
      </c>
      <c r="L625">
        <f t="shared" si="56"/>
        <v>-1340825</v>
      </c>
      <c r="M625">
        <f>IF(AND(MyRowHidden(ROW())=FALSE,MyRowHidden(ROW()-1)=TRUE),0,IF(MONTH(H625)&lt;&gt;MONTH(H624),M624+1,M624))</f>
        <v>29</v>
      </c>
      <c r="N625">
        <f t="shared" si="57"/>
        <v>264775</v>
      </c>
      <c r="O625">
        <f>IF(AND(MyRowHidden(ROW())=FALSE,MyRowHidden(ROW()-1)=TRUE),0,IF(M625&lt;totalMonths,(totalMonths-M625)/totalMonths *(I625-I624)+O624,0))</f>
        <v>0</v>
      </c>
      <c r="P625">
        <f>IF(AND(MyRowHidden(ROW())=FALSE,MyRowHidden(ROW()-1)=TRUE),0,IF(M625&lt;totalMonths,(totalMonths-M625)/totalMonths *(J625-J624)+P624,0))</f>
        <v>0</v>
      </c>
      <c r="Q625">
        <f>IF(AND(MyRowHidden(ROW())=FALSE,MyRowHidden(ROW()-1)=TRUE),0,IF(M625&lt;totalMonths,(totalMonths-M625)/totalMonths *(K625-K624)+Q624,0))</f>
        <v>0</v>
      </c>
      <c r="R625">
        <f t="shared" si="58"/>
        <v>264775</v>
      </c>
      <c r="S625">
        <f t="shared" si="59"/>
        <v>0</v>
      </c>
    </row>
    <row r="626" spans="1:19" hidden="1" x14ac:dyDescent="0.25">
      <c r="A626" s="1"/>
      <c r="C626" s="1"/>
      <c r="D626" s="1">
        <v>42167</v>
      </c>
      <c r="E626">
        <v>30318</v>
      </c>
      <c r="F626" s="1">
        <v>42167</v>
      </c>
      <c r="G626">
        <v>-3775</v>
      </c>
      <c r="H626" s="1">
        <f t="shared" si="54"/>
        <v>42167</v>
      </c>
      <c r="I626">
        <f>IF(AND(MyRowHidden(ROW())=FALSE,MyRowHidden(ROW()-1)=TRUE),0,(E626-E625)*unitsOfDHp+I625)</f>
        <v>266665</v>
      </c>
      <c r="J626">
        <f>IF(AND(MyRowHidden(ROW())=FALSE,MyRowHidden(ROW()-1)=TRUE),0,(G626-G625)*unitsOfExo+J625)</f>
        <v>-1634400</v>
      </c>
      <c r="K626" s="9">
        <f t="shared" si="55"/>
        <v>1634400</v>
      </c>
      <c r="L626">
        <f t="shared" si="56"/>
        <v>-1367735</v>
      </c>
      <c r="M626">
        <f>IF(AND(MyRowHidden(ROW())=FALSE,MyRowHidden(ROW()-1)=TRUE),0,IF(MONTH(H626)&lt;&gt;MONTH(H625),M625+1,M625))</f>
        <v>29</v>
      </c>
      <c r="N626">
        <f t="shared" si="57"/>
        <v>266665</v>
      </c>
      <c r="O626">
        <f>IF(AND(MyRowHidden(ROW())=FALSE,MyRowHidden(ROW()-1)=TRUE),0,IF(M626&lt;totalMonths,(totalMonths-M626)/totalMonths *(I626-I625)+O625,0))</f>
        <v>0</v>
      </c>
      <c r="P626">
        <f>IF(AND(MyRowHidden(ROW())=FALSE,MyRowHidden(ROW()-1)=TRUE),0,IF(M626&lt;totalMonths,(totalMonths-M626)/totalMonths *(J626-J625)+P625,0))</f>
        <v>0</v>
      </c>
      <c r="Q626">
        <f>IF(AND(MyRowHidden(ROW())=FALSE,MyRowHidden(ROW()-1)=TRUE),0,IF(M626&lt;totalMonths,(totalMonths-M626)/totalMonths *(K626-K625)+Q625,0))</f>
        <v>0</v>
      </c>
      <c r="R626">
        <f t="shared" si="58"/>
        <v>266665</v>
      </c>
      <c r="S626">
        <f t="shared" si="59"/>
        <v>0</v>
      </c>
    </row>
    <row r="627" spans="1:19" hidden="1" x14ac:dyDescent="0.25">
      <c r="A627" s="1"/>
      <c r="C627" s="1"/>
      <c r="D627" s="1">
        <v>42170</v>
      </c>
      <c r="E627">
        <v>30046</v>
      </c>
      <c r="F627" s="1">
        <v>42170</v>
      </c>
      <c r="G627">
        <v>-4050</v>
      </c>
      <c r="H627" s="1">
        <f t="shared" si="54"/>
        <v>42170</v>
      </c>
      <c r="I627">
        <f>IF(AND(MyRowHidden(ROW())=FALSE,MyRowHidden(ROW()-1)=TRUE),0,(E627-E626)*unitsOfDHp+I626)</f>
        <v>257145</v>
      </c>
      <c r="J627">
        <f>IF(AND(MyRowHidden(ROW())=FALSE,MyRowHidden(ROW()-1)=TRUE),0,(G627-G626)*unitsOfExo+J626)</f>
        <v>-1713600</v>
      </c>
      <c r="K627" s="9">
        <f t="shared" si="55"/>
        <v>1713600</v>
      </c>
      <c r="L627">
        <f t="shared" si="56"/>
        <v>-1456455</v>
      </c>
      <c r="M627">
        <f>IF(AND(MyRowHidden(ROW())=FALSE,MyRowHidden(ROW()-1)=TRUE),0,IF(MONTH(H627)&lt;&gt;MONTH(H626),M626+1,M626))</f>
        <v>29</v>
      </c>
      <c r="N627">
        <f t="shared" si="57"/>
        <v>257145</v>
      </c>
      <c r="O627">
        <f>IF(AND(MyRowHidden(ROW())=FALSE,MyRowHidden(ROW()-1)=TRUE),0,IF(M627&lt;totalMonths,(totalMonths-M627)/totalMonths *(I627-I626)+O626,0))</f>
        <v>0</v>
      </c>
      <c r="P627">
        <f>IF(AND(MyRowHidden(ROW())=FALSE,MyRowHidden(ROW()-1)=TRUE),0,IF(M627&lt;totalMonths,(totalMonths-M627)/totalMonths *(J627-J626)+P626,0))</f>
        <v>0</v>
      </c>
      <c r="Q627">
        <f>IF(AND(MyRowHidden(ROW())=FALSE,MyRowHidden(ROW()-1)=TRUE),0,IF(M627&lt;totalMonths,(totalMonths-M627)/totalMonths *(K627-K626)+Q626,0))</f>
        <v>0</v>
      </c>
      <c r="R627">
        <f t="shared" si="58"/>
        <v>257145</v>
      </c>
      <c r="S627">
        <f t="shared" si="59"/>
        <v>0</v>
      </c>
    </row>
    <row r="628" spans="1:19" hidden="1" x14ac:dyDescent="0.25">
      <c r="A628" s="1"/>
      <c r="C628" s="1"/>
      <c r="D628" s="1">
        <v>42171</v>
      </c>
      <c r="E628">
        <v>30239</v>
      </c>
      <c r="F628" s="1">
        <v>42171</v>
      </c>
      <c r="G628">
        <v>-3862.5</v>
      </c>
      <c r="H628" s="1">
        <f t="shared" si="54"/>
        <v>42171</v>
      </c>
      <c r="I628">
        <f>IF(AND(MyRowHidden(ROW())=FALSE,MyRowHidden(ROW()-1)=TRUE),0,(E628-E627)*unitsOfDHp+I627)</f>
        <v>263900</v>
      </c>
      <c r="J628">
        <f>IF(AND(MyRowHidden(ROW())=FALSE,MyRowHidden(ROW()-1)=TRUE),0,(G628-G627)*unitsOfExo+J627)</f>
        <v>-1659600</v>
      </c>
      <c r="K628" s="9">
        <f t="shared" si="55"/>
        <v>1659600</v>
      </c>
      <c r="L628">
        <f t="shared" si="56"/>
        <v>-1395700</v>
      </c>
      <c r="M628">
        <f>IF(AND(MyRowHidden(ROW())=FALSE,MyRowHidden(ROW()-1)=TRUE),0,IF(MONTH(H628)&lt;&gt;MONTH(H627),M627+1,M627))</f>
        <v>29</v>
      </c>
      <c r="N628">
        <f t="shared" si="57"/>
        <v>263900</v>
      </c>
      <c r="O628">
        <f>IF(AND(MyRowHidden(ROW())=FALSE,MyRowHidden(ROW()-1)=TRUE),0,IF(M628&lt;totalMonths,(totalMonths-M628)/totalMonths *(I628-I627)+O627,0))</f>
        <v>0</v>
      </c>
      <c r="P628">
        <f>IF(AND(MyRowHidden(ROW())=FALSE,MyRowHidden(ROW()-1)=TRUE),0,IF(M628&lt;totalMonths,(totalMonths-M628)/totalMonths *(J628-J627)+P627,0))</f>
        <v>0</v>
      </c>
      <c r="Q628">
        <f>IF(AND(MyRowHidden(ROW())=FALSE,MyRowHidden(ROW()-1)=TRUE),0,IF(M628&lt;totalMonths,(totalMonths-M628)/totalMonths *(K628-K627)+Q627,0))</f>
        <v>0</v>
      </c>
      <c r="R628">
        <f t="shared" si="58"/>
        <v>263900</v>
      </c>
      <c r="S628">
        <f t="shared" si="59"/>
        <v>0</v>
      </c>
    </row>
    <row r="629" spans="1:19" hidden="1" x14ac:dyDescent="0.25">
      <c r="A629" s="1"/>
      <c r="C629" s="1"/>
      <c r="D629" s="1">
        <v>42172</v>
      </c>
      <c r="E629">
        <v>30751</v>
      </c>
      <c r="F629" s="1">
        <v>42172</v>
      </c>
      <c r="G629">
        <v>-3537.5</v>
      </c>
      <c r="H629" s="1">
        <f t="shared" si="54"/>
        <v>42172</v>
      </c>
      <c r="I629">
        <f>IF(AND(MyRowHidden(ROW())=FALSE,MyRowHidden(ROW()-1)=TRUE),0,(E629-E628)*unitsOfDHp+I628)</f>
        <v>281820</v>
      </c>
      <c r="J629">
        <f>IF(AND(MyRowHidden(ROW())=FALSE,MyRowHidden(ROW()-1)=TRUE),0,(G629-G628)*unitsOfExo+J628)</f>
        <v>-1566000</v>
      </c>
      <c r="K629" s="9">
        <f t="shared" si="55"/>
        <v>1566000</v>
      </c>
      <c r="L629">
        <f t="shared" si="56"/>
        <v>-1284180</v>
      </c>
      <c r="M629">
        <f>IF(AND(MyRowHidden(ROW())=FALSE,MyRowHidden(ROW()-1)=TRUE),0,IF(MONTH(H629)&lt;&gt;MONTH(H628),M628+1,M628))</f>
        <v>29</v>
      </c>
      <c r="N629">
        <f t="shared" si="57"/>
        <v>281820</v>
      </c>
      <c r="O629">
        <f>IF(AND(MyRowHidden(ROW())=FALSE,MyRowHidden(ROW()-1)=TRUE),0,IF(M629&lt;totalMonths,(totalMonths-M629)/totalMonths *(I629-I628)+O628,0))</f>
        <v>0</v>
      </c>
      <c r="P629">
        <f>IF(AND(MyRowHidden(ROW())=FALSE,MyRowHidden(ROW()-1)=TRUE),0,IF(M629&lt;totalMonths,(totalMonths-M629)/totalMonths *(J629-J628)+P628,0))</f>
        <v>0</v>
      </c>
      <c r="Q629">
        <f>IF(AND(MyRowHidden(ROW())=FALSE,MyRowHidden(ROW()-1)=TRUE),0,IF(M629&lt;totalMonths,(totalMonths-M629)/totalMonths *(K629-K628)+Q628,0))</f>
        <v>0</v>
      </c>
      <c r="R629">
        <f t="shared" si="58"/>
        <v>281820</v>
      </c>
      <c r="S629">
        <f t="shared" si="59"/>
        <v>0</v>
      </c>
    </row>
    <row r="630" spans="1:19" hidden="1" x14ac:dyDescent="0.25">
      <c r="A630" s="1"/>
      <c r="C630" s="1"/>
      <c r="D630" s="1">
        <v>42173</v>
      </c>
      <c r="E630">
        <v>30837</v>
      </c>
      <c r="F630" s="1">
        <v>42173</v>
      </c>
      <c r="G630">
        <v>-3487.5</v>
      </c>
      <c r="H630" s="1">
        <f t="shared" si="54"/>
        <v>42173</v>
      </c>
      <c r="I630">
        <f>IF(AND(MyRowHidden(ROW())=FALSE,MyRowHidden(ROW()-1)=TRUE),0,(E630-E629)*unitsOfDHp+I629)</f>
        <v>284830</v>
      </c>
      <c r="J630">
        <f>IF(AND(MyRowHidden(ROW())=FALSE,MyRowHidden(ROW()-1)=TRUE),0,(G630-G629)*unitsOfExo+J629)</f>
        <v>-1551600</v>
      </c>
      <c r="K630" s="9">
        <f t="shared" si="55"/>
        <v>1551600</v>
      </c>
      <c r="L630">
        <f t="shared" si="56"/>
        <v>-1266770</v>
      </c>
      <c r="M630">
        <f>IF(AND(MyRowHidden(ROW())=FALSE,MyRowHidden(ROW()-1)=TRUE),0,IF(MONTH(H630)&lt;&gt;MONTH(H629),M629+1,M629))</f>
        <v>29</v>
      </c>
      <c r="N630">
        <f t="shared" si="57"/>
        <v>284830</v>
      </c>
      <c r="O630">
        <f>IF(AND(MyRowHidden(ROW())=FALSE,MyRowHidden(ROW()-1)=TRUE),0,IF(M630&lt;totalMonths,(totalMonths-M630)/totalMonths *(I630-I629)+O629,0))</f>
        <v>0</v>
      </c>
      <c r="P630">
        <f>IF(AND(MyRowHidden(ROW())=FALSE,MyRowHidden(ROW()-1)=TRUE),0,IF(M630&lt;totalMonths,(totalMonths-M630)/totalMonths *(J630-J629)+P629,0))</f>
        <v>0</v>
      </c>
      <c r="Q630">
        <f>IF(AND(MyRowHidden(ROW())=FALSE,MyRowHidden(ROW()-1)=TRUE),0,IF(M630&lt;totalMonths,(totalMonths-M630)/totalMonths *(K630-K629)+Q629,0))</f>
        <v>0</v>
      </c>
      <c r="R630">
        <f t="shared" si="58"/>
        <v>284830</v>
      </c>
      <c r="S630">
        <f t="shared" si="59"/>
        <v>0</v>
      </c>
    </row>
    <row r="631" spans="1:19" hidden="1" x14ac:dyDescent="0.25">
      <c r="A631" s="1"/>
      <c r="C631" s="1"/>
      <c r="D631" s="1">
        <v>42174</v>
      </c>
      <c r="E631">
        <v>30697</v>
      </c>
      <c r="F631" s="1">
        <v>42174</v>
      </c>
      <c r="G631">
        <v>-3712.5</v>
      </c>
      <c r="H631" s="1">
        <f t="shared" si="54"/>
        <v>42174</v>
      </c>
      <c r="I631">
        <f>IF(AND(MyRowHidden(ROW())=FALSE,MyRowHidden(ROW()-1)=TRUE),0,(E631-E630)*unitsOfDHp+I630)</f>
        <v>279930</v>
      </c>
      <c r="J631">
        <f>IF(AND(MyRowHidden(ROW())=FALSE,MyRowHidden(ROW()-1)=TRUE),0,(G631-G630)*unitsOfExo+J630)</f>
        <v>-1616400</v>
      </c>
      <c r="K631" s="9">
        <f t="shared" si="55"/>
        <v>1616400</v>
      </c>
      <c r="L631">
        <f t="shared" si="56"/>
        <v>-1336470</v>
      </c>
      <c r="M631">
        <f>IF(AND(MyRowHidden(ROW())=FALSE,MyRowHidden(ROW()-1)=TRUE),0,IF(MONTH(H631)&lt;&gt;MONTH(H630),M630+1,M630))</f>
        <v>29</v>
      </c>
      <c r="N631">
        <f t="shared" si="57"/>
        <v>279930</v>
      </c>
      <c r="O631">
        <f>IF(AND(MyRowHidden(ROW())=FALSE,MyRowHidden(ROW()-1)=TRUE),0,IF(M631&lt;totalMonths,(totalMonths-M631)/totalMonths *(I631-I630)+O630,0))</f>
        <v>0</v>
      </c>
      <c r="P631">
        <f>IF(AND(MyRowHidden(ROW())=FALSE,MyRowHidden(ROW()-1)=TRUE),0,IF(M631&lt;totalMonths,(totalMonths-M631)/totalMonths *(J631-J630)+P630,0))</f>
        <v>0</v>
      </c>
      <c r="Q631">
        <f>IF(AND(MyRowHidden(ROW())=FALSE,MyRowHidden(ROW()-1)=TRUE),0,IF(M631&lt;totalMonths,(totalMonths-M631)/totalMonths *(K631-K630)+Q630,0))</f>
        <v>0</v>
      </c>
      <c r="R631">
        <f t="shared" si="58"/>
        <v>279930</v>
      </c>
      <c r="S631">
        <f t="shared" si="59"/>
        <v>0</v>
      </c>
    </row>
    <row r="632" spans="1:19" hidden="1" x14ac:dyDescent="0.25">
      <c r="A632" s="1"/>
      <c r="C632" s="1"/>
      <c r="D632" s="1">
        <v>42177</v>
      </c>
      <c r="E632">
        <v>30758</v>
      </c>
      <c r="F632" s="1">
        <v>42177</v>
      </c>
      <c r="G632">
        <v>-3525</v>
      </c>
      <c r="H632" s="1">
        <f t="shared" si="54"/>
        <v>42177</v>
      </c>
      <c r="I632">
        <f>IF(AND(MyRowHidden(ROW())=FALSE,MyRowHidden(ROW()-1)=TRUE),0,(E632-E631)*unitsOfDHp+I631)</f>
        <v>282065</v>
      </c>
      <c r="J632">
        <f>IF(AND(MyRowHidden(ROW())=FALSE,MyRowHidden(ROW()-1)=TRUE),0,(G632-G631)*unitsOfExo+J631)</f>
        <v>-1562400</v>
      </c>
      <c r="K632" s="9">
        <f t="shared" si="55"/>
        <v>1562400</v>
      </c>
      <c r="L632">
        <f t="shared" si="56"/>
        <v>-1280335</v>
      </c>
      <c r="M632">
        <f>IF(AND(MyRowHidden(ROW())=FALSE,MyRowHidden(ROW()-1)=TRUE),0,IF(MONTH(H632)&lt;&gt;MONTH(H631),M631+1,M631))</f>
        <v>29</v>
      </c>
      <c r="N632">
        <f t="shared" si="57"/>
        <v>282065</v>
      </c>
      <c r="O632">
        <f>IF(AND(MyRowHidden(ROW())=FALSE,MyRowHidden(ROW()-1)=TRUE),0,IF(M632&lt;totalMonths,(totalMonths-M632)/totalMonths *(I632-I631)+O631,0))</f>
        <v>0</v>
      </c>
      <c r="P632">
        <f>IF(AND(MyRowHidden(ROW())=FALSE,MyRowHidden(ROW()-1)=TRUE),0,IF(M632&lt;totalMonths,(totalMonths-M632)/totalMonths *(J632-J631)+P631,0))</f>
        <v>0</v>
      </c>
      <c r="Q632">
        <f>IF(AND(MyRowHidden(ROW())=FALSE,MyRowHidden(ROW()-1)=TRUE),0,IF(M632&lt;totalMonths,(totalMonths-M632)/totalMonths *(K632-K631)+Q631,0))</f>
        <v>0</v>
      </c>
      <c r="R632">
        <f t="shared" si="58"/>
        <v>282065</v>
      </c>
      <c r="S632">
        <f t="shared" si="59"/>
        <v>0</v>
      </c>
    </row>
    <row r="633" spans="1:19" hidden="1" x14ac:dyDescent="0.25">
      <c r="A633" s="1"/>
      <c r="C633" s="1"/>
      <c r="D633" s="1">
        <v>42178</v>
      </c>
      <c r="E633">
        <v>30723</v>
      </c>
      <c r="F633" s="1">
        <v>42178</v>
      </c>
      <c r="G633">
        <v>-3100</v>
      </c>
      <c r="H633" s="1">
        <f t="shared" si="54"/>
        <v>42178</v>
      </c>
      <c r="I633">
        <f>IF(AND(MyRowHidden(ROW())=FALSE,MyRowHidden(ROW()-1)=TRUE),0,(E633-E632)*unitsOfDHp+I632)</f>
        <v>280840</v>
      </c>
      <c r="J633">
        <f>IF(AND(MyRowHidden(ROW())=FALSE,MyRowHidden(ROW()-1)=TRUE),0,(G633-G632)*unitsOfExo+J632)</f>
        <v>-1440000</v>
      </c>
      <c r="K633" s="9">
        <f t="shared" si="55"/>
        <v>1440000</v>
      </c>
      <c r="L633">
        <f t="shared" si="56"/>
        <v>-1159160</v>
      </c>
      <c r="M633">
        <f>IF(AND(MyRowHidden(ROW())=FALSE,MyRowHidden(ROW()-1)=TRUE),0,IF(MONTH(H633)&lt;&gt;MONTH(H632),M632+1,M632))</f>
        <v>29</v>
      </c>
      <c r="N633">
        <f t="shared" si="57"/>
        <v>280840</v>
      </c>
      <c r="O633">
        <f>IF(AND(MyRowHidden(ROW())=FALSE,MyRowHidden(ROW()-1)=TRUE),0,IF(M633&lt;totalMonths,(totalMonths-M633)/totalMonths *(I633-I632)+O632,0))</f>
        <v>0</v>
      </c>
      <c r="P633">
        <f>IF(AND(MyRowHidden(ROW())=FALSE,MyRowHidden(ROW()-1)=TRUE),0,IF(M633&lt;totalMonths,(totalMonths-M633)/totalMonths *(J633-J632)+P632,0))</f>
        <v>0</v>
      </c>
      <c r="Q633">
        <f>IF(AND(MyRowHidden(ROW())=FALSE,MyRowHidden(ROW()-1)=TRUE),0,IF(M633&lt;totalMonths,(totalMonths-M633)/totalMonths *(K633-K632)+Q632,0))</f>
        <v>0</v>
      </c>
      <c r="R633">
        <f t="shared" si="58"/>
        <v>280840</v>
      </c>
      <c r="S633">
        <f t="shared" si="59"/>
        <v>0</v>
      </c>
    </row>
    <row r="634" spans="1:19" hidden="1" x14ac:dyDescent="0.25">
      <c r="A634" s="1"/>
      <c r="C634" s="1"/>
      <c r="D634" s="1">
        <v>42179</v>
      </c>
      <c r="E634">
        <v>30592</v>
      </c>
      <c r="F634" s="1">
        <v>42179</v>
      </c>
      <c r="G634">
        <v>-3062.5</v>
      </c>
      <c r="H634" s="1">
        <f t="shared" si="54"/>
        <v>42179</v>
      </c>
      <c r="I634">
        <f>IF(AND(MyRowHidden(ROW())=FALSE,MyRowHidden(ROW()-1)=TRUE),0,(E634-E633)*unitsOfDHp+I633)</f>
        <v>276255</v>
      </c>
      <c r="J634">
        <f>IF(AND(MyRowHidden(ROW())=FALSE,MyRowHidden(ROW()-1)=TRUE),0,(G634-G633)*unitsOfExo+J633)</f>
        <v>-1429200</v>
      </c>
      <c r="K634" s="9">
        <f t="shared" si="55"/>
        <v>1429200</v>
      </c>
      <c r="L634">
        <f t="shared" si="56"/>
        <v>-1152945</v>
      </c>
      <c r="M634">
        <f>IF(AND(MyRowHidden(ROW())=FALSE,MyRowHidden(ROW()-1)=TRUE),0,IF(MONTH(H634)&lt;&gt;MONTH(H633),M633+1,M633))</f>
        <v>29</v>
      </c>
      <c r="N634">
        <f t="shared" si="57"/>
        <v>276255</v>
      </c>
      <c r="O634">
        <f>IF(AND(MyRowHidden(ROW())=FALSE,MyRowHidden(ROW()-1)=TRUE),0,IF(M634&lt;totalMonths,(totalMonths-M634)/totalMonths *(I634-I633)+O633,0))</f>
        <v>0</v>
      </c>
      <c r="P634">
        <f>IF(AND(MyRowHidden(ROW())=FALSE,MyRowHidden(ROW()-1)=TRUE),0,IF(M634&lt;totalMonths,(totalMonths-M634)/totalMonths *(J634-J633)+P633,0))</f>
        <v>0</v>
      </c>
      <c r="Q634">
        <f>IF(AND(MyRowHidden(ROW())=FALSE,MyRowHidden(ROW()-1)=TRUE),0,IF(M634&lt;totalMonths,(totalMonths-M634)/totalMonths *(K634-K633)+Q633,0))</f>
        <v>0</v>
      </c>
      <c r="R634">
        <f t="shared" si="58"/>
        <v>276255</v>
      </c>
      <c r="S634">
        <f t="shared" si="59"/>
        <v>0</v>
      </c>
    </row>
    <row r="635" spans="1:19" hidden="1" x14ac:dyDescent="0.25">
      <c r="A635" s="1"/>
      <c r="C635" s="1"/>
      <c r="D635" s="1">
        <v>42180</v>
      </c>
      <c r="E635">
        <v>30265</v>
      </c>
      <c r="F635" s="1">
        <v>42180</v>
      </c>
      <c r="G635">
        <v>-2675</v>
      </c>
      <c r="H635" s="1">
        <f t="shared" si="54"/>
        <v>42180</v>
      </c>
      <c r="I635">
        <f>IF(AND(MyRowHidden(ROW())=FALSE,MyRowHidden(ROW()-1)=TRUE),0,(E635-E634)*unitsOfDHp+I634)</f>
        <v>264810</v>
      </c>
      <c r="J635">
        <f>IF(AND(MyRowHidden(ROW())=FALSE,MyRowHidden(ROW()-1)=TRUE),0,(G635-G634)*unitsOfExo+J634)</f>
        <v>-1317600</v>
      </c>
      <c r="K635" s="9">
        <f t="shared" si="55"/>
        <v>1317600</v>
      </c>
      <c r="L635">
        <f t="shared" si="56"/>
        <v>-1052790</v>
      </c>
      <c r="M635">
        <f>IF(AND(MyRowHidden(ROW())=FALSE,MyRowHidden(ROW()-1)=TRUE),0,IF(MONTH(H635)&lt;&gt;MONTH(H634),M634+1,M634))</f>
        <v>29</v>
      </c>
      <c r="N635">
        <f t="shared" si="57"/>
        <v>264810</v>
      </c>
      <c r="O635">
        <f>IF(AND(MyRowHidden(ROW())=FALSE,MyRowHidden(ROW()-1)=TRUE),0,IF(M635&lt;totalMonths,(totalMonths-M635)/totalMonths *(I635-I634)+O634,0))</f>
        <v>0</v>
      </c>
      <c r="P635">
        <f>IF(AND(MyRowHidden(ROW())=FALSE,MyRowHidden(ROW()-1)=TRUE),0,IF(M635&lt;totalMonths,(totalMonths-M635)/totalMonths *(J635-J634)+P634,0))</f>
        <v>0</v>
      </c>
      <c r="Q635">
        <f>IF(AND(MyRowHidden(ROW())=FALSE,MyRowHidden(ROW()-1)=TRUE),0,IF(M635&lt;totalMonths,(totalMonths-M635)/totalMonths *(K635-K634)+Q634,0))</f>
        <v>0</v>
      </c>
      <c r="R635">
        <f t="shared" si="58"/>
        <v>264810</v>
      </c>
      <c r="S635">
        <f t="shared" si="59"/>
        <v>0</v>
      </c>
    </row>
    <row r="636" spans="1:19" hidden="1" x14ac:dyDescent="0.25">
      <c r="A636" s="1"/>
      <c r="C636" s="1"/>
      <c r="D636" s="1">
        <v>42181</v>
      </c>
      <c r="E636">
        <v>30742</v>
      </c>
      <c r="F636" s="1">
        <v>42181</v>
      </c>
      <c r="G636">
        <v>-2175</v>
      </c>
      <c r="H636" s="1">
        <f t="shared" si="54"/>
        <v>42181</v>
      </c>
      <c r="I636">
        <f>IF(AND(MyRowHidden(ROW())=FALSE,MyRowHidden(ROW()-1)=TRUE),0,(E636-E635)*unitsOfDHp+I635)</f>
        <v>281505</v>
      </c>
      <c r="J636">
        <f>IF(AND(MyRowHidden(ROW())=FALSE,MyRowHidden(ROW()-1)=TRUE),0,(G636-G635)*unitsOfExo+J635)</f>
        <v>-1173600</v>
      </c>
      <c r="K636" s="9">
        <f t="shared" si="55"/>
        <v>1173600</v>
      </c>
      <c r="L636">
        <f t="shared" si="56"/>
        <v>-892095</v>
      </c>
      <c r="M636">
        <f>IF(AND(MyRowHidden(ROW())=FALSE,MyRowHidden(ROW()-1)=TRUE),0,IF(MONTH(H636)&lt;&gt;MONTH(H635),M635+1,M635))</f>
        <v>29</v>
      </c>
      <c r="N636">
        <f t="shared" si="57"/>
        <v>281505</v>
      </c>
      <c r="O636">
        <f>IF(AND(MyRowHidden(ROW())=FALSE,MyRowHidden(ROW()-1)=TRUE),0,IF(M636&lt;totalMonths,(totalMonths-M636)/totalMonths *(I636-I635)+O635,0))</f>
        <v>0</v>
      </c>
      <c r="P636">
        <f>IF(AND(MyRowHidden(ROW())=FALSE,MyRowHidden(ROW()-1)=TRUE),0,IF(M636&lt;totalMonths,(totalMonths-M636)/totalMonths *(J636-J635)+P635,0))</f>
        <v>0</v>
      </c>
      <c r="Q636">
        <f>IF(AND(MyRowHidden(ROW())=FALSE,MyRowHidden(ROW()-1)=TRUE),0,IF(M636&lt;totalMonths,(totalMonths-M636)/totalMonths *(K636-K635)+Q635,0))</f>
        <v>0</v>
      </c>
      <c r="R636">
        <f t="shared" si="58"/>
        <v>281505</v>
      </c>
      <c r="S636">
        <f t="shared" si="59"/>
        <v>0</v>
      </c>
    </row>
    <row r="637" spans="1:19" hidden="1" x14ac:dyDescent="0.25">
      <c r="A637" s="1"/>
      <c r="C637" s="1"/>
      <c r="D637" s="1">
        <v>42184</v>
      </c>
      <c r="E637">
        <v>30691</v>
      </c>
      <c r="F637" s="1">
        <v>42184</v>
      </c>
      <c r="G637">
        <v>-2175</v>
      </c>
      <c r="H637" s="1">
        <f t="shared" si="54"/>
        <v>42184</v>
      </c>
      <c r="I637">
        <f>IF(AND(MyRowHidden(ROW())=FALSE,MyRowHidden(ROW()-1)=TRUE),0,(E637-E636)*unitsOfDHp+I636)</f>
        <v>279720</v>
      </c>
      <c r="J637">
        <f>IF(AND(MyRowHidden(ROW())=FALSE,MyRowHidden(ROW()-1)=TRUE),0,(G637-G636)*unitsOfExo+J636)</f>
        <v>-1173600</v>
      </c>
      <c r="K637" s="9">
        <f t="shared" si="55"/>
        <v>1173600</v>
      </c>
      <c r="L637">
        <f t="shared" si="56"/>
        <v>-893880</v>
      </c>
      <c r="M637">
        <f>IF(AND(MyRowHidden(ROW())=FALSE,MyRowHidden(ROW()-1)=TRUE),0,IF(MONTH(H637)&lt;&gt;MONTH(H636),M636+1,M636))</f>
        <v>29</v>
      </c>
      <c r="N637">
        <f t="shared" si="57"/>
        <v>279720</v>
      </c>
      <c r="O637">
        <f>IF(AND(MyRowHidden(ROW())=FALSE,MyRowHidden(ROW()-1)=TRUE),0,IF(M637&lt;totalMonths,(totalMonths-M637)/totalMonths *(I637-I636)+O636,0))</f>
        <v>0</v>
      </c>
      <c r="P637">
        <f>IF(AND(MyRowHidden(ROW())=FALSE,MyRowHidden(ROW()-1)=TRUE),0,IF(M637&lt;totalMonths,(totalMonths-M637)/totalMonths *(J637-J636)+P636,0))</f>
        <v>0</v>
      </c>
      <c r="Q637">
        <f>IF(AND(MyRowHidden(ROW())=FALSE,MyRowHidden(ROW()-1)=TRUE),0,IF(M637&lt;totalMonths,(totalMonths-M637)/totalMonths *(K637-K636)+Q636,0))</f>
        <v>0</v>
      </c>
      <c r="R637">
        <f t="shared" si="58"/>
        <v>279720</v>
      </c>
      <c r="S637">
        <f t="shared" si="59"/>
        <v>0</v>
      </c>
    </row>
    <row r="638" spans="1:19" hidden="1" x14ac:dyDescent="0.25">
      <c r="A638" s="1"/>
      <c r="C638" s="1"/>
      <c r="D638" s="1">
        <v>42185</v>
      </c>
      <c r="E638">
        <v>30070</v>
      </c>
      <c r="F638" s="1">
        <v>42185</v>
      </c>
      <c r="G638">
        <v>-950</v>
      </c>
      <c r="H638" s="1">
        <f t="shared" si="54"/>
        <v>42185</v>
      </c>
      <c r="I638">
        <f>IF(AND(MyRowHidden(ROW())=FALSE,MyRowHidden(ROW()-1)=TRUE),0,(E638-E637)*unitsOfDHp+I637)</f>
        <v>257985</v>
      </c>
      <c r="J638">
        <f>IF(AND(MyRowHidden(ROW())=FALSE,MyRowHidden(ROW()-1)=TRUE),0,(G638-G637)*unitsOfExo+J637)</f>
        <v>-820800</v>
      </c>
      <c r="K638" s="9">
        <f t="shared" si="55"/>
        <v>820800</v>
      </c>
      <c r="L638">
        <f t="shared" si="56"/>
        <v>-562815</v>
      </c>
      <c r="M638">
        <f>IF(AND(MyRowHidden(ROW())=FALSE,MyRowHidden(ROW()-1)=TRUE),0,IF(MONTH(H638)&lt;&gt;MONTH(H637),M637+1,M637))</f>
        <v>29</v>
      </c>
      <c r="N638">
        <f t="shared" si="57"/>
        <v>257985</v>
      </c>
      <c r="O638">
        <f>IF(AND(MyRowHidden(ROW())=FALSE,MyRowHidden(ROW()-1)=TRUE),0,IF(M638&lt;totalMonths,(totalMonths-M638)/totalMonths *(I638-I637)+O637,0))</f>
        <v>0</v>
      </c>
      <c r="P638">
        <f>IF(AND(MyRowHidden(ROW())=FALSE,MyRowHidden(ROW()-1)=TRUE),0,IF(M638&lt;totalMonths,(totalMonths-M638)/totalMonths *(J638-J637)+P637,0))</f>
        <v>0</v>
      </c>
      <c r="Q638">
        <f>IF(AND(MyRowHidden(ROW())=FALSE,MyRowHidden(ROW()-1)=TRUE),0,IF(M638&lt;totalMonths,(totalMonths-M638)/totalMonths *(K638-K637)+Q637,0))</f>
        <v>0</v>
      </c>
      <c r="R638">
        <f t="shared" si="58"/>
        <v>257985</v>
      </c>
      <c r="S638">
        <f t="shared" si="59"/>
        <v>0</v>
      </c>
    </row>
    <row r="639" spans="1:19" hidden="1" x14ac:dyDescent="0.25">
      <c r="A639" s="1"/>
      <c r="C639" s="1"/>
      <c r="D639" s="1">
        <v>42186</v>
      </c>
      <c r="E639">
        <v>30060</v>
      </c>
      <c r="F639" s="1">
        <v>42186</v>
      </c>
      <c r="G639">
        <v>-1075</v>
      </c>
      <c r="H639" s="1">
        <f t="shared" si="54"/>
        <v>42186</v>
      </c>
      <c r="I639">
        <f>IF(AND(MyRowHidden(ROW())=FALSE,MyRowHidden(ROW()-1)=TRUE),0,(E639-E638)*unitsOfDHp+I638)</f>
        <v>257635</v>
      </c>
      <c r="J639">
        <f>IF(AND(MyRowHidden(ROW())=FALSE,MyRowHidden(ROW()-1)=TRUE),0,(G639-G638)*unitsOfExo+J638)</f>
        <v>-856800</v>
      </c>
      <c r="K639" s="9">
        <f t="shared" si="55"/>
        <v>856800</v>
      </c>
      <c r="L639">
        <f t="shared" si="56"/>
        <v>-599165</v>
      </c>
      <c r="M639">
        <f>IF(AND(MyRowHidden(ROW())=FALSE,MyRowHidden(ROW()-1)=TRUE),0,IF(MONTH(H639)&lt;&gt;MONTH(H638),M638+1,M638))</f>
        <v>30</v>
      </c>
      <c r="N639">
        <f t="shared" si="57"/>
        <v>257635</v>
      </c>
      <c r="O639">
        <f>IF(AND(MyRowHidden(ROW())=FALSE,MyRowHidden(ROW()-1)=TRUE),0,IF(M639&lt;totalMonths,(totalMonths-M639)/totalMonths *(I639-I638)+O638,0))</f>
        <v>0</v>
      </c>
      <c r="P639">
        <f>IF(AND(MyRowHidden(ROW())=FALSE,MyRowHidden(ROW()-1)=TRUE),0,IF(M639&lt;totalMonths,(totalMonths-M639)/totalMonths *(J639-J638)+P638,0))</f>
        <v>0</v>
      </c>
      <c r="Q639">
        <f>IF(AND(MyRowHidden(ROW())=FALSE,MyRowHidden(ROW()-1)=TRUE),0,IF(M639&lt;totalMonths,(totalMonths-M639)/totalMonths *(K639-K638)+Q638,0))</f>
        <v>0</v>
      </c>
      <c r="R639">
        <f t="shared" si="58"/>
        <v>257635</v>
      </c>
      <c r="S639">
        <f t="shared" si="59"/>
        <v>0</v>
      </c>
    </row>
    <row r="640" spans="1:19" hidden="1" x14ac:dyDescent="0.25">
      <c r="A640" s="1"/>
      <c r="C640" s="1"/>
      <c r="D640" s="1">
        <v>42187</v>
      </c>
      <c r="E640">
        <v>29787</v>
      </c>
      <c r="F640" s="1">
        <v>42187</v>
      </c>
      <c r="G640">
        <v>-450</v>
      </c>
      <c r="H640" s="1">
        <f t="shared" si="54"/>
        <v>42187</v>
      </c>
      <c r="I640">
        <f>IF(AND(MyRowHidden(ROW())=FALSE,MyRowHidden(ROW()-1)=TRUE),0,(E640-E639)*unitsOfDHp+I639)</f>
        <v>248080</v>
      </c>
      <c r="J640">
        <f>IF(AND(MyRowHidden(ROW())=FALSE,MyRowHidden(ROW()-1)=TRUE),0,(G640-G639)*unitsOfExo+J639)</f>
        <v>-676800</v>
      </c>
      <c r="K640" s="9">
        <f t="shared" si="55"/>
        <v>676800</v>
      </c>
      <c r="L640">
        <f t="shared" si="56"/>
        <v>-428720</v>
      </c>
      <c r="M640">
        <f>IF(AND(MyRowHidden(ROW())=FALSE,MyRowHidden(ROW()-1)=TRUE),0,IF(MONTH(H640)&lt;&gt;MONTH(H639),M639+1,M639))</f>
        <v>30</v>
      </c>
      <c r="N640">
        <f t="shared" si="57"/>
        <v>248080</v>
      </c>
      <c r="O640">
        <f>IF(AND(MyRowHidden(ROW())=FALSE,MyRowHidden(ROW()-1)=TRUE),0,IF(M640&lt;totalMonths,(totalMonths-M640)/totalMonths *(I640-I639)+O639,0))</f>
        <v>0</v>
      </c>
      <c r="P640">
        <f>IF(AND(MyRowHidden(ROW())=FALSE,MyRowHidden(ROW()-1)=TRUE),0,IF(M640&lt;totalMonths,(totalMonths-M640)/totalMonths *(J640-J639)+P639,0))</f>
        <v>0</v>
      </c>
      <c r="Q640">
        <f>IF(AND(MyRowHidden(ROW())=FALSE,MyRowHidden(ROW()-1)=TRUE),0,IF(M640&lt;totalMonths,(totalMonths-M640)/totalMonths *(K640-K639)+Q639,0))</f>
        <v>0</v>
      </c>
      <c r="R640">
        <f t="shared" si="58"/>
        <v>248080</v>
      </c>
      <c r="S640">
        <f t="shared" si="59"/>
        <v>0</v>
      </c>
    </row>
    <row r="641" spans="1:19" hidden="1" x14ac:dyDescent="0.25">
      <c r="A641" s="1"/>
      <c r="C641" s="1"/>
      <c r="D641" s="1">
        <v>42191</v>
      </c>
      <c r="E641">
        <v>29795</v>
      </c>
      <c r="F641" s="1">
        <v>42191</v>
      </c>
      <c r="G641">
        <v>-525</v>
      </c>
      <c r="H641" s="1">
        <f t="shared" si="54"/>
        <v>42191</v>
      </c>
      <c r="I641">
        <f>IF(AND(MyRowHidden(ROW())=FALSE,MyRowHidden(ROW()-1)=TRUE),0,(E641-E640)*unitsOfDHp+I640)</f>
        <v>248360</v>
      </c>
      <c r="J641">
        <f>IF(AND(MyRowHidden(ROW())=FALSE,MyRowHidden(ROW()-1)=TRUE),0,(G641-G640)*unitsOfExo+J640)</f>
        <v>-698400</v>
      </c>
      <c r="K641" s="9">
        <f t="shared" si="55"/>
        <v>698400</v>
      </c>
      <c r="L641">
        <f t="shared" si="56"/>
        <v>-450040</v>
      </c>
      <c r="M641">
        <f>IF(AND(MyRowHidden(ROW())=FALSE,MyRowHidden(ROW()-1)=TRUE),0,IF(MONTH(H641)&lt;&gt;MONTH(H640),M640+1,M640))</f>
        <v>30</v>
      </c>
      <c r="N641">
        <f t="shared" si="57"/>
        <v>248360</v>
      </c>
      <c r="O641">
        <f>IF(AND(MyRowHidden(ROW())=FALSE,MyRowHidden(ROW()-1)=TRUE),0,IF(M641&lt;totalMonths,(totalMonths-M641)/totalMonths *(I641-I640)+O640,0))</f>
        <v>0</v>
      </c>
      <c r="P641">
        <f>IF(AND(MyRowHidden(ROW())=FALSE,MyRowHidden(ROW()-1)=TRUE),0,IF(M641&lt;totalMonths,(totalMonths-M641)/totalMonths *(J641-J640)+P640,0))</f>
        <v>0</v>
      </c>
      <c r="Q641">
        <f>IF(AND(MyRowHidden(ROW())=FALSE,MyRowHidden(ROW()-1)=TRUE),0,IF(M641&lt;totalMonths,(totalMonths-M641)/totalMonths *(K641-K640)+Q640,0))</f>
        <v>0</v>
      </c>
      <c r="R641">
        <f t="shared" si="58"/>
        <v>248360</v>
      </c>
      <c r="S641">
        <f t="shared" si="59"/>
        <v>0</v>
      </c>
    </row>
    <row r="642" spans="1:19" hidden="1" x14ac:dyDescent="0.25">
      <c r="A642" s="1"/>
      <c r="C642" s="1"/>
      <c r="D642" s="1">
        <v>42192</v>
      </c>
      <c r="E642">
        <v>29938</v>
      </c>
      <c r="F642" s="1">
        <v>42192</v>
      </c>
      <c r="G642">
        <v>-637.5</v>
      </c>
      <c r="H642" s="1">
        <f t="shared" si="54"/>
        <v>42192</v>
      </c>
      <c r="I642">
        <f>IF(AND(MyRowHidden(ROW())=FALSE,MyRowHidden(ROW()-1)=TRUE),0,(E642-E641)*unitsOfDHp+I641)</f>
        <v>253365</v>
      </c>
      <c r="J642">
        <f>IF(AND(MyRowHidden(ROW())=FALSE,MyRowHidden(ROW()-1)=TRUE),0,(G642-G641)*unitsOfExo+J641)</f>
        <v>-730800</v>
      </c>
      <c r="K642" s="9">
        <f t="shared" si="55"/>
        <v>730800</v>
      </c>
      <c r="L642">
        <f t="shared" si="56"/>
        <v>-477435</v>
      </c>
      <c r="M642">
        <f>IF(AND(MyRowHidden(ROW())=FALSE,MyRowHidden(ROW()-1)=TRUE),0,IF(MONTH(H642)&lt;&gt;MONTH(H641),M641+1,M641))</f>
        <v>30</v>
      </c>
      <c r="N642">
        <f t="shared" si="57"/>
        <v>253365</v>
      </c>
      <c r="O642">
        <f>IF(AND(MyRowHidden(ROW())=FALSE,MyRowHidden(ROW()-1)=TRUE),0,IF(M642&lt;totalMonths,(totalMonths-M642)/totalMonths *(I642-I641)+O641,0))</f>
        <v>0</v>
      </c>
      <c r="P642">
        <f>IF(AND(MyRowHidden(ROW())=FALSE,MyRowHidden(ROW()-1)=TRUE),0,IF(M642&lt;totalMonths,(totalMonths-M642)/totalMonths *(J642-J641)+P641,0))</f>
        <v>0</v>
      </c>
      <c r="Q642">
        <f>IF(AND(MyRowHidden(ROW())=FALSE,MyRowHidden(ROW()-1)=TRUE),0,IF(M642&lt;totalMonths,(totalMonths-M642)/totalMonths *(K642-K641)+Q641,0))</f>
        <v>0</v>
      </c>
      <c r="R642">
        <f t="shared" si="58"/>
        <v>253365</v>
      </c>
      <c r="S642">
        <f t="shared" si="59"/>
        <v>0</v>
      </c>
    </row>
    <row r="643" spans="1:19" hidden="1" x14ac:dyDescent="0.25">
      <c r="A643" s="1"/>
      <c r="C643" s="1"/>
      <c r="D643" s="1">
        <v>42193</v>
      </c>
      <c r="E643">
        <v>29684</v>
      </c>
      <c r="F643" s="1">
        <v>42193</v>
      </c>
      <c r="G643">
        <v>-612.5</v>
      </c>
      <c r="H643" s="1">
        <f t="shared" si="54"/>
        <v>42193</v>
      </c>
      <c r="I643">
        <f>IF(AND(MyRowHidden(ROW())=FALSE,MyRowHidden(ROW()-1)=TRUE),0,(E643-E642)*unitsOfDHp+I642)</f>
        <v>244475</v>
      </c>
      <c r="J643">
        <f>IF(AND(MyRowHidden(ROW())=FALSE,MyRowHidden(ROW()-1)=TRUE),0,(G643-G642)*unitsOfExo+J642)</f>
        <v>-723600</v>
      </c>
      <c r="K643" s="9">
        <f t="shared" si="55"/>
        <v>723600</v>
      </c>
      <c r="L643">
        <f t="shared" si="56"/>
        <v>-479125</v>
      </c>
      <c r="M643">
        <f>IF(AND(MyRowHidden(ROW())=FALSE,MyRowHidden(ROW()-1)=TRUE),0,IF(MONTH(H643)&lt;&gt;MONTH(H642),M642+1,M642))</f>
        <v>30</v>
      </c>
      <c r="N643">
        <f t="shared" si="57"/>
        <v>244475</v>
      </c>
      <c r="O643">
        <f>IF(AND(MyRowHidden(ROW())=FALSE,MyRowHidden(ROW()-1)=TRUE),0,IF(M643&lt;totalMonths,(totalMonths-M643)/totalMonths *(I643-I642)+O642,0))</f>
        <v>0</v>
      </c>
      <c r="P643">
        <f>IF(AND(MyRowHidden(ROW())=FALSE,MyRowHidden(ROW()-1)=TRUE),0,IF(M643&lt;totalMonths,(totalMonths-M643)/totalMonths *(J643-J642)+P642,0))</f>
        <v>0</v>
      </c>
      <c r="Q643">
        <f>IF(AND(MyRowHidden(ROW())=FALSE,MyRowHidden(ROW()-1)=TRUE),0,IF(M643&lt;totalMonths,(totalMonths-M643)/totalMonths *(K643-K642)+Q642,0))</f>
        <v>0</v>
      </c>
      <c r="R643">
        <f t="shared" si="58"/>
        <v>244475</v>
      </c>
      <c r="S643">
        <f t="shared" si="59"/>
        <v>0</v>
      </c>
    </row>
    <row r="644" spans="1:19" hidden="1" x14ac:dyDescent="0.25">
      <c r="A644" s="1"/>
      <c r="C644" s="1"/>
      <c r="D644" s="1">
        <v>42194</v>
      </c>
      <c r="E644">
        <v>29528</v>
      </c>
      <c r="F644" s="1">
        <v>42194</v>
      </c>
      <c r="G644">
        <v>-275</v>
      </c>
      <c r="H644" s="1">
        <f t="shared" si="54"/>
        <v>42194</v>
      </c>
      <c r="I644">
        <f>IF(AND(MyRowHidden(ROW())=FALSE,MyRowHidden(ROW()-1)=TRUE),0,(E644-E643)*unitsOfDHp+I643)</f>
        <v>239015</v>
      </c>
      <c r="J644">
        <f>IF(AND(MyRowHidden(ROW())=FALSE,MyRowHidden(ROW()-1)=TRUE),0,(G644-G643)*unitsOfExo+J643)</f>
        <v>-626400</v>
      </c>
      <c r="K644" s="9">
        <f t="shared" si="55"/>
        <v>626400</v>
      </c>
      <c r="L644">
        <f t="shared" si="56"/>
        <v>-387385</v>
      </c>
      <c r="M644">
        <f>IF(AND(MyRowHidden(ROW())=FALSE,MyRowHidden(ROW()-1)=TRUE),0,IF(MONTH(H644)&lt;&gt;MONTH(H643),M643+1,M643))</f>
        <v>30</v>
      </c>
      <c r="N644">
        <f t="shared" si="57"/>
        <v>239015</v>
      </c>
      <c r="O644">
        <f>IF(AND(MyRowHidden(ROW())=FALSE,MyRowHidden(ROW()-1)=TRUE),0,IF(M644&lt;totalMonths,(totalMonths-M644)/totalMonths *(I644-I643)+O643,0))</f>
        <v>0</v>
      </c>
      <c r="P644">
        <f>IF(AND(MyRowHidden(ROW())=FALSE,MyRowHidden(ROW()-1)=TRUE),0,IF(M644&lt;totalMonths,(totalMonths-M644)/totalMonths *(J644-J643)+P643,0))</f>
        <v>0</v>
      </c>
      <c r="Q644">
        <f>IF(AND(MyRowHidden(ROW())=FALSE,MyRowHidden(ROW()-1)=TRUE),0,IF(M644&lt;totalMonths,(totalMonths-M644)/totalMonths *(K644-K643)+Q643,0))</f>
        <v>0</v>
      </c>
      <c r="R644">
        <f t="shared" si="58"/>
        <v>239015</v>
      </c>
      <c r="S644">
        <f t="shared" si="59"/>
        <v>0</v>
      </c>
    </row>
    <row r="645" spans="1:19" hidden="1" x14ac:dyDescent="0.25">
      <c r="A645" s="1"/>
      <c r="C645" s="1"/>
      <c r="D645" s="1">
        <v>42195</v>
      </c>
      <c r="E645">
        <v>29445</v>
      </c>
      <c r="F645" s="1">
        <v>42195</v>
      </c>
      <c r="G645">
        <v>-37.5</v>
      </c>
      <c r="H645" s="1">
        <f t="shared" si="54"/>
        <v>42195</v>
      </c>
      <c r="I645">
        <f>IF(AND(MyRowHidden(ROW())=FALSE,MyRowHidden(ROW()-1)=TRUE),0,(E645-E644)*unitsOfDHp+I644)</f>
        <v>236110</v>
      </c>
      <c r="J645">
        <f>IF(AND(MyRowHidden(ROW())=FALSE,MyRowHidden(ROW()-1)=TRUE),0,(G645-G644)*unitsOfExo+J644)</f>
        <v>-558000</v>
      </c>
      <c r="K645" s="9">
        <f t="shared" si="55"/>
        <v>558000</v>
      </c>
      <c r="L645">
        <f t="shared" si="56"/>
        <v>-321890</v>
      </c>
      <c r="M645">
        <f>IF(AND(MyRowHidden(ROW())=FALSE,MyRowHidden(ROW()-1)=TRUE),0,IF(MONTH(H645)&lt;&gt;MONTH(H644),M644+1,M644))</f>
        <v>30</v>
      </c>
      <c r="N645">
        <f t="shared" si="57"/>
        <v>236110</v>
      </c>
      <c r="O645">
        <f>IF(AND(MyRowHidden(ROW())=FALSE,MyRowHidden(ROW()-1)=TRUE),0,IF(M645&lt;totalMonths,(totalMonths-M645)/totalMonths *(I645-I644)+O644,0))</f>
        <v>0</v>
      </c>
      <c r="P645">
        <f>IF(AND(MyRowHidden(ROW())=FALSE,MyRowHidden(ROW()-1)=TRUE),0,IF(M645&lt;totalMonths,(totalMonths-M645)/totalMonths *(J645-J644)+P644,0))</f>
        <v>0</v>
      </c>
      <c r="Q645">
        <f>IF(AND(MyRowHidden(ROW())=FALSE,MyRowHidden(ROW()-1)=TRUE),0,IF(M645&lt;totalMonths,(totalMonths-M645)/totalMonths *(K645-K644)+Q644,0))</f>
        <v>0</v>
      </c>
      <c r="R645">
        <f t="shared" si="58"/>
        <v>236110</v>
      </c>
      <c r="S645">
        <f t="shared" si="59"/>
        <v>0</v>
      </c>
    </row>
    <row r="646" spans="1:19" hidden="1" x14ac:dyDescent="0.25">
      <c r="A646" s="1"/>
      <c r="C646" s="1"/>
      <c r="D646" s="1">
        <v>42198</v>
      </c>
      <c r="E646">
        <v>29268</v>
      </c>
      <c r="F646" s="1">
        <v>42198</v>
      </c>
      <c r="G646">
        <v>250</v>
      </c>
      <c r="H646" s="1">
        <f t="shared" si="54"/>
        <v>42198</v>
      </c>
      <c r="I646">
        <f>IF(AND(MyRowHidden(ROW())=FALSE,MyRowHidden(ROW()-1)=TRUE),0,(E646-E645)*unitsOfDHp+I645)</f>
        <v>229915</v>
      </c>
      <c r="J646">
        <f>IF(AND(MyRowHidden(ROW())=FALSE,MyRowHidden(ROW()-1)=TRUE),0,(G646-G645)*unitsOfExo+J645)</f>
        <v>-475200</v>
      </c>
      <c r="K646" s="9">
        <f t="shared" si="55"/>
        <v>475200</v>
      </c>
      <c r="L646">
        <f t="shared" si="56"/>
        <v>-245285</v>
      </c>
      <c r="M646">
        <f>IF(AND(MyRowHidden(ROW())=FALSE,MyRowHidden(ROW()-1)=TRUE),0,IF(MONTH(H646)&lt;&gt;MONTH(H645),M645+1,M645))</f>
        <v>30</v>
      </c>
      <c r="N646">
        <f t="shared" si="57"/>
        <v>229915</v>
      </c>
      <c r="O646">
        <f>IF(AND(MyRowHidden(ROW())=FALSE,MyRowHidden(ROW()-1)=TRUE),0,IF(M646&lt;totalMonths,(totalMonths-M646)/totalMonths *(I646-I645)+O645,0))</f>
        <v>0</v>
      </c>
      <c r="P646">
        <f>IF(AND(MyRowHidden(ROW())=FALSE,MyRowHidden(ROW()-1)=TRUE),0,IF(M646&lt;totalMonths,(totalMonths-M646)/totalMonths *(J646-J645)+P645,0))</f>
        <v>0</v>
      </c>
      <c r="Q646">
        <f>IF(AND(MyRowHidden(ROW())=FALSE,MyRowHidden(ROW()-1)=TRUE),0,IF(M646&lt;totalMonths,(totalMonths-M646)/totalMonths *(K646-K645)+Q645,0))</f>
        <v>0</v>
      </c>
      <c r="R646">
        <f t="shared" si="58"/>
        <v>229915</v>
      </c>
      <c r="S646">
        <f t="shared" si="59"/>
        <v>0</v>
      </c>
    </row>
    <row r="647" spans="1:19" hidden="1" x14ac:dyDescent="0.25">
      <c r="A647" s="1"/>
      <c r="C647" s="1"/>
      <c r="D647" s="1">
        <v>42199</v>
      </c>
      <c r="E647">
        <v>29399</v>
      </c>
      <c r="F647" s="1">
        <v>42199</v>
      </c>
      <c r="G647">
        <v>-237.5</v>
      </c>
      <c r="H647" s="1">
        <f t="shared" si="54"/>
        <v>42199</v>
      </c>
      <c r="I647">
        <f>IF(AND(MyRowHidden(ROW())=FALSE,MyRowHidden(ROW()-1)=TRUE),0,(E647-E646)*unitsOfDHp+I646)</f>
        <v>234500</v>
      </c>
      <c r="J647">
        <f>IF(AND(MyRowHidden(ROW())=FALSE,MyRowHidden(ROW()-1)=TRUE),0,(G647-G646)*unitsOfExo+J646)</f>
        <v>-615600</v>
      </c>
      <c r="K647" s="9">
        <f t="shared" si="55"/>
        <v>615600</v>
      </c>
      <c r="L647">
        <f t="shared" si="56"/>
        <v>-381100</v>
      </c>
      <c r="M647">
        <f>IF(AND(MyRowHidden(ROW())=FALSE,MyRowHidden(ROW()-1)=TRUE),0,IF(MONTH(H647)&lt;&gt;MONTH(H646),M646+1,M646))</f>
        <v>30</v>
      </c>
      <c r="N647">
        <f t="shared" si="57"/>
        <v>234500</v>
      </c>
      <c r="O647">
        <f>IF(AND(MyRowHidden(ROW())=FALSE,MyRowHidden(ROW()-1)=TRUE),0,IF(M647&lt;totalMonths,(totalMonths-M647)/totalMonths *(I647-I646)+O646,0))</f>
        <v>0</v>
      </c>
      <c r="P647">
        <f>IF(AND(MyRowHidden(ROW())=FALSE,MyRowHidden(ROW()-1)=TRUE),0,IF(M647&lt;totalMonths,(totalMonths-M647)/totalMonths *(J647-J646)+P646,0))</f>
        <v>0</v>
      </c>
      <c r="Q647">
        <f>IF(AND(MyRowHidden(ROW())=FALSE,MyRowHidden(ROW()-1)=TRUE),0,IF(M647&lt;totalMonths,(totalMonths-M647)/totalMonths *(K647-K646)+Q646,0))</f>
        <v>0</v>
      </c>
      <c r="R647">
        <f t="shared" si="58"/>
        <v>234500</v>
      </c>
      <c r="S647">
        <f t="shared" si="59"/>
        <v>0</v>
      </c>
    </row>
    <row r="648" spans="1:19" hidden="1" x14ac:dyDescent="0.25">
      <c r="A648" s="1"/>
      <c r="C648" s="1"/>
      <c r="D648" s="1">
        <v>42200</v>
      </c>
      <c r="E648">
        <v>29472</v>
      </c>
      <c r="F648" s="1">
        <v>42200</v>
      </c>
      <c r="G648">
        <v>-437.5</v>
      </c>
      <c r="H648" s="1">
        <f t="shared" si="54"/>
        <v>42200</v>
      </c>
      <c r="I648">
        <f>IF(AND(MyRowHidden(ROW())=FALSE,MyRowHidden(ROW()-1)=TRUE),0,(E648-E647)*unitsOfDHp+I647)</f>
        <v>237055</v>
      </c>
      <c r="J648">
        <f>IF(AND(MyRowHidden(ROW())=FALSE,MyRowHidden(ROW()-1)=TRUE),0,(G648-G647)*unitsOfExo+J647)</f>
        <v>-673200</v>
      </c>
      <c r="K648" s="9">
        <f t="shared" si="55"/>
        <v>673200</v>
      </c>
      <c r="L648">
        <f t="shared" si="56"/>
        <v>-436145</v>
      </c>
      <c r="M648">
        <f>IF(AND(MyRowHidden(ROW())=FALSE,MyRowHidden(ROW()-1)=TRUE),0,IF(MONTH(H648)&lt;&gt;MONTH(H647),M647+1,M647))</f>
        <v>30</v>
      </c>
      <c r="N648">
        <f t="shared" si="57"/>
        <v>237055</v>
      </c>
      <c r="O648">
        <f>IF(AND(MyRowHidden(ROW())=FALSE,MyRowHidden(ROW()-1)=TRUE),0,IF(M648&lt;totalMonths,(totalMonths-M648)/totalMonths *(I648-I647)+O647,0))</f>
        <v>0</v>
      </c>
      <c r="P648">
        <f>IF(AND(MyRowHidden(ROW())=FALSE,MyRowHidden(ROW()-1)=TRUE),0,IF(M648&lt;totalMonths,(totalMonths-M648)/totalMonths *(J648-J647)+P647,0))</f>
        <v>0</v>
      </c>
      <c r="Q648">
        <f>IF(AND(MyRowHidden(ROW())=FALSE,MyRowHidden(ROW()-1)=TRUE),0,IF(M648&lt;totalMonths,(totalMonths-M648)/totalMonths *(K648-K647)+Q647,0))</f>
        <v>0</v>
      </c>
      <c r="R648">
        <f t="shared" si="58"/>
        <v>237055</v>
      </c>
      <c r="S648">
        <f t="shared" si="59"/>
        <v>0</v>
      </c>
    </row>
    <row r="649" spans="1:19" hidden="1" x14ac:dyDescent="0.25">
      <c r="A649" s="1"/>
      <c r="C649" s="1"/>
      <c r="D649" s="1">
        <v>42201</v>
      </c>
      <c r="E649">
        <v>29284</v>
      </c>
      <c r="F649" s="1">
        <v>42201</v>
      </c>
      <c r="G649">
        <v>-275</v>
      </c>
      <c r="H649" s="1">
        <f t="shared" si="54"/>
        <v>42201</v>
      </c>
      <c r="I649">
        <f>IF(AND(MyRowHidden(ROW())=FALSE,MyRowHidden(ROW()-1)=TRUE),0,(E649-E648)*unitsOfDHp+I648)</f>
        <v>230475</v>
      </c>
      <c r="J649">
        <f>IF(AND(MyRowHidden(ROW())=FALSE,MyRowHidden(ROW()-1)=TRUE),0,(G649-G648)*unitsOfExo+J648)</f>
        <v>-626400</v>
      </c>
      <c r="K649" s="9">
        <f t="shared" si="55"/>
        <v>626400</v>
      </c>
      <c r="L649">
        <f t="shared" si="56"/>
        <v>-395925</v>
      </c>
      <c r="M649">
        <f>IF(AND(MyRowHidden(ROW())=FALSE,MyRowHidden(ROW()-1)=TRUE),0,IF(MONTH(H649)&lt;&gt;MONTH(H648),M648+1,M648))</f>
        <v>30</v>
      </c>
      <c r="N649">
        <f t="shared" si="57"/>
        <v>230475</v>
      </c>
      <c r="O649">
        <f>IF(AND(MyRowHidden(ROW())=FALSE,MyRowHidden(ROW()-1)=TRUE),0,IF(M649&lt;totalMonths,(totalMonths-M649)/totalMonths *(I649-I648)+O648,0))</f>
        <v>0</v>
      </c>
      <c r="P649">
        <f>IF(AND(MyRowHidden(ROW())=FALSE,MyRowHidden(ROW()-1)=TRUE),0,IF(M649&lt;totalMonths,(totalMonths-M649)/totalMonths *(J649-J648)+P648,0))</f>
        <v>0</v>
      </c>
      <c r="Q649">
        <f>IF(AND(MyRowHidden(ROW())=FALSE,MyRowHidden(ROW()-1)=TRUE),0,IF(M649&lt;totalMonths,(totalMonths-M649)/totalMonths *(K649-K648)+Q648,0))</f>
        <v>0</v>
      </c>
      <c r="R649">
        <f t="shared" si="58"/>
        <v>230475</v>
      </c>
      <c r="S649">
        <f t="shared" si="59"/>
        <v>0</v>
      </c>
    </row>
    <row r="650" spans="1:19" hidden="1" x14ac:dyDescent="0.25">
      <c r="A650" s="1"/>
      <c r="C650" s="1"/>
      <c r="D650" s="1">
        <v>42202</v>
      </c>
      <c r="E650">
        <v>29489</v>
      </c>
      <c r="F650" s="1">
        <v>42202</v>
      </c>
      <c r="G650">
        <v>-812.5</v>
      </c>
      <c r="H650" s="1">
        <f t="shared" si="54"/>
        <v>42202</v>
      </c>
      <c r="I650">
        <f>IF(AND(MyRowHidden(ROW())=FALSE,MyRowHidden(ROW()-1)=TRUE),0,(E650-E649)*unitsOfDHp+I649)</f>
        <v>237650</v>
      </c>
      <c r="J650">
        <f>IF(AND(MyRowHidden(ROW())=FALSE,MyRowHidden(ROW()-1)=TRUE),0,(G650-G649)*unitsOfExo+J649)</f>
        <v>-781200</v>
      </c>
      <c r="K650" s="9">
        <f t="shared" si="55"/>
        <v>781200</v>
      </c>
      <c r="L650">
        <f t="shared" si="56"/>
        <v>-543550</v>
      </c>
      <c r="M650">
        <f>IF(AND(MyRowHidden(ROW())=FALSE,MyRowHidden(ROW()-1)=TRUE),0,IF(MONTH(H650)&lt;&gt;MONTH(H649),M649+1,M649))</f>
        <v>30</v>
      </c>
      <c r="N650">
        <f t="shared" si="57"/>
        <v>237650</v>
      </c>
      <c r="O650">
        <f>IF(AND(MyRowHidden(ROW())=FALSE,MyRowHidden(ROW()-1)=TRUE),0,IF(M650&lt;totalMonths,(totalMonths-M650)/totalMonths *(I650-I649)+O649,0))</f>
        <v>0</v>
      </c>
      <c r="P650">
        <f>IF(AND(MyRowHidden(ROW())=FALSE,MyRowHidden(ROW()-1)=TRUE),0,IF(M650&lt;totalMonths,(totalMonths-M650)/totalMonths *(J650-J649)+P649,0))</f>
        <v>0</v>
      </c>
      <c r="Q650">
        <f>IF(AND(MyRowHidden(ROW())=FALSE,MyRowHidden(ROW()-1)=TRUE),0,IF(M650&lt;totalMonths,(totalMonths-M650)/totalMonths *(K650-K649)+Q649,0))</f>
        <v>0</v>
      </c>
      <c r="R650">
        <f t="shared" si="58"/>
        <v>237650</v>
      </c>
      <c r="S650">
        <f t="shared" si="59"/>
        <v>0</v>
      </c>
    </row>
    <row r="651" spans="1:19" hidden="1" x14ac:dyDescent="0.25">
      <c r="A651" s="1"/>
      <c r="C651" s="1"/>
      <c r="D651" s="1">
        <v>42205</v>
      </c>
      <c r="E651">
        <v>28944</v>
      </c>
      <c r="F651" s="1">
        <v>42205</v>
      </c>
      <c r="G651">
        <v>-1500</v>
      </c>
      <c r="H651" s="1">
        <f t="shared" si="54"/>
        <v>42205</v>
      </c>
      <c r="I651">
        <f>IF(AND(MyRowHidden(ROW())=FALSE,MyRowHidden(ROW()-1)=TRUE),0,(E651-E650)*unitsOfDHp+I650)</f>
        <v>218575</v>
      </c>
      <c r="J651">
        <f>IF(AND(MyRowHidden(ROW())=FALSE,MyRowHidden(ROW()-1)=TRUE),0,(G651-G650)*unitsOfExo+J650)</f>
        <v>-979200</v>
      </c>
      <c r="K651" s="9">
        <f t="shared" si="55"/>
        <v>979200</v>
      </c>
      <c r="L651">
        <f t="shared" si="56"/>
        <v>-760625</v>
      </c>
      <c r="M651">
        <f>IF(AND(MyRowHidden(ROW())=FALSE,MyRowHidden(ROW()-1)=TRUE),0,IF(MONTH(H651)&lt;&gt;MONTH(H650),M650+1,M650))</f>
        <v>30</v>
      </c>
      <c r="N651">
        <f t="shared" si="57"/>
        <v>218575</v>
      </c>
      <c r="O651">
        <f>IF(AND(MyRowHidden(ROW())=FALSE,MyRowHidden(ROW()-1)=TRUE),0,IF(M651&lt;totalMonths,(totalMonths-M651)/totalMonths *(I651-I650)+O650,0))</f>
        <v>0</v>
      </c>
      <c r="P651">
        <f>IF(AND(MyRowHidden(ROW())=FALSE,MyRowHidden(ROW()-1)=TRUE),0,IF(M651&lt;totalMonths,(totalMonths-M651)/totalMonths *(J651-J650)+P650,0))</f>
        <v>0</v>
      </c>
      <c r="Q651">
        <f>IF(AND(MyRowHidden(ROW())=FALSE,MyRowHidden(ROW()-1)=TRUE),0,IF(M651&lt;totalMonths,(totalMonths-M651)/totalMonths *(K651-K650)+Q650,0))</f>
        <v>0</v>
      </c>
      <c r="R651">
        <f t="shared" si="58"/>
        <v>218575</v>
      </c>
      <c r="S651">
        <f t="shared" si="59"/>
        <v>0</v>
      </c>
    </row>
    <row r="652" spans="1:19" hidden="1" x14ac:dyDescent="0.25">
      <c r="A652" s="1"/>
      <c r="C652" s="1"/>
      <c r="D652" s="1">
        <v>42206</v>
      </c>
      <c r="E652">
        <v>28931</v>
      </c>
      <c r="F652" s="1">
        <v>42206</v>
      </c>
      <c r="G652">
        <v>-1437.5</v>
      </c>
      <c r="H652" s="1">
        <f t="shared" si="54"/>
        <v>42206</v>
      </c>
      <c r="I652">
        <f>IF(AND(MyRowHidden(ROW())=FALSE,MyRowHidden(ROW()-1)=TRUE),0,(E652-E651)*unitsOfDHp+I651)</f>
        <v>218120</v>
      </c>
      <c r="J652">
        <f>IF(AND(MyRowHidden(ROW())=FALSE,MyRowHidden(ROW()-1)=TRUE),0,(G652-G651)*unitsOfExo+J651)</f>
        <v>-961200</v>
      </c>
      <c r="K652" s="9">
        <f t="shared" si="55"/>
        <v>961200</v>
      </c>
      <c r="L652">
        <f t="shared" si="56"/>
        <v>-743080</v>
      </c>
      <c r="M652">
        <f>IF(AND(MyRowHidden(ROW())=FALSE,MyRowHidden(ROW()-1)=TRUE),0,IF(MONTH(H652)&lt;&gt;MONTH(H651),M651+1,M651))</f>
        <v>30</v>
      </c>
      <c r="N652">
        <f t="shared" si="57"/>
        <v>218120</v>
      </c>
      <c r="O652">
        <f>IF(AND(MyRowHidden(ROW())=FALSE,MyRowHidden(ROW()-1)=TRUE),0,IF(M652&lt;totalMonths,(totalMonths-M652)/totalMonths *(I652-I651)+O651,0))</f>
        <v>0</v>
      </c>
      <c r="P652">
        <f>IF(AND(MyRowHidden(ROW())=FALSE,MyRowHidden(ROW()-1)=TRUE),0,IF(M652&lt;totalMonths,(totalMonths-M652)/totalMonths *(J652-J651)+P651,0))</f>
        <v>0</v>
      </c>
      <c r="Q652">
        <f>IF(AND(MyRowHidden(ROW())=FALSE,MyRowHidden(ROW()-1)=TRUE),0,IF(M652&lt;totalMonths,(totalMonths-M652)/totalMonths *(K652-K651)+Q651,0))</f>
        <v>0</v>
      </c>
      <c r="R652">
        <f t="shared" si="58"/>
        <v>218120</v>
      </c>
      <c r="S652">
        <f t="shared" si="59"/>
        <v>0</v>
      </c>
    </row>
    <row r="653" spans="1:19" hidden="1" x14ac:dyDescent="0.25">
      <c r="A653" s="1"/>
      <c r="C653" s="1"/>
      <c r="D653" s="1">
        <v>42207</v>
      </c>
      <c r="E653">
        <v>28505</v>
      </c>
      <c r="F653" s="1">
        <v>42207</v>
      </c>
      <c r="G653">
        <v>-1700</v>
      </c>
      <c r="H653" s="1">
        <f t="shared" ref="H653:H716" si="60">D653</f>
        <v>42207</v>
      </c>
      <c r="I653">
        <f>IF(AND(MyRowHidden(ROW())=FALSE,MyRowHidden(ROW()-1)=TRUE),0,(E653-E652)*unitsOfDHp+I652)</f>
        <v>203210</v>
      </c>
      <c r="J653">
        <f>IF(AND(MyRowHidden(ROW())=FALSE,MyRowHidden(ROW()-1)=TRUE),0,(G653-G652)*unitsOfExo+J652)</f>
        <v>-1036800</v>
      </c>
      <c r="K653" s="9">
        <f t="shared" ref="K653:K716" si="61">-(J653-J652)+K652</f>
        <v>1036800</v>
      </c>
      <c r="L653">
        <f t="shared" ref="L653:L716" si="62">I653+J653</f>
        <v>-833590</v>
      </c>
      <c r="M653">
        <f>IF(AND(MyRowHidden(ROW())=FALSE,MyRowHidden(ROW()-1)=TRUE),0,IF(MONTH(H653)&lt;&gt;MONTH(H652),M652+1,M652))</f>
        <v>30</v>
      </c>
      <c r="N653">
        <f t="shared" ref="N653:N716" si="63">I653</f>
        <v>203210</v>
      </c>
      <c r="O653">
        <f>IF(AND(MyRowHidden(ROW())=FALSE,MyRowHidden(ROW()-1)=TRUE),0,IF(M653&lt;totalMonths,(totalMonths-M653)/totalMonths *(I653-I652)+O652,0))</f>
        <v>0</v>
      </c>
      <c r="P653">
        <f>IF(AND(MyRowHidden(ROW())=FALSE,MyRowHidden(ROW()-1)=TRUE),0,IF(M653&lt;totalMonths,(totalMonths-M653)/totalMonths *(J653-J652)+P652,0))</f>
        <v>0</v>
      </c>
      <c r="Q653">
        <f>IF(AND(MyRowHidden(ROW())=FALSE,MyRowHidden(ROW()-1)=TRUE),0,IF(M653&lt;totalMonths,(totalMonths-M653)/totalMonths *(K653-K652)+Q652,0))</f>
        <v>0</v>
      </c>
      <c r="R653">
        <f t="shared" ref="R653:R716" si="64">N653+P653</f>
        <v>203210</v>
      </c>
      <c r="S653">
        <f t="shared" ref="S653:S716" si="65">O653+P653</f>
        <v>0</v>
      </c>
    </row>
    <row r="654" spans="1:19" hidden="1" x14ac:dyDescent="0.25">
      <c r="A654" s="1"/>
      <c r="C654" s="1"/>
      <c r="D654" s="1">
        <v>42208</v>
      </c>
      <c r="E654">
        <v>28465</v>
      </c>
      <c r="F654" s="1">
        <v>42208</v>
      </c>
      <c r="G654">
        <v>-1762.5</v>
      </c>
      <c r="H654" s="1">
        <f t="shared" si="60"/>
        <v>42208</v>
      </c>
      <c r="I654">
        <f>IF(AND(MyRowHidden(ROW())=FALSE,MyRowHidden(ROW()-1)=TRUE),0,(E654-E653)*unitsOfDHp+I653)</f>
        <v>201810</v>
      </c>
      <c r="J654">
        <f>IF(AND(MyRowHidden(ROW())=FALSE,MyRowHidden(ROW()-1)=TRUE),0,(G654-G653)*unitsOfExo+J653)</f>
        <v>-1054800</v>
      </c>
      <c r="K654" s="9">
        <f t="shared" si="61"/>
        <v>1054800</v>
      </c>
      <c r="L654">
        <f t="shared" si="62"/>
        <v>-852990</v>
      </c>
      <c r="M654">
        <f>IF(AND(MyRowHidden(ROW())=FALSE,MyRowHidden(ROW()-1)=TRUE),0,IF(MONTH(H654)&lt;&gt;MONTH(H653),M653+1,M653))</f>
        <v>30</v>
      </c>
      <c r="N654">
        <f t="shared" si="63"/>
        <v>201810</v>
      </c>
      <c r="O654">
        <f>IF(AND(MyRowHidden(ROW())=FALSE,MyRowHidden(ROW()-1)=TRUE),0,IF(M654&lt;totalMonths,(totalMonths-M654)/totalMonths *(I654-I653)+O653,0))</f>
        <v>0</v>
      </c>
      <c r="P654">
        <f>IF(AND(MyRowHidden(ROW())=FALSE,MyRowHidden(ROW()-1)=TRUE),0,IF(M654&lt;totalMonths,(totalMonths-M654)/totalMonths *(J654-J653)+P653,0))</f>
        <v>0</v>
      </c>
      <c r="Q654">
        <f>IF(AND(MyRowHidden(ROW())=FALSE,MyRowHidden(ROW()-1)=TRUE),0,IF(M654&lt;totalMonths,(totalMonths-M654)/totalMonths *(K654-K653)+Q653,0))</f>
        <v>0</v>
      </c>
      <c r="R654">
        <f t="shared" si="64"/>
        <v>201810</v>
      </c>
      <c r="S654">
        <f t="shared" si="65"/>
        <v>0</v>
      </c>
    </row>
    <row r="655" spans="1:19" hidden="1" x14ac:dyDescent="0.25">
      <c r="A655" s="1"/>
      <c r="C655" s="1"/>
      <c r="D655" s="1">
        <v>42209</v>
      </c>
      <c r="E655">
        <v>28180</v>
      </c>
      <c r="F655" s="1">
        <v>42209</v>
      </c>
      <c r="G655">
        <v>-2075</v>
      </c>
      <c r="H655" s="1">
        <f t="shared" si="60"/>
        <v>42209</v>
      </c>
      <c r="I655">
        <f>IF(AND(MyRowHidden(ROW())=FALSE,MyRowHidden(ROW()-1)=TRUE),0,(E655-E654)*unitsOfDHp+I654)</f>
        <v>191835</v>
      </c>
      <c r="J655">
        <f>IF(AND(MyRowHidden(ROW())=FALSE,MyRowHidden(ROW()-1)=TRUE),0,(G655-G654)*unitsOfExo+J654)</f>
        <v>-1144800</v>
      </c>
      <c r="K655" s="9">
        <f t="shared" si="61"/>
        <v>1144800</v>
      </c>
      <c r="L655">
        <f t="shared" si="62"/>
        <v>-952965</v>
      </c>
      <c r="M655">
        <f>IF(AND(MyRowHidden(ROW())=FALSE,MyRowHidden(ROW()-1)=TRUE),0,IF(MONTH(H655)&lt;&gt;MONTH(H654),M654+1,M654))</f>
        <v>30</v>
      </c>
      <c r="N655">
        <f t="shared" si="63"/>
        <v>191835</v>
      </c>
      <c r="O655">
        <f>IF(AND(MyRowHidden(ROW())=FALSE,MyRowHidden(ROW()-1)=TRUE),0,IF(M655&lt;totalMonths,(totalMonths-M655)/totalMonths *(I655-I654)+O654,0))</f>
        <v>0</v>
      </c>
      <c r="P655">
        <f>IF(AND(MyRowHidden(ROW())=FALSE,MyRowHidden(ROW()-1)=TRUE),0,IF(M655&lt;totalMonths,(totalMonths-M655)/totalMonths *(J655-J654)+P654,0))</f>
        <v>0</v>
      </c>
      <c r="Q655">
        <f>IF(AND(MyRowHidden(ROW())=FALSE,MyRowHidden(ROW()-1)=TRUE),0,IF(M655&lt;totalMonths,(totalMonths-M655)/totalMonths *(K655-K654)+Q654,0))</f>
        <v>0</v>
      </c>
      <c r="R655">
        <f t="shared" si="64"/>
        <v>191835</v>
      </c>
      <c r="S655">
        <f t="shared" si="65"/>
        <v>0</v>
      </c>
    </row>
    <row r="656" spans="1:19" hidden="1" x14ac:dyDescent="0.25">
      <c r="A656" s="1"/>
      <c r="C656" s="1"/>
      <c r="D656" s="1">
        <v>42212</v>
      </c>
      <c r="E656">
        <v>27599</v>
      </c>
      <c r="F656" s="1">
        <v>42212</v>
      </c>
      <c r="G656">
        <v>-2962.5</v>
      </c>
      <c r="H656" s="1">
        <f t="shared" si="60"/>
        <v>42212</v>
      </c>
      <c r="I656">
        <f>IF(AND(MyRowHidden(ROW())=FALSE,MyRowHidden(ROW()-1)=TRUE),0,(E656-E655)*unitsOfDHp+I655)</f>
        <v>171500</v>
      </c>
      <c r="J656">
        <f>IF(AND(MyRowHidden(ROW())=FALSE,MyRowHidden(ROW()-1)=TRUE),0,(G656-G655)*unitsOfExo+J655)</f>
        <v>-1400400</v>
      </c>
      <c r="K656" s="9">
        <f t="shared" si="61"/>
        <v>1400400</v>
      </c>
      <c r="L656">
        <f t="shared" si="62"/>
        <v>-1228900</v>
      </c>
      <c r="M656">
        <f>IF(AND(MyRowHidden(ROW())=FALSE,MyRowHidden(ROW()-1)=TRUE),0,IF(MONTH(H656)&lt;&gt;MONTH(H655),M655+1,M655))</f>
        <v>30</v>
      </c>
      <c r="N656">
        <f t="shared" si="63"/>
        <v>171500</v>
      </c>
      <c r="O656">
        <f>IF(AND(MyRowHidden(ROW())=FALSE,MyRowHidden(ROW()-1)=TRUE),0,IF(M656&lt;totalMonths,(totalMonths-M656)/totalMonths *(I656-I655)+O655,0))</f>
        <v>0</v>
      </c>
      <c r="P656">
        <f>IF(AND(MyRowHidden(ROW())=FALSE,MyRowHidden(ROW()-1)=TRUE),0,IF(M656&lt;totalMonths,(totalMonths-M656)/totalMonths *(J656-J655)+P655,0))</f>
        <v>0</v>
      </c>
      <c r="Q656">
        <f>IF(AND(MyRowHidden(ROW())=FALSE,MyRowHidden(ROW()-1)=TRUE),0,IF(M656&lt;totalMonths,(totalMonths-M656)/totalMonths *(K656-K655)+Q655,0))</f>
        <v>0</v>
      </c>
      <c r="R656">
        <f t="shared" si="64"/>
        <v>171500</v>
      </c>
      <c r="S656">
        <f t="shared" si="65"/>
        <v>0</v>
      </c>
    </row>
    <row r="657" spans="1:19" hidden="1" x14ac:dyDescent="0.25">
      <c r="A657" s="1"/>
      <c r="C657" s="1"/>
      <c r="D657" s="1">
        <v>42213</v>
      </c>
      <c r="E657">
        <v>27314</v>
      </c>
      <c r="F657" s="1">
        <v>42213</v>
      </c>
      <c r="G657">
        <v>-3262.5</v>
      </c>
      <c r="H657" s="1">
        <f t="shared" si="60"/>
        <v>42213</v>
      </c>
      <c r="I657">
        <f>IF(AND(MyRowHidden(ROW())=FALSE,MyRowHidden(ROW()-1)=TRUE),0,(E657-E656)*unitsOfDHp+I656)</f>
        <v>161525</v>
      </c>
      <c r="J657">
        <f>IF(AND(MyRowHidden(ROW())=FALSE,MyRowHidden(ROW()-1)=TRUE),0,(G657-G656)*unitsOfExo+J656)</f>
        <v>-1486800</v>
      </c>
      <c r="K657" s="9">
        <f t="shared" si="61"/>
        <v>1486800</v>
      </c>
      <c r="L657">
        <f t="shared" si="62"/>
        <v>-1325275</v>
      </c>
      <c r="M657">
        <f>IF(AND(MyRowHidden(ROW())=FALSE,MyRowHidden(ROW()-1)=TRUE),0,IF(MONTH(H657)&lt;&gt;MONTH(H656),M656+1,M656))</f>
        <v>30</v>
      </c>
      <c r="N657">
        <f t="shared" si="63"/>
        <v>161525</v>
      </c>
      <c r="O657">
        <f>IF(AND(MyRowHidden(ROW())=FALSE,MyRowHidden(ROW()-1)=TRUE),0,IF(M657&lt;totalMonths,(totalMonths-M657)/totalMonths *(I657-I656)+O656,0))</f>
        <v>0</v>
      </c>
      <c r="P657">
        <f>IF(AND(MyRowHidden(ROW())=FALSE,MyRowHidden(ROW()-1)=TRUE),0,IF(M657&lt;totalMonths,(totalMonths-M657)/totalMonths *(J657-J656)+P656,0))</f>
        <v>0</v>
      </c>
      <c r="Q657">
        <f>IF(AND(MyRowHidden(ROW())=FALSE,MyRowHidden(ROW()-1)=TRUE),0,IF(M657&lt;totalMonths,(totalMonths-M657)/totalMonths *(K657-K656)+Q656,0))</f>
        <v>0</v>
      </c>
      <c r="R657">
        <f t="shared" si="64"/>
        <v>161525</v>
      </c>
      <c r="S657">
        <f t="shared" si="65"/>
        <v>0</v>
      </c>
    </row>
    <row r="658" spans="1:19" hidden="1" x14ac:dyDescent="0.25">
      <c r="A658" s="1"/>
      <c r="C658" s="1"/>
      <c r="D658" s="1">
        <v>42214</v>
      </c>
      <c r="E658">
        <v>27112</v>
      </c>
      <c r="F658" s="1">
        <v>42214</v>
      </c>
      <c r="G658">
        <v>-3362.5</v>
      </c>
      <c r="H658" s="1">
        <f t="shared" si="60"/>
        <v>42214</v>
      </c>
      <c r="I658">
        <f>IF(AND(MyRowHidden(ROW())=FALSE,MyRowHidden(ROW()-1)=TRUE),0,(E658-E657)*unitsOfDHp+I657)</f>
        <v>154455</v>
      </c>
      <c r="J658">
        <f>IF(AND(MyRowHidden(ROW())=FALSE,MyRowHidden(ROW()-1)=TRUE),0,(G658-G657)*unitsOfExo+J657)</f>
        <v>-1515600</v>
      </c>
      <c r="K658" s="9">
        <f t="shared" si="61"/>
        <v>1515600</v>
      </c>
      <c r="L658">
        <f t="shared" si="62"/>
        <v>-1361145</v>
      </c>
      <c r="M658">
        <f>IF(AND(MyRowHidden(ROW())=FALSE,MyRowHidden(ROW()-1)=TRUE),0,IF(MONTH(H658)&lt;&gt;MONTH(H657),M657+1,M657))</f>
        <v>30</v>
      </c>
      <c r="N658">
        <f t="shared" si="63"/>
        <v>154455</v>
      </c>
      <c r="O658">
        <f>IF(AND(MyRowHidden(ROW())=FALSE,MyRowHidden(ROW()-1)=TRUE),0,IF(M658&lt;totalMonths,(totalMonths-M658)/totalMonths *(I658-I657)+O657,0))</f>
        <v>0</v>
      </c>
      <c r="P658">
        <f>IF(AND(MyRowHidden(ROW())=FALSE,MyRowHidden(ROW()-1)=TRUE),0,IF(M658&lt;totalMonths,(totalMonths-M658)/totalMonths *(J658-J657)+P657,0))</f>
        <v>0</v>
      </c>
      <c r="Q658">
        <f>IF(AND(MyRowHidden(ROW())=FALSE,MyRowHidden(ROW()-1)=TRUE),0,IF(M658&lt;totalMonths,(totalMonths-M658)/totalMonths *(K658-K657)+Q657,0))</f>
        <v>0</v>
      </c>
      <c r="R658">
        <f t="shared" si="64"/>
        <v>154455</v>
      </c>
      <c r="S658">
        <f t="shared" si="65"/>
        <v>0</v>
      </c>
    </row>
    <row r="659" spans="1:19" hidden="1" x14ac:dyDescent="0.25">
      <c r="A659" s="1"/>
      <c r="C659" s="1"/>
      <c r="D659" s="1">
        <v>42215</v>
      </c>
      <c r="E659">
        <v>27182</v>
      </c>
      <c r="F659" s="1">
        <v>42215</v>
      </c>
      <c r="G659">
        <v>-3262.5</v>
      </c>
      <c r="H659" s="1">
        <f t="shared" si="60"/>
        <v>42215</v>
      </c>
      <c r="I659">
        <f>IF(AND(MyRowHidden(ROW())=FALSE,MyRowHidden(ROW()-1)=TRUE),0,(E659-E658)*unitsOfDHp+I658)</f>
        <v>156905</v>
      </c>
      <c r="J659">
        <f>IF(AND(MyRowHidden(ROW())=FALSE,MyRowHidden(ROW()-1)=TRUE),0,(G659-G658)*unitsOfExo+J658)</f>
        <v>-1486800</v>
      </c>
      <c r="K659" s="9">
        <f t="shared" si="61"/>
        <v>1486800</v>
      </c>
      <c r="L659">
        <f t="shared" si="62"/>
        <v>-1329895</v>
      </c>
      <c r="M659">
        <f>IF(AND(MyRowHidden(ROW())=FALSE,MyRowHidden(ROW()-1)=TRUE),0,IF(MONTH(H659)&lt;&gt;MONTH(H658),M658+1,M658))</f>
        <v>30</v>
      </c>
      <c r="N659">
        <f t="shared" si="63"/>
        <v>156905</v>
      </c>
      <c r="O659">
        <f>IF(AND(MyRowHidden(ROW())=FALSE,MyRowHidden(ROW()-1)=TRUE),0,IF(M659&lt;totalMonths,(totalMonths-M659)/totalMonths *(I659-I658)+O658,0))</f>
        <v>0</v>
      </c>
      <c r="P659">
        <f>IF(AND(MyRowHidden(ROW())=FALSE,MyRowHidden(ROW()-1)=TRUE),0,IF(M659&lt;totalMonths,(totalMonths-M659)/totalMonths *(J659-J658)+P658,0))</f>
        <v>0</v>
      </c>
      <c r="Q659">
        <f>IF(AND(MyRowHidden(ROW())=FALSE,MyRowHidden(ROW()-1)=TRUE),0,IF(M659&lt;totalMonths,(totalMonths-M659)/totalMonths *(K659-K658)+Q658,0))</f>
        <v>0</v>
      </c>
      <c r="R659">
        <f t="shared" si="64"/>
        <v>156905</v>
      </c>
      <c r="S659">
        <f t="shared" si="65"/>
        <v>0</v>
      </c>
    </row>
    <row r="660" spans="1:19" hidden="1" x14ac:dyDescent="0.25">
      <c r="A660" s="1"/>
      <c r="C660" s="1"/>
      <c r="D660" s="1">
        <v>42216</v>
      </c>
      <c r="E660">
        <v>27430</v>
      </c>
      <c r="F660" s="1">
        <v>42216</v>
      </c>
      <c r="G660">
        <v>-3087.5</v>
      </c>
      <c r="H660" s="1">
        <f t="shared" si="60"/>
        <v>42216</v>
      </c>
      <c r="I660">
        <f>IF(AND(MyRowHidden(ROW())=FALSE,MyRowHidden(ROW()-1)=TRUE),0,(E660-E659)*unitsOfDHp+I659)</f>
        <v>165585</v>
      </c>
      <c r="J660">
        <f>IF(AND(MyRowHidden(ROW())=FALSE,MyRowHidden(ROW()-1)=TRUE),0,(G660-G659)*unitsOfExo+J659)</f>
        <v>-1436400</v>
      </c>
      <c r="K660" s="9">
        <f t="shared" si="61"/>
        <v>1436400</v>
      </c>
      <c r="L660">
        <f t="shared" si="62"/>
        <v>-1270815</v>
      </c>
      <c r="M660">
        <f>IF(AND(MyRowHidden(ROW())=FALSE,MyRowHidden(ROW()-1)=TRUE),0,IF(MONTH(H660)&lt;&gt;MONTH(H659),M659+1,M659))</f>
        <v>30</v>
      </c>
      <c r="N660">
        <f t="shared" si="63"/>
        <v>165585</v>
      </c>
      <c r="O660">
        <f>IF(AND(MyRowHidden(ROW())=FALSE,MyRowHidden(ROW()-1)=TRUE),0,IF(M660&lt;totalMonths,(totalMonths-M660)/totalMonths *(I660-I659)+O659,0))</f>
        <v>0</v>
      </c>
      <c r="P660">
        <f>IF(AND(MyRowHidden(ROW())=FALSE,MyRowHidden(ROW()-1)=TRUE),0,IF(M660&lt;totalMonths,(totalMonths-M660)/totalMonths *(J660-J659)+P659,0))</f>
        <v>0</v>
      </c>
      <c r="Q660">
        <f>IF(AND(MyRowHidden(ROW())=FALSE,MyRowHidden(ROW()-1)=TRUE),0,IF(M660&lt;totalMonths,(totalMonths-M660)/totalMonths *(K660-K659)+Q659,0))</f>
        <v>0</v>
      </c>
      <c r="R660">
        <f t="shared" si="64"/>
        <v>165585</v>
      </c>
      <c r="S660">
        <f t="shared" si="65"/>
        <v>0</v>
      </c>
    </row>
    <row r="661" spans="1:19" hidden="1" x14ac:dyDescent="0.25">
      <c r="A661" s="1"/>
      <c r="C661" s="1"/>
      <c r="D661" s="1">
        <v>42219</v>
      </c>
      <c r="E661">
        <v>27128</v>
      </c>
      <c r="F661" s="1">
        <v>42219</v>
      </c>
      <c r="G661">
        <v>-3387.5</v>
      </c>
      <c r="H661" s="1">
        <f t="shared" si="60"/>
        <v>42219</v>
      </c>
      <c r="I661">
        <f>IF(AND(MyRowHidden(ROW())=FALSE,MyRowHidden(ROW()-1)=TRUE),0,(E661-E660)*unitsOfDHp+I660)</f>
        <v>155015</v>
      </c>
      <c r="J661">
        <f>IF(AND(MyRowHidden(ROW())=FALSE,MyRowHidden(ROW()-1)=TRUE),0,(G661-G660)*unitsOfExo+J660)</f>
        <v>-1522800</v>
      </c>
      <c r="K661" s="9">
        <f t="shared" si="61"/>
        <v>1522800</v>
      </c>
      <c r="L661">
        <f t="shared" si="62"/>
        <v>-1367785</v>
      </c>
      <c r="M661">
        <f>IF(AND(MyRowHidden(ROW())=FALSE,MyRowHidden(ROW()-1)=TRUE),0,IF(MONTH(H661)&lt;&gt;MONTH(H660),M660+1,M660))</f>
        <v>31</v>
      </c>
      <c r="N661">
        <f t="shared" si="63"/>
        <v>155015</v>
      </c>
      <c r="O661">
        <f>IF(AND(MyRowHidden(ROW())=FALSE,MyRowHidden(ROW()-1)=TRUE),0,IF(M661&lt;totalMonths,(totalMonths-M661)/totalMonths *(I661-I660)+O660,0))</f>
        <v>0</v>
      </c>
      <c r="P661">
        <f>IF(AND(MyRowHidden(ROW())=FALSE,MyRowHidden(ROW()-1)=TRUE),0,IF(M661&lt;totalMonths,(totalMonths-M661)/totalMonths *(J661-J660)+P660,0))</f>
        <v>0</v>
      </c>
      <c r="Q661">
        <f>IF(AND(MyRowHidden(ROW())=FALSE,MyRowHidden(ROW()-1)=TRUE),0,IF(M661&lt;totalMonths,(totalMonths-M661)/totalMonths *(K661-K660)+Q660,0))</f>
        <v>0</v>
      </c>
      <c r="R661">
        <f t="shared" si="64"/>
        <v>155015</v>
      </c>
      <c r="S661">
        <f t="shared" si="65"/>
        <v>0</v>
      </c>
    </row>
    <row r="662" spans="1:19" hidden="1" x14ac:dyDescent="0.25">
      <c r="A662" s="1"/>
      <c r="C662" s="1"/>
      <c r="D662" s="1">
        <v>42220</v>
      </c>
      <c r="E662">
        <v>27239</v>
      </c>
      <c r="F662" s="1">
        <v>42220</v>
      </c>
      <c r="G662">
        <v>-3462.5</v>
      </c>
      <c r="H662" s="1">
        <f t="shared" si="60"/>
        <v>42220</v>
      </c>
      <c r="I662">
        <f>IF(AND(MyRowHidden(ROW())=FALSE,MyRowHidden(ROW()-1)=TRUE),0,(E662-E661)*unitsOfDHp+I661)</f>
        <v>158900</v>
      </c>
      <c r="J662">
        <f>IF(AND(MyRowHidden(ROW())=FALSE,MyRowHidden(ROW()-1)=TRUE),0,(G662-G661)*unitsOfExo+J661)</f>
        <v>-1544400</v>
      </c>
      <c r="K662" s="9">
        <f t="shared" si="61"/>
        <v>1544400</v>
      </c>
      <c r="L662">
        <f t="shared" si="62"/>
        <v>-1385500</v>
      </c>
      <c r="M662">
        <f>IF(AND(MyRowHidden(ROW())=FALSE,MyRowHidden(ROW()-1)=TRUE),0,IF(MONTH(H662)&lt;&gt;MONTH(H661),M661+1,M661))</f>
        <v>31</v>
      </c>
      <c r="N662">
        <f t="shared" si="63"/>
        <v>158900</v>
      </c>
      <c r="O662">
        <f>IF(AND(MyRowHidden(ROW())=FALSE,MyRowHidden(ROW()-1)=TRUE),0,IF(M662&lt;totalMonths,(totalMonths-M662)/totalMonths *(I662-I661)+O661,0))</f>
        <v>0</v>
      </c>
      <c r="P662">
        <f>IF(AND(MyRowHidden(ROW())=FALSE,MyRowHidden(ROW()-1)=TRUE),0,IF(M662&lt;totalMonths,(totalMonths-M662)/totalMonths *(J662-J661)+P661,0))</f>
        <v>0</v>
      </c>
      <c r="Q662">
        <f>IF(AND(MyRowHidden(ROW())=FALSE,MyRowHidden(ROW()-1)=TRUE),0,IF(M662&lt;totalMonths,(totalMonths-M662)/totalMonths *(K662-K661)+Q661,0))</f>
        <v>0</v>
      </c>
      <c r="R662">
        <f t="shared" si="64"/>
        <v>158900</v>
      </c>
      <c r="S662">
        <f t="shared" si="65"/>
        <v>0</v>
      </c>
    </row>
    <row r="663" spans="1:19" hidden="1" x14ac:dyDescent="0.25">
      <c r="A663" s="1"/>
      <c r="C663" s="1"/>
      <c r="D663" s="1">
        <v>42221</v>
      </c>
      <c r="E663">
        <v>26963</v>
      </c>
      <c r="F663" s="1">
        <v>42221</v>
      </c>
      <c r="G663">
        <v>-3212.5</v>
      </c>
      <c r="H663" s="1">
        <f t="shared" si="60"/>
        <v>42221</v>
      </c>
      <c r="I663">
        <f>IF(AND(MyRowHidden(ROW())=FALSE,MyRowHidden(ROW()-1)=TRUE),0,(E663-E662)*unitsOfDHp+I662)</f>
        <v>149240</v>
      </c>
      <c r="J663">
        <f>IF(AND(MyRowHidden(ROW())=FALSE,MyRowHidden(ROW()-1)=TRUE),0,(G663-G662)*unitsOfExo+J662)</f>
        <v>-1472400</v>
      </c>
      <c r="K663" s="9">
        <f t="shared" si="61"/>
        <v>1472400</v>
      </c>
      <c r="L663">
        <f t="shared" si="62"/>
        <v>-1323160</v>
      </c>
      <c r="M663">
        <f>IF(AND(MyRowHidden(ROW())=FALSE,MyRowHidden(ROW()-1)=TRUE),0,IF(MONTH(H663)&lt;&gt;MONTH(H662),M662+1,M662))</f>
        <v>31</v>
      </c>
      <c r="N663">
        <f t="shared" si="63"/>
        <v>149240</v>
      </c>
      <c r="O663">
        <f>IF(AND(MyRowHidden(ROW())=FALSE,MyRowHidden(ROW()-1)=TRUE),0,IF(M663&lt;totalMonths,(totalMonths-M663)/totalMonths *(I663-I662)+O662,0))</f>
        <v>0</v>
      </c>
      <c r="P663">
        <f>IF(AND(MyRowHidden(ROW())=FALSE,MyRowHidden(ROW()-1)=TRUE),0,IF(M663&lt;totalMonths,(totalMonths-M663)/totalMonths *(J663-J662)+P662,0))</f>
        <v>0</v>
      </c>
      <c r="Q663">
        <f>IF(AND(MyRowHidden(ROW())=FALSE,MyRowHidden(ROW()-1)=TRUE),0,IF(M663&lt;totalMonths,(totalMonths-M663)/totalMonths *(K663-K662)+Q662,0))</f>
        <v>0</v>
      </c>
      <c r="R663">
        <f t="shared" si="64"/>
        <v>149240</v>
      </c>
      <c r="S663">
        <f t="shared" si="65"/>
        <v>0</v>
      </c>
    </row>
    <row r="664" spans="1:19" hidden="1" x14ac:dyDescent="0.25">
      <c r="A664" s="1"/>
      <c r="C664" s="1"/>
      <c r="D664" s="1">
        <v>42222</v>
      </c>
      <c r="E664">
        <v>26925</v>
      </c>
      <c r="F664" s="1">
        <v>42222</v>
      </c>
      <c r="G664">
        <v>-3250</v>
      </c>
      <c r="H664" s="1">
        <f t="shared" si="60"/>
        <v>42222</v>
      </c>
      <c r="I664">
        <f>IF(AND(MyRowHidden(ROW())=FALSE,MyRowHidden(ROW()-1)=TRUE),0,(E664-E663)*unitsOfDHp+I663)</f>
        <v>147910</v>
      </c>
      <c r="J664">
        <f>IF(AND(MyRowHidden(ROW())=FALSE,MyRowHidden(ROW()-1)=TRUE),0,(G664-G663)*unitsOfExo+J663)</f>
        <v>-1483200</v>
      </c>
      <c r="K664" s="9">
        <f t="shared" si="61"/>
        <v>1483200</v>
      </c>
      <c r="L664">
        <f t="shared" si="62"/>
        <v>-1335290</v>
      </c>
      <c r="M664">
        <f>IF(AND(MyRowHidden(ROW())=FALSE,MyRowHidden(ROW()-1)=TRUE),0,IF(MONTH(H664)&lt;&gt;MONTH(H663),M663+1,M663))</f>
        <v>31</v>
      </c>
      <c r="N664">
        <f t="shared" si="63"/>
        <v>147910</v>
      </c>
      <c r="O664">
        <f>IF(AND(MyRowHidden(ROW())=FALSE,MyRowHidden(ROW()-1)=TRUE),0,IF(M664&lt;totalMonths,(totalMonths-M664)/totalMonths *(I664-I663)+O663,0))</f>
        <v>0</v>
      </c>
      <c r="P664">
        <f>IF(AND(MyRowHidden(ROW())=FALSE,MyRowHidden(ROW()-1)=TRUE),0,IF(M664&lt;totalMonths,(totalMonths-M664)/totalMonths *(J664-J663)+P663,0))</f>
        <v>0</v>
      </c>
      <c r="Q664">
        <f>IF(AND(MyRowHidden(ROW())=FALSE,MyRowHidden(ROW()-1)=TRUE),0,IF(M664&lt;totalMonths,(totalMonths-M664)/totalMonths *(K664-K663)+Q663,0))</f>
        <v>0</v>
      </c>
      <c r="R664">
        <f t="shared" si="64"/>
        <v>147910</v>
      </c>
      <c r="S664">
        <f t="shared" si="65"/>
        <v>0</v>
      </c>
    </row>
    <row r="665" spans="1:19" hidden="1" x14ac:dyDescent="0.25">
      <c r="A665" s="1"/>
      <c r="C665" s="1"/>
      <c r="D665" s="1">
        <v>42223</v>
      </c>
      <c r="E665">
        <v>26832</v>
      </c>
      <c r="F665" s="1">
        <v>42223</v>
      </c>
      <c r="G665">
        <v>-3175</v>
      </c>
      <c r="H665" s="1">
        <f t="shared" si="60"/>
        <v>42223</v>
      </c>
      <c r="I665">
        <f>IF(AND(MyRowHidden(ROW())=FALSE,MyRowHidden(ROW()-1)=TRUE),0,(E665-E664)*unitsOfDHp+I664)</f>
        <v>144655</v>
      </c>
      <c r="J665">
        <f>IF(AND(MyRowHidden(ROW())=FALSE,MyRowHidden(ROW()-1)=TRUE),0,(G665-G664)*unitsOfExo+J664)</f>
        <v>-1461600</v>
      </c>
      <c r="K665" s="9">
        <f t="shared" si="61"/>
        <v>1461600</v>
      </c>
      <c r="L665">
        <f t="shared" si="62"/>
        <v>-1316945</v>
      </c>
      <c r="M665">
        <f>IF(AND(MyRowHidden(ROW())=FALSE,MyRowHidden(ROW()-1)=TRUE),0,IF(MONTH(H665)&lt;&gt;MONTH(H664),M664+1,M664))</f>
        <v>31</v>
      </c>
      <c r="N665">
        <f t="shared" si="63"/>
        <v>144655</v>
      </c>
      <c r="O665">
        <f>IF(AND(MyRowHidden(ROW())=FALSE,MyRowHidden(ROW()-1)=TRUE),0,IF(M665&lt;totalMonths,(totalMonths-M665)/totalMonths *(I665-I664)+O664,0))</f>
        <v>0</v>
      </c>
      <c r="P665">
        <f>IF(AND(MyRowHidden(ROW())=FALSE,MyRowHidden(ROW()-1)=TRUE),0,IF(M665&lt;totalMonths,(totalMonths-M665)/totalMonths *(J665-J664)+P664,0))</f>
        <v>0</v>
      </c>
      <c r="Q665">
        <f>IF(AND(MyRowHidden(ROW())=FALSE,MyRowHidden(ROW()-1)=TRUE),0,IF(M665&lt;totalMonths,(totalMonths-M665)/totalMonths *(K665-K664)+Q664,0))</f>
        <v>0</v>
      </c>
      <c r="R665">
        <f t="shared" si="64"/>
        <v>144655</v>
      </c>
      <c r="S665">
        <f t="shared" si="65"/>
        <v>0</v>
      </c>
    </row>
    <row r="666" spans="1:19" hidden="1" x14ac:dyDescent="0.25">
      <c r="A666" s="1"/>
      <c r="C666" s="1"/>
      <c r="D666" s="1">
        <v>42226</v>
      </c>
      <c r="E666">
        <v>26796</v>
      </c>
      <c r="F666" s="1">
        <v>42226</v>
      </c>
      <c r="G666">
        <v>-2487.5</v>
      </c>
      <c r="H666" s="1">
        <f t="shared" si="60"/>
        <v>42226</v>
      </c>
      <c r="I666">
        <f>IF(AND(MyRowHidden(ROW())=FALSE,MyRowHidden(ROW()-1)=TRUE),0,(E666-E665)*unitsOfDHp+I665)</f>
        <v>143395</v>
      </c>
      <c r="J666">
        <f>IF(AND(MyRowHidden(ROW())=FALSE,MyRowHidden(ROW()-1)=TRUE),0,(G666-G665)*unitsOfExo+J665)</f>
        <v>-1263600</v>
      </c>
      <c r="K666" s="9">
        <f t="shared" si="61"/>
        <v>1263600</v>
      </c>
      <c r="L666">
        <f t="shared" si="62"/>
        <v>-1120205</v>
      </c>
      <c r="M666">
        <f>IF(AND(MyRowHidden(ROW())=FALSE,MyRowHidden(ROW()-1)=TRUE),0,IF(MONTH(H666)&lt;&gt;MONTH(H665),M665+1,M665))</f>
        <v>31</v>
      </c>
      <c r="N666">
        <f t="shared" si="63"/>
        <v>143395</v>
      </c>
      <c r="O666">
        <f>IF(AND(MyRowHidden(ROW())=FALSE,MyRowHidden(ROW()-1)=TRUE),0,IF(M666&lt;totalMonths,(totalMonths-M666)/totalMonths *(I666-I665)+O665,0))</f>
        <v>0</v>
      </c>
      <c r="P666">
        <f>IF(AND(MyRowHidden(ROW())=FALSE,MyRowHidden(ROW()-1)=TRUE),0,IF(M666&lt;totalMonths,(totalMonths-M666)/totalMonths *(J666-J665)+P665,0))</f>
        <v>0</v>
      </c>
      <c r="Q666">
        <f>IF(AND(MyRowHidden(ROW())=FALSE,MyRowHidden(ROW()-1)=TRUE),0,IF(M666&lt;totalMonths,(totalMonths-M666)/totalMonths *(K666-K665)+Q665,0))</f>
        <v>0</v>
      </c>
      <c r="R666">
        <f t="shared" si="64"/>
        <v>143395</v>
      </c>
      <c r="S666">
        <f t="shared" si="65"/>
        <v>0</v>
      </c>
    </row>
    <row r="667" spans="1:19" hidden="1" x14ac:dyDescent="0.25">
      <c r="A667" s="1"/>
      <c r="C667" s="1"/>
      <c r="D667" s="1">
        <v>42227</v>
      </c>
      <c r="E667">
        <v>27004</v>
      </c>
      <c r="F667" s="1">
        <v>42227</v>
      </c>
      <c r="G667">
        <v>-2800</v>
      </c>
      <c r="H667" s="1">
        <f t="shared" si="60"/>
        <v>42227</v>
      </c>
      <c r="I667">
        <f>IF(AND(MyRowHidden(ROW())=FALSE,MyRowHidden(ROW()-1)=TRUE),0,(E667-E666)*unitsOfDHp+I666)</f>
        <v>150675</v>
      </c>
      <c r="J667">
        <f>IF(AND(MyRowHidden(ROW())=FALSE,MyRowHidden(ROW()-1)=TRUE),0,(G667-G666)*unitsOfExo+J666)</f>
        <v>-1353600</v>
      </c>
      <c r="K667" s="9">
        <f t="shared" si="61"/>
        <v>1353600</v>
      </c>
      <c r="L667">
        <f t="shared" si="62"/>
        <v>-1202925</v>
      </c>
      <c r="M667">
        <f>IF(AND(MyRowHidden(ROW())=FALSE,MyRowHidden(ROW()-1)=TRUE),0,IF(MONTH(H667)&lt;&gt;MONTH(H666),M666+1,M666))</f>
        <v>31</v>
      </c>
      <c r="N667">
        <f t="shared" si="63"/>
        <v>150675</v>
      </c>
      <c r="O667">
        <f>IF(AND(MyRowHidden(ROW())=FALSE,MyRowHidden(ROW()-1)=TRUE),0,IF(M667&lt;totalMonths,(totalMonths-M667)/totalMonths *(I667-I666)+O666,0))</f>
        <v>0</v>
      </c>
      <c r="P667">
        <f>IF(AND(MyRowHidden(ROW())=FALSE,MyRowHidden(ROW()-1)=TRUE),0,IF(M667&lt;totalMonths,(totalMonths-M667)/totalMonths *(J667-J666)+P666,0))</f>
        <v>0</v>
      </c>
      <c r="Q667">
        <f>IF(AND(MyRowHidden(ROW())=FALSE,MyRowHidden(ROW()-1)=TRUE),0,IF(M667&lt;totalMonths,(totalMonths-M667)/totalMonths *(K667-K666)+Q666,0))</f>
        <v>0</v>
      </c>
      <c r="R667">
        <f t="shared" si="64"/>
        <v>150675</v>
      </c>
      <c r="S667">
        <f t="shared" si="65"/>
        <v>0</v>
      </c>
    </row>
    <row r="668" spans="1:19" hidden="1" x14ac:dyDescent="0.25">
      <c r="A668" s="1"/>
      <c r="C668" s="1"/>
      <c r="D668" s="1">
        <v>42228</v>
      </c>
      <c r="E668">
        <v>27994</v>
      </c>
      <c r="F668" s="1">
        <v>42228</v>
      </c>
      <c r="G668">
        <v>-3950</v>
      </c>
      <c r="H668" s="1">
        <f t="shared" si="60"/>
        <v>42228</v>
      </c>
      <c r="I668">
        <f>IF(AND(MyRowHidden(ROW())=FALSE,MyRowHidden(ROW()-1)=TRUE),0,(E668-E667)*unitsOfDHp+I667)</f>
        <v>185325</v>
      </c>
      <c r="J668">
        <f>IF(AND(MyRowHidden(ROW())=FALSE,MyRowHidden(ROW()-1)=TRUE),0,(G668-G667)*unitsOfExo+J667)</f>
        <v>-1684800</v>
      </c>
      <c r="K668" s="9">
        <f t="shared" si="61"/>
        <v>1684800</v>
      </c>
      <c r="L668">
        <f t="shared" si="62"/>
        <v>-1499475</v>
      </c>
      <c r="M668">
        <f>IF(AND(MyRowHidden(ROW())=FALSE,MyRowHidden(ROW()-1)=TRUE),0,IF(MONTH(H668)&lt;&gt;MONTH(H667),M667+1,M667))</f>
        <v>31</v>
      </c>
      <c r="N668">
        <f t="shared" si="63"/>
        <v>185325</v>
      </c>
      <c r="O668">
        <f>IF(AND(MyRowHidden(ROW())=FALSE,MyRowHidden(ROW()-1)=TRUE),0,IF(M668&lt;totalMonths,(totalMonths-M668)/totalMonths *(I668-I667)+O667,0))</f>
        <v>0</v>
      </c>
      <c r="P668">
        <f>IF(AND(MyRowHidden(ROW())=FALSE,MyRowHidden(ROW()-1)=TRUE),0,IF(M668&lt;totalMonths,(totalMonths-M668)/totalMonths *(J668-J667)+P667,0))</f>
        <v>0</v>
      </c>
      <c r="Q668">
        <f>IF(AND(MyRowHidden(ROW())=FALSE,MyRowHidden(ROW()-1)=TRUE),0,IF(M668&lt;totalMonths,(totalMonths-M668)/totalMonths *(K668-K667)+Q667,0))</f>
        <v>0</v>
      </c>
      <c r="R668">
        <f t="shared" si="64"/>
        <v>185325</v>
      </c>
      <c r="S668">
        <f t="shared" si="65"/>
        <v>0</v>
      </c>
    </row>
    <row r="669" spans="1:19" hidden="1" x14ac:dyDescent="0.25">
      <c r="A669" s="1"/>
      <c r="C669" s="1"/>
      <c r="D669" s="1">
        <v>42229</v>
      </c>
      <c r="E669">
        <v>28205</v>
      </c>
      <c r="F669" s="1">
        <v>42229</v>
      </c>
      <c r="G669">
        <v>-3737.5</v>
      </c>
      <c r="H669" s="1">
        <f t="shared" si="60"/>
        <v>42229</v>
      </c>
      <c r="I669">
        <f>IF(AND(MyRowHidden(ROW())=FALSE,MyRowHidden(ROW()-1)=TRUE),0,(E669-E668)*unitsOfDHp+I668)</f>
        <v>192710</v>
      </c>
      <c r="J669">
        <f>IF(AND(MyRowHidden(ROW())=FALSE,MyRowHidden(ROW()-1)=TRUE),0,(G669-G668)*unitsOfExo+J668)</f>
        <v>-1623600</v>
      </c>
      <c r="K669" s="9">
        <f t="shared" si="61"/>
        <v>1623600</v>
      </c>
      <c r="L669">
        <f t="shared" si="62"/>
        <v>-1430890</v>
      </c>
      <c r="M669">
        <f>IF(AND(MyRowHidden(ROW())=FALSE,MyRowHidden(ROW()-1)=TRUE),0,IF(MONTH(H669)&lt;&gt;MONTH(H668),M668+1,M668))</f>
        <v>31</v>
      </c>
      <c r="N669">
        <f t="shared" si="63"/>
        <v>192710</v>
      </c>
      <c r="O669">
        <f>IF(AND(MyRowHidden(ROW())=FALSE,MyRowHidden(ROW()-1)=TRUE),0,IF(M669&lt;totalMonths,(totalMonths-M669)/totalMonths *(I669-I668)+O668,0))</f>
        <v>0</v>
      </c>
      <c r="P669">
        <f>IF(AND(MyRowHidden(ROW())=FALSE,MyRowHidden(ROW()-1)=TRUE),0,IF(M669&lt;totalMonths,(totalMonths-M669)/totalMonths *(J669-J668)+P668,0))</f>
        <v>0</v>
      </c>
      <c r="Q669">
        <f>IF(AND(MyRowHidden(ROW())=FALSE,MyRowHidden(ROW()-1)=TRUE),0,IF(M669&lt;totalMonths,(totalMonths-M669)/totalMonths *(K669-K668)+Q668,0))</f>
        <v>0</v>
      </c>
      <c r="R669">
        <f t="shared" si="64"/>
        <v>192710</v>
      </c>
      <c r="S669">
        <f t="shared" si="65"/>
        <v>0</v>
      </c>
    </row>
    <row r="670" spans="1:19" hidden="1" x14ac:dyDescent="0.25">
      <c r="A670" s="1"/>
      <c r="C670" s="1"/>
      <c r="D670" s="1">
        <v>42230</v>
      </c>
      <c r="E670">
        <v>28301</v>
      </c>
      <c r="F670" s="1">
        <v>42230</v>
      </c>
      <c r="G670">
        <v>-3675</v>
      </c>
      <c r="H670" s="1">
        <f t="shared" si="60"/>
        <v>42230</v>
      </c>
      <c r="I670">
        <f>IF(AND(MyRowHidden(ROW())=FALSE,MyRowHidden(ROW()-1)=TRUE),0,(E670-E669)*unitsOfDHp+I669)</f>
        <v>196070</v>
      </c>
      <c r="J670">
        <f>IF(AND(MyRowHidden(ROW())=FALSE,MyRowHidden(ROW()-1)=TRUE),0,(G670-G669)*unitsOfExo+J669)</f>
        <v>-1605600</v>
      </c>
      <c r="K670" s="9">
        <f t="shared" si="61"/>
        <v>1605600</v>
      </c>
      <c r="L670">
        <f t="shared" si="62"/>
        <v>-1409530</v>
      </c>
      <c r="M670">
        <f>IF(AND(MyRowHidden(ROW())=FALSE,MyRowHidden(ROW()-1)=TRUE),0,IF(MONTH(H670)&lt;&gt;MONTH(H669),M669+1,M669))</f>
        <v>31</v>
      </c>
      <c r="N670">
        <f t="shared" si="63"/>
        <v>196070</v>
      </c>
      <c r="O670">
        <f>IF(AND(MyRowHidden(ROW())=FALSE,MyRowHidden(ROW()-1)=TRUE),0,IF(M670&lt;totalMonths,(totalMonths-M670)/totalMonths *(I670-I669)+O669,0))</f>
        <v>0</v>
      </c>
      <c r="P670">
        <f>IF(AND(MyRowHidden(ROW())=FALSE,MyRowHidden(ROW()-1)=TRUE),0,IF(M670&lt;totalMonths,(totalMonths-M670)/totalMonths *(J670-J669)+P669,0))</f>
        <v>0</v>
      </c>
      <c r="Q670">
        <f>IF(AND(MyRowHidden(ROW())=FALSE,MyRowHidden(ROW()-1)=TRUE),0,IF(M670&lt;totalMonths,(totalMonths-M670)/totalMonths *(K670-K669)+Q669,0))</f>
        <v>0</v>
      </c>
      <c r="R670">
        <f t="shared" si="64"/>
        <v>196070</v>
      </c>
      <c r="S670">
        <f t="shared" si="65"/>
        <v>0</v>
      </c>
    </row>
    <row r="671" spans="1:19" hidden="1" x14ac:dyDescent="0.25">
      <c r="A671" s="1"/>
      <c r="C671" s="1"/>
      <c r="D671" s="1">
        <v>42233</v>
      </c>
      <c r="E671">
        <v>28376</v>
      </c>
      <c r="F671" s="1">
        <v>42233</v>
      </c>
      <c r="G671">
        <v>-3625</v>
      </c>
      <c r="H671" s="1">
        <f t="shared" si="60"/>
        <v>42233</v>
      </c>
      <c r="I671">
        <f>IF(AND(MyRowHidden(ROW())=FALSE,MyRowHidden(ROW()-1)=TRUE),0,(E671-E670)*unitsOfDHp+I670)</f>
        <v>198695</v>
      </c>
      <c r="J671">
        <f>IF(AND(MyRowHidden(ROW())=FALSE,MyRowHidden(ROW()-1)=TRUE),0,(G671-G670)*unitsOfExo+J670)</f>
        <v>-1591200</v>
      </c>
      <c r="K671" s="9">
        <f t="shared" si="61"/>
        <v>1591200</v>
      </c>
      <c r="L671">
        <f t="shared" si="62"/>
        <v>-1392505</v>
      </c>
      <c r="M671">
        <f>IF(AND(MyRowHidden(ROW())=FALSE,MyRowHidden(ROW()-1)=TRUE),0,IF(MONTH(H671)&lt;&gt;MONTH(H670),M670+1,M670))</f>
        <v>31</v>
      </c>
      <c r="N671">
        <f t="shared" si="63"/>
        <v>198695</v>
      </c>
      <c r="O671">
        <f>IF(AND(MyRowHidden(ROW())=FALSE,MyRowHidden(ROW()-1)=TRUE),0,IF(M671&lt;totalMonths,(totalMonths-M671)/totalMonths *(I671-I670)+O670,0))</f>
        <v>0</v>
      </c>
      <c r="P671">
        <f>IF(AND(MyRowHidden(ROW())=FALSE,MyRowHidden(ROW()-1)=TRUE),0,IF(M671&lt;totalMonths,(totalMonths-M671)/totalMonths *(J671-J670)+P670,0))</f>
        <v>0</v>
      </c>
      <c r="Q671">
        <f>IF(AND(MyRowHidden(ROW())=FALSE,MyRowHidden(ROW()-1)=TRUE),0,IF(M671&lt;totalMonths,(totalMonths-M671)/totalMonths *(K671-K670)+Q670,0))</f>
        <v>0</v>
      </c>
      <c r="R671">
        <f t="shared" si="64"/>
        <v>198695</v>
      </c>
      <c r="S671">
        <f t="shared" si="65"/>
        <v>0</v>
      </c>
    </row>
    <row r="672" spans="1:19" hidden="1" x14ac:dyDescent="0.25">
      <c r="A672" s="1"/>
      <c r="C672" s="1"/>
      <c r="D672" s="1">
        <v>42234</v>
      </c>
      <c r="E672">
        <v>28618</v>
      </c>
      <c r="F672" s="1">
        <v>42234</v>
      </c>
      <c r="G672">
        <v>-3512.5</v>
      </c>
      <c r="H672" s="1">
        <f t="shared" si="60"/>
        <v>42234</v>
      </c>
      <c r="I672">
        <f>IF(AND(MyRowHidden(ROW())=FALSE,MyRowHidden(ROW()-1)=TRUE),0,(E672-E671)*unitsOfDHp+I671)</f>
        <v>207165</v>
      </c>
      <c r="J672">
        <f>IF(AND(MyRowHidden(ROW())=FALSE,MyRowHidden(ROW()-1)=TRUE),0,(G672-G671)*unitsOfExo+J671)</f>
        <v>-1558800</v>
      </c>
      <c r="K672" s="9">
        <f t="shared" si="61"/>
        <v>1558800</v>
      </c>
      <c r="L672">
        <f t="shared" si="62"/>
        <v>-1351635</v>
      </c>
      <c r="M672">
        <f>IF(AND(MyRowHidden(ROW())=FALSE,MyRowHidden(ROW()-1)=TRUE),0,IF(MONTH(H672)&lt;&gt;MONTH(H671),M671+1,M671))</f>
        <v>31</v>
      </c>
      <c r="N672">
        <f t="shared" si="63"/>
        <v>207165</v>
      </c>
      <c r="O672">
        <f>IF(AND(MyRowHidden(ROW())=FALSE,MyRowHidden(ROW()-1)=TRUE),0,IF(M672&lt;totalMonths,(totalMonths-M672)/totalMonths *(I672-I671)+O671,0))</f>
        <v>0</v>
      </c>
      <c r="P672">
        <f>IF(AND(MyRowHidden(ROW())=FALSE,MyRowHidden(ROW()-1)=TRUE),0,IF(M672&lt;totalMonths,(totalMonths-M672)/totalMonths *(J672-J671)+P671,0))</f>
        <v>0</v>
      </c>
      <c r="Q672">
        <f>IF(AND(MyRowHidden(ROW())=FALSE,MyRowHidden(ROW()-1)=TRUE),0,IF(M672&lt;totalMonths,(totalMonths-M672)/totalMonths *(K672-K671)+Q671,0))</f>
        <v>0</v>
      </c>
      <c r="R672">
        <f t="shared" si="64"/>
        <v>207165</v>
      </c>
      <c r="S672">
        <f t="shared" si="65"/>
        <v>0</v>
      </c>
    </row>
    <row r="673" spans="1:19" hidden="1" x14ac:dyDescent="0.25">
      <c r="A673" s="1"/>
      <c r="C673" s="1"/>
      <c r="D673" s="1">
        <v>42235</v>
      </c>
      <c r="E673">
        <v>28664</v>
      </c>
      <c r="F673" s="1">
        <v>42235</v>
      </c>
      <c r="G673">
        <v>-3450</v>
      </c>
      <c r="H673" s="1">
        <f t="shared" si="60"/>
        <v>42235</v>
      </c>
      <c r="I673">
        <f>IF(AND(MyRowHidden(ROW())=FALSE,MyRowHidden(ROW()-1)=TRUE),0,(E673-E672)*unitsOfDHp+I672)</f>
        <v>208775</v>
      </c>
      <c r="J673">
        <f>IF(AND(MyRowHidden(ROW())=FALSE,MyRowHidden(ROW()-1)=TRUE),0,(G673-G672)*unitsOfExo+J672)</f>
        <v>-1540800</v>
      </c>
      <c r="K673" s="9">
        <f t="shared" si="61"/>
        <v>1540800</v>
      </c>
      <c r="L673">
        <f t="shared" si="62"/>
        <v>-1332025</v>
      </c>
      <c r="M673">
        <f>IF(AND(MyRowHidden(ROW())=FALSE,MyRowHidden(ROW()-1)=TRUE),0,IF(MONTH(H673)&lt;&gt;MONTH(H672),M672+1,M672))</f>
        <v>31</v>
      </c>
      <c r="N673">
        <f t="shared" si="63"/>
        <v>208775</v>
      </c>
      <c r="O673">
        <f>IF(AND(MyRowHidden(ROW())=FALSE,MyRowHidden(ROW()-1)=TRUE),0,IF(M673&lt;totalMonths,(totalMonths-M673)/totalMonths *(I673-I672)+O672,0))</f>
        <v>0</v>
      </c>
      <c r="P673">
        <f>IF(AND(MyRowHidden(ROW())=FALSE,MyRowHidden(ROW()-1)=TRUE),0,IF(M673&lt;totalMonths,(totalMonths-M673)/totalMonths *(J673-J672)+P672,0))</f>
        <v>0</v>
      </c>
      <c r="Q673">
        <f>IF(AND(MyRowHidden(ROW())=FALSE,MyRowHidden(ROW()-1)=TRUE),0,IF(M673&lt;totalMonths,(totalMonths-M673)/totalMonths *(K673-K672)+Q672,0))</f>
        <v>0</v>
      </c>
      <c r="R673">
        <f t="shared" si="64"/>
        <v>208775</v>
      </c>
      <c r="S673">
        <f t="shared" si="65"/>
        <v>0</v>
      </c>
    </row>
    <row r="674" spans="1:19" hidden="1" x14ac:dyDescent="0.25">
      <c r="A674" s="1"/>
      <c r="C674" s="1"/>
      <c r="D674" s="1">
        <v>42236</v>
      </c>
      <c r="E674">
        <v>28556</v>
      </c>
      <c r="F674" s="1">
        <v>42236</v>
      </c>
      <c r="G674">
        <v>-3287.5</v>
      </c>
      <c r="H674" s="1">
        <f t="shared" si="60"/>
        <v>42236</v>
      </c>
      <c r="I674">
        <f>IF(AND(MyRowHidden(ROW())=FALSE,MyRowHidden(ROW()-1)=TRUE),0,(E674-E673)*unitsOfDHp+I673)</f>
        <v>204995</v>
      </c>
      <c r="J674">
        <f>IF(AND(MyRowHidden(ROW())=FALSE,MyRowHidden(ROW()-1)=TRUE),0,(G674-G673)*unitsOfExo+J673)</f>
        <v>-1494000</v>
      </c>
      <c r="K674" s="9">
        <f t="shared" si="61"/>
        <v>1494000</v>
      </c>
      <c r="L674">
        <f t="shared" si="62"/>
        <v>-1289005</v>
      </c>
      <c r="M674">
        <f>IF(AND(MyRowHidden(ROW())=FALSE,MyRowHidden(ROW()-1)=TRUE),0,IF(MONTH(H674)&lt;&gt;MONTH(H673),M673+1,M673))</f>
        <v>31</v>
      </c>
      <c r="N674">
        <f t="shared" si="63"/>
        <v>204995</v>
      </c>
      <c r="O674">
        <f>IF(AND(MyRowHidden(ROW())=FALSE,MyRowHidden(ROW()-1)=TRUE),0,IF(M674&lt;totalMonths,(totalMonths-M674)/totalMonths *(I674-I673)+O673,0))</f>
        <v>0</v>
      </c>
      <c r="P674">
        <f>IF(AND(MyRowHidden(ROW())=FALSE,MyRowHidden(ROW()-1)=TRUE),0,IF(M674&lt;totalMonths,(totalMonths-M674)/totalMonths *(J674-J673)+P673,0))</f>
        <v>0</v>
      </c>
      <c r="Q674">
        <f>IF(AND(MyRowHidden(ROW())=FALSE,MyRowHidden(ROW()-1)=TRUE),0,IF(M674&lt;totalMonths,(totalMonths-M674)/totalMonths *(K674-K673)+Q673,0))</f>
        <v>0</v>
      </c>
      <c r="R674">
        <f t="shared" si="64"/>
        <v>204995</v>
      </c>
      <c r="S674">
        <f t="shared" si="65"/>
        <v>0</v>
      </c>
    </row>
    <row r="675" spans="1:19" hidden="1" x14ac:dyDescent="0.25">
      <c r="A675" s="1"/>
      <c r="C675" s="1"/>
      <c r="D675" s="1">
        <v>42237</v>
      </c>
      <c r="E675">
        <v>28523</v>
      </c>
      <c r="F675" s="1">
        <v>42237</v>
      </c>
      <c r="G675">
        <v>-3575</v>
      </c>
      <c r="H675" s="1">
        <f t="shared" si="60"/>
        <v>42237</v>
      </c>
      <c r="I675">
        <f>IF(AND(MyRowHidden(ROW())=FALSE,MyRowHidden(ROW()-1)=TRUE),0,(E675-E674)*unitsOfDHp+I674)</f>
        <v>203840</v>
      </c>
      <c r="J675">
        <f>IF(AND(MyRowHidden(ROW())=FALSE,MyRowHidden(ROW()-1)=TRUE),0,(G675-G674)*unitsOfExo+J674)</f>
        <v>-1576800</v>
      </c>
      <c r="K675" s="9">
        <f t="shared" si="61"/>
        <v>1576800</v>
      </c>
      <c r="L675">
        <f t="shared" si="62"/>
        <v>-1372960</v>
      </c>
      <c r="M675">
        <f>IF(AND(MyRowHidden(ROW())=FALSE,MyRowHidden(ROW()-1)=TRUE),0,IF(MONTH(H675)&lt;&gt;MONTH(H674),M674+1,M674))</f>
        <v>31</v>
      </c>
      <c r="N675">
        <f t="shared" si="63"/>
        <v>203840</v>
      </c>
      <c r="O675">
        <f>IF(AND(MyRowHidden(ROW())=FALSE,MyRowHidden(ROW()-1)=TRUE),0,IF(M675&lt;totalMonths,(totalMonths-M675)/totalMonths *(I675-I674)+O674,0))</f>
        <v>0</v>
      </c>
      <c r="P675">
        <f>IF(AND(MyRowHidden(ROW())=FALSE,MyRowHidden(ROW()-1)=TRUE),0,IF(M675&lt;totalMonths,(totalMonths-M675)/totalMonths *(J675-J674)+P674,0))</f>
        <v>0</v>
      </c>
      <c r="Q675">
        <f>IF(AND(MyRowHidden(ROW())=FALSE,MyRowHidden(ROW()-1)=TRUE),0,IF(M675&lt;totalMonths,(totalMonths-M675)/totalMonths *(K675-K674)+Q674,0))</f>
        <v>0</v>
      </c>
      <c r="R675">
        <f t="shared" si="64"/>
        <v>203840</v>
      </c>
      <c r="S675">
        <f t="shared" si="65"/>
        <v>0</v>
      </c>
    </row>
    <row r="676" spans="1:19" hidden="1" x14ac:dyDescent="0.25">
      <c r="A676" s="1"/>
      <c r="C676" s="1"/>
      <c r="D676" s="1">
        <v>42240</v>
      </c>
      <c r="E676">
        <v>28539</v>
      </c>
      <c r="F676" s="1">
        <v>42240</v>
      </c>
      <c r="G676">
        <v>-3425</v>
      </c>
      <c r="H676" s="1">
        <f t="shared" si="60"/>
        <v>42240</v>
      </c>
      <c r="I676">
        <f>IF(AND(MyRowHidden(ROW())=FALSE,MyRowHidden(ROW()-1)=TRUE),0,(E676-E675)*unitsOfDHp+I675)</f>
        <v>204400</v>
      </c>
      <c r="J676">
        <f>IF(AND(MyRowHidden(ROW())=FALSE,MyRowHidden(ROW()-1)=TRUE),0,(G676-G675)*unitsOfExo+J675)</f>
        <v>-1533600</v>
      </c>
      <c r="K676" s="9">
        <f t="shared" si="61"/>
        <v>1533600</v>
      </c>
      <c r="L676">
        <f t="shared" si="62"/>
        <v>-1329200</v>
      </c>
      <c r="M676">
        <f>IF(AND(MyRowHidden(ROW())=FALSE,MyRowHidden(ROW()-1)=TRUE),0,IF(MONTH(H676)&lt;&gt;MONTH(H675),M675+1,M675))</f>
        <v>31</v>
      </c>
      <c r="N676">
        <f t="shared" si="63"/>
        <v>204400</v>
      </c>
      <c r="O676">
        <f>IF(AND(MyRowHidden(ROW())=FALSE,MyRowHidden(ROW()-1)=TRUE),0,IF(M676&lt;totalMonths,(totalMonths-M676)/totalMonths *(I676-I675)+O675,0))</f>
        <v>0</v>
      </c>
      <c r="P676">
        <f>IF(AND(MyRowHidden(ROW())=FALSE,MyRowHidden(ROW()-1)=TRUE),0,IF(M676&lt;totalMonths,(totalMonths-M676)/totalMonths *(J676-J675)+P675,0))</f>
        <v>0</v>
      </c>
      <c r="Q676">
        <f>IF(AND(MyRowHidden(ROW())=FALSE,MyRowHidden(ROW()-1)=TRUE),0,IF(M676&lt;totalMonths,(totalMonths-M676)/totalMonths *(K676-K675)+Q675,0))</f>
        <v>0</v>
      </c>
      <c r="R676">
        <f t="shared" si="64"/>
        <v>204400</v>
      </c>
      <c r="S676">
        <f t="shared" si="65"/>
        <v>0</v>
      </c>
    </row>
    <row r="677" spans="1:19" hidden="1" x14ac:dyDescent="0.25">
      <c r="A677" s="1"/>
      <c r="C677" s="1"/>
      <c r="D677" s="1">
        <v>42241</v>
      </c>
      <c r="E677">
        <v>28466</v>
      </c>
      <c r="F677" s="1">
        <v>42241</v>
      </c>
      <c r="G677">
        <v>-3587.5</v>
      </c>
      <c r="H677" s="1">
        <f t="shared" si="60"/>
        <v>42241</v>
      </c>
      <c r="I677">
        <f>IF(AND(MyRowHidden(ROW())=FALSE,MyRowHidden(ROW()-1)=TRUE),0,(E677-E676)*unitsOfDHp+I676)</f>
        <v>201845</v>
      </c>
      <c r="J677">
        <f>IF(AND(MyRowHidden(ROW())=FALSE,MyRowHidden(ROW()-1)=TRUE),0,(G677-G676)*unitsOfExo+J676)</f>
        <v>-1580400</v>
      </c>
      <c r="K677" s="9">
        <f t="shared" si="61"/>
        <v>1580400</v>
      </c>
      <c r="L677">
        <f t="shared" si="62"/>
        <v>-1378555</v>
      </c>
      <c r="M677">
        <f>IF(AND(MyRowHidden(ROW())=FALSE,MyRowHidden(ROW()-1)=TRUE),0,IF(MONTH(H677)&lt;&gt;MONTH(H676),M676+1,M676))</f>
        <v>31</v>
      </c>
      <c r="N677">
        <f t="shared" si="63"/>
        <v>201845</v>
      </c>
      <c r="O677">
        <f>IF(AND(MyRowHidden(ROW())=FALSE,MyRowHidden(ROW()-1)=TRUE),0,IF(M677&lt;totalMonths,(totalMonths-M677)/totalMonths *(I677-I676)+O676,0))</f>
        <v>0</v>
      </c>
      <c r="P677">
        <f>IF(AND(MyRowHidden(ROW())=FALSE,MyRowHidden(ROW()-1)=TRUE),0,IF(M677&lt;totalMonths,(totalMonths-M677)/totalMonths *(J677-J676)+P676,0))</f>
        <v>0</v>
      </c>
      <c r="Q677">
        <f>IF(AND(MyRowHidden(ROW())=FALSE,MyRowHidden(ROW()-1)=TRUE),0,IF(M677&lt;totalMonths,(totalMonths-M677)/totalMonths *(K677-K676)+Q676,0))</f>
        <v>0</v>
      </c>
      <c r="R677">
        <f t="shared" si="64"/>
        <v>201845</v>
      </c>
      <c r="S677">
        <f t="shared" si="65"/>
        <v>0</v>
      </c>
    </row>
    <row r="678" spans="1:19" hidden="1" x14ac:dyDescent="0.25">
      <c r="A678" s="1"/>
      <c r="C678" s="1"/>
      <c r="D678" s="1">
        <v>42242</v>
      </c>
      <c r="E678">
        <v>28506</v>
      </c>
      <c r="F678" s="1">
        <v>42242</v>
      </c>
      <c r="G678">
        <v>-3712.5</v>
      </c>
      <c r="H678" s="1">
        <f t="shared" si="60"/>
        <v>42242</v>
      </c>
      <c r="I678">
        <f>IF(AND(MyRowHidden(ROW())=FALSE,MyRowHidden(ROW()-1)=TRUE),0,(E678-E677)*unitsOfDHp+I677)</f>
        <v>203245</v>
      </c>
      <c r="J678">
        <f>IF(AND(MyRowHidden(ROW())=FALSE,MyRowHidden(ROW()-1)=TRUE),0,(G678-G677)*unitsOfExo+J677)</f>
        <v>-1616400</v>
      </c>
      <c r="K678" s="9">
        <f t="shared" si="61"/>
        <v>1616400</v>
      </c>
      <c r="L678">
        <f t="shared" si="62"/>
        <v>-1413155</v>
      </c>
      <c r="M678">
        <f>IF(AND(MyRowHidden(ROW())=FALSE,MyRowHidden(ROW()-1)=TRUE),0,IF(MONTH(H678)&lt;&gt;MONTH(H677),M677+1,M677))</f>
        <v>31</v>
      </c>
      <c r="N678">
        <f t="shared" si="63"/>
        <v>203245</v>
      </c>
      <c r="O678">
        <f>IF(AND(MyRowHidden(ROW())=FALSE,MyRowHidden(ROW()-1)=TRUE),0,IF(M678&lt;totalMonths,(totalMonths-M678)/totalMonths *(I678-I677)+O677,0))</f>
        <v>0</v>
      </c>
      <c r="P678">
        <f>IF(AND(MyRowHidden(ROW())=FALSE,MyRowHidden(ROW()-1)=TRUE),0,IF(M678&lt;totalMonths,(totalMonths-M678)/totalMonths *(J678-J677)+P677,0))</f>
        <v>0</v>
      </c>
      <c r="Q678">
        <f>IF(AND(MyRowHidden(ROW())=FALSE,MyRowHidden(ROW()-1)=TRUE),0,IF(M678&lt;totalMonths,(totalMonths-M678)/totalMonths *(K678-K677)+Q677,0))</f>
        <v>0</v>
      </c>
      <c r="R678">
        <f t="shared" si="64"/>
        <v>203245</v>
      </c>
      <c r="S678">
        <f t="shared" si="65"/>
        <v>0</v>
      </c>
    </row>
    <row r="679" spans="1:19" hidden="1" x14ac:dyDescent="0.25">
      <c r="A679" s="1"/>
      <c r="C679" s="1"/>
      <c r="D679" s="1">
        <v>42243</v>
      </c>
      <c r="E679">
        <v>28500</v>
      </c>
      <c r="F679" s="1">
        <v>42243</v>
      </c>
      <c r="G679">
        <v>-3700</v>
      </c>
      <c r="H679" s="1">
        <f t="shared" si="60"/>
        <v>42243</v>
      </c>
      <c r="I679">
        <f>IF(AND(MyRowHidden(ROW())=FALSE,MyRowHidden(ROW()-1)=TRUE),0,(E679-E678)*unitsOfDHp+I678)</f>
        <v>203035</v>
      </c>
      <c r="J679">
        <f>IF(AND(MyRowHidden(ROW())=FALSE,MyRowHidden(ROW()-1)=TRUE),0,(G679-G678)*unitsOfExo+J678)</f>
        <v>-1612800</v>
      </c>
      <c r="K679" s="9">
        <f t="shared" si="61"/>
        <v>1612800</v>
      </c>
      <c r="L679">
        <f t="shared" si="62"/>
        <v>-1409765</v>
      </c>
      <c r="M679">
        <f>IF(AND(MyRowHidden(ROW())=FALSE,MyRowHidden(ROW()-1)=TRUE),0,IF(MONTH(H679)&lt;&gt;MONTH(H678),M678+1,M678))</f>
        <v>31</v>
      </c>
      <c r="N679">
        <f t="shared" si="63"/>
        <v>203035</v>
      </c>
      <c r="O679">
        <f>IF(AND(MyRowHidden(ROW())=FALSE,MyRowHidden(ROW()-1)=TRUE),0,IF(M679&lt;totalMonths,(totalMonths-M679)/totalMonths *(I679-I678)+O678,0))</f>
        <v>0</v>
      </c>
      <c r="P679">
        <f>IF(AND(MyRowHidden(ROW())=FALSE,MyRowHidden(ROW()-1)=TRUE),0,IF(M679&lt;totalMonths,(totalMonths-M679)/totalMonths *(J679-J678)+P678,0))</f>
        <v>0</v>
      </c>
      <c r="Q679">
        <f>IF(AND(MyRowHidden(ROW())=FALSE,MyRowHidden(ROW()-1)=TRUE),0,IF(M679&lt;totalMonths,(totalMonths-M679)/totalMonths *(K679-K678)+Q678,0))</f>
        <v>0</v>
      </c>
      <c r="R679">
        <f t="shared" si="64"/>
        <v>203035</v>
      </c>
      <c r="S679">
        <f t="shared" si="65"/>
        <v>0</v>
      </c>
    </row>
    <row r="680" spans="1:19" hidden="1" x14ac:dyDescent="0.25">
      <c r="A680" s="1"/>
      <c r="C680" s="1"/>
      <c r="D680" s="1">
        <v>42244</v>
      </c>
      <c r="E680">
        <v>28594</v>
      </c>
      <c r="F680" s="1">
        <v>42244</v>
      </c>
      <c r="G680">
        <v>-3650</v>
      </c>
      <c r="H680" s="1">
        <f t="shared" si="60"/>
        <v>42244</v>
      </c>
      <c r="I680">
        <f>IF(AND(MyRowHidden(ROW())=FALSE,MyRowHidden(ROW()-1)=TRUE),0,(E680-E679)*unitsOfDHp+I679)</f>
        <v>206325</v>
      </c>
      <c r="J680">
        <f>IF(AND(MyRowHidden(ROW())=FALSE,MyRowHidden(ROW()-1)=TRUE),0,(G680-G679)*unitsOfExo+J679)</f>
        <v>-1598400</v>
      </c>
      <c r="K680" s="9">
        <f t="shared" si="61"/>
        <v>1598400</v>
      </c>
      <c r="L680">
        <f t="shared" si="62"/>
        <v>-1392075</v>
      </c>
      <c r="M680">
        <f>IF(AND(MyRowHidden(ROW())=FALSE,MyRowHidden(ROW()-1)=TRUE),0,IF(MONTH(H680)&lt;&gt;MONTH(H679),M679+1,M679))</f>
        <v>31</v>
      </c>
      <c r="N680">
        <f t="shared" si="63"/>
        <v>206325</v>
      </c>
      <c r="O680">
        <f>IF(AND(MyRowHidden(ROW())=FALSE,MyRowHidden(ROW()-1)=TRUE),0,IF(M680&lt;totalMonths,(totalMonths-M680)/totalMonths *(I680-I679)+O679,0))</f>
        <v>0</v>
      </c>
      <c r="P680">
        <f>IF(AND(MyRowHidden(ROW())=FALSE,MyRowHidden(ROW()-1)=TRUE),0,IF(M680&lt;totalMonths,(totalMonths-M680)/totalMonths *(J680-J679)+P679,0))</f>
        <v>0</v>
      </c>
      <c r="Q680">
        <f>IF(AND(MyRowHidden(ROW())=FALSE,MyRowHidden(ROW()-1)=TRUE),0,IF(M680&lt;totalMonths,(totalMonths-M680)/totalMonths *(K680-K679)+Q679,0))</f>
        <v>0</v>
      </c>
      <c r="R680">
        <f t="shared" si="64"/>
        <v>206325</v>
      </c>
      <c r="S680">
        <f t="shared" si="65"/>
        <v>0</v>
      </c>
    </row>
    <row r="681" spans="1:19" hidden="1" x14ac:dyDescent="0.25">
      <c r="A681" s="1"/>
      <c r="C681" s="1"/>
      <c r="D681" s="1">
        <v>42247</v>
      </c>
      <c r="E681">
        <v>28488</v>
      </c>
      <c r="F681" s="1">
        <v>42247</v>
      </c>
      <c r="G681">
        <v>-3712.5</v>
      </c>
      <c r="H681" s="1">
        <f t="shared" si="60"/>
        <v>42247</v>
      </c>
      <c r="I681">
        <f>IF(AND(MyRowHidden(ROW())=FALSE,MyRowHidden(ROW()-1)=TRUE),0,(E681-E680)*unitsOfDHp+I680)</f>
        <v>202615</v>
      </c>
      <c r="J681">
        <f>IF(AND(MyRowHidden(ROW())=FALSE,MyRowHidden(ROW()-1)=TRUE),0,(G681-G680)*unitsOfExo+J680)</f>
        <v>-1616400</v>
      </c>
      <c r="K681" s="9">
        <f t="shared" si="61"/>
        <v>1616400</v>
      </c>
      <c r="L681">
        <f t="shared" si="62"/>
        <v>-1413785</v>
      </c>
      <c r="M681">
        <f>IF(AND(MyRowHidden(ROW())=FALSE,MyRowHidden(ROW()-1)=TRUE),0,IF(MONTH(H681)&lt;&gt;MONTH(H680),M680+1,M680))</f>
        <v>31</v>
      </c>
      <c r="N681">
        <f t="shared" si="63"/>
        <v>202615</v>
      </c>
      <c r="O681">
        <f>IF(AND(MyRowHidden(ROW())=FALSE,MyRowHidden(ROW()-1)=TRUE),0,IF(M681&lt;totalMonths,(totalMonths-M681)/totalMonths *(I681-I680)+O680,0))</f>
        <v>0</v>
      </c>
      <c r="P681">
        <f>IF(AND(MyRowHidden(ROW())=FALSE,MyRowHidden(ROW()-1)=TRUE),0,IF(M681&lt;totalMonths,(totalMonths-M681)/totalMonths *(J681-J680)+P680,0))</f>
        <v>0</v>
      </c>
      <c r="Q681">
        <f>IF(AND(MyRowHidden(ROW())=FALSE,MyRowHidden(ROW()-1)=TRUE),0,IF(M681&lt;totalMonths,(totalMonths-M681)/totalMonths *(K681-K680)+Q680,0))</f>
        <v>0</v>
      </c>
      <c r="R681">
        <f t="shared" si="64"/>
        <v>202615</v>
      </c>
      <c r="S681">
        <f t="shared" si="65"/>
        <v>0</v>
      </c>
    </row>
    <row r="682" spans="1:19" hidden="1" x14ac:dyDescent="0.25">
      <c r="A682" s="1"/>
      <c r="C682" s="1"/>
      <c r="D682" s="1">
        <v>42248</v>
      </c>
      <c r="E682">
        <v>28279</v>
      </c>
      <c r="F682" s="1">
        <v>42248</v>
      </c>
      <c r="G682">
        <v>-4000</v>
      </c>
      <c r="H682" s="1">
        <f t="shared" si="60"/>
        <v>42248</v>
      </c>
      <c r="I682">
        <f>IF(AND(MyRowHidden(ROW())=FALSE,MyRowHidden(ROW()-1)=TRUE),0,(E682-E681)*unitsOfDHp+I681)</f>
        <v>195300</v>
      </c>
      <c r="J682">
        <f>IF(AND(MyRowHidden(ROW())=FALSE,MyRowHidden(ROW()-1)=TRUE),0,(G682-G681)*unitsOfExo+J681)</f>
        <v>-1699200</v>
      </c>
      <c r="K682" s="9">
        <f t="shared" si="61"/>
        <v>1699200</v>
      </c>
      <c r="L682">
        <f t="shared" si="62"/>
        <v>-1503900</v>
      </c>
      <c r="M682">
        <f>IF(AND(MyRowHidden(ROW())=FALSE,MyRowHidden(ROW()-1)=TRUE),0,IF(MONTH(H682)&lt;&gt;MONTH(H681),M681+1,M681))</f>
        <v>32</v>
      </c>
      <c r="N682">
        <f t="shared" si="63"/>
        <v>195300</v>
      </c>
      <c r="O682">
        <f>IF(AND(MyRowHidden(ROW())=FALSE,MyRowHidden(ROW()-1)=TRUE),0,IF(M682&lt;totalMonths,(totalMonths-M682)/totalMonths *(I682-I681)+O681,0))</f>
        <v>0</v>
      </c>
      <c r="P682">
        <f>IF(AND(MyRowHidden(ROW())=FALSE,MyRowHidden(ROW()-1)=TRUE),0,IF(M682&lt;totalMonths,(totalMonths-M682)/totalMonths *(J682-J681)+P681,0))</f>
        <v>0</v>
      </c>
      <c r="Q682">
        <f>IF(AND(MyRowHidden(ROW())=FALSE,MyRowHidden(ROW()-1)=TRUE),0,IF(M682&lt;totalMonths,(totalMonths-M682)/totalMonths *(K682-K681)+Q681,0))</f>
        <v>0</v>
      </c>
      <c r="R682">
        <f t="shared" si="64"/>
        <v>195300</v>
      </c>
      <c r="S682">
        <f t="shared" si="65"/>
        <v>0</v>
      </c>
    </row>
    <row r="683" spans="1:19" hidden="1" x14ac:dyDescent="0.25">
      <c r="A683" s="1"/>
      <c r="C683" s="1"/>
      <c r="D683" s="1">
        <v>42249</v>
      </c>
      <c r="E683">
        <v>28233</v>
      </c>
      <c r="F683" s="1">
        <v>42249</v>
      </c>
      <c r="G683">
        <v>-4212.5</v>
      </c>
      <c r="H683" s="1">
        <f t="shared" si="60"/>
        <v>42249</v>
      </c>
      <c r="I683">
        <f>IF(AND(MyRowHidden(ROW())=FALSE,MyRowHidden(ROW()-1)=TRUE),0,(E683-E682)*unitsOfDHp+I682)</f>
        <v>193690</v>
      </c>
      <c r="J683">
        <f>IF(AND(MyRowHidden(ROW())=FALSE,MyRowHidden(ROW()-1)=TRUE),0,(G683-G682)*unitsOfExo+J682)</f>
        <v>-1760400</v>
      </c>
      <c r="K683" s="9">
        <f t="shared" si="61"/>
        <v>1760400</v>
      </c>
      <c r="L683">
        <f t="shared" si="62"/>
        <v>-1566710</v>
      </c>
      <c r="M683">
        <f>IF(AND(MyRowHidden(ROW())=FALSE,MyRowHidden(ROW()-1)=TRUE),0,IF(MONTH(H683)&lt;&gt;MONTH(H682),M682+1,M682))</f>
        <v>32</v>
      </c>
      <c r="N683">
        <f t="shared" si="63"/>
        <v>193690</v>
      </c>
      <c r="O683">
        <f>IF(AND(MyRowHidden(ROW())=FALSE,MyRowHidden(ROW()-1)=TRUE),0,IF(M683&lt;totalMonths,(totalMonths-M683)/totalMonths *(I683-I682)+O682,0))</f>
        <v>0</v>
      </c>
      <c r="P683">
        <f>IF(AND(MyRowHidden(ROW())=FALSE,MyRowHidden(ROW()-1)=TRUE),0,IF(M683&lt;totalMonths,(totalMonths-M683)/totalMonths *(J683-J682)+P682,0))</f>
        <v>0</v>
      </c>
      <c r="Q683">
        <f>IF(AND(MyRowHidden(ROW())=FALSE,MyRowHidden(ROW()-1)=TRUE),0,IF(M683&lt;totalMonths,(totalMonths-M683)/totalMonths *(K683-K682)+Q682,0))</f>
        <v>0</v>
      </c>
      <c r="R683">
        <f t="shared" si="64"/>
        <v>193690</v>
      </c>
      <c r="S683">
        <f t="shared" si="65"/>
        <v>0</v>
      </c>
    </row>
    <row r="684" spans="1:19" hidden="1" x14ac:dyDescent="0.25">
      <c r="A684" s="1"/>
      <c r="C684" s="1"/>
      <c r="D684" s="1">
        <v>42250</v>
      </c>
      <c r="E684">
        <v>28044</v>
      </c>
      <c r="F684" s="1">
        <v>42250</v>
      </c>
      <c r="G684">
        <v>-4450</v>
      </c>
      <c r="H684" s="1">
        <f t="shared" si="60"/>
        <v>42250</v>
      </c>
      <c r="I684">
        <f>IF(AND(MyRowHidden(ROW())=FALSE,MyRowHidden(ROW()-1)=TRUE),0,(E684-E683)*unitsOfDHp+I683)</f>
        <v>187075</v>
      </c>
      <c r="J684">
        <f>IF(AND(MyRowHidden(ROW())=FALSE,MyRowHidden(ROW()-1)=TRUE),0,(G684-G683)*unitsOfExo+J683)</f>
        <v>-1828800</v>
      </c>
      <c r="K684" s="9">
        <f t="shared" si="61"/>
        <v>1828800</v>
      </c>
      <c r="L684">
        <f t="shared" si="62"/>
        <v>-1641725</v>
      </c>
      <c r="M684">
        <f>IF(AND(MyRowHidden(ROW())=FALSE,MyRowHidden(ROW()-1)=TRUE),0,IF(MONTH(H684)&lt;&gt;MONTH(H683),M683+1,M683))</f>
        <v>32</v>
      </c>
      <c r="N684">
        <f t="shared" si="63"/>
        <v>187075</v>
      </c>
      <c r="O684">
        <f>IF(AND(MyRowHidden(ROW())=FALSE,MyRowHidden(ROW()-1)=TRUE),0,IF(M684&lt;totalMonths,(totalMonths-M684)/totalMonths *(I684-I683)+O683,0))</f>
        <v>0</v>
      </c>
      <c r="P684">
        <f>IF(AND(MyRowHidden(ROW())=FALSE,MyRowHidden(ROW()-1)=TRUE),0,IF(M684&lt;totalMonths,(totalMonths-M684)/totalMonths *(J684-J683)+P683,0))</f>
        <v>0</v>
      </c>
      <c r="Q684">
        <f>IF(AND(MyRowHidden(ROW())=FALSE,MyRowHidden(ROW()-1)=TRUE),0,IF(M684&lt;totalMonths,(totalMonths-M684)/totalMonths *(K684-K683)+Q683,0))</f>
        <v>0</v>
      </c>
      <c r="R684">
        <f t="shared" si="64"/>
        <v>187075</v>
      </c>
      <c r="S684">
        <f t="shared" si="65"/>
        <v>0</v>
      </c>
    </row>
    <row r="685" spans="1:19" hidden="1" x14ac:dyDescent="0.25">
      <c r="A685" s="1"/>
      <c r="C685" s="1"/>
      <c r="D685" s="1">
        <v>42251</v>
      </c>
      <c r="E685">
        <v>28189</v>
      </c>
      <c r="F685" s="1">
        <v>42251</v>
      </c>
      <c r="G685">
        <v>-4375</v>
      </c>
      <c r="H685" s="1">
        <f t="shared" si="60"/>
        <v>42251</v>
      </c>
      <c r="I685">
        <f>IF(AND(MyRowHidden(ROW())=FALSE,MyRowHidden(ROW()-1)=TRUE),0,(E685-E684)*unitsOfDHp+I684)</f>
        <v>192150</v>
      </c>
      <c r="J685">
        <f>IF(AND(MyRowHidden(ROW())=FALSE,MyRowHidden(ROW()-1)=TRUE),0,(G685-G684)*unitsOfExo+J684)</f>
        <v>-1807200</v>
      </c>
      <c r="K685" s="9">
        <f t="shared" si="61"/>
        <v>1807200</v>
      </c>
      <c r="L685">
        <f t="shared" si="62"/>
        <v>-1615050</v>
      </c>
      <c r="M685">
        <f>IF(AND(MyRowHidden(ROW())=FALSE,MyRowHidden(ROW()-1)=TRUE),0,IF(MONTH(H685)&lt;&gt;MONTH(H684),M684+1,M684))</f>
        <v>32</v>
      </c>
      <c r="N685">
        <f t="shared" si="63"/>
        <v>192150</v>
      </c>
      <c r="O685">
        <f>IF(AND(MyRowHidden(ROW())=FALSE,MyRowHidden(ROW()-1)=TRUE),0,IF(M685&lt;totalMonths,(totalMonths-M685)/totalMonths *(I685-I684)+O684,0))</f>
        <v>0</v>
      </c>
      <c r="P685">
        <f>IF(AND(MyRowHidden(ROW())=FALSE,MyRowHidden(ROW()-1)=TRUE),0,IF(M685&lt;totalMonths,(totalMonths-M685)/totalMonths *(J685-J684)+P684,0))</f>
        <v>0</v>
      </c>
      <c r="Q685">
        <f>IF(AND(MyRowHidden(ROW())=FALSE,MyRowHidden(ROW()-1)=TRUE),0,IF(M685&lt;totalMonths,(totalMonths-M685)/totalMonths *(K685-K684)+Q684,0))</f>
        <v>0</v>
      </c>
      <c r="R685">
        <f t="shared" si="64"/>
        <v>192150</v>
      </c>
      <c r="S685">
        <f t="shared" si="65"/>
        <v>0</v>
      </c>
    </row>
    <row r="686" spans="1:19" hidden="1" x14ac:dyDescent="0.25">
      <c r="A686" s="1"/>
      <c r="C686" s="1"/>
      <c r="D686" s="1">
        <v>42255</v>
      </c>
      <c r="E686">
        <v>28561</v>
      </c>
      <c r="F686" s="1">
        <v>42255</v>
      </c>
      <c r="G686">
        <v>-4187.5</v>
      </c>
      <c r="H686" s="1">
        <f t="shared" si="60"/>
        <v>42255</v>
      </c>
      <c r="I686">
        <f>IF(AND(MyRowHidden(ROW())=FALSE,MyRowHidden(ROW()-1)=TRUE),0,(E686-E685)*unitsOfDHp+I685)</f>
        <v>205170</v>
      </c>
      <c r="J686">
        <f>IF(AND(MyRowHidden(ROW())=FALSE,MyRowHidden(ROW()-1)=TRUE),0,(G686-G685)*unitsOfExo+J685)</f>
        <v>-1753200</v>
      </c>
      <c r="K686" s="9">
        <f t="shared" si="61"/>
        <v>1753200</v>
      </c>
      <c r="L686">
        <f t="shared" si="62"/>
        <v>-1548030</v>
      </c>
      <c r="M686">
        <f>IF(AND(MyRowHidden(ROW())=FALSE,MyRowHidden(ROW()-1)=TRUE),0,IF(MONTH(H686)&lt;&gt;MONTH(H685),M685+1,M685))</f>
        <v>32</v>
      </c>
      <c r="N686">
        <f t="shared" si="63"/>
        <v>205170</v>
      </c>
      <c r="O686">
        <f>IF(AND(MyRowHidden(ROW())=FALSE,MyRowHidden(ROW()-1)=TRUE),0,IF(M686&lt;totalMonths,(totalMonths-M686)/totalMonths *(I686-I685)+O685,0))</f>
        <v>0</v>
      </c>
      <c r="P686">
        <f>IF(AND(MyRowHidden(ROW())=FALSE,MyRowHidden(ROW()-1)=TRUE),0,IF(M686&lt;totalMonths,(totalMonths-M686)/totalMonths *(J686-J685)+P685,0))</f>
        <v>0</v>
      </c>
      <c r="Q686">
        <f>IF(AND(MyRowHidden(ROW())=FALSE,MyRowHidden(ROW()-1)=TRUE),0,IF(M686&lt;totalMonths,(totalMonths-M686)/totalMonths *(K686-K685)+Q685,0))</f>
        <v>0</v>
      </c>
      <c r="R686">
        <f t="shared" si="64"/>
        <v>205170</v>
      </c>
      <c r="S686">
        <f t="shared" si="65"/>
        <v>0</v>
      </c>
    </row>
    <row r="687" spans="1:19" hidden="1" x14ac:dyDescent="0.25">
      <c r="A687" s="1"/>
      <c r="C687" s="1"/>
      <c r="D687" s="1">
        <v>42256</v>
      </c>
      <c r="E687">
        <v>29038</v>
      </c>
      <c r="F687" s="1">
        <v>42256</v>
      </c>
      <c r="G687">
        <v>-4000</v>
      </c>
      <c r="H687" s="1">
        <f t="shared" si="60"/>
        <v>42256</v>
      </c>
      <c r="I687">
        <f>IF(AND(MyRowHidden(ROW())=FALSE,MyRowHidden(ROW()-1)=TRUE),0,(E687-E686)*unitsOfDHp+I686)</f>
        <v>221865</v>
      </c>
      <c r="J687">
        <f>IF(AND(MyRowHidden(ROW())=FALSE,MyRowHidden(ROW()-1)=TRUE),0,(G687-G686)*unitsOfExo+J686)</f>
        <v>-1699200</v>
      </c>
      <c r="K687" s="9">
        <f t="shared" si="61"/>
        <v>1699200</v>
      </c>
      <c r="L687">
        <f t="shared" si="62"/>
        <v>-1477335</v>
      </c>
      <c r="M687">
        <f>IF(AND(MyRowHidden(ROW())=FALSE,MyRowHidden(ROW()-1)=TRUE),0,IF(MONTH(H687)&lt;&gt;MONTH(H686),M686+1,M686))</f>
        <v>32</v>
      </c>
      <c r="N687">
        <f t="shared" si="63"/>
        <v>221865</v>
      </c>
      <c r="O687">
        <f>IF(AND(MyRowHidden(ROW())=FALSE,MyRowHidden(ROW()-1)=TRUE),0,IF(M687&lt;totalMonths,(totalMonths-M687)/totalMonths *(I687-I686)+O686,0))</f>
        <v>0</v>
      </c>
      <c r="P687">
        <f>IF(AND(MyRowHidden(ROW())=FALSE,MyRowHidden(ROW()-1)=TRUE),0,IF(M687&lt;totalMonths,(totalMonths-M687)/totalMonths *(J687-J686)+P686,0))</f>
        <v>0</v>
      </c>
      <c r="Q687">
        <f>IF(AND(MyRowHidden(ROW())=FALSE,MyRowHidden(ROW()-1)=TRUE),0,IF(M687&lt;totalMonths,(totalMonths-M687)/totalMonths *(K687-K686)+Q686,0))</f>
        <v>0</v>
      </c>
      <c r="R687">
        <f t="shared" si="64"/>
        <v>221865</v>
      </c>
      <c r="S687">
        <f t="shared" si="65"/>
        <v>0</v>
      </c>
    </row>
    <row r="688" spans="1:19" hidden="1" x14ac:dyDescent="0.25">
      <c r="A688" s="1"/>
      <c r="C688" s="1"/>
      <c r="D688" s="1">
        <v>42257</v>
      </c>
      <c r="E688">
        <v>29803</v>
      </c>
      <c r="F688" s="1">
        <v>42257</v>
      </c>
      <c r="G688">
        <v>-3750</v>
      </c>
      <c r="H688" s="1">
        <f t="shared" si="60"/>
        <v>42257</v>
      </c>
      <c r="I688">
        <f>IF(AND(MyRowHidden(ROW())=FALSE,MyRowHidden(ROW()-1)=TRUE),0,(E688-E687)*unitsOfDHp+I687)</f>
        <v>248640</v>
      </c>
      <c r="J688">
        <f>IF(AND(MyRowHidden(ROW())=FALSE,MyRowHidden(ROW()-1)=TRUE),0,(G688-G687)*unitsOfExo+J687)</f>
        <v>-1627200</v>
      </c>
      <c r="K688" s="9">
        <f t="shared" si="61"/>
        <v>1627200</v>
      </c>
      <c r="L688">
        <f t="shared" si="62"/>
        <v>-1378560</v>
      </c>
      <c r="M688">
        <f>IF(AND(MyRowHidden(ROW())=FALSE,MyRowHidden(ROW()-1)=TRUE),0,IF(MONTH(H688)&lt;&gt;MONTH(H687),M687+1,M687))</f>
        <v>32</v>
      </c>
      <c r="N688">
        <f t="shared" si="63"/>
        <v>248640</v>
      </c>
      <c r="O688">
        <f>IF(AND(MyRowHidden(ROW())=FALSE,MyRowHidden(ROW()-1)=TRUE),0,IF(M688&lt;totalMonths,(totalMonths-M688)/totalMonths *(I688-I687)+O687,0))</f>
        <v>0</v>
      </c>
      <c r="P688">
        <f>IF(AND(MyRowHidden(ROW())=FALSE,MyRowHidden(ROW()-1)=TRUE),0,IF(M688&lt;totalMonths,(totalMonths-M688)/totalMonths *(J688-J687)+P687,0))</f>
        <v>0</v>
      </c>
      <c r="Q688">
        <f>IF(AND(MyRowHidden(ROW())=FALSE,MyRowHidden(ROW()-1)=TRUE),0,IF(M688&lt;totalMonths,(totalMonths-M688)/totalMonths *(K688-K687)+Q687,0))</f>
        <v>0</v>
      </c>
      <c r="R688">
        <f t="shared" si="64"/>
        <v>248640</v>
      </c>
      <c r="S688">
        <f t="shared" si="65"/>
        <v>0</v>
      </c>
    </row>
    <row r="689" spans="1:19" hidden="1" x14ac:dyDescent="0.25">
      <c r="A689" s="1"/>
      <c r="C689" s="1"/>
      <c r="D689" s="1">
        <v>42258</v>
      </c>
      <c r="E689">
        <v>30601</v>
      </c>
      <c r="F689" s="1">
        <v>42258</v>
      </c>
      <c r="G689">
        <v>-3250</v>
      </c>
      <c r="H689" s="1">
        <f t="shared" si="60"/>
        <v>42258</v>
      </c>
      <c r="I689">
        <f>IF(AND(MyRowHidden(ROW())=FALSE,MyRowHidden(ROW()-1)=TRUE),0,(E689-E688)*unitsOfDHp+I688)</f>
        <v>276570</v>
      </c>
      <c r="J689">
        <f>IF(AND(MyRowHidden(ROW())=FALSE,MyRowHidden(ROW()-1)=TRUE),0,(G689-G688)*unitsOfExo+J688)</f>
        <v>-1483200</v>
      </c>
      <c r="K689" s="9">
        <f t="shared" si="61"/>
        <v>1483200</v>
      </c>
      <c r="L689">
        <f t="shared" si="62"/>
        <v>-1206630</v>
      </c>
      <c r="M689">
        <f>IF(AND(MyRowHidden(ROW())=FALSE,MyRowHidden(ROW()-1)=TRUE),0,IF(MONTH(H689)&lt;&gt;MONTH(H688),M688+1,M688))</f>
        <v>32</v>
      </c>
      <c r="N689">
        <f t="shared" si="63"/>
        <v>276570</v>
      </c>
      <c r="O689">
        <f>IF(AND(MyRowHidden(ROW())=FALSE,MyRowHidden(ROW()-1)=TRUE),0,IF(M689&lt;totalMonths,(totalMonths-M689)/totalMonths *(I689-I688)+O688,0))</f>
        <v>0</v>
      </c>
      <c r="P689">
        <f>IF(AND(MyRowHidden(ROW())=FALSE,MyRowHidden(ROW()-1)=TRUE),0,IF(M689&lt;totalMonths,(totalMonths-M689)/totalMonths *(J689-J688)+P688,0))</f>
        <v>0</v>
      </c>
      <c r="Q689">
        <f>IF(AND(MyRowHidden(ROW())=FALSE,MyRowHidden(ROW()-1)=TRUE),0,IF(M689&lt;totalMonths,(totalMonths-M689)/totalMonths *(K689-K688)+Q688,0))</f>
        <v>0</v>
      </c>
      <c r="R689">
        <f t="shared" si="64"/>
        <v>276570</v>
      </c>
      <c r="S689">
        <f t="shared" si="65"/>
        <v>0</v>
      </c>
    </row>
    <row r="690" spans="1:19" hidden="1" x14ac:dyDescent="0.25">
      <c r="A690" s="1"/>
      <c r="C690" s="1"/>
      <c r="D690" s="1">
        <v>42261</v>
      </c>
      <c r="E690">
        <v>31426</v>
      </c>
      <c r="F690" s="1">
        <v>42261</v>
      </c>
      <c r="G690">
        <v>-2787.5</v>
      </c>
      <c r="H690" s="1">
        <f t="shared" si="60"/>
        <v>42261</v>
      </c>
      <c r="I690">
        <f>IF(AND(MyRowHidden(ROW())=FALSE,MyRowHidden(ROW()-1)=TRUE),0,(E690-E689)*unitsOfDHp+I689)</f>
        <v>305445</v>
      </c>
      <c r="J690">
        <f>IF(AND(MyRowHidden(ROW())=FALSE,MyRowHidden(ROW()-1)=TRUE),0,(G690-G689)*unitsOfExo+J689)</f>
        <v>-1350000</v>
      </c>
      <c r="K690" s="9">
        <f t="shared" si="61"/>
        <v>1350000</v>
      </c>
      <c r="L690">
        <f t="shared" si="62"/>
        <v>-1044555</v>
      </c>
      <c r="M690">
        <f>IF(AND(MyRowHidden(ROW())=FALSE,MyRowHidden(ROW()-1)=TRUE),0,IF(MONTH(H690)&lt;&gt;MONTH(H689),M689+1,M689))</f>
        <v>32</v>
      </c>
      <c r="N690">
        <f t="shared" si="63"/>
        <v>305445</v>
      </c>
      <c r="O690">
        <f>IF(AND(MyRowHidden(ROW())=FALSE,MyRowHidden(ROW()-1)=TRUE),0,IF(M690&lt;totalMonths,(totalMonths-M690)/totalMonths *(I690-I689)+O689,0))</f>
        <v>0</v>
      </c>
      <c r="P690">
        <f>IF(AND(MyRowHidden(ROW())=FALSE,MyRowHidden(ROW()-1)=TRUE),0,IF(M690&lt;totalMonths,(totalMonths-M690)/totalMonths *(J690-J689)+P689,0))</f>
        <v>0</v>
      </c>
      <c r="Q690">
        <f>IF(AND(MyRowHidden(ROW())=FALSE,MyRowHidden(ROW()-1)=TRUE),0,IF(M690&lt;totalMonths,(totalMonths-M690)/totalMonths *(K690-K689)+Q689,0))</f>
        <v>0</v>
      </c>
      <c r="R690">
        <f t="shared" si="64"/>
        <v>305445</v>
      </c>
      <c r="S690">
        <f t="shared" si="65"/>
        <v>0</v>
      </c>
    </row>
    <row r="691" spans="1:19" hidden="1" x14ac:dyDescent="0.25">
      <c r="A691" s="1"/>
      <c r="C691" s="1"/>
      <c r="D691" s="1">
        <v>42262</v>
      </c>
      <c r="E691">
        <v>31395</v>
      </c>
      <c r="F691" s="1">
        <v>42262</v>
      </c>
      <c r="G691">
        <v>-2887.5</v>
      </c>
      <c r="H691" s="1">
        <f t="shared" si="60"/>
        <v>42262</v>
      </c>
      <c r="I691">
        <f>IF(AND(MyRowHidden(ROW())=FALSE,MyRowHidden(ROW()-1)=TRUE),0,(E691-E690)*unitsOfDHp+I690)</f>
        <v>304360</v>
      </c>
      <c r="J691">
        <f>IF(AND(MyRowHidden(ROW())=FALSE,MyRowHidden(ROW()-1)=TRUE),0,(G691-G690)*unitsOfExo+J690)</f>
        <v>-1378800</v>
      </c>
      <c r="K691" s="9">
        <f t="shared" si="61"/>
        <v>1378800</v>
      </c>
      <c r="L691">
        <f t="shared" si="62"/>
        <v>-1074440</v>
      </c>
      <c r="M691">
        <f>IF(AND(MyRowHidden(ROW())=FALSE,MyRowHidden(ROW()-1)=TRUE),0,IF(MONTH(H691)&lt;&gt;MONTH(H690),M690+1,M690))</f>
        <v>32</v>
      </c>
      <c r="N691">
        <f t="shared" si="63"/>
        <v>304360</v>
      </c>
      <c r="O691">
        <f>IF(AND(MyRowHidden(ROW())=FALSE,MyRowHidden(ROW()-1)=TRUE),0,IF(M691&lt;totalMonths,(totalMonths-M691)/totalMonths *(I691-I690)+O690,0))</f>
        <v>0</v>
      </c>
      <c r="P691">
        <f>IF(AND(MyRowHidden(ROW())=FALSE,MyRowHidden(ROW()-1)=TRUE),0,IF(M691&lt;totalMonths,(totalMonths-M691)/totalMonths *(J691-J690)+P690,0))</f>
        <v>0</v>
      </c>
      <c r="Q691">
        <f>IF(AND(MyRowHidden(ROW())=FALSE,MyRowHidden(ROW()-1)=TRUE),0,IF(M691&lt;totalMonths,(totalMonths-M691)/totalMonths *(K691-K690)+Q690,0))</f>
        <v>0</v>
      </c>
      <c r="R691">
        <f t="shared" si="64"/>
        <v>304360</v>
      </c>
      <c r="S691">
        <f t="shared" si="65"/>
        <v>0</v>
      </c>
    </row>
    <row r="692" spans="1:19" hidden="1" x14ac:dyDescent="0.25">
      <c r="A692" s="1"/>
      <c r="C692" s="1"/>
      <c r="D692" s="1">
        <v>42263</v>
      </c>
      <c r="E692">
        <v>31519</v>
      </c>
      <c r="F692" s="1">
        <v>42263</v>
      </c>
      <c r="G692">
        <v>-3137.5</v>
      </c>
      <c r="H692" s="1">
        <f t="shared" si="60"/>
        <v>42263</v>
      </c>
      <c r="I692">
        <f>IF(AND(MyRowHidden(ROW())=FALSE,MyRowHidden(ROW()-1)=TRUE),0,(E692-E691)*unitsOfDHp+I691)</f>
        <v>308700</v>
      </c>
      <c r="J692">
        <f>IF(AND(MyRowHidden(ROW())=FALSE,MyRowHidden(ROW()-1)=TRUE),0,(G692-G691)*unitsOfExo+J691)</f>
        <v>-1450800</v>
      </c>
      <c r="K692" s="9">
        <f t="shared" si="61"/>
        <v>1450800</v>
      </c>
      <c r="L692">
        <f t="shared" si="62"/>
        <v>-1142100</v>
      </c>
      <c r="M692">
        <f>IF(AND(MyRowHidden(ROW())=FALSE,MyRowHidden(ROW()-1)=TRUE),0,IF(MONTH(H692)&lt;&gt;MONTH(H691),M691+1,M691))</f>
        <v>32</v>
      </c>
      <c r="N692">
        <f t="shared" si="63"/>
        <v>308700</v>
      </c>
      <c r="O692">
        <f>IF(AND(MyRowHidden(ROW())=FALSE,MyRowHidden(ROW()-1)=TRUE),0,IF(M692&lt;totalMonths,(totalMonths-M692)/totalMonths *(I692-I691)+O691,0))</f>
        <v>0</v>
      </c>
      <c r="P692">
        <f>IF(AND(MyRowHidden(ROW())=FALSE,MyRowHidden(ROW()-1)=TRUE),0,IF(M692&lt;totalMonths,(totalMonths-M692)/totalMonths *(J692-J691)+P691,0))</f>
        <v>0</v>
      </c>
      <c r="Q692">
        <f>IF(AND(MyRowHidden(ROW())=FALSE,MyRowHidden(ROW()-1)=TRUE),0,IF(M692&lt;totalMonths,(totalMonths-M692)/totalMonths *(K692-K691)+Q691,0))</f>
        <v>0</v>
      </c>
      <c r="R692">
        <f t="shared" si="64"/>
        <v>308700</v>
      </c>
      <c r="S692">
        <f t="shared" si="65"/>
        <v>0</v>
      </c>
    </row>
    <row r="693" spans="1:19" hidden="1" x14ac:dyDescent="0.25">
      <c r="A693" s="1"/>
      <c r="C693" s="1"/>
      <c r="D693" s="1">
        <v>42264</v>
      </c>
      <c r="E693">
        <v>31036</v>
      </c>
      <c r="F693" s="1">
        <v>42264</v>
      </c>
      <c r="G693">
        <v>-3362.5</v>
      </c>
      <c r="H693" s="1">
        <f t="shared" si="60"/>
        <v>42264</v>
      </c>
      <c r="I693">
        <f>IF(AND(MyRowHidden(ROW())=FALSE,MyRowHidden(ROW()-1)=TRUE),0,(E693-E692)*unitsOfDHp+I692)</f>
        <v>291795</v>
      </c>
      <c r="J693">
        <f>IF(AND(MyRowHidden(ROW())=FALSE,MyRowHidden(ROW()-1)=TRUE),0,(G693-G692)*unitsOfExo+J692)</f>
        <v>-1515600</v>
      </c>
      <c r="K693" s="9">
        <f t="shared" si="61"/>
        <v>1515600</v>
      </c>
      <c r="L693">
        <f t="shared" si="62"/>
        <v>-1223805</v>
      </c>
      <c r="M693">
        <f>IF(AND(MyRowHidden(ROW())=FALSE,MyRowHidden(ROW()-1)=TRUE),0,IF(MONTH(H693)&lt;&gt;MONTH(H692),M692+1,M692))</f>
        <v>32</v>
      </c>
      <c r="N693">
        <f t="shared" si="63"/>
        <v>291795</v>
      </c>
      <c r="O693">
        <f>IF(AND(MyRowHidden(ROW())=FALSE,MyRowHidden(ROW()-1)=TRUE),0,IF(M693&lt;totalMonths,(totalMonths-M693)/totalMonths *(I693-I692)+O692,0))</f>
        <v>0</v>
      </c>
      <c r="P693">
        <f>IF(AND(MyRowHidden(ROW())=FALSE,MyRowHidden(ROW()-1)=TRUE),0,IF(M693&lt;totalMonths,(totalMonths-M693)/totalMonths *(J693-J692)+P692,0))</f>
        <v>0</v>
      </c>
      <c r="Q693">
        <f>IF(AND(MyRowHidden(ROW())=FALSE,MyRowHidden(ROW()-1)=TRUE),0,IF(M693&lt;totalMonths,(totalMonths-M693)/totalMonths *(K693-K692)+Q692,0))</f>
        <v>0</v>
      </c>
      <c r="R693">
        <f t="shared" si="64"/>
        <v>291795</v>
      </c>
      <c r="S693">
        <f t="shared" si="65"/>
        <v>0</v>
      </c>
    </row>
    <row r="694" spans="1:19" hidden="1" x14ac:dyDescent="0.25">
      <c r="A694" s="1"/>
      <c r="C694" s="1"/>
      <c r="D694" s="1">
        <v>42265</v>
      </c>
      <c r="E694">
        <v>30612</v>
      </c>
      <c r="F694" s="1">
        <v>42265</v>
      </c>
      <c r="G694">
        <v>-3537.5</v>
      </c>
      <c r="H694" s="1">
        <f t="shared" si="60"/>
        <v>42265</v>
      </c>
      <c r="I694">
        <f>IF(AND(MyRowHidden(ROW())=FALSE,MyRowHidden(ROW()-1)=TRUE),0,(E694-E693)*unitsOfDHp+I693)</f>
        <v>276955</v>
      </c>
      <c r="J694">
        <f>IF(AND(MyRowHidden(ROW())=FALSE,MyRowHidden(ROW()-1)=TRUE),0,(G694-G693)*unitsOfExo+J693)</f>
        <v>-1566000</v>
      </c>
      <c r="K694" s="9">
        <f t="shared" si="61"/>
        <v>1566000</v>
      </c>
      <c r="L694">
        <f t="shared" si="62"/>
        <v>-1289045</v>
      </c>
      <c r="M694">
        <f>IF(AND(MyRowHidden(ROW())=FALSE,MyRowHidden(ROW()-1)=TRUE),0,IF(MONTH(H694)&lt;&gt;MONTH(H693),M693+1,M693))</f>
        <v>32</v>
      </c>
      <c r="N694">
        <f t="shared" si="63"/>
        <v>276955</v>
      </c>
      <c r="O694">
        <f>IF(AND(MyRowHidden(ROW())=FALSE,MyRowHidden(ROW()-1)=TRUE),0,IF(M694&lt;totalMonths,(totalMonths-M694)/totalMonths *(I694-I693)+O693,0))</f>
        <v>0</v>
      </c>
      <c r="P694">
        <f>IF(AND(MyRowHidden(ROW())=FALSE,MyRowHidden(ROW()-1)=TRUE),0,IF(M694&lt;totalMonths,(totalMonths-M694)/totalMonths *(J694-J693)+P693,0))</f>
        <v>0</v>
      </c>
      <c r="Q694">
        <f>IF(AND(MyRowHidden(ROW())=FALSE,MyRowHidden(ROW()-1)=TRUE),0,IF(M694&lt;totalMonths,(totalMonths-M694)/totalMonths *(K694-K693)+Q693,0))</f>
        <v>0</v>
      </c>
      <c r="R694">
        <f t="shared" si="64"/>
        <v>276955</v>
      </c>
      <c r="S694">
        <f t="shared" si="65"/>
        <v>0</v>
      </c>
    </row>
    <row r="695" spans="1:19" hidden="1" x14ac:dyDescent="0.25">
      <c r="A695" s="1"/>
      <c r="C695" s="1"/>
      <c r="D695" s="1">
        <v>42268</v>
      </c>
      <c r="E695">
        <v>31312</v>
      </c>
      <c r="F695" s="1">
        <v>42268</v>
      </c>
      <c r="G695">
        <v>-3237.5</v>
      </c>
      <c r="H695" s="1">
        <f t="shared" si="60"/>
        <v>42268</v>
      </c>
      <c r="I695">
        <f>IF(AND(MyRowHidden(ROW())=FALSE,MyRowHidden(ROW()-1)=TRUE),0,(E695-E694)*unitsOfDHp+I694)</f>
        <v>301455</v>
      </c>
      <c r="J695">
        <f>IF(AND(MyRowHidden(ROW())=FALSE,MyRowHidden(ROW()-1)=TRUE),0,(G695-G694)*unitsOfExo+J694)</f>
        <v>-1479600</v>
      </c>
      <c r="K695" s="9">
        <f t="shared" si="61"/>
        <v>1479600</v>
      </c>
      <c r="L695">
        <f t="shared" si="62"/>
        <v>-1178145</v>
      </c>
      <c r="M695">
        <f>IF(AND(MyRowHidden(ROW())=FALSE,MyRowHidden(ROW()-1)=TRUE),0,IF(MONTH(H695)&lt;&gt;MONTH(H694),M694+1,M694))</f>
        <v>32</v>
      </c>
      <c r="N695">
        <f t="shared" si="63"/>
        <v>301455</v>
      </c>
      <c r="O695">
        <f>IF(AND(MyRowHidden(ROW())=FALSE,MyRowHidden(ROW()-1)=TRUE),0,IF(M695&lt;totalMonths,(totalMonths-M695)/totalMonths *(I695-I694)+O694,0))</f>
        <v>0</v>
      </c>
      <c r="P695">
        <f>IF(AND(MyRowHidden(ROW())=FALSE,MyRowHidden(ROW()-1)=TRUE),0,IF(M695&lt;totalMonths,(totalMonths-M695)/totalMonths *(J695-J694)+P694,0))</f>
        <v>0</v>
      </c>
      <c r="Q695">
        <f>IF(AND(MyRowHidden(ROW())=FALSE,MyRowHidden(ROW()-1)=TRUE),0,IF(M695&lt;totalMonths,(totalMonths-M695)/totalMonths *(K695-K694)+Q694,0))</f>
        <v>0</v>
      </c>
      <c r="R695">
        <f t="shared" si="64"/>
        <v>301455</v>
      </c>
      <c r="S695">
        <f t="shared" si="65"/>
        <v>0</v>
      </c>
    </row>
    <row r="696" spans="1:19" hidden="1" x14ac:dyDescent="0.25">
      <c r="A696" s="1"/>
      <c r="C696" s="1"/>
      <c r="D696" s="1">
        <v>42269</v>
      </c>
      <c r="E696">
        <v>30851</v>
      </c>
      <c r="F696" s="1">
        <v>42269</v>
      </c>
      <c r="G696">
        <v>-3450</v>
      </c>
      <c r="H696" s="1">
        <f t="shared" si="60"/>
        <v>42269</v>
      </c>
      <c r="I696">
        <f>IF(AND(MyRowHidden(ROW())=FALSE,MyRowHidden(ROW()-1)=TRUE),0,(E696-E695)*unitsOfDHp+I695)</f>
        <v>285320</v>
      </c>
      <c r="J696">
        <f>IF(AND(MyRowHidden(ROW())=FALSE,MyRowHidden(ROW()-1)=TRUE),0,(G696-G695)*unitsOfExo+J695)</f>
        <v>-1540800</v>
      </c>
      <c r="K696" s="9">
        <f t="shared" si="61"/>
        <v>1540800</v>
      </c>
      <c r="L696">
        <f t="shared" si="62"/>
        <v>-1255480</v>
      </c>
      <c r="M696">
        <f>IF(AND(MyRowHidden(ROW())=FALSE,MyRowHidden(ROW()-1)=TRUE),0,IF(MONTH(H696)&lt;&gt;MONTH(H695),M695+1,M695))</f>
        <v>32</v>
      </c>
      <c r="N696">
        <f t="shared" si="63"/>
        <v>285320</v>
      </c>
      <c r="O696">
        <f>IF(AND(MyRowHidden(ROW())=FALSE,MyRowHidden(ROW()-1)=TRUE),0,IF(M696&lt;totalMonths,(totalMonths-M696)/totalMonths *(I696-I695)+O695,0))</f>
        <v>0</v>
      </c>
      <c r="P696">
        <f>IF(AND(MyRowHidden(ROW())=FALSE,MyRowHidden(ROW()-1)=TRUE),0,IF(M696&lt;totalMonths,(totalMonths-M696)/totalMonths *(J696-J695)+P695,0))</f>
        <v>0</v>
      </c>
      <c r="Q696">
        <f>IF(AND(MyRowHidden(ROW())=FALSE,MyRowHidden(ROW()-1)=TRUE),0,IF(M696&lt;totalMonths,(totalMonths-M696)/totalMonths *(K696-K695)+Q695,0))</f>
        <v>0</v>
      </c>
      <c r="R696">
        <f t="shared" si="64"/>
        <v>285320</v>
      </c>
      <c r="S696">
        <f t="shared" si="65"/>
        <v>0</v>
      </c>
    </row>
    <row r="697" spans="1:19" hidden="1" x14ac:dyDescent="0.25">
      <c r="A697" s="1"/>
      <c r="C697" s="1"/>
      <c r="D697" s="1">
        <v>42270</v>
      </c>
      <c r="E697">
        <v>31205</v>
      </c>
      <c r="F697" s="1">
        <v>42270</v>
      </c>
      <c r="G697">
        <v>-3325</v>
      </c>
      <c r="H697" s="1">
        <f t="shared" si="60"/>
        <v>42270</v>
      </c>
      <c r="I697">
        <f>IF(AND(MyRowHidden(ROW())=FALSE,MyRowHidden(ROW()-1)=TRUE),0,(E697-E696)*unitsOfDHp+I696)</f>
        <v>297710</v>
      </c>
      <c r="J697">
        <f>IF(AND(MyRowHidden(ROW())=FALSE,MyRowHidden(ROW()-1)=TRUE),0,(G697-G696)*unitsOfExo+J696)</f>
        <v>-1504800</v>
      </c>
      <c r="K697" s="9">
        <f t="shared" si="61"/>
        <v>1504800</v>
      </c>
      <c r="L697">
        <f t="shared" si="62"/>
        <v>-1207090</v>
      </c>
      <c r="M697">
        <f>IF(AND(MyRowHidden(ROW())=FALSE,MyRowHidden(ROW()-1)=TRUE),0,IF(MONTH(H697)&lt;&gt;MONTH(H696),M696+1,M696))</f>
        <v>32</v>
      </c>
      <c r="N697">
        <f t="shared" si="63"/>
        <v>297710</v>
      </c>
      <c r="O697">
        <f>IF(AND(MyRowHidden(ROW())=FALSE,MyRowHidden(ROW()-1)=TRUE),0,IF(M697&lt;totalMonths,(totalMonths-M697)/totalMonths *(I697-I696)+O696,0))</f>
        <v>0</v>
      </c>
      <c r="P697">
        <f>IF(AND(MyRowHidden(ROW())=FALSE,MyRowHidden(ROW()-1)=TRUE),0,IF(M697&lt;totalMonths,(totalMonths-M697)/totalMonths *(J697-J696)+P696,0))</f>
        <v>0</v>
      </c>
      <c r="Q697">
        <f>IF(AND(MyRowHidden(ROW())=FALSE,MyRowHidden(ROW()-1)=TRUE),0,IF(M697&lt;totalMonths,(totalMonths-M697)/totalMonths *(K697-K696)+Q696,0))</f>
        <v>0</v>
      </c>
      <c r="R697">
        <f t="shared" si="64"/>
        <v>297710</v>
      </c>
      <c r="S697">
        <f t="shared" si="65"/>
        <v>0</v>
      </c>
    </row>
    <row r="698" spans="1:19" hidden="1" x14ac:dyDescent="0.25">
      <c r="A698" s="1"/>
      <c r="C698" s="1"/>
      <c r="D698" s="1">
        <v>42271</v>
      </c>
      <c r="E698">
        <v>31010</v>
      </c>
      <c r="F698" s="1">
        <v>42271</v>
      </c>
      <c r="G698">
        <v>-3412.5</v>
      </c>
      <c r="H698" s="1">
        <f t="shared" si="60"/>
        <v>42271</v>
      </c>
      <c r="I698">
        <f>IF(AND(MyRowHidden(ROW())=FALSE,MyRowHidden(ROW()-1)=TRUE),0,(E698-E697)*unitsOfDHp+I697)</f>
        <v>290885</v>
      </c>
      <c r="J698">
        <f>IF(AND(MyRowHidden(ROW())=FALSE,MyRowHidden(ROW()-1)=TRUE),0,(G698-G697)*unitsOfExo+J697)</f>
        <v>-1530000</v>
      </c>
      <c r="K698" s="9">
        <f t="shared" si="61"/>
        <v>1530000</v>
      </c>
      <c r="L698">
        <f t="shared" si="62"/>
        <v>-1239115</v>
      </c>
      <c r="M698">
        <f>IF(AND(MyRowHidden(ROW())=FALSE,MyRowHidden(ROW()-1)=TRUE),0,IF(MONTH(H698)&lt;&gt;MONTH(H697),M697+1,M697))</f>
        <v>32</v>
      </c>
      <c r="N698">
        <f t="shared" si="63"/>
        <v>290885</v>
      </c>
      <c r="O698">
        <f>IF(AND(MyRowHidden(ROW())=FALSE,MyRowHidden(ROW()-1)=TRUE),0,IF(M698&lt;totalMonths,(totalMonths-M698)/totalMonths *(I698-I697)+O697,0))</f>
        <v>0</v>
      </c>
      <c r="P698">
        <f>IF(AND(MyRowHidden(ROW())=FALSE,MyRowHidden(ROW()-1)=TRUE),0,IF(M698&lt;totalMonths,(totalMonths-M698)/totalMonths *(J698-J697)+P697,0))</f>
        <v>0</v>
      </c>
      <c r="Q698">
        <f>IF(AND(MyRowHidden(ROW())=FALSE,MyRowHidden(ROW()-1)=TRUE),0,IF(M698&lt;totalMonths,(totalMonths-M698)/totalMonths *(K698-K697)+Q697,0))</f>
        <v>0</v>
      </c>
      <c r="R698">
        <f t="shared" si="64"/>
        <v>290885</v>
      </c>
      <c r="S698">
        <f t="shared" si="65"/>
        <v>0</v>
      </c>
    </row>
    <row r="699" spans="1:19" hidden="1" x14ac:dyDescent="0.25">
      <c r="A699" s="1"/>
      <c r="C699" s="1"/>
      <c r="D699" s="1">
        <v>42272</v>
      </c>
      <c r="E699">
        <v>31436</v>
      </c>
      <c r="F699" s="1">
        <v>42272</v>
      </c>
      <c r="G699">
        <v>-3037.5</v>
      </c>
      <c r="H699" s="1">
        <f t="shared" si="60"/>
        <v>42272</v>
      </c>
      <c r="I699">
        <f>IF(AND(MyRowHidden(ROW())=FALSE,MyRowHidden(ROW()-1)=TRUE),0,(E699-E698)*unitsOfDHp+I698)</f>
        <v>305795</v>
      </c>
      <c r="J699">
        <f>IF(AND(MyRowHidden(ROW())=FALSE,MyRowHidden(ROW()-1)=TRUE),0,(G699-G698)*unitsOfExo+J698)</f>
        <v>-1422000</v>
      </c>
      <c r="K699" s="9">
        <f t="shared" si="61"/>
        <v>1422000</v>
      </c>
      <c r="L699">
        <f t="shared" si="62"/>
        <v>-1116205</v>
      </c>
      <c r="M699">
        <f>IF(AND(MyRowHidden(ROW())=FALSE,MyRowHidden(ROW()-1)=TRUE),0,IF(MONTH(H699)&lt;&gt;MONTH(H698),M698+1,M698))</f>
        <v>32</v>
      </c>
      <c r="N699">
        <f t="shared" si="63"/>
        <v>305795</v>
      </c>
      <c r="O699">
        <f>IF(AND(MyRowHidden(ROW())=FALSE,MyRowHidden(ROW()-1)=TRUE),0,IF(M699&lt;totalMonths,(totalMonths-M699)/totalMonths *(I699-I698)+O698,0))</f>
        <v>0</v>
      </c>
      <c r="P699">
        <f>IF(AND(MyRowHidden(ROW())=FALSE,MyRowHidden(ROW()-1)=TRUE),0,IF(M699&lt;totalMonths,(totalMonths-M699)/totalMonths *(J699-J698)+P698,0))</f>
        <v>0</v>
      </c>
      <c r="Q699">
        <f>IF(AND(MyRowHidden(ROW())=FALSE,MyRowHidden(ROW()-1)=TRUE),0,IF(M699&lt;totalMonths,(totalMonths-M699)/totalMonths *(K699-K698)+Q698,0))</f>
        <v>0</v>
      </c>
      <c r="R699">
        <f t="shared" si="64"/>
        <v>305795</v>
      </c>
      <c r="S699">
        <f t="shared" si="65"/>
        <v>0</v>
      </c>
    </row>
    <row r="700" spans="1:19" hidden="1" x14ac:dyDescent="0.25">
      <c r="A700" s="1"/>
      <c r="C700" s="1"/>
      <c r="D700" s="1">
        <v>42275</v>
      </c>
      <c r="E700">
        <v>31345</v>
      </c>
      <c r="F700" s="1">
        <v>42275</v>
      </c>
      <c r="G700">
        <v>-3137.5</v>
      </c>
      <c r="H700" s="1">
        <f t="shared" si="60"/>
        <v>42275</v>
      </c>
      <c r="I700">
        <f>IF(AND(MyRowHidden(ROW())=FALSE,MyRowHidden(ROW()-1)=TRUE),0,(E700-E699)*unitsOfDHp+I699)</f>
        <v>302610</v>
      </c>
      <c r="J700">
        <f>IF(AND(MyRowHidden(ROW())=FALSE,MyRowHidden(ROW()-1)=TRUE),0,(G700-G699)*unitsOfExo+J699)</f>
        <v>-1450800</v>
      </c>
      <c r="K700" s="9">
        <f t="shared" si="61"/>
        <v>1450800</v>
      </c>
      <c r="L700">
        <f t="shared" si="62"/>
        <v>-1148190</v>
      </c>
      <c r="M700">
        <f>IF(AND(MyRowHidden(ROW())=FALSE,MyRowHidden(ROW()-1)=TRUE),0,IF(MONTH(H700)&lt;&gt;MONTH(H699),M699+1,M699))</f>
        <v>32</v>
      </c>
      <c r="N700">
        <f t="shared" si="63"/>
        <v>302610</v>
      </c>
      <c r="O700">
        <f>IF(AND(MyRowHidden(ROW())=FALSE,MyRowHidden(ROW()-1)=TRUE),0,IF(M700&lt;totalMonths,(totalMonths-M700)/totalMonths *(I700-I699)+O699,0))</f>
        <v>0</v>
      </c>
      <c r="P700">
        <f>IF(AND(MyRowHidden(ROW())=FALSE,MyRowHidden(ROW()-1)=TRUE),0,IF(M700&lt;totalMonths,(totalMonths-M700)/totalMonths *(J700-J699)+P699,0))</f>
        <v>0</v>
      </c>
      <c r="Q700">
        <f>IF(AND(MyRowHidden(ROW())=FALSE,MyRowHidden(ROW()-1)=TRUE),0,IF(M700&lt;totalMonths,(totalMonths-M700)/totalMonths *(K700-K699)+Q699,0))</f>
        <v>0</v>
      </c>
      <c r="R700">
        <f t="shared" si="64"/>
        <v>302610</v>
      </c>
      <c r="S700">
        <f t="shared" si="65"/>
        <v>0</v>
      </c>
    </row>
    <row r="701" spans="1:19" hidden="1" x14ac:dyDescent="0.25">
      <c r="A701" s="1"/>
      <c r="C701" s="1"/>
      <c r="D701" s="1">
        <v>42276</v>
      </c>
      <c r="E701">
        <v>31391</v>
      </c>
      <c r="F701" s="1">
        <v>42276</v>
      </c>
      <c r="G701">
        <v>-3012.5</v>
      </c>
      <c r="H701" s="1">
        <f t="shared" si="60"/>
        <v>42276</v>
      </c>
      <c r="I701">
        <f>IF(AND(MyRowHidden(ROW())=FALSE,MyRowHidden(ROW()-1)=TRUE),0,(E701-E700)*unitsOfDHp+I700)</f>
        <v>304220</v>
      </c>
      <c r="J701">
        <f>IF(AND(MyRowHidden(ROW())=FALSE,MyRowHidden(ROW()-1)=TRUE),0,(G701-G700)*unitsOfExo+J700)</f>
        <v>-1414800</v>
      </c>
      <c r="K701" s="9">
        <f t="shared" si="61"/>
        <v>1414800</v>
      </c>
      <c r="L701">
        <f t="shared" si="62"/>
        <v>-1110580</v>
      </c>
      <c r="M701">
        <f>IF(AND(MyRowHidden(ROW())=FALSE,MyRowHidden(ROW()-1)=TRUE),0,IF(MONTH(H701)&lt;&gt;MONTH(H700),M700+1,M700))</f>
        <v>32</v>
      </c>
      <c r="N701">
        <f t="shared" si="63"/>
        <v>304220</v>
      </c>
      <c r="O701">
        <f>IF(AND(MyRowHidden(ROW())=FALSE,MyRowHidden(ROW()-1)=TRUE),0,IF(M701&lt;totalMonths,(totalMonths-M701)/totalMonths *(I701-I700)+O700,0))</f>
        <v>0</v>
      </c>
      <c r="P701">
        <f>IF(AND(MyRowHidden(ROW())=FALSE,MyRowHidden(ROW()-1)=TRUE),0,IF(M701&lt;totalMonths,(totalMonths-M701)/totalMonths *(J701-J700)+P700,0))</f>
        <v>0</v>
      </c>
      <c r="Q701">
        <f>IF(AND(MyRowHidden(ROW())=FALSE,MyRowHidden(ROW()-1)=TRUE),0,IF(M701&lt;totalMonths,(totalMonths-M701)/totalMonths *(K701-K700)+Q700,0))</f>
        <v>0</v>
      </c>
      <c r="R701">
        <f t="shared" si="64"/>
        <v>304220</v>
      </c>
      <c r="S701">
        <f t="shared" si="65"/>
        <v>0</v>
      </c>
    </row>
    <row r="702" spans="1:19" hidden="1" x14ac:dyDescent="0.25">
      <c r="A702" s="1"/>
      <c r="C702" s="1"/>
      <c r="D702" s="1">
        <v>42277</v>
      </c>
      <c r="E702">
        <v>31338</v>
      </c>
      <c r="F702" s="1">
        <v>42277</v>
      </c>
      <c r="G702">
        <v>-3175</v>
      </c>
      <c r="H702" s="1">
        <f t="shared" si="60"/>
        <v>42277</v>
      </c>
      <c r="I702">
        <f>IF(AND(MyRowHidden(ROW())=FALSE,MyRowHidden(ROW()-1)=TRUE),0,(E702-E701)*unitsOfDHp+I701)</f>
        <v>302365</v>
      </c>
      <c r="J702">
        <f>IF(AND(MyRowHidden(ROW())=FALSE,MyRowHidden(ROW()-1)=TRUE),0,(G702-G701)*unitsOfExo+J701)</f>
        <v>-1461600</v>
      </c>
      <c r="K702" s="9">
        <f t="shared" si="61"/>
        <v>1461600</v>
      </c>
      <c r="L702">
        <f t="shared" si="62"/>
        <v>-1159235</v>
      </c>
      <c r="M702">
        <f>IF(AND(MyRowHidden(ROW())=FALSE,MyRowHidden(ROW()-1)=TRUE),0,IF(MONTH(H702)&lt;&gt;MONTH(H701),M701+1,M701))</f>
        <v>32</v>
      </c>
      <c r="N702">
        <f t="shared" si="63"/>
        <v>302365</v>
      </c>
      <c r="O702">
        <f>IF(AND(MyRowHidden(ROW())=FALSE,MyRowHidden(ROW()-1)=TRUE),0,IF(M702&lt;totalMonths,(totalMonths-M702)/totalMonths *(I702-I701)+O701,0))</f>
        <v>0</v>
      </c>
      <c r="P702">
        <f>IF(AND(MyRowHidden(ROW())=FALSE,MyRowHidden(ROW()-1)=TRUE),0,IF(M702&lt;totalMonths,(totalMonths-M702)/totalMonths *(J702-J701)+P701,0))</f>
        <v>0</v>
      </c>
      <c r="Q702">
        <f>IF(AND(MyRowHidden(ROW())=FALSE,MyRowHidden(ROW()-1)=TRUE),0,IF(M702&lt;totalMonths,(totalMonths-M702)/totalMonths *(K702-K701)+Q701,0))</f>
        <v>0</v>
      </c>
      <c r="R702">
        <f t="shared" si="64"/>
        <v>302365</v>
      </c>
      <c r="S702">
        <f t="shared" si="65"/>
        <v>0</v>
      </c>
    </row>
    <row r="703" spans="1:19" hidden="1" x14ac:dyDescent="0.25">
      <c r="A703" s="1"/>
      <c r="C703" s="1"/>
      <c r="D703" s="1">
        <v>42278</v>
      </c>
      <c r="E703">
        <v>31910</v>
      </c>
      <c r="F703" s="1">
        <v>42278</v>
      </c>
      <c r="G703">
        <v>-2937.5</v>
      </c>
      <c r="H703" s="1">
        <f t="shared" si="60"/>
        <v>42278</v>
      </c>
      <c r="I703">
        <f>IF(AND(MyRowHidden(ROW())=FALSE,MyRowHidden(ROW()-1)=TRUE),0,(E703-E702)*unitsOfDHp+I702)</f>
        <v>322385</v>
      </c>
      <c r="J703">
        <f>IF(AND(MyRowHidden(ROW())=FALSE,MyRowHidden(ROW()-1)=TRUE),0,(G703-G702)*unitsOfExo+J702)</f>
        <v>-1393200</v>
      </c>
      <c r="K703" s="9">
        <f t="shared" si="61"/>
        <v>1393200</v>
      </c>
      <c r="L703">
        <f t="shared" si="62"/>
        <v>-1070815</v>
      </c>
      <c r="M703">
        <f>IF(AND(MyRowHidden(ROW())=FALSE,MyRowHidden(ROW()-1)=TRUE),0,IF(MONTH(H703)&lt;&gt;MONTH(H702),M702+1,M702))</f>
        <v>33</v>
      </c>
      <c r="N703">
        <f t="shared" si="63"/>
        <v>322385</v>
      </c>
      <c r="O703">
        <f>IF(AND(MyRowHidden(ROW())=FALSE,MyRowHidden(ROW()-1)=TRUE),0,IF(M703&lt;totalMonths,(totalMonths-M703)/totalMonths *(I703-I702)+O702,0))</f>
        <v>0</v>
      </c>
      <c r="P703">
        <f>IF(AND(MyRowHidden(ROW())=FALSE,MyRowHidden(ROW()-1)=TRUE),0,IF(M703&lt;totalMonths,(totalMonths-M703)/totalMonths *(J703-J702)+P702,0))</f>
        <v>0</v>
      </c>
      <c r="Q703">
        <f>IF(AND(MyRowHidden(ROW())=FALSE,MyRowHidden(ROW()-1)=TRUE),0,IF(M703&lt;totalMonths,(totalMonths-M703)/totalMonths *(K703-K702)+Q702,0))</f>
        <v>0</v>
      </c>
      <c r="R703">
        <f t="shared" si="64"/>
        <v>322385</v>
      </c>
      <c r="S703">
        <f t="shared" si="65"/>
        <v>0</v>
      </c>
    </row>
    <row r="704" spans="1:19" hidden="1" x14ac:dyDescent="0.25">
      <c r="A704" s="1"/>
      <c r="C704" s="1"/>
      <c r="D704" s="1">
        <v>42279</v>
      </c>
      <c r="E704">
        <v>31935</v>
      </c>
      <c r="F704" s="1">
        <v>42279</v>
      </c>
      <c r="G704">
        <v>-2937.5</v>
      </c>
      <c r="H704" s="1">
        <f t="shared" si="60"/>
        <v>42279</v>
      </c>
      <c r="I704">
        <f>IF(AND(MyRowHidden(ROW())=FALSE,MyRowHidden(ROW()-1)=TRUE),0,(E704-E703)*unitsOfDHp+I703)</f>
        <v>323260</v>
      </c>
      <c r="J704">
        <f>IF(AND(MyRowHidden(ROW())=FALSE,MyRowHidden(ROW()-1)=TRUE),0,(G704-G703)*unitsOfExo+J703)</f>
        <v>-1393200</v>
      </c>
      <c r="K704" s="9">
        <f t="shared" si="61"/>
        <v>1393200</v>
      </c>
      <c r="L704">
        <f t="shared" si="62"/>
        <v>-1069940</v>
      </c>
      <c r="M704">
        <f>IF(AND(MyRowHidden(ROW())=FALSE,MyRowHidden(ROW()-1)=TRUE),0,IF(MONTH(H704)&lt;&gt;MONTH(H703),M703+1,M703))</f>
        <v>33</v>
      </c>
      <c r="N704">
        <f t="shared" si="63"/>
        <v>323260</v>
      </c>
      <c r="O704">
        <f>IF(AND(MyRowHidden(ROW())=FALSE,MyRowHidden(ROW()-1)=TRUE),0,IF(M704&lt;totalMonths,(totalMonths-M704)/totalMonths *(I704-I703)+O703,0))</f>
        <v>0</v>
      </c>
      <c r="P704">
        <f>IF(AND(MyRowHidden(ROW())=FALSE,MyRowHidden(ROW()-1)=TRUE),0,IF(M704&lt;totalMonths,(totalMonths-M704)/totalMonths *(J704-J703)+P703,0))</f>
        <v>0</v>
      </c>
      <c r="Q704">
        <f>IF(AND(MyRowHidden(ROW())=FALSE,MyRowHidden(ROW()-1)=TRUE),0,IF(M704&lt;totalMonths,(totalMonths-M704)/totalMonths *(K704-K703)+Q703,0))</f>
        <v>0</v>
      </c>
      <c r="R704">
        <f t="shared" si="64"/>
        <v>323260</v>
      </c>
      <c r="S704">
        <f t="shared" si="65"/>
        <v>0</v>
      </c>
    </row>
    <row r="705" spans="1:19" hidden="1" x14ac:dyDescent="0.25">
      <c r="A705" s="1"/>
      <c r="C705" s="1"/>
      <c r="D705" s="1">
        <v>42282</v>
      </c>
      <c r="E705">
        <v>31805</v>
      </c>
      <c r="F705" s="1">
        <v>42282</v>
      </c>
      <c r="G705">
        <v>-2800</v>
      </c>
      <c r="H705" s="1">
        <f t="shared" si="60"/>
        <v>42282</v>
      </c>
      <c r="I705">
        <f>IF(AND(MyRowHidden(ROW())=FALSE,MyRowHidden(ROW()-1)=TRUE),0,(E705-E704)*unitsOfDHp+I704)</f>
        <v>318710</v>
      </c>
      <c r="J705">
        <f>IF(AND(MyRowHidden(ROW())=FALSE,MyRowHidden(ROW()-1)=TRUE),0,(G705-G704)*unitsOfExo+J704)</f>
        <v>-1353600</v>
      </c>
      <c r="K705" s="9">
        <f t="shared" si="61"/>
        <v>1353600</v>
      </c>
      <c r="L705">
        <f t="shared" si="62"/>
        <v>-1034890</v>
      </c>
      <c r="M705">
        <f>IF(AND(MyRowHidden(ROW())=FALSE,MyRowHidden(ROW()-1)=TRUE),0,IF(MONTH(H705)&lt;&gt;MONTH(H704),M704+1,M704))</f>
        <v>33</v>
      </c>
      <c r="N705">
        <f t="shared" si="63"/>
        <v>318710</v>
      </c>
      <c r="O705">
        <f>IF(AND(MyRowHidden(ROW())=FALSE,MyRowHidden(ROW()-1)=TRUE),0,IF(M705&lt;totalMonths,(totalMonths-M705)/totalMonths *(I705-I704)+O704,0))</f>
        <v>0</v>
      </c>
      <c r="P705">
        <f>IF(AND(MyRowHidden(ROW())=FALSE,MyRowHidden(ROW()-1)=TRUE),0,IF(M705&lt;totalMonths,(totalMonths-M705)/totalMonths *(J705-J704)+P704,0))</f>
        <v>0</v>
      </c>
      <c r="Q705">
        <f>IF(AND(MyRowHidden(ROW())=FALSE,MyRowHidden(ROW()-1)=TRUE),0,IF(M705&lt;totalMonths,(totalMonths-M705)/totalMonths *(K705-K704)+Q704,0))</f>
        <v>0</v>
      </c>
      <c r="R705">
        <f t="shared" si="64"/>
        <v>318710</v>
      </c>
      <c r="S705">
        <f t="shared" si="65"/>
        <v>0</v>
      </c>
    </row>
    <row r="706" spans="1:19" hidden="1" x14ac:dyDescent="0.25">
      <c r="A706" s="1"/>
      <c r="C706" s="1"/>
      <c r="D706" s="1">
        <v>42283</v>
      </c>
      <c r="E706">
        <v>31311</v>
      </c>
      <c r="F706" s="1">
        <v>42283</v>
      </c>
      <c r="G706">
        <v>-2562.5</v>
      </c>
      <c r="H706" s="1">
        <f t="shared" si="60"/>
        <v>42283</v>
      </c>
      <c r="I706">
        <f>IF(AND(MyRowHidden(ROW())=FALSE,MyRowHidden(ROW()-1)=TRUE),0,(E706-E705)*unitsOfDHp+I705)</f>
        <v>301420</v>
      </c>
      <c r="J706">
        <f>IF(AND(MyRowHidden(ROW())=FALSE,MyRowHidden(ROW()-1)=TRUE),0,(G706-G705)*unitsOfExo+J705)</f>
        <v>-1285200</v>
      </c>
      <c r="K706" s="9">
        <f t="shared" si="61"/>
        <v>1285200</v>
      </c>
      <c r="L706">
        <f t="shared" si="62"/>
        <v>-983780</v>
      </c>
      <c r="M706">
        <f>IF(AND(MyRowHidden(ROW())=FALSE,MyRowHidden(ROW()-1)=TRUE),0,IF(MONTH(H706)&lt;&gt;MONTH(H705),M705+1,M705))</f>
        <v>33</v>
      </c>
      <c r="N706">
        <f t="shared" si="63"/>
        <v>301420</v>
      </c>
      <c r="O706">
        <f>IF(AND(MyRowHidden(ROW())=FALSE,MyRowHidden(ROW()-1)=TRUE),0,IF(M706&lt;totalMonths,(totalMonths-M706)/totalMonths *(I706-I705)+O705,0))</f>
        <v>0</v>
      </c>
      <c r="P706">
        <f>IF(AND(MyRowHidden(ROW())=FALSE,MyRowHidden(ROW()-1)=TRUE),0,IF(M706&lt;totalMonths,(totalMonths-M706)/totalMonths *(J706-J705)+P705,0))</f>
        <v>0</v>
      </c>
      <c r="Q706">
        <f>IF(AND(MyRowHidden(ROW())=FALSE,MyRowHidden(ROW()-1)=TRUE),0,IF(M706&lt;totalMonths,(totalMonths-M706)/totalMonths *(K706-K705)+Q705,0))</f>
        <v>0</v>
      </c>
      <c r="R706">
        <f t="shared" si="64"/>
        <v>301420</v>
      </c>
      <c r="S706">
        <f t="shared" si="65"/>
        <v>0</v>
      </c>
    </row>
    <row r="707" spans="1:19" hidden="1" x14ac:dyDescent="0.25">
      <c r="A707" s="1"/>
      <c r="C707" s="1"/>
      <c r="D707" s="1">
        <v>42284</v>
      </c>
      <c r="E707">
        <v>31381</v>
      </c>
      <c r="F707" s="1">
        <v>42284</v>
      </c>
      <c r="G707">
        <v>-2650</v>
      </c>
      <c r="H707" s="1">
        <f t="shared" si="60"/>
        <v>42284</v>
      </c>
      <c r="I707">
        <f>IF(AND(MyRowHidden(ROW())=FALSE,MyRowHidden(ROW()-1)=TRUE),0,(E707-E706)*unitsOfDHp+I706)</f>
        <v>303870</v>
      </c>
      <c r="J707">
        <f>IF(AND(MyRowHidden(ROW())=FALSE,MyRowHidden(ROW()-1)=TRUE),0,(G707-G706)*unitsOfExo+J706)</f>
        <v>-1310400</v>
      </c>
      <c r="K707" s="9">
        <f t="shared" si="61"/>
        <v>1310400</v>
      </c>
      <c r="L707">
        <f t="shared" si="62"/>
        <v>-1006530</v>
      </c>
      <c r="M707">
        <f>IF(AND(MyRowHidden(ROW())=FALSE,MyRowHidden(ROW()-1)=TRUE),0,IF(MONTH(H707)&lt;&gt;MONTH(H706),M706+1,M706))</f>
        <v>33</v>
      </c>
      <c r="N707">
        <f t="shared" si="63"/>
        <v>303870</v>
      </c>
      <c r="O707">
        <f>IF(AND(MyRowHidden(ROW())=FALSE,MyRowHidden(ROW()-1)=TRUE),0,IF(M707&lt;totalMonths,(totalMonths-M707)/totalMonths *(I707-I706)+O706,0))</f>
        <v>0</v>
      </c>
      <c r="P707">
        <f>IF(AND(MyRowHidden(ROW())=FALSE,MyRowHidden(ROW()-1)=TRUE),0,IF(M707&lt;totalMonths,(totalMonths-M707)/totalMonths *(J707-J706)+P706,0))</f>
        <v>0</v>
      </c>
      <c r="Q707">
        <f>IF(AND(MyRowHidden(ROW())=FALSE,MyRowHidden(ROW()-1)=TRUE),0,IF(M707&lt;totalMonths,(totalMonths-M707)/totalMonths *(K707-K706)+Q706,0))</f>
        <v>0</v>
      </c>
      <c r="R707">
        <f t="shared" si="64"/>
        <v>303870</v>
      </c>
      <c r="S707">
        <f t="shared" si="65"/>
        <v>0</v>
      </c>
    </row>
    <row r="708" spans="1:19" hidden="1" x14ac:dyDescent="0.25">
      <c r="A708" s="1"/>
      <c r="C708" s="1"/>
      <c r="D708" s="1">
        <v>42285</v>
      </c>
      <c r="E708">
        <v>31696</v>
      </c>
      <c r="F708" s="1">
        <v>42285</v>
      </c>
      <c r="G708">
        <v>-2850</v>
      </c>
      <c r="H708" s="1">
        <f t="shared" si="60"/>
        <v>42285</v>
      </c>
      <c r="I708">
        <f>IF(AND(MyRowHidden(ROW())=FALSE,MyRowHidden(ROW()-1)=TRUE),0,(E708-E707)*unitsOfDHp+I707)</f>
        <v>314895</v>
      </c>
      <c r="J708">
        <f>IF(AND(MyRowHidden(ROW())=FALSE,MyRowHidden(ROW()-1)=TRUE),0,(G708-G707)*unitsOfExo+J707)</f>
        <v>-1368000</v>
      </c>
      <c r="K708" s="9">
        <f t="shared" si="61"/>
        <v>1368000</v>
      </c>
      <c r="L708">
        <f t="shared" si="62"/>
        <v>-1053105</v>
      </c>
      <c r="M708">
        <f>IF(AND(MyRowHidden(ROW())=FALSE,MyRowHidden(ROW()-1)=TRUE),0,IF(MONTH(H708)&lt;&gt;MONTH(H707),M707+1,M707))</f>
        <v>33</v>
      </c>
      <c r="N708">
        <f t="shared" si="63"/>
        <v>314895</v>
      </c>
      <c r="O708">
        <f>IF(AND(MyRowHidden(ROW())=FALSE,MyRowHidden(ROW()-1)=TRUE),0,IF(M708&lt;totalMonths,(totalMonths-M708)/totalMonths *(I708-I707)+O707,0))</f>
        <v>0</v>
      </c>
      <c r="P708">
        <f>IF(AND(MyRowHidden(ROW())=FALSE,MyRowHidden(ROW()-1)=TRUE),0,IF(M708&lt;totalMonths,(totalMonths-M708)/totalMonths *(J708-J707)+P707,0))</f>
        <v>0</v>
      </c>
      <c r="Q708">
        <f>IF(AND(MyRowHidden(ROW())=FALSE,MyRowHidden(ROW()-1)=TRUE),0,IF(M708&lt;totalMonths,(totalMonths-M708)/totalMonths *(K708-K707)+Q707,0))</f>
        <v>0</v>
      </c>
      <c r="R708">
        <f t="shared" si="64"/>
        <v>314895</v>
      </c>
      <c r="S708">
        <f t="shared" si="65"/>
        <v>0</v>
      </c>
    </row>
    <row r="709" spans="1:19" hidden="1" x14ac:dyDescent="0.25">
      <c r="A709" s="1"/>
      <c r="C709" s="1"/>
      <c r="D709" s="1">
        <v>42286</v>
      </c>
      <c r="E709">
        <v>31935</v>
      </c>
      <c r="F709" s="1">
        <v>42286</v>
      </c>
      <c r="G709">
        <v>-3175</v>
      </c>
      <c r="H709" s="1">
        <f t="shared" si="60"/>
        <v>42286</v>
      </c>
      <c r="I709">
        <f>IF(AND(MyRowHidden(ROW())=FALSE,MyRowHidden(ROW()-1)=TRUE),0,(E709-E708)*unitsOfDHp+I708)</f>
        <v>323260</v>
      </c>
      <c r="J709">
        <f>IF(AND(MyRowHidden(ROW())=FALSE,MyRowHidden(ROW()-1)=TRUE),0,(G709-G708)*unitsOfExo+J708)</f>
        <v>-1461600</v>
      </c>
      <c r="K709" s="9">
        <f t="shared" si="61"/>
        <v>1461600</v>
      </c>
      <c r="L709">
        <f t="shared" si="62"/>
        <v>-1138340</v>
      </c>
      <c r="M709">
        <f>IF(AND(MyRowHidden(ROW())=FALSE,MyRowHidden(ROW()-1)=TRUE),0,IF(MONTH(H709)&lt;&gt;MONTH(H708),M708+1,M708))</f>
        <v>33</v>
      </c>
      <c r="N709">
        <f t="shared" si="63"/>
        <v>323260</v>
      </c>
      <c r="O709">
        <f>IF(AND(MyRowHidden(ROW())=FALSE,MyRowHidden(ROW()-1)=TRUE),0,IF(M709&lt;totalMonths,(totalMonths-M709)/totalMonths *(I709-I708)+O708,0))</f>
        <v>0</v>
      </c>
      <c r="P709">
        <f>IF(AND(MyRowHidden(ROW())=FALSE,MyRowHidden(ROW()-1)=TRUE),0,IF(M709&lt;totalMonths,(totalMonths-M709)/totalMonths *(J709-J708)+P708,0))</f>
        <v>0</v>
      </c>
      <c r="Q709">
        <f>IF(AND(MyRowHidden(ROW())=FALSE,MyRowHidden(ROW()-1)=TRUE),0,IF(M709&lt;totalMonths,(totalMonths-M709)/totalMonths *(K709-K708)+Q708,0))</f>
        <v>0</v>
      </c>
      <c r="R709">
        <f t="shared" si="64"/>
        <v>323260</v>
      </c>
      <c r="S709">
        <f t="shared" si="65"/>
        <v>0</v>
      </c>
    </row>
    <row r="710" spans="1:19" hidden="1" x14ac:dyDescent="0.25">
      <c r="A710" s="1"/>
      <c r="C710" s="1"/>
      <c r="D710" s="1">
        <v>42290</v>
      </c>
      <c r="E710">
        <v>32021</v>
      </c>
      <c r="F710" s="1">
        <v>42290</v>
      </c>
      <c r="G710">
        <v>-3237.5</v>
      </c>
      <c r="H710" s="1">
        <f t="shared" si="60"/>
        <v>42290</v>
      </c>
      <c r="I710">
        <f>IF(AND(MyRowHidden(ROW())=FALSE,MyRowHidden(ROW()-1)=TRUE),0,(E710-E709)*unitsOfDHp+I709)</f>
        <v>326270</v>
      </c>
      <c r="J710">
        <f>IF(AND(MyRowHidden(ROW())=FALSE,MyRowHidden(ROW()-1)=TRUE),0,(G710-G709)*unitsOfExo+J709)</f>
        <v>-1479600</v>
      </c>
      <c r="K710" s="9">
        <f t="shared" si="61"/>
        <v>1479600</v>
      </c>
      <c r="L710">
        <f t="shared" si="62"/>
        <v>-1153330</v>
      </c>
      <c r="M710">
        <f>IF(AND(MyRowHidden(ROW())=FALSE,MyRowHidden(ROW()-1)=TRUE),0,IF(MONTH(H710)&lt;&gt;MONTH(H709),M709+1,M709))</f>
        <v>33</v>
      </c>
      <c r="N710">
        <f t="shared" si="63"/>
        <v>326270</v>
      </c>
      <c r="O710">
        <f>IF(AND(MyRowHidden(ROW())=FALSE,MyRowHidden(ROW()-1)=TRUE),0,IF(M710&lt;totalMonths,(totalMonths-M710)/totalMonths *(I710-I709)+O709,0))</f>
        <v>0</v>
      </c>
      <c r="P710">
        <f>IF(AND(MyRowHidden(ROW())=FALSE,MyRowHidden(ROW()-1)=TRUE),0,IF(M710&lt;totalMonths,(totalMonths-M710)/totalMonths *(J710-J709)+P709,0))</f>
        <v>0</v>
      </c>
      <c r="Q710">
        <f>IF(AND(MyRowHidden(ROW())=FALSE,MyRowHidden(ROW()-1)=TRUE),0,IF(M710&lt;totalMonths,(totalMonths-M710)/totalMonths *(K710-K709)+Q709,0))</f>
        <v>0</v>
      </c>
      <c r="R710">
        <f t="shared" si="64"/>
        <v>326270</v>
      </c>
      <c r="S710">
        <f t="shared" si="65"/>
        <v>0</v>
      </c>
    </row>
    <row r="711" spans="1:19" hidden="1" x14ac:dyDescent="0.25">
      <c r="A711" s="1"/>
      <c r="C711" s="1"/>
      <c r="D711" s="1">
        <v>42291</v>
      </c>
      <c r="E711">
        <v>31735</v>
      </c>
      <c r="F711" s="1">
        <v>42291</v>
      </c>
      <c r="G711">
        <v>-3487.5</v>
      </c>
      <c r="H711" s="1">
        <f t="shared" si="60"/>
        <v>42291</v>
      </c>
      <c r="I711">
        <f>IF(AND(MyRowHidden(ROW())=FALSE,MyRowHidden(ROW()-1)=TRUE),0,(E711-E710)*unitsOfDHp+I710)</f>
        <v>316260</v>
      </c>
      <c r="J711">
        <f>IF(AND(MyRowHidden(ROW())=FALSE,MyRowHidden(ROW()-1)=TRUE),0,(G711-G710)*unitsOfExo+J710)</f>
        <v>-1551600</v>
      </c>
      <c r="K711" s="9">
        <f t="shared" si="61"/>
        <v>1551600</v>
      </c>
      <c r="L711">
        <f t="shared" si="62"/>
        <v>-1235340</v>
      </c>
      <c r="M711">
        <f>IF(AND(MyRowHidden(ROW())=FALSE,MyRowHidden(ROW()-1)=TRUE),0,IF(MONTH(H711)&lt;&gt;MONTH(H710),M710+1,M710))</f>
        <v>33</v>
      </c>
      <c r="N711">
        <f t="shared" si="63"/>
        <v>316260</v>
      </c>
      <c r="O711">
        <f>IF(AND(MyRowHidden(ROW())=FALSE,MyRowHidden(ROW()-1)=TRUE),0,IF(M711&lt;totalMonths,(totalMonths-M711)/totalMonths *(I711-I710)+O710,0))</f>
        <v>0</v>
      </c>
      <c r="P711">
        <f>IF(AND(MyRowHidden(ROW())=FALSE,MyRowHidden(ROW()-1)=TRUE),0,IF(M711&lt;totalMonths,(totalMonths-M711)/totalMonths *(J711-J710)+P710,0))</f>
        <v>0</v>
      </c>
      <c r="Q711">
        <f>IF(AND(MyRowHidden(ROW())=FALSE,MyRowHidden(ROW()-1)=TRUE),0,IF(M711&lt;totalMonths,(totalMonths-M711)/totalMonths *(K711-K710)+Q710,0))</f>
        <v>0</v>
      </c>
      <c r="R711">
        <f t="shared" si="64"/>
        <v>316260</v>
      </c>
      <c r="S711">
        <f t="shared" si="65"/>
        <v>0</v>
      </c>
    </row>
    <row r="712" spans="1:19" hidden="1" x14ac:dyDescent="0.25">
      <c r="A712" s="1"/>
      <c r="C712" s="1"/>
      <c r="D712" s="1">
        <v>42292</v>
      </c>
      <c r="E712">
        <v>31508</v>
      </c>
      <c r="F712" s="1">
        <v>42292</v>
      </c>
      <c r="G712">
        <v>-3662.5</v>
      </c>
      <c r="H712" s="1">
        <f t="shared" si="60"/>
        <v>42292</v>
      </c>
      <c r="I712">
        <f>IF(AND(MyRowHidden(ROW())=FALSE,MyRowHidden(ROW()-1)=TRUE),0,(E712-E711)*unitsOfDHp+I711)</f>
        <v>308315</v>
      </c>
      <c r="J712">
        <f>IF(AND(MyRowHidden(ROW())=FALSE,MyRowHidden(ROW()-1)=TRUE),0,(G712-G711)*unitsOfExo+J711)</f>
        <v>-1602000</v>
      </c>
      <c r="K712" s="9">
        <f t="shared" si="61"/>
        <v>1602000</v>
      </c>
      <c r="L712">
        <f t="shared" si="62"/>
        <v>-1293685</v>
      </c>
      <c r="M712">
        <f>IF(AND(MyRowHidden(ROW())=FALSE,MyRowHidden(ROW()-1)=TRUE),0,IF(MONTH(H712)&lt;&gt;MONTH(H711),M711+1,M711))</f>
        <v>33</v>
      </c>
      <c r="N712">
        <f t="shared" si="63"/>
        <v>308315</v>
      </c>
      <c r="O712">
        <f>IF(AND(MyRowHidden(ROW())=FALSE,MyRowHidden(ROW()-1)=TRUE),0,IF(M712&lt;totalMonths,(totalMonths-M712)/totalMonths *(I712-I711)+O711,0))</f>
        <v>0</v>
      </c>
      <c r="P712">
        <f>IF(AND(MyRowHidden(ROW())=FALSE,MyRowHidden(ROW()-1)=TRUE),0,IF(M712&lt;totalMonths,(totalMonths-M712)/totalMonths *(J712-J711)+P711,0))</f>
        <v>0</v>
      </c>
      <c r="Q712">
        <f>IF(AND(MyRowHidden(ROW())=FALSE,MyRowHidden(ROW()-1)=TRUE),0,IF(M712&lt;totalMonths,(totalMonths-M712)/totalMonths *(K712-K711)+Q711,0))</f>
        <v>0</v>
      </c>
      <c r="R712">
        <f t="shared" si="64"/>
        <v>308315</v>
      </c>
      <c r="S712">
        <f t="shared" si="65"/>
        <v>0</v>
      </c>
    </row>
    <row r="713" spans="1:19" hidden="1" x14ac:dyDescent="0.25">
      <c r="A713" s="1"/>
      <c r="C713" s="1"/>
      <c r="D713" s="1">
        <v>42293</v>
      </c>
      <c r="E713">
        <v>31522</v>
      </c>
      <c r="F713" s="1">
        <v>42293</v>
      </c>
      <c r="G713">
        <v>-3637.5</v>
      </c>
      <c r="H713" s="1">
        <f t="shared" si="60"/>
        <v>42293</v>
      </c>
      <c r="I713">
        <f>IF(AND(MyRowHidden(ROW())=FALSE,MyRowHidden(ROW()-1)=TRUE),0,(E713-E712)*unitsOfDHp+I712)</f>
        <v>308805</v>
      </c>
      <c r="J713">
        <f>IF(AND(MyRowHidden(ROW())=FALSE,MyRowHidden(ROW()-1)=TRUE),0,(G713-G712)*unitsOfExo+J712)</f>
        <v>-1594800</v>
      </c>
      <c r="K713" s="9">
        <f t="shared" si="61"/>
        <v>1594800</v>
      </c>
      <c r="L713">
        <f t="shared" si="62"/>
        <v>-1285995</v>
      </c>
      <c r="M713">
        <f>IF(AND(MyRowHidden(ROW())=FALSE,MyRowHidden(ROW()-1)=TRUE),0,IF(MONTH(H713)&lt;&gt;MONTH(H712),M712+1,M712))</f>
        <v>33</v>
      </c>
      <c r="N713">
        <f t="shared" si="63"/>
        <v>308805</v>
      </c>
      <c r="O713">
        <f>IF(AND(MyRowHidden(ROW())=FALSE,MyRowHidden(ROW()-1)=TRUE),0,IF(M713&lt;totalMonths,(totalMonths-M713)/totalMonths *(I713-I712)+O712,0))</f>
        <v>0</v>
      </c>
      <c r="P713">
        <f>IF(AND(MyRowHidden(ROW())=FALSE,MyRowHidden(ROW()-1)=TRUE),0,IF(M713&lt;totalMonths,(totalMonths-M713)/totalMonths *(J713-J712)+P712,0))</f>
        <v>0</v>
      </c>
      <c r="Q713">
        <f>IF(AND(MyRowHidden(ROW())=FALSE,MyRowHidden(ROW()-1)=TRUE),0,IF(M713&lt;totalMonths,(totalMonths-M713)/totalMonths *(K713-K712)+Q712,0))</f>
        <v>0</v>
      </c>
      <c r="R713">
        <f t="shared" si="64"/>
        <v>308805</v>
      </c>
      <c r="S713">
        <f t="shared" si="65"/>
        <v>0</v>
      </c>
    </row>
    <row r="714" spans="1:19" hidden="1" x14ac:dyDescent="0.25">
      <c r="A714" s="1"/>
      <c r="C714" s="1"/>
      <c r="D714" s="1">
        <v>42296</v>
      </c>
      <c r="E714">
        <v>31225</v>
      </c>
      <c r="F714" s="1">
        <v>42296</v>
      </c>
      <c r="G714">
        <v>-3762.5</v>
      </c>
      <c r="H714" s="1">
        <f t="shared" si="60"/>
        <v>42296</v>
      </c>
      <c r="I714">
        <f>IF(AND(MyRowHidden(ROW())=FALSE,MyRowHidden(ROW()-1)=TRUE),0,(E714-E713)*unitsOfDHp+I713)</f>
        <v>298410</v>
      </c>
      <c r="J714">
        <f>IF(AND(MyRowHidden(ROW())=FALSE,MyRowHidden(ROW()-1)=TRUE),0,(G714-G713)*unitsOfExo+J713)</f>
        <v>-1630800</v>
      </c>
      <c r="K714" s="9">
        <f t="shared" si="61"/>
        <v>1630800</v>
      </c>
      <c r="L714">
        <f t="shared" si="62"/>
        <v>-1332390</v>
      </c>
      <c r="M714">
        <f>IF(AND(MyRowHidden(ROW())=FALSE,MyRowHidden(ROW()-1)=TRUE),0,IF(MONTH(H714)&lt;&gt;MONTH(H713),M713+1,M713))</f>
        <v>33</v>
      </c>
      <c r="N714">
        <f t="shared" si="63"/>
        <v>298410</v>
      </c>
      <c r="O714">
        <f>IF(AND(MyRowHidden(ROW())=FALSE,MyRowHidden(ROW()-1)=TRUE),0,IF(M714&lt;totalMonths,(totalMonths-M714)/totalMonths *(I714-I713)+O713,0))</f>
        <v>0</v>
      </c>
      <c r="P714">
        <f>IF(AND(MyRowHidden(ROW())=FALSE,MyRowHidden(ROW()-1)=TRUE),0,IF(M714&lt;totalMonths,(totalMonths-M714)/totalMonths *(J714-J713)+P713,0))</f>
        <v>0</v>
      </c>
      <c r="Q714">
        <f>IF(AND(MyRowHidden(ROW())=FALSE,MyRowHidden(ROW()-1)=TRUE),0,IF(M714&lt;totalMonths,(totalMonths-M714)/totalMonths *(K714-K713)+Q713,0))</f>
        <v>0</v>
      </c>
      <c r="R714">
        <f t="shared" si="64"/>
        <v>298410</v>
      </c>
      <c r="S714">
        <f t="shared" si="65"/>
        <v>0</v>
      </c>
    </row>
    <row r="715" spans="1:19" hidden="1" x14ac:dyDescent="0.25">
      <c r="A715" s="1"/>
      <c r="C715" s="1"/>
      <c r="D715" s="1">
        <v>42297</v>
      </c>
      <c r="E715">
        <v>31240</v>
      </c>
      <c r="F715" s="1">
        <v>42297</v>
      </c>
      <c r="G715">
        <v>-3687.5</v>
      </c>
      <c r="H715" s="1">
        <f t="shared" si="60"/>
        <v>42297</v>
      </c>
      <c r="I715">
        <f>IF(AND(MyRowHidden(ROW())=FALSE,MyRowHidden(ROW()-1)=TRUE),0,(E715-E714)*unitsOfDHp+I714)</f>
        <v>298935</v>
      </c>
      <c r="J715">
        <f>IF(AND(MyRowHidden(ROW())=FALSE,MyRowHidden(ROW()-1)=TRUE),0,(G715-G714)*unitsOfExo+J714)</f>
        <v>-1609200</v>
      </c>
      <c r="K715" s="9">
        <f t="shared" si="61"/>
        <v>1609200</v>
      </c>
      <c r="L715">
        <f t="shared" si="62"/>
        <v>-1310265</v>
      </c>
      <c r="M715">
        <f>IF(AND(MyRowHidden(ROW())=FALSE,MyRowHidden(ROW()-1)=TRUE),0,IF(MONTH(H715)&lt;&gt;MONTH(H714),M714+1,M714))</f>
        <v>33</v>
      </c>
      <c r="N715">
        <f t="shared" si="63"/>
        <v>298935</v>
      </c>
      <c r="O715">
        <f>IF(AND(MyRowHidden(ROW())=FALSE,MyRowHidden(ROW()-1)=TRUE),0,IF(M715&lt;totalMonths,(totalMonths-M715)/totalMonths *(I715-I714)+O714,0))</f>
        <v>0</v>
      </c>
      <c r="P715">
        <f>IF(AND(MyRowHidden(ROW())=FALSE,MyRowHidden(ROW()-1)=TRUE),0,IF(M715&lt;totalMonths,(totalMonths-M715)/totalMonths *(J715-J714)+P714,0))</f>
        <v>0</v>
      </c>
      <c r="Q715">
        <f>IF(AND(MyRowHidden(ROW())=FALSE,MyRowHidden(ROW()-1)=TRUE),0,IF(M715&lt;totalMonths,(totalMonths-M715)/totalMonths *(K715-K714)+Q714,0))</f>
        <v>0</v>
      </c>
      <c r="R715">
        <f t="shared" si="64"/>
        <v>298935</v>
      </c>
      <c r="S715">
        <f t="shared" si="65"/>
        <v>0</v>
      </c>
    </row>
    <row r="716" spans="1:19" hidden="1" x14ac:dyDescent="0.25">
      <c r="A716" s="1"/>
      <c r="C716" s="1"/>
      <c r="D716" s="1">
        <v>42298</v>
      </c>
      <c r="E716">
        <v>31705</v>
      </c>
      <c r="F716" s="1">
        <v>42298</v>
      </c>
      <c r="G716">
        <v>-3425</v>
      </c>
      <c r="H716" s="1">
        <f t="shared" si="60"/>
        <v>42298</v>
      </c>
      <c r="I716">
        <f>IF(AND(MyRowHidden(ROW())=FALSE,MyRowHidden(ROW()-1)=TRUE),0,(E716-E715)*unitsOfDHp+I715)</f>
        <v>315210</v>
      </c>
      <c r="J716">
        <f>IF(AND(MyRowHidden(ROW())=FALSE,MyRowHidden(ROW()-1)=TRUE),0,(G716-G715)*unitsOfExo+J715)</f>
        <v>-1533600</v>
      </c>
      <c r="K716" s="9">
        <f t="shared" si="61"/>
        <v>1533600</v>
      </c>
      <c r="L716">
        <f t="shared" si="62"/>
        <v>-1218390</v>
      </c>
      <c r="M716">
        <f>IF(AND(MyRowHidden(ROW())=FALSE,MyRowHidden(ROW()-1)=TRUE),0,IF(MONTH(H716)&lt;&gt;MONTH(H715),M715+1,M715))</f>
        <v>33</v>
      </c>
      <c r="N716">
        <f t="shared" si="63"/>
        <v>315210</v>
      </c>
      <c r="O716">
        <f>IF(AND(MyRowHidden(ROW())=FALSE,MyRowHidden(ROW()-1)=TRUE),0,IF(M716&lt;totalMonths,(totalMonths-M716)/totalMonths *(I716-I715)+O715,0))</f>
        <v>0</v>
      </c>
      <c r="P716">
        <f>IF(AND(MyRowHidden(ROW())=FALSE,MyRowHidden(ROW()-1)=TRUE),0,IF(M716&lt;totalMonths,(totalMonths-M716)/totalMonths *(J716-J715)+P715,0))</f>
        <v>0</v>
      </c>
      <c r="Q716">
        <f>IF(AND(MyRowHidden(ROW())=FALSE,MyRowHidden(ROW()-1)=TRUE),0,IF(M716&lt;totalMonths,(totalMonths-M716)/totalMonths *(K716-K715)+Q715,0))</f>
        <v>0</v>
      </c>
      <c r="R716">
        <f t="shared" si="64"/>
        <v>315210</v>
      </c>
      <c r="S716">
        <f t="shared" si="65"/>
        <v>0</v>
      </c>
    </row>
    <row r="717" spans="1:19" hidden="1" x14ac:dyDescent="0.25">
      <c r="A717" s="1"/>
      <c r="C717" s="1"/>
      <c r="D717" s="1">
        <v>42299</v>
      </c>
      <c r="E717">
        <v>31587</v>
      </c>
      <c r="F717" s="1">
        <v>42299</v>
      </c>
      <c r="G717">
        <v>-3487.5</v>
      </c>
      <c r="H717" s="1">
        <f t="shared" ref="H717:H780" si="66">D717</f>
        <v>42299</v>
      </c>
      <c r="I717">
        <f>IF(AND(MyRowHidden(ROW())=FALSE,MyRowHidden(ROW()-1)=TRUE),0,(E717-E716)*unitsOfDHp+I716)</f>
        <v>311080</v>
      </c>
      <c r="J717">
        <f>IF(AND(MyRowHidden(ROW())=FALSE,MyRowHidden(ROW()-1)=TRUE),0,(G717-G716)*unitsOfExo+J716)</f>
        <v>-1551600</v>
      </c>
      <c r="K717" s="9">
        <f t="shared" ref="K717:K780" si="67">-(J717-J716)+K716</f>
        <v>1551600</v>
      </c>
      <c r="L717">
        <f t="shared" ref="L717:L780" si="68">I717+J717</f>
        <v>-1240520</v>
      </c>
      <c r="M717">
        <f>IF(AND(MyRowHidden(ROW())=FALSE,MyRowHidden(ROW()-1)=TRUE),0,IF(MONTH(H717)&lt;&gt;MONTH(H716),M716+1,M716))</f>
        <v>33</v>
      </c>
      <c r="N717">
        <f t="shared" ref="N717:N780" si="69">I717</f>
        <v>311080</v>
      </c>
      <c r="O717">
        <f>IF(AND(MyRowHidden(ROW())=FALSE,MyRowHidden(ROW()-1)=TRUE),0,IF(M717&lt;totalMonths,(totalMonths-M717)/totalMonths *(I717-I716)+O716,0))</f>
        <v>0</v>
      </c>
      <c r="P717">
        <f>IF(AND(MyRowHidden(ROW())=FALSE,MyRowHidden(ROW()-1)=TRUE),0,IF(M717&lt;totalMonths,(totalMonths-M717)/totalMonths *(J717-J716)+P716,0))</f>
        <v>0</v>
      </c>
      <c r="Q717">
        <f>IF(AND(MyRowHidden(ROW())=FALSE,MyRowHidden(ROW()-1)=TRUE),0,IF(M717&lt;totalMonths,(totalMonths-M717)/totalMonths *(K717-K716)+Q716,0))</f>
        <v>0</v>
      </c>
      <c r="R717">
        <f t="shared" ref="R717:R780" si="70">N717+P717</f>
        <v>311080</v>
      </c>
      <c r="S717">
        <f t="shared" ref="S717:S780" si="71">O717+P717</f>
        <v>0</v>
      </c>
    </row>
    <row r="718" spans="1:19" hidden="1" x14ac:dyDescent="0.25">
      <c r="A718" s="1"/>
      <c r="C718" s="1"/>
      <c r="D718" s="1">
        <v>42300</v>
      </c>
      <c r="E718">
        <v>31508</v>
      </c>
      <c r="F718" s="1">
        <v>42300</v>
      </c>
      <c r="G718">
        <v>-3537.5</v>
      </c>
      <c r="H718" s="1">
        <f t="shared" si="66"/>
        <v>42300</v>
      </c>
      <c r="I718">
        <f>IF(AND(MyRowHidden(ROW())=FALSE,MyRowHidden(ROW()-1)=TRUE),0,(E718-E717)*unitsOfDHp+I717)</f>
        <v>308315</v>
      </c>
      <c r="J718">
        <f>IF(AND(MyRowHidden(ROW())=FALSE,MyRowHidden(ROW()-1)=TRUE),0,(G718-G717)*unitsOfExo+J717)</f>
        <v>-1566000</v>
      </c>
      <c r="K718" s="9">
        <f t="shared" si="67"/>
        <v>1566000</v>
      </c>
      <c r="L718">
        <f t="shared" si="68"/>
        <v>-1257685</v>
      </c>
      <c r="M718">
        <f>IF(AND(MyRowHidden(ROW())=FALSE,MyRowHidden(ROW()-1)=TRUE),0,IF(MONTH(H718)&lt;&gt;MONTH(H717),M717+1,M717))</f>
        <v>33</v>
      </c>
      <c r="N718">
        <f t="shared" si="69"/>
        <v>308315</v>
      </c>
      <c r="O718">
        <f>IF(AND(MyRowHidden(ROW())=FALSE,MyRowHidden(ROW()-1)=TRUE),0,IF(M718&lt;totalMonths,(totalMonths-M718)/totalMonths *(I718-I717)+O717,0))</f>
        <v>0</v>
      </c>
      <c r="P718">
        <f>IF(AND(MyRowHidden(ROW())=FALSE,MyRowHidden(ROW()-1)=TRUE),0,IF(M718&lt;totalMonths,(totalMonths-M718)/totalMonths *(J718-J717)+P717,0))</f>
        <v>0</v>
      </c>
      <c r="Q718">
        <f>IF(AND(MyRowHidden(ROW())=FALSE,MyRowHidden(ROW()-1)=TRUE),0,IF(M718&lt;totalMonths,(totalMonths-M718)/totalMonths *(K718-K717)+Q717,0))</f>
        <v>0</v>
      </c>
      <c r="R718">
        <f t="shared" si="70"/>
        <v>308315</v>
      </c>
      <c r="S718">
        <f t="shared" si="71"/>
        <v>0</v>
      </c>
    </row>
    <row r="719" spans="1:19" hidden="1" x14ac:dyDescent="0.25">
      <c r="A719" s="1"/>
      <c r="C719" s="1"/>
      <c r="D719" s="1">
        <v>42303</v>
      </c>
      <c r="E719">
        <v>31809</v>
      </c>
      <c r="F719" s="1">
        <v>42303</v>
      </c>
      <c r="G719">
        <v>-3237.5</v>
      </c>
      <c r="H719" s="1">
        <f t="shared" si="66"/>
        <v>42303</v>
      </c>
      <c r="I719">
        <f>IF(AND(MyRowHidden(ROW())=FALSE,MyRowHidden(ROW()-1)=TRUE),0,(E719-E718)*unitsOfDHp+I718)</f>
        <v>318850</v>
      </c>
      <c r="J719">
        <f>IF(AND(MyRowHidden(ROW())=FALSE,MyRowHidden(ROW()-1)=TRUE),0,(G719-G718)*unitsOfExo+J718)</f>
        <v>-1479600</v>
      </c>
      <c r="K719" s="9">
        <f t="shared" si="67"/>
        <v>1479600</v>
      </c>
      <c r="L719">
        <f t="shared" si="68"/>
        <v>-1160750</v>
      </c>
      <c r="M719">
        <f>IF(AND(MyRowHidden(ROW())=FALSE,MyRowHidden(ROW()-1)=TRUE),0,IF(MONTH(H719)&lt;&gt;MONTH(H718),M718+1,M718))</f>
        <v>33</v>
      </c>
      <c r="N719">
        <f t="shared" si="69"/>
        <v>318850</v>
      </c>
      <c r="O719">
        <f>IF(AND(MyRowHidden(ROW())=FALSE,MyRowHidden(ROW()-1)=TRUE),0,IF(M719&lt;totalMonths,(totalMonths-M719)/totalMonths *(I719-I718)+O718,0))</f>
        <v>0</v>
      </c>
      <c r="P719">
        <f>IF(AND(MyRowHidden(ROW())=FALSE,MyRowHidden(ROW()-1)=TRUE),0,IF(M719&lt;totalMonths,(totalMonths-M719)/totalMonths *(J719-J718)+P718,0))</f>
        <v>0</v>
      </c>
      <c r="Q719">
        <f>IF(AND(MyRowHidden(ROW())=FALSE,MyRowHidden(ROW()-1)=TRUE),0,IF(M719&lt;totalMonths,(totalMonths-M719)/totalMonths *(K719-K718)+Q718,0))</f>
        <v>0</v>
      </c>
      <c r="R719">
        <f t="shared" si="70"/>
        <v>318850</v>
      </c>
      <c r="S719">
        <f t="shared" si="71"/>
        <v>0</v>
      </c>
    </row>
    <row r="720" spans="1:19" hidden="1" x14ac:dyDescent="0.25">
      <c r="A720" s="1"/>
      <c r="C720" s="1"/>
      <c r="D720" s="1">
        <v>42304</v>
      </c>
      <c r="E720">
        <v>31883</v>
      </c>
      <c r="F720" s="1">
        <v>42304</v>
      </c>
      <c r="G720">
        <v>-3375</v>
      </c>
      <c r="H720" s="1">
        <f t="shared" si="66"/>
        <v>42304</v>
      </c>
      <c r="I720">
        <f>IF(AND(MyRowHidden(ROW())=FALSE,MyRowHidden(ROW()-1)=TRUE),0,(E720-E719)*unitsOfDHp+I719)</f>
        <v>321440</v>
      </c>
      <c r="J720">
        <f>IF(AND(MyRowHidden(ROW())=FALSE,MyRowHidden(ROW()-1)=TRUE),0,(G720-G719)*unitsOfExo+J719)</f>
        <v>-1519200</v>
      </c>
      <c r="K720" s="9">
        <f t="shared" si="67"/>
        <v>1519200</v>
      </c>
      <c r="L720">
        <f t="shared" si="68"/>
        <v>-1197760</v>
      </c>
      <c r="M720">
        <f>IF(AND(MyRowHidden(ROW())=FALSE,MyRowHidden(ROW()-1)=TRUE),0,IF(MONTH(H720)&lt;&gt;MONTH(H719),M719+1,M719))</f>
        <v>33</v>
      </c>
      <c r="N720">
        <f t="shared" si="69"/>
        <v>321440</v>
      </c>
      <c r="O720">
        <f>IF(AND(MyRowHidden(ROW())=FALSE,MyRowHidden(ROW()-1)=TRUE),0,IF(M720&lt;totalMonths,(totalMonths-M720)/totalMonths *(I720-I719)+O719,0))</f>
        <v>0</v>
      </c>
      <c r="P720">
        <f>IF(AND(MyRowHidden(ROW())=FALSE,MyRowHidden(ROW()-1)=TRUE),0,IF(M720&lt;totalMonths,(totalMonths-M720)/totalMonths *(J720-J719)+P719,0))</f>
        <v>0</v>
      </c>
      <c r="Q720">
        <f>IF(AND(MyRowHidden(ROW())=FALSE,MyRowHidden(ROW()-1)=TRUE),0,IF(M720&lt;totalMonths,(totalMonths-M720)/totalMonths *(K720-K719)+Q719,0))</f>
        <v>0</v>
      </c>
      <c r="R720">
        <f t="shared" si="70"/>
        <v>321440</v>
      </c>
      <c r="S720">
        <f t="shared" si="71"/>
        <v>0</v>
      </c>
    </row>
    <row r="721" spans="1:19" hidden="1" x14ac:dyDescent="0.25">
      <c r="A721" s="1"/>
      <c r="C721" s="1"/>
      <c r="D721" s="1">
        <v>42305</v>
      </c>
      <c r="E721">
        <v>32154</v>
      </c>
      <c r="F721" s="1">
        <v>42305</v>
      </c>
      <c r="G721">
        <v>-3637.5</v>
      </c>
      <c r="H721" s="1">
        <f t="shared" si="66"/>
        <v>42305</v>
      </c>
      <c r="I721">
        <f>IF(AND(MyRowHidden(ROW())=FALSE,MyRowHidden(ROW()-1)=TRUE),0,(E721-E720)*unitsOfDHp+I720)</f>
        <v>330925</v>
      </c>
      <c r="J721">
        <f>IF(AND(MyRowHidden(ROW())=FALSE,MyRowHidden(ROW()-1)=TRUE),0,(G721-G720)*unitsOfExo+J720)</f>
        <v>-1594800</v>
      </c>
      <c r="K721" s="9">
        <f t="shared" si="67"/>
        <v>1594800</v>
      </c>
      <c r="L721">
        <f t="shared" si="68"/>
        <v>-1263875</v>
      </c>
      <c r="M721">
        <f>IF(AND(MyRowHidden(ROW())=FALSE,MyRowHidden(ROW()-1)=TRUE),0,IF(MONTH(H721)&lt;&gt;MONTH(H720),M720+1,M720))</f>
        <v>33</v>
      </c>
      <c r="N721">
        <f t="shared" si="69"/>
        <v>330925</v>
      </c>
      <c r="O721">
        <f>IF(AND(MyRowHidden(ROW())=FALSE,MyRowHidden(ROW()-1)=TRUE),0,IF(M721&lt;totalMonths,(totalMonths-M721)/totalMonths *(I721-I720)+O720,0))</f>
        <v>0</v>
      </c>
      <c r="P721">
        <f>IF(AND(MyRowHidden(ROW())=FALSE,MyRowHidden(ROW()-1)=TRUE),0,IF(M721&lt;totalMonths,(totalMonths-M721)/totalMonths *(J721-J720)+P720,0))</f>
        <v>0</v>
      </c>
      <c r="Q721">
        <f>IF(AND(MyRowHidden(ROW())=FALSE,MyRowHidden(ROW()-1)=TRUE),0,IF(M721&lt;totalMonths,(totalMonths-M721)/totalMonths *(K721-K720)+Q720,0))</f>
        <v>0</v>
      </c>
      <c r="R721">
        <f t="shared" si="70"/>
        <v>330925</v>
      </c>
      <c r="S721">
        <f t="shared" si="71"/>
        <v>0</v>
      </c>
    </row>
    <row r="722" spans="1:19" hidden="1" x14ac:dyDescent="0.25">
      <c r="A722" s="1"/>
      <c r="C722" s="1"/>
      <c r="D722" s="1">
        <v>42306</v>
      </c>
      <c r="E722">
        <v>31909</v>
      </c>
      <c r="F722" s="1">
        <v>42306</v>
      </c>
      <c r="G722">
        <v>-3475</v>
      </c>
      <c r="H722" s="1">
        <f t="shared" si="66"/>
        <v>42306</v>
      </c>
      <c r="I722">
        <f>IF(AND(MyRowHidden(ROW())=FALSE,MyRowHidden(ROW()-1)=TRUE),0,(E722-E721)*unitsOfDHp+I721)</f>
        <v>322350</v>
      </c>
      <c r="J722">
        <f>IF(AND(MyRowHidden(ROW())=FALSE,MyRowHidden(ROW()-1)=TRUE),0,(G722-G721)*unitsOfExo+J721)</f>
        <v>-1548000</v>
      </c>
      <c r="K722" s="9">
        <f t="shared" si="67"/>
        <v>1548000</v>
      </c>
      <c r="L722">
        <f t="shared" si="68"/>
        <v>-1225650</v>
      </c>
      <c r="M722">
        <f>IF(AND(MyRowHidden(ROW())=FALSE,MyRowHidden(ROW()-1)=TRUE),0,IF(MONTH(H722)&lt;&gt;MONTH(H721),M721+1,M721))</f>
        <v>33</v>
      </c>
      <c r="N722">
        <f t="shared" si="69"/>
        <v>322350</v>
      </c>
      <c r="O722">
        <f>IF(AND(MyRowHidden(ROW())=FALSE,MyRowHidden(ROW()-1)=TRUE),0,IF(M722&lt;totalMonths,(totalMonths-M722)/totalMonths *(I722-I721)+O721,0))</f>
        <v>0</v>
      </c>
      <c r="P722">
        <f>IF(AND(MyRowHidden(ROW())=FALSE,MyRowHidden(ROW()-1)=TRUE),0,IF(M722&lt;totalMonths,(totalMonths-M722)/totalMonths *(J722-J721)+P721,0))</f>
        <v>0</v>
      </c>
      <c r="Q722">
        <f>IF(AND(MyRowHidden(ROW())=FALSE,MyRowHidden(ROW()-1)=TRUE),0,IF(M722&lt;totalMonths,(totalMonths-M722)/totalMonths *(K722-K721)+Q721,0))</f>
        <v>0</v>
      </c>
      <c r="R722">
        <f t="shared" si="70"/>
        <v>322350</v>
      </c>
      <c r="S722">
        <f t="shared" si="71"/>
        <v>0</v>
      </c>
    </row>
    <row r="723" spans="1:19" hidden="1" x14ac:dyDescent="0.25">
      <c r="A723" s="1"/>
      <c r="C723" s="1"/>
      <c r="D723" s="1">
        <v>42307</v>
      </c>
      <c r="E723">
        <v>31740</v>
      </c>
      <c r="F723" s="1">
        <v>42307</v>
      </c>
      <c r="G723">
        <v>-3337.5</v>
      </c>
      <c r="H723" s="1">
        <f t="shared" si="66"/>
        <v>42307</v>
      </c>
      <c r="I723">
        <f>IF(AND(MyRowHidden(ROW())=FALSE,MyRowHidden(ROW()-1)=TRUE),0,(E723-E722)*unitsOfDHp+I722)</f>
        <v>316435</v>
      </c>
      <c r="J723">
        <f>IF(AND(MyRowHidden(ROW())=FALSE,MyRowHidden(ROW()-1)=TRUE),0,(G723-G722)*unitsOfExo+J722)</f>
        <v>-1508400</v>
      </c>
      <c r="K723" s="9">
        <f t="shared" si="67"/>
        <v>1508400</v>
      </c>
      <c r="L723">
        <f t="shared" si="68"/>
        <v>-1191965</v>
      </c>
      <c r="M723">
        <f>IF(AND(MyRowHidden(ROW())=FALSE,MyRowHidden(ROW()-1)=TRUE),0,IF(MONTH(H723)&lt;&gt;MONTH(H722),M722+1,M722))</f>
        <v>33</v>
      </c>
      <c r="N723">
        <f t="shared" si="69"/>
        <v>316435</v>
      </c>
      <c r="O723">
        <f>IF(AND(MyRowHidden(ROW())=FALSE,MyRowHidden(ROW()-1)=TRUE),0,IF(M723&lt;totalMonths,(totalMonths-M723)/totalMonths *(I723-I722)+O722,0))</f>
        <v>0</v>
      </c>
      <c r="P723">
        <f>IF(AND(MyRowHidden(ROW())=FALSE,MyRowHidden(ROW()-1)=TRUE),0,IF(M723&lt;totalMonths,(totalMonths-M723)/totalMonths *(J723-J722)+P722,0))</f>
        <v>0</v>
      </c>
      <c r="Q723">
        <f>IF(AND(MyRowHidden(ROW())=FALSE,MyRowHidden(ROW()-1)=TRUE),0,IF(M723&lt;totalMonths,(totalMonths-M723)/totalMonths *(K723-K722)+Q722,0))</f>
        <v>0</v>
      </c>
      <c r="R723">
        <f t="shared" si="70"/>
        <v>316435</v>
      </c>
      <c r="S723">
        <f t="shared" si="71"/>
        <v>0</v>
      </c>
    </row>
    <row r="724" spans="1:19" hidden="1" x14ac:dyDescent="0.25">
      <c r="A724" s="1"/>
      <c r="C724" s="1"/>
      <c r="D724" s="1">
        <v>42310</v>
      </c>
      <c r="E724">
        <v>31950</v>
      </c>
      <c r="F724" s="1">
        <v>42310</v>
      </c>
      <c r="G724">
        <v>-3612.5</v>
      </c>
      <c r="H724" s="1">
        <f t="shared" si="66"/>
        <v>42310</v>
      </c>
      <c r="I724">
        <f>IF(AND(MyRowHidden(ROW())=FALSE,MyRowHidden(ROW()-1)=TRUE),0,(E724-E723)*unitsOfDHp+I723)</f>
        <v>323785</v>
      </c>
      <c r="J724">
        <f>IF(AND(MyRowHidden(ROW())=FALSE,MyRowHidden(ROW()-1)=TRUE),0,(G724-G723)*unitsOfExo+J723)</f>
        <v>-1587600</v>
      </c>
      <c r="K724" s="9">
        <f t="shared" si="67"/>
        <v>1587600</v>
      </c>
      <c r="L724">
        <f t="shared" si="68"/>
        <v>-1263815</v>
      </c>
      <c r="M724">
        <f>IF(AND(MyRowHidden(ROW())=FALSE,MyRowHidden(ROW()-1)=TRUE),0,IF(MONTH(H724)&lt;&gt;MONTH(H723),M723+1,M723))</f>
        <v>34</v>
      </c>
      <c r="N724">
        <f t="shared" si="69"/>
        <v>323785</v>
      </c>
      <c r="O724">
        <f>IF(AND(MyRowHidden(ROW())=FALSE,MyRowHidden(ROW()-1)=TRUE),0,IF(M724&lt;totalMonths,(totalMonths-M724)/totalMonths *(I724-I723)+O723,0))</f>
        <v>0</v>
      </c>
      <c r="P724">
        <f>IF(AND(MyRowHidden(ROW())=FALSE,MyRowHidden(ROW()-1)=TRUE),0,IF(M724&lt;totalMonths,(totalMonths-M724)/totalMonths *(J724-J723)+P723,0))</f>
        <v>0</v>
      </c>
      <c r="Q724">
        <f>IF(AND(MyRowHidden(ROW())=FALSE,MyRowHidden(ROW()-1)=TRUE),0,IF(M724&lt;totalMonths,(totalMonths-M724)/totalMonths *(K724-K723)+Q723,0))</f>
        <v>0</v>
      </c>
      <c r="R724">
        <f t="shared" si="70"/>
        <v>323785</v>
      </c>
      <c r="S724">
        <f t="shared" si="71"/>
        <v>0</v>
      </c>
    </row>
    <row r="725" spans="1:19" hidden="1" x14ac:dyDescent="0.25">
      <c r="A725" s="1"/>
      <c r="C725" s="1"/>
      <c r="D725" s="1">
        <v>42311</v>
      </c>
      <c r="E725">
        <v>31578</v>
      </c>
      <c r="F725" s="1">
        <v>42311</v>
      </c>
      <c r="G725">
        <v>-3462.5</v>
      </c>
      <c r="H725" s="1">
        <f t="shared" si="66"/>
        <v>42311</v>
      </c>
      <c r="I725">
        <f>IF(AND(MyRowHidden(ROW())=FALSE,MyRowHidden(ROW()-1)=TRUE),0,(E725-E724)*unitsOfDHp+I724)</f>
        <v>310765</v>
      </c>
      <c r="J725">
        <f>IF(AND(MyRowHidden(ROW())=FALSE,MyRowHidden(ROW()-1)=TRUE),0,(G725-G724)*unitsOfExo+J724)</f>
        <v>-1544400</v>
      </c>
      <c r="K725" s="9">
        <f t="shared" si="67"/>
        <v>1544400</v>
      </c>
      <c r="L725">
        <f t="shared" si="68"/>
        <v>-1233635</v>
      </c>
      <c r="M725">
        <f>IF(AND(MyRowHidden(ROW())=FALSE,MyRowHidden(ROW()-1)=TRUE),0,IF(MONTH(H725)&lt;&gt;MONTH(H724),M724+1,M724))</f>
        <v>34</v>
      </c>
      <c r="N725">
        <f t="shared" si="69"/>
        <v>310765</v>
      </c>
      <c r="O725">
        <f>IF(AND(MyRowHidden(ROW())=FALSE,MyRowHidden(ROW()-1)=TRUE),0,IF(M725&lt;totalMonths,(totalMonths-M725)/totalMonths *(I725-I724)+O724,0))</f>
        <v>0</v>
      </c>
      <c r="P725">
        <f>IF(AND(MyRowHidden(ROW())=FALSE,MyRowHidden(ROW()-1)=TRUE),0,IF(M725&lt;totalMonths,(totalMonths-M725)/totalMonths *(J725-J724)+P724,0))</f>
        <v>0</v>
      </c>
      <c r="Q725">
        <f>IF(AND(MyRowHidden(ROW())=FALSE,MyRowHidden(ROW()-1)=TRUE),0,IF(M725&lt;totalMonths,(totalMonths-M725)/totalMonths *(K725-K724)+Q724,0))</f>
        <v>0</v>
      </c>
      <c r="R725">
        <f t="shared" si="70"/>
        <v>310765</v>
      </c>
      <c r="S725">
        <f t="shared" si="71"/>
        <v>0</v>
      </c>
    </row>
    <row r="726" spans="1:19" hidden="1" x14ac:dyDescent="0.25">
      <c r="A726" s="1"/>
      <c r="C726" s="1"/>
      <c r="D726" s="1">
        <v>42312</v>
      </c>
      <c r="E726">
        <v>31353</v>
      </c>
      <c r="F726" s="1">
        <v>42312</v>
      </c>
      <c r="G726">
        <v>-3275</v>
      </c>
      <c r="H726" s="1">
        <f t="shared" si="66"/>
        <v>42312</v>
      </c>
      <c r="I726">
        <f>IF(AND(MyRowHidden(ROW())=FALSE,MyRowHidden(ROW()-1)=TRUE),0,(E726-E725)*unitsOfDHp+I725)</f>
        <v>302890</v>
      </c>
      <c r="J726">
        <f>IF(AND(MyRowHidden(ROW())=FALSE,MyRowHidden(ROW()-1)=TRUE),0,(G726-G725)*unitsOfExo+J725)</f>
        <v>-1490400</v>
      </c>
      <c r="K726" s="9">
        <f t="shared" si="67"/>
        <v>1490400</v>
      </c>
      <c r="L726">
        <f t="shared" si="68"/>
        <v>-1187510</v>
      </c>
      <c r="M726">
        <f>IF(AND(MyRowHidden(ROW())=FALSE,MyRowHidden(ROW()-1)=TRUE),0,IF(MONTH(H726)&lt;&gt;MONTH(H725),M725+1,M725))</f>
        <v>34</v>
      </c>
      <c r="N726">
        <f t="shared" si="69"/>
        <v>302890</v>
      </c>
      <c r="O726">
        <f>IF(AND(MyRowHidden(ROW())=FALSE,MyRowHidden(ROW()-1)=TRUE),0,IF(M726&lt;totalMonths,(totalMonths-M726)/totalMonths *(I726-I725)+O725,0))</f>
        <v>0</v>
      </c>
      <c r="P726">
        <f>IF(AND(MyRowHidden(ROW())=FALSE,MyRowHidden(ROW()-1)=TRUE),0,IF(M726&lt;totalMonths,(totalMonths-M726)/totalMonths *(J726-J725)+P725,0))</f>
        <v>0</v>
      </c>
      <c r="Q726">
        <f>IF(AND(MyRowHidden(ROW())=FALSE,MyRowHidden(ROW()-1)=TRUE),0,IF(M726&lt;totalMonths,(totalMonths-M726)/totalMonths *(K726-K725)+Q725,0))</f>
        <v>0</v>
      </c>
      <c r="R726">
        <f t="shared" si="70"/>
        <v>302890</v>
      </c>
      <c r="S726">
        <f t="shared" si="71"/>
        <v>0</v>
      </c>
    </row>
    <row r="727" spans="1:19" hidden="1" x14ac:dyDescent="0.25">
      <c r="A727" s="1"/>
      <c r="C727" s="1"/>
      <c r="D727" s="1">
        <v>42313</v>
      </c>
      <c r="E727">
        <v>31670</v>
      </c>
      <c r="F727" s="1">
        <v>42313</v>
      </c>
      <c r="G727">
        <v>-3662.5</v>
      </c>
      <c r="H727" s="1">
        <f t="shared" si="66"/>
        <v>42313</v>
      </c>
      <c r="I727">
        <f>IF(AND(MyRowHidden(ROW())=FALSE,MyRowHidden(ROW()-1)=TRUE),0,(E727-E726)*unitsOfDHp+I726)</f>
        <v>313985</v>
      </c>
      <c r="J727">
        <f>IF(AND(MyRowHidden(ROW())=FALSE,MyRowHidden(ROW()-1)=TRUE),0,(G727-G726)*unitsOfExo+J726)</f>
        <v>-1602000</v>
      </c>
      <c r="K727" s="9">
        <f t="shared" si="67"/>
        <v>1602000</v>
      </c>
      <c r="L727">
        <f t="shared" si="68"/>
        <v>-1288015</v>
      </c>
      <c r="M727">
        <f>IF(AND(MyRowHidden(ROW())=FALSE,MyRowHidden(ROW()-1)=TRUE),0,IF(MONTH(H727)&lt;&gt;MONTH(H726),M726+1,M726))</f>
        <v>34</v>
      </c>
      <c r="N727">
        <f t="shared" si="69"/>
        <v>313985</v>
      </c>
      <c r="O727">
        <f>IF(AND(MyRowHidden(ROW())=FALSE,MyRowHidden(ROW()-1)=TRUE),0,IF(M727&lt;totalMonths,(totalMonths-M727)/totalMonths *(I727-I726)+O726,0))</f>
        <v>0</v>
      </c>
      <c r="P727">
        <f>IF(AND(MyRowHidden(ROW())=FALSE,MyRowHidden(ROW()-1)=TRUE),0,IF(M727&lt;totalMonths,(totalMonths-M727)/totalMonths *(J727-J726)+P726,0))</f>
        <v>0</v>
      </c>
      <c r="Q727">
        <f>IF(AND(MyRowHidden(ROW())=FALSE,MyRowHidden(ROW()-1)=TRUE),0,IF(M727&lt;totalMonths,(totalMonths-M727)/totalMonths *(K727-K726)+Q726,0))</f>
        <v>0</v>
      </c>
      <c r="R727">
        <f t="shared" si="70"/>
        <v>313985</v>
      </c>
      <c r="S727">
        <f t="shared" si="71"/>
        <v>0</v>
      </c>
    </row>
    <row r="728" spans="1:19" hidden="1" x14ac:dyDescent="0.25">
      <c r="A728" s="1"/>
      <c r="C728" s="1"/>
      <c r="D728" s="1">
        <v>42314</v>
      </c>
      <c r="E728">
        <v>31997</v>
      </c>
      <c r="F728" s="1">
        <v>42314</v>
      </c>
      <c r="G728">
        <v>-3775</v>
      </c>
      <c r="H728" s="1">
        <f t="shared" si="66"/>
        <v>42314</v>
      </c>
      <c r="I728">
        <f>IF(AND(MyRowHidden(ROW())=FALSE,MyRowHidden(ROW()-1)=TRUE),0,(E728-E727)*unitsOfDHp+I727)</f>
        <v>325430</v>
      </c>
      <c r="J728">
        <f>IF(AND(MyRowHidden(ROW())=FALSE,MyRowHidden(ROW()-1)=TRUE),0,(G728-G727)*unitsOfExo+J727)</f>
        <v>-1634400</v>
      </c>
      <c r="K728" s="9">
        <f t="shared" si="67"/>
        <v>1634400</v>
      </c>
      <c r="L728">
        <f t="shared" si="68"/>
        <v>-1308970</v>
      </c>
      <c r="M728">
        <f>IF(AND(MyRowHidden(ROW())=FALSE,MyRowHidden(ROW()-1)=TRUE),0,IF(MONTH(H728)&lt;&gt;MONTH(H727),M727+1,M727))</f>
        <v>34</v>
      </c>
      <c r="N728">
        <f t="shared" si="69"/>
        <v>325430</v>
      </c>
      <c r="O728">
        <f>IF(AND(MyRowHidden(ROW())=FALSE,MyRowHidden(ROW()-1)=TRUE),0,IF(M728&lt;totalMonths,(totalMonths-M728)/totalMonths *(I728-I727)+O727,0))</f>
        <v>0</v>
      </c>
      <c r="P728">
        <f>IF(AND(MyRowHidden(ROW())=FALSE,MyRowHidden(ROW()-1)=TRUE),0,IF(M728&lt;totalMonths,(totalMonths-M728)/totalMonths *(J728-J727)+P727,0))</f>
        <v>0</v>
      </c>
      <c r="Q728">
        <f>IF(AND(MyRowHidden(ROW())=FALSE,MyRowHidden(ROW()-1)=TRUE),0,IF(M728&lt;totalMonths,(totalMonths-M728)/totalMonths *(K728-K727)+Q727,0))</f>
        <v>0</v>
      </c>
      <c r="R728">
        <f t="shared" si="70"/>
        <v>325430</v>
      </c>
      <c r="S728">
        <f t="shared" si="71"/>
        <v>0</v>
      </c>
    </row>
    <row r="729" spans="1:19" hidden="1" x14ac:dyDescent="0.25">
      <c r="A729" s="1"/>
      <c r="C729" s="1"/>
      <c r="D729" s="1">
        <v>42317</v>
      </c>
      <c r="E729">
        <v>32256</v>
      </c>
      <c r="F729" s="1">
        <v>42317</v>
      </c>
      <c r="G729">
        <v>-4000</v>
      </c>
      <c r="H729" s="1">
        <f t="shared" si="66"/>
        <v>42317</v>
      </c>
      <c r="I729">
        <f>IF(AND(MyRowHidden(ROW())=FALSE,MyRowHidden(ROW()-1)=TRUE),0,(E729-E728)*unitsOfDHp+I728)</f>
        <v>334495</v>
      </c>
      <c r="J729">
        <f>IF(AND(MyRowHidden(ROW())=FALSE,MyRowHidden(ROW()-1)=TRUE),0,(G729-G728)*unitsOfExo+J728)</f>
        <v>-1699200</v>
      </c>
      <c r="K729" s="9">
        <f t="shared" si="67"/>
        <v>1699200</v>
      </c>
      <c r="L729">
        <f t="shared" si="68"/>
        <v>-1364705</v>
      </c>
      <c r="M729">
        <f>IF(AND(MyRowHidden(ROW())=FALSE,MyRowHidden(ROW()-1)=TRUE),0,IF(MONTH(H729)&lt;&gt;MONTH(H728),M728+1,M728))</f>
        <v>34</v>
      </c>
      <c r="N729">
        <f t="shared" si="69"/>
        <v>334495</v>
      </c>
      <c r="O729">
        <f>IF(AND(MyRowHidden(ROW())=FALSE,MyRowHidden(ROW()-1)=TRUE),0,IF(M729&lt;totalMonths,(totalMonths-M729)/totalMonths *(I729-I728)+O728,0))</f>
        <v>0</v>
      </c>
      <c r="P729">
        <f>IF(AND(MyRowHidden(ROW())=FALSE,MyRowHidden(ROW()-1)=TRUE),0,IF(M729&lt;totalMonths,(totalMonths-M729)/totalMonths *(J729-J728)+P728,0))</f>
        <v>0</v>
      </c>
      <c r="Q729">
        <f>IF(AND(MyRowHidden(ROW())=FALSE,MyRowHidden(ROW()-1)=TRUE),0,IF(M729&lt;totalMonths,(totalMonths-M729)/totalMonths *(K729-K728)+Q728,0))</f>
        <v>0</v>
      </c>
      <c r="R729">
        <f t="shared" si="70"/>
        <v>334495</v>
      </c>
      <c r="S729">
        <f t="shared" si="71"/>
        <v>0</v>
      </c>
    </row>
    <row r="730" spans="1:19" hidden="1" x14ac:dyDescent="0.25">
      <c r="A730" s="1"/>
      <c r="C730" s="1"/>
      <c r="D730" s="1">
        <v>42318</v>
      </c>
      <c r="E730">
        <v>32107</v>
      </c>
      <c r="F730" s="1">
        <v>42318</v>
      </c>
      <c r="G730">
        <v>-4525</v>
      </c>
      <c r="H730" s="1">
        <f t="shared" si="66"/>
        <v>42318</v>
      </c>
      <c r="I730">
        <f>IF(AND(MyRowHidden(ROW())=FALSE,MyRowHidden(ROW()-1)=TRUE),0,(E730-E729)*unitsOfDHp+I729)</f>
        <v>329280</v>
      </c>
      <c r="J730">
        <f>IF(AND(MyRowHidden(ROW())=FALSE,MyRowHidden(ROW()-1)=TRUE),0,(G730-G729)*unitsOfExo+J729)</f>
        <v>-1850400</v>
      </c>
      <c r="K730" s="9">
        <f t="shared" si="67"/>
        <v>1850400</v>
      </c>
      <c r="L730">
        <f t="shared" si="68"/>
        <v>-1521120</v>
      </c>
      <c r="M730">
        <f>IF(AND(MyRowHidden(ROW())=FALSE,MyRowHidden(ROW()-1)=TRUE),0,IF(MONTH(H730)&lt;&gt;MONTH(H729),M729+1,M729))</f>
        <v>34</v>
      </c>
      <c r="N730">
        <f t="shared" si="69"/>
        <v>329280</v>
      </c>
      <c r="O730">
        <f>IF(AND(MyRowHidden(ROW())=FALSE,MyRowHidden(ROW()-1)=TRUE),0,IF(M730&lt;totalMonths,(totalMonths-M730)/totalMonths *(I730-I729)+O729,0))</f>
        <v>0</v>
      </c>
      <c r="P730">
        <f>IF(AND(MyRowHidden(ROW())=FALSE,MyRowHidden(ROW()-1)=TRUE),0,IF(M730&lt;totalMonths,(totalMonths-M730)/totalMonths *(J730-J729)+P729,0))</f>
        <v>0</v>
      </c>
      <c r="Q730">
        <f>IF(AND(MyRowHidden(ROW())=FALSE,MyRowHidden(ROW()-1)=TRUE),0,IF(M730&lt;totalMonths,(totalMonths-M730)/totalMonths *(K730-K729)+Q729,0))</f>
        <v>0</v>
      </c>
      <c r="R730">
        <f t="shared" si="70"/>
        <v>329280</v>
      </c>
      <c r="S730">
        <f t="shared" si="71"/>
        <v>0</v>
      </c>
    </row>
    <row r="731" spans="1:19" hidden="1" x14ac:dyDescent="0.25">
      <c r="A731" s="1"/>
      <c r="C731" s="1"/>
      <c r="D731" s="1">
        <v>42320</v>
      </c>
      <c r="E731">
        <v>32153</v>
      </c>
      <c r="F731" s="1">
        <v>42320</v>
      </c>
      <c r="G731">
        <v>-4375</v>
      </c>
      <c r="H731" s="1">
        <f t="shared" si="66"/>
        <v>42320</v>
      </c>
      <c r="I731">
        <f>IF(AND(MyRowHidden(ROW())=FALSE,MyRowHidden(ROW()-1)=TRUE),0,(E731-E730)*unitsOfDHp+I730)</f>
        <v>330890</v>
      </c>
      <c r="J731">
        <f>IF(AND(MyRowHidden(ROW())=FALSE,MyRowHidden(ROW()-1)=TRUE),0,(G731-G730)*unitsOfExo+J730)</f>
        <v>-1807200</v>
      </c>
      <c r="K731" s="9">
        <f t="shared" si="67"/>
        <v>1807200</v>
      </c>
      <c r="L731">
        <f t="shared" si="68"/>
        <v>-1476310</v>
      </c>
      <c r="M731">
        <f>IF(AND(MyRowHidden(ROW())=FALSE,MyRowHidden(ROW()-1)=TRUE),0,IF(MONTH(H731)&lt;&gt;MONTH(H730),M730+1,M730))</f>
        <v>34</v>
      </c>
      <c r="N731">
        <f t="shared" si="69"/>
        <v>330890</v>
      </c>
      <c r="O731">
        <f>IF(AND(MyRowHidden(ROW())=FALSE,MyRowHidden(ROW()-1)=TRUE),0,IF(M731&lt;totalMonths,(totalMonths-M731)/totalMonths *(I731-I730)+O730,0))</f>
        <v>0</v>
      </c>
      <c r="P731">
        <f>IF(AND(MyRowHidden(ROW())=FALSE,MyRowHidden(ROW()-1)=TRUE),0,IF(M731&lt;totalMonths,(totalMonths-M731)/totalMonths *(J731-J730)+P730,0))</f>
        <v>0</v>
      </c>
      <c r="Q731">
        <f>IF(AND(MyRowHidden(ROW())=FALSE,MyRowHidden(ROW()-1)=TRUE),0,IF(M731&lt;totalMonths,(totalMonths-M731)/totalMonths *(K731-K730)+Q730,0))</f>
        <v>0</v>
      </c>
      <c r="R731">
        <f t="shared" si="70"/>
        <v>330890</v>
      </c>
      <c r="S731">
        <f t="shared" si="71"/>
        <v>0</v>
      </c>
    </row>
    <row r="732" spans="1:19" hidden="1" x14ac:dyDescent="0.25">
      <c r="A732" s="1"/>
      <c r="C732" s="1"/>
      <c r="D732" s="1">
        <v>42321</v>
      </c>
      <c r="E732">
        <v>32091</v>
      </c>
      <c r="F732" s="1">
        <v>42321</v>
      </c>
      <c r="G732">
        <v>-4487.5</v>
      </c>
      <c r="H732" s="1">
        <f t="shared" si="66"/>
        <v>42321</v>
      </c>
      <c r="I732">
        <f>IF(AND(MyRowHidden(ROW())=FALSE,MyRowHidden(ROW()-1)=TRUE),0,(E732-E731)*unitsOfDHp+I731)</f>
        <v>328720</v>
      </c>
      <c r="J732">
        <f>IF(AND(MyRowHidden(ROW())=FALSE,MyRowHidden(ROW()-1)=TRUE),0,(G732-G731)*unitsOfExo+J731)</f>
        <v>-1839600</v>
      </c>
      <c r="K732" s="9">
        <f t="shared" si="67"/>
        <v>1839600</v>
      </c>
      <c r="L732">
        <f t="shared" si="68"/>
        <v>-1510880</v>
      </c>
      <c r="M732">
        <f>IF(AND(MyRowHidden(ROW())=FALSE,MyRowHidden(ROW()-1)=TRUE),0,IF(MONTH(H732)&lt;&gt;MONTH(H731),M731+1,M731))</f>
        <v>34</v>
      </c>
      <c r="N732">
        <f t="shared" si="69"/>
        <v>328720</v>
      </c>
      <c r="O732">
        <f>IF(AND(MyRowHidden(ROW())=FALSE,MyRowHidden(ROW()-1)=TRUE),0,IF(M732&lt;totalMonths,(totalMonths-M732)/totalMonths *(I732-I731)+O731,0))</f>
        <v>0</v>
      </c>
      <c r="P732">
        <f>IF(AND(MyRowHidden(ROW())=FALSE,MyRowHidden(ROW()-1)=TRUE),0,IF(M732&lt;totalMonths,(totalMonths-M732)/totalMonths *(J732-J731)+P731,0))</f>
        <v>0</v>
      </c>
      <c r="Q732">
        <f>IF(AND(MyRowHidden(ROW())=FALSE,MyRowHidden(ROW()-1)=TRUE),0,IF(M732&lt;totalMonths,(totalMonths-M732)/totalMonths *(K732-K731)+Q731,0))</f>
        <v>0</v>
      </c>
      <c r="R732">
        <f t="shared" si="70"/>
        <v>328720</v>
      </c>
      <c r="S732">
        <f t="shared" si="71"/>
        <v>0</v>
      </c>
    </row>
    <row r="733" spans="1:19" hidden="1" x14ac:dyDescent="0.25">
      <c r="A733" s="1"/>
      <c r="C733" s="1"/>
      <c r="D733" s="1">
        <v>42324</v>
      </c>
      <c r="E733">
        <v>32060</v>
      </c>
      <c r="F733" s="1">
        <v>42324</v>
      </c>
      <c r="G733">
        <v>-4500</v>
      </c>
      <c r="H733" s="1">
        <f t="shared" si="66"/>
        <v>42324</v>
      </c>
      <c r="I733">
        <f>IF(AND(MyRowHidden(ROW())=FALSE,MyRowHidden(ROW()-1)=TRUE),0,(E733-E732)*unitsOfDHp+I732)</f>
        <v>327635</v>
      </c>
      <c r="J733">
        <f>IF(AND(MyRowHidden(ROW())=FALSE,MyRowHidden(ROW()-1)=TRUE),0,(G733-G732)*unitsOfExo+J732)</f>
        <v>-1843200</v>
      </c>
      <c r="K733" s="9">
        <f t="shared" si="67"/>
        <v>1843200</v>
      </c>
      <c r="L733">
        <f t="shared" si="68"/>
        <v>-1515565</v>
      </c>
      <c r="M733">
        <f>IF(AND(MyRowHidden(ROW())=FALSE,MyRowHidden(ROW()-1)=TRUE),0,IF(MONTH(H733)&lt;&gt;MONTH(H732),M732+1,M732))</f>
        <v>34</v>
      </c>
      <c r="N733">
        <f t="shared" si="69"/>
        <v>327635</v>
      </c>
      <c r="O733">
        <f>IF(AND(MyRowHidden(ROW())=FALSE,MyRowHidden(ROW()-1)=TRUE),0,IF(M733&lt;totalMonths,(totalMonths-M733)/totalMonths *(I733-I732)+O732,0))</f>
        <v>0</v>
      </c>
      <c r="P733">
        <f>IF(AND(MyRowHidden(ROW())=FALSE,MyRowHidden(ROW()-1)=TRUE),0,IF(M733&lt;totalMonths,(totalMonths-M733)/totalMonths *(J733-J732)+P732,0))</f>
        <v>0</v>
      </c>
      <c r="Q733">
        <f>IF(AND(MyRowHidden(ROW())=FALSE,MyRowHidden(ROW()-1)=TRUE),0,IF(M733&lt;totalMonths,(totalMonths-M733)/totalMonths *(K733-K732)+Q732,0))</f>
        <v>0</v>
      </c>
      <c r="R733">
        <f t="shared" si="70"/>
        <v>327635</v>
      </c>
      <c r="S733">
        <f t="shared" si="71"/>
        <v>0</v>
      </c>
    </row>
    <row r="734" spans="1:19" hidden="1" x14ac:dyDescent="0.25">
      <c r="A734" s="1"/>
      <c r="C734" s="1"/>
      <c r="D734" s="1">
        <v>42325</v>
      </c>
      <c r="E734">
        <v>32072</v>
      </c>
      <c r="F734" s="1">
        <v>42325</v>
      </c>
      <c r="G734">
        <v>-4437.5</v>
      </c>
      <c r="H734" s="1">
        <f t="shared" si="66"/>
        <v>42325</v>
      </c>
      <c r="I734">
        <f>IF(AND(MyRowHidden(ROW())=FALSE,MyRowHidden(ROW()-1)=TRUE),0,(E734-E733)*unitsOfDHp+I733)</f>
        <v>328055</v>
      </c>
      <c r="J734">
        <f>IF(AND(MyRowHidden(ROW())=FALSE,MyRowHidden(ROW()-1)=TRUE),0,(G734-G733)*unitsOfExo+J733)</f>
        <v>-1825200</v>
      </c>
      <c r="K734" s="9">
        <f t="shared" si="67"/>
        <v>1825200</v>
      </c>
      <c r="L734">
        <f t="shared" si="68"/>
        <v>-1497145</v>
      </c>
      <c r="M734">
        <f>IF(AND(MyRowHidden(ROW())=FALSE,MyRowHidden(ROW()-1)=TRUE),0,IF(MONTH(H734)&lt;&gt;MONTH(H733),M733+1,M733))</f>
        <v>34</v>
      </c>
      <c r="N734">
        <f t="shared" si="69"/>
        <v>328055</v>
      </c>
      <c r="O734">
        <f>IF(AND(MyRowHidden(ROW())=FALSE,MyRowHidden(ROW()-1)=TRUE),0,IF(M734&lt;totalMonths,(totalMonths-M734)/totalMonths *(I734-I733)+O733,0))</f>
        <v>0</v>
      </c>
      <c r="P734">
        <f>IF(AND(MyRowHidden(ROW())=FALSE,MyRowHidden(ROW()-1)=TRUE),0,IF(M734&lt;totalMonths,(totalMonths-M734)/totalMonths *(J734-J733)+P733,0))</f>
        <v>0</v>
      </c>
      <c r="Q734">
        <f>IF(AND(MyRowHidden(ROW())=FALSE,MyRowHidden(ROW()-1)=TRUE),0,IF(M734&lt;totalMonths,(totalMonths-M734)/totalMonths *(K734-K733)+Q733,0))</f>
        <v>0</v>
      </c>
      <c r="R734">
        <f t="shared" si="70"/>
        <v>328055</v>
      </c>
      <c r="S734">
        <f t="shared" si="71"/>
        <v>0</v>
      </c>
    </row>
    <row r="735" spans="1:19" hidden="1" x14ac:dyDescent="0.25">
      <c r="A735" s="1"/>
      <c r="C735" s="1"/>
      <c r="D735" s="1">
        <v>42326</v>
      </c>
      <c r="E735">
        <v>32159</v>
      </c>
      <c r="F735" s="1">
        <v>42326</v>
      </c>
      <c r="G735">
        <v>-4362.5</v>
      </c>
      <c r="H735" s="1">
        <f t="shared" si="66"/>
        <v>42326</v>
      </c>
      <c r="I735">
        <f>IF(AND(MyRowHidden(ROW())=FALSE,MyRowHidden(ROW()-1)=TRUE),0,(E735-E734)*unitsOfDHp+I734)</f>
        <v>331100</v>
      </c>
      <c r="J735">
        <f>IF(AND(MyRowHidden(ROW())=FALSE,MyRowHidden(ROW()-1)=TRUE),0,(G735-G734)*unitsOfExo+J734)</f>
        <v>-1803600</v>
      </c>
      <c r="K735" s="9">
        <f t="shared" si="67"/>
        <v>1803600</v>
      </c>
      <c r="L735">
        <f t="shared" si="68"/>
        <v>-1472500</v>
      </c>
      <c r="M735">
        <f>IF(AND(MyRowHidden(ROW())=FALSE,MyRowHidden(ROW()-1)=TRUE),0,IF(MONTH(H735)&lt;&gt;MONTH(H734),M734+1,M734))</f>
        <v>34</v>
      </c>
      <c r="N735">
        <f t="shared" si="69"/>
        <v>331100</v>
      </c>
      <c r="O735">
        <f>IF(AND(MyRowHidden(ROW())=FALSE,MyRowHidden(ROW()-1)=TRUE),0,IF(M735&lt;totalMonths,(totalMonths-M735)/totalMonths *(I735-I734)+O734,0))</f>
        <v>0</v>
      </c>
      <c r="P735">
        <f>IF(AND(MyRowHidden(ROW())=FALSE,MyRowHidden(ROW()-1)=TRUE),0,IF(M735&lt;totalMonths,(totalMonths-M735)/totalMonths *(J735-J734)+P734,0))</f>
        <v>0</v>
      </c>
      <c r="Q735">
        <f>IF(AND(MyRowHidden(ROW())=FALSE,MyRowHidden(ROW()-1)=TRUE),0,IF(M735&lt;totalMonths,(totalMonths-M735)/totalMonths *(K735-K734)+Q734,0))</f>
        <v>0</v>
      </c>
      <c r="R735">
        <f t="shared" si="70"/>
        <v>331100</v>
      </c>
      <c r="S735">
        <f t="shared" si="71"/>
        <v>0</v>
      </c>
    </row>
    <row r="736" spans="1:19" hidden="1" x14ac:dyDescent="0.25">
      <c r="A736" s="1"/>
      <c r="C736" s="1"/>
      <c r="D736" s="1">
        <v>42327</v>
      </c>
      <c r="E736">
        <v>32120</v>
      </c>
      <c r="F736" s="1">
        <v>42327</v>
      </c>
      <c r="G736">
        <v>-4225</v>
      </c>
      <c r="H736" s="1">
        <f t="shared" si="66"/>
        <v>42327</v>
      </c>
      <c r="I736">
        <f>IF(AND(MyRowHidden(ROW())=FALSE,MyRowHidden(ROW()-1)=TRUE),0,(E736-E735)*unitsOfDHp+I735)</f>
        <v>329735</v>
      </c>
      <c r="J736">
        <f>IF(AND(MyRowHidden(ROW())=FALSE,MyRowHidden(ROW()-1)=TRUE),0,(G736-G735)*unitsOfExo+J735)</f>
        <v>-1764000</v>
      </c>
      <c r="K736" s="9">
        <f t="shared" si="67"/>
        <v>1764000</v>
      </c>
      <c r="L736">
        <f t="shared" si="68"/>
        <v>-1434265</v>
      </c>
      <c r="M736">
        <f>IF(AND(MyRowHidden(ROW())=FALSE,MyRowHidden(ROW()-1)=TRUE),0,IF(MONTH(H736)&lt;&gt;MONTH(H735),M735+1,M735))</f>
        <v>34</v>
      </c>
      <c r="N736">
        <f t="shared" si="69"/>
        <v>329735</v>
      </c>
      <c r="O736">
        <f>IF(AND(MyRowHidden(ROW())=FALSE,MyRowHidden(ROW()-1)=TRUE),0,IF(M736&lt;totalMonths,(totalMonths-M736)/totalMonths *(I736-I735)+O735,0))</f>
        <v>0</v>
      </c>
      <c r="P736">
        <f>IF(AND(MyRowHidden(ROW())=FALSE,MyRowHidden(ROW()-1)=TRUE),0,IF(M736&lt;totalMonths,(totalMonths-M736)/totalMonths *(J736-J735)+P735,0))</f>
        <v>0</v>
      </c>
      <c r="Q736">
        <f>IF(AND(MyRowHidden(ROW())=FALSE,MyRowHidden(ROW()-1)=TRUE),0,IF(M736&lt;totalMonths,(totalMonths-M736)/totalMonths *(K736-K735)+Q735,0))</f>
        <v>0</v>
      </c>
      <c r="R736">
        <f t="shared" si="70"/>
        <v>329735</v>
      </c>
      <c r="S736">
        <f t="shared" si="71"/>
        <v>0</v>
      </c>
    </row>
    <row r="737" spans="1:19" hidden="1" x14ac:dyDescent="0.25">
      <c r="A737" s="1"/>
      <c r="C737" s="1"/>
      <c r="D737" s="1">
        <v>42328</v>
      </c>
      <c r="E737">
        <v>32113</v>
      </c>
      <c r="F737" s="1">
        <v>42328</v>
      </c>
      <c r="G737">
        <v>-4262.5</v>
      </c>
      <c r="H737" s="1">
        <f t="shared" si="66"/>
        <v>42328</v>
      </c>
      <c r="I737">
        <f>IF(AND(MyRowHidden(ROW())=FALSE,MyRowHidden(ROW()-1)=TRUE),0,(E737-E736)*unitsOfDHp+I736)</f>
        <v>329490</v>
      </c>
      <c r="J737">
        <f>IF(AND(MyRowHidden(ROW())=FALSE,MyRowHidden(ROW()-1)=TRUE),0,(G737-G736)*unitsOfExo+J736)</f>
        <v>-1774800</v>
      </c>
      <c r="K737" s="9">
        <f t="shared" si="67"/>
        <v>1774800</v>
      </c>
      <c r="L737">
        <f t="shared" si="68"/>
        <v>-1445310</v>
      </c>
      <c r="M737">
        <f>IF(AND(MyRowHidden(ROW())=FALSE,MyRowHidden(ROW()-1)=TRUE),0,IF(MONTH(H737)&lt;&gt;MONTH(H736),M736+1,M736))</f>
        <v>34</v>
      </c>
      <c r="N737">
        <f t="shared" si="69"/>
        <v>329490</v>
      </c>
      <c r="O737">
        <f>IF(AND(MyRowHidden(ROW())=FALSE,MyRowHidden(ROW()-1)=TRUE),0,IF(M737&lt;totalMonths,(totalMonths-M737)/totalMonths *(I737-I736)+O736,0))</f>
        <v>0</v>
      </c>
      <c r="P737">
        <f>IF(AND(MyRowHidden(ROW())=FALSE,MyRowHidden(ROW()-1)=TRUE),0,IF(M737&lt;totalMonths,(totalMonths-M737)/totalMonths *(J737-J736)+P736,0))</f>
        <v>0</v>
      </c>
      <c r="Q737">
        <f>IF(AND(MyRowHidden(ROW())=FALSE,MyRowHidden(ROW()-1)=TRUE),0,IF(M737&lt;totalMonths,(totalMonths-M737)/totalMonths *(K737-K736)+Q736,0))</f>
        <v>0</v>
      </c>
      <c r="R737">
        <f t="shared" si="70"/>
        <v>329490</v>
      </c>
      <c r="S737">
        <f t="shared" si="71"/>
        <v>0</v>
      </c>
    </row>
    <row r="738" spans="1:19" hidden="1" x14ac:dyDescent="0.25">
      <c r="A738" s="1"/>
      <c r="C738" s="1"/>
      <c r="D738" s="1">
        <v>42331</v>
      </c>
      <c r="E738">
        <v>31964</v>
      </c>
      <c r="F738" s="1">
        <v>42331</v>
      </c>
      <c r="G738">
        <v>-4112.5</v>
      </c>
      <c r="H738" s="1">
        <f t="shared" si="66"/>
        <v>42331</v>
      </c>
      <c r="I738">
        <f>IF(AND(MyRowHidden(ROW())=FALSE,MyRowHidden(ROW()-1)=TRUE),0,(E738-E737)*unitsOfDHp+I737)</f>
        <v>324275</v>
      </c>
      <c r="J738">
        <f>IF(AND(MyRowHidden(ROW())=FALSE,MyRowHidden(ROW()-1)=TRUE),0,(G738-G737)*unitsOfExo+J737)</f>
        <v>-1731600</v>
      </c>
      <c r="K738" s="9">
        <f t="shared" si="67"/>
        <v>1731600</v>
      </c>
      <c r="L738">
        <f t="shared" si="68"/>
        <v>-1407325</v>
      </c>
      <c r="M738">
        <f>IF(AND(MyRowHidden(ROW())=FALSE,MyRowHidden(ROW()-1)=TRUE),0,IF(MONTH(H738)&lt;&gt;MONTH(H737),M737+1,M737))</f>
        <v>34</v>
      </c>
      <c r="N738">
        <f t="shared" si="69"/>
        <v>324275</v>
      </c>
      <c r="O738">
        <f>IF(AND(MyRowHidden(ROW())=FALSE,MyRowHidden(ROW()-1)=TRUE),0,IF(M738&lt;totalMonths,(totalMonths-M738)/totalMonths *(I738-I737)+O737,0))</f>
        <v>0</v>
      </c>
      <c r="P738">
        <f>IF(AND(MyRowHidden(ROW())=FALSE,MyRowHidden(ROW()-1)=TRUE),0,IF(M738&lt;totalMonths,(totalMonths-M738)/totalMonths *(J738-J737)+P737,0))</f>
        <v>0</v>
      </c>
      <c r="Q738">
        <f>IF(AND(MyRowHidden(ROW())=FALSE,MyRowHidden(ROW()-1)=TRUE),0,IF(M738&lt;totalMonths,(totalMonths-M738)/totalMonths *(K738-K737)+Q737,0))</f>
        <v>0</v>
      </c>
      <c r="R738">
        <f t="shared" si="70"/>
        <v>324275</v>
      </c>
      <c r="S738">
        <f t="shared" si="71"/>
        <v>0</v>
      </c>
    </row>
    <row r="739" spans="1:19" hidden="1" x14ac:dyDescent="0.25">
      <c r="A739" s="1"/>
      <c r="C739" s="1"/>
      <c r="D739" s="1">
        <v>42332</v>
      </c>
      <c r="E739">
        <v>32234</v>
      </c>
      <c r="F739" s="1">
        <v>42332</v>
      </c>
      <c r="G739">
        <v>-4212.5</v>
      </c>
      <c r="H739" s="1">
        <f t="shared" si="66"/>
        <v>42332</v>
      </c>
      <c r="I739">
        <f>IF(AND(MyRowHidden(ROW())=FALSE,MyRowHidden(ROW()-1)=TRUE),0,(E739-E738)*unitsOfDHp+I738)</f>
        <v>333725</v>
      </c>
      <c r="J739">
        <f>IF(AND(MyRowHidden(ROW())=FALSE,MyRowHidden(ROW()-1)=TRUE),0,(G739-G738)*unitsOfExo+J738)</f>
        <v>-1760400</v>
      </c>
      <c r="K739" s="9">
        <f t="shared" si="67"/>
        <v>1760400</v>
      </c>
      <c r="L739">
        <f t="shared" si="68"/>
        <v>-1426675</v>
      </c>
      <c r="M739">
        <f>IF(AND(MyRowHidden(ROW())=FALSE,MyRowHidden(ROW()-1)=TRUE),0,IF(MONTH(H739)&lt;&gt;MONTH(H738),M738+1,M738))</f>
        <v>34</v>
      </c>
      <c r="N739">
        <f t="shared" si="69"/>
        <v>333725</v>
      </c>
      <c r="O739">
        <f>IF(AND(MyRowHidden(ROW())=FALSE,MyRowHidden(ROW()-1)=TRUE),0,IF(M739&lt;totalMonths,(totalMonths-M739)/totalMonths *(I739-I738)+O738,0))</f>
        <v>0</v>
      </c>
      <c r="P739">
        <f>IF(AND(MyRowHidden(ROW())=FALSE,MyRowHidden(ROW()-1)=TRUE),0,IF(M739&lt;totalMonths,(totalMonths-M739)/totalMonths *(J739-J738)+P738,0))</f>
        <v>0</v>
      </c>
      <c r="Q739">
        <f>IF(AND(MyRowHidden(ROW())=FALSE,MyRowHidden(ROW()-1)=TRUE),0,IF(M739&lt;totalMonths,(totalMonths-M739)/totalMonths *(K739-K738)+Q738,0))</f>
        <v>0</v>
      </c>
      <c r="R739">
        <f t="shared" si="70"/>
        <v>333725</v>
      </c>
      <c r="S739">
        <f t="shared" si="71"/>
        <v>0</v>
      </c>
    </row>
    <row r="740" spans="1:19" hidden="1" x14ac:dyDescent="0.25">
      <c r="A740" s="1"/>
      <c r="C740" s="1"/>
      <c r="D740" s="1">
        <v>42333</v>
      </c>
      <c r="E740">
        <v>32131</v>
      </c>
      <c r="F740" s="1">
        <v>42333</v>
      </c>
      <c r="G740">
        <v>-4212.5</v>
      </c>
      <c r="H740" s="1">
        <f t="shared" si="66"/>
        <v>42333</v>
      </c>
      <c r="I740">
        <f>IF(AND(MyRowHidden(ROW())=FALSE,MyRowHidden(ROW()-1)=TRUE),0,(E740-E739)*unitsOfDHp+I739)</f>
        <v>330120</v>
      </c>
      <c r="J740">
        <f>IF(AND(MyRowHidden(ROW())=FALSE,MyRowHidden(ROW()-1)=TRUE),0,(G740-G739)*unitsOfExo+J739)</f>
        <v>-1760400</v>
      </c>
      <c r="K740" s="9">
        <f t="shared" si="67"/>
        <v>1760400</v>
      </c>
      <c r="L740">
        <f t="shared" si="68"/>
        <v>-1430280</v>
      </c>
      <c r="M740">
        <f>IF(AND(MyRowHidden(ROW())=FALSE,MyRowHidden(ROW()-1)=TRUE),0,IF(MONTH(H740)&lt;&gt;MONTH(H739),M739+1,M739))</f>
        <v>34</v>
      </c>
      <c r="N740">
        <f t="shared" si="69"/>
        <v>330120</v>
      </c>
      <c r="O740">
        <f>IF(AND(MyRowHidden(ROW())=FALSE,MyRowHidden(ROW()-1)=TRUE),0,IF(M740&lt;totalMonths,(totalMonths-M740)/totalMonths *(I740-I739)+O739,0))</f>
        <v>0</v>
      </c>
      <c r="P740">
        <f>IF(AND(MyRowHidden(ROW())=FALSE,MyRowHidden(ROW()-1)=TRUE),0,IF(M740&lt;totalMonths,(totalMonths-M740)/totalMonths *(J740-J739)+P739,0))</f>
        <v>0</v>
      </c>
      <c r="Q740">
        <f>IF(AND(MyRowHidden(ROW())=FALSE,MyRowHidden(ROW()-1)=TRUE),0,IF(M740&lt;totalMonths,(totalMonths-M740)/totalMonths *(K740-K739)+Q739,0))</f>
        <v>0</v>
      </c>
      <c r="R740">
        <f t="shared" si="70"/>
        <v>330120</v>
      </c>
      <c r="S740">
        <f t="shared" si="71"/>
        <v>0</v>
      </c>
    </row>
    <row r="741" spans="1:19" hidden="1" x14ac:dyDescent="0.25">
      <c r="A741" s="1"/>
      <c r="C741" s="1"/>
      <c r="D741" s="1">
        <v>42335</v>
      </c>
      <c r="E741">
        <v>32199</v>
      </c>
      <c r="F741" s="1">
        <v>42335</v>
      </c>
      <c r="G741">
        <v>-4462.5</v>
      </c>
      <c r="H741" s="1">
        <f t="shared" si="66"/>
        <v>42335</v>
      </c>
      <c r="I741">
        <f>IF(AND(MyRowHidden(ROW())=FALSE,MyRowHidden(ROW()-1)=TRUE),0,(E741-E740)*unitsOfDHp+I740)</f>
        <v>332500</v>
      </c>
      <c r="J741">
        <f>IF(AND(MyRowHidden(ROW())=FALSE,MyRowHidden(ROW()-1)=TRUE),0,(G741-G740)*unitsOfExo+J740)</f>
        <v>-1832400</v>
      </c>
      <c r="K741" s="9">
        <f t="shared" si="67"/>
        <v>1832400</v>
      </c>
      <c r="L741">
        <f t="shared" si="68"/>
        <v>-1499900</v>
      </c>
      <c r="M741">
        <f>IF(AND(MyRowHidden(ROW())=FALSE,MyRowHidden(ROW()-1)=TRUE),0,IF(MONTH(H741)&lt;&gt;MONTH(H740),M740+1,M740))</f>
        <v>34</v>
      </c>
      <c r="N741">
        <f t="shared" si="69"/>
        <v>332500</v>
      </c>
      <c r="O741">
        <f>IF(AND(MyRowHidden(ROW())=FALSE,MyRowHidden(ROW()-1)=TRUE),0,IF(M741&lt;totalMonths,(totalMonths-M741)/totalMonths *(I741-I740)+O740,0))</f>
        <v>0</v>
      </c>
      <c r="P741">
        <f>IF(AND(MyRowHidden(ROW())=FALSE,MyRowHidden(ROW()-1)=TRUE),0,IF(M741&lt;totalMonths,(totalMonths-M741)/totalMonths *(J741-J740)+P740,0))</f>
        <v>0</v>
      </c>
      <c r="Q741">
        <f>IF(AND(MyRowHidden(ROW())=FALSE,MyRowHidden(ROW()-1)=TRUE),0,IF(M741&lt;totalMonths,(totalMonths-M741)/totalMonths *(K741-K740)+Q740,0))</f>
        <v>0</v>
      </c>
      <c r="R741">
        <f t="shared" si="70"/>
        <v>332500</v>
      </c>
      <c r="S741">
        <f t="shared" si="71"/>
        <v>0</v>
      </c>
    </row>
    <row r="742" spans="1:19" hidden="1" x14ac:dyDescent="0.25">
      <c r="A742" s="1"/>
      <c r="C742" s="1"/>
      <c r="D742" s="1">
        <v>42338</v>
      </c>
      <c r="E742">
        <v>32020</v>
      </c>
      <c r="F742" s="1">
        <v>42338</v>
      </c>
      <c r="G742">
        <v>-4237.5</v>
      </c>
      <c r="H742" s="1">
        <f t="shared" si="66"/>
        <v>42338</v>
      </c>
      <c r="I742">
        <f>IF(AND(MyRowHidden(ROW())=FALSE,MyRowHidden(ROW()-1)=TRUE),0,(E742-E741)*unitsOfDHp+I741)</f>
        <v>326235</v>
      </c>
      <c r="J742">
        <f>IF(AND(MyRowHidden(ROW())=FALSE,MyRowHidden(ROW()-1)=TRUE),0,(G742-G741)*unitsOfExo+J741)</f>
        <v>-1767600</v>
      </c>
      <c r="K742" s="9">
        <f t="shared" si="67"/>
        <v>1767600</v>
      </c>
      <c r="L742">
        <f t="shared" si="68"/>
        <v>-1441365</v>
      </c>
      <c r="M742">
        <f>IF(AND(MyRowHidden(ROW())=FALSE,MyRowHidden(ROW()-1)=TRUE),0,IF(MONTH(H742)&lt;&gt;MONTH(H741),M741+1,M741))</f>
        <v>34</v>
      </c>
      <c r="N742">
        <f t="shared" si="69"/>
        <v>326235</v>
      </c>
      <c r="O742">
        <f>IF(AND(MyRowHidden(ROW())=FALSE,MyRowHidden(ROW()-1)=TRUE),0,IF(M742&lt;totalMonths,(totalMonths-M742)/totalMonths *(I742-I741)+O741,0))</f>
        <v>0</v>
      </c>
      <c r="P742">
        <f>IF(AND(MyRowHidden(ROW())=FALSE,MyRowHidden(ROW()-1)=TRUE),0,IF(M742&lt;totalMonths,(totalMonths-M742)/totalMonths *(J742-J741)+P741,0))</f>
        <v>0</v>
      </c>
      <c r="Q742">
        <f>IF(AND(MyRowHidden(ROW())=FALSE,MyRowHidden(ROW()-1)=TRUE),0,IF(M742&lt;totalMonths,(totalMonths-M742)/totalMonths *(K742-K741)+Q741,0))</f>
        <v>0</v>
      </c>
      <c r="R742">
        <f t="shared" si="70"/>
        <v>326235</v>
      </c>
      <c r="S742">
        <f t="shared" si="71"/>
        <v>0</v>
      </c>
    </row>
    <row r="743" spans="1:19" hidden="1" x14ac:dyDescent="0.25">
      <c r="A743" s="1"/>
      <c r="C743" s="1"/>
      <c r="D743" s="1">
        <v>42339</v>
      </c>
      <c r="E743">
        <v>31956</v>
      </c>
      <c r="F743" s="1">
        <v>42339</v>
      </c>
      <c r="G743">
        <v>-4087.5</v>
      </c>
      <c r="H743" s="1">
        <f t="shared" si="66"/>
        <v>42339</v>
      </c>
      <c r="I743">
        <f>IF(AND(MyRowHidden(ROW())=FALSE,MyRowHidden(ROW()-1)=TRUE),0,(E743-E742)*unitsOfDHp+I742)</f>
        <v>323995</v>
      </c>
      <c r="J743">
        <f>IF(AND(MyRowHidden(ROW())=FALSE,MyRowHidden(ROW()-1)=TRUE),0,(G743-G742)*unitsOfExo+J742)</f>
        <v>-1724400</v>
      </c>
      <c r="K743" s="9">
        <f t="shared" si="67"/>
        <v>1724400</v>
      </c>
      <c r="L743">
        <f t="shared" si="68"/>
        <v>-1400405</v>
      </c>
      <c r="M743">
        <f>IF(AND(MyRowHidden(ROW())=FALSE,MyRowHidden(ROW()-1)=TRUE),0,IF(MONTH(H743)&lt;&gt;MONTH(H742),M742+1,M742))</f>
        <v>35</v>
      </c>
      <c r="N743">
        <f t="shared" si="69"/>
        <v>323995</v>
      </c>
      <c r="O743">
        <f>IF(AND(MyRowHidden(ROW())=FALSE,MyRowHidden(ROW()-1)=TRUE),0,IF(M743&lt;totalMonths,(totalMonths-M743)/totalMonths *(I743-I742)+O742,0))</f>
        <v>0</v>
      </c>
      <c r="P743">
        <f>IF(AND(MyRowHidden(ROW())=FALSE,MyRowHidden(ROW()-1)=TRUE),0,IF(M743&lt;totalMonths,(totalMonths-M743)/totalMonths *(J743-J742)+P742,0))</f>
        <v>0</v>
      </c>
      <c r="Q743">
        <f>IF(AND(MyRowHidden(ROW())=FALSE,MyRowHidden(ROW()-1)=TRUE),0,IF(M743&lt;totalMonths,(totalMonths-M743)/totalMonths *(K743-K742)+Q742,0))</f>
        <v>0</v>
      </c>
      <c r="R743">
        <f t="shared" si="70"/>
        <v>323995</v>
      </c>
      <c r="S743">
        <f t="shared" si="71"/>
        <v>0</v>
      </c>
    </row>
    <row r="744" spans="1:19" hidden="1" x14ac:dyDescent="0.25">
      <c r="A744" s="1"/>
      <c r="C744" s="1"/>
      <c r="D744" s="1">
        <v>42340</v>
      </c>
      <c r="E744">
        <v>32002</v>
      </c>
      <c r="F744" s="1">
        <v>42340</v>
      </c>
      <c r="G744">
        <v>-4225</v>
      </c>
      <c r="H744" s="1">
        <f t="shared" si="66"/>
        <v>42340</v>
      </c>
      <c r="I744">
        <f>IF(AND(MyRowHidden(ROW())=FALSE,MyRowHidden(ROW()-1)=TRUE),0,(E744-E743)*unitsOfDHp+I743)</f>
        <v>325605</v>
      </c>
      <c r="J744">
        <f>IF(AND(MyRowHidden(ROW())=FALSE,MyRowHidden(ROW()-1)=TRUE),0,(G744-G743)*unitsOfExo+J743)</f>
        <v>-1764000</v>
      </c>
      <c r="K744" s="9">
        <f t="shared" si="67"/>
        <v>1764000</v>
      </c>
      <c r="L744">
        <f t="shared" si="68"/>
        <v>-1438395</v>
      </c>
      <c r="M744">
        <f>IF(AND(MyRowHidden(ROW())=FALSE,MyRowHidden(ROW()-1)=TRUE),0,IF(MONTH(H744)&lt;&gt;MONTH(H743),M743+1,M743))</f>
        <v>35</v>
      </c>
      <c r="N744">
        <f t="shared" si="69"/>
        <v>325605</v>
      </c>
      <c r="O744">
        <f>IF(AND(MyRowHidden(ROW())=FALSE,MyRowHidden(ROW()-1)=TRUE),0,IF(M744&lt;totalMonths,(totalMonths-M744)/totalMonths *(I744-I743)+O743,0))</f>
        <v>0</v>
      </c>
      <c r="P744">
        <f>IF(AND(MyRowHidden(ROW())=FALSE,MyRowHidden(ROW()-1)=TRUE),0,IF(M744&lt;totalMonths,(totalMonths-M744)/totalMonths *(J744-J743)+P743,0))</f>
        <v>0</v>
      </c>
      <c r="Q744">
        <f>IF(AND(MyRowHidden(ROW())=FALSE,MyRowHidden(ROW()-1)=TRUE),0,IF(M744&lt;totalMonths,(totalMonths-M744)/totalMonths *(K744-K743)+Q743,0))</f>
        <v>0</v>
      </c>
      <c r="R744">
        <f t="shared" si="70"/>
        <v>325605</v>
      </c>
      <c r="S744">
        <f t="shared" si="71"/>
        <v>0</v>
      </c>
    </row>
    <row r="745" spans="1:19" hidden="1" x14ac:dyDescent="0.25">
      <c r="A745" s="1"/>
      <c r="C745" s="1"/>
      <c r="D745" s="1">
        <v>42341</v>
      </c>
      <c r="E745">
        <v>31723</v>
      </c>
      <c r="F745" s="1">
        <v>42341</v>
      </c>
      <c r="G745">
        <v>-3912.5</v>
      </c>
      <c r="H745" s="1">
        <f t="shared" si="66"/>
        <v>42341</v>
      </c>
      <c r="I745">
        <f>IF(AND(MyRowHidden(ROW())=FALSE,MyRowHidden(ROW()-1)=TRUE),0,(E745-E744)*unitsOfDHp+I744)</f>
        <v>315840</v>
      </c>
      <c r="J745">
        <f>IF(AND(MyRowHidden(ROW())=FALSE,MyRowHidden(ROW()-1)=TRUE),0,(G745-G744)*unitsOfExo+J744)</f>
        <v>-1674000</v>
      </c>
      <c r="K745" s="9">
        <f t="shared" si="67"/>
        <v>1674000</v>
      </c>
      <c r="L745">
        <f t="shared" si="68"/>
        <v>-1358160</v>
      </c>
      <c r="M745">
        <f>IF(AND(MyRowHidden(ROW())=FALSE,MyRowHidden(ROW()-1)=TRUE),0,IF(MONTH(H745)&lt;&gt;MONTH(H744),M744+1,M744))</f>
        <v>35</v>
      </c>
      <c r="N745">
        <f t="shared" si="69"/>
        <v>315840</v>
      </c>
      <c r="O745">
        <f>IF(AND(MyRowHidden(ROW())=FALSE,MyRowHidden(ROW()-1)=TRUE),0,IF(M745&lt;totalMonths,(totalMonths-M745)/totalMonths *(I745-I744)+O744,0))</f>
        <v>0</v>
      </c>
      <c r="P745">
        <f>IF(AND(MyRowHidden(ROW())=FALSE,MyRowHidden(ROW()-1)=TRUE),0,IF(M745&lt;totalMonths,(totalMonths-M745)/totalMonths *(J745-J744)+P744,0))</f>
        <v>0</v>
      </c>
      <c r="Q745">
        <f>IF(AND(MyRowHidden(ROW())=FALSE,MyRowHidden(ROW()-1)=TRUE),0,IF(M745&lt;totalMonths,(totalMonths-M745)/totalMonths *(K745-K744)+Q744,0))</f>
        <v>0</v>
      </c>
      <c r="R745">
        <f t="shared" si="70"/>
        <v>315840</v>
      </c>
      <c r="S745">
        <f t="shared" si="71"/>
        <v>0</v>
      </c>
    </row>
    <row r="746" spans="1:19" hidden="1" x14ac:dyDescent="0.25">
      <c r="A746" s="1"/>
      <c r="C746" s="1"/>
      <c r="D746" s="1">
        <v>42342</v>
      </c>
      <c r="E746">
        <v>31275</v>
      </c>
      <c r="F746" s="1">
        <v>42342</v>
      </c>
      <c r="G746">
        <v>-3675</v>
      </c>
      <c r="H746" s="1">
        <f t="shared" si="66"/>
        <v>42342</v>
      </c>
      <c r="I746">
        <f>IF(AND(MyRowHidden(ROW())=FALSE,MyRowHidden(ROW()-1)=TRUE),0,(E746-E745)*unitsOfDHp+I745)</f>
        <v>300160</v>
      </c>
      <c r="J746">
        <f>IF(AND(MyRowHidden(ROW())=FALSE,MyRowHidden(ROW()-1)=TRUE),0,(G746-G745)*unitsOfExo+J745)</f>
        <v>-1605600</v>
      </c>
      <c r="K746" s="9">
        <f t="shared" si="67"/>
        <v>1605600</v>
      </c>
      <c r="L746">
        <f t="shared" si="68"/>
        <v>-1305440</v>
      </c>
      <c r="M746">
        <f>IF(AND(MyRowHidden(ROW())=FALSE,MyRowHidden(ROW()-1)=TRUE),0,IF(MONTH(H746)&lt;&gt;MONTH(H745),M745+1,M745))</f>
        <v>35</v>
      </c>
      <c r="N746">
        <f t="shared" si="69"/>
        <v>300160</v>
      </c>
      <c r="O746">
        <f>IF(AND(MyRowHidden(ROW())=FALSE,MyRowHidden(ROW()-1)=TRUE),0,IF(M746&lt;totalMonths,(totalMonths-M746)/totalMonths *(I746-I745)+O745,0))</f>
        <v>0</v>
      </c>
      <c r="P746">
        <f>IF(AND(MyRowHidden(ROW())=FALSE,MyRowHidden(ROW()-1)=TRUE),0,IF(M746&lt;totalMonths,(totalMonths-M746)/totalMonths *(J746-J745)+P745,0))</f>
        <v>0</v>
      </c>
      <c r="Q746">
        <f>IF(AND(MyRowHidden(ROW())=FALSE,MyRowHidden(ROW()-1)=TRUE),0,IF(M746&lt;totalMonths,(totalMonths-M746)/totalMonths *(K746-K745)+Q745,0))</f>
        <v>0</v>
      </c>
      <c r="R746">
        <f t="shared" si="70"/>
        <v>300160</v>
      </c>
      <c r="S746">
        <f t="shared" si="71"/>
        <v>0</v>
      </c>
    </row>
    <row r="747" spans="1:19" hidden="1" x14ac:dyDescent="0.25">
      <c r="A747" s="1"/>
      <c r="C747" s="1"/>
      <c r="D747" s="1">
        <v>42345</v>
      </c>
      <c r="E747">
        <v>32069</v>
      </c>
      <c r="F747" s="1">
        <v>42345</v>
      </c>
      <c r="G747">
        <v>-3962.5</v>
      </c>
      <c r="H747" s="1">
        <f t="shared" si="66"/>
        <v>42345</v>
      </c>
      <c r="I747">
        <f>IF(AND(MyRowHidden(ROW())=FALSE,MyRowHidden(ROW()-1)=TRUE),0,(E747-E746)*unitsOfDHp+I746)</f>
        <v>327950</v>
      </c>
      <c r="J747">
        <f>IF(AND(MyRowHidden(ROW())=FALSE,MyRowHidden(ROW()-1)=TRUE),0,(G747-G746)*unitsOfExo+J746)</f>
        <v>-1688400</v>
      </c>
      <c r="K747" s="9">
        <f t="shared" si="67"/>
        <v>1688400</v>
      </c>
      <c r="L747">
        <f t="shared" si="68"/>
        <v>-1360450</v>
      </c>
      <c r="M747">
        <f>IF(AND(MyRowHidden(ROW())=FALSE,MyRowHidden(ROW()-1)=TRUE),0,IF(MONTH(H747)&lt;&gt;MONTH(H746),M746+1,M746))</f>
        <v>35</v>
      </c>
      <c r="N747">
        <f t="shared" si="69"/>
        <v>327950</v>
      </c>
      <c r="O747">
        <f>IF(AND(MyRowHidden(ROW())=FALSE,MyRowHidden(ROW()-1)=TRUE),0,IF(M747&lt;totalMonths,(totalMonths-M747)/totalMonths *(I747-I746)+O746,0))</f>
        <v>0</v>
      </c>
      <c r="P747">
        <f>IF(AND(MyRowHidden(ROW())=FALSE,MyRowHidden(ROW()-1)=TRUE),0,IF(M747&lt;totalMonths,(totalMonths-M747)/totalMonths *(J747-J746)+P746,0))</f>
        <v>0</v>
      </c>
      <c r="Q747">
        <f>IF(AND(MyRowHidden(ROW())=FALSE,MyRowHidden(ROW()-1)=TRUE),0,IF(M747&lt;totalMonths,(totalMonths-M747)/totalMonths *(K747-K746)+Q746,0))</f>
        <v>0</v>
      </c>
      <c r="R747">
        <f t="shared" si="70"/>
        <v>327950</v>
      </c>
      <c r="S747">
        <f t="shared" si="71"/>
        <v>0</v>
      </c>
    </row>
    <row r="748" spans="1:19" hidden="1" x14ac:dyDescent="0.25">
      <c r="A748" s="1"/>
      <c r="C748" s="1"/>
      <c r="D748" s="1">
        <v>42346</v>
      </c>
      <c r="E748">
        <v>32048</v>
      </c>
      <c r="F748" s="1">
        <v>42346</v>
      </c>
      <c r="G748">
        <v>-3937.5</v>
      </c>
      <c r="H748" s="1">
        <f t="shared" si="66"/>
        <v>42346</v>
      </c>
      <c r="I748">
        <f>IF(AND(MyRowHidden(ROW())=FALSE,MyRowHidden(ROW()-1)=TRUE),0,(E748-E747)*unitsOfDHp+I747)</f>
        <v>327215</v>
      </c>
      <c r="J748">
        <f>IF(AND(MyRowHidden(ROW())=FALSE,MyRowHidden(ROW()-1)=TRUE),0,(G748-G747)*unitsOfExo+J747)</f>
        <v>-1681200</v>
      </c>
      <c r="K748" s="9">
        <f t="shared" si="67"/>
        <v>1681200</v>
      </c>
      <c r="L748">
        <f t="shared" si="68"/>
        <v>-1353985</v>
      </c>
      <c r="M748">
        <f>IF(AND(MyRowHidden(ROW())=FALSE,MyRowHidden(ROW()-1)=TRUE),0,IF(MONTH(H748)&lt;&gt;MONTH(H747),M747+1,M747))</f>
        <v>35</v>
      </c>
      <c r="N748">
        <f t="shared" si="69"/>
        <v>327215</v>
      </c>
      <c r="O748">
        <f>IF(AND(MyRowHidden(ROW())=FALSE,MyRowHidden(ROW()-1)=TRUE),0,IF(M748&lt;totalMonths,(totalMonths-M748)/totalMonths *(I748-I747)+O747,0))</f>
        <v>0</v>
      </c>
      <c r="P748">
        <f>IF(AND(MyRowHidden(ROW())=FALSE,MyRowHidden(ROW()-1)=TRUE),0,IF(M748&lt;totalMonths,(totalMonths-M748)/totalMonths *(J748-J747)+P747,0))</f>
        <v>0</v>
      </c>
      <c r="Q748">
        <f>IF(AND(MyRowHidden(ROW())=FALSE,MyRowHidden(ROW()-1)=TRUE),0,IF(M748&lt;totalMonths,(totalMonths-M748)/totalMonths *(K748-K747)+Q747,0))</f>
        <v>0</v>
      </c>
      <c r="R748">
        <f t="shared" si="70"/>
        <v>327215</v>
      </c>
      <c r="S748">
        <f t="shared" si="71"/>
        <v>0</v>
      </c>
    </row>
    <row r="749" spans="1:19" hidden="1" x14ac:dyDescent="0.25">
      <c r="A749" s="1"/>
      <c r="C749" s="1"/>
      <c r="D749" s="1">
        <v>42347</v>
      </c>
      <c r="E749">
        <v>32102</v>
      </c>
      <c r="F749" s="1">
        <v>42347</v>
      </c>
      <c r="G749">
        <v>-3887.5</v>
      </c>
      <c r="H749" s="1">
        <f t="shared" si="66"/>
        <v>42347</v>
      </c>
      <c r="I749">
        <f>IF(AND(MyRowHidden(ROW())=FALSE,MyRowHidden(ROW()-1)=TRUE),0,(E749-E748)*unitsOfDHp+I748)</f>
        <v>329105</v>
      </c>
      <c r="J749">
        <f>IF(AND(MyRowHidden(ROW())=FALSE,MyRowHidden(ROW()-1)=TRUE),0,(G749-G748)*unitsOfExo+J748)</f>
        <v>-1666800</v>
      </c>
      <c r="K749" s="9">
        <f t="shared" si="67"/>
        <v>1666800</v>
      </c>
      <c r="L749">
        <f t="shared" si="68"/>
        <v>-1337695</v>
      </c>
      <c r="M749">
        <f>IF(AND(MyRowHidden(ROW())=FALSE,MyRowHidden(ROW()-1)=TRUE),0,IF(MONTH(H749)&lt;&gt;MONTH(H748),M748+1,M748))</f>
        <v>35</v>
      </c>
      <c r="N749">
        <f t="shared" si="69"/>
        <v>329105</v>
      </c>
      <c r="O749">
        <f>IF(AND(MyRowHidden(ROW())=FALSE,MyRowHidden(ROW()-1)=TRUE),0,IF(M749&lt;totalMonths,(totalMonths-M749)/totalMonths *(I749-I748)+O748,0))</f>
        <v>0</v>
      </c>
      <c r="P749">
        <f>IF(AND(MyRowHidden(ROW())=FALSE,MyRowHidden(ROW()-1)=TRUE),0,IF(M749&lt;totalMonths,(totalMonths-M749)/totalMonths *(J749-J748)+P748,0))</f>
        <v>0</v>
      </c>
      <c r="Q749">
        <f>IF(AND(MyRowHidden(ROW())=FALSE,MyRowHidden(ROW()-1)=TRUE),0,IF(M749&lt;totalMonths,(totalMonths-M749)/totalMonths *(K749-K748)+Q748,0))</f>
        <v>0</v>
      </c>
      <c r="R749">
        <f t="shared" si="70"/>
        <v>329105</v>
      </c>
      <c r="S749">
        <f t="shared" si="71"/>
        <v>0</v>
      </c>
    </row>
    <row r="750" spans="1:19" hidden="1" x14ac:dyDescent="0.25">
      <c r="A750" s="1"/>
      <c r="C750" s="1"/>
      <c r="D750" s="1">
        <v>42348</v>
      </c>
      <c r="E750">
        <v>31608</v>
      </c>
      <c r="F750" s="1">
        <v>42348</v>
      </c>
      <c r="G750">
        <v>-3575</v>
      </c>
      <c r="H750" s="1">
        <f t="shared" si="66"/>
        <v>42348</v>
      </c>
      <c r="I750">
        <f>IF(AND(MyRowHidden(ROW())=FALSE,MyRowHidden(ROW()-1)=TRUE),0,(E750-E749)*unitsOfDHp+I749)</f>
        <v>311815</v>
      </c>
      <c r="J750">
        <f>IF(AND(MyRowHidden(ROW())=FALSE,MyRowHidden(ROW()-1)=TRUE),0,(G750-G749)*unitsOfExo+J749)</f>
        <v>-1576800</v>
      </c>
      <c r="K750" s="9">
        <f t="shared" si="67"/>
        <v>1576800</v>
      </c>
      <c r="L750">
        <f t="shared" si="68"/>
        <v>-1264985</v>
      </c>
      <c r="M750">
        <f>IF(AND(MyRowHidden(ROW())=FALSE,MyRowHidden(ROW()-1)=TRUE),0,IF(MONTH(H750)&lt;&gt;MONTH(H749),M749+1,M749))</f>
        <v>35</v>
      </c>
      <c r="N750">
        <f t="shared" si="69"/>
        <v>311815</v>
      </c>
      <c r="O750">
        <f>IF(AND(MyRowHidden(ROW())=FALSE,MyRowHidden(ROW()-1)=TRUE),0,IF(M750&lt;totalMonths,(totalMonths-M750)/totalMonths *(I750-I749)+O749,0))</f>
        <v>0</v>
      </c>
      <c r="P750">
        <f>IF(AND(MyRowHidden(ROW())=FALSE,MyRowHidden(ROW()-1)=TRUE),0,IF(M750&lt;totalMonths,(totalMonths-M750)/totalMonths *(J750-J749)+P749,0))</f>
        <v>0</v>
      </c>
      <c r="Q750">
        <f>IF(AND(MyRowHidden(ROW())=FALSE,MyRowHidden(ROW()-1)=TRUE),0,IF(M750&lt;totalMonths,(totalMonths-M750)/totalMonths *(K750-K749)+Q749,0))</f>
        <v>0</v>
      </c>
      <c r="R750">
        <f t="shared" si="70"/>
        <v>311815</v>
      </c>
      <c r="S750">
        <f t="shared" si="71"/>
        <v>0</v>
      </c>
    </row>
    <row r="751" spans="1:19" hidden="1" x14ac:dyDescent="0.25">
      <c r="A751" s="1"/>
      <c r="C751" s="1"/>
      <c r="D751" s="1">
        <v>42349</v>
      </c>
      <c r="E751">
        <v>31660</v>
      </c>
      <c r="F751" s="1">
        <v>42349</v>
      </c>
      <c r="G751">
        <v>-3737.5</v>
      </c>
      <c r="H751" s="1">
        <f t="shared" si="66"/>
        <v>42349</v>
      </c>
      <c r="I751">
        <f>IF(AND(MyRowHidden(ROW())=FALSE,MyRowHidden(ROW()-1)=TRUE),0,(E751-E750)*unitsOfDHp+I750)</f>
        <v>313635</v>
      </c>
      <c r="J751">
        <f>IF(AND(MyRowHidden(ROW())=FALSE,MyRowHidden(ROW()-1)=TRUE),0,(G751-G750)*unitsOfExo+J750)</f>
        <v>-1623600</v>
      </c>
      <c r="K751" s="9">
        <f t="shared" si="67"/>
        <v>1623600</v>
      </c>
      <c r="L751">
        <f t="shared" si="68"/>
        <v>-1309965</v>
      </c>
      <c r="M751">
        <f>IF(AND(MyRowHidden(ROW())=FALSE,MyRowHidden(ROW()-1)=TRUE),0,IF(MONTH(H751)&lt;&gt;MONTH(H750),M750+1,M750))</f>
        <v>35</v>
      </c>
      <c r="N751">
        <f t="shared" si="69"/>
        <v>313635</v>
      </c>
      <c r="O751">
        <f>IF(AND(MyRowHidden(ROW())=FALSE,MyRowHidden(ROW()-1)=TRUE),0,IF(M751&lt;totalMonths,(totalMonths-M751)/totalMonths *(I751-I750)+O750,0))</f>
        <v>0</v>
      </c>
      <c r="P751">
        <f>IF(AND(MyRowHidden(ROW())=FALSE,MyRowHidden(ROW()-1)=TRUE),0,IF(M751&lt;totalMonths,(totalMonths-M751)/totalMonths *(J751-J750)+P750,0))</f>
        <v>0</v>
      </c>
      <c r="Q751">
        <f>IF(AND(MyRowHidden(ROW())=FALSE,MyRowHidden(ROW()-1)=TRUE),0,IF(M751&lt;totalMonths,(totalMonths-M751)/totalMonths *(K751-K750)+Q750,0))</f>
        <v>0</v>
      </c>
      <c r="R751">
        <f t="shared" si="70"/>
        <v>313635</v>
      </c>
      <c r="S751">
        <f t="shared" si="71"/>
        <v>0</v>
      </c>
    </row>
    <row r="752" spans="1:19" hidden="1" x14ac:dyDescent="0.25">
      <c r="A752" s="1"/>
      <c r="C752" s="1"/>
      <c r="D752" s="1">
        <v>42352</v>
      </c>
      <c r="E752">
        <v>31440</v>
      </c>
      <c r="F752" s="1">
        <v>42352</v>
      </c>
      <c r="G752">
        <v>-3662.5</v>
      </c>
      <c r="H752" s="1">
        <f t="shared" si="66"/>
        <v>42352</v>
      </c>
      <c r="I752">
        <f>IF(AND(MyRowHidden(ROW())=FALSE,MyRowHidden(ROW()-1)=TRUE),0,(E752-E751)*unitsOfDHp+I751)</f>
        <v>305935</v>
      </c>
      <c r="J752">
        <f>IF(AND(MyRowHidden(ROW())=FALSE,MyRowHidden(ROW()-1)=TRUE),0,(G752-G751)*unitsOfExo+J751)</f>
        <v>-1602000</v>
      </c>
      <c r="K752" s="9">
        <f t="shared" si="67"/>
        <v>1602000</v>
      </c>
      <c r="L752">
        <f t="shared" si="68"/>
        <v>-1296065</v>
      </c>
      <c r="M752">
        <f>IF(AND(MyRowHidden(ROW())=FALSE,MyRowHidden(ROW()-1)=TRUE),0,IF(MONTH(H752)&lt;&gt;MONTH(H751),M751+1,M751))</f>
        <v>35</v>
      </c>
      <c r="N752">
        <f t="shared" si="69"/>
        <v>305935</v>
      </c>
      <c r="O752">
        <f>IF(AND(MyRowHidden(ROW())=FALSE,MyRowHidden(ROW()-1)=TRUE),0,IF(M752&lt;totalMonths,(totalMonths-M752)/totalMonths *(I752-I751)+O751,0))</f>
        <v>0</v>
      </c>
      <c r="P752">
        <f>IF(AND(MyRowHidden(ROW())=FALSE,MyRowHidden(ROW()-1)=TRUE),0,IF(M752&lt;totalMonths,(totalMonths-M752)/totalMonths *(J752-J751)+P751,0))</f>
        <v>0</v>
      </c>
      <c r="Q752">
        <f>IF(AND(MyRowHidden(ROW())=FALSE,MyRowHidden(ROW()-1)=TRUE),0,IF(M752&lt;totalMonths,(totalMonths-M752)/totalMonths *(K752-K751)+Q751,0))</f>
        <v>0</v>
      </c>
      <c r="R752">
        <f t="shared" si="70"/>
        <v>305935</v>
      </c>
      <c r="S752">
        <f t="shared" si="71"/>
        <v>0</v>
      </c>
    </row>
    <row r="753" spans="1:19" hidden="1" x14ac:dyDescent="0.25">
      <c r="A753" s="1"/>
      <c r="C753" s="1"/>
      <c r="D753" s="1">
        <v>42353</v>
      </c>
      <c r="E753">
        <v>31424</v>
      </c>
      <c r="F753" s="1">
        <v>42353</v>
      </c>
      <c r="G753">
        <v>-3650</v>
      </c>
      <c r="H753" s="1">
        <f t="shared" si="66"/>
        <v>42353</v>
      </c>
      <c r="I753">
        <f>IF(AND(MyRowHidden(ROW())=FALSE,MyRowHidden(ROW()-1)=TRUE),0,(E753-E752)*unitsOfDHp+I752)</f>
        <v>305375</v>
      </c>
      <c r="J753">
        <f>IF(AND(MyRowHidden(ROW())=FALSE,MyRowHidden(ROW()-1)=TRUE),0,(G753-G752)*unitsOfExo+J752)</f>
        <v>-1598400</v>
      </c>
      <c r="K753" s="9">
        <f t="shared" si="67"/>
        <v>1598400</v>
      </c>
      <c r="L753">
        <f t="shared" si="68"/>
        <v>-1293025</v>
      </c>
      <c r="M753">
        <f>IF(AND(MyRowHidden(ROW())=FALSE,MyRowHidden(ROW()-1)=TRUE),0,IF(MONTH(H753)&lt;&gt;MONTH(H752),M752+1,M752))</f>
        <v>35</v>
      </c>
      <c r="N753">
        <f t="shared" si="69"/>
        <v>305375</v>
      </c>
      <c r="O753">
        <f>IF(AND(MyRowHidden(ROW())=FALSE,MyRowHidden(ROW()-1)=TRUE),0,IF(M753&lt;totalMonths,(totalMonths-M753)/totalMonths *(I753-I752)+O752,0))</f>
        <v>0</v>
      </c>
      <c r="P753">
        <f>IF(AND(MyRowHidden(ROW())=FALSE,MyRowHidden(ROW()-1)=TRUE),0,IF(M753&lt;totalMonths,(totalMonths-M753)/totalMonths *(J753-J752)+P752,0))</f>
        <v>0</v>
      </c>
      <c r="Q753">
        <f>IF(AND(MyRowHidden(ROW())=FALSE,MyRowHidden(ROW()-1)=TRUE),0,IF(M753&lt;totalMonths,(totalMonths-M753)/totalMonths *(K753-K752)+Q752,0))</f>
        <v>0</v>
      </c>
      <c r="R753">
        <f t="shared" si="70"/>
        <v>305375</v>
      </c>
      <c r="S753">
        <f t="shared" si="71"/>
        <v>0</v>
      </c>
    </row>
    <row r="754" spans="1:19" hidden="1" x14ac:dyDescent="0.25">
      <c r="A754" s="1"/>
      <c r="C754" s="1"/>
      <c r="D754" s="1">
        <v>42354</v>
      </c>
      <c r="E754">
        <v>31842</v>
      </c>
      <c r="F754" s="1">
        <v>42354</v>
      </c>
      <c r="G754">
        <v>-4087.5</v>
      </c>
      <c r="H754" s="1">
        <f t="shared" si="66"/>
        <v>42354</v>
      </c>
      <c r="I754">
        <f>IF(AND(MyRowHidden(ROW())=FALSE,MyRowHidden(ROW()-1)=TRUE),0,(E754-E753)*unitsOfDHp+I753)</f>
        <v>320005</v>
      </c>
      <c r="J754">
        <f>IF(AND(MyRowHidden(ROW())=FALSE,MyRowHidden(ROW()-1)=TRUE),0,(G754-G753)*unitsOfExo+J753)</f>
        <v>-1724400</v>
      </c>
      <c r="K754" s="9">
        <f t="shared" si="67"/>
        <v>1724400</v>
      </c>
      <c r="L754">
        <f t="shared" si="68"/>
        <v>-1404395</v>
      </c>
      <c r="M754">
        <f>IF(AND(MyRowHidden(ROW())=FALSE,MyRowHidden(ROW()-1)=TRUE),0,IF(MONTH(H754)&lt;&gt;MONTH(H753),M753+1,M753))</f>
        <v>35</v>
      </c>
      <c r="N754">
        <f t="shared" si="69"/>
        <v>320005</v>
      </c>
      <c r="O754">
        <f>IF(AND(MyRowHidden(ROW())=FALSE,MyRowHidden(ROW()-1)=TRUE),0,IF(M754&lt;totalMonths,(totalMonths-M754)/totalMonths *(I754-I753)+O753,0))</f>
        <v>0</v>
      </c>
      <c r="P754">
        <f>IF(AND(MyRowHidden(ROW())=FALSE,MyRowHidden(ROW()-1)=TRUE),0,IF(M754&lt;totalMonths,(totalMonths-M754)/totalMonths *(J754-J753)+P753,0))</f>
        <v>0</v>
      </c>
      <c r="Q754">
        <f>IF(AND(MyRowHidden(ROW())=FALSE,MyRowHidden(ROW()-1)=TRUE),0,IF(M754&lt;totalMonths,(totalMonths-M754)/totalMonths *(K754-K753)+Q753,0))</f>
        <v>0</v>
      </c>
      <c r="R754">
        <f t="shared" si="70"/>
        <v>320005</v>
      </c>
      <c r="S754">
        <f t="shared" si="71"/>
        <v>0</v>
      </c>
    </row>
    <row r="755" spans="1:19" hidden="1" x14ac:dyDescent="0.25">
      <c r="A755" s="1"/>
      <c r="C755" s="1"/>
      <c r="D755" s="1">
        <v>42355</v>
      </c>
      <c r="E755">
        <v>31674</v>
      </c>
      <c r="F755" s="1">
        <v>42355</v>
      </c>
      <c r="G755">
        <v>-3925</v>
      </c>
      <c r="H755" s="1">
        <f t="shared" si="66"/>
        <v>42355</v>
      </c>
      <c r="I755">
        <f>IF(AND(MyRowHidden(ROW())=FALSE,MyRowHidden(ROW()-1)=TRUE),0,(E755-E754)*unitsOfDHp+I754)</f>
        <v>314125</v>
      </c>
      <c r="J755">
        <f>IF(AND(MyRowHidden(ROW())=FALSE,MyRowHidden(ROW()-1)=TRUE),0,(G755-G754)*unitsOfExo+J754)</f>
        <v>-1677600</v>
      </c>
      <c r="K755" s="9">
        <f t="shared" si="67"/>
        <v>1677600</v>
      </c>
      <c r="L755">
        <f t="shared" si="68"/>
        <v>-1363475</v>
      </c>
      <c r="M755">
        <f>IF(AND(MyRowHidden(ROW())=FALSE,MyRowHidden(ROW()-1)=TRUE),0,IF(MONTH(H755)&lt;&gt;MONTH(H754),M754+1,M754))</f>
        <v>35</v>
      </c>
      <c r="N755">
        <f t="shared" si="69"/>
        <v>314125</v>
      </c>
      <c r="O755">
        <f>IF(AND(MyRowHidden(ROW())=FALSE,MyRowHidden(ROW()-1)=TRUE),0,IF(M755&lt;totalMonths,(totalMonths-M755)/totalMonths *(I755-I754)+O754,0))</f>
        <v>0</v>
      </c>
      <c r="P755">
        <f>IF(AND(MyRowHidden(ROW())=FALSE,MyRowHidden(ROW()-1)=TRUE),0,IF(M755&lt;totalMonths,(totalMonths-M755)/totalMonths *(J755-J754)+P754,0))</f>
        <v>0</v>
      </c>
      <c r="Q755">
        <f>IF(AND(MyRowHidden(ROW())=FALSE,MyRowHidden(ROW()-1)=TRUE),0,IF(M755&lt;totalMonths,(totalMonths-M755)/totalMonths *(K755-K754)+Q754,0))</f>
        <v>0</v>
      </c>
      <c r="R755">
        <f t="shared" si="70"/>
        <v>314125</v>
      </c>
      <c r="S755">
        <f t="shared" si="71"/>
        <v>0</v>
      </c>
    </row>
    <row r="756" spans="1:19" hidden="1" x14ac:dyDescent="0.25">
      <c r="A756" s="1"/>
      <c r="C756" s="1"/>
      <c r="D756" s="1">
        <v>42356</v>
      </c>
      <c r="E756">
        <v>31636</v>
      </c>
      <c r="F756" s="1">
        <v>42356</v>
      </c>
      <c r="G756">
        <v>-3862.5</v>
      </c>
      <c r="H756" s="1">
        <f t="shared" si="66"/>
        <v>42356</v>
      </c>
      <c r="I756">
        <f>IF(AND(MyRowHidden(ROW())=FALSE,MyRowHidden(ROW()-1)=TRUE),0,(E756-E755)*unitsOfDHp+I755)</f>
        <v>312795</v>
      </c>
      <c r="J756">
        <f>IF(AND(MyRowHidden(ROW())=FALSE,MyRowHidden(ROW()-1)=TRUE),0,(G756-G755)*unitsOfExo+J755)</f>
        <v>-1659600</v>
      </c>
      <c r="K756" s="9">
        <f t="shared" si="67"/>
        <v>1659600</v>
      </c>
      <c r="L756">
        <f t="shared" si="68"/>
        <v>-1346805</v>
      </c>
      <c r="M756">
        <f>IF(AND(MyRowHidden(ROW())=FALSE,MyRowHidden(ROW()-1)=TRUE),0,IF(MONTH(H756)&lt;&gt;MONTH(H755),M755+1,M755))</f>
        <v>35</v>
      </c>
      <c r="N756">
        <f t="shared" si="69"/>
        <v>312795</v>
      </c>
      <c r="O756">
        <f>IF(AND(MyRowHidden(ROW())=FALSE,MyRowHidden(ROW()-1)=TRUE),0,IF(M756&lt;totalMonths,(totalMonths-M756)/totalMonths *(I756-I755)+O755,0))</f>
        <v>0</v>
      </c>
      <c r="P756">
        <f>IF(AND(MyRowHidden(ROW())=FALSE,MyRowHidden(ROW()-1)=TRUE),0,IF(M756&lt;totalMonths,(totalMonths-M756)/totalMonths *(J756-J755)+P755,0))</f>
        <v>0</v>
      </c>
      <c r="Q756">
        <f>IF(AND(MyRowHidden(ROW())=FALSE,MyRowHidden(ROW()-1)=TRUE),0,IF(M756&lt;totalMonths,(totalMonths-M756)/totalMonths *(K756-K755)+Q755,0))</f>
        <v>0</v>
      </c>
      <c r="R756">
        <f t="shared" si="70"/>
        <v>312795</v>
      </c>
      <c r="S756">
        <f t="shared" si="71"/>
        <v>0</v>
      </c>
    </row>
    <row r="757" spans="1:19" hidden="1" x14ac:dyDescent="0.25">
      <c r="A757" s="1"/>
      <c r="C757" s="1"/>
      <c r="D757" s="1">
        <v>42359</v>
      </c>
      <c r="E757">
        <v>31662</v>
      </c>
      <c r="F757" s="1">
        <v>42359</v>
      </c>
      <c r="G757">
        <v>-4012.5</v>
      </c>
      <c r="H757" s="1">
        <f t="shared" si="66"/>
        <v>42359</v>
      </c>
      <c r="I757">
        <f>IF(AND(MyRowHidden(ROW())=FALSE,MyRowHidden(ROW()-1)=TRUE),0,(E757-E756)*unitsOfDHp+I756)</f>
        <v>313705</v>
      </c>
      <c r="J757">
        <f>IF(AND(MyRowHidden(ROW())=FALSE,MyRowHidden(ROW()-1)=TRUE),0,(G757-G756)*unitsOfExo+J756)</f>
        <v>-1702800</v>
      </c>
      <c r="K757" s="9">
        <f t="shared" si="67"/>
        <v>1702800</v>
      </c>
      <c r="L757">
        <f t="shared" si="68"/>
        <v>-1389095</v>
      </c>
      <c r="M757">
        <f>IF(AND(MyRowHidden(ROW())=FALSE,MyRowHidden(ROW()-1)=TRUE),0,IF(MONTH(H757)&lt;&gt;MONTH(H756),M756+1,M756))</f>
        <v>35</v>
      </c>
      <c r="N757">
        <f t="shared" si="69"/>
        <v>313705</v>
      </c>
      <c r="O757">
        <f>IF(AND(MyRowHidden(ROW())=FALSE,MyRowHidden(ROW()-1)=TRUE),0,IF(M757&lt;totalMonths,(totalMonths-M757)/totalMonths *(I757-I756)+O756,0))</f>
        <v>0</v>
      </c>
      <c r="P757">
        <f>IF(AND(MyRowHidden(ROW())=FALSE,MyRowHidden(ROW()-1)=TRUE),0,IF(M757&lt;totalMonths,(totalMonths-M757)/totalMonths *(J757-J756)+P756,0))</f>
        <v>0</v>
      </c>
      <c r="Q757">
        <f>IF(AND(MyRowHidden(ROW())=FALSE,MyRowHidden(ROW()-1)=TRUE),0,IF(M757&lt;totalMonths,(totalMonths-M757)/totalMonths *(K757-K756)+Q756,0))</f>
        <v>0</v>
      </c>
      <c r="R757">
        <f t="shared" si="70"/>
        <v>313705</v>
      </c>
      <c r="S757">
        <f t="shared" si="71"/>
        <v>0</v>
      </c>
    </row>
    <row r="758" spans="1:19" hidden="1" x14ac:dyDescent="0.25">
      <c r="A758" s="1"/>
      <c r="C758" s="1"/>
      <c r="D758" s="1">
        <v>42360</v>
      </c>
      <c r="E758">
        <v>31855</v>
      </c>
      <c r="F758" s="1">
        <v>42360</v>
      </c>
      <c r="G758">
        <v>-4262.5</v>
      </c>
      <c r="H758" s="1">
        <f t="shared" si="66"/>
        <v>42360</v>
      </c>
      <c r="I758">
        <f>IF(AND(MyRowHidden(ROW())=FALSE,MyRowHidden(ROW()-1)=TRUE),0,(E758-E757)*unitsOfDHp+I757)</f>
        <v>320460</v>
      </c>
      <c r="J758">
        <f>IF(AND(MyRowHidden(ROW())=FALSE,MyRowHidden(ROW()-1)=TRUE),0,(G758-G757)*unitsOfExo+J757)</f>
        <v>-1774800</v>
      </c>
      <c r="K758" s="9">
        <f t="shared" si="67"/>
        <v>1774800</v>
      </c>
      <c r="L758">
        <f t="shared" si="68"/>
        <v>-1454340</v>
      </c>
      <c r="M758">
        <f>IF(AND(MyRowHidden(ROW())=FALSE,MyRowHidden(ROW()-1)=TRUE),0,IF(MONTH(H758)&lt;&gt;MONTH(H757),M757+1,M757))</f>
        <v>35</v>
      </c>
      <c r="N758">
        <f t="shared" si="69"/>
        <v>320460</v>
      </c>
      <c r="O758">
        <f>IF(AND(MyRowHidden(ROW())=FALSE,MyRowHidden(ROW()-1)=TRUE),0,IF(M758&lt;totalMonths,(totalMonths-M758)/totalMonths *(I758-I757)+O757,0))</f>
        <v>0</v>
      </c>
      <c r="P758">
        <f>IF(AND(MyRowHidden(ROW())=FALSE,MyRowHidden(ROW()-1)=TRUE),0,IF(M758&lt;totalMonths,(totalMonths-M758)/totalMonths *(J758-J757)+P757,0))</f>
        <v>0</v>
      </c>
      <c r="Q758">
        <f>IF(AND(MyRowHidden(ROW())=FALSE,MyRowHidden(ROW()-1)=TRUE),0,IF(M758&lt;totalMonths,(totalMonths-M758)/totalMonths *(K758-K757)+Q757,0))</f>
        <v>0</v>
      </c>
      <c r="R758">
        <f t="shared" si="70"/>
        <v>320460</v>
      </c>
      <c r="S758">
        <f t="shared" si="71"/>
        <v>0</v>
      </c>
    </row>
    <row r="759" spans="1:19" hidden="1" x14ac:dyDescent="0.25">
      <c r="A759" s="1"/>
      <c r="C759" s="1"/>
      <c r="D759" s="1">
        <v>42361</v>
      </c>
      <c r="E759">
        <v>31846</v>
      </c>
      <c r="F759" s="1">
        <v>42361</v>
      </c>
      <c r="G759">
        <v>-4312.5</v>
      </c>
      <c r="H759" s="1">
        <f t="shared" si="66"/>
        <v>42361</v>
      </c>
      <c r="I759">
        <f>IF(AND(MyRowHidden(ROW())=FALSE,MyRowHidden(ROW()-1)=TRUE),0,(E759-E758)*unitsOfDHp+I758)</f>
        <v>320145</v>
      </c>
      <c r="J759">
        <f>IF(AND(MyRowHidden(ROW())=FALSE,MyRowHidden(ROW()-1)=TRUE),0,(G759-G758)*unitsOfExo+J758)</f>
        <v>-1789200</v>
      </c>
      <c r="K759" s="9">
        <f t="shared" si="67"/>
        <v>1789200</v>
      </c>
      <c r="L759">
        <f t="shared" si="68"/>
        <v>-1469055</v>
      </c>
      <c r="M759">
        <f>IF(AND(MyRowHidden(ROW())=FALSE,MyRowHidden(ROW()-1)=TRUE),0,IF(MONTH(H759)&lt;&gt;MONTH(H758),M758+1,M758))</f>
        <v>35</v>
      </c>
      <c r="N759">
        <f t="shared" si="69"/>
        <v>320145</v>
      </c>
      <c r="O759">
        <f>IF(AND(MyRowHidden(ROW())=FALSE,MyRowHidden(ROW()-1)=TRUE),0,IF(M759&lt;totalMonths,(totalMonths-M759)/totalMonths *(I759-I758)+O758,0))</f>
        <v>0</v>
      </c>
      <c r="P759">
        <f>IF(AND(MyRowHidden(ROW())=FALSE,MyRowHidden(ROW()-1)=TRUE),0,IF(M759&lt;totalMonths,(totalMonths-M759)/totalMonths *(J759-J758)+P758,0))</f>
        <v>0</v>
      </c>
      <c r="Q759">
        <f>IF(AND(MyRowHidden(ROW())=FALSE,MyRowHidden(ROW()-1)=TRUE),0,IF(M759&lt;totalMonths,(totalMonths-M759)/totalMonths *(K759-K758)+Q758,0))</f>
        <v>0</v>
      </c>
      <c r="R759">
        <f t="shared" si="70"/>
        <v>320145</v>
      </c>
      <c r="S759">
        <f t="shared" si="71"/>
        <v>0</v>
      </c>
    </row>
    <row r="760" spans="1:19" hidden="1" x14ac:dyDescent="0.25">
      <c r="A760" s="1"/>
      <c r="C760" s="1"/>
      <c r="D760" s="1">
        <v>42362</v>
      </c>
      <c r="E760">
        <v>31829</v>
      </c>
      <c r="F760" s="1">
        <v>42362</v>
      </c>
      <c r="G760">
        <v>-4362.5</v>
      </c>
      <c r="H760" s="1">
        <f t="shared" si="66"/>
        <v>42362</v>
      </c>
      <c r="I760">
        <f>IF(AND(MyRowHidden(ROW())=FALSE,MyRowHidden(ROW()-1)=TRUE),0,(E760-E759)*unitsOfDHp+I759)</f>
        <v>319550</v>
      </c>
      <c r="J760">
        <f>IF(AND(MyRowHidden(ROW())=FALSE,MyRowHidden(ROW()-1)=TRUE),0,(G760-G759)*unitsOfExo+J759)</f>
        <v>-1803600</v>
      </c>
      <c r="K760" s="9">
        <f t="shared" si="67"/>
        <v>1803600</v>
      </c>
      <c r="L760">
        <f t="shared" si="68"/>
        <v>-1484050</v>
      </c>
      <c r="M760">
        <f>IF(AND(MyRowHidden(ROW())=FALSE,MyRowHidden(ROW()-1)=TRUE),0,IF(MONTH(H760)&lt;&gt;MONTH(H759),M759+1,M759))</f>
        <v>35</v>
      </c>
      <c r="N760">
        <f t="shared" si="69"/>
        <v>319550</v>
      </c>
      <c r="O760">
        <f>IF(AND(MyRowHidden(ROW())=FALSE,MyRowHidden(ROW()-1)=TRUE),0,IF(M760&lt;totalMonths,(totalMonths-M760)/totalMonths *(I760-I759)+O759,0))</f>
        <v>0</v>
      </c>
      <c r="P760">
        <f>IF(AND(MyRowHidden(ROW())=FALSE,MyRowHidden(ROW()-1)=TRUE),0,IF(M760&lt;totalMonths,(totalMonths-M760)/totalMonths *(J760-J759)+P759,0))</f>
        <v>0</v>
      </c>
      <c r="Q760">
        <f>IF(AND(MyRowHidden(ROW())=FALSE,MyRowHidden(ROW()-1)=TRUE),0,IF(M760&lt;totalMonths,(totalMonths-M760)/totalMonths *(K760-K759)+Q759,0))</f>
        <v>0</v>
      </c>
      <c r="R760">
        <f t="shared" si="70"/>
        <v>319550</v>
      </c>
      <c r="S760">
        <f t="shared" si="71"/>
        <v>0</v>
      </c>
    </row>
    <row r="761" spans="1:19" hidden="1" x14ac:dyDescent="0.25">
      <c r="A761" s="1"/>
      <c r="C761" s="1"/>
      <c r="D761" s="1">
        <v>42366</v>
      </c>
      <c r="E761">
        <v>31756</v>
      </c>
      <c r="F761" s="1">
        <v>42366</v>
      </c>
      <c r="G761">
        <v>-4550</v>
      </c>
      <c r="H761" s="1">
        <f t="shared" si="66"/>
        <v>42366</v>
      </c>
      <c r="I761">
        <f>IF(AND(MyRowHidden(ROW())=FALSE,MyRowHidden(ROW()-1)=TRUE),0,(E761-E760)*unitsOfDHp+I760)</f>
        <v>316995</v>
      </c>
      <c r="J761">
        <f>IF(AND(MyRowHidden(ROW())=FALSE,MyRowHidden(ROW()-1)=TRUE),0,(G761-G760)*unitsOfExo+J760)</f>
        <v>-1857600</v>
      </c>
      <c r="K761" s="9">
        <f t="shared" si="67"/>
        <v>1857600</v>
      </c>
      <c r="L761">
        <f t="shared" si="68"/>
        <v>-1540605</v>
      </c>
      <c r="M761">
        <f>IF(AND(MyRowHidden(ROW())=FALSE,MyRowHidden(ROW()-1)=TRUE),0,IF(MONTH(H761)&lt;&gt;MONTH(H760),M760+1,M760))</f>
        <v>35</v>
      </c>
      <c r="N761">
        <f t="shared" si="69"/>
        <v>316995</v>
      </c>
      <c r="O761">
        <f>IF(AND(MyRowHidden(ROW())=FALSE,MyRowHidden(ROW()-1)=TRUE),0,IF(M761&lt;totalMonths,(totalMonths-M761)/totalMonths *(I761-I760)+O760,0))</f>
        <v>0</v>
      </c>
      <c r="P761">
        <f>IF(AND(MyRowHidden(ROW())=FALSE,MyRowHidden(ROW()-1)=TRUE),0,IF(M761&lt;totalMonths,(totalMonths-M761)/totalMonths *(J761-J760)+P760,0))</f>
        <v>0</v>
      </c>
      <c r="Q761">
        <f>IF(AND(MyRowHidden(ROW())=FALSE,MyRowHidden(ROW()-1)=TRUE),0,IF(M761&lt;totalMonths,(totalMonths-M761)/totalMonths *(K761-K760)+Q760,0))</f>
        <v>0</v>
      </c>
      <c r="R761">
        <f t="shared" si="70"/>
        <v>316995</v>
      </c>
      <c r="S761">
        <f t="shared" si="71"/>
        <v>0</v>
      </c>
    </row>
    <row r="762" spans="1:19" hidden="1" x14ac:dyDescent="0.25">
      <c r="A762" s="1"/>
      <c r="C762" s="1"/>
      <c r="D762" s="1">
        <v>42367</v>
      </c>
      <c r="E762">
        <v>31782</v>
      </c>
      <c r="F762" s="1">
        <v>42367</v>
      </c>
      <c r="G762">
        <v>-4500</v>
      </c>
      <c r="H762" s="1">
        <f t="shared" si="66"/>
        <v>42367</v>
      </c>
      <c r="I762">
        <f>IF(AND(MyRowHidden(ROW())=FALSE,MyRowHidden(ROW()-1)=TRUE),0,(E762-E761)*unitsOfDHp+I761)</f>
        <v>317905</v>
      </c>
      <c r="J762">
        <f>IF(AND(MyRowHidden(ROW())=FALSE,MyRowHidden(ROW()-1)=TRUE),0,(G762-G761)*unitsOfExo+J761)</f>
        <v>-1843200</v>
      </c>
      <c r="K762" s="9">
        <f t="shared" si="67"/>
        <v>1843200</v>
      </c>
      <c r="L762">
        <f t="shared" si="68"/>
        <v>-1525295</v>
      </c>
      <c r="M762">
        <f>IF(AND(MyRowHidden(ROW())=FALSE,MyRowHidden(ROW()-1)=TRUE),0,IF(MONTH(H762)&lt;&gt;MONTH(H761),M761+1,M761))</f>
        <v>35</v>
      </c>
      <c r="N762">
        <f t="shared" si="69"/>
        <v>317905</v>
      </c>
      <c r="O762">
        <f>IF(AND(MyRowHidden(ROW())=FALSE,MyRowHidden(ROW()-1)=TRUE),0,IF(M762&lt;totalMonths,(totalMonths-M762)/totalMonths *(I762-I761)+O761,0))</f>
        <v>0</v>
      </c>
      <c r="P762">
        <f>IF(AND(MyRowHidden(ROW())=FALSE,MyRowHidden(ROW()-1)=TRUE),0,IF(M762&lt;totalMonths,(totalMonths-M762)/totalMonths *(J762-J761)+P761,0))</f>
        <v>0</v>
      </c>
      <c r="Q762">
        <f>IF(AND(MyRowHidden(ROW())=FALSE,MyRowHidden(ROW()-1)=TRUE),0,IF(M762&lt;totalMonths,(totalMonths-M762)/totalMonths *(K762-K761)+Q761,0))</f>
        <v>0</v>
      </c>
      <c r="R762">
        <f t="shared" si="70"/>
        <v>317905</v>
      </c>
      <c r="S762">
        <f t="shared" si="71"/>
        <v>0</v>
      </c>
    </row>
    <row r="763" spans="1:19" hidden="1" x14ac:dyDescent="0.25">
      <c r="A763" s="1"/>
      <c r="C763" s="1"/>
      <c r="D763" s="1">
        <v>42368</v>
      </c>
      <c r="E763">
        <v>31635</v>
      </c>
      <c r="F763" s="1">
        <v>42368</v>
      </c>
      <c r="G763">
        <v>-4625</v>
      </c>
      <c r="H763" s="1">
        <f t="shared" si="66"/>
        <v>42368</v>
      </c>
      <c r="I763">
        <f>IF(AND(MyRowHidden(ROW())=FALSE,MyRowHidden(ROW()-1)=TRUE),0,(E763-E762)*unitsOfDHp+I762)</f>
        <v>312760</v>
      </c>
      <c r="J763">
        <f>IF(AND(MyRowHidden(ROW())=FALSE,MyRowHidden(ROW()-1)=TRUE),0,(G763-G762)*unitsOfExo+J762)</f>
        <v>-1879200</v>
      </c>
      <c r="K763" s="9">
        <f t="shared" si="67"/>
        <v>1879200</v>
      </c>
      <c r="L763">
        <f t="shared" si="68"/>
        <v>-1566440</v>
      </c>
      <c r="M763">
        <f>IF(AND(MyRowHidden(ROW())=FALSE,MyRowHidden(ROW()-1)=TRUE),0,IF(MONTH(H763)&lt;&gt;MONTH(H762),M762+1,M762))</f>
        <v>35</v>
      </c>
      <c r="N763">
        <f t="shared" si="69"/>
        <v>312760</v>
      </c>
      <c r="O763">
        <f>IF(AND(MyRowHidden(ROW())=FALSE,MyRowHidden(ROW()-1)=TRUE),0,IF(M763&lt;totalMonths,(totalMonths-M763)/totalMonths *(I763-I762)+O762,0))</f>
        <v>0</v>
      </c>
      <c r="P763">
        <f>IF(AND(MyRowHidden(ROW())=FALSE,MyRowHidden(ROW()-1)=TRUE),0,IF(M763&lt;totalMonths,(totalMonths-M763)/totalMonths *(J763-J762)+P762,0))</f>
        <v>0</v>
      </c>
      <c r="Q763">
        <f>IF(AND(MyRowHidden(ROW())=FALSE,MyRowHidden(ROW()-1)=TRUE),0,IF(M763&lt;totalMonths,(totalMonths-M763)/totalMonths *(K763-K762)+Q762,0))</f>
        <v>0</v>
      </c>
      <c r="R763">
        <f t="shared" si="70"/>
        <v>312760</v>
      </c>
      <c r="S763">
        <f t="shared" si="71"/>
        <v>0</v>
      </c>
    </row>
    <row r="764" spans="1:19" hidden="1" x14ac:dyDescent="0.25">
      <c r="A764" s="1"/>
      <c r="C764" s="1"/>
      <c r="D764" s="1">
        <v>42369</v>
      </c>
      <c r="E764">
        <v>31612</v>
      </c>
      <c r="F764" s="1">
        <v>42369</v>
      </c>
      <c r="G764">
        <v>-4662.5</v>
      </c>
      <c r="H764" s="1">
        <f t="shared" si="66"/>
        <v>42369</v>
      </c>
      <c r="I764">
        <f>IF(AND(MyRowHidden(ROW())=FALSE,MyRowHidden(ROW()-1)=TRUE),0,(E764-E763)*unitsOfDHp+I763)</f>
        <v>311955</v>
      </c>
      <c r="J764">
        <f>IF(AND(MyRowHidden(ROW())=FALSE,MyRowHidden(ROW()-1)=TRUE),0,(G764-G763)*unitsOfExo+J763)</f>
        <v>-1890000</v>
      </c>
      <c r="K764" s="9">
        <f t="shared" si="67"/>
        <v>1890000</v>
      </c>
      <c r="L764">
        <f t="shared" si="68"/>
        <v>-1578045</v>
      </c>
      <c r="M764">
        <f>IF(AND(MyRowHidden(ROW())=FALSE,MyRowHidden(ROW()-1)=TRUE),0,IF(MONTH(H764)&lt;&gt;MONTH(H763),M763+1,M763))</f>
        <v>35</v>
      </c>
      <c r="N764">
        <f t="shared" si="69"/>
        <v>311955</v>
      </c>
      <c r="O764">
        <f>IF(AND(MyRowHidden(ROW())=FALSE,MyRowHidden(ROW()-1)=TRUE),0,IF(M764&lt;totalMonths,(totalMonths-M764)/totalMonths *(I764-I763)+O763,0))</f>
        <v>0</v>
      </c>
      <c r="P764">
        <f>IF(AND(MyRowHidden(ROW())=FALSE,MyRowHidden(ROW()-1)=TRUE),0,IF(M764&lt;totalMonths,(totalMonths-M764)/totalMonths *(J764-J763)+P763,0))</f>
        <v>0</v>
      </c>
      <c r="Q764">
        <f>IF(AND(MyRowHidden(ROW())=FALSE,MyRowHidden(ROW()-1)=TRUE),0,IF(M764&lt;totalMonths,(totalMonths-M764)/totalMonths *(K764-K763)+Q763,0))</f>
        <v>0</v>
      </c>
      <c r="R764">
        <f t="shared" si="70"/>
        <v>311955</v>
      </c>
      <c r="S764">
        <f t="shared" si="71"/>
        <v>0</v>
      </c>
    </row>
    <row r="765" spans="1:19" x14ac:dyDescent="0.25">
      <c r="A765" s="1"/>
      <c r="C765" s="1"/>
      <c r="D765" s="1">
        <v>42373</v>
      </c>
      <c r="E765">
        <v>31370</v>
      </c>
      <c r="F765" s="1">
        <v>42373</v>
      </c>
      <c r="G765">
        <v>-5000</v>
      </c>
      <c r="H765" s="1">
        <f t="shared" si="66"/>
        <v>42373</v>
      </c>
      <c r="I765">
        <f>IF(AND(MyRowHidden(ROW())=FALSE,MyRowHidden(ROW()-1)=TRUE),0,(E765-E764)*unitsOfDHp+I764)</f>
        <v>0</v>
      </c>
      <c r="J765">
        <f>IF(AND(MyRowHidden(ROW())=FALSE,MyRowHidden(ROW()-1)=TRUE),0,(G765-G764)*unitsOfExo+J764)</f>
        <v>0</v>
      </c>
      <c r="K765" s="9">
        <f t="shared" si="67"/>
        <v>0</v>
      </c>
      <c r="L765">
        <f t="shared" si="68"/>
        <v>0</v>
      </c>
      <c r="M765">
        <f>IF(AND(MyRowHidden(ROW())=FALSE,MyRowHidden(ROW()-1)=TRUE),0,IF(MONTH(H765)&lt;&gt;MONTH(H764),M764+1,M764))</f>
        <v>0</v>
      </c>
      <c r="N765">
        <f t="shared" si="69"/>
        <v>0</v>
      </c>
      <c r="O765">
        <f>IF(AND(MyRowHidden(ROW())=FALSE,MyRowHidden(ROW()-1)=TRUE),0,IF(M765&lt;totalMonths,(totalMonths-M765)/totalMonths *(I765-I764)+O764,0))</f>
        <v>0</v>
      </c>
      <c r="P765">
        <f>IF(AND(MyRowHidden(ROW())=FALSE,MyRowHidden(ROW()-1)=TRUE),0,IF(M765&lt;totalMonths,(totalMonths-M765)/totalMonths *(J765-J764)+P764,0))</f>
        <v>0</v>
      </c>
      <c r="Q765">
        <f>IF(AND(MyRowHidden(ROW())=FALSE,MyRowHidden(ROW()-1)=TRUE),0,IF(M765&lt;totalMonths,(totalMonths-M765)/totalMonths *(K765-K764)+Q764,0))</f>
        <v>0</v>
      </c>
      <c r="R765">
        <f t="shared" si="70"/>
        <v>0</v>
      </c>
      <c r="S765">
        <f t="shared" si="71"/>
        <v>0</v>
      </c>
    </row>
    <row r="766" spans="1:19" x14ac:dyDescent="0.25">
      <c r="A766" s="1"/>
      <c r="C766" s="1"/>
      <c r="D766" s="1">
        <v>42374</v>
      </c>
      <c r="E766">
        <v>31320</v>
      </c>
      <c r="F766" s="1">
        <v>42374</v>
      </c>
      <c r="G766">
        <v>-4925</v>
      </c>
      <c r="H766" s="1">
        <f t="shared" si="66"/>
        <v>42374</v>
      </c>
      <c r="I766">
        <f>IF(AND(MyRowHidden(ROW())=FALSE,MyRowHidden(ROW()-1)=TRUE),0,(E766-E765)*unitsOfDHp+I765)</f>
        <v>-1750</v>
      </c>
      <c r="J766">
        <f>IF(AND(MyRowHidden(ROW())=FALSE,MyRowHidden(ROW()-1)=TRUE),0,(G766-G765)*unitsOfExo+J765)</f>
        <v>21600</v>
      </c>
      <c r="K766" s="9">
        <f t="shared" si="67"/>
        <v>-21600</v>
      </c>
      <c r="L766">
        <f t="shared" si="68"/>
        <v>19850</v>
      </c>
      <c r="M766">
        <f>IF(AND(MyRowHidden(ROW())=FALSE,MyRowHidden(ROW()-1)=TRUE),0,IF(MONTH(H766)&lt;&gt;MONTH(H765),M765+1,M765))</f>
        <v>0</v>
      </c>
      <c r="N766">
        <f t="shared" si="69"/>
        <v>-1750</v>
      </c>
      <c r="O766">
        <f>IF(AND(MyRowHidden(ROW())=FALSE,MyRowHidden(ROW()-1)=TRUE),0,IF(M766&lt;totalMonths,(totalMonths-M766)/totalMonths *(I766-I765)+O765,0))</f>
        <v>-1750</v>
      </c>
      <c r="P766">
        <f>IF(AND(MyRowHidden(ROW())=FALSE,MyRowHidden(ROW()-1)=TRUE),0,IF(M766&lt;totalMonths,(totalMonths-M766)/totalMonths *(J766-J765)+P765,0))</f>
        <v>21600</v>
      </c>
      <c r="Q766">
        <f>IF(AND(MyRowHidden(ROW())=FALSE,MyRowHidden(ROW()-1)=TRUE),0,IF(M766&lt;totalMonths,(totalMonths-M766)/totalMonths *(K766-K765)+Q765,0))</f>
        <v>-21600</v>
      </c>
      <c r="R766">
        <f t="shared" si="70"/>
        <v>19850</v>
      </c>
      <c r="S766">
        <f t="shared" si="71"/>
        <v>19850</v>
      </c>
    </row>
    <row r="767" spans="1:19" x14ac:dyDescent="0.25">
      <c r="A767" s="1"/>
      <c r="C767" s="1"/>
      <c r="D767" s="1">
        <v>42375</v>
      </c>
      <c r="E767">
        <v>31383</v>
      </c>
      <c r="F767" s="1">
        <v>42375</v>
      </c>
      <c r="G767">
        <v>-4875</v>
      </c>
      <c r="H767" s="1">
        <f t="shared" si="66"/>
        <v>42375</v>
      </c>
      <c r="I767">
        <f>IF(AND(MyRowHidden(ROW())=FALSE,MyRowHidden(ROW()-1)=TRUE),0,(E767-E766)*unitsOfDHp+I766)</f>
        <v>455</v>
      </c>
      <c r="J767">
        <f>IF(AND(MyRowHidden(ROW())=FALSE,MyRowHidden(ROW()-1)=TRUE),0,(G767-G766)*unitsOfExo+J766)</f>
        <v>36000</v>
      </c>
      <c r="K767" s="9">
        <f t="shared" si="67"/>
        <v>-36000</v>
      </c>
      <c r="L767">
        <f t="shared" si="68"/>
        <v>36455</v>
      </c>
      <c r="M767">
        <f>IF(AND(MyRowHidden(ROW())=FALSE,MyRowHidden(ROW()-1)=TRUE),0,IF(MONTH(H767)&lt;&gt;MONTH(H766),M766+1,M766))</f>
        <v>0</v>
      </c>
      <c r="N767">
        <f t="shared" si="69"/>
        <v>455</v>
      </c>
      <c r="O767">
        <f>IF(AND(MyRowHidden(ROW())=FALSE,MyRowHidden(ROW()-1)=TRUE),0,IF(M767&lt;totalMonths,(totalMonths-M767)/totalMonths *(I767-I766)+O766,0))</f>
        <v>455</v>
      </c>
      <c r="P767">
        <f>IF(AND(MyRowHidden(ROW())=FALSE,MyRowHidden(ROW()-1)=TRUE),0,IF(M767&lt;totalMonths,(totalMonths-M767)/totalMonths *(J767-J766)+P766,0))</f>
        <v>36000</v>
      </c>
      <c r="Q767">
        <f>IF(AND(MyRowHidden(ROW())=FALSE,MyRowHidden(ROW()-1)=TRUE),0,IF(M767&lt;totalMonths,(totalMonths-M767)/totalMonths *(K767-K766)+Q766,0))</f>
        <v>-36000</v>
      </c>
      <c r="R767">
        <f t="shared" si="70"/>
        <v>36455</v>
      </c>
      <c r="S767">
        <f t="shared" si="71"/>
        <v>36455</v>
      </c>
    </row>
    <row r="768" spans="1:19" x14ac:dyDescent="0.25">
      <c r="A768" s="1"/>
      <c r="C768" s="1"/>
      <c r="D768" s="1">
        <v>42376</v>
      </c>
      <c r="E768">
        <v>31300</v>
      </c>
      <c r="F768" s="1">
        <v>42376</v>
      </c>
      <c r="G768">
        <v>-4962.5</v>
      </c>
      <c r="H768" s="1">
        <f t="shared" si="66"/>
        <v>42376</v>
      </c>
      <c r="I768">
        <f>IF(AND(MyRowHidden(ROW())=FALSE,MyRowHidden(ROW()-1)=TRUE),0,(E768-E767)*unitsOfDHp+I767)</f>
        <v>-2450</v>
      </c>
      <c r="J768">
        <f>IF(AND(MyRowHidden(ROW())=FALSE,MyRowHidden(ROW()-1)=TRUE),0,(G768-G767)*unitsOfExo+J767)</f>
        <v>10800</v>
      </c>
      <c r="K768" s="9">
        <f t="shared" si="67"/>
        <v>-10800</v>
      </c>
      <c r="L768">
        <f t="shared" si="68"/>
        <v>8350</v>
      </c>
      <c r="M768">
        <f>IF(AND(MyRowHidden(ROW())=FALSE,MyRowHidden(ROW()-1)=TRUE),0,IF(MONTH(H768)&lt;&gt;MONTH(H767),M767+1,M767))</f>
        <v>0</v>
      </c>
      <c r="N768">
        <f t="shared" si="69"/>
        <v>-2450</v>
      </c>
      <c r="O768">
        <f>IF(AND(MyRowHidden(ROW())=FALSE,MyRowHidden(ROW()-1)=TRUE),0,IF(M768&lt;totalMonths,(totalMonths-M768)/totalMonths *(I768-I767)+O767,0))</f>
        <v>-2450</v>
      </c>
      <c r="P768">
        <f>IF(AND(MyRowHidden(ROW())=FALSE,MyRowHidden(ROW()-1)=TRUE),0,IF(M768&lt;totalMonths,(totalMonths-M768)/totalMonths *(J768-J767)+P767,0))</f>
        <v>10800</v>
      </c>
      <c r="Q768">
        <f>IF(AND(MyRowHidden(ROW())=FALSE,MyRowHidden(ROW()-1)=TRUE),0,IF(M768&lt;totalMonths,(totalMonths-M768)/totalMonths *(K768-K767)+Q767,0))</f>
        <v>-10800</v>
      </c>
      <c r="R768">
        <f t="shared" si="70"/>
        <v>8350</v>
      </c>
      <c r="S768">
        <f t="shared" si="71"/>
        <v>8350</v>
      </c>
    </row>
    <row r="769" spans="1:19" x14ac:dyDescent="0.25">
      <c r="A769" s="1"/>
      <c r="C769" s="1"/>
      <c r="D769" s="1">
        <v>42377</v>
      </c>
      <c r="E769">
        <v>31244</v>
      </c>
      <c r="F769" s="1">
        <v>42377</v>
      </c>
      <c r="G769">
        <v>-4762.5</v>
      </c>
      <c r="H769" s="1">
        <f t="shared" si="66"/>
        <v>42377</v>
      </c>
      <c r="I769">
        <f>IF(AND(MyRowHidden(ROW())=FALSE,MyRowHidden(ROW()-1)=TRUE),0,(E769-E768)*unitsOfDHp+I768)</f>
        <v>-4410</v>
      </c>
      <c r="J769">
        <f>IF(AND(MyRowHidden(ROW())=FALSE,MyRowHidden(ROW()-1)=TRUE),0,(G769-G768)*unitsOfExo+J768)</f>
        <v>68400</v>
      </c>
      <c r="K769" s="9">
        <f t="shared" si="67"/>
        <v>-68400</v>
      </c>
      <c r="L769">
        <f t="shared" si="68"/>
        <v>63990</v>
      </c>
      <c r="M769">
        <f>IF(AND(MyRowHidden(ROW())=FALSE,MyRowHidden(ROW()-1)=TRUE),0,IF(MONTH(H769)&lt;&gt;MONTH(H768),M768+1,M768))</f>
        <v>0</v>
      </c>
      <c r="N769">
        <f t="shared" si="69"/>
        <v>-4410</v>
      </c>
      <c r="O769">
        <f>IF(AND(MyRowHidden(ROW())=FALSE,MyRowHidden(ROW()-1)=TRUE),0,IF(M769&lt;totalMonths,(totalMonths-M769)/totalMonths *(I769-I768)+O768,0))</f>
        <v>-4410</v>
      </c>
      <c r="P769">
        <f>IF(AND(MyRowHidden(ROW())=FALSE,MyRowHidden(ROW()-1)=TRUE),0,IF(M769&lt;totalMonths,(totalMonths-M769)/totalMonths *(J769-J768)+P768,0))</f>
        <v>68400</v>
      </c>
      <c r="Q769">
        <f>IF(AND(MyRowHidden(ROW())=FALSE,MyRowHidden(ROW()-1)=TRUE),0,IF(M769&lt;totalMonths,(totalMonths-M769)/totalMonths *(K769-K768)+Q768,0))</f>
        <v>-68400</v>
      </c>
      <c r="R769">
        <f t="shared" si="70"/>
        <v>63990</v>
      </c>
      <c r="S769">
        <f t="shared" si="71"/>
        <v>63990</v>
      </c>
    </row>
    <row r="770" spans="1:19" x14ac:dyDescent="0.25">
      <c r="A770" s="1"/>
      <c r="C770" s="1"/>
      <c r="D770" s="1">
        <v>42380</v>
      </c>
      <c r="E770">
        <v>30871</v>
      </c>
      <c r="F770" s="1">
        <v>42380</v>
      </c>
      <c r="G770">
        <v>-5037.5</v>
      </c>
      <c r="H770" s="1">
        <f t="shared" si="66"/>
        <v>42380</v>
      </c>
      <c r="I770">
        <f>IF(AND(MyRowHidden(ROW())=FALSE,MyRowHidden(ROW()-1)=TRUE),0,(E770-E769)*unitsOfDHp+I769)</f>
        <v>-17465</v>
      </c>
      <c r="J770">
        <f>IF(AND(MyRowHidden(ROW())=FALSE,MyRowHidden(ROW()-1)=TRUE),0,(G770-G769)*unitsOfExo+J769)</f>
        <v>-10800</v>
      </c>
      <c r="K770" s="9">
        <f t="shared" si="67"/>
        <v>10800</v>
      </c>
      <c r="L770">
        <f t="shared" si="68"/>
        <v>-28265</v>
      </c>
      <c r="M770">
        <f>IF(AND(MyRowHidden(ROW())=FALSE,MyRowHidden(ROW()-1)=TRUE),0,IF(MONTH(H770)&lt;&gt;MONTH(H769),M769+1,M769))</f>
        <v>0</v>
      </c>
      <c r="N770">
        <f t="shared" si="69"/>
        <v>-17465</v>
      </c>
      <c r="O770">
        <f>IF(AND(MyRowHidden(ROW())=FALSE,MyRowHidden(ROW()-1)=TRUE),0,IF(M770&lt;totalMonths,(totalMonths-M770)/totalMonths *(I770-I769)+O769,0))</f>
        <v>-17465</v>
      </c>
      <c r="P770">
        <f>IF(AND(MyRowHidden(ROW())=FALSE,MyRowHidden(ROW()-1)=TRUE),0,IF(M770&lt;totalMonths,(totalMonths-M770)/totalMonths *(J770-J769)+P769,0))</f>
        <v>-10800</v>
      </c>
      <c r="Q770">
        <f>IF(AND(MyRowHidden(ROW())=FALSE,MyRowHidden(ROW()-1)=TRUE),0,IF(M770&lt;totalMonths,(totalMonths-M770)/totalMonths *(K770-K769)+Q769,0))</f>
        <v>10800</v>
      </c>
      <c r="R770">
        <f t="shared" si="70"/>
        <v>-28265</v>
      </c>
      <c r="S770">
        <f t="shared" si="71"/>
        <v>-28265</v>
      </c>
    </row>
    <row r="771" spans="1:19" x14ac:dyDescent="0.25">
      <c r="A771" s="1"/>
      <c r="C771" s="1"/>
      <c r="D771" s="1">
        <v>42381</v>
      </c>
      <c r="E771">
        <v>31486</v>
      </c>
      <c r="F771" s="1">
        <v>42381</v>
      </c>
      <c r="G771">
        <v>-4687.5</v>
      </c>
      <c r="H771" s="1">
        <f t="shared" si="66"/>
        <v>42381</v>
      </c>
      <c r="I771">
        <f>IF(AND(MyRowHidden(ROW())=FALSE,MyRowHidden(ROW()-1)=TRUE),0,(E771-E770)*unitsOfDHp+I770)</f>
        <v>4060</v>
      </c>
      <c r="J771">
        <f>IF(AND(MyRowHidden(ROW())=FALSE,MyRowHidden(ROW()-1)=TRUE),0,(G771-G770)*unitsOfExo+J770)</f>
        <v>90000</v>
      </c>
      <c r="K771" s="9">
        <f t="shared" si="67"/>
        <v>-90000</v>
      </c>
      <c r="L771">
        <f t="shared" si="68"/>
        <v>94060</v>
      </c>
      <c r="M771">
        <f>IF(AND(MyRowHidden(ROW())=FALSE,MyRowHidden(ROW()-1)=TRUE),0,IF(MONTH(H771)&lt;&gt;MONTH(H770),M770+1,M770))</f>
        <v>0</v>
      </c>
      <c r="N771">
        <f t="shared" si="69"/>
        <v>4060</v>
      </c>
      <c r="O771">
        <f>IF(AND(MyRowHidden(ROW())=FALSE,MyRowHidden(ROW()-1)=TRUE),0,IF(M771&lt;totalMonths,(totalMonths-M771)/totalMonths *(I771-I770)+O770,0))</f>
        <v>4060</v>
      </c>
      <c r="P771">
        <f>IF(AND(MyRowHidden(ROW())=FALSE,MyRowHidden(ROW()-1)=TRUE),0,IF(M771&lt;totalMonths,(totalMonths-M771)/totalMonths *(J771-J770)+P770,0))</f>
        <v>90000</v>
      </c>
      <c r="Q771">
        <f>IF(AND(MyRowHidden(ROW())=FALSE,MyRowHidden(ROW()-1)=TRUE),0,IF(M771&lt;totalMonths,(totalMonths-M771)/totalMonths *(K771-K770)+Q770,0))</f>
        <v>-90000</v>
      </c>
      <c r="R771">
        <f t="shared" si="70"/>
        <v>94060</v>
      </c>
      <c r="S771">
        <f t="shared" si="71"/>
        <v>94060</v>
      </c>
    </row>
    <row r="772" spans="1:19" x14ac:dyDescent="0.25">
      <c r="A772" s="1"/>
      <c r="C772" s="1"/>
      <c r="D772" s="1">
        <v>42382</v>
      </c>
      <c r="E772">
        <v>31655</v>
      </c>
      <c r="F772" s="1">
        <v>42382</v>
      </c>
      <c r="G772">
        <v>-4650</v>
      </c>
      <c r="H772" s="1">
        <f t="shared" si="66"/>
        <v>42382</v>
      </c>
      <c r="I772">
        <f>IF(AND(MyRowHidden(ROW())=FALSE,MyRowHidden(ROW()-1)=TRUE),0,(E772-E771)*unitsOfDHp+I771)</f>
        <v>9975</v>
      </c>
      <c r="J772">
        <f>IF(AND(MyRowHidden(ROW())=FALSE,MyRowHidden(ROW()-1)=TRUE),0,(G772-G771)*unitsOfExo+J771)</f>
        <v>100800</v>
      </c>
      <c r="K772" s="9">
        <f t="shared" si="67"/>
        <v>-100800</v>
      </c>
      <c r="L772">
        <f t="shared" si="68"/>
        <v>110775</v>
      </c>
      <c r="M772">
        <f>IF(AND(MyRowHidden(ROW())=FALSE,MyRowHidden(ROW()-1)=TRUE),0,IF(MONTH(H772)&lt;&gt;MONTH(H771),M771+1,M771))</f>
        <v>0</v>
      </c>
      <c r="N772">
        <f t="shared" si="69"/>
        <v>9975</v>
      </c>
      <c r="O772">
        <f>IF(AND(MyRowHidden(ROW())=FALSE,MyRowHidden(ROW()-1)=TRUE),0,IF(M772&lt;totalMonths,(totalMonths-M772)/totalMonths *(I772-I771)+O771,0))</f>
        <v>9975</v>
      </c>
      <c r="P772">
        <f>IF(AND(MyRowHidden(ROW())=FALSE,MyRowHidden(ROW()-1)=TRUE),0,IF(M772&lt;totalMonths,(totalMonths-M772)/totalMonths *(J772-J771)+P771,0))</f>
        <v>100800</v>
      </c>
      <c r="Q772">
        <f>IF(AND(MyRowHidden(ROW())=FALSE,MyRowHidden(ROW()-1)=TRUE),0,IF(M772&lt;totalMonths,(totalMonths-M772)/totalMonths *(K772-K771)+Q771,0))</f>
        <v>-100800</v>
      </c>
      <c r="R772">
        <f t="shared" si="70"/>
        <v>110775</v>
      </c>
      <c r="S772">
        <f t="shared" si="71"/>
        <v>110775</v>
      </c>
    </row>
    <row r="773" spans="1:19" x14ac:dyDescent="0.25">
      <c r="A773" s="1"/>
      <c r="C773" s="1"/>
      <c r="D773" s="1">
        <v>42383</v>
      </c>
      <c r="E773">
        <v>31713</v>
      </c>
      <c r="F773" s="1">
        <v>42383</v>
      </c>
      <c r="G773">
        <v>-4650</v>
      </c>
      <c r="H773" s="1">
        <f t="shared" si="66"/>
        <v>42383</v>
      </c>
      <c r="I773">
        <f>IF(AND(MyRowHidden(ROW())=FALSE,MyRowHidden(ROW()-1)=TRUE),0,(E773-E772)*unitsOfDHp+I772)</f>
        <v>12005</v>
      </c>
      <c r="J773">
        <f>IF(AND(MyRowHidden(ROW())=FALSE,MyRowHidden(ROW()-1)=TRUE),0,(G773-G772)*unitsOfExo+J772)</f>
        <v>100800</v>
      </c>
      <c r="K773" s="9">
        <f t="shared" si="67"/>
        <v>-100800</v>
      </c>
      <c r="L773">
        <f t="shared" si="68"/>
        <v>112805</v>
      </c>
      <c r="M773">
        <f>IF(AND(MyRowHidden(ROW())=FALSE,MyRowHidden(ROW()-1)=TRUE),0,IF(MONTH(H773)&lt;&gt;MONTH(H772),M772+1,M772))</f>
        <v>0</v>
      </c>
      <c r="N773">
        <f t="shared" si="69"/>
        <v>12005</v>
      </c>
      <c r="O773">
        <f>IF(AND(MyRowHidden(ROW())=FALSE,MyRowHidden(ROW()-1)=TRUE),0,IF(M773&lt;totalMonths,(totalMonths-M773)/totalMonths *(I773-I772)+O772,0))</f>
        <v>12005</v>
      </c>
      <c r="P773">
        <f>IF(AND(MyRowHidden(ROW())=FALSE,MyRowHidden(ROW()-1)=TRUE),0,IF(M773&lt;totalMonths,(totalMonths-M773)/totalMonths *(J773-J772)+P772,0))</f>
        <v>100800</v>
      </c>
      <c r="Q773">
        <f>IF(AND(MyRowHidden(ROW())=FALSE,MyRowHidden(ROW()-1)=TRUE),0,IF(M773&lt;totalMonths,(totalMonths-M773)/totalMonths *(K773-K772)+Q772,0))</f>
        <v>-100800</v>
      </c>
      <c r="R773">
        <f t="shared" si="70"/>
        <v>112805</v>
      </c>
      <c r="S773">
        <f t="shared" si="71"/>
        <v>112805</v>
      </c>
    </row>
    <row r="774" spans="1:19" x14ac:dyDescent="0.25">
      <c r="A774" s="1"/>
      <c r="C774" s="1"/>
      <c r="D774" s="1">
        <v>42384</v>
      </c>
      <c r="E774">
        <v>31792</v>
      </c>
      <c r="F774" s="1">
        <v>42384</v>
      </c>
      <c r="G774">
        <v>-4475</v>
      </c>
      <c r="H774" s="1">
        <f t="shared" si="66"/>
        <v>42384</v>
      </c>
      <c r="I774">
        <f>IF(AND(MyRowHidden(ROW())=FALSE,MyRowHidden(ROW()-1)=TRUE),0,(E774-E773)*unitsOfDHp+I773)</f>
        <v>14770</v>
      </c>
      <c r="J774">
        <f>IF(AND(MyRowHidden(ROW())=FALSE,MyRowHidden(ROW()-1)=TRUE),0,(G774-G773)*unitsOfExo+J773)</f>
        <v>151200</v>
      </c>
      <c r="K774" s="9">
        <f t="shared" si="67"/>
        <v>-151200</v>
      </c>
      <c r="L774">
        <f t="shared" si="68"/>
        <v>165970</v>
      </c>
      <c r="M774">
        <f>IF(AND(MyRowHidden(ROW())=FALSE,MyRowHidden(ROW()-1)=TRUE),0,IF(MONTH(H774)&lt;&gt;MONTH(H773),M773+1,M773))</f>
        <v>0</v>
      </c>
      <c r="N774">
        <f t="shared" si="69"/>
        <v>14770</v>
      </c>
      <c r="O774">
        <f>IF(AND(MyRowHidden(ROW())=FALSE,MyRowHidden(ROW()-1)=TRUE),0,IF(M774&lt;totalMonths,(totalMonths-M774)/totalMonths *(I774-I773)+O773,0))</f>
        <v>14770</v>
      </c>
      <c r="P774">
        <f>IF(AND(MyRowHidden(ROW())=FALSE,MyRowHidden(ROW()-1)=TRUE),0,IF(M774&lt;totalMonths,(totalMonths-M774)/totalMonths *(J774-J773)+P773,0))</f>
        <v>151200</v>
      </c>
      <c r="Q774">
        <f>IF(AND(MyRowHidden(ROW())=FALSE,MyRowHidden(ROW()-1)=TRUE),0,IF(M774&lt;totalMonths,(totalMonths-M774)/totalMonths *(K774-K773)+Q773,0))</f>
        <v>-151200</v>
      </c>
      <c r="R774">
        <f t="shared" si="70"/>
        <v>165970</v>
      </c>
      <c r="S774">
        <f t="shared" si="71"/>
        <v>165970</v>
      </c>
    </row>
    <row r="775" spans="1:19" x14ac:dyDescent="0.25">
      <c r="A775" s="1"/>
      <c r="C775" s="1"/>
      <c r="D775" s="1">
        <v>42388</v>
      </c>
      <c r="E775">
        <v>31728</v>
      </c>
      <c r="F775" s="1">
        <v>42388</v>
      </c>
      <c r="G775">
        <v>-4162.5</v>
      </c>
      <c r="H775" s="1">
        <f t="shared" si="66"/>
        <v>42388</v>
      </c>
      <c r="I775">
        <f>IF(AND(MyRowHidden(ROW())=FALSE,MyRowHidden(ROW()-1)=TRUE),0,(E775-E774)*unitsOfDHp+I774)</f>
        <v>12530</v>
      </c>
      <c r="J775">
        <f>IF(AND(MyRowHidden(ROW())=FALSE,MyRowHidden(ROW()-1)=TRUE),0,(G775-G774)*unitsOfExo+J774)</f>
        <v>241200</v>
      </c>
      <c r="K775" s="9">
        <f t="shared" si="67"/>
        <v>-241200</v>
      </c>
      <c r="L775">
        <f t="shared" si="68"/>
        <v>253730</v>
      </c>
      <c r="M775">
        <f>IF(AND(MyRowHidden(ROW())=FALSE,MyRowHidden(ROW()-1)=TRUE),0,IF(MONTH(H775)&lt;&gt;MONTH(H774),M774+1,M774))</f>
        <v>0</v>
      </c>
      <c r="N775">
        <f t="shared" si="69"/>
        <v>12530</v>
      </c>
      <c r="O775">
        <f>IF(AND(MyRowHidden(ROW())=FALSE,MyRowHidden(ROW()-1)=TRUE),0,IF(M775&lt;totalMonths,(totalMonths-M775)/totalMonths *(I775-I774)+O774,0))</f>
        <v>12530</v>
      </c>
      <c r="P775">
        <f>IF(AND(MyRowHidden(ROW())=FALSE,MyRowHidden(ROW()-1)=TRUE),0,IF(M775&lt;totalMonths,(totalMonths-M775)/totalMonths *(J775-J774)+P774,0))</f>
        <v>241200</v>
      </c>
      <c r="Q775">
        <f>IF(AND(MyRowHidden(ROW())=FALSE,MyRowHidden(ROW()-1)=TRUE),0,IF(M775&lt;totalMonths,(totalMonths-M775)/totalMonths *(K775-K774)+Q774,0))</f>
        <v>-241200</v>
      </c>
      <c r="R775">
        <f t="shared" si="70"/>
        <v>253730</v>
      </c>
      <c r="S775">
        <f t="shared" si="71"/>
        <v>253730</v>
      </c>
    </row>
    <row r="776" spans="1:19" x14ac:dyDescent="0.25">
      <c r="A776" s="1"/>
      <c r="C776" s="1"/>
      <c r="D776" s="1">
        <v>42389</v>
      </c>
      <c r="E776">
        <v>31705</v>
      </c>
      <c r="F776" s="1">
        <v>42389</v>
      </c>
      <c r="G776">
        <v>-4187.5</v>
      </c>
      <c r="H776" s="1">
        <f t="shared" si="66"/>
        <v>42389</v>
      </c>
      <c r="I776">
        <f>IF(AND(MyRowHidden(ROW())=FALSE,MyRowHidden(ROW()-1)=TRUE),0,(E776-E775)*unitsOfDHp+I775)</f>
        <v>11725</v>
      </c>
      <c r="J776">
        <f>IF(AND(MyRowHidden(ROW())=FALSE,MyRowHidden(ROW()-1)=TRUE),0,(G776-G775)*unitsOfExo+J775)</f>
        <v>234000</v>
      </c>
      <c r="K776" s="9">
        <f t="shared" si="67"/>
        <v>-234000</v>
      </c>
      <c r="L776">
        <f t="shared" si="68"/>
        <v>245725</v>
      </c>
      <c r="M776">
        <f>IF(AND(MyRowHidden(ROW())=FALSE,MyRowHidden(ROW()-1)=TRUE),0,IF(MONTH(H776)&lt;&gt;MONTH(H775),M775+1,M775))</f>
        <v>0</v>
      </c>
      <c r="N776">
        <f t="shared" si="69"/>
        <v>11725</v>
      </c>
      <c r="O776">
        <f>IF(AND(MyRowHidden(ROW())=FALSE,MyRowHidden(ROW()-1)=TRUE),0,IF(M776&lt;totalMonths,(totalMonths-M776)/totalMonths *(I776-I775)+O775,0))</f>
        <v>11725</v>
      </c>
      <c r="P776">
        <f>IF(AND(MyRowHidden(ROW())=FALSE,MyRowHidden(ROW()-1)=TRUE),0,IF(M776&lt;totalMonths,(totalMonths-M776)/totalMonths *(J776-J775)+P775,0))</f>
        <v>234000</v>
      </c>
      <c r="Q776">
        <f>IF(AND(MyRowHidden(ROW())=FALSE,MyRowHidden(ROW()-1)=TRUE),0,IF(M776&lt;totalMonths,(totalMonths-M776)/totalMonths *(K776-K775)+Q775,0))</f>
        <v>-234000</v>
      </c>
      <c r="R776">
        <f t="shared" si="70"/>
        <v>245725</v>
      </c>
      <c r="S776">
        <f t="shared" si="71"/>
        <v>245725</v>
      </c>
    </row>
    <row r="777" spans="1:19" x14ac:dyDescent="0.25">
      <c r="A777" s="1"/>
      <c r="C777" s="1"/>
      <c r="D777" s="1">
        <v>42390</v>
      </c>
      <c r="E777">
        <v>31823</v>
      </c>
      <c r="F777" s="1">
        <v>42390</v>
      </c>
      <c r="G777">
        <v>-4212.5</v>
      </c>
      <c r="H777" s="1">
        <f t="shared" si="66"/>
        <v>42390</v>
      </c>
      <c r="I777">
        <f>IF(AND(MyRowHidden(ROW())=FALSE,MyRowHidden(ROW()-1)=TRUE),0,(E777-E776)*unitsOfDHp+I776)</f>
        <v>15855</v>
      </c>
      <c r="J777">
        <f>IF(AND(MyRowHidden(ROW())=FALSE,MyRowHidden(ROW()-1)=TRUE),0,(G777-G776)*unitsOfExo+J776)</f>
        <v>226800</v>
      </c>
      <c r="K777" s="9">
        <f t="shared" si="67"/>
        <v>-226800</v>
      </c>
      <c r="L777">
        <f t="shared" si="68"/>
        <v>242655</v>
      </c>
      <c r="M777">
        <f>IF(AND(MyRowHidden(ROW())=FALSE,MyRowHidden(ROW()-1)=TRUE),0,IF(MONTH(H777)&lt;&gt;MONTH(H776),M776+1,M776))</f>
        <v>0</v>
      </c>
      <c r="N777">
        <f t="shared" si="69"/>
        <v>15855</v>
      </c>
      <c r="O777">
        <f>IF(AND(MyRowHidden(ROW())=FALSE,MyRowHidden(ROW()-1)=TRUE),0,IF(M777&lt;totalMonths,(totalMonths-M777)/totalMonths *(I777-I776)+O776,0))</f>
        <v>15855</v>
      </c>
      <c r="P777">
        <f>IF(AND(MyRowHidden(ROW())=FALSE,MyRowHidden(ROW()-1)=TRUE),0,IF(M777&lt;totalMonths,(totalMonths-M777)/totalMonths *(J777-J776)+P776,0))</f>
        <v>226800</v>
      </c>
      <c r="Q777">
        <f>IF(AND(MyRowHidden(ROW())=FALSE,MyRowHidden(ROW()-1)=TRUE),0,IF(M777&lt;totalMonths,(totalMonths-M777)/totalMonths *(K777-K776)+Q776,0))</f>
        <v>-226800</v>
      </c>
      <c r="R777">
        <f t="shared" si="70"/>
        <v>242655</v>
      </c>
      <c r="S777">
        <f t="shared" si="71"/>
        <v>242655</v>
      </c>
    </row>
    <row r="778" spans="1:19" x14ac:dyDescent="0.25">
      <c r="A778" s="1"/>
      <c r="C778" s="1"/>
      <c r="D778" s="1">
        <v>42391</v>
      </c>
      <c r="E778">
        <v>31836</v>
      </c>
      <c r="F778" s="1">
        <v>42391</v>
      </c>
      <c r="G778">
        <v>-4100</v>
      </c>
      <c r="H778" s="1">
        <f t="shared" si="66"/>
        <v>42391</v>
      </c>
      <c r="I778">
        <f>IF(AND(MyRowHidden(ROW())=FALSE,MyRowHidden(ROW()-1)=TRUE),0,(E778-E777)*unitsOfDHp+I777)</f>
        <v>16310</v>
      </c>
      <c r="J778">
        <f>IF(AND(MyRowHidden(ROW())=FALSE,MyRowHidden(ROW()-1)=TRUE),0,(G778-G777)*unitsOfExo+J777)</f>
        <v>259200</v>
      </c>
      <c r="K778" s="9">
        <f t="shared" si="67"/>
        <v>-259200</v>
      </c>
      <c r="L778">
        <f t="shared" si="68"/>
        <v>275510</v>
      </c>
      <c r="M778">
        <f>IF(AND(MyRowHidden(ROW())=FALSE,MyRowHidden(ROW()-1)=TRUE),0,IF(MONTH(H778)&lt;&gt;MONTH(H777),M777+1,M777))</f>
        <v>0</v>
      </c>
      <c r="N778">
        <f t="shared" si="69"/>
        <v>16310</v>
      </c>
      <c r="O778">
        <f>IF(AND(MyRowHidden(ROW())=FALSE,MyRowHidden(ROW()-1)=TRUE),0,IF(M778&lt;totalMonths,(totalMonths-M778)/totalMonths *(I778-I777)+O777,0))</f>
        <v>16310</v>
      </c>
      <c r="P778">
        <f>IF(AND(MyRowHidden(ROW())=FALSE,MyRowHidden(ROW()-1)=TRUE),0,IF(M778&lt;totalMonths,(totalMonths-M778)/totalMonths *(J778-J777)+P777,0))</f>
        <v>259200</v>
      </c>
      <c r="Q778">
        <f>IF(AND(MyRowHidden(ROW())=FALSE,MyRowHidden(ROW()-1)=TRUE),0,IF(M778&lt;totalMonths,(totalMonths-M778)/totalMonths *(K778-K777)+Q777,0))</f>
        <v>-259200</v>
      </c>
      <c r="R778">
        <f t="shared" si="70"/>
        <v>275510</v>
      </c>
      <c r="S778">
        <f t="shared" si="71"/>
        <v>275510</v>
      </c>
    </row>
    <row r="779" spans="1:19" x14ac:dyDescent="0.25">
      <c r="A779" s="1"/>
      <c r="C779" s="1"/>
      <c r="D779" s="1">
        <v>42394</v>
      </c>
      <c r="E779">
        <v>31904</v>
      </c>
      <c r="F779" s="1">
        <v>42394</v>
      </c>
      <c r="G779">
        <v>-4112.5</v>
      </c>
      <c r="H779" s="1">
        <f t="shared" si="66"/>
        <v>42394</v>
      </c>
      <c r="I779">
        <f>IF(AND(MyRowHidden(ROW())=FALSE,MyRowHidden(ROW()-1)=TRUE),0,(E779-E778)*unitsOfDHp+I778)</f>
        <v>18690</v>
      </c>
      <c r="J779">
        <f>IF(AND(MyRowHidden(ROW())=FALSE,MyRowHidden(ROW()-1)=TRUE),0,(G779-G778)*unitsOfExo+J778)</f>
        <v>255600</v>
      </c>
      <c r="K779" s="9">
        <f t="shared" si="67"/>
        <v>-255600</v>
      </c>
      <c r="L779">
        <f t="shared" si="68"/>
        <v>274290</v>
      </c>
      <c r="M779">
        <f>IF(AND(MyRowHidden(ROW())=FALSE,MyRowHidden(ROW()-1)=TRUE),0,IF(MONTH(H779)&lt;&gt;MONTH(H778),M778+1,M778))</f>
        <v>0</v>
      </c>
      <c r="N779">
        <f t="shared" si="69"/>
        <v>18690</v>
      </c>
      <c r="O779">
        <f>IF(AND(MyRowHidden(ROW())=FALSE,MyRowHidden(ROW()-1)=TRUE),0,IF(M779&lt;totalMonths,(totalMonths-M779)/totalMonths *(I779-I778)+O778,0))</f>
        <v>18690</v>
      </c>
      <c r="P779">
        <f>IF(AND(MyRowHidden(ROW())=FALSE,MyRowHidden(ROW()-1)=TRUE),0,IF(M779&lt;totalMonths,(totalMonths-M779)/totalMonths *(J779-J778)+P778,0))</f>
        <v>255600</v>
      </c>
      <c r="Q779">
        <f>IF(AND(MyRowHidden(ROW())=FALSE,MyRowHidden(ROW()-1)=TRUE),0,IF(M779&lt;totalMonths,(totalMonths-M779)/totalMonths *(K779-K778)+Q778,0))</f>
        <v>-255600</v>
      </c>
      <c r="R779">
        <f t="shared" si="70"/>
        <v>274290</v>
      </c>
      <c r="S779">
        <f t="shared" si="71"/>
        <v>274290</v>
      </c>
    </row>
    <row r="780" spans="1:19" x14ac:dyDescent="0.25">
      <c r="A780" s="1"/>
      <c r="C780" s="1"/>
      <c r="D780" s="1">
        <v>42395</v>
      </c>
      <c r="E780">
        <v>31988</v>
      </c>
      <c r="F780" s="1">
        <v>42395</v>
      </c>
      <c r="G780">
        <v>-4137.5</v>
      </c>
      <c r="H780" s="1">
        <f t="shared" si="66"/>
        <v>42395</v>
      </c>
      <c r="I780">
        <f>IF(AND(MyRowHidden(ROW())=FALSE,MyRowHidden(ROW()-1)=TRUE),0,(E780-E779)*unitsOfDHp+I779)</f>
        <v>21630</v>
      </c>
      <c r="J780">
        <f>IF(AND(MyRowHidden(ROW())=FALSE,MyRowHidden(ROW()-1)=TRUE),0,(G780-G779)*unitsOfExo+J779)</f>
        <v>248400</v>
      </c>
      <c r="K780" s="9">
        <f t="shared" si="67"/>
        <v>-248400</v>
      </c>
      <c r="L780">
        <f t="shared" si="68"/>
        <v>270030</v>
      </c>
      <c r="M780">
        <f>IF(AND(MyRowHidden(ROW())=FALSE,MyRowHidden(ROW()-1)=TRUE),0,IF(MONTH(H780)&lt;&gt;MONTH(H779),M779+1,M779))</f>
        <v>0</v>
      </c>
      <c r="N780">
        <f t="shared" si="69"/>
        <v>21630</v>
      </c>
      <c r="O780">
        <f>IF(AND(MyRowHidden(ROW())=FALSE,MyRowHidden(ROW()-1)=TRUE),0,IF(M780&lt;totalMonths,(totalMonths-M780)/totalMonths *(I780-I779)+O779,0))</f>
        <v>21630</v>
      </c>
      <c r="P780">
        <f>IF(AND(MyRowHidden(ROW())=FALSE,MyRowHidden(ROW()-1)=TRUE),0,IF(M780&lt;totalMonths,(totalMonths-M780)/totalMonths *(J780-J779)+P779,0))</f>
        <v>248400</v>
      </c>
      <c r="Q780">
        <f>IF(AND(MyRowHidden(ROW())=FALSE,MyRowHidden(ROW()-1)=TRUE),0,IF(M780&lt;totalMonths,(totalMonths-M780)/totalMonths *(K780-K779)+Q779,0))</f>
        <v>-248400</v>
      </c>
      <c r="R780">
        <f t="shared" si="70"/>
        <v>270030</v>
      </c>
      <c r="S780">
        <f t="shared" si="71"/>
        <v>270030</v>
      </c>
    </row>
    <row r="781" spans="1:19" x14ac:dyDescent="0.25">
      <c r="A781" s="1"/>
      <c r="C781" s="1"/>
      <c r="D781" s="1">
        <v>42396</v>
      </c>
      <c r="E781">
        <v>31897</v>
      </c>
      <c r="F781" s="1">
        <v>42396</v>
      </c>
      <c r="G781">
        <v>-4087.5</v>
      </c>
      <c r="H781" s="1">
        <f t="shared" ref="H781:H844" si="72">D781</f>
        <v>42396</v>
      </c>
      <c r="I781">
        <f>IF(AND(MyRowHidden(ROW())=FALSE,MyRowHidden(ROW()-1)=TRUE),0,(E781-E780)*unitsOfDHp+I780)</f>
        <v>18445</v>
      </c>
      <c r="J781">
        <f>IF(AND(MyRowHidden(ROW())=FALSE,MyRowHidden(ROW()-1)=TRUE),0,(G781-G780)*unitsOfExo+J780)</f>
        <v>262800</v>
      </c>
      <c r="K781" s="9">
        <f t="shared" ref="K781:K844" si="73">-(J781-J780)+K780</f>
        <v>-262800</v>
      </c>
      <c r="L781">
        <f t="shared" ref="L781:L844" si="74">I781+J781</f>
        <v>281245</v>
      </c>
      <c r="M781">
        <f>IF(AND(MyRowHidden(ROW())=FALSE,MyRowHidden(ROW()-1)=TRUE),0,IF(MONTH(H781)&lt;&gt;MONTH(H780),M780+1,M780))</f>
        <v>0</v>
      </c>
      <c r="N781">
        <f t="shared" ref="N781:N844" si="75">I781</f>
        <v>18445</v>
      </c>
      <c r="O781">
        <f>IF(AND(MyRowHidden(ROW())=FALSE,MyRowHidden(ROW()-1)=TRUE),0,IF(M781&lt;totalMonths,(totalMonths-M781)/totalMonths *(I781-I780)+O780,0))</f>
        <v>18445</v>
      </c>
      <c r="P781">
        <f>IF(AND(MyRowHidden(ROW())=FALSE,MyRowHidden(ROW()-1)=TRUE),0,IF(M781&lt;totalMonths,(totalMonths-M781)/totalMonths *(J781-J780)+P780,0))</f>
        <v>262800</v>
      </c>
      <c r="Q781">
        <f>IF(AND(MyRowHidden(ROW())=FALSE,MyRowHidden(ROW()-1)=TRUE),0,IF(M781&lt;totalMonths,(totalMonths-M781)/totalMonths *(K781-K780)+Q780,0))</f>
        <v>-262800</v>
      </c>
      <c r="R781">
        <f t="shared" ref="R781:R844" si="76">N781+P781</f>
        <v>281245</v>
      </c>
      <c r="S781">
        <f t="shared" ref="S781:S844" si="77">O781+P781</f>
        <v>281245</v>
      </c>
    </row>
    <row r="782" spans="1:19" x14ac:dyDescent="0.25">
      <c r="A782" s="1"/>
      <c r="C782" s="1"/>
      <c r="D782" s="1">
        <v>42397</v>
      </c>
      <c r="E782">
        <v>32219</v>
      </c>
      <c r="F782" s="1">
        <v>42397</v>
      </c>
      <c r="G782">
        <v>-4287.5</v>
      </c>
      <c r="H782" s="1">
        <f t="shared" si="72"/>
        <v>42397</v>
      </c>
      <c r="I782">
        <f>IF(AND(MyRowHidden(ROW())=FALSE,MyRowHidden(ROW()-1)=TRUE),0,(E782-E781)*unitsOfDHp+I781)</f>
        <v>29715</v>
      </c>
      <c r="J782">
        <f>IF(AND(MyRowHidden(ROW())=FALSE,MyRowHidden(ROW()-1)=TRUE),0,(G782-G781)*unitsOfExo+J781)</f>
        <v>205200</v>
      </c>
      <c r="K782" s="9">
        <f t="shared" si="73"/>
        <v>-205200</v>
      </c>
      <c r="L782">
        <f t="shared" si="74"/>
        <v>234915</v>
      </c>
      <c r="M782">
        <f>IF(AND(MyRowHidden(ROW())=FALSE,MyRowHidden(ROW()-1)=TRUE),0,IF(MONTH(H782)&lt;&gt;MONTH(H781),M781+1,M781))</f>
        <v>0</v>
      </c>
      <c r="N782">
        <f t="shared" si="75"/>
        <v>29715</v>
      </c>
      <c r="O782">
        <f>IF(AND(MyRowHidden(ROW())=FALSE,MyRowHidden(ROW()-1)=TRUE),0,IF(M782&lt;totalMonths,(totalMonths-M782)/totalMonths *(I782-I781)+O781,0))</f>
        <v>29715</v>
      </c>
      <c r="P782">
        <f>IF(AND(MyRowHidden(ROW())=FALSE,MyRowHidden(ROW()-1)=TRUE),0,IF(M782&lt;totalMonths,(totalMonths-M782)/totalMonths *(J782-J781)+P781,0))</f>
        <v>205200</v>
      </c>
      <c r="Q782">
        <f>IF(AND(MyRowHidden(ROW())=FALSE,MyRowHidden(ROW()-1)=TRUE),0,IF(M782&lt;totalMonths,(totalMonths-M782)/totalMonths *(K782-K781)+Q781,0))</f>
        <v>-205200</v>
      </c>
      <c r="R782">
        <f t="shared" si="76"/>
        <v>234915</v>
      </c>
      <c r="S782">
        <f t="shared" si="77"/>
        <v>234915</v>
      </c>
    </row>
    <row r="783" spans="1:19" x14ac:dyDescent="0.25">
      <c r="A783" s="1"/>
      <c r="C783" s="1"/>
      <c r="D783" s="1">
        <v>42398</v>
      </c>
      <c r="E783">
        <v>31735</v>
      </c>
      <c r="F783" s="1">
        <v>42398</v>
      </c>
      <c r="G783">
        <v>-4050</v>
      </c>
      <c r="H783" s="1">
        <f t="shared" si="72"/>
        <v>42398</v>
      </c>
      <c r="I783">
        <f>IF(AND(MyRowHidden(ROW())=FALSE,MyRowHidden(ROW()-1)=TRUE),0,(E783-E782)*unitsOfDHp+I782)</f>
        <v>12775</v>
      </c>
      <c r="J783">
        <f>IF(AND(MyRowHidden(ROW())=FALSE,MyRowHidden(ROW()-1)=TRUE),0,(G783-G782)*unitsOfExo+J782)</f>
        <v>273600</v>
      </c>
      <c r="K783" s="9">
        <f t="shared" si="73"/>
        <v>-273600</v>
      </c>
      <c r="L783">
        <f t="shared" si="74"/>
        <v>286375</v>
      </c>
      <c r="M783">
        <f>IF(AND(MyRowHidden(ROW())=FALSE,MyRowHidden(ROW()-1)=TRUE),0,IF(MONTH(H783)&lt;&gt;MONTH(H782),M782+1,M782))</f>
        <v>0</v>
      </c>
      <c r="N783">
        <f t="shared" si="75"/>
        <v>12775</v>
      </c>
      <c r="O783">
        <f>IF(AND(MyRowHidden(ROW())=FALSE,MyRowHidden(ROW()-1)=TRUE),0,IF(M783&lt;totalMonths,(totalMonths-M783)/totalMonths *(I783-I782)+O782,0))</f>
        <v>12775</v>
      </c>
      <c r="P783">
        <f>IF(AND(MyRowHidden(ROW())=FALSE,MyRowHidden(ROW()-1)=TRUE),0,IF(M783&lt;totalMonths,(totalMonths-M783)/totalMonths *(J783-J782)+P782,0))</f>
        <v>273600</v>
      </c>
      <c r="Q783">
        <f>IF(AND(MyRowHidden(ROW())=FALSE,MyRowHidden(ROW()-1)=TRUE),0,IF(M783&lt;totalMonths,(totalMonths-M783)/totalMonths *(K783-K782)+Q782,0))</f>
        <v>-273600</v>
      </c>
      <c r="R783">
        <f t="shared" si="76"/>
        <v>286375</v>
      </c>
      <c r="S783">
        <f t="shared" si="77"/>
        <v>286375</v>
      </c>
    </row>
    <row r="784" spans="1:19" x14ac:dyDescent="0.25">
      <c r="A784" s="1"/>
      <c r="C784" s="1"/>
      <c r="D784" s="1">
        <v>42401</v>
      </c>
      <c r="E784">
        <v>31723</v>
      </c>
      <c r="F784" s="1">
        <v>42401</v>
      </c>
      <c r="G784">
        <v>-4075</v>
      </c>
      <c r="H784" s="1">
        <f t="shared" si="72"/>
        <v>42401</v>
      </c>
      <c r="I784">
        <f>IF(AND(MyRowHidden(ROW())=FALSE,MyRowHidden(ROW()-1)=TRUE),0,(E784-E783)*unitsOfDHp+I783)</f>
        <v>12355</v>
      </c>
      <c r="J784">
        <f>IF(AND(MyRowHidden(ROW())=FALSE,MyRowHidden(ROW()-1)=TRUE),0,(G784-G783)*unitsOfExo+J783)</f>
        <v>266400</v>
      </c>
      <c r="K784" s="9">
        <f t="shared" si="73"/>
        <v>-266400</v>
      </c>
      <c r="L784">
        <f t="shared" si="74"/>
        <v>278755</v>
      </c>
      <c r="M784">
        <f>IF(AND(MyRowHidden(ROW())=FALSE,MyRowHidden(ROW()-1)=TRUE),0,IF(MONTH(H784)&lt;&gt;MONTH(H783),M783+1,M783))</f>
        <v>1</v>
      </c>
      <c r="N784">
        <f t="shared" si="75"/>
        <v>12355</v>
      </c>
      <c r="O784">
        <f>IF(AND(MyRowHidden(ROW())=FALSE,MyRowHidden(ROW()-1)=TRUE),0,IF(M784&lt;totalMonths,(totalMonths-M784)/totalMonths *(I784-I783)+O783,0))</f>
        <v>12390</v>
      </c>
      <c r="P784">
        <f>IF(AND(MyRowHidden(ROW())=FALSE,MyRowHidden(ROW()-1)=TRUE),0,IF(M784&lt;totalMonths,(totalMonths-M784)/totalMonths *(J784-J783)+P783,0))</f>
        <v>267000</v>
      </c>
      <c r="Q784">
        <f>IF(AND(MyRowHidden(ROW())=FALSE,MyRowHidden(ROW()-1)=TRUE),0,IF(M784&lt;totalMonths,(totalMonths-M784)/totalMonths *(K784-K783)+Q783,0))</f>
        <v>-267000</v>
      </c>
      <c r="R784">
        <f t="shared" si="76"/>
        <v>279355</v>
      </c>
      <c r="S784">
        <f t="shared" si="77"/>
        <v>279390</v>
      </c>
    </row>
    <row r="785" spans="1:19" x14ac:dyDescent="0.25">
      <c r="A785" s="1"/>
      <c r="C785" s="1"/>
      <c r="D785" s="1">
        <v>42402</v>
      </c>
      <c r="E785">
        <v>31455</v>
      </c>
      <c r="F785" s="1">
        <v>42402</v>
      </c>
      <c r="G785">
        <v>-4000</v>
      </c>
      <c r="H785" s="1">
        <f t="shared" si="72"/>
        <v>42402</v>
      </c>
      <c r="I785">
        <f>IF(AND(MyRowHidden(ROW())=FALSE,MyRowHidden(ROW()-1)=TRUE),0,(E785-E784)*unitsOfDHp+I784)</f>
        <v>2975</v>
      </c>
      <c r="J785">
        <f>IF(AND(MyRowHidden(ROW())=FALSE,MyRowHidden(ROW()-1)=TRUE),0,(G785-G784)*unitsOfExo+J784)</f>
        <v>288000</v>
      </c>
      <c r="K785" s="9">
        <f t="shared" si="73"/>
        <v>-288000</v>
      </c>
      <c r="L785">
        <f t="shared" si="74"/>
        <v>290975</v>
      </c>
      <c r="M785">
        <f>IF(AND(MyRowHidden(ROW())=FALSE,MyRowHidden(ROW()-1)=TRUE),0,IF(MONTH(H785)&lt;&gt;MONTH(H784),M784+1,M784))</f>
        <v>1</v>
      </c>
      <c r="N785">
        <f t="shared" si="75"/>
        <v>2975</v>
      </c>
      <c r="O785">
        <f>IF(AND(MyRowHidden(ROW())=FALSE,MyRowHidden(ROW()-1)=TRUE),0,IF(M785&lt;totalMonths,(totalMonths-M785)/totalMonths *(I785-I784)+O784,0))</f>
        <v>3791.6666666666679</v>
      </c>
      <c r="P785">
        <f>IF(AND(MyRowHidden(ROW())=FALSE,MyRowHidden(ROW()-1)=TRUE),0,IF(M785&lt;totalMonths,(totalMonths-M785)/totalMonths *(J785-J784)+P784,0))</f>
        <v>286800</v>
      </c>
      <c r="Q785">
        <f>IF(AND(MyRowHidden(ROW())=FALSE,MyRowHidden(ROW()-1)=TRUE),0,IF(M785&lt;totalMonths,(totalMonths-M785)/totalMonths *(K785-K784)+Q784,0))</f>
        <v>-286800</v>
      </c>
      <c r="R785">
        <f t="shared" si="76"/>
        <v>289775</v>
      </c>
      <c r="S785">
        <f t="shared" si="77"/>
        <v>290591.66666666669</v>
      </c>
    </row>
    <row r="786" spans="1:19" x14ac:dyDescent="0.25">
      <c r="A786" s="1"/>
      <c r="C786" s="1"/>
      <c r="D786" s="1">
        <v>42403</v>
      </c>
      <c r="E786">
        <v>31526</v>
      </c>
      <c r="F786" s="1">
        <v>42403</v>
      </c>
      <c r="G786">
        <v>-4062.5</v>
      </c>
      <c r="H786" s="1">
        <f t="shared" si="72"/>
        <v>42403</v>
      </c>
      <c r="I786">
        <f>IF(AND(MyRowHidden(ROW())=FALSE,MyRowHidden(ROW()-1)=TRUE),0,(E786-E785)*unitsOfDHp+I785)</f>
        <v>5460</v>
      </c>
      <c r="J786">
        <f>IF(AND(MyRowHidden(ROW())=FALSE,MyRowHidden(ROW()-1)=TRUE),0,(G786-G785)*unitsOfExo+J785)</f>
        <v>270000</v>
      </c>
      <c r="K786" s="9">
        <f t="shared" si="73"/>
        <v>-270000</v>
      </c>
      <c r="L786">
        <f t="shared" si="74"/>
        <v>275460</v>
      </c>
      <c r="M786">
        <f>IF(AND(MyRowHidden(ROW())=FALSE,MyRowHidden(ROW()-1)=TRUE),0,IF(MONTH(H786)&lt;&gt;MONTH(H785),M785+1,M785))</f>
        <v>1</v>
      </c>
      <c r="N786">
        <f t="shared" si="75"/>
        <v>5460</v>
      </c>
      <c r="O786">
        <f>IF(AND(MyRowHidden(ROW())=FALSE,MyRowHidden(ROW()-1)=TRUE),0,IF(M786&lt;totalMonths,(totalMonths-M786)/totalMonths *(I786-I785)+O785,0))</f>
        <v>6069.5833333333339</v>
      </c>
      <c r="P786">
        <f>IF(AND(MyRowHidden(ROW())=FALSE,MyRowHidden(ROW()-1)=TRUE),0,IF(M786&lt;totalMonths,(totalMonths-M786)/totalMonths *(J786-J785)+P785,0))</f>
        <v>270300</v>
      </c>
      <c r="Q786">
        <f>IF(AND(MyRowHidden(ROW())=FALSE,MyRowHidden(ROW()-1)=TRUE),0,IF(M786&lt;totalMonths,(totalMonths-M786)/totalMonths *(K786-K785)+Q785,0))</f>
        <v>-270300</v>
      </c>
      <c r="R786">
        <f t="shared" si="76"/>
        <v>275760</v>
      </c>
      <c r="S786">
        <f t="shared" si="77"/>
        <v>276369.58333333331</v>
      </c>
    </row>
    <row r="787" spans="1:19" x14ac:dyDescent="0.25">
      <c r="A787" s="1"/>
      <c r="C787" s="1"/>
      <c r="D787" s="1">
        <v>42404</v>
      </c>
      <c r="E787">
        <v>31731</v>
      </c>
      <c r="F787" s="1">
        <v>42404</v>
      </c>
      <c r="G787">
        <v>-4150</v>
      </c>
      <c r="H787" s="1">
        <f t="shared" si="72"/>
        <v>42404</v>
      </c>
      <c r="I787">
        <f>IF(AND(MyRowHidden(ROW())=FALSE,MyRowHidden(ROW()-1)=TRUE),0,(E787-E786)*unitsOfDHp+I786)</f>
        <v>12635</v>
      </c>
      <c r="J787">
        <f>IF(AND(MyRowHidden(ROW())=FALSE,MyRowHidden(ROW()-1)=TRUE),0,(G787-G786)*unitsOfExo+J786)</f>
        <v>244800</v>
      </c>
      <c r="K787" s="9">
        <f t="shared" si="73"/>
        <v>-244800</v>
      </c>
      <c r="L787">
        <f t="shared" si="74"/>
        <v>257435</v>
      </c>
      <c r="M787">
        <f>IF(AND(MyRowHidden(ROW())=FALSE,MyRowHidden(ROW()-1)=TRUE),0,IF(MONTH(H787)&lt;&gt;MONTH(H786),M786+1,M786))</f>
        <v>1</v>
      </c>
      <c r="N787">
        <f t="shared" si="75"/>
        <v>12635</v>
      </c>
      <c r="O787">
        <f>IF(AND(MyRowHidden(ROW())=FALSE,MyRowHidden(ROW()-1)=TRUE),0,IF(M787&lt;totalMonths,(totalMonths-M787)/totalMonths *(I787-I786)+O786,0))</f>
        <v>12646.666666666668</v>
      </c>
      <c r="P787">
        <f>IF(AND(MyRowHidden(ROW())=FALSE,MyRowHidden(ROW()-1)=TRUE),0,IF(M787&lt;totalMonths,(totalMonths-M787)/totalMonths *(J787-J786)+P786,0))</f>
        <v>247200</v>
      </c>
      <c r="Q787">
        <f>IF(AND(MyRowHidden(ROW())=FALSE,MyRowHidden(ROW()-1)=TRUE),0,IF(M787&lt;totalMonths,(totalMonths-M787)/totalMonths *(K787-K786)+Q786,0))</f>
        <v>-247200</v>
      </c>
      <c r="R787">
        <f t="shared" si="76"/>
        <v>259835</v>
      </c>
      <c r="S787">
        <f t="shared" si="77"/>
        <v>259846.66666666666</v>
      </c>
    </row>
    <row r="788" spans="1:19" x14ac:dyDescent="0.25">
      <c r="A788" s="1"/>
      <c r="C788" s="1"/>
      <c r="D788" s="1">
        <v>42405</v>
      </c>
      <c r="E788">
        <v>31920</v>
      </c>
      <c r="F788" s="1">
        <v>42405</v>
      </c>
      <c r="G788">
        <v>-4275</v>
      </c>
      <c r="H788" s="1">
        <f t="shared" si="72"/>
        <v>42405</v>
      </c>
      <c r="I788">
        <f>IF(AND(MyRowHidden(ROW())=FALSE,MyRowHidden(ROW()-1)=TRUE),0,(E788-E787)*unitsOfDHp+I787)</f>
        <v>19250</v>
      </c>
      <c r="J788">
        <f>IF(AND(MyRowHidden(ROW())=FALSE,MyRowHidden(ROW()-1)=TRUE),0,(G788-G787)*unitsOfExo+J787)</f>
        <v>208800</v>
      </c>
      <c r="K788" s="9">
        <f t="shared" si="73"/>
        <v>-208800</v>
      </c>
      <c r="L788">
        <f t="shared" si="74"/>
        <v>228050</v>
      </c>
      <c r="M788">
        <f>IF(AND(MyRowHidden(ROW())=FALSE,MyRowHidden(ROW()-1)=TRUE),0,IF(MONTH(H788)&lt;&gt;MONTH(H787),M787+1,M787))</f>
        <v>1</v>
      </c>
      <c r="N788">
        <f t="shared" si="75"/>
        <v>19250</v>
      </c>
      <c r="O788">
        <f>IF(AND(MyRowHidden(ROW())=FALSE,MyRowHidden(ROW()-1)=TRUE),0,IF(M788&lt;totalMonths,(totalMonths-M788)/totalMonths *(I788-I787)+O787,0))</f>
        <v>18710.416666666668</v>
      </c>
      <c r="P788">
        <f>IF(AND(MyRowHidden(ROW())=FALSE,MyRowHidden(ROW()-1)=TRUE),0,IF(M788&lt;totalMonths,(totalMonths-M788)/totalMonths *(J788-J787)+P787,0))</f>
        <v>214200</v>
      </c>
      <c r="Q788">
        <f>IF(AND(MyRowHidden(ROW())=FALSE,MyRowHidden(ROW()-1)=TRUE),0,IF(M788&lt;totalMonths,(totalMonths-M788)/totalMonths *(K788-K787)+Q787,0))</f>
        <v>-214200</v>
      </c>
      <c r="R788">
        <f t="shared" si="76"/>
        <v>233450</v>
      </c>
      <c r="S788">
        <f t="shared" si="77"/>
        <v>232910.41666666666</v>
      </c>
    </row>
    <row r="789" spans="1:19" x14ac:dyDescent="0.25">
      <c r="A789" s="1"/>
      <c r="C789" s="1"/>
      <c r="D789" s="1">
        <v>42408</v>
      </c>
      <c r="E789">
        <v>32250</v>
      </c>
      <c r="F789" s="1">
        <v>42408</v>
      </c>
      <c r="G789">
        <v>-4512.5</v>
      </c>
      <c r="H789" s="1">
        <f t="shared" si="72"/>
        <v>42408</v>
      </c>
      <c r="I789">
        <f>IF(AND(MyRowHidden(ROW())=FALSE,MyRowHidden(ROW()-1)=TRUE),0,(E789-E788)*unitsOfDHp+I788)</f>
        <v>30800</v>
      </c>
      <c r="J789">
        <f>IF(AND(MyRowHidden(ROW())=FALSE,MyRowHidden(ROW()-1)=TRUE),0,(G789-G788)*unitsOfExo+J788)</f>
        <v>140400</v>
      </c>
      <c r="K789" s="9">
        <f t="shared" si="73"/>
        <v>-140400</v>
      </c>
      <c r="L789">
        <f t="shared" si="74"/>
        <v>171200</v>
      </c>
      <c r="M789">
        <f>IF(AND(MyRowHidden(ROW())=FALSE,MyRowHidden(ROW()-1)=TRUE),0,IF(MONTH(H789)&lt;&gt;MONTH(H788),M788+1,M788))</f>
        <v>1</v>
      </c>
      <c r="N789">
        <f t="shared" si="75"/>
        <v>30800</v>
      </c>
      <c r="O789">
        <f>IF(AND(MyRowHidden(ROW())=FALSE,MyRowHidden(ROW()-1)=TRUE),0,IF(M789&lt;totalMonths,(totalMonths-M789)/totalMonths *(I789-I788)+O788,0))</f>
        <v>29297.916666666668</v>
      </c>
      <c r="P789">
        <f>IF(AND(MyRowHidden(ROW())=FALSE,MyRowHidden(ROW()-1)=TRUE),0,IF(M789&lt;totalMonths,(totalMonths-M789)/totalMonths *(J789-J788)+P788,0))</f>
        <v>151500</v>
      </c>
      <c r="Q789">
        <f>IF(AND(MyRowHidden(ROW())=FALSE,MyRowHidden(ROW()-1)=TRUE),0,IF(M789&lt;totalMonths,(totalMonths-M789)/totalMonths *(K789-K788)+Q788,0))</f>
        <v>-151500</v>
      </c>
      <c r="R789">
        <f t="shared" si="76"/>
        <v>182300</v>
      </c>
      <c r="S789">
        <f t="shared" si="77"/>
        <v>180797.91666666666</v>
      </c>
    </row>
    <row r="790" spans="1:19" x14ac:dyDescent="0.25">
      <c r="A790" s="1"/>
      <c r="C790" s="1"/>
      <c r="D790" s="1">
        <v>42409</v>
      </c>
      <c r="E790">
        <v>32300</v>
      </c>
      <c r="F790" s="1">
        <v>42409</v>
      </c>
      <c r="G790">
        <v>-4562.5</v>
      </c>
      <c r="H790" s="1">
        <f t="shared" si="72"/>
        <v>42409</v>
      </c>
      <c r="I790">
        <f>IF(AND(MyRowHidden(ROW())=FALSE,MyRowHidden(ROW()-1)=TRUE),0,(E790-E789)*unitsOfDHp+I789)</f>
        <v>32550</v>
      </c>
      <c r="J790">
        <f>IF(AND(MyRowHidden(ROW())=FALSE,MyRowHidden(ROW()-1)=TRUE),0,(G790-G789)*unitsOfExo+J789)</f>
        <v>126000</v>
      </c>
      <c r="K790" s="9">
        <f t="shared" si="73"/>
        <v>-126000</v>
      </c>
      <c r="L790">
        <f t="shared" si="74"/>
        <v>158550</v>
      </c>
      <c r="M790">
        <f>IF(AND(MyRowHidden(ROW())=FALSE,MyRowHidden(ROW()-1)=TRUE),0,IF(MONTH(H790)&lt;&gt;MONTH(H789),M789+1,M789))</f>
        <v>1</v>
      </c>
      <c r="N790">
        <f t="shared" si="75"/>
        <v>32550</v>
      </c>
      <c r="O790">
        <f>IF(AND(MyRowHidden(ROW())=FALSE,MyRowHidden(ROW()-1)=TRUE),0,IF(M790&lt;totalMonths,(totalMonths-M790)/totalMonths *(I790-I789)+O789,0))</f>
        <v>30902.083333333336</v>
      </c>
      <c r="P790">
        <f>IF(AND(MyRowHidden(ROW())=FALSE,MyRowHidden(ROW()-1)=TRUE),0,IF(M790&lt;totalMonths,(totalMonths-M790)/totalMonths *(J790-J789)+P789,0))</f>
        <v>138300</v>
      </c>
      <c r="Q790">
        <f>IF(AND(MyRowHidden(ROW())=FALSE,MyRowHidden(ROW()-1)=TRUE),0,IF(M790&lt;totalMonths,(totalMonths-M790)/totalMonths *(K790-K789)+Q789,0))</f>
        <v>-138300</v>
      </c>
      <c r="R790">
        <f t="shared" si="76"/>
        <v>170850</v>
      </c>
      <c r="S790">
        <f t="shared" si="77"/>
        <v>169202.08333333334</v>
      </c>
    </row>
    <row r="791" spans="1:19" x14ac:dyDescent="0.25">
      <c r="A791" s="1"/>
      <c r="C791" s="1"/>
      <c r="D791" s="1">
        <v>42410</v>
      </c>
      <c r="E791">
        <v>32310</v>
      </c>
      <c r="F791" s="1">
        <v>42410</v>
      </c>
      <c r="G791">
        <v>-4575</v>
      </c>
      <c r="H791" s="1">
        <f t="shared" si="72"/>
        <v>42410</v>
      </c>
      <c r="I791">
        <f>IF(AND(MyRowHidden(ROW())=FALSE,MyRowHidden(ROW()-1)=TRUE),0,(E791-E790)*unitsOfDHp+I790)</f>
        <v>32900</v>
      </c>
      <c r="J791">
        <f>IF(AND(MyRowHidden(ROW())=FALSE,MyRowHidden(ROW()-1)=TRUE),0,(G791-G790)*unitsOfExo+J790)</f>
        <v>122400</v>
      </c>
      <c r="K791" s="9">
        <f t="shared" si="73"/>
        <v>-122400</v>
      </c>
      <c r="L791">
        <f t="shared" si="74"/>
        <v>155300</v>
      </c>
      <c r="M791">
        <f>IF(AND(MyRowHidden(ROW())=FALSE,MyRowHidden(ROW()-1)=TRUE),0,IF(MONTH(H791)&lt;&gt;MONTH(H790),M790+1,M790))</f>
        <v>1</v>
      </c>
      <c r="N791">
        <f t="shared" si="75"/>
        <v>32900</v>
      </c>
      <c r="O791">
        <f>IF(AND(MyRowHidden(ROW())=FALSE,MyRowHidden(ROW()-1)=TRUE),0,IF(M791&lt;totalMonths,(totalMonths-M791)/totalMonths *(I791-I790)+O790,0))</f>
        <v>31222.916666666668</v>
      </c>
      <c r="P791">
        <f>IF(AND(MyRowHidden(ROW())=FALSE,MyRowHidden(ROW()-1)=TRUE),0,IF(M791&lt;totalMonths,(totalMonths-M791)/totalMonths *(J791-J790)+P790,0))</f>
        <v>135000</v>
      </c>
      <c r="Q791">
        <f>IF(AND(MyRowHidden(ROW())=FALSE,MyRowHidden(ROW()-1)=TRUE),0,IF(M791&lt;totalMonths,(totalMonths-M791)/totalMonths *(K791-K790)+Q790,0))</f>
        <v>-135000</v>
      </c>
      <c r="R791">
        <f t="shared" si="76"/>
        <v>167900</v>
      </c>
      <c r="S791">
        <f t="shared" si="77"/>
        <v>166222.91666666666</v>
      </c>
    </row>
    <row r="792" spans="1:19" x14ac:dyDescent="0.25">
      <c r="A792" s="1"/>
      <c r="C792" s="1"/>
      <c r="D792" s="1">
        <v>42411</v>
      </c>
      <c r="E792">
        <v>32329</v>
      </c>
      <c r="F792" s="1">
        <v>42411</v>
      </c>
      <c r="G792">
        <v>-4600</v>
      </c>
      <c r="H792" s="1">
        <f t="shared" si="72"/>
        <v>42411</v>
      </c>
      <c r="I792">
        <f>IF(AND(MyRowHidden(ROW())=FALSE,MyRowHidden(ROW()-1)=TRUE),0,(E792-E791)*unitsOfDHp+I791)</f>
        <v>33565</v>
      </c>
      <c r="J792">
        <f>IF(AND(MyRowHidden(ROW())=FALSE,MyRowHidden(ROW()-1)=TRUE),0,(G792-G791)*unitsOfExo+J791)</f>
        <v>115200</v>
      </c>
      <c r="K792" s="9">
        <f t="shared" si="73"/>
        <v>-115200</v>
      </c>
      <c r="L792">
        <f t="shared" si="74"/>
        <v>148765</v>
      </c>
      <c r="M792">
        <f>IF(AND(MyRowHidden(ROW())=FALSE,MyRowHidden(ROW()-1)=TRUE),0,IF(MONTH(H792)&lt;&gt;MONTH(H791),M791+1,M791))</f>
        <v>1</v>
      </c>
      <c r="N792">
        <f t="shared" si="75"/>
        <v>33565</v>
      </c>
      <c r="O792">
        <f>IF(AND(MyRowHidden(ROW())=FALSE,MyRowHidden(ROW()-1)=TRUE),0,IF(M792&lt;totalMonths,(totalMonths-M792)/totalMonths *(I792-I791)+O791,0))</f>
        <v>31832.5</v>
      </c>
      <c r="P792">
        <f>IF(AND(MyRowHidden(ROW())=FALSE,MyRowHidden(ROW()-1)=TRUE),0,IF(M792&lt;totalMonths,(totalMonths-M792)/totalMonths *(J792-J791)+P791,0))</f>
        <v>128400</v>
      </c>
      <c r="Q792">
        <f>IF(AND(MyRowHidden(ROW())=FALSE,MyRowHidden(ROW()-1)=TRUE),0,IF(M792&lt;totalMonths,(totalMonths-M792)/totalMonths *(K792-K791)+Q791,0))</f>
        <v>-128400</v>
      </c>
      <c r="R792">
        <f t="shared" si="76"/>
        <v>161965</v>
      </c>
      <c r="S792">
        <f t="shared" si="77"/>
        <v>160232.5</v>
      </c>
    </row>
    <row r="793" spans="1:19" x14ac:dyDescent="0.25">
      <c r="A793" s="1"/>
      <c r="C793" s="1"/>
      <c r="D793" s="1">
        <v>42412</v>
      </c>
      <c r="E793">
        <v>32383</v>
      </c>
      <c r="F793" s="1">
        <v>42412</v>
      </c>
      <c r="G793">
        <v>-4662.5</v>
      </c>
      <c r="H793" s="1">
        <f t="shared" si="72"/>
        <v>42412</v>
      </c>
      <c r="I793">
        <f>IF(AND(MyRowHidden(ROW())=FALSE,MyRowHidden(ROW()-1)=TRUE),0,(E793-E792)*unitsOfDHp+I792)</f>
        <v>35455</v>
      </c>
      <c r="J793">
        <f>IF(AND(MyRowHidden(ROW())=FALSE,MyRowHidden(ROW()-1)=TRUE),0,(G793-G792)*unitsOfExo+J792)</f>
        <v>97200</v>
      </c>
      <c r="K793" s="9">
        <f t="shared" si="73"/>
        <v>-97200</v>
      </c>
      <c r="L793">
        <f t="shared" si="74"/>
        <v>132655</v>
      </c>
      <c r="M793">
        <f>IF(AND(MyRowHidden(ROW())=FALSE,MyRowHidden(ROW()-1)=TRUE),0,IF(MONTH(H793)&lt;&gt;MONTH(H792),M792+1,M792))</f>
        <v>1</v>
      </c>
      <c r="N793">
        <f t="shared" si="75"/>
        <v>35455</v>
      </c>
      <c r="O793">
        <f>IF(AND(MyRowHidden(ROW())=FALSE,MyRowHidden(ROW()-1)=TRUE),0,IF(M793&lt;totalMonths,(totalMonths-M793)/totalMonths *(I793-I792)+O792,0))</f>
        <v>33565</v>
      </c>
      <c r="P793">
        <f>IF(AND(MyRowHidden(ROW())=FALSE,MyRowHidden(ROW()-1)=TRUE),0,IF(M793&lt;totalMonths,(totalMonths-M793)/totalMonths *(J793-J792)+P792,0))</f>
        <v>111900</v>
      </c>
      <c r="Q793">
        <f>IF(AND(MyRowHidden(ROW())=FALSE,MyRowHidden(ROW()-1)=TRUE),0,IF(M793&lt;totalMonths,(totalMonths-M793)/totalMonths *(K793-K792)+Q792,0))</f>
        <v>-111900</v>
      </c>
      <c r="R793">
        <f t="shared" si="76"/>
        <v>147355</v>
      </c>
      <c r="S793">
        <f t="shared" si="77"/>
        <v>145465</v>
      </c>
    </row>
    <row r="794" spans="1:19" x14ac:dyDescent="0.25">
      <c r="A794" s="1"/>
      <c r="C794" s="1"/>
      <c r="D794" s="1">
        <v>42416</v>
      </c>
      <c r="E794">
        <v>32266</v>
      </c>
      <c r="F794" s="1">
        <v>42416</v>
      </c>
      <c r="G794">
        <v>-4537.5</v>
      </c>
      <c r="H794" s="1">
        <f t="shared" si="72"/>
        <v>42416</v>
      </c>
      <c r="I794">
        <f>IF(AND(MyRowHidden(ROW())=FALSE,MyRowHidden(ROW()-1)=TRUE),0,(E794-E793)*unitsOfDHp+I793)</f>
        <v>31360</v>
      </c>
      <c r="J794">
        <f>IF(AND(MyRowHidden(ROW())=FALSE,MyRowHidden(ROW()-1)=TRUE),0,(G794-G793)*unitsOfExo+J793)</f>
        <v>133200</v>
      </c>
      <c r="K794" s="9">
        <f t="shared" si="73"/>
        <v>-133200</v>
      </c>
      <c r="L794">
        <f t="shared" si="74"/>
        <v>164560</v>
      </c>
      <c r="M794">
        <f>IF(AND(MyRowHidden(ROW())=FALSE,MyRowHidden(ROW()-1)=TRUE),0,IF(MONTH(H794)&lt;&gt;MONTH(H793),M793+1,M793))</f>
        <v>1</v>
      </c>
      <c r="N794">
        <f t="shared" si="75"/>
        <v>31360</v>
      </c>
      <c r="O794">
        <f>IF(AND(MyRowHidden(ROW())=FALSE,MyRowHidden(ROW()-1)=TRUE),0,IF(M794&lt;totalMonths,(totalMonths-M794)/totalMonths *(I794-I793)+O793,0))</f>
        <v>29811.25</v>
      </c>
      <c r="P794">
        <f>IF(AND(MyRowHidden(ROW())=FALSE,MyRowHidden(ROW()-1)=TRUE),0,IF(M794&lt;totalMonths,(totalMonths-M794)/totalMonths *(J794-J793)+P793,0))</f>
        <v>144900</v>
      </c>
      <c r="Q794">
        <f>IF(AND(MyRowHidden(ROW())=FALSE,MyRowHidden(ROW()-1)=TRUE),0,IF(M794&lt;totalMonths,(totalMonths-M794)/totalMonths *(K794-K793)+Q793,0))</f>
        <v>-144900</v>
      </c>
      <c r="R794">
        <f t="shared" si="76"/>
        <v>176260</v>
      </c>
      <c r="S794">
        <f t="shared" si="77"/>
        <v>174711.25</v>
      </c>
    </row>
    <row r="795" spans="1:19" x14ac:dyDescent="0.25">
      <c r="A795" s="1"/>
      <c r="C795" s="1"/>
      <c r="D795" s="1">
        <v>42417</v>
      </c>
      <c r="E795">
        <v>32407</v>
      </c>
      <c r="F795" s="1">
        <v>42417</v>
      </c>
      <c r="G795">
        <v>-4250</v>
      </c>
      <c r="H795" s="1">
        <f t="shared" si="72"/>
        <v>42417</v>
      </c>
      <c r="I795">
        <f>IF(AND(MyRowHidden(ROW())=FALSE,MyRowHidden(ROW()-1)=TRUE),0,(E795-E794)*unitsOfDHp+I794)</f>
        <v>36295</v>
      </c>
      <c r="J795">
        <f>IF(AND(MyRowHidden(ROW())=FALSE,MyRowHidden(ROW()-1)=TRUE),0,(G795-G794)*unitsOfExo+J794)</f>
        <v>216000</v>
      </c>
      <c r="K795" s="9">
        <f t="shared" si="73"/>
        <v>-216000</v>
      </c>
      <c r="L795">
        <f t="shared" si="74"/>
        <v>252295</v>
      </c>
      <c r="M795">
        <f>IF(AND(MyRowHidden(ROW())=FALSE,MyRowHidden(ROW()-1)=TRUE),0,IF(MONTH(H795)&lt;&gt;MONTH(H794),M794+1,M794))</f>
        <v>1</v>
      </c>
      <c r="N795">
        <f t="shared" si="75"/>
        <v>36295</v>
      </c>
      <c r="O795">
        <f>IF(AND(MyRowHidden(ROW())=FALSE,MyRowHidden(ROW()-1)=TRUE),0,IF(M795&lt;totalMonths,(totalMonths-M795)/totalMonths *(I795-I794)+O794,0))</f>
        <v>34335</v>
      </c>
      <c r="P795">
        <f>IF(AND(MyRowHidden(ROW())=FALSE,MyRowHidden(ROW()-1)=TRUE),0,IF(M795&lt;totalMonths,(totalMonths-M795)/totalMonths *(J795-J794)+P794,0))</f>
        <v>220800</v>
      </c>
      <c r="Q795">
        <f>IF(AND(MyRowHidden(ROW())=FALSE,MyRowHidden(ROW()-1)=TRUE),0,IF(M795&lt;totalMonths,(totalMonths-M795)/totalMonths *(K795-K794)+Q794,0))</f>
        <v>-220800</v>
      </c>
      <c r="R795">
        <f t="shared" si="76"/>
        <v>257095</v>
      </c>
      <c r="S795">
        <f t="shared" si="77"/>
        <v>255135</v>
      </c>
    </row>
    <row r="796" spans="1:19" x14ac:dyDescent="0.25">
      <c r="A796" s="1"/>
      <c r="C796" s="1"/>
      <c r="D796" s="1">
        <v>42418</v>
      </c>
      <c r="E796">
        <v>32341</v>
      </c>
      <c r="F796" s="1">
        <v>42418</v>
      </c>
      <c r="G796">
        <v>-4287.5</v>
      </c>
      <c r="H796" s="1">
        <f t="shared" si="72"/>
        <v>42418</v>
      </c>
      <c r="I796">
        <f>IF(AND(MyRowHidden(ROW())=FALSE,MyRowHidden(ROW()-1)=TRUE),0,(E796-E795)*unitsOfDHp+I795)</f>
        <v>33985</v>
      </c>
      <c r="J796">
        <f>IF(AND(MyRowHidden(ROW())=FALSE,MyRowHidden(ROW()-1)=TRUE),0,(G796-G795)*unitsOfExo+J795)</f>
        <v>205200</v>
      </c>
      <c r="K796" s="9">
        <f t="shared" si="73"/>
        <v>-205200</v>
      </c>
      <c r="L796">
        <f t="shared" si="74"/>
        <v>239185</v>
      </c>
      <c r="M796">
        <f>IF(AND(MyRowHidden(ROW())=FALSE,MyRowHidden(ROW()-1)=TRUE),0,IF(MONTH(H796)&lt;&gt;MONTH(H795),M795+1,M795))</f>
        <v>1</v>
      </c>
      <c r="N796">
        <f t="shared" si="75"/>
        <v>33985</v>
      </c>
      <c r="O796">
        <f>IF(AND(MyRowHidden(ROW())=FALSE,MyRowHidden(ROW()-1)=TRUE),0,IF(M796&lt;totalMonths,(totalMonths-M796)/totalMonths *(I796-I795)+O795,0))</f>
        <v>32217.5</v>
      </c>
      <c r="P796">
        <f>IF(AND(MyRowHidden(ROW())=FALSE,MyRowHidden(ROW()-1)=TRUE),0,IF(M796&lt;totalMonths,(totalMonths-M796)/totalMonths *(J796-J795)+P795,0))</f>
        <v>210900</v>
      </c>
      <c r="Q796">
        <f>IF(AND(MyRowHidden(ROW())=FALSE,MyRowHidden(ROW()-1)=TRUE),0,IF(M796&lt;totalMonths,(totalMonths-M796)/totalMonths *(K796-K795)+Q795,0))</f>
        <v>-210900</v>
      </c>
      <c r="R796">
        <f t="shared" si="76"/>
        <v>244885</v>
      </c>
      <c r="S796">
        <f t="shared" si="77"/>
        <v>243117.5</v>
      </c>
    </row>
    <row r="797" spans="1:19" x14ac:dyDescent="0.25">
      <c r="A797" s="1"/>
      <c r="C797" s="1"/>
      <c r="D797" s="1">
        <v>42419</v>
      </c>
      <c r="E797">
        <v>32246</v>
      </c>
      <c r="F797" s="1">
        <v>42419</v>
      </c>
      <c r="G797">
        <v>-4312.5</v>
      </c>
      <c r="H797" s="1">
        <f t="shared" si="72"/>
        <v>42419</v>
      </c>
      <c r="I797">
        <f>IF(AND(MyRowHidden(ROW())=FALSE,MyRowHidden(ROW()-1)=TRUE),0,(E797-E796)*unitsOfDHp+I796)</f>
        <v>30660</v>
      </c>
      <c r="J797">
        <f>IF(AND(MyRowHidden(ROW())=FALSE,MyRowHidden(ROW()-1)=TRUE),0,(G797-G796)*unitsOfExo+J796)</f>
        <v>198000</v>
      </c>
      <c r="K797" s="9">
        <f t="shared" si="73"/>
        <v>-198000</v>
      </c>
      <c r="L797">
        <f t="shared" si="74"/>
        <v>228660</v>
      </c>
      <c r="M797">
        <f>IF(AND(MyRowHidden(ROW())=FALSE,MyRowHidden(ROW()-1)=TRUE),0,IF(MONTH(H797)&lt;&gt;MONTH(H796),M796+1,M796))</f>
        <v>1</v>
      </c>
      <c r="N797">
        <f t="shared" si="75"/>
        <v>30660</v>
      </c>
      <c r="O797">
        <f>IF(AND(MyRowHidden(ROW())=FALSE,MyRowHidden(ROW()-1)=TRUE),0,IF(M797&lt;totalMonths,(totalMonths-M797)/totalMonths *(I797-I796)+O796,0))</f>
        <v>29169.583333333332</v>
      </c>
      <c r="P797">
        <f>IF(AND(MyRowHidden(ROW())=FALSE,MyRowHidden(ROW()-1)=TRUE),0,IF(M797&lt;totalMonths,(totalMonths-M797)/totalMonths *(J797-J796)+P796,0))</f>
        <v>204300</v>
      </c>
      <c r="Q797">
        <f>IF(AND(MyRowHidden(ROW())=FALSE,MyRowHidden(ROW()-1)=TRUE),0,IF(M797&lt;totalMonths,(totalMonths-M797)/totalMonths *(K797-K796)+Q796,0))</f>
        <v>-204300</v>
      </c>
      <c r="R797">
        <f t="shared" si="76"/>
        <v>234960</v>
      </c>
      <c r="S797">
        <f t="shared" si="77"/>
        <v>233469.58333333334</v>
      </c>
    </row>
    <row r="798" spans="1:19" x14ac:dyDescent="0.25">
      <c r="A798" s="1"/>
      <c r="C798" s="1"/>
      <c r="D798" s="1">
        <v>42422</v>
      </c>
      <c r="E798">
        <v>32253</v>
      </c>
      <c r="F798" s="1">
        <v>42422</v>
      </c>
      <c r="G798">
        <v>-4212.5</v>
      </c>
      <c r="H798" s="1">
        <f t="shared" si="72"/>
        <v>42422</v>
      </c>
      <c r="I798">
        <f>IF(AND(MyRowHidden(ROW())=FALSE,MyRowHidden(ROW()-1)=TRUE),0,(E798-E797)*unitsOfDHp+I797)</f>
        <v>30905</v>
      </c>
      <c r="J798">
        <f>IF(AND(MyRowHidden(ROW())=FALSE,MyRowHidden(ROW()-1)=TRUE),0,(G798-G797)*unitsOfExo+J797)</f>
        <v>226800</v>
      </c>
      <c r="K798" s="9">
        <f t="shared" si="73"/>
        <v>-226800</v>
      </c>
      <c r="L798">
        <f t="shared" si="74"/>
        <v>257705</v>
      </c>
      <c r="M798">
        <f>IF(AND(MyRowHidden(ROW())=FALSE,MyRowHidden(ROW()-1)=TRUE),0,IF(MONTH(H798)&lt;&gt;MONTH(H797),M797+1,M797))</f>
        <v>1</v>
      </c>
      <c r="N798">
        <f t="shared" si="75"/>
        <v>30905</v>
      </c>
      <c r="O798">
        <f>IF(AND(MyRowHidden(ROW())=FALSE,MyRowHidden(ROW()-1)=TRUE),0,IF(M798&lt;totalMonths,(totalMonths-M798)/totalMonths *(I798-I797)+O797,0))</f>
        <v>29394.166666666664</v>
      </c>
      <c r="P798">
        <f>IF(AND(MyRowHidden(ROW())=FALSE,MyRowHidden(ROW()-1)=TRUE),0,IF(M798&lt;totalMonths,(totalMonths-M798)/totalMonths *(J798-J797)+P797,0))</f>
        <v>230700</v>
      </c>
      <c r="Q798">
        <f>IF(AND(MyRowHidden(ROW())=FALSE,MyRowHidden(ROW()-1)=TRUE),0,IF(M798&lt;totalMonths,(totalMonths-M798)/totalMonths *(K798-K797)+Q797,0))</f>
        <v>-230700</v>
      </c>
      <c r="R798">
        <f t="shared" si="76"/>
        <v>261605</v>
      </c>
      <c r="S798">
        <f t="shared" si="77"/>
        <v>260094.16666666666</v>
      </c>
    </row>
    <row r="799" spans="1:19" x14ac:dyDescent="0.25">
      <c r="A799" s="1"/>
      <c r="C799" s="1"/>
      <c r="D799" s="1">
        <v>42423</v>
      </c>
      <c r="E799">
        <v>32616</v>
      </c>
      <c r="F799" s="1">
        <v>42423</v>
      </c>
      <c r="G799">
        <v>-4500</v>
      </c>
      <c r="H799" s="1">
        <f t="shared" si="72"/>
        <v>42423</v>
      </c>
      <c r="I799">
        <f>IF(AND(MyRowHidden(ROW())=FALSE,MyRowHidden(ROW()-1)=TRUE),0,(E799-E798)*unitsOfDHp+I798)</f>
        <v>43610</v>
      </c>
      <c r="J799">
        <f>IF(AND(MyRowHidden(ROW())=FALSE,MyRowHidden(ROW()-1)=TRUE),0,(G799-G798)*unitsOfExo+J798)</f>
        <v>144000</v>
      </c>
      <c r="K799" s="9">
        <f t="shared" si="73"/>
        <v>-144000</v>
      </c>
      <c r="L799">
        <f t="shared" si="74"/>
        <v>187610</v>
      </c>
      <c r="M799">
        <f>IF(AND(MyRowHidden(ROW())=FALSE,MyRowHidden(ROW()-1)=TRUE),0,IF(MONTH(H799)&lt;&gt;MONTH(H798),M798+1,M798))</f>
        <v>1</v>
      </c>
      <c r="N799">
        <f t="shared" si="75"/>
        <v>43610</v>
      </c>
      <c r="O799">
        <f>IF(AND(MyRowHidden(ROW())=FALSE,MyRowHidden(ROW()-1)=TRUE),0,IF(M799&lt;totalMonths,(totalMonths-M799)/totalMonths *(I799-I798)+O798,0))</f>
        <v>41040.416666666664</v>
      </c>
      <c r="P799">
        <f>IF(AND(MyRowHidden(ROW())=FALSE,MyRowHidden(ROW()-1)=TRUE),0,IF(M799&lt;totalMonths,(totalMonths-M799)/totalMonths *(J799-J798)+P798,0))</f>
        <v>154800</v>
      </c>
      <c r="Q799">
        <f>IF(AND(MyRowHidden(ROW())=FALSE,MyRowHidden(ROW()-1)=TRUE),0,IF(M799&lt;totalMonths,(totalMonths-M799)/totalMonths *(K799-K798)+Q798,0))</f>
        <v>-154800</v>
      </c>
      <c r="R799">
        <f t="shared" si="76"/>
        <v>198410</v>
      </c>
      <c r="S799">
        <f t="shared" si="77"/>
        <v>195840.41666666666</v>
      </c>
    </row>
    <row r="800" spans="1:19" x14ac:dyDescent="0.25">
      <c r="A800" s="1"/>
      <c r="C800" s="1"/>
      <c r="D800" s="1">
        <v>42424</v>
      </c>
      <c r="E800">
        <v>32642</v>
      </c>
      <c r="F800" s="1">
        <v>42424</v>
      </c>
      <c r="G800">
        <v>-4587.5</v>
      </c>
      <c r="H800" s="1">
        <f t="shared" si="72"/>
        <v>42424</v>
      </c>
      <c r="I800">
        <f>IF(AND(MyRowHidden(ROW())=FALSE,MyRowHidden(ROW()-1)=TRUE),0,(E800-E799)*unitsOfDHp+I799)</f>
        <v>44520</v>
      </c>
      <c r="J800">
        <f>IF(AND(MyRowHidden(ROW())=FALSE,MyRowHidden(ROW()-1)=TRUE),0,(G800-G799)*unitsOfExo+J799)</f>
        <v>118800</v>
      </c>
      <c r="K800" s="9">
        <f t="shared" si="73"/>
        <v>-118800</v>
      </c>
      <c r="L800">
        <f t="shared" si="74"/>
        <v>163320</v>
      </c>
      <c r="M800">
        <f>IF(AND(MyRowHidden(ROW())=FALSE,MyRowHidden(ROW()-1)=TRUE),0,IF(MONTH(H800)&lt;&gt;MONTH(H799),M799+1,M799))</f>
        <v>1</v>
      </c>
      <c r="N800">
        <f t="shared" si="75"/>
        <v>44520</v>
      </c>
      <c r="O800">
        <f>IF(AND(MyRowHidden(ROW())=FALSE,MyRowHidden(ROW()-1)=TRUE),0,IF(M800&lt;totalMonths,(totalMonths-M800)/totalMonths *(I800-I799)+O799,0))</f>
        <v>41874.583333333328</v>
      </c>
      <c r="P800">
        <f>IF(AND(MyRowHidden(ROW())=FALSE,MyRowHidden(ROW()-1)=TRUE),0,IF(M800&lt;totalMonths,(totalMonths-M800)/totalMonths *(J800-J799)+P799,0))</f>
        <v>131700</v>
      </c>
      <c r="Q800">
        <f>IF(AND(MyRowHidden(ROW())=FALSE,MyRowHidden(ROW()-1)=TRUE),0,IF(M800&lt;totalMonths,(totalMonths-M800)/totalMonths *(K800-K799)+Q799,0))</f>
        <v>-131700</v>
      </c>
      <c r="R800">
        <f t="shared" si="76"/>
        <v>176220</v>
      </c>
      <c r="S800">
        <f t="shared" si="77"/>
        <v>173574.58333333331</v>
      </c>
    </row>
    <row r="801" spans="1:19" x14ac:dyDescent="0.25">
      <c r="A801" s="1"/>
      <c r="C801" s="1"/>
      <c r="D801" s="1">
        <v>42425</v>
      </c>
      <c r="E801">
        <v>33004</v>
      </c>
      <c r="F801" s="1">
        <v>42425</v>
      </c>
      <c r="G801">
        <v>-4800</v>
      </c>
      <c r="H801" s="1">
        <f t="shared" si="72"/>
        <v>42425</v>
      </c>
      <c r="I801">
        <f>IF(AND(MyRowHidden(ROW())=FALSE,MyRowHidden(ROW()-1)=TRUE),0,(E801-E800)*unitsOfDHp+I800)</f>
        <v>57190</v>
      </c>
      <c r="J801">
        <f>IF(AND(MyRowHidden(ROW())=FALSE,MyRowHidden(ROW()-1)=TRUE),0,(G801-G800)*unitsOfExo+J800)</f>
        <v>57600</v>
      </c>
      <c r="K801" s="9">
        <f t="shared" si="73"/>
        <v>-57600</v>
      </c>
      <c r="L801">
        <f t="shared" si="74"/>
        <v>114790</v>
      </c>
      <c r="M801">
        <f>IF(AND(MyRowHidden(ROW())=FALSE,MyRowHidden(ROW()-1)=TRUE),0,IF(MONTH(H801)&lt;&gt;MONTH(H800),M800+1,M800))</f>
        <v>1</v>
      </c>
      <c r="N801">
        <f t="shared" si="75"/>
        <v>57190</v>
      </c>
      <c r="O801">
        <f>IF(AND(MyRowHidden(ROW())=FALSE,MyRowHidden(ROW()-1)=TRUE),0,IF(M801&lt;totalMonths,(totalMonths-M801)/totalMonths *(I801-I800)+O800,0))</f>
        <v>53488.749999999993</v>
      </c>
      <c r="P801">
        <f>IF(AND(MyRowHidden(ROW())=FALSE,MyRowHidden(ROW()-1)=TRUE),0,IF(M801&lt;totalMonths,(totalMonths-M801)/totalMonths *(J801-J800)+P800,0))</f>
        <v>75600</v>
      </c>
      <c r="Q801">
        <f>IF(AND(MyRowHidden(ROW())=FALSE,MyRowHidden(ROW()-1)=TRUE),0,IF(M801&lt;totalMonths,(totalMonths-M801)/totalMonths *(K801-K800)+Q800,0))</f>
        <v>-75600</v>
      </c>
      <c r="R801">
        <f t="shared" si="76"/>
        <v>132790</v>
      </c>
      <c r="S801">
        <f t="shared" si="77"/>
        <v>129088.75</v>
      </c>
    </row>
    <row r="802" spans="1:19" x14ac:dyDescent="0.25">
      <c r="A802" s="1"/>
      <c r="C802" s="1"/>
      <c r="D802" s="1">
        <v>42426</v>
      </c>
      <c r="E802">
        <v>33148</v>
      </c>
      <c r="F802" s="1">
        <v>42426</v>
      </c>
      <c r="G802">
        <v>-4900</v>
      </c>
      <c r="H802" s="1">
        <f t="shared" si="72"/>
        <v>42426</v>
      </c>
      <c r="I802">
        <f>IF(AND(MyRowHidden(ROW())=FALSE,MyRowHidden(ROW()-1)=TRUE),0,(E802-E801)*unitsOfDHp+I801)</f>
        <v>62230</v>
      </c>
      <c r="J802">
        <f>IF(AND(MyRowHidden(ROW())=FALSE,MyRowHidden(ROW()-1)=TRUE),0,(G802-G801)*unitsOfExo+J801)</f>
        <v>28800</v>
      </c>
      <c r="K802" s="9">
        <f t="shared" si="73"/>
        <v>-28800</v>
      </c>
      <c r="L802">
        <f t="shared" si="74"/>
        <v>91030</v>
      </c>
      <c r="M802">
        <f>IF(AND(MyRowHidden(ROW())=FALSE,MyRowHidden(ROW()-1)=TRUE),0,IF(MONTH(H802)&lt;&gt;MONTH(H801),M801+1,M801))</f>
        <v>1</v>
      </c>
      <c r="N802">
        <f t="shared" si="75"/>
        <v>62230</v>
      </c>
      <c r="O802">
        <f>IF(AND(MyRowHidden(ROW())=FALSE,MyRowHidden(ROW()-1)=TRUE),0,IF(M802&lt;totalMonths,(totalMonths-M802)/totalMonths *(I802-I801)+O801,0))</f>
        <v>58108.749999999993</v>
      </c>
      <c r="P802">
        <f>IF(AND(MyRowHidden(ROW())=FALSE,MyRowHidden(ROW()-1)=TRUE),0,IF(M802&lt;totalMonths,(totalMonths-M802)/totalMonths *(J802-J801)+P801,0))</f>
        <v>49200</v>
      </c>
      <c r="Q802">
        <f>IF(AND(MyRowHidden(ROW())=FALSE,MyRowHidden(ROW()-1)=TRUE),0,IF(M802&lt;totalMonths,(totalMonths-M802)/totalMonths *(K802-K801)+Q801,0))</f>
        <v>-49200</v>
      </c>
      <c r="R802">
        <f t="shared" si="76"/>
        <v>111430</v>
      </c>
      <c r="S802">
        <f t="shared" si="77"/>
        <v>107308.75</v>
      </c>
    </row>
    <row r="803" spans="1:19" x14ac:dyDescent="0.25">
      <c r="A803" s="1"/>
      <c r="C803" s="1"/>
      <c r="D803" s="1">
        <v>42429</v>
      </c>
      <c r="E803">
        <v>33161</v>
      </c>
      <c r="F803" s="1">
        <v>42429</v>
      </c>
      <c r="G803">
        <v>-4925</v>
      </c>
      <c r="H803" s="1">
        <f t="shared" si="72"/>
        <v>42429</v>
      </c>
      <c r="I803">
        <f>IF(AND(MyRowHidden(ROW())=FALSE,MyRowHidden(ROW()-1)=TRUE),0,(E803-E802)*unitsOfDHp+I802)</f>
        <v>62685</v>
      </c>
      <c r="J803">
        <f>IF(AND(MyRowHidden(ROW())=FALSE,MyRowHidden(ROW()-1)=TRUE),0,(G803-G802)*unitsOfExo+J802)</f>
        <v>21600</v>
      </c>
      <c r="K803" s="9">
        <f t="shared" si="73"/>
        <v>-21600</v>
      </c>
      <c r="L803">
        <f t="shared" si="74"/>
        <v>84285</v>
      </c>
      <c r="M803">
        <f>IF(AND(MyRowHidden(ROW())=FALSE,MyRowHidden(ROW()-1)=TRUE),0,IF(MONTH(H803)&lt;&gt;MONTH(H802),M802+1,M802))</f>
        <v>1</v>
      </c>
      <c r="N803">
        <f t="shared" si="75"/>
        <v>62685</v>
      </c>
      <c r="O803">
        <f>IF(AND(MyRowHidden(ROW())=FALSE,MyRowHidden(ROW()-1)=TRUE),0,IF(M803&lt;totalMonths,(totalMonths-M803)/totalMonths *(I803-I802)+O802,0))</f>
        <v>58525.833333333328</v>
      </c>
      <c r="P803">
        <f>IF(AND(MyRowHidden(ROW())=FALSE,MyRowHidden(ROW()-1)=TRUE),0,IF(M803&lt;totalMonths,(totalMonths-M803)/totalMonths *(J803-J802)+P802,0))</f>
        <v>42600</v>
      </c>
      <c r="Q803">
        <f>IF(AND(MyRowHidden(ROW())=FALSE,MyRowHidden(ROW()-1)=TRUE),0,IF(M803&lt;totalMonths,(totalMonths-M803)/totalMonths *(K803-K802)+Q802,0))</f>
        <v>-42600</v>
      </c>
      <c r="R803">
        <f t="shared" si="76"/>
        <v>105285</v>
      </c>
      <c r="S803">
        <f t="shared" si="77"/>
        <v>101125.83333333333</v>
      </c>
    </row>
    <row r="804" spans="1:19" x14ac:dyDescent="0.25">
      <c r="A804" s="1"/>
      <c r="C804" s="1"/>
      <c r="D804" s="1">
        <v>42430</v>
      </c>
      <c r="E804">
        <v>33157</v>
      </c>
      <c r="F804" s="1">
        <v>42430</v>
      </c>
      <c r="G804">
        <v>-4850</v>
      </c>
      <c r="H804" s="1">
        <f t="shared" si="72"/>
        <v>42430</v>
      </c>
      <c r="I804">
        <f>IF(AND(MyRowHidden(ROW())=FALSE,MyRowHidden(ROW()-1)=TRUE),0,(E804-E803)*unitsOfDHp+I803)</f>
        <v>62545</v>
      </c>
      <c r="J804">
        <f>IF(AND(MyRowHidden(ROW())=FALSE,MyRowHidden(ROW()-1)=TRUE),0,(G804-G803)*unitsOfExo+J803)</f>
        <v>43200</v>
      </c>
      <c r="K804" s="9">
        <f t="shared" si="73"/>
        <v>-43200</v>
      </c>
      <c r="L804">
        <f t="shared" si="74"/>
        <v>105745</v>
      </c>
      <c r="M804">
        <f>IF(AND(MyRowHidden(ROW())=FALSE,MyRowHidden(ROW()-1)=TRUE),0,IF(MONTH(H804)&lt;&gt;MONTH(H803),M803+1,M803))</f>
        <v>2</v>
      </c>
      <c r="N804">
        <f t="shared" si="75"/>
        <v>62545</v>
      </c>
      <c r="O804">
        <f>IF(AND(MyRowHidden(ROW())=FALSE,MyRowHidden(ROW()-1)=TRUE),0,IF(M804&lt;totalMonths,(totalMonths-M804)/totalMonths *(I804-I803)+O803,0))</f>
        <v>58409.166666666664</v>
      </c>
      <c r="P804">
        <f>IF(AND(MyRowHidden(ROW())=FALSE,MyRowHidden(ROW()-1)=TRUE),0,IF(M804&lt;totalMonths,(totalMonths-M804)/totalMonths *(J804-J803)+P803,0))</f>
        <v>60600</v>
      </c>
      <c r="Q804">
        <f>IF(AND(MyRowHidden(ROW())=FALSE,MyRowHidden(ROW()-1)=TRUE),0,IF(M804&lt;totalMonths,(totalMonths-M804)/totalMonths *(K804-K803)+Q803,0))</f>
        <v>-60600</v>
      </c>
      <c r="R804">
        <f t="shared" si="76"/>
        <v>123145</v>
      </c>
      <c r="S804">
        <f t="shared" si="77"/>
        <v>119009.16666666666</v>
      </c>
    </row>
    <row r="805" spans="1:19" x14ac:dyDescent="0.25">
      <c r="A805" s="1"/>
      <c r="C805" s="1"/>
      <c r="D805" s="1">
        <v>42431</v>
      </c>
      <c r="E805">
        <v>33127</v>
      </c>
      <c r="F805" s="1">
        <v>42431</v>
      </c>
      <c r="G805">
        <v>-4887.5</v>
      </c>
      <c r="H805" s="1">
        <f t="shared" si="72"/>
        <v>42431</v>
      </c>
      <c r="I805">
        <f>IF(AND(MyRowHidden(ROW())=FALSE,MyRowHidden(ROW()-1)=TRUE),0,(E805-E804)*unitsOfDHp+I804)</f>
        <v>61495</v>
      </c>
      <c r="J805">
        <f>IF(AND(MyRowHidden(ROW())=FALSE,MyRowHidden(ROW()-1)=TRUE),0,(G805-G804)*unitsOfExo+J804)</f>
        <v>32400</v>
      </c>
      <c r="K805" s="9">
        <f t="shared" si="73"/>
        <v>-32400</v>
      </c>
      <c r="L805">
        <f t="shared" si="74"/>
        <v>93895</v>
      </c>
      <c r="M805">
        <f>IF(AND(MyRowHidden(ROW())=FALSE,MyRowHidden(ROW()-1)=TRUE),0,IF(MONTH(H805)&lt;&gt;MONTH(H804),M804+1,M804))</f>
        <v>2</v>
      </c>
      <c r="N805">
        <f t="shared" si="75"/>
        <v>61495</v>
      </c>
      <c r="O805">
        <f>IF(AND(MyRowHidden(ROW())=FALSE,MyRowHidden(ROW()-1)=TRUE),0,IF(M805&lt;totalMonths,(totalMonths-M805)/totalMonths *(I805-I804)+O804,0))</f>
        <v>57534.166666666664</v>
      </c>
      <c r="P805">
        <f>IF(AND(MyRowHidden(ROW())=FALSE,MyRowHidden(ROW()-1)=TRUE),0,IF(M805&lt;totalMonths,(totalMonths-M805)/totalMonths *(J805-J804)+P804,0))</f>
        <v>51600</v>
      </c>
      <c r="Q805">
        <f>IF(AND(MyRowHidden(ROW())=FALSE,MyRowHidden(ROW()-1)=TRUE),0,IF(M805&lt;totalMonths,(totalMonths-M805)/totalMonths *(K805-K804)+Q804,0))</f>
        <v>-51600</v>
      </c>
      <c r="R805">
        <f t="shared" si="76"/>
        <v>113095</v>
      </c>
      <c r="S805">
        <f t="shared" si="77"/>
        <v>109134.16666666666</v>
      </c>
    </row>
    <row r="806" spans="1:19" x14ac:dyDescent="0.25">
      <c r="A806" s="1"/>
      <c r="C806" s="1"/>
      <c r="D806" s="1">
        <v>42432</v>
      </c>
      <c r="E806">
        <v>33143</v>
      </c>
      <c r="F806" s="1">
        <v>42432</v>
      </c>
      <c r="G806">
        <v>-4950</v>
      </c>
      <c r="H806" s="1">
        <f t="shared" si="72"/>
        <v>42432</v>
      </c>
      <c r="I806">
        <f>IF(AND(MyRowHidden(ROW())=FALSE,MyRowHidden(ROW()-1)=TRUE),0,(E806-E805)*unitsOfDHp+I805)</f>
        <v>62055</v>
      </c>
      <c r="J806">
        <f>IF(AND(MyRowHidden(ROW())=FALSE,MyRowHidden(ROW()-1)=TRUE),0,(G806-G805)*unitsOfExo+J805)</f>
        <v>14400</v>
      </c>
      <c r="K806" s="9">
        <f t="shared" si="73"/>
        <v>-14400</v>
      </c>
      <c r="L806">
        <f t="shared" si="74"/>
        <v>76455</v>
      </c>
      <c r="M806">
        <f>IF(AND(MyRowHidden(ROW())=FALSE,MyRowHidden(ROW()-1)=TRUE),0,IF(MONTH(H806)&lt;&gt;MONTH(H805),M805+1,M805))</f>
        <v>2</v>
      </c>
      <c r="N806">
        <f t="shared" si="75"/>
        <v>62055</v>
      </c>
      <c r="O806">
        <f>IF(AND(MyRowHidden(ROW())=FALSE,MyRowHidden(ROW()-1)=TRUE),0,IF(M806&lt;totalMonths,(totalMonths-M806)/totalMonths *(I806-I805)+O805,0))</f>
        <v>58000.833333333328</v>
      </c>
      <c r="P806">
        <f>IF(AND(MyRowHidden(ROW())=FALSE,MyRowHidden(ROW()-1)=TRUE),0,IF(M806&lt;totalMonths,(totalMonths-M806)/totalMonths *(J806-J805)+P805,0))</f>
        <v>36600</v>
      </c>
      <c r="Q806">
        <f>IF(AND(MyRowHidden(ROW())=FALSE,MyRowHidden(ROW()-1)=TRUE),0,IF(M806&lt;totalMonths,(totalMonths-M806)/totalMonths *(K806-K805)+Q805,0))</f>
        <v>-36600</v>
      </c>
      <c r="R806">
        <f t="shared" si="76"/>
        <v>98655</v>
      </c>
      <c r="S806">
        <f t="shared" si="77"/>
        <v>94600.833333333328</v>
      </c>
    </row>
    <row r="807" spans="1:19" x14ac:dyDescent="0.25">
      <c r="A807" s="1"/>
      <c r="C807" s="1"/>
      <c r="D807" s="1">
        <v>42433</v>
      </c>
      <c r="E807">
        <v>33393</v>
      </c>
      <c r="F807" s="1">
        <v>42433</v>
      </c>
      <c r="G807">
        <v>-4875</v>
      </c>
      <c r="H807" s="1">
        <f t="shared" si="72"/>
        <v>42433</v>
      </c>
      <c r="I807">
        <f>IF(AND(MyRowHidden(ROW())=FALSE,MyRowHidden(ROW()-1)=TRUE),0,(E807-E806)*unitsOfDHp+I806)</f>
        <v>70805</v>
      </c>
      <c r="J807">
        <f>IF(AND(MyRowHidden(ROW())=FALSE,MyRowHidden(ROW()-1)=TRUE),0,(G807-G806)*unitsOfExo+J806)</f>
        <v>36000</v>
      </c>
      <c r="K807" s="9">
        <f t="shared" si="73"/>
        <v>-36000</v>
      </c>
      <c r="L807">
        <f t="shared" si="74"/>
        <v>106805</v>
      </c>
      <c r="M807">
        <f>IF(AND(MyRowHidden(ROW())=FALSE,MyRowHidden(ROW()-1)=TRUE),0,IF(MONTH(H807)&lt;&gt;MONTH(H806),M806+1,M806))</f>
        <v>2</v>
      </c>
      <c r="N807">
        <f t="shared" si="75"/>
        <v>70805</v>
      </c>
      <c r="O807">
        <f>IF(AND(MyRowHidden(ROW())=FALSE,MyRowHidden(ROW()-1)=TRUE),0,IF(M807&lt;totalMonths,(totalMonths-M807)/totalMonths *(I807-I806)+O806,0))</f>
        <v>65292.499999999993</v>
      </c>
      <c r="P807">
        <f>IF(AND(MyRowHidden(ROW())=FALSE,MyRowHidden(ROW()-1)=TRUE),0,IF(M807&lt;totalMonths,(totalMonths-M807)/totalMonths *(J807-J806)+P806,0))</f>
        <v>54600</v>
      </c>
      <c r="Q807">
        <f>IF(AND(MyRowHidden(ROW())=FALSE,MyRowHidden(ROW()-1)=TRUE),0,IF(M807&lt;totalMonths,(totalMonths-M807)/totalMonths *(K807-K806)+Q806,0))</f>
        <v>-54600</v>
      </c>
      <c r="R807">
        <f t="shared" si="76"/>
        <v>125405</v>
      </c>
      <c r="S807">
        <f t="shared" si="77"/>
        <v>119892.5</v>
      </c>
    </row>
    <row r="808" spans="1:19" x14ac:dyDescent="0.25">
      <c r="A808" s="1"/>
      <c r="C808" s="1"/>
      <c r="D808" s="1">
        <v>42436</v>
      </c>
      <c r="E808">
        <v>33710</v>
      </c>
      <c r="F808" s="1">
        <v>42436</v>
      </c>
      <c r="G808">
        <v>-4800</v>
      </c>
      <c r="H808" s="1">
        <f t="shared" si="72"/>
        <v>42436</v>
      </c>
      <c r="I808">
        <f>IF(AND(MyRowHidden(ROW())=FALSE,MyRowHidden(ROW()-1)=TRUE),0,(E808-E807)*unitsOfDHp+I807)</f>
        <v>81900</v>
      </c>
      <c r="J808">
        <f>IF(AND(MyRowHidden(ROW())=FALSE,MyRowHidden(ROW()-1)=TRUE),0,(G808-G807)*unitsOfExo+J807)</f>
        <v>57600</v>
      </c>
      <c r="K808" s="9">
        <f t="shared" si="73"/>
        <v>-57600</v>
      </c>
      <c r="L808">
        <f t="shared" si="74"/>
        <v>139500</v>
      </c>
      <c r="M808">
        <f>IF(AND(MyRowHidden(ROW())=FALSE,MyRowHidden(ROW()-1)=TRUE),0,IF(MONTH(H808)&lt;&gt;MONTH(H807),M807+1,M807))</f>
        <v>2</v>
      </c>
      <c r="N808">
        <f t="shared" si="75"/>
        <v>81900</v>
      </c>
      <c r="O808">
        <f>IF(AND(MyRowHidden(ROW())=FALSE,MyRowHidden(ROW()-1)=TRUE),0,IF(M808&lt;totalMonths,(totalMonths-M808)/totalMonths *(I808-I807)+O807,0))</f>
        <v>74538.333333333328</v>
      </c>
      <c r="P808">
        <f>IF(AND(MyRowHidden(ROW())=FALSE,MyRowHidden(ROW()-1)=TRUE),0,IF(M808&lt;totalMonths,(totalMonths-M808)/totalMonths *(J808-J807)+P807,0))</f>
        <v>72600</v>
      </c>
      <c r="Q808">
        <f>IF(AND(MyRowHidden(ROW())=FALSE,MyRowHidden(ROW()-1)=TRUE),0,IF(M808&lt;totalMonths,(totalMonths-M808)/totalMonths *(K808-K807)+Q807,0))</f>
        <v>-72600</v>
      </c>
      <c r="R808">
        <f t="shared" si="76"/>
        <v>154500</v>
      </c>
      <c r="S808">
        <f t="shared" si="77"/>
        <v>147138.33333333331</v>
      </c>
    </row>
    <row r="809" spans="1:19" x14ac:dyDescent="0.25">
      <c r="A809" s="1"/>
      <c r="C809" s="1"/>
      <c r="D809" s="1">
        <v>42437</v>
      </c>
      <c r="E809">
        <v>33657</v>
      </c>
      <c r="F809" s="1">
        <v>42437</v>
      </c>
      <c r="G809">
        <v>-4700</v>
      </c>
      <c r="H809" s="1">
        <f t="shared" si="72"/>
        <v>42437</v>
      </c>
      <c r="I809">
        <f>IF(AND(MyRowHidden(ROW())=FALSE,MyRowHidden(ROW()-1)=TRUE),0,(E809-E808)*unitsOfDHp+I808)</f>
        <v>80045</v>
      </c>
      <c r="J809">
        <f>IF(AND(MyRowHidden(ROW())=FALSE,MyRowHidden(ROW()-1)=TRUE),0,(G809-G808)*unitsOfExo+J808)</f>
        <v>86400</v>
      </c>
      <c r="K809" s="9">
        <f t="shared" si="73"/>
        <v>-86400</v>
      </c>
      <c r="L809">
        <f t="shared" si="74"/>
        <v>166445</v>
      </c>
      <c r="M809">
        <f>IF(AND(MyRowHidden(ROW())=FALSE,MyRowHidden(ROW()-1)=TRUE),0,IF(MONTH(H809)&lt;&gt;MONTH(H808),M808+1,M808))</f>
        <v>2</v>
      </c>
      <c r="N809">
        <f t="shared" si="75"/>
        <v>80045</v>
      </c>
      <c r="O809">
        <f>IF(AND(MyRowHidden(ROW())=FALSE,MyRowHidden(ROW()-1)=TRUE),0,IF(M809&lt;totalMonths,(totalMonths-M809)/totalMonths *(I809-I808)+O808,0))</f>
        <v>72992.5</v>
      </c>
      <c r="P809">
        <f>IF(AND(MyRowHidden(ROW())=FALSE,MyRowHidden(ROW()-1)=TRUE),0,IF(M809&lt;totalMonths,(totalMonths-M809)/totalMonths *(J809-J808)+P808,0))</f>
        <v>96600</v>
      </c>
      <c r="Q809">
        <f>IF(AND(MyRowHidden(ROW())=FALSE,MyRowHidden(ROW()-1)=TRUE),0,IF(M809&lt;totalMonths,(totalMonths-M809)/totalMonths *(K809-K808)+Q808,0))</f>
        <v>-96600</v>
      </c>
      <c r="R809">
        <f t="shared" si="76"/>
        <v>176645</v>
      </c>
      <c r="S809">
        <f t="shared" si="77"/>
        <v>169592.5</v>
      </c>
    </row>
    <row r="810" spans="1:19" x14ac:dyDescent="0.25">
      <c r="A810" s="1"/>
      <c r="C810" s="1"/>
      <c r="D810" s="1">
        <v>42438</v>
      </c>
      <c r="E810">
        <v>33634</v>
      </c>
      <c r="F810" s="1">
        <v>42438</v>
      </c>
      <c r="G810">
        <v>-4625</v>
      </c>
      <c r="H810" s="1">
        <f t="shared" si="72"/>
        <v>42438</v>
      </c>
      <c r="I810">
        <f>IF(AND(MyRowHidden(ROW())=FALSE,MyRowHidden(ROW()-1)=TRUE),0,(E810-E809)*unitsOfDHp+I809)</f>
        <v>79240</v>
      </c>
      <c r="J810">
        <f>IF(AND(MyRowHidden(ROW())=FALSE,MyRowHidden(ROW()-1)=TRUE),0,(G810-G809)*unitsOfExo+J809)</f>
        <v>108000</v>
      </c>
      <c r="K810" s="9">
        <f t="shared" si="73"/>
        <v>-108000</v>
      </c>
      <c r="L810">
        <f t="shared" si="74"/>
        <v>187240</v>
      </c>
      <c r="M810">
        <f>IF(AND(MyRowHidden(ROW())=FALSE,MyRowHidden(ROW()-1)=TRUE),0,IF(MONTH(H810)&lt;&gt;MONTH(H809),M809+1,M809))</f>
        <v>2</v>
      </c>
      <c r="N810">
        <f t="shared" si="75"/>
        <v>79240</v>
      </c>
      <c r="O810">
        <f>IF(AND(MyRowHidden(ROW())=FALSE,MyRowHidden(ROW()-1)=TRUE),0,IF(M810&lt;totalMonths,(totalMonths-M810)/totalMonths *(I810-I809)+O809,0))</f>
        <v>72321.666666666672</v>
      </c>
      <c r="P810">
        <f>IF(AND(MyRowHidden(ROW())=FALSE,MyRowHidden(ROW()-1)=TRUE),0,IF(M810&lt;totalMonths,(totalMonths-M810)/totalMonths *(J810-J809)+P809,0))</f>
        <v>114600</v>
      </c>
      <c r="Q810">
        <f>IF(AND(MyRowHidden(ROW())=FALSE,MyRowHidden(ROW()-1)=TRUE),0,IF(M810&lt;totalMonths,(totalMonths-M810)/totalMonths *(K810-K809)+Q809,0))</f>
        <v>-114600</v>
      </c>
      <c r="R810">
        <f t="shared" si="76"/>
        <v>193840</v>
      </c>
      <c r="S810">
        <f t="shared" si="77"/>
        <v>186921.66666666669</v>
      </c>
    </row>
    <row r="811" spans="1:19" x14ac:dyDescent="0.25">
      <c r="A811" s="1"/>
      <c r="C811" s="1"/>
      <c r="D811" s="1">
        <v>42439</v>
      </c>
      <c r="E811">
        <v>33562</v>
      </c>
      <c r="F811" s="1">
        <v>42439</v>
      </c>
      <c r="G811">
        <v>-4487.5</v>
      </c>
      <c r="H811" s="1">
        <f t="shared" si="72"/>
        <v>42439</v>
      </c>
      <c r="I811">
        <f>IF(AND(MyRowHidden(ROW())=FALSE,MyRowHidden(ROW()-1)=TRUE),0,(E811-E810)*unitsOfDHp+I810)</f>
        <v>76720</v>
      </c>
      <c r="J811">
        <f>IF(AND(MyRowHidden(ROW())=FALSE,MyRowHidden(ROW()-1)=TRUE),0,(G811-G810)*unitsOfExo+J810)</f>
        <v>147600</v>
      </c>
      <c r="K811" s="9">
        <f t="shared" si="73"/>
        <v>-147600</v>
      </c>
      <c r="L811">
        <f t="shared" si="74"/>
        <v>224320</v>
      </c>
      <c r="M811">
        <f>IF(AND(MyRowHidden(ROW())=FALSE,MyRowHidden(ROW()-1)=TRUE),0,IF(MONTH(H811)&lt;&gt;MONTH(H810),M810+1,M810))</f>
        <v>2</v>
      </c>
      <c r="N811">
        <f t="shared" si="75"/>
        <v>76720</v>
      </c>
      <c r="O811">
        <f>IF(AND(MyRowHidden(ROW())=FALSE,MyRowHidden(ROW()-1)=TRUE),0,IF(M811&lt;totalMonths,(totalMonths-M811)/totalMonths *(I811-I810)+O810,0))</f>
        <v>70221.666666666672</v>
      </c>
      <c r="P811">
        <f>IF(AND(MyRowHidden(ROW())=FALSE,MyRowHidden(ROW()-1)=TRUE),0,IF(M811&lt;totalMonths,(totalMonths-M811)/totalMonths *(J811-J810)+P810,0))</f>
        <v>147600</v>
      </c>
      <c r="Q811">
        <f>IF(AND(MyRowHidden(ROW())=FALSE,MyRowHidden(ROW()-1)=TRUE),0,IF(M811&lt;totalMonths,(totalMonths-M811)/totalMonths *(K811-K810)+Q810,0))</f>
        <v>-147600</v>
      </c>
      <c r="R811">
        <f t="shared" si="76"/>
        <v>224320</v>
      </c>
      <c r="S811">
        <f t="shared" si="77"/>
        <v>217821.66666666669</v>
      </c>
    </row>
    <row r="812" spans="1:19" x14ac:dyDescent="0.25">
      <c r="A812" s="1"/>
      <c r="C812" s="1"/>
      <c r="D812" s="1">
        <v>42440</v>
      </c>
      <c r="E812">
        <v>33415</v>
      </c>
      <c r="F812" s="1">
        <v>42440</v>
      </c>
      <c r="G812">
        <v>-4312.5</v>
      </c>
      <c r="H812" s="1">
        <f t="shared" si="72"/>
        <v>42440</v>
      </c>
      <c r="I812">
        <f>IF(AND(MyRowHidden(ROW())=FALSE,MyRowHidden(ROW()-1)=TRUE),0,(E812-E811)*unitsOfDHp+I811)</f>
        <v>71575</v>
      </c>
      <c r="J812">
        <f>IF(AND(MyRowHidden(ROW())=FALSE,MyRowHidden(ROW()-1)=TRUE),0,(G812-G811)*unitsOfExo+J811)</f>
        <v>198000</v>
      </c>
      <c r="K812" s="9">
        <f t="shared" si="73"/>
        <v>-198000</v>
      </c>
      <c r="L812">
        <f t="shared" si="74"/>
        <v>269575</v>
      </c>
      <c r="M812">
        <f>IF(AND(MyRowHidden(ROW())=FALSE,MyRowHidden(ROW()-1)=TRUE),0,IF(MONTH(H812)&lt;&gt;MONTH(H811),M811+1,M811))</f>
        <v>2</v>
      </c>
      <c r="N812">
        <f t="shared" si="75"/>
        <v>71575</v>
      </c>
      <c r="O812">
        <f>IF(AND(MyRowHidden(ROW())=FALSE,MyRowHidden(ROW()-1)=TRUE),0,IF(M812&lt;totalMonths,(totalMonths-M812)/totalMonths *(I812-I811)+O811,0))</f>
        <v>65934.166666666672</v>
      </c>
      <c r="P812">
        <f>IF(AND(MyRowHidden(ROW())=FALSE,MyRowHidden(ROW()-1)=TRUE),0,IF(M812&lt;totalMonths,(totalMonths-M812)/totalMonths *(J812-J811)+P811,0))</f>
        <v>189600</v>
      </c>
      <c r="Q812">
        <f>IF(AND(MyRowHidden(ROW())=FALSE,MyRowHidden(ROW()-1)=TRUE),0,IF(M812&lt;totalMonths,(totalMonths-M812)/totalMonths *(K812-K811)+Q811,0))</f>
        <v>-189600</v>
      </c>
      <c r="R812">
        <f t="shared" si="76"/>
        <v>261175</v>
      </c>
      <c r="S812">
        <f t="shared" si="77"/>
        <v>255534.16666666669</v>
      </c>
    </row>
    <row r="813" spans="1:19" x14ac:dyDescent="0.25">
      <c r="A813" s="1"/>
      <c r="C813" s="1"/>
      <c r="D813" s="1">
        <v>42443</v>
      </c>
      <c r="E813">
        <v>33249</v>
      </c>
      <c r="F813" s="1">
        <v>42443</v>
      </c>
      <c r="G813">
        <v>-4050</v>
      </c>
      <c r="H813" s="1">
        <f t="shared" si="72"/>
        <v>42443</v>
      </c>
      <c r="I813">
        <f>IF(AND(MyRowHidden(ROW())=FALSE,MyRowHidden(ROW()-1)=TRUE),0,(E813-E812)*unitsOfDHp+I812)</f>
        <v>65765</v>
      </c>
      <c r="J813">
        <f>IF(AND(MyRowHidden(ROW())=FALSE,MyRowHidden(ROW()-1)=TRUE),0,(G813-G812)*unitsOfExo+J812)</f>
        <v>273600</v>
      </c>
      <c r="K813" s="9">
        <f t="shared" si="73"/>
        <v>-273600</v>
      </c>
      <c r="L813">
        <f t="shared" si="74"/>
        <v>339365</v>
      </c>
      <c r="M813">
        <f>IF(AND(MyRowHidden(ROW())=FALSE,MyRowHidden(ROW()-1)=TRUE),0,IF(MONTH(H813)&lt;&gt;MONTH(H812),M812+1,M812))</f>
        <v>2</v>
      </c>
      <c r="N813">
        <f t="shared" si="75"/>
        <v>65765</v>
      </c>
      <c r="O813">
        <f>IF(AND(MyRowHidden(ROW())=FALSE,MyRowHidden(ROW()-1)=TRUE),0,IF(M813&lt;totalMonths,(totalMonths-M813)/totalMonths *(I813-I812)+O812,0))</f>
        <v>61092.500000000007</v>
      </c>
      <c r="P813">
        <f>IF(AND(MyRowHidden(ROW())=FALSE,MyRowHidden(ROW()-1)=TRUE),0,IF(M813&lt;totalMonths,(totalMonths-M813)/totalMonths *(J813-J812)+P812,0))</f>
        <v>252600</v>
      </c>
      <c r="Q813">
        <f>IF(AND(MyRowHidden(ROW())=FALSE,MyRowHidden(ROW()-1)=TRUE),0,IF(M813&lt;totalMonths,(totalMonths-M813)/totalMonths *(K813-K812)+Q812,0))</f>
        <v>-252600</v>
      </c>
      <c r="R813">
        <f t="shared" si="76"/>
        <v>318365</v>
      </c>
      <c r="S813">
        <f t="shared" si="77"/>
        <v>313692.5</v>
      </c>
    </row>
    <row r="814" spans="1:19" x14ac:dyDescent="0.25">
      <c r="A814" s="1"/>
      <c r="C814" s="1"/>
      <c r="D814" s="1">
        <v>42444</v>
      </c>
      <c r="E814">
        <v>33268</v>
      </c>
      <c r="F814" s="1">
        <v>42444</v>
      </c>
      <c r="G814">
        <v>-4062.5</v>
      </c>
      <c r="H814" s="1">
        <f t="shared" si="72"/>
        <v>42444</v>
      </c>
      <c r="I814">
        <f>IF(AND(MyRowHidden(ROW())=FALSE,MyRowHidden(ROW()-1)=TRUE),0,(E814-E813)*unitsOfDHp+I813)</f>
        <v>66430</v>
      </c>
      <c r="J814">
        <f>IF(AND(MyRowHidden(ROW())=FALSE,MyRowHidden(ROW()-1)=TRUE),0,(G814-G813)*unitsOfExo+J813)</f>
        <v>270000</v>
      </c>
      <c r="K814" s="9">
        <f t="shared" si="73"/>
        <v>-270000</v>
      </c>
      <c r="L814">
        <f t="shared" si="74"/>
        <v>336430</v>
      </c>
      <c r="M814">
        <f>IF(AND(MyRowHidden(ROW())=FALSE,MyRowHidden(ROW()-1)=TRUE),0,IF(MONTH(H814)&lt;&gt;MONTH(H813),M813+1,M813))</f>
        <v>2</v>
      </c>
      <c r="N814">
        <f t="shared" si="75"/>
        <v>66430</v>
      </c>
      <c r="O814">
        <f>IF(AND(MyRowHidden(ROW())=FALSE,MyRowHidden(ROW()-1)=TRUE),0,IF(M814&lt;totalMonths,(totalMonths-M814)/totalMonths *(I814-I813)+O813,0))</f>
        <v>61646.666666666672</v>
      </c>
      <c r="P814">
        <f>IF(AND(MyRowHidden(ROW())=FALSE,MyRowHidden(ROW()-1)=TRUE),0,IF(M814&lt;totalMonths,(totalMonths-M814)/totalMonths *(J814-J813)+P813,0))</f>
        <v>249600</v>
      </c>
      <c r="Q814">
        <f>IF(AND(MyRowHidden(ROW())=FALSE,MyRowHidden(ROW()-1)=TRUE),0,IF(M814&lt;totalMonths,(totalMonths-M814)/totalMonths *(K814-K813)+Q813,0))</f>
        <v>-249600</v>
      </c>
      <c r="R814">
        <f t="shared" si="76"/>
        <v>316030</v>
      </c>
      <c r="S814">
        <f t="shared" si="77"/>
        <v>311246.66666666669</v>
      </c>
    </row>
    <row r="815" spans="1:19" x14ac:dyDescent="0.25">
      <c r="A815" s="1"/>
      <c r="C815" s="1"/>
      <c r="D815" s="1">
        <v>42445</v>
      </c>
      <c r="E815">
        <v>33373</v>
      </c>
      <c r="F815" s="1">
        <v>42445</v>
      </c>
      <c r="G815">
        <v>-4112.5</v>
      </c>
      <c r="H815" s="1">
        <f t="shared" si="72"/>
        <v>42445</v>
      </c>
      <c r="I815">
        <f>IF(AND(MyRowHidden(ROW())=FALSE,MyRowHidden(ROW()-1)=TRUE),0,(E815-E814)*unitsOfDHp+I814)</f>
        <v>70105</v>
      </c>
      <c r="J815">
        <f>IF(AND(MyRowHidden(ROW())=FALSE,MyRowHidden(ROW()-1)=TRUE),0,(G815-G814)*unitsOfExo+J814)</f>
        <v>255600</v>
      </c>
      <c r="K815" s="9">
        <f t="shared" si="73"/>
        <v>-255600</v>
      </c>
      <c r="L815">
        <f t="shared" si="74"/>
        <v>325705</v>
      </c>
      <c r="M815">
        <f>IF(AND(MyRowHidden(ROW())=FALSE,MyRowHidden(ROW()-1)=TRUE),0,IF(MONTH(H815)&lt;&gt;MONTH(H814),M814+1,M814))</f>
        <v>2</v>
      </c>
      <c r="N815">
        <f t="shared" si="75"/>
        <v>70105</v>
      </c>
      <c r="O815">
        <f>IF(AND(MyRowHidden(ROW())=FALSE,MyRowHidden(ROW()-1)=TRUE),0,IF(M815&lt;totalMonths,(totalMonths-M815)/totalMonths *(I815-I814)+O814,0))</f>
        <v>64709.166666666672</v>
      </c>
      <c r="P815">
        <f>IF(AND(MyRowHidden(ROW())=FALSE,MyRowHidden(ROW()-1)=TRUE),0,IF(M815&lt;totalMonths,(totalMonths-M815)/totalMonths *(J815-J814)+P814,0))</f>
        <v>237600</v>
      </c>
      <c r="Q815">
        <f>IF(AND(MyRowHidden(ROW())=FALSE,MyRowHidden(ROW()-1)=TRUE),0,IF(M815&lt;totalMonths,(totalMonths-M815)/totalMonths *(K815-K814)+Q814,0))</f>
        <v>-237600</v>
      </c>
      <c r="R815">
        <f t="shared" si="76"/>
        <v>307705</v>
      </c>
      <c r="S815">
        <f t="shared" si="77"/>
        <v>302309.16666666669</v>
      </c>
    </row>
    <row r="816" spans="1:19" x14ac:dyDescent="0.25">
      <c r="A816" s="1"/>
      <c r="C816" s="1"/>
      <c r="D816" s="1">
        <v>42446</v>
      </c>
      <c r="E816">
        <v>33307</v>
      </c>
      <c r="F816" s="1">
        <v>42446</v>
      </c>
      <c r="G816">
        <v>-4087.5</v>
      </c>
      <c r="H816" s="1">
        <f t="shared" si="72"/>
        <v>42446</v>
      </c>
      <c r="I816">
        <f>IF(AND(MyRowHidden(ROW())=FALSE,MyRowHidden(ROW()-1)=TRUE),0,(E816-E815)*unitsOfDHp+I815)</f>
        <v>67795</v>
      </c>
      <c r="J816">
        <f>IF(AND(MyRowHidden(ROW())=FALSE,MyRowHidden(ROW()-1)=TRUE),0,(G816-G815)*unitsOfExo+J815)</f>
        <v>262800</v>
      </c>
      <c r="K816" s="9">
        <f t="shared" si="73"/>
        <v>-262800</v>
      </c>
      <c r="L816">
        <f t="shared" si="74"/>
        <v>330595</v>
      </c>
      <c r="M816">
        <f>IF(AND(MyRowHidden(ROW())=FALSE,MyRowHidden(ROW()-1)=TRUE),0,IF(MONTH(H816)&lt;&gt;MONTH(H815),M815+1,M815))</f>
        <v>2</v>
      </c>
      <c r="N816">
        <f t="shared" si="75"/>
        <v>67795</v>
      </c>
      <c r="O816">
        <f>IF(AND(MyRowHidden(ROW())=FALSE,MyRowHidden(ROW()-1)=TRUE),0,IF(M816&lt;totalMonths,(totalMonths-M816)/totalMonths *(I816-I815)+O815,0))</f>
        <v>62784.166666666672</v>
      </c>
      <c r="P816">
        <f>IF(AND(MyRowHidden(ROW())=FALSE,MyRowHidden(ROW()-1)=TRUE),0,IF(M816&lt;totalMonths,(totalMonths-M816)/totalMonths *(J816-J815)+P815,0))</f>
        <v>243600</v>
      </c>
      <c r="Q816">
        <f>IF(AND(MyRowHidden(ROW())=FALSE,MyRowHidden(ROW()-1)=TRUE),0,IF(M816&lt;totalMonths,(totalMonths-M816)/totalMonths *(K816-K815)+Q815,0))</f>
        <v>-243600</v>
      </c>
      <c r="R816">
        <f t="shared" si="76"/>
        <v>311395</v>
      </c>
      <c r="S816">
        <f t="shared" si="77"/>
        <v>306384.16666666669</v>
      </c>
    </row>
    <row r="817" spans="1:19" x14ac:dyDescent="0.25">
      <c r="A817" s="1"/>
      <c r="C817" s="1"/>
      <c r="D817" s="1">
        <v>42447</v>
      </c>
      <c r="E817">
        <v>33385</v>
      </c>
      <c r="F817" s="1">
        <v>42447</v>
      </c>
      <c r="G817">
        <v>-4162.5</v>
      </c>
      <c r="H817" s="1">
        <f t="shared" si="72"/>
        <v>42447</v>
      </c>
      <c r="I817">
        <f>IF(AND(MyRowHidden(ROW())=FALSE,MyRowHidden(ROW()-1)=TRUE),0,(E817-E816)*unitsOfDHp+I816)</f>
        <v>70525</v>
      </c>
      <c r="J817">
        <f>IF(AND(MyRowHidden(ROW())=FALSE,MyRowHidden(ROW()-1)=TRUE),0,(G817-G816)*unitsOfExo+J816)</f>
        <v>241200</v>
      </c>
      <c r="K817" s="9">
        <f t="shared" si="73"/>
        <v>-241200</v>
      </c>
      <c r="L817">
        <f t="shared" si="74"/>
        <v>311725</v>
      </c>
      <c r="M817">
        <f>IF(AND(MyRowHidden(ROW())=FALSE,MyRowHidden(ROW()-1)=TRUE),0,IF(MONTH(H817)&lt;&gt;MONTH(H816),M816+1,M816))</f>
        <v>2</v>
      </c>
      <c r="N817">
        <f t="shared" si="75"/>
        <v>70525</v>
      </c>
      <c r="O817">
        <f>IF(AND(MyRowHidden(ROW())=FALSE,MyRowHidden(ROW()-1)=TRUE),0,IF(M817&lt;totalMonths,(totalMonths-M817)/totalMonths *(I817-I816)+O816,0))</f>
        <v>65059.166666666672</v>
      </c>
      <c r="P817">
        <f>IF(AND(MyRowHidden(ROW())=FALSE,MyRowHidden(ROW()-1)=TRUE),0,IF(M817&lt;totalMonths,(totalMonths-M817)/totalMonths *(J817-J816)+P816,0))</f>
        <v>225600</v>
      </c>
      <c r="Q817">
        <f>IF(AND(MyRowHidden(ROW())=FALSE,MyRowHidden(ROW()-1)=TRUE),0,IF(M817&lt;totalMonths,(totalMonths-M817)/totalMonths *(K817-K816)+Q816,0))</f>
        <v>-225600</v>
      </c>
      <c r="R817">
        <f t="shared" si="76"/>
        <v>296125</v>
      </c>
      <c r="S817">
        <f t="shared" si="77"/>
        <v>290659.16666666669</v>
      </c>
    </row>
    <row r="818" spans="1:19" x14ac:dyDescent="0.25">
      <c r="A818" s="1"/>
      <c r="C818" s="1"/>
      <c r="D818" s="1">
        <v>42450</v>
      </c>
      <c r="E818">
        <v>33172</v>
      </c>
      <c r="F818" s="1">
        <v>42450</v>
      </c>
      <c r="G818">
        <v>-4025</v>
      </c>
      <c r="H818" s="1">
        <f t="shared" si="72"/>
        <v>42450</v>
      </c>
      <c r="I818">
        <f>IF(AND(MyRowHidden(ROW())=FALSE,MyRowHidden(ROW()-1)=TRUE),0,(E818-E817)*unitsOfDHp+I817)</f>
        <v>63070</v>
      </c>
      <c r="J818">
        <f>IF(AND(MyRowHidden(ROW())=FALSE,MyRowHidden(ROW()-1)=TRUE),0,(G818-G817)*unitsOfExo+J817)</f>
        <v>280800</v>
      </c>
      <c r="K818" s="9">
        <f t="shared" si="73"/>
        <v>-280800</v>
      </c>
      <c r="L818">
        <f t="shared" si="74"/>
        <v>343870</v>
      </c>
      <c r="M818">
        <f>IF(AND(MyRowHidden(ROW())=FALSE,MyRowHidden(ROW()-1)=TRUE),0,IF(MONTH(H818)&lt;&gt;MONTH(H817),M817+1,M817))</f>
        <v>2</v>
      </c>
      <c r="N818">
        <f t="shared" si="75"/>
        <v>63070</v>
      </c>
      <c r="O818">
        <f>IF(AND(MyRowHidden(ROW())=FALSE,MyRowHidden(ROW()-1)=TRUE),0,IF(M818&lt;totalMonths,(totalMonths-M818)/totalMonths *(I818-I817)+O817,0))</f>
        <v>58846.666666666672</v>
      </c>
      <c r="P818">
        <f>IF(AND(MyRowHidden(ROW())=FALSE,MyRowHidden(ROW()-1)=TRUE),0,IF(M818&lt;totalMonths,(totalMonths-M818)/totalMonths *(J818-J817)+P817,0))</f>
        <v>258600</v>
      </c>
      <c r="Q818">
        <f>IF(AND(MyRowHidden(ROW())=FALSE,MyRowHidden(ROW()-1)=TRUE),0,IF(M818&lt;totalMonths,(totalMonths-M818)/totalMonths *(K818-K817)+Q817,0))</f>
        <v>-258600</v>
      </c>
      <c r="R818">
        <f t="shared" si="76"/>
        <v>321670</v>
      </c>
      <c r="S818">
        <f t="shared" si="77"/>
        <v>317446.66666666669</v>
      </c>
    </row>
    <row r="819" spans="1:19" x14ac:dyDescent="0.25">
      <c r="A819" s="1"/>
      <c r="C819" s="1"/>
      <c r="D819" s="1">
        <v>42451</v>
      </c>
      <c r="E819">
        <v>33154</v>
      </c>
      <c r="F819" s="1">
        <v>42451</v>
      </c>
      <c r="G819">
        <v>-4012.5</v>
      </c>
      <c r="H819" s="1">
        <f t="shared" si="72"/>
        <v>42451</v>
      </c>
      <c r="I819">
        <f>IF(AND(MyRowHidden(ROW())=FALSE,MyRowHidden(ROW()-1)=TRUE),0,(E819-E818)*unitsOfDHp+I818)</f>
        <v>62440</v>
      </c>
      <c r="J819">
        <f>IF(AND(MyRowHidden(ROW())=FALSE,MyRowHidden(ROW()-1)=TRUE),0,(G819-G818)*unitsOfExo+J818)</f>
        <v>284400</v>
      </c>
      <c r="K819" s="9">
        <f t="shared" si="73"/>
        <v>-284400</v>
      </c>
      <c r="L819">
        <f t="shared" si="74"/>
        <v>346840</v>
      </c>
      <c r="M819">
        <f>IF(AND(MyRowHidden(ROW())=FALSE,MyRowHidden(ROW()-1)=TRUE),0,IF(MONTH(H819)&lt;&gt;MONTH(H818),M818+1,M818))</f>
        <v>2</v>
      </c>
      <c r="N819">
        <f t="shared" si="75"/>
        <v>62440</v>
      </c>
      <c r="O819">
        <f>IF(AND(MyRowHidden(ROW())=FALSE,MyRowHidden(ROW()-1)=TRUE),0,IF(M819&lt;totalMonths,(totalMonths-M819)/totalMonths *(I819-I818)+O818,0))</f>
        <v>58321.666666666672</v>
      </c>
      <c r="P819">
        <f>IF(AND(MyRowHidden(ROW())=FALSE,MyRowHidden(ROW()-1)=TRUE),0,IF(M819&lt;totalMonths,(totalMonths-M819)/totalMonths *(J819-J818)+P818,0))</f>
        <v>261600</v>
      </c>
      <c r="Q819">
        <f>IF(AND(MyRowHidden(ROW())=FALSE,MyRowHidden(ROW()-1)=TRUE),0,IF(M819&lt;totalMonths,(totalMonths-M819)/totalMonths *(K819-K818)+Q818,0))</f>
        <v>-261600</v>
      </c>
      <c r="R819">
        <f t="shared" si="76"/>
        <v>324040</v>
      </c>
      <c r="S819">
        <f t="shared" si="77"/>
        <v>319921.66666666669</v>
      </c>
    </row>
    <row r="820" spans="1:19" x14ac:dyDescent="0.25">
      <c r="A820" s="1"/>
      <c r="C820" s="1"/>
      <c r="D820" s="1">
        <v>42452</v>
      </c>
      <c r="E820">
        <v>33164</v>
      </c>
      <c r="F820" s="1">
        <v>42452</v>
      </c>
      <c r="G820">
        <v>-4087.5</v>
      </c>
      <c r="H820" s="1">
        <f t="shared" si="72"/>
        <v>42452</v>
      </c>
      <c r="I820">
        <f>IF(AND(MyRowHidden(ROW())=FALSE,MyRowHidden(ROW()-1)=TRUE),0,(E820-E819)*unitsOfDHp+I819)</f>
        <v>62790</v>
      </c>
      <c r="J820">
        <f>IF(AND(MyRowHidden(ROW())=FALSE,MyRowHidden(ROW()-1)=TRUE),0,(G820-G819)*unitsOfExo+J819)</f>
        <v>262800</v>
      </c>
      <c r="K820" s="9">
        <f t="shared" si="73"/>
        <v>-262800</v>
      </c>
      <c r="L820">
        <f t="shared" si="74"/>
        <v>325590</v>
      </c>
      <c r="M820">
        <f>IF(AND(MyRowHidden(ROW())=FALSE,MyRowHidden(ROW()-1)=TRUE),0,IF(MONTH(H820)&lt;&gt;MONTH(H819),M819+1,M819))</f>
        <v>2</v>
      </c>
      <c r="N820">
        <f t="shared" si="75"/>
        <v>62790</v>
      </c>
      <c r="O820">
        <f>IF(AND(MyRowHidden(ROW())=FALSE,MyRowHidden(ROW()-1)=TRUE),0,IF(M820&lt;totalMonths,(totalMonths-M820)/totalMonths *(I820-I819)+O819,0))</f>
        <v>58613.333333333336</v>
      </c>
      <c r="P820">
        <f>IF(AND(MyRowHidden(ROW())=FALSE,MyRowHidden(ROW()-1)=TRUE),0,IF(M820&lt;totalMonths,(totalMonths-M820)/totalMonths *(J820-J819)+P819,0))</f>
        <v>243600</v>
      </c>
      <c r="Q820">
        <f>IF(AND(MyRowHidden(ROW())=FALSE,MyRowHidden(ROW()-1)=TRUE),0,IF(M820&lt;totalMonths,(totalMonths-M820)/totalMonths *(K820-K819)+Q819,0))</f>
        <v>-243600</v>
      </c>
      <c r="R820">
        <f t="shared" si="76"/>
        <v>306390</v>
      </c>
      <c r="S820">
        <f t="shared" si="77"/>
        <v>302213.33333333331</v>
      </c>
    </row>
    <row r="821" spans="1:19" x14ac:dyDescent="0.25">
      <c r="A821" s="1"/>
      <c r="C821" s="1"/>
      <c r="D821" s="1">
        <v>42453</v>
      </c>
      <c r="E821">
        <v>33112</v>
      </c>
      <c r="F821" s="1">
        <v>42453</v>
      </c>
      <c r="G821">
        <v>-4012.5</v>
      </c>
      <c r="H821" s="1">
        <f t="shared" si="72"/>
        <v>42453</v>
      </c>
      <c r="I821">
        <f>IF(AND(MyRowHidden(ROW())=FALSE,MyRowHidden(ROW()-1)=TRUE),0,(E821-E820)*unitsOfDHp+I820)</f>
        <v>60970</v>
      </c>
      <c r="J821">
        <f>IF(AND(MyRowHidden(ROW())=FALSE,MyRowHidden(ROW()-1)=TRUE),0,(G821-G820)*unitsOfExo+J820)</f>
        <v>284400</v>
      </c>
      <c r="K821" s="9">
        <f t="shared" si="73"/>
        <v>-284400</v>
      </c>
      <c r="L821">
        <f t="shared" si="74"/>
        <v>345370</v>
      </c>
      <c r="M821">
        <f>IF(AND(MyRowHidden(ROW())=FALSE,MyRowHidden(ROW()-1)=TRUE),0,IF(MONTH(H821)&lt;&gt;MONTH(H820),M820+1,M820))</f>
        <v>2</v>
      </c>
      <c r="N821">
        <f t="shared" si="75"/>
        <v>60970</v>
      </c>
      <c r="O821">
        <f>IF(AND(MyRowHidden(ROW())=FALSE,MyRowHidden(ROW()-1)=TRUE),0,IF(M821&lt;totalMonths,(totalMonths-M821)/totalMonths *(I821-I820)+O820,0))</f>
        <v>57096.666666666672</v>
      </c>
      <c r="P821">
        <f>IF(AND(MyRowHidden(ROW())=FALSE,MyRowHidden(ROW()-1)=TRUE),0,IF(M821&lt;totalMonths,(totalMonths-M821)/totalMonths *(J821-J820)+P820,0))</f>
        <v>261600</v>
      </c>
      <c r="Q821">
        <f>IF(AND(MyRowHidden(ROW())=FALSE,MyRowHidden(ROW()-1)=TRUE),0,IF(M821&lt;totalMonths,(totalMonths-M821)/totalMonths *(K821-K820)+Q820,0))</f>
        <v>-261600</v>
      </c>
      <c r="R821">
        <f t="shared" si="76"/>
        <v>322570</v>
      </c>
      <c r="S821">
        <f t="shared" si="77"/>
        <v>318696.66666666669</v>
      </c>
    </row>
    <row r="822" spans="1:19" x14ac:dyDescent="0.25">
      <c r="A822" s="1"/>
      <c r="C822" s="1"/>
      <c r="D822" s="1">
        <v>42454</v>
      </c>
      <c r="E822">
        <v>33100</v>
      </c>
      <c r="F822" s="1">
        <v>42454</v>
      </c>
      <c r="G822">
        <v>-4000</v>
      </c>
      <c r="H822" s="1">
        <f t="shared" si="72"/>
        <v>42454</v>
      </c>
      <c r="I822">
        <f>IF(AND(MyRowHidden(ROW())=FALSE,MyRowHidden(ROW()-1)=TRUE),0,(E822-E821)*unitsOfDHp+I821)</f>
        <v>60550</v>
      </c>
      <c r="J822">
        <f>IF(AND(MyRowHidden(ROW())=FALSE,MyRowHidden(ROW()-1)=TRUE),0,(G822-G821)*unitsOfExo+J821)</f>
        <v>288000</v>
      </c>
      <c r="K822" s="9">
        <f t="shared" si="73"/>
        <v>-288000</v>
      </c>
      <c r="L822">
        <f t="shared" si="74"/>
        <v>348550</v>
      </c>
      <c r="M822">
        <f>IF(AND(MyRowHidden(ROW())=FALSE,MyRowHidden(ROW()-1)=TRUE),0,IF(MONTH(H822)&lt;&gt;MONTH(H821),M821+1,M821))</f>
        <v>2</v>
      </c>
      <c r="N822">
        <f t="shared" si="75"/>
        <v>60550</v>
      </c>
      <c r="O822">
        <f>IF(AND(MyRowHidden(ROW())=FALSE,MyRowHidden(ROW()-1)=TRUE),0,IF(M822&lt;totalMonths,(totalMonths-M822)/totalMonths *(I822-I821)+O821,0))</f>
        <v>56746.666666666672</v>
      </c>
      <c r="P822">
        <f>IF(AND(MyRowHidden(ROW())=FALSE,MyRowHidden(ROW()-1)=TRUE),0,IF(M822&lt;totalMonths,(totalMonths-M822)/totalMonths *(J822-J821)+P821,0))</f>
        <v>264600</v>
      </c>
      <c r="Q822">
        <f>IF(AND(MyRowHidden(ROW())=FALSE,MyRowHidden(ROW()-1)=TRUE),0,IF(M822&lt;totalMonths,(totalMonths-M822)/totalMonths *(K822-K821)+Q821,0))</f>
        <v>-264600</v>
      </c>
      <c r="R822">
        <f t="shared" si="76"/>
        <v>325150</v>
      </c>
      <c r="S822">
        <f t="shared" si="77"/>
        <v>321346.66666666669</v>
      </c>
    </row>
    <row r="823" spans="1:19" x14ac:dyDescent="0.25">
      <c r="A823" s="1"/>
      <c r="C823" s="1"/>
      <c r="D823" s="1">
        <v>42457</v>
      </c>
      <c r="E823">
        <v>33032</v>
      </c>
      <c r="F823" s="1">
        <v>42457</v>
      </c>
      <c r="G823">
        <v>-3925</v>
      </c>
      <c r="H823" s="1">
        <f t="shared" si="72"/>
        <v>42457</v>
      </c>
      <c r="I823">
        <f>IF(AND(MyRowHidden(ROW())=FALSE,MyRowHidden(ROW()-1)=TRUE),0,(E823-E822)*unitsOfDHp+I822)</f>
        <v>58170</v>
      </c>
      <c r="J823">
        <f>IF(AND(MyRowHidden(ROW())=FALSE,MyRowHidden(ROW()-1)=TRUE),0,(G823-G822)*unitsOfExo+J822)</f>
        <v>309600</v>
      </c>
      <c r="K823" s="9">
        <f t="shared" si="73"/>
        <v>-309600</v>
      </c>
      <c r="L823">
        <f t="shared" si="74"/>
        <v>367770</v>
      </c>
      <c r="M823">
        <f>IF(AND(MyRowHidden(ROW())=FALSE,MyRowHidden(ROW()-1)=TRUE),0,IF(MONTH(H823)&lt;&gt;MONTH(H822),M822+1,M822))</f>
        <v>2</v>
      </c>
      <c r="N823">
        <f t="shared" si="75"/>
        <v>58170</v>
      </c>
      <c r="O823">
        <f>IF(AND(MyRowHidden(ROW())=FALSE,MyRowHidden(ROW()-1)=TRUE),0,IF(M823&lt;totalMonths,(totalMonths-M823)/totalMonths *(I823-I822)+O822,0))</f>
        <v>54763.333333333336</v>
      </c>
      <c r="P823">
        <f>IF(AND(MyRowHidden(ROW())=FALSE,MyRowHidden(ROW()-1)=TRUE),0,IF(M823&lt;totalMonths,(totalMonths-M823)/totalMonths *(J823-J822)+P822,0))</f>
        <v>282600</v>
      </c>
      <c r="Q823">
        <f>IF(AND(MyRowHidden(ROW())=FALSE,MyRowHidden(ROW()-1)=TRUE),0,IF(M823&lt;totalMonths,(totalMonths-M823)/totalMonths *(K823-K822)+Q822,0))</f>
        <v>-282600</v>
      </c>
      <c r="R823">
        <f t="shared" si="76"/>
        <v>340770</v>
      </c>
      <c r="S823">
        <f t="shared" si="77"/>
        <v>337363.33333333331</v>
      </c>
    </row>
    <row r="824" spans="1:19" x14ac:dyDescent="0.25">
      <c r="A824" s="1"/>
      <c r="C824" s="1"/>
      <c r="D824" s="1">
        <v>42458</v>
      </c>
      <c r="E824">
        <v>32981</v>
      </c>
      <c r="F824" s="1">
        <v>42458</v>
      </c>
      <c r="G824">
        <v>-3887.5</v>
      </c>
      <c r="H824" s="1">
        <f t="shared" si="72"/>
        <v>42458</v>
      </c>
      <c r="I824">
        <f>IF(AND(MyRowHidden(ROW())=FALSE,MyRowHidden(ROW()-1)=TRUE),0,(E824-E823)*unitsOfDHp+I823)</f>
        <v>56385</v>
      </c>
      <c r="J824">
        <f>IF(AND(MyRowHidden(ROW())=FALSE,MyRowHidden(ROW()-1)=TRUE),0,(G824-G823)*unitsOfExo+J823)</f>
        <v>320400</v>
      </c>
      <c r="K824" s="9">
        <f t="shared" si="73"/>
        <v>-320400</v>
      </c>
      <c r="L824">
        <f t="shared" si="74"/>
        <v>376785</v>
      </c>
      <c r="M824">
        <f>IF(AND(MyRowHidden(ROW())=FALSE,MyRowHidden(ROW()-1)=TRUE),0,IF(MONTH(H824)&lt;&gt;MONTH(H823),M823+1,M823))</f>
        <v>2</v>
      </c>
      <c r="N824">
        <f t="shared" si="75"/>
        <v>56385</v>
      </c>
      <c r="O824">
        <f>IF(AND(MyRowHidden(ROW())=FALSE,MyRowHidden(ROW()-1)=TRUE),0,IF(M824&lt;totalMonths,(totalMonths-M824)/totalMonths *(I824-I823)+O823,0))</f>
        <v>53275.833333333336</v>
      </c>
      <c r="P824">
        <f>IF(AND(MyRowHidden(ROW())=FALSE,MyRowHidden(ROW()-1)=TRUE),0,IF(M824&lt;totalMonths,(totalMonths-M824)/totalMonths *(J824-J823)+P823,0))</f>
        <v>291600</v>
      </c>
      <c r="Q824">
        <f>IF(AND(MyRowHidden(ROW())=FALSE,MyRowHidden(ROW()-1)=TRUE),0,IF(M824&lt;totalMonths,(totalMonths-M824)/totalMonths *(K824-K823)+Q823,0))</f>
        <v>-291600</v>
      </c>
      <c r="R824">
        <f t="shared" si="76"/>
        <v>347985</v>
      </c>
      <c r="S824">
        <f t="shared" si="77"/>
        <v>344875.83333333331</v>
      </c>
    </row>
    <row r="825" spans="1:19" x14ac:dyDescent="0.25">
      <c r="A825" s="1"/>
      <c r="C825" s="1"/>
      <c r="D825" s="1">
        <v>42459</v>
      </c>
      <c r="E825">
        <v>33173</v>
      </c>
      <c r="F825" s="1">
        <v>42459</v>
      </c>
      <c r="G825">
        <v>-4025</v>
      </c>
      <c r="H825" s="1">
        <f t="shared" si="72"/>
        <v>42459</v>
      </c>
      <c r="I825">
        <f>IF(AND(MyRowHidden(ROW())=FALSE,MyRowHidden(ROW()-1)=TRUE),0,(E825-E824)*unitsOfDHp+I824)</f>
        <v>63105</v>
      </c>
      <c r="J825">
        <f>IF(AND(MyRowHidden(ROW())=FALSE,MyRowHidden(ROW()-1)=TRUE),0,(G825-G824)*unitsOfExo+J824)</f>
        <v>280800</v>
      </c>
      <c r="K825" s="9">
        <f t="shared" si="73"/>
        <v>-280800</v>
      </c>
      <c r="L825">
        <f t="shared" si="74"/>
        <v>343905</v>
      </c>
      <c r="M825">
        <f>IF(AND(MyRowHidden(ROW())=FALSE,MyRowHidden(ROW()-1)=TRUE),0,IF(MONTH(H825)&lt;&gt;MONTH(H824),M824+1,M824))</f>
        <v>2</v>
      </c>
      <c r="N825">
        <f t="shared" si="75"/>
        <v>63105</v>
      </c>
      <c r="O825">
        <f>IF(AND(MyRowHidden(ROW())=FALSE,MyRowHidden(ROW()-1)=TRUE),0,IF(M825&lt;totalMonths,(totalMonths-M825)/totalMonths *(I825-I824)+O824,0))</f>
        <v>58875.833333333336</v>
      </c>
      <c r="P825">
        <f>IF(AND(MyRowHidden(ROW())=FALSE,MyRowHidden(ROW()-1)=TRUE),0,IF(M825&lt;totalMonths,(totalMonths-M825)/totalMonths *(J825-J824)+P824,0))</f>
        <v>258600</v>
      </c>
      <c r="Q825">
        <f>IF(AND(MyRowHidden(ROW())=FALSE,MyRowHidden(ROW()-1)=TRUE),0,IF(M825&lt;totalMonths,(totalMonths-M825)/totalMonths *(K825-K824)+Q824,0))</f>
        <v>-258600</v>
      </c>
      <c r="R825">
        <f t="shared" si="76"/>
        <v>321705</v>
      </c>
      <c r="S825">
        <f t="shared" si="77"/>
        <v>317475.83333333331</v>
      </c>
    </row>
    <row r="826" spans="1:19" x14ac:dyDescent="0.25">
      <c r="A826" s="1"/>
      <c r="C826" s="1"/>
      <c r="D826" s="1">
        <v>42460</v>
      </c>
      <c r="E826">
        <v>34665</v>
      </c>
      <c r="F826" s="1">
        <v>42460</v>
      </c>
      <c r="G826">
        <v>-5075</v>
      </c>
      <c r="H826" s="1">
        <f t="shared" si="72"/>
        <v>42460</v>
      </c>
      <c r="I826">
        <f>IF(AND(MyRowHidden(ROW())=FALSE,MyRowHidden(ROW()-1)=TRUE),0,(E826-E825)*unitsOfDHp+I825)</f>
        <v>115325</v>
      </c>
      <c r="J826">
        <f>IF(AND(MyRowHidden(ROW())=FALSE,MyRowHidden(ROW()-1)=TRUE),0,(G826-G825)*unitsOfExo+J825)</f>
        <v>-21600</v>
      </c>
      <c r="K826" s="9">
        <f t="shared" si="73"/>
        <v>21600</v>
      </c>
      <c r="L826">
        <f t="shared" si="74"/>
        <v>93725</v>
      </c>
      <c r="M826">
        <f>IF(AND(MyRowHidden(ROW())=FALSE,MyRowHidden(ROW()-1)=TRUE),0,IF(MONTH(H826)&lt;&gt;MONTH(H825),M825+1,M825))</f>
        <v>2</v>
      </c>
      <c r="N826">
        <f t="shared" si="75"/>
        <v>115325</v>
      </c>
      <c r="O826">
        <f>IF(AND(MyRowHidden(ROW())=FALSE,MyRowHidden(ROW()-1)=TRUE),0,IF(M826&lt;totalMonths,(totalMonths-M826)/totalMonths *(I826-I825)+O825,0))</f>
        <v>102392.5</v>
      </c>
      <c r="P826">
        <f>IF(AND(MyRowHidden(ROW())=FALSE,MyRowHidden(ROW()-1)=TRUE),0,IF(M826&lt;totalMonths,(totalMonths-M826)/totalMonths *(J826-J825)+P825,0))</f>
        <v>6600</v>
      </c>
      <c r="Q826">
        <f>IF(AND(MyRowHidden(ROW())=FALSE,MyRowHidden(ROW()-1)=TRUE),0,IF(M826&lt;totalMonths,(totalMonths-M826)/totalMonths *(K826-K825)+Q825,0))</f>
        <v>-6600</v>
      </c>
      <c r="R826">
        <f t="shared" si="76"/>
        <v>121925</v>
      </c>
      <c r="S826">
        <f t="shared" si="77"/>
        <v>108992.5</v>
      </c>
    </row>
    <row r="827" spans="1:19" x14ac:dyDescent="0.25">
      <c r="A827" s="1"/>
      <c r="C827" s="1"/>
      <c r="D827" s="1">
        <v>42461</v>
      </c>
      <c r="E827">
        <v>34671</v>
      </c>
      <c r="F827" s="1">
        <v>42461</v>
      </c>
      <c r="G827">
        <v>-4925</v>
      </c>
      <c r="H827" s="1">
        <f t="shared" si="72"/>
        <v>42461</v>
      </c>
      <c r="I827">
        <f>IF(AND(MyRowHidden(ROW())=FALSE,MyRowHidden(ROW()-1)=TRUE),0,(E827-E826)*unitsOfDHp+I826)</f>
        <v>115535</v>
      </c>
      <c r="J827">
        <f>IF(AND(MyRowHidden(ROW())=FALSE,MyRowHidden(ROW()-1)=TRUE),0,(G827-G826)*unitsOfExo+J826)</f>
        <v>21600</v>
      </c>
      <c r="K827" s="9">
        <f t="shared" si="73"/>
        <v>-21600</v>
      </c>
      <c r="L827">
        <f t="shared" si="74"/>
        <v>137135</v>
      </c>
      <c r="M827">
        <f>IF(AND(MyRowHidden(ROW())=FALSE,MyRowHidden(ROW()-1)=TRUE),0,IF(MONTH(H827)&lt;&gt;MONTH(H826),M826+1,M826))</f>
        <v>3</v>
      </c>
      <c r="N827">
        <f t="shared" si="75"/>
        <v>115535</v>
      </c>
      <c r="O827">
        <f>IF(AND(MyRowHidden(ROW())=FALSE,MyRowHidden(ROW()-1)=TRUE),0,IF(M827&lt;totalMonths,(totalMonths-M827)/totalMonths *(I827-I826)+O826,0))</f>
        <v>102550</v>
      </c>
      <c r="P827">
        <f>IF(AND(MyRowHidden(ROW())=FALSE,MyRowHidden(ROW()-1)=TRUE),0,IF(M827&lt;totalMonths,(totalMonths-M827)/totalMonths *(J827-J826)+P826,0))</f>
        <v>39000</v>
      </c>
      <c r="Q827">
        <f>IF(AND(MyRowHidden(ROW())=FALSE,MyRowHidden(ROW()-1)=TRUE),0,IF(M827&lt;totalMonths,(totalMonths-M827)/totalMonths *(K827-K826)+Q826,0))</f>
        <v>-39000</v>
      </c>
      <c r="R827">
        <f t="shared" si="76"/>
        <v>154535</v>
      </c>
      <c r="S827">
        <f t="shared" si="77"/>
        <v>141550</v>
      </c>
    </row>
    <row r="828" spans="1:19" x14ac:dyDescent="0.25">
      <c r="A828" s="1"/>
      <c r="C828" s="1"/>
      <c r="D828" s="1">
        <v>42464</v>
      </c>
      <c r="E828">
        <v>34684</v>
      </c>
      <c r="F828" s="1">
        <v>42464</v>
      </c>
      <c r="G828">
        <v>-4762.5</v>
      </c>
      <c r="H828" s="1">
        <f t="shared" si="72"/>
        <v>42464</v>
      </c>
      <c r="I828">
        <f>IF(AND(MyRowHidden(ROW())=FALSE,MyRowHidden(ROW()-1)=TRUE),0,(E828-E827)*unitsOfDHp+I827)</f>
        <v>115990</v>
      </c>
      <c r="J828">
        <f>IF(AND(MyRowHidden(ROW())=FALSE,MyRowHidden(ROW()-1)=TRUE),0,(G828-G827)*unitsOfExo+J827)</f>
        <v>68400</v>
      </c>
      <c r="K828" s="9">
        <f t="shared" si="73"/>
        <v>-68400</v>
      </c>
      <c r="L828">
        <f t="shared" si="74"/>
        <v>184390</v>
      </c>
      <c r="M828">
        <f>IF(AND(MyRowHidden(ROW())=FALSE,MyRowHidden(ROW()-1)=TRUE),0,IF(MONTH(H828)&lt;&gt;MONTH(H827),M827+1,M827))</f>
        <v>3</v>
      </c>
      <c r="N828">
        <f t="shared" si="75"/>
        <v>115990</v>
      </c>
      <c r="O828">
        <f>IF(AND(MyRowHidden(ROW())=FALSE,MyRowHidden(ROW()-1)=TRUE),0,IF(M828&lt;totalMonths,(totalMonths-M828)/totalMonths *(I828-I827)+O827,0))</f>
        <v>102891.25</v>
      </c>
      <c r="P828">
        <f>IF(AND(MyRowHidden(ROW())=FALSE,MyRowHidden(ROW()-1)=TRUE),0,IF(M828&lt;totalMonths,(totalMonths-M828)/totalMonths *(J828-J827)+P827,0))</f>
        <v>74100</v>
      </c>
      <c r="Q828">
        <f>IF(AND(MyRowHidden(ROW())=FALSE,MyRowHidden(ROW()-1)=TRUE),0,IF(M828&lt;totalMonths,(totalMonths-M828)/totalMonths *(K828-K827)+Q827,0))</f>
        <v>-74100</v>
      </c>
      <c r="R828">
        <f t="shared" si="76"/>
        <v>190090</v>
      </c>
      <c r="S828">
        <f t="shared" si="77"/>
        <v>176991.25</v>
      </c>
    </row>
    <row r="829" spans="1:19" x14ac:dyDescent="0.25">
      <c r="A829" s="1"/>
      <c r="C829" s="1"/>
      <c r="D829" s="1">
        <v>42465</v>
      </c>
      <c r="E829">
        <v>34679</v>
      </c>
      <c r="F829" s="1">
        <v>42465</v>
      </c>
      <c r="G829">
        <v>-4712.5</v>
      </c>
      <c r="H829" s="1">
        <f t="shared" si="72"/>
        <v>42465</v>
      </c>
      <c r="I829">
        <f>IF(AND(MyRowHidden(ROW())=FALSE,MyRowHidden(ROW()-1)=TRUE),0,(E829-E828)*unitsOfDHp+I828)</f>
        <v>115815</v>
      </c>
      <c r="J829">
        <f>IF(AND(MyRowHidden(ROW())=FALSE,MyRowHidden(ROW()-1)=TRUE),0,(G829-G828)*unitsOfExo+J828)</f>
        <v>82800</v>
      </c>
      <c r="K829" s="9">
        <f t="shared" si="73"/>
        <v>-82800</v>
      </c>
      <c r="L829">
        <f t="shared" si="74"/>
        <v>198615</v>
      </c>
      <c r="M829">
        <f>IF(AND(MyRowHidden(ROW())=FALSE,MyRowHidden(ROW()-1)=TRUE),0,IF(MONTH(H829)&lt;&gt;MONTH(H828),M828+1,M828))</f>
        <v>3</v>
      </c>
      <c r="N829">
        <f t="shared" si="75"/>
        <v>115815</v>
      </c>
      <c r="O829">
        <f>IF(AND(MyRowHidden(ROW())=FALSE,MyRowHidden(ROW()-1)=TRUE),0,IF(M829&lt;totalMonths,(totalMonths-M829)/totalMonths *(I829-I828)+O828,0))</f>
        <v>102760</v>
      </c>
      <c r="P829">
        <f>IF(AND(MyRowHidden(ROW())=FALSE,MyRowHidden(ROW()-1)=TRUE),0,IF(M829&lt;totalMonths,(totalMonths-M829)/totalMonths *(J829-J828)+P828,0))</f>
        <v>84900</v>
      </c>
      <c r="Q829">
        <f>IF(AND(MyRowHidden(ROW())=FALSE,MyRowHidden(ROW()-1)=TRUE),0,IF(M829&lt;totalMonths,(totalMonths-M829)/totalMonths *(K829-K828)+Q828,0))</f>
        <v>-84900</v>
      </c>
      <c r="R829">
        <f t="shared" si="76"/>
        <v>200715</v>
      </c>
      <c r="S829">
        <f t="shared" si="77"/>
        <v>187660</v>
      </c>
    </row>
    <row r="830" spans="1:19" x14ac:dyDescent="0.25">
      <c r="A830" s="1"/>
      <c r="C830" s="1"/>
      <c r="D830" s="1">
        <v>42466</v>
      </c>
      <c r="E830">
        <v>34856</v>
      </c>
      <c r="F830" s="1">
        <v>42466</v>
      </c>
      <c r="G830">
        <v>-4587.5</v>
      </c>
      <c r="H830" s="1">
        <f t="shared" si="72"/>
        <v>42466</v>
      </c>
      <c r="I830">
        <f>IF(AND(MyRowHidden(ROW())=FALSE,MyRowHidden(ROW()-1)=TRUE),0,(E830-E829)*unitsOfDHp+I829)</f>
        <v>122010</v>
      </c>
      <c r="J830">
        <f>IF(AND(MyRowHidden(ROW())=FALSE,MyRowHidden(ROW()-1)=TRUE),0,(G830-G829)*unitsOfExo+J829)</f>
        <v>118800</v>
      </c>
      <c r="K830" s="9">
        <f t="shared" si="73"/>
        <v>-118800</v>
      </c>
      <c r="L830">
        <f t="shared" si="74"/>
        <v>240810</v>
      </c>
      <c r="M830">
        <f>IF(AND(MyRowHidden(ROW())=FALSE,MyRowHidden(ROW()-1)=TRUE),0,IF(MONTH(H830)&lt;&gt;MONTH(H829),M829+1,M829))</f>
        <v>3</v>
      </c>
      <c r="N830">
        <f t="shared" si="75"/>
        <v>122010</v>
      </c>
      <c r="O830">
        <f>IF(AND(MyRowHidden(ROW())=FALSE,MyRowHidden(ROW()-1)=TRUE),0,IF(M830&lt;totalMonths,(totalMonths-M830)/totalMonths *(I830-I829)+O829,0))</f>
        <v>107406.25</v>
      </c>
      <c r="P830">
        <f>IF(AND(MyRowHidden(ROW())=FALSE,MyRowHidden(ROW()-1)=TRUE),0,IF(M830&lt;totalMonths,(totalMonths-M830)/totalMonths *(J830-J829)+P829,0))</f>
        <v>111900</v>
      </c>
      <c r="Q830">
        <f>IF(AND(MyRowHidden(ROW())=FALSE,MyRowHidden(ROW()-1)=TRUE),0,IF(M830&lt;totalMonths,(totalMonths-M830)/totalMonths *(K830-K829)+Q829,0))</f>
        <v>-111900</v>
      </c>
      <c r="R830">
        <f t="shared" si="76"/>
        <v>233910</v>
      </c>
      <c r="S830">
        <f t="shared" si="77"/>
        <v>219306.25</v>
      </c>
    </row>
    <row r="831" spans="1:19" x14ac:dyDescent="0.25">
      <c r="A831" s="1"/>
      <c r="C831" s="1"/>
      <c r="D831" s="1">
        <v>42467</v>
      </c>
      <c r="E831">
        <v>35068</v>
      </c>
      <c r="F831" s="1">
        <v>42467</v>
      </c>
      <c r="G831">
        <v>-4425</v>
      </c>
      <c r="H831" s="1">
        <f t="shared" si="72"/>
        <v>42467</v>
      </c>
      <c r="I831">
        <f>IF(AND(MyRowHidden(ROW())=FALSE,MyRowHidden(ROW()-1)=TRUE),0,(E831-E830)*unitsOfDHp+I830)</f>
        <v>129430</v>
      </c>
      <c r="J831">
        <f>IF(AND(MyRowHidden(ROW())=FALSE,MyRowHidden(ROW()-1)=TRUE),0,(G831-G830)*unitsOfExo+J830)</f>
        <v>165600</v>
      </c>
      <c r="K831" s="9">
        <f t="shared" si="73"/>
        <v>-165600</v>
      </c>
      <c r="L831">
        <f t="shared" si="74"/>
        <v>295030</v>
      </c>
      <c r="M831">
        <f>IF(AND(MyRowHidden(ROW())=FALSE,MyRowHidden(ROW()-1)=TRUE),0,IF(MONTH(H831)&lt;&gt;MONTH(H830),M830+1,M830))</f>
        <v>3</v>
      </c>
      <c r="N831">
        <f t="shared" si="75"/>
        <v>129430</v>
      </c>
      <c r="O831">
        <f>IF(AND(MyRowHidden(ROW())=FALSE,MyRowHidden(ROW()-1)=TRUE),0,IF(M831&lt;totalMonths,(totalMonths-M831)/totalMonths *(I831-I830)+O830,0))</f>
        <v>112971.25</v>
      </c>
      <c r="P831">
        <f>IF(AND(MyRowHidden(ROW())=FALSE,MyRowHidden(ROW()-1)=TRUE),0,IF(M831&lt;totalMonths,(totalMonths-M831)/totalMonths *(J831-J830)+P830,0))</f>
        <v>147000</v>
      </c>
      <c r="Q831">
        <f>IF(AND(MyRowHidden(ROW())=FALSE,MyRowHidden(ROW()-1)=TRUE),0,IF(M831&lt;totalMonths,(totalMonths-M831)/totalMonths *(K831-K830)+Q830,0))</f>
        <v>-147000</v>
      </c>
      <c r="R831">
        <f t="shared" si="76"/>
        <v>276430</v>
      </c>
      <c r="S831">
        <f t="shared" si="77"/>
        <v>259971.25</v>
      </c>
    </row>
    <row r="832" spans="1:19" x14ac:dyDescent="0.25">
      <c r="A832" s="1"/>
      <c r="C832" s="1"/>
      <c r="D832" s="1">
        <v>42468</v>
      </c>
      <c r="E832">
        <v>35134</v>
      </c>
      <c r="F832" s="1">
        <v>42468</v>
      </c>
      <c r="G832">
        <v>-4400</v>
      </c>
      <c r="H832" s="1">
        <f t="shared" si="72"/>
        <v>42468</v>
      </c>
      <c r="I832">
        <f>IF(AND(MyRowHidden(ROW())=FALSE,MyRowHidden(ROW()-1)=TRUE),0,(E832-E831)*unitsOfDHp+I831)</f>
        <v>131740</v>
      </c>
      <c r="J832">
        <f>IF(AND(MyRowHidden(ROW())=FALSE,MyRowHidden(ROW()-1)=TRUE),0,(G832-G831)*unitsOfExo+J831)</f>
        <v>172800</v>
      </c>
      <c r="K832" s="9">
        <f t="shared" si="73"/>
        <v>-172800</v>
      </c>
      <c r="L832">
        <f t="shared" si="74"/>
        <v>304540</v>
      </c>
      <c r="M832">
        <f>IF(AND(MyRowHidden(ROW())=FALSE,MyRowHidden(ROW()-1)=TRUE),0,IF(MONTH(H832)&lt;&gt;MONTH(H831),M831+1,M831))</f>
        <v>3</v>
      </c>
      <c r="N832">
        <f t="shared" si="75"/>
        <v>131740</v>
      </c>
      <c r="O832">
        <f>IF(AND(MyRowHidden(ROW())=FALSE,MyRowHidden(ROW()-1)=TRUE),0,IF(M832&lt;totalMonths,(totalMonths-M832)/totalMonths *(I832-I831)+O831,0))</f>
        <v>114703.75</v>
      </c>
      <c r="P832">
        <f>IF(AND(MyRowHidden(ROW())=FALSE,MyRowHidden(ROW()-1)=TRUE),0,IF(M832&lt;totalMonths,(totalMonths-M832)/totalMonths *(J832-J831)+P831,0))</f>
        <v>152400</v>
      </c>
      <c r="Q832">
        <f>IF(AND(MyRowHidden(ROW())=FALSE,MyRowHidden(ROW()-1)=TRUE),0,IF(M832&lt;totalMonths,(totalMonths-M832)/totalMonths *(K832-K831)+Q831,0))</f>
        <v>-152400</v>
      </c>
      <c r="R832">
        <f t="shared" si="76"/>
        <v>284140</v>
      </c>
      <c r="S832">
        <f t="shared" si="77"/>
        <v>267103.75</v>
      </c>
    </row>
    <row r="833" spans="1:19" x14ac:dyDescent="0.25">
      <c r="A833" s="1"/>
      <c r="C833" s="1"/>
      <c r="D833" s="1">
        <v>42471</v>
      </c>
      <c r="E833">
        <v>34676</v>
      </c>
      <c r="F833" s="1">
        <v>42471</v>
      </c>
      <c r="G833">
        <v>-4662.5</v>
      </c>
      <c r="H833" s="1">
        <f t="shared" si="72"/>
        <v>42471</v>
      </c>
      <c r="I833">
        <f>IF(AND(MyRowHidden(ROW())=FALSE,MyRowHidden(ROW()-1)=TRUE),0,(E833-E832)*unitsOfDHp+I832)</f>
        <v>115710</v>
      </c>
      <c r="J833">
        <f>IF(AND(MyRowHidden(ROW())=FALSE,MyRowHidden(ROW()-1)=TRUE),0,(G833-G832)*unitsOfExo+J832)</f>
        <v>97200</v>
      </c>
      <c r="K833" s="9">
        <f t="shared" si="73"/>
        <v>-97200</v>
      </c>
      <c r="L833">
        <f t="shared" si="74"/>
        <v>212910</v>
      </c>
      <c r="M833">
        <f>IF(AND(MyRowHidden(ROW())=FALSE,MyRowHidden(ROW()-1)=TRUE),0,IF(MONTH(H833)&lt;&gt;MONTH(H832),M832+1,M832))</f>
        <v>3</v>
      </c>
      <c r="N833">
        <f t="shared" si="75"/>
        <v>115710</v>
      </c>
      <c r="O833">
        <f>IF(AND(MyRowHidden(ROW())=FALSE,MyRowHidden(ROW()-1)=TRUE),0,IF(M833&lt;totalMonths,(totalMonths-M833)/totalMonths *(I833-I832)+O832,0))</f>
        <v>102681.25</v>
      </c>
      <c r="P833">
        <f>IF(AND(MyRowHidden(ROW())=FALSE,MyRowHidden(ROW()-1)=TRUE),0,IF(M833&lt;totalMonths,(totalMonths-M833)/totalMonths *(J833-J832)+P832,0))</f>
        <v>95700</v>
      </c>
      <c r="Q833">
        <f>IF(AND(MyRowHidden(ROW())=FALSE,MyRowHidden(ROW()-1)=TRUE),0,IF(M833&lt;totalMonths,(totalMonths-M833)/totalMonths *(K833-K832)+Q832,0))</f>
        <v>-95700</v>
      </c>
      <c r="R833">
        <f t="shared" si="76"/>
        <v>211410</v>
      </c>
      <c r="S833">
        <f t="shared" si="77"/>
        <v>198381.25</v>
      </c>
    </row>
    <row r="834" spans="1:19" x14ac:dyDescent="0.25">
      <c r="A834" s="1"/>
      <c r="C834" s="1"/>
      <c r="D834" s="1">
        <v>42472</v>
      </c>
      <c r="E834">
        <v>34674</v>
      </c>
      <c r="F834" s="1">
        <v>42472</v>
      </c>
      <c r="G834">
        <v>-4525</v>
      </c>
      <c r="H834" s="1">
        <f t="shared" si="72"/>
        <v>42472</v>
      </c>
      <c r="I834">
        <f>IF(AND(MyRowHidden(ROW())=FALSE,MyRowHidden(ROW()-1)=TRUE),0,(E834-E833)*unitsOfDHp+I833)</f>
        <v>115640</v>
      </c>
      <c r="J834">
        <f>IF(AND(MyRowHidden(ROW())=FALSE,MyRowHidden(ROW()-1)=TRUE),0,(G834-G833)*unitsOfExo+J833)</f>
        <v>136800</v>
      </c>
      <c r="K834" s="9">
        <f t="shared" si="73"/>
        <v>-136800</v>
      </c>
      <c r="L834">
        <f t="shared" si="74"/>
        <v>252440</v>
      </c>
      <c r="M834">
        <f>IF(AND(MyRowHidden(ROW())=FALSE,MyRowHidden(ROW()-1)=TRUE),0,IF(MONTH(H834)&lt;&gt;MONTH(H833),M833+1,M833))</f>
        <v>3</v>
      </c>
      <c r="N834">
        <f t="shared" si="75"/>
        <v>115640</v>
      </c>
      <c r="O834">
        <f>IF(AND(MyRowHidden(ROW())=FALSE,MyRowHidden(ROW()-1)=TRUE),0,IF(M834&lt;totalMonths,(totalMonths-M834)/totalMonths *(I834-I833)+O833,0))</f>
        <v>102628.75</v>
      </c>
      <c r="P834">
        <f>IF(AND(MyRowHidden(ROW())=FALSE,MyRowHidden(ROW()-1)=TRUE),0,IF(M834&lt;totalMonths,(totalMonths-M834)/totalMonths *(J834-J833)+P833,0))</f>
        <v>125400</v>
      </c>
      <c r="Q834">
        <f>IF(AND(MyRowHidden(ROW())=FALSE,MyRowHidden(ROW()-1)=TRUE),0,IF(M834&lt;totalMonths,(totalMonths-M834)/totalMonths *(K834-K833)+Q833,0))</f>
        <v>-125400</v>
      </c>
      <c r="R834">
        <f t="shared" si="76"/>
        <v>241040</v>
      </c>
      <c r="S834">
        <f t="shared" si="77"/>
        <v>228028.75</v>
      </c>
    </row>
    <row r="835" spans="1:19" x14ac:dyDescent="0.25">
      <c r="A835" s="1"/>
      <c r="C835" s="1"/>
      <c r="D835" s="1">
        <v>42473</v>
      </c>
      <c r="E835">
        <v>35654</v>
      </c>
      <c r="F835" s="1">
        <v>42473</v>
      </c>
      <c r="G835">
        <v>-3800</v>
      </c>
      <c r="H835" s="1">
        <f t="shared" si="72"/>
        <v>42473</v>
      </c>
      <c r="I835">
        <f>IF(AND(MyRowHidden(ROW())=FALSE,MyRowHidden(ROW()-1)=TRUE),0,(E835-E834)*unitsOfDHp+I834)</f>
        <v>149940</v>
      </c>
      <c r="J835">
        <f>IF(AND(MyRowHidden(ROW())=FALSE,MyRowHidden(ROW()-1)=TRUE),0,(G835-G834)*unitsOfExo+J834)</f>
        <v>345600</v>
      </c>
      <c r="K835" s="9">
        <f t="shared" si="73"/>
        <v>-345600</v>
      </c>
      <c r="L835">
        <f t="shared" si="74"/>
        <v>495540</v>
      </c>
      <c r="M835">
        <f>IF(AND(MyRowHidden(ROW())=FALSE,MyRowHidden(ROW()-1)=TRUE),0,IF(MONTH(H835)&lt;&gt;MONTH(H834),M834+1,M834))</f>
        <v>3</v>
      </c>
      <c r="N835">
        <f t="shared" si="75"/>
        <v>149940</v>
      </c>
      <c r="O835">
        <f>IF(AND(MyRowHidden(ROW())=FALSE,MyRowHidden(ROW()-1)=TRUE),0,IF(M835&lt;totalMonths,(totalMonths-M835)/totalMonths *(I835-I834)+O834,0))</f>
        <v>128353.75</v>
      </c>
      <c r="P835">
        <f>IF(AND(MyRowHidden(ROW())=FALSE,MyRowHidden(ROW()-1)=TRUE),0,IF(M835&lt;totalMonths,(totalMonths-M835)/totalMonths *(J835-J834)+P834,0))</f>
        <v>282000</v>
      </c>
      <c r="Q835">
        <f>IF(AND(MyRowHidden(ROW())=FALSE,MyRowHidden(ROW()-1)=TRUE),0,IF(M835&lt;totalMonths,(totalMonths-M835)/totalMonths *(K835-K834)+Q834,0))</f>
        <v>-282000</v>
      </c>
      <c r="R835">
        <f t="shared" si="76"/>
        <v>431940</v>
      </c>
      <c r="S835">
        <f t="shared" si="77"/>
        <v>410353.75</v>
      </c>
    </row>
    <row r="836" spans="1:19" x14ac:dyDescent="0.25">
      <c r="A836" s="1"/>
      <c r="C836" s="1"/>
      <c r="D836" s="1">
        <v>42474</v>
      </c>
      <c r="E836">
        <v>35606</v>
      </c>
      <c r="F836" s="1">
        <v>42474</v>
      </c>
      <c r="G836">
        <v>-3800</v>
      </c>
      <c r="H836" s="1">
        <f t="shared" si="72"/>
        <v>42474</v>
      </c>
      <c r="I836">
        <f>IF(AND(MyRowHidden(ROW())=FALSE,MyRowHidden(ROW()-1)=TRUE),0,(E836-E835)*unitsOfDHp+I835)</f>
        <v>148260</v>
      </c>
      <c r="J836">
        <f>IF(AND(MyRowHidden(ROW())=FALSE,MyRowHidden(ROW()-1)=TRUE),0,(G836-G835)*unitsOfExo+J835)</f>
        <v>345600</v>
      </c>
      <c r="K836" s="9">
        <f t="shared" si="73"/>
        <v>-345600</v>
      </c>
      <c r="L836">
        <f t="shared" si="74"/>
        <v>493860</v>
      </c>
      <c r="M836">
        <f>IF(AND(MyRowHidden(ROW())=FALSE,MyRowHidden(ROW()-1)=TRUE),0,IF(MONTH(H836)&lt;&gt;MONTH(H835),M835+1,M835))</f>
        <v>3</v>
      </c>
      <c r="N836">
        <f t="shared" si="75"/>
        <v>148260</v>
      </c>
      <c r="O836">
        <f>IF(AND(MyRowHidden(ROW())=FALSE,MyRowHidden(ROW()-1)=TRUE),0,IF(M836&lt;totalMonths,(totalMonths-M836)/totalMonths *(I836-I835)+O835,0))</f>
        <v>127093.75</v>
      </c>
      <c r="P836">
        <f>IF(AND(MyRowHidden(ROW())=FALSE,MyRowHidden(ROW()-1)=TRUE),0,IF(M836&lt;totalMonths,(totalMonths-M836)/totalMonths *(J836-J835)+P835,0))</f>
        <v>282000</v>
      </c>
      <c r="Q836">
        <f>IF(AND(MyRowHidden(ROW())=FALSE,MyRowHidden(ROW()-1)=TRUE),0,IF(M836&lt;totalMonths,(totalMonths-M836)/totalMonths *(K836-K835)+Q835,0))</f>
        <v>-282000</v>
      </c>
      <c r="R836">
        <f t="shared" si="76"/>
        <v>430260</v>
      </c>
      <c r="S836">
        <f t="shared" si="77"/>
        <v>409093.75</v>
      </c>
    </row>
    <row r="837" spans="1:19" x14ac:dyDescent="0.25">
      <c r="A837" s="1"/>
      <c r="C837" s="1"/>
      <c r="D837" s="1">
        <v>42475</v>
      </c>
      <c r="E837">
        <v>35318</v>
      </c>
      <c r="F837" s="1">
        <v>42475</v>
      </c>
      <c r="G837">
        <v>-3500</v>
      </c>
      <c r="H837" s="1">
        <f t="shared" si="72"/>
        <v>42475</v>
      </c>
      <c r="I837">
        <f>IF(AND(MyRowHidden(ROW())=FALSE,MyRowHidden(ROW()-1)=TRUE),0,(E837-E836)*unitsOfDHp+I836)</f>
        <v>138180</v>
      </c>
      <c r="J837">
        <f>IF(AND(MyRowHidden(ROW())=FALSE,MyRowHidden(ROW()-1)=TRUE),0,(G837-G836)*unitsOfExo+J836)</f>
        <v>432000</v>
      </c>
      <c r="K837" s="9">
        <f t="shared" si="73"/>
        <v>-432000</v>
      </c>
      <c r="L837">
        <f t="shared" si="74"/>
        <v>570180</v>
      </c>
      <c r="M837">
        <f>IF(AND(MyRowHidden(ROW())=FALSE,MyRowHidden(ROW()-1)=TRUE),0,IF(MONTH(H837)&lt;&gt;MONTH(H836),M836+1,M836))</f>
        <v>3</v>
      </c>
      <c r="N837">
        <f t="shared" si="75"/>
        <v>138180</v>
      </c>
      <c r="O837">
        <f>IF(AND(MyRowHidden(ROW())=FALSE,MyRowHidden(ROW()-1)=TRUE),0,IF(M837&lt;totalMonths,(totalMonths-M837)/totalMonths *(I837-I836)+O836,0))</f>
        <v>119533.75</v>
      </c>
      <c r="P837">
        <f>IF(AND(MyRowHidden(ROW())=FALSE,MyRowHidden(ROW()-1)=TRUE),0,IF(M837&lt;totalMonths,(totalMonths-M837)/totalMonths *(J837-J836)+P836,0))</f>
        <v>346800</v>
      </c>
      <c r="Q837">
        <f>IF(AND(MyRowHidden(ROW())=FALSE,MyRowHidden(ROW()-1)=TRUE),0,IF(M837&lt;totalMonths,(totalMonths-M837)/totalMonths *(K837-K836)+Q836,0))</f>
        <v>-346800</v>
      </c>
      <c r="R837">
        <f t="shared" si="76"/>
        <v>484980</v>
      </c>
      <c r="S837">
        <f t="shared" si="77"/>
        <v>466333.75</v>
      </c>
    </row>
    <row r="838" spans="1:19" x14ac:dyDescent="0.25">
      <c r="A838" s="1"/>
      <c r="C838" s="1"/>
      <c r="D838" s="1">
        <v>42478</v>
      </c>
      <c r="E838">
        <v>35189</v>
      </c>
      <c r="F838" s="1">
        <v>42478</v>
      </c>
      <c r="G838">
        <v>-3437.5</v>
      </c>
      <c r="H838" s="1">
        <f t="shared" si="72"/>
        <v>42478</v>
      </c>
      <c r="I838">
        <f>IF(AND(MyRowHidden(ROW())=FALSE,MyRowHidden(ROW()-1)=TRUE),0,(E838-E837)*unitsOfDHp+I837)</f>
        <v>133665</v>
      </c>
      <c r="J838">
        <f>IF(AND(MyRowHidden(ROW())=FALSE,MyRowHidden(ROW()-1)=TRUE),0,(G838-G837)*unitsOfExo+J837)</f>
        <v>450000</v>
      </c>
      <c r="K838" s="9">
        <f t="shared" si="73"/>
        <v>-450000</v>
      </c>
      <c r="L838">
        <f t="shared" si="74"/>
        <v>583665</v>
      </c>
      <c r="M838">
        <f>IF(AND(MyRowHidden(ROW())=FALSE,MyRowHidden(ROW()-1)=TRUE),0,IF(MONTH(H838)&lt;&gt;MONTH(H837),M837+1,M837))</f>
        <v>3</v>
      </c>
      <c r="N838">
        <f t="shared" si="75"/>
        <v>133665</v>
      </c>
      <c r="O838">
        <f>IF(AND(MyRowHidden(ROW())=FALSE,MyRowHidden(ROW()-1)=TRUE),0,IF(M838&lt;totalMonths,(totalMonths-M838)/totalMonths *(I838-I837)+O837,0))</f>
        <v>116147.5</v>
      </c>
      <c r="P838">
        <f>IF(AND(MyRowHidden(ROW())=FALSE,MyRowHidden(ROW()-1)=TRUE),0,IF(M838&lt;totalMonths,(totalMonths-M838)/totalMonths *(J838-J837)+P837,0))</f>
        <v>360300</v>
      </c>
      <c r="Q838">
        <f>IF(AND(MyRowHidden(ROW())=FALSE,MyRowHidden(ROW()-1)=TRUE),0,IF(M838&lt;totalMonths,(totalMonths-M838)/totalMonths *(K838-K837)+Q837,0))</f>
        <v>-360300</v>
      </c>
      <c r="R838">
        <f t="shared" si="76"/>
        <v>493965</v>
      </c>
      <c r="S838">
        <f t="shared" si="77"/>
        <v>476447.5</v>
      </c>
    </row>
    <row r="839" spans="1:19" x14ac:dyDescent="0.25">
      <c r="A839" s="1"/>
      <c r="C839" s="1"/>
      <c r="D839" s="1">
        <v>42479</v>
      </c>
      <c r="E839">
        <v>34930</v>
      </c>
      <c r="F839" s="1">
        <v>42479</v>
      </c>
      <c r="G839">
        <v>-3262.5</v>
      </c>
      <c r="H839" s="1">
        <f t="shared" si="72"/>
        <v>42479</v>
      </c>
      <c r="I839">
        <f>IF(AND(MyRowHidden(ROW())=FALSE,MyRowHidden(ROW()-1)=TRUE),0,(E839-E838)*unitsOfDHp+I838)</f>
        <v>124600</v>
      </c>
      <c r="J839">
        <f>IF(AND(MyRowHidden(ROW())=FALSE,MyRowHidden(ROW()-1)=TRUE),0,(G839-G838)*unitsOfExo+J838)</f>
        <v>500400</v>
      </c>
      <c r="K839" s="9">
        <f t="shared" si="73"/>
        <v>-500400</v>
      </c>
      <c r="L839">
        <f t="shared" si="74"/>
        <v>625000</v>
      </c>
      <c r="M839">
        <f>IF(AND(MyRowHidden(ROW())=FALSE,MyRowHidden(ROW()-1)=TRUE),0,IF(MONTH(H839)&lt;&gt;MONTH(H838),M838+1,M838))</f>
        <v>3</v>
      </c>
      <c r="N839">
        <f t="shared" si="75"/>
        <v>124600</v>
      </c>
      <c r="O839">
        <f>IF(AND(MyRowHidden(ROW())=FALSE,MyRowHidden(ROW()-1)=TRUE),0,IF(M839&lt;totalMonths,(totalMonths-M839)/totalMonths *(I839-I838)+O838,0))</f>
        <v>109348.75</v>
      </c>
      <c r="P839">
        <f>IF(AND(MyRowHidden(ROW())=FALSE,MyRowHidden(ROW()-1)=TRUE),0,IF(M839&lt;totalMonths,(totalMonths-M839)/totalMonths *(J839-J838)+P838,0))</f>
        <v>398100</v>
      </c>
      <c r="Q839">
        <f>IF(AND(MyRowHidden(ROW())=FALSE,MyRowHidden(ROW()-1)=TRUE),0,IF(M839&lt;totalMonths,(totalMonths-M839)/totalMonths *(K839-K838)+Q838,0))</f>
        <v>-398100</v>
      </c>
      <c r="R839">
        <f t="shared" si="76"/>
        <v>522700</v>
      </c>
      <c r="S839">
        <f t="shared" si="77"/>
        <v>507448.75</v>
      </c>
    </row>
    <row r="840" spans="1:19" x14ac:dyDescent="0.25">
      <c r="A840" s="1"/>
      <c r="C840" s="1"/>
      <c r="D840" s="1">
        <v>42480</v>
      </c>
      <c r="E840">
        <v>34382</v>
      </c>
      <c r="F840" s="1">
        <v>42480</v>
      </c>
      <c r="G840">
        <v>-2937.5</v>
      </c>
      <c r="H840" s="1">
        <f t="shared" si="72"/>
        <v>42480</v>
      </c>
      <c r="I840">
        <f>IF(AND(MyRowHidden(ROW())=FALSE,MyRowHidden(ROW()-1)=TRUE),0,(E840-E839)*unitsOfDHp+I839)</f>
        <v>105420</v>
      </c>
      <c r="J840">
        <f>IF(AND(MyRowHidden(ROW())=FALSE,MyRowHidden(ROW()-1)=TRUE),0,(G840-G839)*unitsOfExo+J839)</f>
        <v>594000</v>
      </c>
      <c r="K840" s="9">
        <f t="shared" si="73"/>
        <v>-594000</v>
      </c>
      <c r="L840">
        <f t="shared" si="74"/>
        <v>699420</v>
      </c>
      <c r="M840">
        <f>IF(AND(MyRowHidden(ROW())=FALSE,MyRowHidden(ROW()-1)=TRUE),0,IF(MONTH(H840)&lt;&gt;MONTH(H839),M839+1,M839))</f>
        <v>3</v>
      </c>
      <c r="N840">
        <f t="shared" si="75"/>
        <v>105420</v>
      </c>
      <c r="O840">
        <f>IF(AND(MyRowHidden(ROW())=FALSE,MyRowHidden(ROW()-1)=TRUE),0,IF(M840&lt;totalMonths,(totalMonths-M840)/totalMonths *(I840-I839)+O839,0))</f>
        <v>94963.75</v>
      </c>
      <c r="P840">
        <f>IF(AND(MyRowHidden(ROW())=FALSE,MyRowHidden(ROW()-1)=TRUE),0,IF(M840&lt;totalMonths,(totalMonths-M840)/totalMonths *(J840-J839)+P839,0))</f>
        <v>468300</v>
      </c>
      <c r="Q840">
        <f>IF(AND(MyRowHidden(ROW())=FALSE,MyRowHidden(ROW()-1)=TRUE),0,IF(M840&lt;totalMonths,(totalMonths-M840)/totalMonths *(K840-K839)+Q839,0))</f>
        <v>-468300</v>
      </c>
      <c r="R840">
        <f t="shared" si="76"/>
        <v>573720</v>
      </c>
      <c r="S840">
        <f t="shared" si="77"/>
        <v>563263.75</v>
      </c>
    </row>
    <row r="841" spans="1:19" x14ac:dyDescent="0.25">
      <c r="A841" s="1"/>
      <c r="C841" s="1"/>
      <c r="D841" s="1">
        <v>42481</v>
      </c>
      <c r="E841">
        <v>34334</v>
      </c>
      <c r="F841" s="1">
        <v>42481</v>
      </c>
      <c r="G841">
        <v>-2987.5</v>
      </c>
      <c r="H841" s="1">
        <f t="shared" si="72"/>
        <v>42481</v>
      </c>
      <c r="I841">
        <f>IF(AND(MyRowHidden(ROW())=FALSE,MyRowHidden(ROW()-1)=TRUE),0,(E841-E840)*unitsOfDHp+I840)</f>
        <v>103740</v>
      </c>
      <c r="J841">
        <f>IF(AND(MyRowHidden(ROW())=FALSE,MyRowHidden(ROW()-1)=TRUE),0,(G841-G840)*unitsOfExo+J840)</f>
        <v>579600</v>
      </c>
      <c r="K841" s="9">
        <f t="shared" si="73"/>
        <v>-579600</v>
      </c>
      <c r="L841">
        <f t="shared" si="74"/>
        <v>683340</v>
      </c>
      <c r="M841">
        <f>IF(AND(MyRowHidden(ROW())=FALSE,MyRowHidden(ROW()-1)=TRUE),0,IF(MONTH(H841)&lt;&gt;MONTH(H840),M840+1,M840))</f>
        <v>3</v>
      </c>
      <c r="N841">
        <f t="shared" si="75"/>
        <v>103740</v>
      </c>
      <c r="O841">
        <f>IF(AND(MyRowHidden(ROW())=FALSE,MyRowHidden(ROW()-1)=TRUE),0,IF(M841&lt;totalMonths,(totalMonths-M841)/totalMonths *(I841-I840)+O840,0))</f>
        <v>93703.75</v>
      </c>
      <c r="P841">
        <f>IF(AND(MyRowHidden(ROW())=FALSE,MyRowHidden(ROW()-1)=TRUE),0,IF(M841&lt;totalMonths,(totalMonths-M841)/totalMonths *(J841-J840)+P840,0))</f>
        <v>457500</v>
      </c>
      <c r="Q841">
        <f>IF(AND(MyRowHidden(ROW())=FALSE,MyRowHidden(ROW()-1)=TRUE),0,IF(M841&lt;totalMonths,(totalMonths-M841)/totalMonths *(K841-K840)+Q840,0))</f>
        <v>-457500</v>
      </c>
      <c r="R841">
        <f t="shared" si="76"/>
        <v>561240</v>
      </c>
      <c r="S841">
        <f t="shared" si="77"/>
        <v>551203.75</v>
      </c>
    </row>
    <row r="842" spans="1:19" x14ac:dyDescent="0.25">
      <c r="A842" s="1"/>
      <c r="C842" s="1"/>
      <c r="D842" s="1">
        <v>42482</v>
      </c>
      <c r="E842">
        <v>35062</v>
      </c>
      <c r="F842" s="1">
        <v>42482</v>
      </c>
      <c r="G842">
        <v>-3812.5</v>
      </c>
      <c r="H842" s="1">
        <f t="shared" si="72"/>
        <v>42482</v>
      </c>
      <c r="I842">
        <f>IF(AND(MyRowHidden(ROW())=FALSE,MyRowHidden(ROW()-1)=TRUE),0,(E842-E841)*unitsOfDHp+I841)</f>
        <v>129220</v>
      </c>
      <c r="J842">
        <f>IF(AND(MyRowHidden(ROW())=FALSE,MyRowHidden(ROW()-1)=TRUE),0,(G842-G841)*unitsOfExo+J841)</f>
        <v>342000</v>
      </c>
      <c r="K842" s="9">
        <f t="shared" si="73"/>
        <v>-342000</v>
      </c>
      <c r="L842">
        <f t="shared" si="74"/>
        <v>471220</v>
      </c>
      <c r="M842">
        <f>IF(AND(MyRowHidden(ROW())=FALSE,MyRowHidden(ROW()-1)=TRUE),0,IF(MONTH(H842)&lt;&gt;MONTH(H841),M841+1,M841))</f>
        <v>3</v>
      </c>
      <c r="N842">
        <f t="shared" si="75"/>
        <v>129220</v>
      </c>
      <c r="O842">
        <f>IF(AND(MyRowHidden(ROW())=FALSE,MyRowHidden(ROW()-1)=TRUE),0,IF(M842&lt;totalMonths,(totalMonths-M842)/totalMonths *(I842-I841)+O841,0))</f>
        <v>112813.75</v>
      </c>
      <c r="P842">
        <f>IF(AND(MyRowHidden(ROW())=FALSE,MyRowHidden(ROW()-1)=TRUE),0,IF(M842&lt;totalMonths,(totalMonths-M842)/totalMonths *(J842-J841)+P841,0))</f>
        <v>279300</v>
      </c>
      <c r="Q842">
        <f>IF(AND(MyRowHidden(ROW())=FALSE,MyRowHidden(ROW()-1)=TRUE),0,IF(M842&lt;totalMonths,(totalMonths-M842)/totalMonths *(K842-K841)+Q841,0))</f>
        <v>-279300</v>
      </c>
      <c r="R842">
        <f t="shared" si="76"/>
        <v>408520</v>
      </c>
      <c r="S842">
        <f t="shared" si="77"/>
        <v>392113.75</v>
      </c>
    </row>
    <row r="843" spans="1:19" x14ac:dyDescent="0.25">
      <c r="A843" s="1"/>
      <c r="C843" s="1"/>
      <c r="D843" s="1">
        <v>42485</v>
      </c>
      <c r="E843">
        <v>35116</v>
      </c>
      <c r="F843" s="1">
        <v>42485</v>
      </c>
      <c r="G843">
        <v>-3462.5</v>
      </c>
      <c r="H843" s="1">
        <f t="shared" si="72"/>
        <v>42485</v>
      </c>
      <c r="I843">
        <f>IF(AND(MyRowHidden(ROW())=FALSE,MyRowHidden(ROW()-1)=TRUE),0,(E843-E842)*unitsOfDHp+I842)</f>
        <v>131110</v>
      </c>
      <c r="J843">
        <f>IF(AND(MyRowHidden(ROW())=FALSE,MyRowHidden(ROW()-1)=TRUE),0,(G843-G842)*unitsOfExo+J842)</f>
        <v>442800</v>
      </c>
      <c r="K843" s="9">
        <f t="shared" si="73"/>
        <v>-442800</v>
      </c>
      <c r="L843">
        <f t="shared" si="74"/>
        <v>573910</v>
      </c>
      <c r="M843">
        <f>IF(AND(MyRowHidden(ROW())=FALSE,MyRowHidden(ROW()-1)=TRUE),0,IF(MONTH(H843)&lt;&gt;MONTH(H842),M842+1,M842))</f>
        <v>3</v>
      </c>
      <c r="N843">
        <f t="shared" si="75"/>
        <v>131110</v>
      </c>
      <c r="O843">
        <f>IF(AND(MyRowHidden(ROW())=FALSE,MyRowHidden(ROW()-1)=TRUE),0,IF(M843&lt;totalMonths,(totalMonths-M843)/totalMonths *(I843-I842)+O842,0))</f>
        <v>114231.25</v>
      </c>
      <c r="P843">
        <f>IF(AND(MyRowHidden(ROW())=FALSE,MyRowHidden(ROW()-1)=TRUE),0,IF(M843&lt;totalMonths,(totalMonths-M843)/totalMonths *(J843-J842)+P842,0))</f>
        <v>354900</v>
      </c>
      <c r="Q843">
        <f>IF(AND(MyRowHidden(ROW())=FALSE,MyRowHidden(ROW()-1)=TRUE),0,IF(M843&lt;totalMonths,(totalMonths-M843)/totalMonths *(K843-K842)+Q842,0))</f>
        <v>-354900</v>
      </c>
      <c r="R843">
        <f t="shared" si="76"/>
        <v>486010</v>
      </c>
      <c r="S843">
        <f t="shared" si="77"/>
        <v>469131.25</v>
      </c>
    </row>
    <row r="844" spans="1:19" x14ac:dyDescent="0.25">
      <c r="A844" s="1"/>
      <c r="C844" s="1"/>
      <c r="D844" s="1">
        <v>42486</v>
      </c>
      <c r="E844">
        <v>35081</v>
      </c>
      <c r="F844" s="1">
        <v>42486</v>
      </c>
      <c r="G844">
        <v>-3475</v>
      </c>
      <c r="H844" s="1">
        <f t="shared" si="72"/>
        <v>42486</v>
      </c>
      <c r="I844">
        <f>IF(AND(MyRowHidden(ROW())=FALSE,MyRowHidden(ROW()-1)=TRUE),0,(E844-E843)*unitsOfDHp+I843)</f>
        <v>129885</v>
      </c>
      <c r="J844">
        <f>IF(AND(MyRowHidden(ROW())=FALSE,MyRowHidden(ROW()-1)=TRUE),0,(G844-G843)*unitsOfExo+J843)</f>
        <v>439200</v>
      </c>
      <c r="K844" s="9">
        <f t="shared" si="73"/>
        <v>-439200</v>
      </c>
      <c r="L844">
        <f t="shared" si="74"/>
        <v>569085</v>
      </c>
      <c r="M844">
        <f>IF(AND(MyRowHidden(ROW())=FALSE,MyRowHidden(ROW()-1)=TRUE),0,IF(MONTH(H844)&lt;&gt;MONTH(H843),M843+1,M843))</f>
        <v>3</v>
      </c>
      <c r="N844">
        <f t="shared" si="75"/>
        <v>129885</v>
      </c>
      <c r="O844">
        <f>IF(AND(MyRowHidden(ROW())=FALSE,MyRowHidden(ROW()-1)=TRUE),0,IF(M844&lt;totalMonths,(totalMonths-M844)/totalMonths *(I844-I843)+O843,0))</f>
        <v>113312.5</v>
      </c>
      <c r="P844">
        <f>IF(AND(MyRowHidden(ROW())=FALSE,MyRowHidden(ROW()-1)=TRUE),0,IF(M844&lt;totalMonths,(totalMonths-M844)/totalMonths *(J844-J843)+P843,0))</f>
        <v>352200</v>
      </c>
      <c r="Q844">
        <f>IF(AND(MyRowHidden(ROW())=FALSE,MyRowHidden(ROW()-1)=TRUE),0,IF(M844&lt;totalMonths,(totalMonths-M844)/totalMonths *(K844-K843)+Q843,0))</f>
        <v>-352200</v>
      </c>
      <c r="R844">
        <f t="shared" si="76"/>
        <v>482085</v>
      </c>
      <c r="S844">
        <f t="shared" si="77"/>
        <v>465512.5</v>
      </c>
    </row>
    <row r="845" spans="1:19" x14ac:dyDescent="0.25">
      <c r="A845" s="1"/>
      <c r="C845" s="1"/>
      <c r="D845" s="1">
        <v>42487</v>
      </c>
      <c r="E845">
        <v>35045</v>
      </c>
      <c r="F845" s="1">
        <v>42487</v>
      </c>
      <c r="G845">
        <v>-3575</v>
      </c>
      <c r="H845" s="1">
        <f t="shared" ref="H845:H908" si="78">D845</f>
        <v>42487</v>
      </c>
      <c r="I845">
        <f>IF(AND(MyRowHidden(ROW())=FALSE,MyRowHidden(ROW()-1)=TRUE),0,(E845-E844)*unitsOfDHp+I844)</f>
        <v>128625</v>
      </c>
      <c r="J845">
        <f>IF(AND(MyRowHidden(ROW())=FALSE,MyRowHidden(ROW()-1)=TRUE),0,(G845-G844)*unitsOfExo+J844)</f>
        <v>410400</v>
      </c>
      <c r="K845" s="9">
        <f t="shared" ref="K845:K908" si="79">-(J845-J844)+K844</f>
        <v>-410400</v>
      </c>
      <c r="L845">
        <f t="shared" ref="L845:L908" si="80">I845+J845</f>
        <v>539025</v>
      </c>
      <c r="M845">
        <f>IF(AND(MyRowHidden(ROW())=FALSE,MyRowHidden(ROW()-1)=TRUE),0,IF(MONTH(H845)&lt;&gt;MONTH(H844),M844+1,M844))</f>
        <v>3</v>
      </c>
      <c r="N845">
        <f t="shared" ref="N845:N908" si="81">I845</f>
        <v>128625</v>
      </c>
      <c r="O845">
        <f>IF(AND(MyRowHidden(ROW())=FALSE,MyRowHidden(ROW()-1)=TRUE),0,IF(M845&lt;totalMonths,(totalMonths-M845)/totalMonths *(I845-I844)+O844,0))</f>
        <v>112367.5</v>
      </c>
      <c r="P845">
        <f>IF(AND(MyRowHidden(ROW())=FALSE,MyRowHidden(ROW()-1)=TRUE),0,IF(M845&lt;totalMonths,(totalMonths-M845)/totalMonths *(J845-J844)+P844,0))</f>
        <v>330600</v>
      </c>
      <c r="Q845">
        <f>IF(AND(MyRowHidden(ROW())=FALSE,MyRowHidden(ROW()-1)=TRUE),0,IF(M845&lt;totalMonths,(totalMonths-M845)/totalMonths *(K845-K844)+Q844,0))</f>
        <v>-330600</v>
      </c>
      <c r="R845">
        <f t="shared" ref="R845:R908" si="82">N845+P845</f>
        <v>459225</v>
      </c>
      <c r="S845">
        <f t="shared" ref="S845:S908" si="83">O845+P845</f>
        <v>442967.5</v>
      </c>
    </row>
    <row r="846" spans="1:19" x14ac:dyDescent="0.25">
      <c r="A846" s="1"/>
      <c r="C846" s="1"/>
      <c r="D846" s="1">
        <v>42488</v>
      </c>
      <c r="E846">
        <v>34515</v>
      </c>
      <c r="F846" s="1">
        <v>42488</v>
      </c>
      <c r="G846">
        <v>-3150</v>
      </c>
      <c r="H846" s="1">
        <f t="shared" si="78"/>
        <v>42488</v>
      </c>
      <c r="I846">
        <f>IF(AND(MyRowHidden(ROW())=FALSE,MyRowHidden(ROW()-1)=TRUE),0,(E846-E845)*unitsOfDHp+I845)</f>
        <v>110075</v>
      </c>
      <c r="J846">
        <f>IF(AND(MyRowHidden(ROW())=FALSE,MyRowHidden(ROW()-1)=TRUE),0,(G846-G845)*unitsOfExo+J845)</f>
        <v>532800</v>
      </c>
      <c r="K846" s="9">
        <f t="shared" si="79"/>
        <v>-532800</v>
      </c>
      <c r="L846">
        <f t="shared" si="80"/>
        <v>642875</v>
      </c>
      <c r="M846">
        <f>IF(AND(MyRowHidden(ROW())=FALSE,MyRowHidden(ROW()-1)=TRUE),0,IF(MONTH(H846)&lt;&gt;MONTH(H845),M845+1,M845))</f>
        <v>3</v>
      </c>
      <c r="N846">
        <f t="shared" si="81"/>
        <v>110075</v>
      </c>
      <c r="O846">
        <f>IF(AND(MyRowHidden(ROW())=FALSE,MyRowHidden(ROW()-1)=TRUE),0,IF(M846&lt;totalMonths,(totalMonths-M846)/totalMonths *(I846-I845)+O845,0))</f>
        <v>98455</v>
      </c>
      <c r="P846">
        <f>IF(AND(MyRowHidden(ROW())=FALSE,MyRowHidden(ROW()-1)=TRUE),0,IF(M846&lt;totalMonths,(totalMonths-M846)/totalMonths *(J846-J845)+P845,0))</f>
        <v>422400</v>
      </c>
      <c r="Q846">
        <f>IF(AND(MyRowHidden(ROW())=FALSE,MyRowHidden(ROW()-1)=TRUE),0,IF(M846&lt;totalMonths,(totalMonths-M846)/totalMonths *(K846-K845)+Q845,0))</f>
        <v>-422400</v>
      </c>
      <c r="R846">
        <f t="shared" si="82"/>
        <v>532475</v>
      </c>
      <c r="S846">
        <f t="shared" si="83"/>
        <v>520855</v>
      </c>
    </row>
    <row r="847" spans="1:19" x14ac:dyDescent="0.25">
      <c r="A847" s="1"/>
      <c r="C847" s="1"/>
      <c r="D847" s="1">
        <v>42489</v>
      </c>
      <c r="E847">
        <v>34516</v>
      </c>
      <c r="F847" s="1">
        <v>42489</v>
      </c>
      <c r="G847">
        <v>-3050</v>
      </c>
      <c r="H847" s="1">
        <f t="shared" si="78"/>
        <v>42489</v>
      </c>
      <c r="I847">
        <f>IF(AND(MyRowHidden(ROW())=FALSE,MyRowHidden(ROW()-1)=TRUE),0,(E847-E846)*unitsOfDHp+I846)</f>
        <v>110110</v>
      </c>
      <c r="J847">
        <f>IF(AND(MyRowHidden(ROW())=FALSE,MyRowHidden(ROW()-1)=TRUE),0,(G847-G846)*unitsOfExo+J846)</f>
        <v>561600</v>
      </c>
      <c r="K847" s="9">
        <f t="shared" si="79"/>
        <v>-561600</v>
      </c>
      <c r="L847">
        <f t="shared" si="80"/>
        <v>671710</v>
      </c>
      <c r="M847">
        <f>IF(AND(MyRowHidden(ROW())=FALSE,MyRowHidden(ROW()-1)=TRUE),0,IF(MONTH(H847)&lt;&gt;MONTH(H846),M846+1,M846))</f>
        <v>3</v>
      </c>
      <c r="N847">
        <f t="shared" si="81"/>
        <v>110110</v>
      </c>
      <c r="O847">
        <f>IF(AND(MyRowHidden(ROW())=FALSE,MyRowHidden(ROW()-1)=TRUE),0,IF(M847&lt;totalMonths,(totalMonths-M847)/totalMonths *(I847-I846)+O846,0))</f>
        <v>98481.25</v>
      </c>
      <c r="P847">
        <f>IF(AND(MyRowHidden(ROW())=FALSE,MyRowHidden(ROW()-1)=TRUE),0,IF(M847&lt;totalMonths,(totalMonths-M847)/totalMonths *(J847-J846)+P846,0))</f>
        <v>444000</v>
      </c>
      <c r="Q847">
        <f>IF(AND(MyRowHidden(ROW())=FALSE,MyRowHidden(ROW()-1)=TRUE),0,IF(M847&lt;totalMonths,(totalMonths-M847)/totalMonths *(K847-K846)+Q846,0))</f>
        <v>-444000</v>
      </c>
      <c r="R847">
        <f t="shared" si="82"/>
        <v>554110</v>
      </c>
      <c r="S847">
        <f t="shared" si="83"/>
        <v>542481.25</v>
      </c>
    </row>
    <row r="848" spans="1:19" x14ac:dyDescent="0.25">
      <c r="A848" s="1"/>
      <c r="C848" s="1"/>
      <c r="D848" s="1">
        <v>42492</v>
      </c>
      <c r="E848">
        <v>34614</v>
      </c>
      <c r="F848" s="1">
        <v>42492</v>
      </c>
      <c r="G848">
        <v>-3137.5</v>
      </c>
      <c r="H848" s="1">
        <f t="shared" si="78"/>
        <v>42492</v>
      </c>
      <c r="I848">
        <f>IF(AND(MyRowHidden(ROW())=FALSE,MyRowHidden(ROW()-1)=TRUE),0,(E848-E847)*unitsOfDHp+I847)</f>
        <v>113540</v>
      </c>
      <c r="J848">
        <f>IF(AND(MyRowHidden(ROW())=FALSE,MyRowHidden(ROW()-1)=TRUE),0,(G848-G847)*unitsOfExo+J847)</f>
        <v>536400</v>
      </c>
      <c r="K848" s="9">
        <f t="shared" si="79"/>
        <v>-536400</v>
      </c>
      <c r="L848">
        <f t="shared" si="80"/>
        <v>649940</v>
      </c>
      <c r="M848">
        <f>IF(AND(MyRowHidden(ROW())=FALSE,MyRowHidden(ROW()-1)=TRUE),0,IF(MONTH(H848)&lt;&gt;MONTH(H847),M847+1,M847))</f>
        <v>4</v>
      </c>
      <c r="N848">
        <f t="shared" si="81"/>
        <v>113540</v>
      </c>
      <c r="O848">
        <f>IF(AND(MyRowHidden(ROW())=FALSE,MyRowHidden(ROW()-1)=TRUE),0,IF(M848&lt;totalMonths,(totalMonths-M848)/totalMonths *(I848-I847)+O847,0))</f>
        <v>100767.91666666667</v>
      </c>
      <c r="P848">
        <f>IF(AND(MyRowHidden(ROW())=FALSE,MyRowHidden(ROW()-1)=TRUE),0,IF(M848&lt;totalMonths,(totalMonths-M848)/totalMonths *(J848-J847)+P847,0))</f>
        <v>427200</v>
      </c>
      <c r="Q848">
        <f>IF(AND(MyRowHidden(ROW())=FALSE,MyRowHidden(ROW()-1)=TRUE),0,IF(M848&lt;totalMonths,(totalMonths-M848)/totalMonths *(K848-K847)+Q847,0))</f>
        <v>-427200</v>
      </c>
      <c r="R848">
        <f t="shared" si="82"/>
        <v>540740</v>
      </c>
      <c r="S848">
        <f t="shared" si="83"/>
        <v>527967.91666666663</v>
      </c>
    </row>
    <row r="849" spans="1:19" x14ac:dyDescent="0.25">
      <c r="A849" s="1"/>
      <c r="C849" s="1"/>
      <c r="D849" s="1">
        <v>42493</v>
      </c>
      <c r="E849">
        <v>35205</v>
      </c>
      <c r="F849" s="1">
        <v>42493</v>
      </c>
      <c r="G849">
        <v>-3650</v>
      </c>
      <c r="H849" s="1">
        <f t="shared" si="78"/>
        <v>42493</v>
      </c>
      <c r="I849">
        <f>IF(AND(MyRowHidden(ROW())=FALSE,MyRowHidden(ROW()-1)=TRUE),0,(E849-E848)*unitsOfDHp+I848)</f>
        <v>134225</v>
      </c>
      <c r="J849">
        <f>IF(AND(MyRowHidden(ROW())=FALSE,MyRowHidden(ROW()-1)=TRUE),0,(G849-G848)*unitsOfExo+J848)</f>
        <v>388800</v>
      </c>
      <c r="K849" s="9">
        <f t="shared" si="79"/>
        <v>-388800</v>
      </c>
      <c r="L849">
        <f t="shared" si="80"/>
        <v>523025</v>
      </c>
      <c r="M849">
        <f>IF(AND(MyRowHidden(ROW())=FALSE,MyRowHidden(ROW()-1)=TRUE),0,IF(MONTH(H849)&lt;&gt;MONTH(H848),M848+1,M848))</f>
        <v>4</v>
      </c>
      <c r="N849">
        <f t="shared" si="81"/>
        <v>134225</v>
      </c>
      <c r="O849">
        <f>IF(AND(MyRowHidden(ROW())=FALSE,MyRowHidden(ROW()-1)=TRUE),0,IF(M849&lt;totalMonths,(totalMonths-M849)/totalMonths *(I849-I848)+O848,0))</f>
        <v>114557.91666666667</v>
      </c>
      <c r="P849">
        <f>IF(AND(MyRowHidden(ROW())=FALSE,MyRowHidden(ROW()-1)=TRUE),0,IF(M849&lt;totalMonths,(totalMonths-M849)/totalMonths *(J849-J848)+P848,0))</f>
        <v>328800</v>
      </c>
      <c r="Q849">
        <f>IF(AND(MyRowHidden(ROW())=FALSE,MyRowHidden(ROW()-1)=TRUE),0,IF(M849&lt;totalMonths,(totalMonths-M849)/totalMonths *(K849-K848)+Q848,0))</f>
        <v>-328800</v>
      </c>
      <c r="R849">
        <f t="shared" si="82"/>
        <v>463025</v>
      </c>
      <c r="S849">
        <f t="shared" si="83"/>
        <v>443357.91666666669</v>
      </c>
    </row>
    <row r="850" spans="1:19" x14ac:dyDescent="0.25">
      <c r="A850" s="1"/>
      <c r="C850" s="1"/>
      <c r="D850" s="1">
        <v>42494</v>
      </c>
      <c r="E850">
        <v>35226</v>
      </c>
      <c r="F850" s="1">
        <v>42494</v>
      </c>
      <c r="G850">
        <v>-3762.5</v>
      </c>
      <c r="H850" s="1">
        <f t="shared" si="78"/>
        <v>42494</v>
      </c>
      <c r="I850">
        <f>IF(AND(MyRowHidden(ROW())=FALSE,MyRowHidden(ROW()-1)=TRUE),0,(E850-E849)*unitsOfDHp+I849)</f>
        <v>134960</v>
      </c>
      <c r="J850">
        <f>IF(AND(MyRowHidden(ROW())=FALSE,MyRowHidden(ROW()-1)=TRUE),0,(G850-G849)*unitsOfExo+J849)</f>
        <v>356400</v>
      </c>
      <c r="K850" s="9">
        <f t="shared" si="79"/>
        <v>-356400</v>
      </c>
      <c r="L850">
        <f t="shared" si="80"/>
        <v>491360</v>
      </c>
      <c r="M850">
        <f>IF(AND(MyRowHidden(ROW())=FALSE,MyRowHidden(ROW()-1)=TRUE),0,IF(MONTH(H850)&lt;&gt;MONTH(H849),M849+1,M849))</f>
        <v>4</v>
      </c>
      <c r="N850">
        <f t="shared" si="81"/>
        <v>134960</v>
      </c>
      <c r="O850">
        <f>IF(AND(MyRowHidden(ROW())=FALSE,MyRowHidden(ROW()-1)=TRUE),0,IF(M850&lt;totalMonths,(totalMonths-M850)/totalMonths *(I850-I849)+O849,0))</f>
        <v>115047.91666666667</v>
      </c>
      <c r="P850">
        <f>IF(AND(MyRowHidden(ROW())=FALSE,MyRowHidden(ROW()-1)=TRUE),0,IF(M850&lt;totalMonths,(totalMonths-M850)/totalMonths *(J850-J849)+P849,0))</f>
        <v>307200</v>
      </c>
      <c r="Q850">
        <f>IF(AND(MyRowHidden(ROW())=FALSE,MyRowHidden(ROW()-1)=TRUE),0,IF(M850&lt;totalMonths,(totalMonths-M850)/totalMonths *(K850-K849)+Q849,0))</f>
        <v>-307200</v>
      </c>
      <c r="R850">
        <f t="shared" si="82"/>
        <v>442160</v>
      </c>
      <c r="S850">
        <f t="shared" si="83"/>
        <v>422247.91666666669</v>
      </c>
    </row>
    <row r="851" spans="1:19" x14ac:dyDescent="0.25">
      <c r="A851" s="1"/>
      <c r="C851" s="1"/>
      <c r="D851" s="1">
        <v>42495</v>
      </c>
      <c r="E851">
        <v>35510</v>
      </c>
      <c r="F851" s="1">
        <v>42495</v>
      </c>
      <c r="G851">
        <v>-3937.5</v>
      </c>
      <c r="H851" s="1">
        <f t="shared" si="78"/>
        <v>42495</v>
      </c>
      <c r="I851">
        <f>IF(AND(MyRowHidden(ROW())=FALSE,MyRowHidden(ROW()-1)=TRUE),0,(E851-E850)*unitsOfDHp+I850)</f>
        <v>144900</v>
      </c>
      <c r="J851">
        <f>IF(AND(MyRowHidden(ROW())=FALSE,MyRowHidden(ROW()-1)=TRUE),0,(G851-G850)*unitsOfExo+J850)</f>
        <v>306000</v>
      </c>
      <c r="K851" s="9">
        <f t="shared" si="79"/>
        <v>-306000</v>
      </c>
      <c r="L851">
        <f t="shared" si="80"/>
        <v>450900</v>
      </c>
      <c r="M851">
        <f>IF(AND(MyRowHidden(ROW())=FALSE,MyRowHidden(ROW()-1)=TRUE),0,IF(MONTH(H851)&lt;&gt;MONTH(H850),M850+1,M850))</f>
        <v>4</v>
      </c>
      <c r="N851">
        <f t="shared" si="81"/>
        <v>144900</v>
      </c>
      <c r="O851">
        <f>IF(AND(MyRowHidden(ROW())=FALSE,MyRowHidden(ROW()-1)=TRUE),0,IF(M851&lt;totalMonths,(totalMonths-M851)/totalMonths *(I851-I850)+O850,0))</f>
        <v>121674.58333333334</v>
      </c>
      <c r="P851">
        <f>IF(AND(MyRowHidden(ROW())=FALSE,MyRowHidden(ROW()-1)=TRUE),0,IF(M851&lt;totalMonths,(totalMonths-M851)/totalMonths *(J851-J850)+P850,0))</f>
        <v>273600</v>
      </c>
      <c r="Q851">
        <f>IF(AND(MyRowHidden(ROW())=FALSE,MyRowHidden(ROW()-1)=TRUE),0,IF(M851&lt;totalMonths,(totalMonths-M851)/totalMonths *(K851-K850)+Q850,0))</f>
        <v>-273600</v>
      </c>
      <c r="R851">
        <f t="shared" si="82"/>
        <v>418500</v>
      </c>
      <c r="S851">
        <f t="shared" si="83"/>
        <v>395274.58333333337</v>
      </c>
    </row>
    <row r="852" spans="1:19" x14ac:dyDescent="0.25">
      <c r="A852" s="1"/>
      <c r="C852" s="1"/>
      <c r="D852" s="1">
        <v>42496</v>
      </c>
      <c r="E852">
        <v>35317</v>
      </c>
      <c r="F852" s="1">
        <v>42496</v>
      </c>
      <c r="G852">
        <v>-3725</v>
      </c>
      <c r="H852" s="1">
        <f t="shared" si="78"/>
        <v>42496</v>
      </c>
      <c r="I852">
        <f>IF(AND(MyRowHidden(ROW())=FALSE,MyRowHidden(ROW()-1)=TRUE),0,(E852-E851)*unitsOfDHp+I851)</f>
        <v>138145</v>
      </c>
      <c r="J852">
        <f>IF(AND(MyRowHidden(ROW())=FALSE,MyRowHidden(ROW()-1)=TRUE),0,(G852-G851)*unitsOfExo+J851)</f>
        <v>367200</v>
      </c>
      <c r="K852" s="9">
        <f t="shared" si="79"/>
        <v>-367200</v>
      </c>
      <c r="L852">
        <f t="shared" si="80"/>
        <v>505345</v>
      </c>
      <c r="M852">
        <f>IF(AND(MyRowHidden(ROW())=FALSE,MyRowHidden(ROW()-1)=TRUE),0,IF(MONTH(H852)&lt;&gt;MONTH(H851),M851+1,M851))</f>
        <v>4</v>
      </c>
      <c r="N852">
        <f t="shared" si="81"/>
        <v>138145</v>
      </c>
      <c r="O852">
        <f>IF(AND(MyRowHidden(ROW())=FALSE,MyRowHidden(ROW()-1)=TRUE),0,IF(M852&lt;totalMonths,(totalMonths-M852)/totalMonths *(I852-I851)+O851,0))</f>
        <v>117171.25000000001</v>
      </c>
      <c r="P852">
        <f>IF(AND(MyRowHidden(ROW())=FALSE,MyRowHidden(ROW()-1)=TRUE),0,IF(M852&lt;totalMonths,(totalMonths-M852)/totalMonths *(J852-J851)+P851,0))</f>
        <v>314400</v>
      </c>
      <c r="Q852">
        <f>IF(AND(MyRowHidden(ROW())=FALSE,MyRowHidden(ROW()-1)=TRUE),0,IF(M852&lt;totalMonths,(totalMonths-M852)/totalMonths *(K852-K851)+Q851,0))</f>
        <v>-314400</v>
      </c>
      <c r="R852">
        <f t="shared" si="82"/>
        <v>452545</v>
      </c>
      <c r="S852">
        <f t="shared" si="83"/>
        <v>431571.25</v>
      </c>
    </row>
    <row r="853" spans="1:19" x14ac:dyDescent="0.25">
      <c r="A853" s="1"/>
      <c r="C853" s="1"/>
      <c r="D853" s="1">
        <v>42499</v>
      </c>
      <c r="E853">
        <v>35564</v>
      </c>
      <c r="F853" s="1">
        <v>42499</v>
      </c>
      <c r="G853">
        <v>-4012.5</v>
      </c>
      <c r="H853" s="1">
        <f t="shared" si="78"/>
        <v>42499</v>
      </c>
      <c r="I853">
        <f>IF(AND(MyRowHidden(ROW())=FALSE,MyRowHidden(ROW()-1)=TRUE),0,(E853-E852)*unitsOfDHp+I852)</f>
        <v>146790</v>
      </c>
      <c r="J853">
        <f>IF(AND(MyRowHidden(ROW())=FALSE,MyRowHidden(ROW()-1)=TRUE),0,(G853-G852)*unitsOfExo+J852)</f>
        <v>284400</v>
      </c>
      <c r="K853" s="9">
        <f t="shared" si="79"/>
        <v>-284400</v>
      </c>
      <c r="L853">
        <f t="shared" si="80"/>
        <v>431190</v>
      </c>
      <c r="M853">
        <f>IF(AND(MyRowHidden(ROW())=FALSE,MyRowHidden(ROW()-1)=TRUE),0,IF(MONTH(H853)&lt;&gt;MONTH(H852),M852+1,M852))</f>
        <v>4</v>
      </c>
      <c r="N853">
        <f t="shared" si="81"/>
        <v>146790</v>
      </c>
      <c r="O853">
        <f>IF(AND(MyRowHidden(ROW())=FALSE,MyRowHidden(ROW()-1)=TRUE),0,IF(M853&lt;totalMonths,(totalMonths-M853)/totalMonths *(I853-I852)+O852,0))</f>
        <v>122934.58333333334</v>
      </c>
      <c r="P853">
        <f>IF(AND(MyRowHidden(ROW())=FALSE,MyRowHidden(ROW()-1)=TRUE),0,IF(M853&lt;totalMonths,(totalMonths-M853)/totalMonths *(J853-J852)+P852,0))</f>
        <v>259200</v>
      </c>
      <c r="Q853">
        <f>IF(AND(MyRowHidden(ROW())=FALSE,MyRowHidden(ROW()-1)=TRUE),0,IF(M853&lt;totalMonths,(totalMonths-M853)/totalMonths *(K853-K852)+Q852,0))</f>
        <v>-259200</v>
      </c>
      <c r="R853">
        <f t="shared" si="82"/>
        <v>405990</v>
      </c>
      <c r="S853">
        <f t="shared" si="83"/>
        <v>382134.58333333337</v>
      </c>
    </row>
    <row r="854" spans="1:19" x14ac:dyDescent="0.25">
      <c r="A854" s="1"/>
      <c r="C854" s="1"/>
      <c r="D854" s="1">
        <v>42500</v>
      </c>
      <c r="E854">
        <v>34956</v>
      </c>
      <c r="F854" s="1">
        <v>42500</v>
      </c>
      <c r="G854">
        <v>-3587.5</v>
      </c>
      <c r="H854" s="1">
        <f t="shared" si="78"/>
        <v>42500</v>
      </c>
      <c r="I854">
        <f>IF(AND(MyRowHidden(ROW())=FALSE,MyRowHidden(ROW()-1)=TRUE),0,(E854-E853)*unitsOfDHp+I853)</f>
        <v>125510</v>
      </c>
      <c r="J854">
        <f>IF(AND(MyRowHidden(ROW())=FALSE,MyRowHidden(ROW()-1)=TRUE),0,(G854-G853)*unitsOfExo+J853)</f>
        <v>406800</v>
      </c>
      <c r="K854" s="9">
        <f t="shared" si="79"/>
        <v>-406800</v>
      </c>
      <c r="L854">
        <f t="shared" si="80"/>
        <v>532310</v>
      </c>
      <c r="M854">
        <f>IF(AND(MyRowHidden(ROW())=FALSE,MyRowHidden(ROW()-1)=TRUE),0,IF(MONTH(H854)&lt;&gt;MONTH(H853),M853+1,M853))</f>
        <v>4</v>
      </c>
      <c r="N854">
        <f t="shared" si="81"/>
        <v>125510</v>
      </c>
      <c r="O854">
        <f>IF(AND(MyRowHidden(ROW())=FALSE,MyRowHidden(ROW()-1)=TRUE),0,IF(M854&lt;totalMonths,(totalMonths-M854)/totalMonths *(I854-I853)+O853,0))</f>
        <v>108747.91666666667</v>
      </c>
      <c r="P854">
        <f>IF(AND(MyRowHidden(ROW())=FALSE,MyRowHidden(ROW()-1)=TRUE),0,IF(M854&lt;totalMonths,(totalMonths-M854)/totalMonths *(J854-J853)+P853,0))</f>
        <v>340800</v>
      </c>
      <c r="Q854">
        <f>IF(AND(MyRowHidden(ROW())=FALSE,MyRowHidden(ROW()-1)=TRUE),0,IF(M854&lt;totalMonths,(totalMonths-M854)/totalMonths *(K854-K853)+Q853,0))</f>
        <v>-340800</v>
      </c>
      <c r="R854">
        <f t="shared" si="82"/>
        <v>466310</v>
      </c>
      <c r="S854">
        <f t="shared" si="83"/>
        <v>449547.91666666669</v>
      </c>
    </row>
    <row r="855" spans="1:19" x14ac:dyDescent="0.25">
      <c r="A855" s="1"/>
      <c r="C855" s="1"/>
      <c r="D855" s="1">
        <v>42501</v>
      </c>
      <c r="E855">
        <v>34963</v>
      </c>
      <c r="F855" s="1">
        <v>42501</v>
      </c>
      <c r="G855">
        <v>-3887.5</v>
      </c>
      <c r="H855" s="1">
        <f t="shared" si="78"/>
        <v>42501</v>
      </c>
      <c r="I855">
        <f>IF(AND(MyRowHidden(ROW())=FALSE,MyRowHidden(ROW()-1)=TRUE),0,(E855-E854)*unitsOfDHp+I854)</f>
        <v>125755</v>
      </c>
      <c r="J855">
        <f>IF(AND(MyRowHidden(ROW())=FALSE,MyRowHidden(ROW()-1)=TRUE),0,(G855-G854)*unitsOfExo+J854)</f>
        <v>320400</v>
      </c>
      <c r="K855" s="9">
        <f t="shared" si="79"/>
        <v>-320400</v>
      </c>
      <c r="L855">
        <f t="shared" si="80"/>
        <v>446155</v>
      </c>
      <c r="M855">
        <f>IF(AND(MyRowHidden(ROW())=FALSE,MyRowHidden(ROW()-1)=TRUE),0,IF(MONTH(H855)&lt;&gt;MONTH(H854),M854+1,M854))</f>
        <v>4</v>
      </c>
      <c r="N855">
        <f t="shared" si="81"/>
        <v>125755</v>
      </c>
      <c r="O855">
        <f>IF(AND(MyRowHidden(ROW())=FALSE,MyRowHidden(ROW()-1)=TRUE),0,IF(M855&lt;totalMonths,(totalMonths-M855)/totalMonths *(I855-I854)+O854,0))</f>
        <v>108911.25</v>
      </c>
      <c r="P855">
        <f>IF(AND(MyRowHidden(ROW())=FALSE,MyRowHidden(ROW()-1)=TRUE),0,IF(M855&lt;totalMonths,(totalMonths-M855)/totalMonths *(J855-J854)+P854,0))</f>
        <v>283200</v>
      </c>
      <c r="Q855">
        <f>IF(AND(MyRowHidden(ROW())=FALSE,MyRowHidden(ROW()-1)=TRUE),0,IF(M855&lt;totalMonths,(totalMonths-M855)/totalMonths *(K855-K854)+Q854,0))</f>
        <v>-283200</v>
      </c>
      <c r="R855">
        <f t="shared" si="82"/>
        <v>408955</v>
      </c>
      <c r="S855">
        <f t="shared" si="83"/>
        <v>392111.25</v>
      </c>
    </row>
    <row r="856" spans="1:19" x14ac:dyDescent="0.25">
      <c r="A856" s="1"/>
      <c r="C856" s="1"/>
      <c r="D856" s="1">
        <v>42502</v>
      </c>
      <c r="E856">
        <v>34952</v>
      </c>
      <c r="F856" s="1">
        <v>42502</v>
      </c>
      <c r="G856">
        <v>-3325</v>
      </c>
      <c r="H856" s="1">
        <f t="shared" si="78"/>
        <v>42502</v>
      </c>
      <c r="I856">
        <f>IF(AND(MyRowHidden(ROW())=FALSE,MyRowHidden(ROW()-1)=TRUE),0,(E856-E855)*unitsOfDHp+I855)</f>
        <v>125370</v>
      </c>
      <c r="J856">
        <f>IF(AND(MyRowHidden(ROW())=FALSE,MyRowHidden(ROW()-1)=TRUE),0,(G856-G855)*unitsOfExo+J855)</f>
        <v>482400</v>
      </c>
      <c r="K856" s="9">
        <f t="shared" si="79"/>
        <v>-482400</v>
      </c>
      <c r="L856">
        <f t="shared" si="80"/>
        <v>607770</v>
      </c>
      <c r="M856">
        <f>IF(AND(MyRowHidden(ROW())=FALSE,MyRowHidden(ROW()-1)=TRUE),0,IF(MONTH(H856)&lt;&gt;MONTH(H855),M855+1,M855))</f>
        <v>4</v>
      </c>
      <c r="N856">
        <f t="shared" si="81"/>
        <v>125370</v>
      </c>
      <c r="O856">
        <f>IF(AND(MyRowHidden(ROW())=FALSE,MyRowHidden(ROW()-1)=TRUE),0,IF(M856&lt;totalMonths,(totalMonths-M856)/totalMonths *(I856-I855)+O855,0))</f>
        <v>108654.58333333333</v>
      </c>
      <c r="P856">
        <f>IF(AND(MyRowHidden(ROW())=FALSE,MyRowHidden(ROW()-1)=TRUE),0,IF(M856&lt;totalMonths,(totalMonths-M856)/totalMonths *(J856-J855)+P855,0))</f>
        <v>391200</v>
      </c>
      <c r="Q856">
        <f>IF(AND(MyRowHidden(ROW())=FALSE,MyRowHidden(ROW()-1)=TRUE),0,IF(M856&lt;totalMonths,(totalMonths-M856)/totalMonths *(K856-K855)+Q855,0))</f>
        <v>-391200</v>
      </c>
      <c r="R856">
        <f t="shared" si="82"/>
        <v>516570</v>
      </c>
      <c r="S856">
        <f t="shared" si="83"/>
        <v>499854.58333333331</v>
      </c>
    </row>
    <row r="857" spans="1:19" x14ac:dyDescent="0.25">
      <c r="A857" s="1"/>
      <c r="C857" s="1"/>
      <c r="D857" s="1">
        <v>42503</v>
      </c>
      <c r="E857">
        <v>34936</v>
      </c>
      <c r="F857" s="1">
        <v>42503</v>
      </c>
      <c r="G857">
        <v>-3175</v>
      </c>
      <c r="H857" s="1">
        <f t="shared" si="78"/>
        <v>42503</v>
      </c>
      <c r="I857">
        <f>IF(AND(MyRowHidden(ROW())=FALSE,MyRowHidden(ROW()-1)=TRUE),0,(E857-E856)*unitsOfDHp+I856)</f>
        <v>124810</v>
      </c>
      <c r="J857">
        <f>IF(AND(MyRowHidden(ROW())=FALSE,MyRowHidden(ROW()-1)=TRUE),0,(G857-G856)*unitsOfExo+J856)</f>
        <v>525600</v>
      </c>
      <c r="K857" s="9">
        <f t="shared" si="79"/>
        <v>-525600</v>
      </c>
      <c r="L857">
        <f t="shared" si="80"/>
        <v>650410</v>
      </c>
      <c r="M857">
        <f>IF(AND(MyRowHidden(ROW())=FALSE,MyRowHidden(ROW()-1)=TRUE),0,IF(MONTH(H857)&lt;&gt;MONTH(H856),M856+1,M856))</f>
        <v>4</v>
      </c>
      <c r="N857">
        <f t="shared" si="81"/>
        <v>124810</v>
      </c>
      <c r="O857">
        <f>IF(AND(MyRowHidden(ROW())=FALSE,MyRowHidden(ROW()-1)=TRUE),0,IF(M857&lt;totalMonths,(totalMonths-M857)/totalMonths *(I857-I856)+O856,0))</f>
        <v>108281.25</v>
      </c>
      <c r="P857">
        <f>IF(AND(MyRowHidden(ROW())=FALSE,MyRowHidden(ROW()-1)=TRUE),0,IF(M857&lt;totalMonths,(totalMonths-M857)/totalMonths *(J857-J856)+P856,0))</f>
        <v>420000</v>
      </c>
      <c r="Q857">
        <f>IF(AND(MyRowHidden(ROW())=FALSE,MyRowHidden(ROW()-1)=TRUE),0,IF(M857&lt;totalMonths,(totalMonths-M857)/totalMonths *(K857-K856)+Q856,0))</f>
        <v>-420000</v>
      </c>
      <c r="R857">
        <f t="shared" si="82"/>
        <v>544810</v>
      </c>
      <c r="S857">
        <f t="shared" si="83"/>
        <v>528281.25</v>
      </c>
    </row>
    <row r="858" spans="1:19" x14ac:dyDescent="0.25">
      <c r="A858" s="1"/>
      <c r="C858" s="1"/>
      <c r="D858" s="1">
        <v>42506</v>
      </c>
      <c r="E858">
        <v>35143</v>
      </c>
      <c r="F858" s="1">
        <v>42506</v>
      </c>
      <c r="G858">
        <v>-3087.5</v>
      </c>
      <c r="H858" s="1">
        <f t="shared" si="78"/>
        <v>42506</v>
      </c>
      <c r="I858">
        <f>IF(AND(MyRowHidden(ROW())=FALSE,MyRowHidden(ROW()-1)=TRUE),0,(E858-E857)*unitsOfDHp+I857)</f>
        <v>132055</v>
      </c>
      <c r="J858">
        <f>IF(AND(MyRowHidden(ROW())=FALSE,MyRowHidden(ROW()-1)=TRUE),0,(G858-G857)*unitsOfExo+J857)</f>
        <v>550800</v>
      </c>
      <c r="K858" s="9">
        <f t="shared" si="79"/>
        <v>-550800</v>
      </c>
      <c r="L858">
        <f t="shared" si="80"/>
        <v>682855</v>
      </c>
      <c r="M858">
        <f>IF(AND(MyRowHidden(ROW())=FALSE,MyRowHidden(ROW()-1)=TRUE),0,IF(MONTH(H858)&lt;&gt;MONTH(H857),M857+1,M857))</f>
        <v>4</v>
      </c>
      <c r="N858">
        <f t="shared" si="81"/>
        <v>132055</v>
      </c>
      <c r="O858">
        <f>IF(AND(MyRowHidden(ROW())=FALSE,MyRowHidden(ROW()-1)=TRUE),0,IF(M858&lt;totalMonths,(totalMonths-M858)/totalMonths *(I858-I857)+O857,0))</f>
        <v>113111.25</v>
      </c>
      <c r="P858">
        <f>IF(AND(MyRowHidden(ROW())=FALSE,MyRowHidden(ROW()-1)=TRUE),0,IF(M858&lt;totalMonths,(totalMonths-M858)/totalMonths *(J858-J857)+P857,0))</f>
        <v>436800</v>
      </c>
      <c r="Q858">
        <f>IF(AND(MyRowHidden(ROW())=FALSE,MyRowHidden(ROW()-1)=TRUE),0,IF(M858&lt;totalMonths,(totalMonths-M858)/totalMonths *(K858-K857)+Q857,0))</f>
        <v>-436800</v>
      </c>
      <c r="R858">
        <f t="shared" si="82"/>
        <v>568855</v>
      </c>
      <c r="S858">
        <f t="shared" si="83"/>
        <v>549911.25</v>
      </c>
    </row>
    <row r="859" spans="1:19" x14ac:dyDescent="0.25">
      <c r="A859" s="1"/>
      <c r="C859" s="1"/>
      <c r="D859" s="1">
        <v>42507</v>
      </c>
      <c r="E859">
        <v>35126</v>
      </c>
      <c r="F859" s="1">
        <v>42507</v>
      </c>
      <c r="G859">
        <v>-2850</v>
      </c>
      <c r="H859" s="1">
        <f t="shared" si="78"/>
        <v>42507</v>
      </c>
      <c r="I859">
        <f>IF(AND(MyRowHidden(ROW())=FALSE,MyRowHidden(ROW()-1)=TRUE),0,(E859-E858)*unitsOfDHp+I858)</f>
        <v>131460</v>
      </c>
      <c r="J859">
        <f>IF(AND(MyRowHidden(ROW())=FALSE,MyRowHidden(ROW()-1)=TRUE),0,(G859-G858)*unitsOfExo+J858)</f>
        <v>619200</v>
      </c>
      <c r="K859" s="9">
        <f t="shared" si="79"/>
        <v>-619200</v>
      </c>
      <c r="L859">
        <f t="shared" si="80"/>
        <v>750660</v>
      </c>
      <c r="M859">
        <f>IF(AND(MyRowHidden(ROW())=FALSE,MyRowHidden(ROW()-1)=TRUE),0,IF(MONTH(H859)&lt;&gt;MONTH(H858),M858+1,M858))</f>
        <v>4</v>
      </c>
      <c r="N859">
        <f t="shared" si="81"/>
        <v>131460</v>
      </c>
      <c r="O859">
        <f>IF(AND(MyRowHidden(ROW())=FALSE,MyRowHidden(ROW()-1)=TRUE),0,IF(M859&lt;totalMonths,(totalMonths-M859)/totalMonths *(I859-I858)+O858,0))</f>
        <v>112714.58333333333</v>
      </c>
      <c r="P859">
        <f>IF(AND(MyRowHidden(ROW())=FALSE,MyRowHidden(ROW()-1)=TRUE),0,IF(M859&lt;totalMonths,(totalMonths-M859)/totalMonths *(J859-J858)+P858,0))</f>
        <v>482400</v>
      </c>
      <c r="Q859">
        <f>IF(AND(MyRowHidden(ROW())=FALSE,MyRowHidden(ROW()-1)=TRUE),0,IF(M859&lt;totalMonths,(totalMonths-M859)/totalMonths *(K859-K858)+Q858,0))</f>
        <v>-482400</v>
      </c>
      <c r="R859">
        <f t="shared" si="82"/>
        <v>613860</v>
      </c>
      <c r="S859">
        <f t="shared" si="83"/>
        <v>595114.58333333337</v>
      </c>
    </row>
    <row r="860" spans="1:19" x14ac:dyDescent="0.25">
      <c r="A860" s="1"/>
      <c r="C860" s="1"/>
      <c r="D860" s="1">
        <v>42508</v>
      </c>
      <c r="E860">
        <v>35205</v>
      </c>
      <c r="F860" s="1">
        <v>42508</v>
      </c>
      <c r="G860">
        <v>-2725</v>
      </c>
      <c r="H860" s="1">
        <f t="shared" si="78"/>
        <v>42508</v>
      </c>
      <c r="I860">
        <f>IF(AND(MyRowHidden(ROW())=FALSE,MyRowHidden(ROW()-1)=TRUE),0,(E860-E859)*unitsOfDHp+I859)</f>
        <v>134225</v>
      </c>
      <c r="J860">
        <f>IF(AND(MyRowHidden(ROW())=FALSE,MyRowHidden(ROW()-1)=TRUE),0,(G860-G859)*unitsOfExo+J859)</f>
        <v>655200</v>
      </c>
      <c r="K860" s="9">
        <f t="shared" si="79"/>
        <v>-655200</v>
      </c>
      <c r="L860">
        <f t="shared" si="80"/>
        <v>789425</v>
      </c>
      <c r="M860">
        <f>IF(AND(MyRowHidden(ROW())=FALSE,MyRowHidden(ROW()-1)=TRUE),0,IF(MONTH(H860)&lt;&gt;MONTH(H859),M859+1,M859))</f>
        <v>4</v>
      </c>
      <c r="N860">
        <f t="shared" si="81"/>
        <v>134225</v>
      </c>
      <c r="O860">
        <f>IF(AND(MyRowHidden(ROW())=FALSE,MyRowHidden(ROW()-1)=TRUE),0,IF(M860&lt;totalMonths,(totalMonths-M860)/totalMonths *(I860-I859)+O859,0))</f>
        <v>114557.91666666666</v>
      </c>
      <c r="P860">
        <f>IF(AND(MyRowHidden(ROW())=FALSE,MyRowHidden(ROW()-1)=TRUE),0,IF(M860&lt;totalMonths,(totalMonths-M860)/totalMonths *(J860-J859)+P859,0))</f>
        <v>506400</v>
      </c>
      <c r="Q860">
        <f>IF(AND(MyRowHidden(ROW())=FALSE,MyRowHidden(ROW()-1)=TRUE),0,IF(M860&lt;totalMonths,(totalMonths-M860)/totalMonths *(K860-K859)+Q859,0))</f>
        <v>-506400</v>
      </c>
      <c r="R860">
        <f t="shared" si="82"/>
        <v>640625</v>
      </c>
      <c r="S860">
        <f t="shared" si="83"/>
        <v>620957.91666666663</v>
      </c>
    </row>
    <row r="861" spans="1:19" x14ac:dyDescent="0.25">
      <c r="A861" s="1"/>
      <c r="C861" s="1"/>
      <c r="D861" s="1">
        <v>42509</v>
      </c>
      <c r="E861">
        <v>34908</v>
      </c>
      <c r="F861" s="1">
        <v>42509</v>
      </c>
      <c r="G861">
        <v>-3237.5</v>
      </c>
      <c r="H861" s="1">
        <f t="shared" si="78"/>
        <v>42509</v>
      </c>
      <c r="I861">
        <f>IF(AND(MyRowHidden(ROW())=FALSE,MyRowHidden(ROW()-1)=TRUE),0,(E861-E860)*unitsOfDHp+I860)</f>
        <v>123830</v>
      </c>
      <c r="J861">
        <f>IF(AND(MyRowHidden(ROW())=FALSE,MyRowHidden(ROW()-1)=TRUE),0,(G861-G860)*unitsOfExo+J860)</f>
        <v>507600</v>
      </c>
      <c r="K861" s="9">
        <f t="shared" si="79"/>
        <v>-507600</v>
      </c>
      <c r="L861">
        <f t="shared" si="80"/>
        <v>631430</v>
      </c>
      <c r="M861">
        <f>IF(AND(MyRowHidden(ROW())=FALSE,MyRowHidden(ROW()-1)=TRUE),0,IF(MONTH(H861)&lt;&gt;MONTH(H860),M860+1,M860))</f>
        <v>4</v>
      </c>
      <c r="N861">
        <f t="shared" si="81"/>
        <v>123830</v>
      </c>
      <c r="O861">
        <f>IF(AND(MyRowHidden(ROW())=FALSE,MyRowHidden(ROW()-1)=TRUE),0,IF(M861&lt;totalMonths,(totalMonths-M861)/totalMonths *(I861-I860)+O860,0))</f>
        <v>107627.91666666666</v>
      </c>
      <c r="P861">
        <f>IF(AND(MyRowHidden(ROW())=FALSE,MyRowHidden(ROW()-1)=TRUE),0,IF(M861&lt;totalMonths,(totalMonths-M861)/totalMonths *(J861-J860)+P860,0))</f>
        <v>408000</v>
      </c>
      <c r="Q861">
        <f>IF(AND(MyRowHidden(ROW())=FALSE,MyRowHidden(ROW()-1)=TRUE),0,IF(M861&lt;totalMonths,(totalMonths-M861)/totalMonths *(K861-K860)+Q860,0))</f>
        <v>-408000</v>
      </c>
      <c r="R861">
        <f t="shared" si="82"/>
        <v>531830</v>
      </c>
      <c r="S861">
        <f t="shared" si="83"/>
        <v>515627.91666666663</v>
      </c>
    </row>
    <row r="862" spans="1:19" x14ac:dyDescent="0.25">
      <c r="A862" s="1"/>
      <c r="C862" s="1"/>
      <c r="D862" s="1">
        <v>42510</v>
      </c>
      <c r="E862">
        <v>34837</v>
      </c>
      <c r="F862" s="1">
        <v>42510</v>
      </c>
      <c r="G862">
        <v>-3050</v>
      </c>
      <c r="H862" s="1">
        <f t="shared" si="78"/>
        <v>42510</v>
      </c>
      <c r="I862">
        <f>IF(AND(MyRowHidden(ROW())=FALSE,MyRowHidden(ROW()-1)=TRUE),0,(E862-E861)*unitsOfDHp+I861)</f>
        <v>121345</v>
      </c>
      <c r="J862">
        <f>IF(AND(MyRowHidden(ROW())=FALSE,MyRowHidden(ROW()-1)=TRUE),0,(G862-G861)*unitsOfExo+J861)</f>
        <v>561600</v>
      </c>
      <c r="K862" s="9">
        <f t="shared" si="79"/>
        <v>-561600</v>
      </c>
      <c r="L862">
        <f t="shared" si="80"/>
        <v>682945</v>
      </c>
      <c r="M862">
        <f>IF(AND(MyRowHidden(ROW())=FALSE,MyRowHidden(ROW()-1)=TRUE),0,IF(MONTH(H862)&lt;&gt;MONTH(H861),M861+1,M861))</f>
        <v>4</v>
      </c>
      <c r="N862">
        <f t="shared" si="81"/>
        <v>121345</v>
      </c>
      <c r="O862">
        <f>IF(AND(MyRowHidden(ROW())=FALSE,MyRowHidden(ROW()-1)=TRUE),0,IF(M862&lt;totalMonths,(totalMonths-M862)/totalMonths *(I862-I861)+O861,0))</f>
        <v>105971.24999999999</v>
      </c>
      <c r="P862">
        <f>IF(AND(MyRowHidden(ROW())=FALSE,MyRowHidden(ROW()-1)=TRUE),0,IF(M862&lt;totalMonths,(totalMonths-M862)/totalMonths *(J862-J861)+P861,0))</f>
        <v>444000</v>
      </c>
      <c r="Q862">
        <f>IF(AND(MyRowHidden(ROW())=FALSE,MyRowHidden(ROW()-1)=TRUE),0,IF(M862&lt;totalMonths,(totalMonths-M862)/totalMonths *(K862-K861)+Q861,0))</f>
        <v>-444000</v>
      </c>
      <c r="R862">
        <f t="shared" si="82"/>
        <v>565345</v>
      </c>
      <c r="S862">
        <f t="shared" si="83"/>
        <v>549971.25</v>
      </c>
    </row>
    <row r="863" spans="1:19" x14ac:dyDescent="0.25">
      <c r="A863" s="1"/>
      <c r="C863" s="1"/>
      <c r="D863" s="1">
        <v>42513</v>
      </c>
      <c r="E863">
        <v>34838</v>
      </c>
      <c r="F863" s="1">
        <v>42513</v>
      </c>
      <c r="G863">
        <v>-2837.5</v>
      </c>
      <c r="H863" s="1">
        <f t="shared" si="78"/>
        <v>42513</v>
      </c>
      <c r="I863">
        <f>IF(AND(MyRowHidden(ROW())=FALSE,MyRowHidden(ROW()-1)=TRUE),0,(E863-E862)*unitsOfDHp+I862)</f>
        <v>121380</v>
      </c>
      <c r="J863">
        <f>IF(AND(MyRowHidden(ROW())=FALSE,MyRowHidden(ROW()-1)=TRUE),0,(G863-G862)*unitsOfExo+J862)</f>
        <v>622800</v>
      </c>
      <c r="K863" s="9">
        <f t="shared" si="79"/>
        <v>-622800</v>
      </c>
      <c r="L863">
        <f t="shared" si="80"/>
        <v>744180</v>
      </c>
      <c r="M863">
        <f>IF(AND(MyRowHidden(ROW())=FALSE,MyRowHidden(ROW()-1)=TRUE),0,IF(MONTH(H863)&lt;&gt;MONTH(H862),M862+1,M862))</f>
        <v>4</v>
      </c>
      <c r="N863">
        <f t="shared" si="81"/>
        <v>121380</v>
      </c>
      <c r="O863">
        <f>IF(AND(MyRowHidden(ROW())=FALSE,MyRowHidden(ROW()-1)=TRUE),0,IF(M863&lt;totalMonths,(totalMonths-M863)/totalMonths *(I863-I862)+O862,0))</f>
        <v>105994.58333333331</v>
      </c>
      <c r="P863">
        <f>IF(AND(MyRowHidden(ROW())=FALSE,MyRowHidden(ROW()-1)=TRUE),0,IF(M863&lt;totalMonths,(totalMonths-M863)/totalMonths *(J863-J862)+P862,0))</f>
        <v>484800</v>
      </c>
      <c r="Q863">
        <f>IF(AND(MyRowHidden(ROW())=FALSE,MyRowHidden(ROW()-1)=TRUE),0,IF(M863&lt;totalMonths,(totalMonths-M863)/totalMonths *(K863-K862)+Q862,0))</f>
        <v>-484800</v>
      </c>
      <c r="R863">
        <f t="shared" si="82"/>
        <v>606180</v>
      </c>
      <c r="S863">
        <f t="shared" si="83"/>
        <v>590794.58333333326</v>
      </c>
    </row>
    <row r="864" spans="1:19" x14ac:dyDescent="0.25">
      <c r="A864" s="1"/>
      <c r="C864" s="1"/>
      <c r="D864" s="1">
        <v>42514</v>
      </c>
      <c r="E864">
        <v>34837</v>
      </c>
      <c r="F864" s="1">
        <v>42514</v>
      </c>
      <c r="G864">
        <v>-2675</v>
      </c>
      <c r="H864" s="1">
        <f t="shared" si="78"/>
        <v>42514</v>
      </c>
      <c r="I864">
        <f>IF(AND(MyRowHidden(ROW())=FALSE,MyRowHidden(ROW()-1)=TRUE),0,(E864-E863)*unitsOfDHp+I863)</f>
        <v>121345</v>
      </c>
      <c r="J864">
        <f>IF(AND(MyRowHidden(ROW())=FALSE,MyRowHidden(ROW()-1)=TRUE),0,(G864-G863)*unitsOfExo+J863)</f>
        <v>669600</v>
      </c>
      <c r="K864" s="9">
        <f t="shared" si="79"/>
        <v>-669600</v>
      </c>
      <c r="L864">
        <f t="shared" si="80"/>
        <v>790945</v>
      </c>
      <c r="M864">
        <f>IF(AND(MyRowHidden(ROW())=FALSE,MyRowHidden(ROW()-1)=TRUE),0,IF(MONTH(H864)&lt;&gt;MONTH(H863),M863+1,M863))</f>
        <v>4</v>
      </c>
      <c r="N864">
        <f t="shared" si="81"/>
        <v>121345</v>
      </c>
      <c r="O864">
        <f>IF(AND(MyRowHidden(ROW())=FALSE,MyRowHidden(ROW()-1)=TRUE),0,IF(M864&lt;totalMonths,(totalMonths-M864)/totalMonths *(I864-I863)+O863,0))</f>
        <v>105971.24999999999</v>
      </c>
      <c r="P864">
        <f>IF(AND(MyRowHidden(ROW())=FALSE,MyRowHidden(ROW()-1)=TRUE),0,IF(M864&lt;totalMonths,(totalMonths-M864)/totalMonths *(J864-J863)+P863,0))</f>
        <v>516000</v>
      </c>
      <c r="Q864">
        <f>IF(AND(MyRowHidden(ROW())=FALSE,MyRowHidden(ROW()-1)=TRUE),0,IF(M864&lt;totalMonths,(totalMonths-M864)/totalMonths *(K864-K863)+Q863,0))</f>
        <v>-516000</v>
      </c>
      <c r="R864">
        <f t="shared" si="82"/>
        <v>637345</v>
      </c>
      <c r="S864">
        <f t="shared" si="83"/>
        <v>621971.25</v>
      </c>
    </row>
    <row r="865" spans="1:19" x14ac:dyDescent="0.25">
      <c r="A865" s="1"/>
      <c r="C865" s="1"/>
      <c r="D865" s="1">
        <v>42515</v>
      </c>
      <c r="E865">
        <v>34829</v>
      </c>
      <c r="F865" s="1">
        <v>42515</v>
      </c>
      <c r="G865">
        <v>-2487.5</v>
      </c>
      <c r="H865" s="1">
        <f t="shared" si="78"/>
        <v>42515</v>
      </c>
      <c r="I865">
        <f>IF(AND(MyRowHidden(ROW())=FALSE,MyRowHidden(ROW()-1)=TRUE),0,(E865-E864)*unitsOfDHp+I864)</f>
        <v>121065</v>
      </c>
      <c r="J865">
        <f>IF(AND(MyRowHidden(ROW())=FALSE,MyRowHidden(ROW()-1)=TRUE),0,(G865-G864)*unitsOfExo+J864)</f>
        <v>723600</v>
      </c>
      <c r="K865" s="9">
        <f t="shared" si="79"/>
        <v>-723600</v>
      </c>
      <c r="L865">
        <f t="shared" si="80"/>
        <v>844665</v>
      </c>
      <c r="M865">
        <f>IF(AND(MyRowHidden(ROW())=FALSE,MyRowHidden(ROW()-1)=TRUE),0,IF(MONTH(H865)&lt;&gt;MONTH(H864),M864+1,M864))</f>
        <v>4</v>
      </c>
      <c r="N865">
        <f t="shared" si="81"/>
        <v>121065</v>
      </c>
      <c r="O865">
        <f>IF(AND(MyRowHidden(ROW())=FALSE,MyRowHidden(ROW()-1)=TRUE),0,IF(M865&lt;totalMonths,(totalMonths-M865)/totalMonths *(I865-I864)+O864,0))</f>
        <v>105784.58333333331</v>
      </c>
      <c r="P865">
        <f>IF(AND(MyRowHidden(ROW())=FALSE,MyRowHidden(ROW()-1)=TRUE),0,IF(M865&lt;totalMonths,(totalMonths-M865)/totalMonths *(J865-J864)+P864,0))</f>
        <v>552000</v>
      </c>
      <c r="Q865">
        <f>IF(AND(MyRowHidden(ROW())=FALSE,MyRowHidden(ROW()-1)=TRUE),0,IF(M865&lt;totalMonths,(totalMonths-M865)/totalMonths *(K865-K864)+Q864,0))</f>
        <v>-552000</v>
      </c>
      <c r="R865">
        <f t="shared" si="82"/>
        <v>673065</v>
      </c>
      <c r="S865">
        <f t="shared" si="83"/>
        <v>657784.58333333326</v>
      </c>
    </row>
    <row r="866" spans="1:19" x14ac:dyDescent="0.25">
      <c r="A866" s="1"/>
      <c r="C866" s="1"/>
      <c r="D866" s="1">
        <v>42516</v>
      </c>
      <c r="E866">
        <v>34727</v>
      </c>
      <c r="F866" s="1">
        <v>42516</v>
      </c>
      <c r="G866">
        <v>-2300</v>
      </c>
      <c r="H866" s="1">
        <f t="shared" si="78"/>
        <v>42516</v>
      </c>
      <c r="I866">
        <f>IF(AND(MyRowHidden(ROW())=FALSE,MyRowHidden(ROW()-1)=TRUE),0,(E866-E865)*unitsOfDHp+I865)</f>
        <v>117495</v>
      </c>
      <c r="J866">
        <f>IF(AND(MyRowHidden(ROW())=FALSE,MyRowHidden(ROW()-1)=TRUE),0,(G866-G865)*unitsOfExo+J865)</f>
        <v>777600</v>
      </c>
      <c r="K866" s="9">
        <f t="shared" si="79"/>
        <v>-777600</v>
      </c>
      <c r="L866">
        <f t="shared" si="80"/>
        <v>895095</v>
      </c>
      <c r="M866">
        <f>IF(AND(MyRowHidden(ROW())=FALSE,MyRowHidden(ROW()-1)=TRUE),0,IF(MONTH(H866)&lt;&gt;MONTH(H865),M865+1,M865))</f>
        <v>4</v>
      </c>
      <c r="N866">
        <f t="shared" si="81"/>
        <v>117495</v>
      </c>
      <c r="O866">
        <f>IF(AND(MyRowHidden(ROW())=FALSE,MyRowHidden(ROW()-1)=TRUE),0,IF(M866&lt;totalMonths,(totalMonths-M866)/totalMonths *(I866-I865)+O865,0))</f>
        <v>103404.58333333331</v>
      </c>
      <c r="P866">
        <f>IF(AND(MyRowHidden(ROW())=FALSE,MyRowHidden(ROW()-1)=TRUE),0,IF(M866&lt;totalMonths,(totalMonths-M866)/totalMonths *(J866-J865)+P865,0))</f>
        <v>588000</v>
      </c>
      <c r="Q866">
        <f>IF(AND(MyRowHidden(ROW())=FALSE,MyRowHidden(ROW()-1)=TRUE),0,IF(M866&lt;totalMonths,(totalMonths-M866)/totalMonths *(K866-K865)+Q865,0))</f>
        <v>-588000</v>
      </c>
      <c r="R866">
        <f t="shared" si="82"/>
        <v>705495</v>
      </c>
      <c r="S866">
        <f t="shared" si="83"/>
        <v>691404.58333333326</v>
      </c>
    </row>
    <row r="867" spans="1:19" x14ac:dyDescent="0.25">
      <c r="A867" s="1"/>
      <c r="C867" s="1"/>
      <c r="D867" s="1">
        <v>42517</v>
      </c>
      <c r="E867">
        <v>34619</v>
      </c>
      <c r="F867" s="1">
        <v>42517</v>
      </c>
      <c r="G867">
        <v>-2087.5</v>
      </c>
      <c r="H867" s="1">
        <f t="shared" si="78"/>
        <v>42517</v>
      </c>
      <c r="I867">
        <f>IF(AND(MyRowHidden(ROW())=FALSE,MyRowHidden(ROW()-1)=TRUE),0,(E867-E866)*unitsOfDHp+I866)</f>
        <v>113715</v>
      </c>
      <c r="J867">
        <f>IF(AND(MyRowHidden(ROW())=FALSE,MyRowHidden(ROW()-1)=TRUE),0,(G867-G866)*unitsOfExo+J866)</f>
        <v>838800</v>
      </c>
      <c r="K867" s="9">
        <f t="shared" si="79"/>
        <v>-838800</v>
      </c>
      <c r="L867">
        <f t="shared" si="80"/>
        <v>952515</v>
      </c>
      <c r="M867">
        <f>IF(AND(MyRowHidden(ROW())=FALSE,MyRowHidden(ROW()-1)=TRUE),0,IF(MONTH(H867)&lt;&gt;MONTH(H866),M866+1,M866))</f>
        <v>4</v>
      </c>
      <c r="N867">
        <f t="shared" si="81"/>
        <v>113715</v>
      </c>
      <c r="O867">
        <f>IF(AND(MyRowHidden(ROW())=FALSE,MyRowHidden(ROW()-1)=TRUE),0,IF(M867&lt;totalMonths,(totalMonths-M867)/totalMonths *(I867-I866)+O866,0))</f>
        <v>100884.58333333331</v>
      </c>
      <c r="P867">
        <f>IF(AND(MyRowHidden(ROW())=FALSE,MyRowHidden(ROW()-1)=TRUE),0,IF(M867&lt;totalMonths,(totalMonths-M867)/totalMonths *(J867-J866)+P866,0))</f>
        <v>628800</v>
      </c>
      <c r="Q867">
        <f>IF(AND(MyRowHidden(ROW())=FALSE,MyRowHidden(ROW()-1)=TRUE),0,IF(M867&lt;totalMonths,(totalMonths-M867)/totalMonths *(K867-K866)+Q866,0))</f>
        <v>-628800</v>
      </c>
      <c r="R867">
        <f t="shared" si="82"/>
        <v>742515</v>
      </c>
      <c r="S867">
        <f t="shared" si="83"/>
        <v>729684.58333333326</v>
      </c>
    </row>
    <row r="868" spans="1:19" x14ac:dyDescent="0.25">
      <c r="A868" s="1"/>
      <c r="C868" s="1"/>
      <c r="D868" s="1">
        <v>42521</v>
      </c>
      <c r="E868">
        <v>34716</v>
      </c>
      <c r="F868" s="1">
        <v>42521</v>
      </c>
      <c r="G868">
        <v>-2400</v>
      </c>
      <c r="H868" s="1">
        <f t="shared" si="78"/>
        <v>42521</v>
      </c>
      <c r="I868">
        <f>IF(AND(MyRowHidden(ROW())=FALSE,MyRowHidden(ROW()-1)=TRUE),0,(E868-E867)*unitsOfDHp+I867)</f>
        <v>117110</v>
      </c>
      <c r="J868">
        <f>IF(AND(MyRowHidden(ROW())=FALSE,MyRowHidden(ROW()-1)=TRUE),0,(G868-G867)*unitsOfExo+J867)</f>
        <v>748800</v>
      </c>
      <c r="K868" s="9">
        <f t="shared" si="79"/>
        <v>-748800</v>
      </c>
      <c r="L868">
        <f t="shared" si="80"/>
        <v>865910</v>
      </c>
      <c r="M868">
        <f>IF(AND(MyRowHidden(ROW())=FALSE,MyRowHidden(ROW()-1)=TRUE),0,IF(MONTH(H868)&lt;&gt;MONTH(H867),M867+1,M867))</f>
        <v>4</v>
      </c>
      <c r="N868">
        <f t="shared" si="81"/>
        <v>117110</v>
      </c>
      <c r="O868">
        <f>IF(AND(MyRowHidden(ROW())=FALSE,MyRowHidden(ROW()-1)=TRUE),0,IF(M868&lt;totalMonths,(totalMonths-M868)/totalMonths *(I868-I867)+O867,0))</f>
        <v>103147.91666666664</v>
      </c>
      <c r="P868">
        <f>IF(AND(MyRowHidden(ROW())=FALSE,MyRowHidden(ROW()-1)=TRUE),0,IF(M868&lt;totalMonths,(totalMonths-M868)/totalMonths *(J868-J867)+P867,0))</f>
        <v>568800</v>
      </c>
      <c r="Q868">
        <f>IF(AND(MyRowHidden(ROW())=FALSE,MyRowHidden(ROW()-1)=TRUE),0,IF(M868&lt;totalMonths,(totalMonths-M868)/totalMonths *(K868-K867)+Q867,0))</f>
        <v>-568800</v>
      </c>
      <c r="R868">
        <f t="shared" si="82"/>
        <v>685910</v>
      </c>
      <c r="S868">
        <f t="shared" si="83"/>
        <v>671947.91666666663</v>
      </c>
    </row>
    <row r="869" spans="1:19" x14ac:dyDescent="0.25">
      <c r="A869" s="1"/>
      <c r="C869" s="1"/>
      <c r="D869" s="1">
        <v>42522</v>
      </c>
      <c r="E869">
        <v>34335</v>
      </c>
      <c r="F869" s="1">
        <v>42522</v>
      </c>
      <c r="G869">
        <v>-2062.5</v>
      </c>
      <c r="H869" s="1">
        <f t="shared" si="78"/>
        <v>42522</v>
      </c>
      <c r="I869">
        <f>IF(AND(MyRowHidden(ROW())=FALSE,MyRowHidden(ROW()-1)=TRUE),0,(E869-E868)*unitsOfDHp+I868)</f>
        <v>103775</v>
      </c>
      <c r="J869">
        <f>IF(AND(MyRowHidden(ROW())=FALSE,MyRowHidden(ROW()-1)=TRUE),0,(G869-G868)*unitsOfExo+J868)</f>
        <v>846000</v>
      </c>
      <c r="K869" s="9">
        <f t="shared" si="79"/>
        <v>-846000</v>
      </c>
      <c r="L869">
        <f t="shared" si="80"/>
        <v>949775</v>
      </c>
      <c r="M869">
        <f>IF(AND(MyRowHidden(ROW())=FALSE,MyRowHidden(ROW()-1)=TRUE),0,IF(MONTH(H869)&lt;&gt;MONTH(H868),M868+1,M868))</f>
        <v>5</v>
      </c>
      <c r="N869">
        <f t="shared" si="81"/>
        <v>103775</v>
      </c>
      <c r="O869">
        <f>IF(AND(MyRowHidden(ROW())=FALSE,MyRowHidden(ROW()-1)=TRUE),0,IF(M869&lt;totalMonths,(totalMonths-M869)/totalMonths *(I869-I868)+O868,0))</f>
        <v>95369.166666666642</v>
      </c>
      <c r="P869">
        <f>IF(AND(MyRowHidden(ROW())=FALSE,MyRowHidden(ROW()-1)=TRUE),0,IF(M869&lt;totalMonths,(totalMonths-M869)/totalMonths *(J869-J868)+P868,0))</f>
        <v>625500</v>
      </c>
      <c r="Q869">
        <f>IF(AND(MyRowHidden(ROW())=FALSE,MyRowHidden(ROW()-1)=TRUE),0,IF(M869&lt;totalMonths,(totalMonths-M869)/totalMonths *(K869-K868)+Q868,0))</f>
        <v>-625500</v>
      </c>
      <c r="R869">
        <f t="shared" si="82"/>
        <v>729275</v>
      </c>
      <c r="S869">
        <f t="shared" si="83"/>
        <v>720869.16666666663</v>
      </c>
    </row>
    <row r="870" spans="1:19" x14ac:dyDescent="0.25">
      <c r="A870" s="1"/>
      <c r="C870" s="1"/>
      <c r="D870" s="1">
        <v>42523</v>
      </c>
      <c r="E870">
        <v>34263</v>
      </c>
      <c r="F870" s="1">
        <v>42523</v>
      </c>
      <c r="G870">
        <v>-1850</v>
      </c>
      <c r="H870" s="1">
        <f t="shared" si="78"/>
        <v>42523</v>
      </c>
      <c r="I870">
        <f>IF(AND(MyRowHidden(ROW())=FALSE,MyRowHidden(ROW()-1)=TRUE),0,(E870-E869)*unitsOfDHp+I869)</f>
        <v>101255</v>
      </c>
      <c r="J870">
        <f>IF(AND(MyRowHidden(ROW())=FALSE,MyRowHidden(ROW()-1)=TRUE),0,(G870-G869)*unitsOfExo+J869)</f>
        <v>907200</v>
      </c>
      <c r="K870" s="9">
        <f t="shared" si="79"/>
        <v>-907200</v>
      </c>
      <c r="L870">
        <f t="shared" si="80"/>
        <v>1008455</v>
      </c>
      <c r="M870">
        <f>IF(AND(MyRowHidden(ROW())=FALSE,MyRowHidden(ROW()-1)=TRUE),0,IF(MONTH(H870)&lt;&gt;MONTH(H869),M869+1,M869))</f>
        <v>5</v>
      </c>
      <c r="N870">
        <f t="shared" si="81"/>
        <v>101255</v>
      </c>
      <c r="O870">
        <f>IF(AND(MyRowHidden(ROW())=FALSE,MyRowHidden(ROW()-1)=TRUE),0,IF(M870&lt;totalMonths,(totalMonths-M870)/totalMonths *(I870-I869)+O869,0))</f>
        <v>93899.166666666642</v>
      </c>
      <c r="P870">
        <f>IF(AND(MyRowHidden(ROW())=FALSE,MyRowHidden(ROW()-1)=TRUE),0,IF(M870&lt;totalMonths,(totalMonths-M870)/totalMonths *(J870-J869)+P869,0))</f>
        <v>661200</v>
      </c>
      <c r="Q870">
        <f>IF(AND(MyRowHidden(ROW())=FALSE,MyRowHidden(ROW()-1)=TRUE),0,IF(M870&lt;totalMonths,(totalMonths-M870)/totalMonths *(K870-K869)+Q869,0))</f>
        <v>-661200</v>
      </c>
      <c r="R870">
        <f t="shared" si="82"/>
        <v>762455</v>
      </c>
      <c r="S870">
        <f t="shared" si="83"/>
        <v>755099.16666666663</v>
      </c>
    </row>
    <row r="871" spans="1:19" x14ac:dyDescent="0.25">
      <c r="A871" s="1"/>
      <c r="C871" s="1"/>
      <c r="D871" s="1">
        <v>42524</v>
      </c>
      <c r="E871">
        <v>34239</v>
      </c>
      <c r="F871" s="1">
        <v>42524</v>
      </c>
      <c r="G871">
        <v>-1812.5</v>
      </c>
      <c r="H871" s="1">
        <f t="shared" si="78"/>
        <v>42524</v>
      </c>
      <c r="I871">
        <f>IF(AND(MyRowHidden(ROW())=FALSE,MyRowHidden(ROW()-1)=TRUE),0,(E871-E870)*unitsOfDHp+I870)</f>
        <v>100415</v>
      </c>
      <c r="J871">
        <f>IF(AND(MyRowHidden(ROW())=FALSE,MyRowHidden(ROW()-1)=TRUE),0,(G871-G870)*unitsOfExo+J870)</f>
        <v>918000</v>
      </c>
      <c r="K871" s="9">
        <f t="shared" si="79"/>
        <v>-918000</v>
      </c>
      <c r="L871">
        <f t="shared" si="80"/>
        <v>1018415</v>
      </c>
      <c r="M871">
        <f>IF(AND(MyRowHidden(ROW())=FALSE,MyRowHidden(ROW()-1)=TRUE),0,IF(MONTH(H871)&lt;&gt;MONTH(H870),M870+1,M870))</f>
        <v>5</v>
      </c>
      <c r="N871">
        <f t="shared" si="81"/>
        <v>100415</v>
      </c>
      <c r="O871">
        <f>IF(AND(MyRowHidden(ROW())=FALSE,MyRowHidden(ROW()-1)=TRUE),0,IF(M871&lt;totalMonths,(totalMonths-M871)/totalMonths *(I871-I870)+O870,0))</f>
        <v>93409.166666666642</v>
      </c>
      <c r="P871">
        <f>IF(AND(MyRowHidden(ROW())=FALSE,MyRowHidden(ROW()-1)=TRUE),0,IF(M871&lt;totalMonths,(totalMonths-M871)/totalMonths *(J871-J870)+P870,0))</f>
        <v>667500</v>
      </c>
      <c r="Q871">
        <f>IF(AND(MyRowHidden(ROW())=FALSE,MyRowHidden(ROW()-1)=TRUE),0,IF(M871&lt;totalMonths,(totalMonths-M871)/totalMonths *(K871-K870)+Q870,0))</f>
        <v>-667500</v>
      </c>
      <c r="R871">
        <f t="shared" si="82"/>
        <v>767915</v>
      </c>
      <c r="S871">
        <f t="shared" si="83"/>
        <v>760909.16666666663</v>
      </c>
    </row>
    <row r="872" spans="1:19" x14ac:dyDescent="0.25">
      <c r="A872" s="1"/>
      <c r="C872" s="1"/>
      <c r="D872" s="1">
        <v>42527</v>
      </c>
      <c r="E872">
        <v>34082</v>
      </c>
      <c r="F872" s="1">
        <v>42527</v>
      </c>
      <c r="G872">
        <v>-1325</v>
      </c>
      <c r="H872" s="1">
        <f t="shared" si="78"/>
        <v>42527</v>
      </c>
      <c r="I872">
        <f>IF(AND(MyRowHidden(ROW())=FALSE,MyRowHidden(ROW()-1)=TRUE),0,(E872-E871)*unitsOfDHp+I871)</f>
        <v>94920</v>
      </c>
      <c r="J872">
        <f>IF(AND(MyRowHidden(ROW())=FALSE,MyRowHidden(ROW()-1)=TRUE),0,(G872-G871)*unitsOfExo+J871)</f>
        <v>1058400</v>
      </c>
      <c r="K872" s="9">
        <f t="shared" si="79"/>
        <v>-1058400</v>
      </c>
      <c r="L872">
        <f t="shared" si="80"/>
        <v>1153320</v>
      </c>
      <c r="M872">
        <f>IF(AND(MyRowHidden(ROW())=FALSE,MyRowHidden(ROW()-1)=TRUE),0,IF(MONTH(H872)&lt;&gt;MONTH(H871),M871+1,M871))</f>
        <v>5</v>
      </c>
      <c r="N872">
        <f t="shared" si="81"/>
        <v>94920</v>
      </c>
      <c r="O872">
        <f>IF(AND(MyRowHidden(ROW())=FALSE,MyRowHidden(ROW()-1)=TRUE),0,IF(M872&lt;totalMonths,(totalMonths-M872)/totalMonths *(I872-I871)+O871,0))</f>
        <v>90203.749999999971</v>
      </c>
      <c r="P872">
        <f>IF(AND(MyRowHidden(ROW())=FALSE,MyRowHidden(ROW()-1)=TRUE),0,IF(M872&lt;totalMonths,(totalMonths-M872)/totalMonths *(J872-J871)+P871,0))</f>
        <v>749400</v>
      </c>
      <c r="Q872">
        <f>IF(AND(MyRowHidden(ROW())=FALSE,MyRowHidden(ROW()-1)=TRUE),0,IF(M872&lt;totalMonths,(totalMonths-M872)/totalMonths *(K872-K871)+Q871,0))</f>
        <v>-749400</v>
      </c>
      <c r="R872">
        <f t="shared" si="82"/>
        <v>844320</v>
      </c>
      <c r="S872">
        <f t="shared" si="83"/>
        <v>839603.75</v>
      </c>
    </row>
    <row r="873" spans="1:19" x14ac:dyDescent="0.25">
      <c r="A873" s="1"/>
      <c r="C873" s="1"/>
      <c r="D873" s="1">
        <v>42528</v>
      </c>
      <c r="E873">
        <v>34139</v>
      </c>
      <c r="F873" s="1">
        <v>42528</v>
      </c>
      <c r="G873">
        <v>-1337.5</v>
      </c>
      <c r="H873" s="1">
        <f t="shared" si="78"/>
        <v>42528</v>
      </c>
      <c r="I873">
        <f>IF(AND(MyRowHidden(ROW())=FALSE,MyRowHidden(ROW()-1)=TRUE),0,(E873-E872)*unitsOfDHp+I872)</f>
        <v>96915</v>
      </c>
      <c r="J873">
        <f>IF(AND(MyRowHidden(ROW())=FALSE,MyRowHidden(ROW()-1)=TRUE),0,(G873-G872)*unitsOfExo+J872)</f>
        <v>1054800</v>
      </c>
      <c r="K873" s="9">
        <f t="shared" si="79"/>
        <v>-1054800</v>
      </c>
      <c r="L873">
        <f t="shared" si="80"/>
        <v>1151715</v>
      </c>
      <c r="M873">
        <f>IF(AND(MyRowHidden(ROW())=FALSE,MyRowHidden(ROW()-1)=TRUE),0,IF(MONTH(H873)&lt;&gt;MONTH(H872),M872+1,M872))</f>
        <v>5</v>
      </c>
      <c r="N873">
        <f t="shared" si="81"/>
        <v>96915</v>
      </c>
      <c r="O873">
        <f>IF(AND(MyRowHidden(ROW())=FALSE,MyRowHidden(ROW()-1)=TRUE),0,IF(M873&lt;totalMonths,(totalMonths-M873)/totalMonths *(I873-I872)+O872,0))</f>
        <v>91367.499999999971</v>
      </c>
      <c r="P873">
        <f>IF(AND(MyRowHidden(ROW())=FALSE,MyRowHidden(ROW()-1)=TRUE),0,IF(M873&lt;totalMonths,(totalMonths-M873)/totalMonths *(J873-J872)+P872,0))</f>
        <v>747300</v>
      </c>
      <c r="Q873">
        <f>IF(AND(MyRowHidden(ROW())=FALSE,MyRowHidden(ROW()-1)=TRUE),0,IF(M873&lt;totalMonths,(totalMonths-M873)/totalMonths *(K873-K872)+Q872,0))</f>
        <v>-747300</v>
      </c>
      <c r="R873">
        <f t="shared" si="82"/>
        <v>844215</v>
      </c>
      <c r="S873">
        <f t="shared" si="83"/>
        <v>838667.5</v>
      </c>
    </row>
    <row r="874" spans="1:19" x14ac:dyDescent="0.25">
      <c r="A874" s="1"/>
      <c r="C874" s="1"/>
      <c r="D874" s="1">
        <v>42529</v>
      </c>
      <c r="E874">
        <v>33848</v>
      </c>
      <c r="F874" s="1">
        <v>42529</v>
      </c>
      <c r="G874">
        <v>-1062.5</v>
      </c>
      <c r="H874" s="1">
        <f t="shared" si="78"/>
        <v>42529</v>
      </c>
      <c r="I874">
        <f>IF(AND(MyRowHidden(ROW())=FALSE,MyRowHidden(ROW()-1)=TRUE),0,(E874-E873)*unitsOfDHp+I873)</f>
        <v>86730</v>
      </c>
      <c r="J874">
        <f>IF(AND(MyRowHidden(ROW())=FALSE,MyRowHidden(ROW()-1)=TRUE),0,(G874-G873)*unitsOfExo+J873)</f>
        <v>1134000</v>
      </c>
      <c r="K874" s="9">
        <f t="shared" si="79"/>
        <v>-1134000</v>
      </c>
      <c r="L874">
        <f t="shared" si="80"/>
        <v>1220730</v>
      </c>
      <c r="M874">
        <f>IF(AND(MyRowHidden(ROW())=FALSE,MyRowHidden(ROW()-1)=TRUE),0,IF(MONTH(H874)&lt;&gt;MONTH(H873),M873+1,M873))</f>
        <v>5</v>
      </c>
      <c r="N874">
        <f t="shared" si="81"/>
        <v>86730</v>
      </c>
      <c r="O874">
        <f>IF(AND(MyRowHidden(ROW())=FALSE,MyRowHidden(ROW()-1)=TRUE),0,IF(M874&lt;totalMonths,(totalMonths-M874)/totalMonths *(I874-I873)+O873,0))</f>
        <v>85426.249999999971</v>
      </c>
      <c r="P874">
        <f>IF(AND(MyRowHidden(ROW())=FALSE,MyRowHidden(ROW()-1)=TRUE),0,IF(M874&lt;totalMonths,(totalMonths-M874)/totalMonths *(J874-J873)+P873,0))</f>
        <v>793500</v>
      </c>
      <c r="Q874">
        <f>IF(AND(MyRowHidden(ROW())=FALSE,MyRowHidden(ROW()-1)=TRUE),0,IF(M874&lt;totalMonths,(totalMonths-M874)/totalMonths *(K874-K873)+Q873,0))</f>
        <v>-793500</v>
      </c>
      <c r="R874">
        <f t="shared" si="82"/>
        <v>880230</v>
      </c>
      <c r="S874">
        <f t="shared" si="83"/>
        <v>878926.25</v>
      </c>
    </row>
    <row r="875" spans="1:19" x14ac:dyDescent="0.25">
      <c r="A875" s="1"/>
      <c r="C875" s="1"/>
      <c r="D875" s="1">
        <v>42530</v>
      </c>
      <c r="E875">
        <v>33921</v>
      </c>
      <c r="F875" s="1">
        <v>42530</v>
      </c>
      <c r="G875">
        <v>-1387.5</v>
      </c>
      <c r="H875" s="1">
        <f t="shared" si="78"/>
        <v>42530</v>
      </c>
      <c r="I875">
        <f>IF(AND(MyRowHidden(ROW())=FALSE,MyRowHidden(ROW()-1)=TRUE),0,(E875-E874)*unitsOfDHp+I874)</f>
        <v>89285</v>
      </c>
      <c r="J875">
        <f>IF(AND(MyRowHidden(ROW())=FALSE,MyRowHidden(ROW()-1)=TRUE),0,(G875-G874)*unitsOfExo+J874)</f>
        <v>1040400</v>
      </c>
      <c r="K875" s="9">
        <f t="shared" si="79"/>
        <v>-1040400</v>
      </c>
      <c r="L875">
        <f t="shared" si="80"/>
        <v>1129685</v>
      </c>
      <c r="M875">
        <f>IF(AND(MyRowHidden(ROW())=FALSE,MyRowHidden(ROW()-1)=TRUE),0,IF(MONTH(H875)&lt;&gt;MONTH(H874),M874+1,M874))</f>
        <v>5</v>
      </c>
      <c r="N875">
        <f t="shared" si="81"/>
        <v>89285</v>
      </c>
      <c r="O875">
        <f>IF(AND(MyRowHidden(ROW())=FALSE,MyRowHidden(ROW()-1)=TRUE),0,IF(M875&lt;totalMonths,(totalMonths-M875)/totalMonths *(I875-I874)+O874,0))</f>
        <v>86916.666666666642</v>
      </c>
      <c r="P875">
        <f>IF(AND(MyRowHidden(ROW())=FALSE,MyRowHidden(ROW()-1)=TRUE),0,IF(M875&lt;totalMonths,(totalMonths-M875)/totalMonths *(J875-J874)+P874,0))</f>
        <v>738900</v>
      </c>
      <c r="Q875">
        <f>IF(AND(MyRowHidden(ROW())=FALSE,MyRowHidden(ROW()-1)=TRUE),0,IF(M875&lt;totalMonths,(totalMonths-M875)/totalMonths *(K875-K874)+Q874,0))</f>
        <v>-738900</v>
      </c>
      <c r="R875">
        <f t="shared" si="82"/>
        <v>828185</v>
      </c>
      <c r="S875">
        <f t="shared" si="83"/>
        <v>825816.66666666663</v>
      </c>
    </row>
    <row r="876" spans="1:19" x14ac:dyDescent="0.25">
      <c r="A876" s="1"/>
      <c r="C876" s="1"/>
      <c r="D876" s="1">
        <v>42531</v>
      </c>
      <c r="E876">
        <v>33952</v>
      </c>
      <c r="F876" s="1">
        <v>42531</v>
      </c>
      <c r="G876">
        <v>-1562.5</v>
      </c>
      <c r="H876" s="1">
        <f t="shared" si="78"/>
        <v>42531</v>
      </c>
      <c r="I876">
        <f>IF(AND(MyRowHidden(ROW())=FALSE,MyRowHidden(ROW()-1)=TRUE),0,(E876-E875)*unitsOfDHp+I875)</f>
        <v>90370</v>
      </c>
      <c r="J876">
        <f>IF(AND(MyRowHidden(ROW())=FALSE,MyRowHidden(ROW()-1)=TRUE),0,(G876-G875)*unitsOfExo+J875)</f>
        <v>990000</v>
      </c>
      <c r="K876" s="9">
        <f t="shared" si="79"/>
        <v>-990000</v>
      </c>
      <c r="L876">
        <f t="shared" si="80"/>
        <v>1080370</v>
      </c>
      <c r="M876">
        <f>IF(AND(MyRowHidden(ROW())=FALSE,MyRowHidden(ROW()-1)=TRUE),0,IF(MONTH(H876)&lt;&gt;MONTH(H875),M875+1,M875))</f>
        <v>5</v>
      </c>
      <c r="N876">
        <f t="shared" si="81"/>
        <v>90370</v>
      </c>
      <c r="O876">
        <f>IF(AND(MyRowHidden(ROW())=FALSE,MyRowHidden(ROW()-1)=TRUE),0,IF(M876&lt;totalMonths,(totalMonths-M876)/totalMonths *(I876-I875)+O875,0))</f>
        <v>87549.583333333314</v>
      </c>
      <c r="P876">
        <f>IF(AND(MyRowHidden(ROW())=FALSE,MyRowHidden(ROW()-1)=TRUE),0,IF(M876&lt;totalMonths,(totalMonths-M876)/totalMonths *(J876-J875)+P875,0))</f>
        <v>709500</v>
      </c>
      <c r="Q876">
        <f>IF(AND(MyRowHidden(ROW())=FALSE,MyRowHidden(ROW()-1)=TRUE),0,IF(M876&lt;totalMonths,(totalMonths-M876)/totalMonths *(K876-K875)+Q875,0))</f>
        <v>-709500</v>
      </c>
      <c r="R876">
        <f t="shared" si="82"/>
        <v>799870</v>
      </c>
      <c r="S876">
        <f t="shared" si="83"/>
        <v>797049.58333333326</v>
      </c>
    </row>
    <row r="877" spans="1:19" x14ac:dyDescent="0.25">
      <c r="A877" s="1"/>
      <c r="C877" s="1"/>
      <c r="D877" s="1">
        <v>42534</v>
      </c>
      <c r="E877">
        <v>33802</v>
      </c>
      <c r="F877" s="1">
        <v>42534</v>
      </c>
      <c r="G877">
        <v>-1225</v>
      </c>
      <c r="H877" s="1">
        <f t="shared" si="78"/>
        <v>42534</v>
      </c>
      <c r="I877">
        <f>IF(AND(MyRowHidden(ROW())=FALSE,MyRowHidden(ROW()-1)=TRUE),0,(E877-E876)*unitsOfDHp+I876)</f>
        <v>85120</v>
      </c>
      <c r="J877">
        <f>IF(AND(MyRowHidden(ROW())=FALSE,MyRowHidden(ROW()-1)=TRUE),0,(G877-G876)*unitsOfExo+J876)</f>
        <v>1087200</v>
      </c>
      <c r="K877" s="9">
        <f t="shared" si="79"/>
        <v>-1087200</v>
      </c>
      <c r="L877">
        <f t="shared" si="80"/>
        <v>1172320</v>
      </c>
      <c r="M877">
        <f>IF(AND(MyRowHidden(ROW())=FALSE,MyRowHidden(ROW()-1)=TRUE),0,IF(MONTH(H877)&lt;&gt;MONTH(H876),M876+1,M876))</f>
        <v>5</v>
      </c>
      <c r="N877">
        <f t="shared" si="81"/>
        <v>85120</v>
      </c>
      <c r="O877">
        <f>IF(AND(MyRowHidden(ROW())=FALSE,MyRowHidden(ROW()-1)=TRUE),0,IF(M877&lt;totalMonths,(totalMonths-M877)/totalMonths *(I877-I876)+O876,0))</f>
        <v>84487.083333333314</v>
      </c>
      <c r="P877">
        <f>IF(AND(MyRowHidden(ROW())=FALSE,MyRowHidden(ROW()-1)=TRUE),0,IF(M877&lt;totalMonths,(totalMonths-M877)/totalMonths *(J877-J876)+P876,0))</f>
        <v>766200</v>
      </c>
      <c r="Q877">
        <f>IF(AND(MyRowHidden(ROW())=FALSE,MyRowHidden(ROW()-1)=TRUE),0,IF(M877&lt;totalMonths,(totalMonths-M877)/totalMonths *(K877-K876)+Q876,0))</f>
        <v>-766200</v>
      </c>
      <c r="R877">
        <f t="shared" si="82"/>
        <v>851320</v>
      </c>
      <c r="S877">
        <f t="shared" si="83"/>
        <v>850687.08333333326</v>
      </c>
    </row>
    <row r="878" spans="1:19" x14ac:dyDescent="0.25">
      <c r="A878" s="1"/>
      <c r="C878" s="1"/>
      <c r="D878" s="1">
        <v>42535</v>
      </c>
      <c r="E878">
        <v>33929</v>
      </c>
      <c r="F878" s="1">
        <v>42535</v>
      </c>
      <c r="G878">
        <v>-1000</v>
      </c>
      <c r="H878" s="1">
        <f t="shared" si="78"/>
        <v>42535</v>
      </c>
      <c r="I878">
        <f>IF(AND(MyRowHidden(ROW())=FALSE,MyRowHidden(ROW()-1)=TRUE),0,(E878-E877)*unitsOfDHp+I877)</f>
        <v>89565</v>
      </c>
      <c r="J878">
        <f>IF(AND(MyRowHidden(ROW())=FALSE,MyRowHidden(ROW()-1)=TRUE),0,(G878-G877)*unitsOfExo+J877)</f>
        <v>1152000</v>
      </c>
      <c r="K878" s="9">
        <f t="shared" si="79"/>
        <v>-1152000</v>
      </c>
      <c r="L878">
        <f t="shared" si="80"/>
        <v>1241565</v>
      </c>
      <c r="M878">
        <f>IF(AND(MyRowHidden(ROW())=FALSE,MyRowHidden(ROW()-1)=TRUE),0,IF(MONTH(H878)&lt;&gt;MONTH(H877),M877+1,M877))</f>
        <v>5</v>
      </c>
      <c r="N878">
        <f t="shared" si="81"/>
        <v>89565</v>
      </c>
      <c r="O878">
        <f>IF(AND(MyRowHidden(ROW())=FALSE,MyRowHidden(ROW()-1)=TRUE),0,IF(M878&lt;totalMonths,(totalMonths-M878)/totalMonths *(I878-I877)+O877,0))</f>
        <v>87079.999999999985</v>
      </c>
      <c r="P878">
        <f>IF(AND(MyRowHidden(ROW())=FALSE,MyRowHidden(ROW()-1)=TRUE),0,IF(M878&lt;totalMonths,(totalMonths-M878)/totalMonths *(J878-J877)+P877,0))</f>
        <v>804000</v>
      </c>
      <c r="Q878">
        <f>IF(AND(MyRowHidden(ROW())=FALSE,MyRowHidden(ROW()-1)=TRUE),0,IF(M878&lt;totalMonths,(totalMonths-M878)/totalMonths *(K878-K877)+Q877,0))</f>
        <v>-804000</v>
      </c>
      <c r="R878">
        <f t="shared" si="82"/>
        <v>893565</v>
      </c>
      <c r="S878">
        <f t="shared" si="83"/>
        <v>891080</v>
      </c>
    </row>
    <row r="879" spans="1:19" x14ac:dyDescent="0.25">
      <c r="A879" s="1"/>
      <c r="C879" s="1"/>
      <c r="D879" s="1">
        <v>42536</v>
      </c>
      <c r="E879">
        <v>33942</v>
      </c>
      <c r="F879" s="1">
        <v>42536</v>
      </c>
      <c r="G879">
        <v>-1137.5</v>
      </c>
      <c r="H879" s="1">
        <f t="shared" si="78"/>
        <v>42536</v>
      </c>
      <c r="I879">
        <f>IF(AND(MyRowHidden(ROW())=FALSE,MyRowHidden(ROW()-1)=TRUE),0,(E879-E878)*unitsOfDHp+I878)</f>
        <v>90020</v>
      </c>
      <c r="J879">
        <f>IF(AND(MyRowHidden(ROW())=FALSE,MyRowHidden(ROW()-1)=TRUE),0,(G879-G878)*unitsOfExo+J878)</f>
        <v>1112400</v>
      </c>
      <c r="K879" s="9">
        <f t="shared" si="79"/>
        <v>-1112400</v>
      </c>
      <c r="L879">
        <f t="shared" si="80"/>
        <v>1202420</v>
      </c>
      <c r="M879">
        <f>IF(AND(MyRowHidden(ROW())=FALSE,MyRowHidden(ROW()-1)=TRUE),0,IF(MONTH(H879)&lt;&gt;MONTH(H878),M878+1,M878))</f>
        <v>5</v>
      </c>
      <c r="N879">
        <f t="shared" si="81"/>
        <v>90020</v>
      </c>
      <c r="O879">
        <f>IF(AND(MyRowHidden(ROW())=FALSE,MyRowHidden(ROW()-1)=TRUE),0,IF(M879&lt;totalMonths,(totalMonths-M879)/totalMonths *(I879-I878)+O878,0))</f>
        <v>87345.416666666657</v>
      </c>
      <c r="P879">
        <f>IF(AND(MyRowHidden(ROW())=FALSE,MyRowHidden(ROW()-1)=TRUE),0,IF(M879&lt;totalMonths,(totalMonths-M879)/totalMonths *(J879-J878)+P878,0))</f>
        <v>780900</v>
      </c>
      <c r="Q879">
        <f>IF(AND(MyRowHidden(ROW())=FALSE,MyRowHidden(ROW()-1)=TRUE),0,IF(M879&lt;totalMonths,(totalMonths-M879)/totalMonths *(K879-K878)+Q878,0))</f>
        <v>-780900</v>
      </c>
      <c r="R879">
        <f t="shared" si="82"/>
        <v>870920</v>
      </c>
      <c r="S879">
        <f t="shared" si="83"/>
        <v>868245.41666666663</v>
      </c>
    </row>
    <row r="880" spans="1:19" x14ac:dyDescent="0.25">
      <c r="A880" s="1"/>
      <c r="C880" s="1"/>
      <c r="D880" s="1">
        <v>42537</v>
      </c>
      <c r="E880">
        <v>34177</v>
      </c>
      <c r="F880" s="1">
        <v>42537</v>
      </c>
      <c r="G880">
        <v>-1450</v>
      </c>
      <c r="H880" s="1">
        <f t="shared" si="78"/>
        <v>42537</v>
      </c>
      <c r="I880">
        <f>IF(AND(MyRowHidden(ROW())=FALSE,MyRowHidden(ROW()-1)=TRUE),0,(E880-E879)*unitsOfDHp+I879)</f>
        <v>98245</v>
      </c>
      <c r="J880">
        <f>IF(AND(MyRowHidden(ROW())=FALSE,MyRowHidden(ROW()-1)=TRUE),0,(G880-G879)*unitsOfExo+J879)</f>
        <v>1022400</v>
      </c>
      <c r="K880" s="9">
        <f t="shared" si="79"/>
        <v>-1022400</v>
      </c>
      <c r="L880">
        <f t="shared" si="80"/>
        <v>1120645</v>
      </c>
      <c r="M880">
        <f>IF(AND(MyRowHidden(ROW())=FALSE,MyRowHidden(ROW()-1)=TRUE),0,IF(MONTH(H880)&lt;&gt;MONTH(H879),M879+1,M879))</f>
        <v>5</v>
      </c>
      <c r="N880">
        <f t="shared" si="81"/>
        <v>98245</v>
      </c>
      <c r="O880">
        <f>IF(AND(MyRowHidden(ROW())=FALSE,MyRowHidden(ROW()-1)=TRUE),0,IF(M880&lt;totalMonths,(totalMonths-M880)/totalMonths *(I880-I879)+O879,0))</f>
        <v>92143.333333333328</v>
      </c>
      <c r="P880">
        <f>IF(AND(MyRowHidden(ROW())=FALSE,MyRowHidden(ROW()-1)=TRUE),0,IF(M880&lt;totalMonths,(totalMonths-M880)/totalMonths *(J880-J879)+P879,0))</f>
        <v>728400</v>
      </c>
      <c r="Q880">
        <f>IF(AND(MyRowHidden(ROW())=FALSE,MyRowHidden(ROW()-1)=TRUE),0,IF(M880&lt;totalMonths,(totalMonths-M880)/totalMonths *(K880-K879)+Q879,0))</f>
        <v>-728400</v>
      </c>
      <c r="R880">
        <f t="shared" si="82"/>
        <v>826645</v>
      </c>
      <c r="S880">
        <f t="shared" si="83"/>
        <v>820543.33333333337</v>
      </c>
    </row>
    <row r="881" spans="1:19" x14ac:dyDescent="0.25">
      <c r="A881" s="1"/>
      <c r="C881" s="1"/>
      <c r="D881" s="1">
        <v>42538</v>
      </c>
      <c r="E881">
        <v>34023</v>
      </c>
      <c r="F881" s="1">
        <v>42538</v>
      </c>
      <c r="G881">
        <v>-975</v>
      </c>
      <c r="H881" s="1">
        <f t="shared" si="78"/>
        <v>42538</v>
      </c>
      <c r="I881">
        <f>IF(AND(MyRowHidden(ROW())=FALSE,MyRowHidden(ROW()-1)=TRUE),0,(E881-E880)*unitsOfDHp+I880)</f>
        <v>92855</v>
      </c>
      <c r="J881">
        <f>IF(AND(MyRowHidden(ROW())=FALSE,MyRowHidden(ROW()-1)=TRUE),0,(G881-G880)*unitsOfExo+J880)</f>
        <v>1159200</v>
      </c>
      <c r="K881" s="9">
        <f t="shared" si="79"/>
        <v>-1159200</v>
      </c>
      <c r="L881">
        <f t="shared" si="80"/>
        <v>1252055</v>
      </c>
      <c r="M881">
        <f>IF(AND(MyRowHidden(ROW())=FALSE,MyRowHidden(ROW()-1)=TRUE),0,IF(MONTH(H881)&lt;&gt;MONTH(H880),M880+1,M880))</f>
        <v>5</v>
      </c>
      <c r="N881">
        <f t="shared" si="81"/>
        <v>92855</v>
      </c>
      <c r="O881">
        <f>IF(AND(MyRowHidden(ROW())=FALSE,MyRowHidden(ROW()-1)=TRUE),0,IF(M881&lt;totalMonths,(totalMonths-M881)/totalMonths *(I881-I880)+O880,0))</f>
        <v>88999.166666666657</v>
      </c>
      <c r="P881">
        <f>IF(AND(MyRowHidden(ROW())=FALSE,MyRowHidden(ROW()-1)=TRUE),0,IF(M881&lt;totalMonths,(totalMonths-M881)/totalMonths *(J881-J880)+P880,0))</f>
        <v>808200</v>
      </c>
      <c r="Q881">
        <f>IF(AND(MyRowHidden(ROW())=FALSE,MyRowHidden(ROW()-1)=TRUE),0,IF(M881&lt;totalMonths,(totalMonths-M881)/totalMonths *(K881-K880)+Q880,0))</f>
        <v>-808200</v>
      </c>
      <c r="R881">
        <f t="shared" si="82"/>
        <v>901055</v>
      </c>
      <c r="S881">
        <f t="shared" si="83"/>
        <v>897199.16666666663</v>
      </c>
    </row>
    <row r="882" spans="1:19" x14ac:dyDescent="0.25">
      <c r="A882" s="1"/>
      <c r="C882" s="1"/>
      <c r="D882" s="1">
        <v>42541</v>
      </c>
      <c r="E882">
        <v>34172</v>
      </c>
      <c r="F882" s="1">
        <v>42541</v>
      </c>
      <c r="G882">
        <v>-1537.5</v>
      </c>
      <c r="H882" s="1">
        <f t="shared" si="78"/>
        <v>42541</v>
      </c>
      <c r="I882">
        <f>IF(AND(MyRowHidden(ROW())=FALSE,MyRowHidden(ROW()-1)=TRUE),0,(E882-E881)*unitsOfDHp+I881)</f>
        <v>98070</v>
      </c>
      <c r="J882">
        <f>IF(AND(MyRowHidden(ROW())=FALSE,MyRowHidden(ROW()-1)=TRUE),0,(G882-G881)*unitsOfExo+J881)</f>
        <v>997200</v>
      </c>
      <c r="K882" s="9">
        <f t="shared" si="79"/>
        <v>-997200</v>
      </c>
      <c r="L882">
        <f t="shared" si="80"/>
        <v>1095270</v>
      </c>
      <c r="M882">
        <f>IF(AND(MyRowHidden(ROW())=FALSE,MyRowHidden(ROW()-1)=TRUE),0,IF(MONTH(H882)&lt;&gt;MONTH(H881),M881+1,M881))</f>
        <v>5</v>
      </c>
      <c r="N882">
        <f t="shared" si="81"/>
        <v>98070</v>
      </c>
      <c r="O882">
        <f>IF(AND(MyRowHidden(ROW())=FALSE,MyRowHidden(ROW()-1)=TRUE),0,IF(M882&lt;totalMonths,(totalMonths-M882)/totalMonths *(I882-I881)+O881,0))</f>
        <v>92041.249999999985</v>
      </c>
      <c r="P882">
        <f>IF(AND(MyRowHidden(ROW())=FALSE,MyRowHidden(ROW()-1)=TRUE),0,IF(M882&lt;totalMonths,(totalMonths-M882)/totalMonths *(J882-J881)+P881,0))</f>
        <v>713700</v>
      </c>
      <c r="Q882">
        <f>IF(AND(MyRowHidden(ROW())=FALSE,MyRowHidden(ROW()-1)=TRUE),0,IF(M882&lt;totalMonths,(totalMonths-M882)/totalMonths *(K882-K881)+Q881,0))</f>
        <v>-713700</v>
      </c>
      <c r="R882">
        <f t="shared" si="82"/>
        <v>811770</v>
      </c>
      <c r="S882">
        <f t="shared" si="83"/>
        <v>805741.25</v>
      </c>
    </row>
    <row r="883" spans="1:19" x14ac:dyDescent="0.25">
      <c r="A883" s="1"/>
      <c r="C883" s="1"/>
      <c r="D883" s="1">
        <v>42542</v>
      </c>
      <c r="E883">
        <v>35403</v>
      </c>
      <c r="F883" s="1">
        <v>42542</v>
      </c>
      <c r="G883">
        <v>-2812.5</v>
      </c>
      <c r="H883" s="1">
        <f t="shared" si="78"/>
        <v>42542</v>
      </c>
      <c r="I883">
        <f>IF(AND(MyRowHidden(ROW())=FALSE,MyRowHidden(ROW()-1)=TRUE),0,(E883-E882)*unitsOfDHp+I882)</f>
        <v>141155</v>
      </c>
      <c r="J883">
        <f>IF(AND(MyRowHidden(ROW())=FALSE,MyRowHidden(ROW()-1)=TRUE),0,(G883-G882)*unitsOfExo+J882)</f>
        <v>630000</v>
      </c>
      <c r="K883" s="9">
        <f t="shared" si="79"/>
        <v>-630000</v>
      </c>
      <c r="L883">
        <f t="shared" si="80"/>
        <v>771155</v>
      </c>
      <c r="M883">
        <f>IF(AND(MyRowHidden(ROW())=FALSE,MyRowHidden(ROW()-1)=TRUE),0,IF(MONTH(H883)&lt;&gt;MONTH(H882),M882+1,M882))</f>
        <v>5</v>
      </c>
      <c r="N883">
        <f t="shared" si="81"/>
        <v>141155</v>
      </c>
      <c r="O883">
        <f>IF(AND(MyRowHidden(ROW())=FALSE,MyRowHidden(ROW()-1)=TRUE),0,IF(M883&lt;totalMonths,(totalMonths-M883)/totalMonths *(I883-I882)+O882,0))</f>
        <v>117174.16666666666</v>
      </c>
      <c r="P883">
        <f>IF(AND(MyRowHidden(ROW())=FALSE,MyRowHidden(ROW()-1)=TRUE),0,IF(M883&lt;totalMonths,(totalMonths-M883)/totalMonths *(J883-J882)+P882,0))</f>
        <v>499500</v>
      </c>
      <c r="Q883">
        <f>IF(AND(MyRowHidden(ROW())=FALSE,MyRowHidden(ROW()-1)=TRUE),0,IF(M883&lt;totalMonths,(totalMonths-M883)/totalMonths *(K883-K882)+Q882,0))</f>
        <v>-499500</v>
      </c>
      <c r="R883">
        <f t="shared" si="82"/>
        <v>640655</v>
      </c>
      <c r="S883">
        <f t="shared" si="83"/>
        <v>616674.16666666663</v>
      </c>
    </row>
    <row r="884" spans="1:19" x14ac:dyDescent="0.25">
      <c r="A884" s="1"/>
      <c r="C884" s="1"/>
      <c r="D884" s="1">
        <v>42543</v>
      </c>
      <c r="E884">
        <v>35352</v>
      </c>
      <c r="F884" s="1">
        <v>42543</v>
      </c>
      <c r="G884">
        <v>-2825</v>
      </c>
      <c r="H884" s="1">
        <f t="shared" si="78"/>
        <v>42543</v>
      </c>
      <c r="I884">
        <f>IF(AND(MyRowHidden(ROW())=FALSE,MyRowHidden(ROW()-1)=TRUE),0,(E884-E883)*unitsOfDHp+I883)</f>
        <v>139370</v>
      </c>
      <c r="J884">
        <f>IF(AND(MyRowHidden(ROW())=FALSE,MyRowHidden(ROW()-1)=TRUE),0,(G884-G883)*unitsOfExo+J883)</f>
        <v>626400</v>
      </c>
      <c r="K884" s="9">
        <f t="shared" si="79"/>
        <v>-626400</v>
      </c>
      <c r="L884">
        <f t="shared" si="80"/>
        <v>765770</v>
      </c>
      <c r="M884">
        <f>IF(AND(MyRowHidden(ROW())=FALSE,MyRowHidden(ROW()-1)=TRUE),0,IF(MONTH(H884)&lt;&gt;MONTH(H883),M883+1,M883))</f>
        <v>5</v>
      </c>
      <c r="N884">
        <f t="shared" si="81"/>
        <v>139370</v>
      </c>
      <c r="O884">
        <f>IF(AND(MyRowHidden(ROW())=FALSE,MyRowHidden(ROW()-1)=TRUE),0,IF(M884&lt;totalMonths,(totalMonths-M884)/totalMonths *(I884-I883)+O883,0))</f>
        <v>116132.91666666666</v>
      </c>
      <c r="P884">
        <f>IF(AND(MyRowHidden(ROW())=FALSE,MyRowHidden(ROW()-1)=TRUE),0,IF(M884&lt;totalMonths,(totalMonths-M884)/totalMonths *(J884-J883)+P883,0))</f>
        <v>497400</v>
      </c>
      <c r="Q884">
        <f>IF(AND(MyRowHidden(ROW())=FALSE,MyRowHidden(ROW()-1)=TRUE),0,IF(M884&lt;totalMonths,(totalMonths-M884)/totalMonths *(K884-K883)+Q883,0))</f>
        <v>-497400</v>
      </c>
      <c r="R884">
        <f t="shared" si="82"/>
        <v>636770</v>
      </c>
      <c r="S884">
        <f t="shared" si="83"/>
        <v>613532.91666666663</v>
      </c>
    </row>
    <row r="885" spans="1:19" x14ac:dyDescent="0.25">
      <c r="A885" s="1"/>
      <c r="C885" s="1"/>
      <c r="D885" s="1">
        <v>42544</v>
      </c>
      <c r="E885">
        <v>35313</v>
      </c>
      <c r="F885" s="1">
        <v>42544</v>
      </c>
      <c r="G885">
        <v>-3287.5</v>
      </c>
      <c r="H885" s="1">
        <f t="shared" si="78"/>
        <v>42544</v>
      </c>
      <c r="I885">
        <f>IF(AND(MyRowHidden(ROW())=FALSE,MyRowHidden(ROW()-1)=TRUE),0,(E885-E884)*unitsOfDHp+I884)</f>
        <v>138005</v>
      </c>
      <c r="J885">
        <f>IF(AND(MyRowHidden(ROW())=FALSE,MyRowHidden(ROW()-1)=TRUE),0,(G885-G884)*unitsOfExo+J884)</f>
        <v>493200</v>
      </c>
      <c r="K885" s="9">
        <f t="shared" si="79"/>
        <v>-493200</v>
      </c>
      <c r="L885">
        <f t="shared" si="80"/>
        <v>631205</v>
      </c>
      <c r="M885">
        <f>IF(AND(MyRowHidden(ROW())=FALSE,MyRowHidden(ROW()-1)=TRUE),0,IF(MONTH(H885)&lt;&gt;MONTH(H884),M884+1,M884))</f>
        <v>5</v>
      </c>
      <c r="N885">
        <f t="shared" si="81"/>
        <v>138005</v>
      </c>
      <c r="O885">
        <f>IF(AND(MyRowHidden(ROW())=FALSE,MyRowHidden(ROW()-1)=TRUE),0,IF(M885&lt;totalMonths,(totalMonths-M885)/totalMonths *(I885-I884)+O884,0))</f>
        <v>115336.66666666666</v>
      </c>
      <c r="P885">
        <f>IF(AND(MyRowHidden(ROW())=FALSE,MyRowHidden(ROW()-1)=TRUE),0,IF(M885&lt;totalMonths,(totalMonths-M885)/totalMonths *(J885-J884)+P884,0))</f>
        <v>419700</v>
      </c>
      <c r="Q885">
        <f>IF(AND(MyRowHidden(ROW())=FALSE,MyRowHidden(ROW()-1)=TRUE),0,IF(M885&lt;totalMonths,(totalMonths-M885)/totalMonths *(K885-K884)+Q884,0))</f>
        <v>-419700</v>
      </c>
      <c r="R885">
        <f t="shared" si="82"/>
        <v>557705</v>
      </c>
      <c r="S885">
        <f t="shared" si="83"/>
        <v>535036.66666666663</v>
      </c>
    </row>
    <row r="886" spans="1:19" x14ac:dyDescent="0.25">
      <c r="A886" s="1"/>
      <c r="C886" s="1"/>
      <c r="D886" s="1">
        <v>42545</v>
      </c>
      <c r="E886">
        <v>35340</v>
      </c>
      <c r="F886" s="1">
        <v>42545</v>
      </c>
      <c r="G886">
        <v>-3587.5</v>
      </c>
      <c r="H886" s="1">
        <f t="shared" si="78"/>
        <v>42545</v>
      </c>
      <c r="I886">
        <f>IF(AND(MyRowHidden(ROW())=FALSE,MyRowHidden(ROW()-1)=TRUE),0,(E886-E885)*unitsOfDHp+I885)</f>
        <v>138950</v>
      </c>
      <c r="J886">
        <f>IF(AND(MyRowHidden(ROW())=FALSE,MyRowHidden(ROW()-1)=TRUE),0,(G886-G885)*unitsOfExo+J885)</f>
        <v>406800</v>
      </c>
      <c r="K886" s="9">
        <f t="shared" si="79"/>
        <v>-406800</v>
      </c>
      <c r="L886">
        <f t="shared" si="80"/>
        <v>545750</v>
      </c>
      <c r="M886">
        <f>IF(AND(MyRowHidden(ROW())=FALSE,MyRowHidden(ROW()-1)=TRUE),0,IF(MONTH(H886)&lt;&gt;MONTH(H885),M885+1,M885))</f>
        <v>5</v>
      </c>
      <c r="N886">
        <f t="shared" si="81"/>
        <v>138950</v>
      </c>
      <c r="O886">
        <f>IF(AND(MyRowHidden(ROW())=FALSE,MyRowHidden(ROW()-1)=TRUE),0,IF(M886&lt;totalMonths,(totalMonths-M886)/totalMonths *(I886-I885)+O885,0))</f>
        <v>115887.91666666666</v>
      </c>
      <c r="P886">
        <f>IF(AND(MyRowHidden(ROW())=FALSE,MyRowHidden(ROW()-1)=TRUE),0,IF(M886&lt;totalMonths,(totalMonths-M886)/totalMonths *(J886-J885)+P885,0))</f>
        <v>369300</v>
      </c>
      <c r="Q886">
        <f>IF(AND(MyRowHidden(ROW())=FALSE,MyRowHidden(ROW()-1)=TRUE),0,IF(M886&lt;totalMonths,(totalMonths-M886)/totalMonths *(K886-K885)+Q885,0))</f>
        <v>-369300</v>
      </c>
      <c r="R886">
        <f t="shared" si="82"/>
        <v>508250</v>
      </c>
      <c r="S886">
        <f t="shared" si="83"/>
        <v>485187.91666666663</v>
      </c>
    </row>
    <row r="887" spans="1:19" x14ac:dyDescent="0.25">
      <c r="A887" s="1"/>
      <c r="C887" s="1"/>
      <c r="D887" s="1">
        <v>42548</v>
      </c>
      <c r="E887">
        <v>35253</v>
      </c>
      <c r="F887" s="1">
        <v>42548</v>
      </c>
      <c r="G887">
        <v>-3450</v>
      </c>
      <c r="H887" s="1">
        <f t="shared" si="78"/>
        <v>42548</v>
      </c>
      <c r="I887">
        <f>IF(AND(MyRowHidden(ROW())=FALSE,MyRowHidden(ROW()-1)=TRUE),0,(E887-E886)*unitsOfDHp+I886)</f>
        <v>135905</v>
      </c>
      <c r="J887">
        <f>IF(AND(MyRowHidden(ROW())=FALSE,MyRowHidden(ROW()-1)=TRUE),0,(G887-G886)*unitsOfExo+J886)</f>
        <v>446400</v>
      </c>
      <c r="K887" s="9">
        <f t="shared" si="79"/>
        <v>-446400</v>
      </c>
      <c r="L887">
        <f t="shared" si="80"/>
        <v>582305</v>
      </c>
      <c r="M887">
        <f>IF(AND(MyRowHidden(ROW())=FALSE,MyRowHidden(ROW()-1)=TRUE),0,IF(MONTH(H887)&lt;&gt;MONTH(H886),M886+1,M886))</f>
        <v>5</v>
      </c>
      <c r="N887">
        <f t="shared" si="81"/>
        <v>135905</v>
      </c>
      <c r="O887">
        <f>IF(AND(MyRowHidden(ROW())=FALSE,MyRowHidden(ROW()-1)=TRUE),0,IF(M887&lt;totalMonths,(totalMonths-M887)/totalMonths *(I887-I886)+O886,0))</f>
        <v>114111.66666666666</v>
      </c>
      <c r="P887">
        <f>IF(AND(MyRowHidden(ROW())=FALSE,MyRowHidden(ROW()-1)=TRUE),0,IF(M887&lt;totalMonths,(totalMonths-M887)/totalMonths *(J887-J886)+P886,0))</f>
        <v>392400</v>
      </c>
      <c r="Q887">
        <f>IF(AND(MyRowHidden(ROW())=FALSE,MyRowHidden(ROW()-1)=TRUE),0,IF(M887&lt;totalMonths,(totalMonths-M887)/totalMonths *(K887-K886)+Q886,0))</f>
        <v>-392400</v>
      </c>
      <c r="R887">
        <f t="shared" si="82"/>
        <v>528305</v>
      </c>
      <c r="S887">
        <f t="shared" si="83"/>
        <v>506511.66666666663</v>
      </c>
    </row>
    <row r="888" spans="1:19" x14ac:dyDescent="0.25">
      <c r="A888" s="1"/>
      <c r="C888" s="1"/>
      <c r="D888" s="1">
        <v>42549</v>
      </c>
      <c r="E888">
        <v>35181</v>
      </c>
      <c r="F888" s="1">
        <v>42549</v>
      </c>
      <c r="G888">
        <v>-3400</v>
      </c>
      <c r="H888" s="1">
        <f t="shared" si="78"/>
        <v>42549</v>
      </c>
      <c r="I888">
        <f>IF(AND(MyRowHidden(ROW())=FALSE,MyRowHidden(ROW()-1)=TRUE),0,(E888-E887)*unitsOfDHp+I887)</f>
        <v>133385</v>
      </c>
      <c r="J888">
        <f>IF(AND(MyRowHidden(ROW())=FALSE,MyRowHidden(ROW()-1)=TRUE),0,(G888-G887)*unitsOfExo+J887)</f>
        <v>460800</v>
      </c>
      <c r="K888" s="9">
        <f t="shared" si="79"/>
        <v>-460800</v>
      </c>
      <c r="L888">
        <f t="shared" si="80"/>
        <v>594185</v>
      </c>
      <c r="M888">
        <f>IF(AND(MyRowHidden(ROW())=FALSE,MyRowHidden(ROW()-1)=TRUE),0,IF(MONTH(H888)&lt;&gt;MONTH(H887),M887+1,M887))</f>
        <v>5</v>
      </c>
      <c r="N888">
        <f t="shared" si="81"/>
        <v>133385</v>
      </c>
      <c r="O888">
        <f>IF(AND(MyRowHidden(ROW())=FALSE,MyRowHidden(ROW()-1)=TRUE),0,IF(M888&lt;totalMonths,(totalMonths-M888)/totalMonths *(I888-I887)+O887,0))</f>
        <v>112641.66666666666</v>
      </c>
      <c r="P888">
        <f>IF(AND(MyRowHidden(ROW())=FALSE,MyRowHidden(ROW()-1)=TRUE),0,IF(M888&lt;totalMonths,(totalMonths-M888)/totalMonths *(J888-J887)+P887,0))</f>
        <v>400800</v>
      </c>
      <c r="Q888">
        <f>IF(AND(MyRowHidden(ROW())=FALSE,MyRowHidden(ROW()-1)=TRUE),0,IF(M888&lt;totalMonths,(totalMonths-M888)/totalMonths *(K888-K887)+Q887,0))</f>
        <v>-400800</v>
      </c>
      <c r="R888">
        <f t="shared" si="82"/>
        <v>534185</v>
      </c>
      <c r="S888">
        <f t="shared" si="83"/>
        <v>513441.66666666663</v>
      </c>
    </row>
    <row r="889" spans="1:19" x14ac:dyDescent="0.25">
      <c r="A889" s="1"/>
      <c r="C889" s="1"/>
      <c r="D889" s="1">
        <v>42550</v>
      </c>
      <c r="E889">
        <v>36240</v>
      </c>
      <c r="F889" s="1">
        <v>42550</v>
      </c>
      <c r="G889">
        <v>-3987.5</v>
      </c>
      <c r="H889" s="1">
        <f t="shared" si="78"/>
        <v>42550</v>
      </c>
      <c r="I889">
        <f>IF(AND(MyRowHidden(ROW())=FALSE,MyRowHidden(ROW()-1)=TRUE),0,(E889-E888)*unitsOfDHp+I888)</f>
        <v>170450</v>
      </c>
      <c r="J889">
        <f>IF(AND(MyRowHidden(ROW())=FALSE,MyRowHidden(ROW()-1)=TRUE),0,(G889-G888)*unitsOfExo+J888)</f>
        <v>291600</v>
      </c>
      <c r="K889" s="9">
        <f t="shared" si="79"/>
        <v>-291600</v>
      </c>
      <c r="L889">
        <f t="shared" si="80"/>
        <v>462050</v>
      </c>
      <c r="M889">
        <f>IF(AND(MyRowHidden(ROW())=FALSE,MyRowHidden(ROW()-1)=TRUE),0,IF(MONTH(H889)&lt;&gt;MONTH(H888),M888+1,M888))</f>
        <v>5</v>
      </c>
      <c r="N889">
        <f t="shared" si="81"/>
        <v>170450</v>
      </c>
      <c r="O889">
        <f>IF(AND(MyRowHidden(ROW())=FALSE,MyRowHidden(ROW()-1)=TRUE),0,IF(M889&lt;totalMonths,(totalMonths-M889)/totalMonths *(I889-I888)+O888,0))</f>
        <v>134262.91666666666</v>
      </c>
      <c r="P889">
        <f>IF(AND(MyRowHidden(ROW())=FALSE,MyRowHidden(ROW()-1)=TRUE),0,IF(M889&lt;totalMonths,(totalMonths-M889)/totalMonths *(J889-J888)+P888,0))</f>
        <v>302100</v>
      </c>
      <c r="Q889">
        <f>IF(AND(MyRowHidden(ROW())=FALSE,MyRowHidden(ROW()-1)=TRUE),0,IF(M889&lt;totalMonths,(totalMonths-M889)/totalMonths *(K889-K888)+Q888,0))</f>
        <v>-302100</v>
      </c>
      <c r="R889">
        <f t="shared" si="82"/>
        <v>472550</v>
      </c>
      <c r="S889">
        <f t="shared" si="83"/>
        <v>436362.91666666663</v>
      </c>
    </row>
    <row r="890" spans="1:19" x14ac:dyDescent="0.25">
      <c r="A890" s="1"/>
      <c r="C890" s="1"/>
      <c r="D890" s="1">
        <v>42551</v>
      </c>
      <c r="E890">
        <v>37626</v>
      </c>
      <c r="F890" s="1">
        <v>42551</v>
      </c>
      <c r="G890">
        <v>-4700</v>
      </c>
      <c r="H890" s="1">
        <f t="shared" si="78"/>
        <v>42551</v>
      </c>
      <c r="I890">
        <f>IF(AND(MyRowHidden(ROW())=FALSE,MyRowHidden(ROW()-1)=TRUE),0,(E890-E889)*unitsOfDHp+I889)</f>
        <v>218960</v>
      </c>
      <c r="J890">
        <f>IF(AND(MyRowHidden(ROW())=FALSE,MyRowHidden(ROW()-1)=TRUE),0,(G890-G889)*unitsOfExo+J889)</f>
        <v>86400</v>
      </c>
      <c r="K890" s="9">
        <f t="shared" si="79"/>
        <v>-86400</v>
      </c>
      <c r="L890">
        <f t="shared" si="80"/>
        <v>305360</v>
      </c>
      <c r="M890">
        <f>IF(AND(MyRowHidden(ROW())=FALSE,MyRowHidden(ROW()-1)=TRUE),0,IF(MONTH(H890)&lt;&gt;MONTH(H889),M889+1,M889))</f>
        <v>5</v>
      </c>
      <c r="N890">
        <f t="shared" si="81"/>
        <v>218960</v>
      </c>
      <c r="O890">
        <f>IF(AND(MyRowHidden(ROW())=FALSE,MyRowHidden(ROW()-1)=TRUE),0,IF(M890&lt;totalMonths,(totalMonths-M890)/totalMonths *(I890-I889)+O889,0))</f>
        <v>162560.41666666666</v>
      </c>
      <c r="P890">
        <f>IF(AND(MyRowHidden(ROW())=FALSE,MyRowHidden(ROW()-1)=TRUE),0,IF(M890&lt;totalMonths,(totalMonths-M890)/totalMonths *(J890-J889)+P889,0))</f>
        <v>182400</v>
      </c>
      <c r="Q890">
        <f>IF(AND(MyRowHidden(ROW())=FALSE,MyRowHidden(ROW()-1)=TRUE),0,IF(M890&lt;totalMonths,(totalMonths-M890)/totalMonths *(K890-K889)+Q889,0))</f>
        <v>-182400</v>
      </c>
      <c r="R890">
        <f t="shared" si="82"/>
        <v>401360</v>
      </c>
      <c r="S890">
        <f t="shared" si="83"/>
        <v>344960.41666666663</v>
      </c>
    </row>
    <row r="891" spans="1:19" x14ac:dyDescent="0.25">
      <c r="A891" s="1"/>
      <c r="C891" s="1"/>
      <c r="D891" s="1">
        <v>42552</v>
      </c>
      <c r="E891">
        <v>38531</v>
      </c>
      <c r="F891" s="1">
        <v>42552</v>
      </c>
      <c r="G891">
        <v>-5025</v>
      </c>
      <c r="H891" s="1">
        <f t="shared" si="78"/>
        <v>42552</v>
      </c>
      <c r="I891">
        <f>IF(AND(MyRowHidden(ROW())=FALSE,MyRowHidden(ROW()-1)=TRUE),0,(E891-E890)*unitsOfDHp+I890)</f>
        <v>250635</v>
      </c>
      <c r="J891">
        <f>IF(AND(MyRowHidden(ROW())=FALSE,MyRowHidden(ROW()-1)=TRUE),0,(G891-G890)*unitsOfExo+J890)</f>
        <v>-7200</v>
      </c>
      <c r="K891" s="9">
        <f t="shared" si="79"/>
        <v>7200</v>
      </c>
      <c r="L891">
        <f t="shared" si="80"/>
        <v>243435</v>
      </c>
      <c r="M891">
        <f>IF(AND(MyRowHidden(ROW())=FALSE,MyRowHidden(ROW()-1)=TRUE),0,IF(MONTH(H891)&lt;&gt;MONTH(H890),M890+1,M890))</f>
        <v>6</v>
      </c>
      <c r="N891">
        <f t="shared" si="81"/>
        <v>250635</v>
      </c>
      <c r="O891">
        <f>IF(AND(MyRowHidden(ROW())=FALSE,MyRowHidden(ROW()-1)=TRUE),0,IF(M891&lt;totalMonths,(totalMonths-M891)/totalMonths *(I891-I890)+O890,0))</f>
        <v>178397.91666666666</v>
      </c>
      <c r="P891">
        <f>IF(AND(MyRowHidden(ROW())=FALSE,MyRowHidden(ROW()-1)=TRUE),0,IF(M891&lt;totalMonths,(totalMonths-M891)/totalMonths *(J891-J890)+P890,0))</f>
        <v>135600</v>
      </c>
      <c r="Q891">
        <f>IF(AND(MyRowHidden(ROW())=FALSE,MyRowHidden(ROW()-1)=TRUE),0,IF(M891&lt;totalMonths,(totalMonths-M891)/totalMonths *(K891-K890)+Q890,0))</f>
        <v>-135600</v>
      </c>
      <c r="R891">
        <f t="shared" si="82"/>
        <v>386235</v>
      </c>
      <c r="S891">
        <f t="shared" si="83"/>
        <v>313997.91666666663</v>
      </c>
    </row>
    <row r="892" spans="1:19" x14ac:dyDescent="0.25">
      <c r="A892" s="1"/>
      <c r="C892" s="1"/>
      <c r="D892" s="1">
        <v>42556</v>
      </c>
      <c r="E892">
        <v>39496</v>
      </c>
      <c r="F892" s="1">
        <v>42556</v>
      </c>
      <c r="G892">
        <v>-5600</v>
      </c>
      <c r="H892" s="1">
        <f t="shared" si="78"/>
        <v>42556</v>
      </c>
      <c r="I892">
        <f>IF(AND(MyRowHidden(ROW())=FALSE,MyRowHidden(ROW()-1)=TRUE),0,(E892-E891)*unitsOfDHp+I891)</f>
        <v>284410</v>
      </c>
      <c r="J892">
        <f>IF(AND(MyRowHidden(ROW())=FALSE,MyRowHidden(ROW()-1)=TRUE),0,(G892-G891)*unitsOfExo+J891)</f>
        <v>-172800</v>
      </c>
      <c r="K892" s="9">
        <f t="shared" si="79"/>
        <v>172800</v>
      </c>
      <c r="L892">
        <f t="shared" si="80"/>
        <v>111610</v>
      </c>
      <c r="M892">
        <f>IF(AND(MyRowHidden(ROW())=FALSE,MyRowHidden(ROW()-1)=TRUE),0,IF(MONTH(H892)&lt;&gt;MONTH(H891),M891+1,M891))</f>
        <v>6</v>
      </c>
      <c r="N892">
        <f t="shared" si="81"/>
        <v>284410</v>
      </c>
      <c r="O892">
        <f>IF(AND(MyRowHidden(ROW())=FALSE,MyRowHidden(ROW()-1)=TRUE),0,IF(M892&lt;totalMonths,(totalMonths-M892)/totalMonths *(I892-I891)+O891,0))</f>
        <v>195285.41666666666</v>
      </c>
      <c r="P892">
        <f>IF(AND(MyRowHidden(ROW())=FALSE,MyRowHidden(ROW()-1)=TRUE),0,IF(M892&lt;totalMonths,(totalMonths-M892)/totalMonths *(J892-J891)+P891,0))</f>
        <v>52800</v>
      </c>
      <c r="Q892">
        <f>IF(AND(MyRowHidden(ROW())=FALSE,MyRowHidden(ROW()-1)=TRUE),0,IF(M892&lt;totalMonths,(totalMonths-M892)/totalMonths *(K892-K891)+Q891,0))</f>
        <v>-52800</v>
      </c>
      <c r="R892">
        <f t="shared" si="82"/>
        <v>337210</v>
      </c>
      <c r="S892">
        <f t="shared" si="83"/>
        <v>248085.41666666666</v>
      </c>
    </row>
    <row r="893" spans="1:19" x14ac:dyDescent="0.25">
      <c r="A893" s="1"/>
      <c r="C893" s="1"/>
      <c r="D893" s="1">
        <v>42557</v>
      </c>
      <c r="E893">
        <v>39973</v>
      </c>
      <c r="F893" s="1">
        <v>42557</v>
      </c>
      <c r="G893">
        <v>-5775</v>
      </c>
      <c r="H893" s="1">
        <f t="shared" si="78"/>
        <v>42557</v>
      </c>
      <c r="I893">
        <f>IF(AND(MyRowHidden(ROW())=FALSE,MyRowHidden(ROW()-1)=TRUE),0,(E893-E892)*unitsOfDHp+I892)</f>
        <v>301105</v>
      </c>
      <c r="J893">
        <f>IF(AND(MyRowHidden(ROW())=FALSE,MyRowHidden(ROW()-1)=TRUE),0,(G893-G892)*unitsOfExo+J892)</f>
        <v>-223200</v>
      </c>
      <c r="K893" s="9">
        <f t="shared" si="79"/>
        <v>223200</v>
      </c>
      <c r="L893">
        <f t="shared" si="80"/>
        <v>77905</v>
      </c>
      <c r="M893">
        <f>IF(AND(MyRowHidden(ROW())=FALSE,MyRowHidden(ROW()-1)=TRUE),0,IF(MONTH(H893)&lt;&gt;MONTH(H892),M892+1,M892))</f>
        <v>6</v>
      </c>
      <c r="N893">
        <f t="shared" si="81"/>
        <v>301105</v>
      </c>
      <c r="O893">
        <f>IF(AND(MyRowHidden(ROW())=FALSE,MyRowHidden(ROW()-1)=TRUE),0,IF(M893&lt;totalMonths,(totalMonths-M893)/totalMonths *(I893-I892)+O892,0))</f>
        <v>203632.91666666666</v>
      </c>
      <c r="P893">
        <f>IF(AND(MyRowHidden(ROW())=FALSE,MyRowHidden(ROW()-1)=TRUE),0,IF(M893&lt;totalMonths,(totalMonths-M893)/totalMonths *(J893-J892)+P892,0))</f>
        <v>27600</v>
      </c>
      <c r="Q893">
        <f>IF(AND(MyRowHidden(ROW())=FALSE,MyRowHidden(ROW()-1)=TRUE),0,IF(M893&lt;totalMonths,(totalMonths-M893)/totalMonths *(K893-K892)+Q892,0))</f>
        <v>-27600</v>
      </c>
      <c r="R893">
        <f t="shared" si="82"/>
        <v>328705</v>
      </c>
      <c r="S893">
        <f t="shared" si="83"/>
        <v>231232.91666666666</v>
      </c>
    </row>
    <row r="894" spans="1:19" x14ac:dyDescent="0.25">
      <c r="A894" s="1"/>
      <c r="C894" s="1"/>
      <c r="D894" s="1">
        <v>42558</v>
      </c>
      <c r="E894">
        <v>40003</v>
      </c>
      <c r="F894" s="1">
        <v>42558</v>
      </c>
      <c r="G894">
        <v>-5900</v>
      </c>
      <c r="H894" s="1">
        <f t="shared" si="78"/>
        <v>42558</v>
      </c>
      <c r="I894">
        <f>IF(AND(MyRowHidden(ROW())=FALSE,MyRowHidden(ROW()-1)=TRUE),0,(E894-E893)*unitsOfDHp+I893)</f>
        <v>302155</v>
      </c>
      <c r="J894">
        <f>IF(AND(MyRowHidden(ROW())=FALSE,MyRowHidden(ROW()-1)=TRUE),0,(G894-G893)*unitsOfExo+J893)</f>
        <v>-259200</v>
      </c>
      <c r="K894" s="9">
        <f t="shared" si="79"/>
        <v>259200</v>
      </c>
      <c r="L894">
        <f t="shared" si="80"/>
        <v>42955</v>
      </c>
      <c r="M894">
        <f>IF(AND(MyRowHidden(ROW())=FALSE,MyRowHidden(ROW()-1)=TRUE),0,IF(MONTH(H894)&lt;&gt;MONTH(H893),M893+1,M893))</f>
        <v>6</v>
      </c>
      <c r="N894">
        <f t="shared" si="81"/>
        <v>302155</v>
      </c>
      <c r="O894">
        <f>IF(AND(MyRowHidden(ROW())=FALSE,MyRowHidden(ROW()-1)=TRUE),0,IF(M894&lt;totalMonths,(totalMonths-M894)/totalMonths *(I894-I893)+O893,0))</f>
        <v>204157.91666666666</v>
      </c>
      <c r="P894">
        <f>IF(AND(MyRowHidden(ROW())=FALSE,MyRowHidden(ROW()-1)=TRUE),0,IF(M894&lt;totalMonths,(totalMonths-M894)/totalMonths *(J894-J893)+P893,0))</f>
        <v>9600</v>
      </c>
      <c r="Q894">
        <f>IF(AND(MyRowHidden(ROW())=FALSE,MyRowHidden(ROW()-1)=TRUE),0,IF(M894&lt;totalMonths,(totalMonths-M894)/totalMonths *(K894-K893)+Q893,0))</f>
        <v>-9600</v>
      </c>
      <c r="R894">
        <f t="shared" si="82"/>
        <v>311755</v>
      </c>
      <c r="S894">
        <f t="shared" si="83"/>
        <v>213757.91666666666</v>
      </c>
    </row>
    <row r="895" spans="1:19" x14ac:dyDescent="0.25">
      <c r="A895" s="1"/>
      <c r="C895" s="1"/>
      <c r="D895" s="1">
        <v>42559</v>
      </c>
      <c r="E895">
        <v>39769</v>
      </c>
      <c r="F895" s="1">
        <v>42559</v>
      </c>
      <c r="G895">
        <v>-5237.5</v>
      </c>
      <c r="H895" s="1">
        <f t="shared" si="78"/>
        <v>42559</v>
      </c>
      <c r="I895">
        <f>IF(AND(MyRowHidden(ROW())=FALSE,MyRowHidden(ROW()-1)=TRUE),0,(E895-E894)*unitsOfDHp+I894)</f>
        <v>293965</v>
      </c>
      <c r="J895">
        <f>IF(AND(MyRowHidden(ROW())=FALSE,MyRowHidden(ROW()-1)=TRUE),0,(G895-G894)*unitsOfExo+J894)</f>
        <v>-68400</v>
      </c>
      <c r="K895" s="9">
        <f t="shared" si="79"/>
        <v>68400</v>
      </c>
      <c r="L895">
        <f t="shared" si="80"/>
        <v>225565</v>
      </c>
      <c r="M895">
        <f>IF(AND(MyRowHidden(ROW())=FALSE,MyRowHidden(ROW()-1)=TRUE),0,IF(MONTH(H895)&lt;&gt;MONTH(H894),M894+1,M894))</f>
        <v>6</v>
      </c>
      <c r="N895">
        <f t="shared" si="81"/>
        <v>293965</v>
      </c>
      <c r="O895">
        <f>IF(AND(MyRowHidden(ROW())=FALSE,MyRowHidden(ROW()-1)=TRUE),0,IF(M895&lt;totalMonths,(totalMonths-M895)/totalMonths *(I895-I894)+O894,0))</f>
        <v>200062.91666666666</v>
      </c>
      <c r="P895">
        <f>IF(AND(MyRowHidden(ROW())=FALSE,MyRowHidden(ROW()-1)=TRUE),0,IF(M895&lt;totalMonths,(totalMonths-M895)/totalMonths *(J895-J894)+P894,0))</f>
        <v>105000</v>
      </c>
      <c r="Q895">
        <f>IF(AND(MyRowHidden(ROW())=FALSE,MyRowHidden(ROW()-1)=TRUE),0,IF(M895&lt;totalMonths,(totalMonths-M895)/totalMonths *(K895-K894)+Q894,0))</f>
        <v>-105000</v>
      </c>
      <c r="R895">
        <f t="shared" si="82"/>
        <v>398965</v>
      </c>
      <c r="S895">
        <f t="shared" si="83"/>
        <v>305062.91666666663</v>
      </c>
    </row>
    <row r="896" spans="1:19" x14ac:dyDescent="0.25">
      <c r="A896" s="1"/>
      <c r="D896" s="1">
        <v>42562</v>
      </c>
      <c r="E896">
        <v>39750</v>
      </c>
      <c r="F896" s="1">
        <v>42562</v>
      </c>
      <c r="G896">
        <v>-5512.5</v>
      </c>
      <c r="H896" s="1">
        <f t="shared" si="78"/>
        <v>42562</v>
      </c>
      <c r="I896">
        <f>IF(AND(MyRowHidden(ROW())=FALSE,MyRowHidden(ROW()-1)=TRUE),0,(E896-E895)*unitsOfDHp+I895)</f>
        <v>293300</v>
      </c>
      <c r="J896">
        <f>IF(AND(MyRowHidden(ROW())=FALSE,MyRowHidden(ROW()-1)=TRUE),0,(G896-G895)*unitsOfExo+J895)</f>
        <v>-147600</v>
      </c>
      <c r="K896" s="9">
        <f t="shared" si="79"/>
        <v>147600</v>
      </c>
      <c r="L896">
        <f t="shared" si="80"/>
        <v>145700</v>
      </c>
      <c r="M896">
        <f>IF(AND(MyRowHidden(ROW())=FALSE,MyRowHidden(ROW()-1)=TRUE),0,IF(MONTH(H896)&lt;&gt;MONTH(H895),M895+1,M895))</f>
        <v>6</v>
      </c>
      <c r="N896">
        <f t="shared" si="81"/>
        <v>293300</v>
      </c>
      <c r="O896">
        <f>IF(AND(MyRowHidden(ROW())=FALSE,MyRowHidden(ROW()-1)=TRUE),0,IF(M896&lt;totalMonths,(totalMonths-M896)/totalMonths *(I896-I895)+O895,0))</f>
        <v>199730.41666666666</v>
      </c>
      <c r="P896">
        <f>IF(AND(MyRowHidden(ROW())=FALSE,MyRowHidden(ROW()-1)=TRUE),0,IF(M896&lt;totalMonths,(totalMonths-M896)/totalMonths *(J896-J895)+P895,0))</f>
        <v>65400</v>
      </c>
      <c r="Q896">
        <f>IF(AND(MyRowHidden(ROW())=FALSE,MyRowHidden(ROW()-1)=TRUE),0,IF(M896&lt;totalMonths,(totalMonths-M896)/totalMonths *(K896-K895)+Q895,0))</f>
        <v>-65400</v>
      </c>
      <c r="R896">
        <f t="shared" si="82"/>
        <v>358700</v>
      </c>
      <c r="S896">
        <f t="shared" si="83"/>
        <v>265130.41666666663</v>
      </c>
    </row>
    <row r="897" spans="1:19" x14ac:dyDescent="0.25">
      <c r="A897" s="1"/>
      <c r="D897" s="1">
        <v>42563</v>
      </c>
      <c r="E897">
        <v>39597</v>
      </c>
      <c r="F897" s="1">
        <v>42563</v>
      </c>
      <c r="G897">
        <v>-5162.5</v>
      </c>
      <c r="H897" s="1">
        <f t="shared" si="78"/>
        <v>42563</v>
      </c>
      <c r="I897">
        <f>IF(AND(MyRowHidden(ROW())=FALSE,MyRowHidden(ROW()-1)=TRUE),0,(E897-E896)*unitsOfDHp+I896)</f>
        <v>287945</v>
      </c>
      <c r="J897">
        <f>IF(AND(MyRowHidden(ROW())=FALSE,MyRowHidden(ROW()-1)=TRUE),0,(G897-G896)*unitsOfExo+J896)</f>
        <v>-46800</v>
      </c>
      <c r="K897" s="9">
        <f t="shared" si="79"/>
        <v>46800</v>
      </c>
      <c r="L897">
        <f t="shared" si="80"/>
        <v>241145</v>
      </c>
      <c r="M897">
        <f>IF(AND(MyRowHidden(ROW())=FALSE,MyRowHidden(ROW()-1)=TRUE),0,IF(MONTH(H897)&lt;&gt;MONTH(H896),M896+1,M896))</f>
        <v>6</v>
      </c>
      <c r="N897">
        <f t="shared" si="81"/>
        <v>287945</v>
      </c>
      <c r="O897">
        <f>IF(AND(MyRowHidden(ROW())=FALSE,MyRowHidden(ROW()-1)=TRUE),0,IF(M897&lt;totalMonths,(totalMonths-M897)/totalMonths *(I897-I896)+O896,0))</f>
        <v>197052.91666666666</v>
      </c>
      <c r="P897">
        <f>IF(AND(MyRowHidden(ROW())=FALSE,MyRowHidden(ROW()-1)=TRUE),0,IF(M897&lt;totalMonths,(totalMonths-M897)/totalMonths *(J897-J896)+P896,0))</f>
        <v>115800</v>
      </c>
      <c r="Q897">
        <f>IF(AND(MyRowHidden(ROW())=FALSE,MyRowHidden(ROW()-1)=TRUE),0,IF(M897&lt;totalMonths,(totalMonths-M897)/totalMonths *(K897-K896)+Q896,0))</f>
        <v>-115800</v>
      </c>
      <c r="R897">
        <f t="shared" si="82"/>
        <v>403745</v>
      </c>
      <c r="S897">
        <f t="shared" si="83"/>
        <v>312852.91666666663</v>
      </c>
    </row>
    <row r="898" spans="1:19" x14ac:dyDescent="0.25">
      <c r="D898" s="1">
        <v>42564</v>
      </c>
      <c r="E898">
        <v>39599</v>
      </c>
      <c r="F898" s="1">
        <v>42564</v>
      </c>
      <c r="G898">
        <v>-4675</v>
      </c>
      <c r="H898" s="1">
        <f t="shared" si="78"/>
        <v>42564</v>
      </c>
      <c r="I898">
        <f>IF(AND(MyRowHidden(ROW())=FALSE,MyRowHidden(ROW()-1)=TRUE),0,(E898-E897)*unitsOfDHp+I897)</f>
        <v>288015</v>
      </c>
      <c r="J898">
        <f>IF(AND(MyRowHidden(ROW())=FALSE,MyRowHidden(ROW()-1)=TRUE),0,(G898-G897)*unitsOfExo+J897)</f>
        <v>93600</v>
      </c>
      <c r="K898" s="9">
        <f t="shared" si="79"/>
        <v>-93600</v>
      </c>
      <c r="L898">
        <f t="shared" si="80"/>
        <v>381615</v>
      </c>
      <c r="M898">
        <f>IF(AND(MyRowHidden(ROW())=FALSE,MyRowHidden(ROW()-1)=TRUE),0,IF(MONTH(H898)&lt;&gt;MONTH(H897),M897+1,M897))</f>
        <v>6</v>
      </c>
      <c r="N898">
        <f t="shared" si="81"/>
        <v>288015</v>
      </c>
      <c r="O898">
        <f>IF(AND(MyRowHidden(ROW())=FALSE,MyRowHidden(ROW()-1)=TRUE),0,IF(M898&lt;totalMonths,(totalMonths-M898)/totalMonths *(I898-I897)+O897,0))</f>
        <v>197087.91666666666</v>
      </c>
      <c r="P898">
        <f>IF(AND(MyRowHidden(ROW())=FALSE,MyRowHidden(ROW()-1)=TRUE),0,IF(M898&lt;totalMonths,(totalMonths-M898)/totalMonths *(J898-J897)+P897,0))</f>
        <v>186000</v>
      </c>
      <c r="Q898">
        <f>IF(AND(MyRowHidden(ROW())=FALSE,MyRowHidden(ROW()-1)=TRUE),0,IF(M898&lt;totalMonths,(totalMonths-M898)/totalMonths *(K898-K897)+Q897,0))</f>
        <v>-186000</v>
      </c>
      <c r="R898">
        <f t="shared" si="82"/>
        <v>474015</v>
      </c>
      <c r="S898">
        <f t="shared" si="83"/>
        <v>383087.91666666663</v>
      </c>
    </row>
    <row r="899" spans="1:19" x14ac:dyDescent="0.25">
      <c r="D899" s="1">
        <v>42565</v>
      </c>
      <c r="E899">
        <v>39687</v>
      </c>
      <c r="F899" s="1">
        <v>42565</v>
      </c>
      <c r="G899">
        <v>-4862.5</v>
      </c>
      <c r="H899" s="1">
        <f t="shared" si="78"/>
        <v>42565</v>
      </c>
      <c r="I899">
        <f>IF(AND(MyRowHidden(ROW())=FALSE,MyRowHidden(ROW()-1)=TRUE),0,(E899-E898)*unitsOfDHp+I898)</f>
        <v>291095</v>
      </c>
      <c r="J899">
        <f>IF(AND(MyRowHidden(ROW())=FALSE,MyRowHidden(ROW()-1)=TRUE),0,(G899-G898)*unitsOfExo+J898)</f>
        <v>39600</v>
      </c>
      <c r="K899" s="9">
        <f t="shared" si="79"/>
        <v>-39600</v>
      </c>
      <c r="L899">
        <f t="shared" si="80"/>
        <v>330695</v>
      </c>
      <c r="M899">
        <f>IF(AND(MyRowHidden(ROW())=FALSE,MyRowHidden(ROW()-1)=TRUE),0,IF(MONTH(H899)&lt;&gt;MONTH(H898),M898+1,M898))</f>
        <v>6</v>
      </c>
      <c r="N899">
        <f t="shared" si="81"/>
        <v>291095</v>
      </c>
      <c r="O899">
        <f>IF(AND(MyRowHidden(ROW())=FALSE,MyRowHidden(ROW()-1)=TRUE),0,IF(M899&lt;totalMonths,(totalMonths-M899)/totalMonths *(I899-I898)+O898,0))</f>
        <v>198627.91666666666</v>
      </c>
      <c r="P899">
        <f>IF(AND(MyRowHidden(ROW())=FALSE,MyRowHidden(ROW()-1)=TRUE),0,IF(M899&lt;totalMonths,(totalMonths-M899)/totalMonths *(J899-J898)+P898,0))</f>
        <v>159000</v>
      </c>
      <c r="Q899">
        <f>IF(AND(MyRowHidden(ROW())=FALSE,MyRowHidden(ROW()-1)=TRUE),0,IF(M899&lt;totalMonths,(totalMonths-M899)/totalMonths *(K899-K898)+Q898,0))</f>
        <v>-159000</v>
      </c>
      <c r="R899">
        <f t="shared" si="82"/>
        <v>450095</v>
      </c>
      <c r="S899">
        <f t="shared" si="83"/>
        <v>357627.91666666663</v>
      </c>
    </row>
    <row r="900" spans="1:19" x14ac:dyDescent="0.25">
      <c r="D900" s="1">
        <v>42566</v>
      </c>
      <c r="E900">
        <v>39860</v>
      </c>
      <c r="F900" s="1">
        <v>42566</v>
      </c>
      <c r="G900">
        <v>-5125</v>
      </c>
      <c r="H900" s="1">
        <f t="shared" si="78"/>
        <v>42566</v>
      </c>
      <c r="I900">
        <f>IF(AND(MyRowHidden(ROW())=FALSE,MyRowHidden(ROW()-1)=TRUE),0,(E900-E899)*unitsOfDHp+I899)</f>
        <v>297150</v>
      </c>
      <c r="J900">
        <f>IF(AND(MyRowHidden(ROW())=FALSE,MyRowHidden(ROW()-1)=TRUE),0,(G900-G899)*unitsOfExo+J899)</f>
        <v>-36000</v>
      </c>
      <c r="K900" s="9">
        <f t="shared" si="79"/>
        <v>36000</v>
      </c>
      <c r="L900">
        <f t="shared" si="80"/>
        <v>261150</v>
      </c>
      <c r="M900">
        <f>IF(AND(MyRowHidden(ROW())=FALSE,MyRowHidden(ROW()-1)=TRUE),0,IF(MONTH(H900)&lt;&gt;MONTH(H899),M899+1,M899))</f>
        <v>6</v>
      </c>
      <c r="N900">
        <f t="shared" si="81"/>
        <v>297150</v>
      </c>
      <c r="O900">
        <f>IF(AND(MyRowHidden(ROW())=FALSE,MyRowHidden(ROW()-1)=TRUE),0,IF(M900&lt;totalMonths,(totalMonths-M900)/totalMonths *(I900-I899)+O899,0))</f>
        <v>201655.41666666666</v>
      </c>
      <c r="P900">
        <f>IF(AND(MyRowHidden(ROW())=FALSE,MyRowHidden(ROW()-1)=TRUE),0,IF(M900&lt;totalMonths,(totalMonths-M900)/totalMonths *(J900-J899)+P899,0))</f>
        <v>121200</v>
      </c>
      <c r="Q900">
        <f>IF(AND(MyRowHidden(ROW())=FALSE,MyRowHidden(ROW()-1)=TRUE),0,IF(M900&lt;totalMonths,(totalMonths-M900)/totalMonths *(K900-K899)+Q899,0))</f>
        <v>-121200</v>
      </c>
      <c r="R900">
        <f t="shared" si="82"/>
        <v>418350</v>
      </c>
      <c r="S900">
        <f t="shared" si="83"/>
        <v>322855.41666666663</v>
      </c>
    </row>
    <row r="901" spans="1:19" x14ac:dyDescent="0.25">
      <c r="D901" s="1">
        <v>42569</v>
      </c>
      <c r="E901">
        <v>39822</v>
      </c>
      <c r="F901" s="1">
        <v>42569</v>
      </c>
      <c r="G901">
        <v>-5012.5</v>
      </c>
      <c r="H901" s="1">
        <f t="shared" si="78"/>
        <v>42569</v>
      </c>
      <c r="I901">
        <f>IF(AND(MyRowHidden(ROW())=FALSE,MyRowHidden(ROW()-1)=TRUE),0,(E901-E900)*unitsOfDHp+I900)</f>
        <v>295820</v>
      </c>
      <c r="J901">
        <f>IF(AND(MyRowHidden(ROW())=FALSE,MyRowHidden(ROW()-1)=TRUE),0,(G901-G900)*unitsOfExo+J900)</f>
        <v>-3600</v>
      </c>
      <c r="K901" s="9">
        <f t="shared" si="79"/>
        <v>3600</v>
      </c>
      <c r="L901">
        <f t="shared" si="80"/>
        <v>292220</v>
      </c>
      <c r="M901">
        <f>IF(AND(MyRowHidden(ROW())=FALSE,MyRowHidden(ROW()-1)=TRUE),0,IF(MONTH(H901)&lt;&gt;MONTH(H900),M900+1,M900))</f>
        <v>6</v>
      </c>
      <c r="N901">
        <f t="shared" si="81"/>
        <v>295820</v>
      </c>
      <c r="O901">
        <f>IF(AND(MyRowHidden(ROW())=FALSE,MyRowHidden(ROW()-1)=TRUE),0,IF(M901&lt;totalMonths,(totalMonths-M901)/totalMonths *(I901-I900)+O900,0))</f>
        <v>200990.41666666666</v>
      </c>
      <c r="P901">
        <f>IF(AND(MyRowHidden(ROW())=FALSE,MyRowHidden(ROW()-1)=TRUE),0,IF(M901&lt;totalMonths,(totalMonths-M901)/totalMonths *(J901-J900)+P900,0))</f>
        <v>137400</v>
      </c>
      <c r="Q901">
        <f>IF(AND(MyRowHidden(ROW())=FALSE,MyRowHidden(ROW()-1)=TRUE),0,IF(M901&lt;totalMonths,(totalMonths-M901)/totalMonths *(K901-K900)+Q900,0))</f>
        <v>-137400</v>
      </c>
      <c r="R901">
        <f t="shared" si="82"/>
        <v>433220</v>
      </c>
      <c r="S901">
        <f t="shared" si="83"/>
        <v>338390.41666666663</v>
      </c>
    </row>
    <row r="902" spans="1:19" x14ac:dyDescent="0.25">
      <c r="D902" s="1">
        <v>42570</v>
      </c>
      <c r="E902">
        <v>39833</v>
      </c>
      <c r="F902" s="1">
        <v>42570</v>
      </c>
      <c r="G902">
        <v>-5600</v>
      </c>
      <c r="H902" s="1">
        <f t="shared" si="78"/>
        <v>42570</v>
      </c>
      <c r="I902">
        <f>IF(AND(MyRowHidden(ROW())=FALSE,MyRowHidden(ROW()-1)=TRUE),0,(E902-E901)*unitsOfDHp+I901)</f>
        <v>296205</v>
      </c>
      <c r="J902">
        <f>IF(AND(MyRowHidden(ROW())=FALSE,MyRowHidden(ROW()-1)=TRUE),0,(G902-G901)*unitsOfExo+J901)</f>
        <v>-172800</v>
      </c>
      <c r="K902" s="9">
        <f t="shared" si="79"/>
        <v>172800</v>
      </c>
      <c r="L902">
        <f t="shared" si="80"/>
        <v>123405</v>
      </c>
      <c r="M902">
        <f>IF(AND(MyRowHidden(ROW())=FALSE,MyRowHidden(ROW()-1)=TRUE),0,IF(MONTH(H902)&lt;&gt;MONTH(H901),M901+1,M901))</f>
        <v>6</v>
      </c>
      <c r="N902">
        <f t="shared" si="81"/>
        <v>296205</v>
      </c>
      <c r="O902">
        <f>IF(AND(MyRowHidden(ROW())=FALSE,MyRowHidden(ROW()-1)=TRUE),0,IF(M902&lt;totalMonths,(totalMonths-M902)/totalMonths *(I902-I901)+O901,0))</f>
        <v>201182.91666666666</v>
      </c>
      <c r="P902">
        <f>IF(AND(MyRowHidden(ROW())=FALSE,MyRowHidden(ROW()-1)=TRUE),0,IF(M902&lt;totalMonths,(totalMonths-M902)/totalMonths *(J902-J901)+P901,0))</f>
        <v>52800</v>
      </c>
      <c r="Q902">
        <f>IF(AND(MyRowHidden(ROW())=FALSE,MyRowHidden(ROW()-1)=TRUE),0,IF(M902&lt;totalMonths,(totalMonths-M902)/totalMonths *(K902-K901)+Q901,0))</f>
        <v>-52800</v>
      </c>
      <c r="R902">
        <f t="shared" si="82"/>
        <v>349005</v>
      </c>
      <c r="S902">
        <f t="shared" si="83"/>
        <v>253982.91666666666</v>
      </c>
    </row>
    <row r="903" spans="1:19" x14ac:dyDescent="0.25">
      <c r="D903" s="1">
        <v>42571</v>
      </c>
      <c r="E903">
        <v>39763</v>
      </c>
      <c r="F903" s="1">
        <v>42571</v>
      </c>
      <c r="G903">
        <v>-6000</v>
      </c>
      <c r="H903" s="1">
        <f t="shared" si="78"/>
        <v>42571</v>
      </c>
      <c r="I903">
        <f>IF(AND(MyRowHidden(ROW())=FALSE,MyRowHidden(ROW()-1)=TRUE),0,(E903-E902)*unitsOfDHp+I902)</f>
        <v>293755</v>
      </c>
      <c r="J903">
        <f>IF(AND(MyRowHidden(ROW())=FALSE,MyRowHidden(ROW()-1)=TRUE),0,(G903-G902)*unitsOfExo+J902)</f>
        <v>-288000</v>
      </c>
      <c r="K903" s="9">
        <f t="shared" si="79"/>
        <v>288000</v>
      </c>
      <c r="L903">
        <f t="shared" si="80"/>
        <v>5755</v>
      </c>
      <c r="M903">
        <f>IF(AND(MyRowHidden(ROW())=FALSE,MyRowHidden(ROW()-1)=TRUE),0,IF(MONTH(H903)&lt;&gt;MONTH(H902),M902+1,M902))</f>
        <v>6</v>
      </c>
      <c r="N903">
        <f t="shared" si="81"/>
        <v>293755</v>
      </c>
      <c r="O903">
        <f>IF(AND(MyRowHidden(ROW())=FALSE,MyRowHidden(ROW()-1)=TRUE),0,IF(M903&lt;totalMonths,(totalMonths-M903)/totalMonths *(I903-I902)+O902,0))</f>
        <v>199957.91666666666</v>
      </c>
      <c r="P903">
        <f>IF(AND(MyRowHidden(ROW())=FALSE,MyRowHidden(ROW()-1)=TRUE),0,IF(M903&lt;totalMonths,(totalMonths-M903)/totalMonths *(J903-J902)+P902,0))</f>
        <v>-4800</v>
      </c>
      <c r="Q903">
        <f>IF(AND(MyRowHidden(ROW())=FALSE,MyRowHidden(ROW()-1)=TRUE),0,IF(M903&lt;totalMonths,(totalMonths-M903)/totalMonths *(K903-K902)+Q902,0))</f>
        <v>4800</v>
      </c>
      <c r="R903">
        <f t="shared" si="82"/>
        <v>288955</v>
      </c>
      <c r="S903">
        <f t="shared" si="83"/>
        <v>195157.91666666666</v>
      </c>
    </row>
    <row r="904" spans="1:19" x14ac:dyDescent="0.25">
      <c r="D904" s="1">
        <v>42572</v>
      </c>
      <c r="E904">
        <v>39779</v>
      </c>
      <c r="F904" s="1">
        <v>42572</v>
      </c>
      <c r="G904">
        <v>-6025</v>
      </c>
      <c r="H904" s="1">
        <f t="shared" si="78"/>
        <v>42572</v>
      </c>
      <c r="I904">
        <f>IF(AND(MyRowHidden(ROW())=FALSE,MyRowHidden(ROW()-1)=TRUE),0,(E904-E903)*unitsOfDHp+I903)</f>
        <v>294315</v>
      </c>
      <c r="J904">
        <f>IF(AND(MyRowHidden(ROW())=FALSE,MyRowHidden(ROW()-1)=TRUE),0,(G904-G903)*unitsOfExo+J903)</f>
        <v>-295200</v>
      </c>
      <c r="K904" s="9">
        <f t="shared" si="79"/>
        <v>295200</v>
      </c>
      <c r="L904">
        <f t="shared" si="80"/>
        <v>-885</v>
      </c>
      <c r="M904">
        <f>IF(AND(MyRowHidden(ROW())=FALSE,MyRowHidden(ROW()-1)=TRUE),0,IF(MONTH(H904)&lt;&gt;MONTH(H903),M903+1,M903))</f>
        <v>6</v>
      </c>
      <c r="N904">
        <f t="shared" si="81"/>
        <v>294315</v>
      </c>
      <c r="O904">
        <f>IF(AND(MyRowHidden(ROW())=FALSE,MyRowHidden(ROW()-1)=TRUE),0,IF(M904&lt;totalMonths,(totalMonths-M904)/totalMonths *(I904-I903)+O903,0))</f>
        <v>200237.91666666666</v>
      </c>
      <c r="P904">
        <f>IF(AND(MyRowHidden(ROW())=FALSE,MyRowHidden(ROW()-1)=TRUE),0,IF(M904&lt;totalMonths,(totalMonths-M904)/totalMonths *(J904-J903)+P903,0))</f>
        <v>-8400</v>
      </c>
      <c r="Q904">
        <f>IF(AND(MyRowHidden(ROW())=FALSE,MyRowHidden(ROW()-1)=TRUE),0,IF(M904&lt;totalMonths,(totalMonths-M904)/totalMonths *(K904-K903)+Q903,0))</f>
        <v>8400</v>
      </c>
      <c r="R904">
        <f t="shared" si="82"/>
        <v>285915</v>
      </c>
      <c r="S904">
        <f t="shared" si="83"/>
        <v>191837.91666666666</v>
      </c>
    </row>
    <row r="905" spans="1:19" x14ac:dyDescent="0.25">
      <c r="D905" s="1">
        <v>42573</v>
      </c>
      <c r="E905">
        <v>39794</v>
      </c>
      <c r="F905" s="1">
        <v>42573</v>
      </c>
      <c r="G905">
        <v>-6012.5</v>
      </c>
      <c r="H905" s="1">
        <f t="shared" si="78"/>
        <v>42573</v>
      </c>
      <c r="I905">
        <f>IF(AND(MyRowHidden(ROW())=FALSE,MyRowHidden(ROW()-1)=TRUE),0,(E905-E904)*unitsOfDHp+I904)</f>
        <v>294840</v>
      </c>
      <c r="J905">
        <f>IF(AND(MyRowHidden(ROW())=FALSE,MyRowHidden(ROW()-1)=TRUE),0,(G905-G904)*unitsOfExo+J904)</f>
        <v>-291600</v>
      </c>
      <c r="K905" s="9">
        <f t="shared" si="79"/>
        <v>291600</v>
      </c>
      <c r="L905">
        <f t="shared" si="80"/>
        <v>3240</v>
      </c>
      <c r="M905">
        <f>IF(AND(MyRowHidden(ROW())=FALSE,MyRowHidden(ROW()-1)=TRUE),0,IF(MONTH(H905)&lt;&gt;MONTH(H904),M904+1,M904))</f>
        <v>6</v>
      </c>
      <c r="N905">
        <f t="shared" si="81"/>
        <v>294840</v>
      </c>
      <c r="O905">
        <f>IF(AND(MyRowHidden(ROW())=FALSE,MyRowHidden(ROW()-1)=TRUE),0,IF(M905&lt;totalMonths,(totalMonths-M905)/totalMonths *(I905-I904)+O904,0))</f>
        <v>200500.41666666666</v>
      </c>
      <c r="P905">
        <f>IF(AND(MyRowHidden(ROW())=FALSE,MyRowHidden(ROW()-1)=TRUE),0,IF(M905&lt;totalMonths,(totalMonths-M905)/totalMonths *(J905-J904)+P904,0))</f>
        <v>-6600</v>
      </c>
      <c r="Q905">
        <f>IF(AND(MyRowHidden(ROW())=FALSE,MyRowHidden(ROW()-1)=TRUE),0,IF(M905&lt;totalMonths,(totalMonths-M905)/totalMonths *(K905-K904)+Q904,0))</f>
        <v>6600</v>
      </c>
      <c r="R905">
        <f t="shared" si="82"/>
        <v>288240</v>
      </c>
      <c r="S905">
        <f t="shared" si="83"/>
        <v>193900.41666666666</v>
      </c>
    </row>
    <row r="906" spans="1:19" x14ac:dyDescent="0.25">
      <c r="D906" s="1">
        <v>42576</v>
      </c>
      <c r="E906">
        <v>39780</v>
      </c>
      <c r="F906" s="1">
        <v>42576</v>
      </c>
      <c r="G906">
        <v>-6087.5</v>
      </c>
      <c r="H906" s="1">
        <f t="shared" si="78"/>
        <v>42576</v>
      </c>
      <c r="I906">
        <f>IF(AND(MyRowHidden(ROW())=FALSE,MyRowHidden(ROW()-1)=TRUE),0,(E906-E905)*unitsOfDHp+I905)</f>
        <v>294350</v>
      </c>
      <c r="J906">
        <f>IF(AND(MyRowHidden(ROW())=FALSE,MyRowHidden(ROW()-1)=TRUE),0,(G906-G905)*unitsOfExo+J905)</f>
        <v>-313200</v>
      </c>
      <c r="K906" s="9">
        <f t="shared" si="79"/>
        <v>313200</v>
      </c>
      <c r="L906">
        <f t="shared" si="80"/>
        <v>-18850</v>
      </c>
      <c r="M906">
        <f>IF(AND(MyRowHidden(ROW())=FALSE,MyRowHidden(ROW()-1)=TRUE),0,IF(MONTH(H906)&lt;&gt;MONTH(H905),M905+1,M905))</f>
        <v>6</v>
      </c>
      <c r="N906">
        <f t="shared" si="81"/>
        <v>294350</v>
      </c>
      <c r="O906">
        <f>IF(AND(MyRowHidden(ROW())=FALSE,MyRowHidden(ROW()-1)=TRUE),0,IF(M906&lt;totalMonths,(totalMonths-M906)/totalMonths *(I906-I905)+O905,0))</f>
        <v>200255.41666666666</v>
      </c>
      <c r="P906">
        <f>IF(AND(MyRowHidden(ROW())=FALSE,MyRowHidden(ROW()-1)=TRUE),0,IF(M906&lt;totalMonths,(totalMonths-M906)/totalMonths *(J906-J905)+P905,0))</f>
        <v>-17400</v>
      </c>
      <c r="Q906">
        <f>IF(AND(MyRowHidden(ROW())=FALSE,MyRowHidden(ROW()-1)=TRUE),0,IF(M906&lt;totalMonths,(totalMonths-M906)/totalMonths *(K906-K905)+Q905,0))</f>
        <v>17400</v>
      </c>
      <c r="R906">
        <f t="shared" si="82"/>
        <v>276950</v>
      </c>
      <c r="S906">
        <f t="shared" si="83"/>
        <v>182855.41666666666</v>
      </c>
    </row>
    <row r="907" spans="1:19" x14ac:dyDescent="0.25">
      <c r="D907" s="1">
        <v>42577</v>
      </c>
      <c r="E907">
        <v>39845</v>
      </c>
      <c r="F907" s="1">
        <v>42577</v>
      </c>
      <c r="G907">
        <v>-6200</v>
      </c>
      <c r="H907" s="1">
        <f t="shared" si="78"/>
        <v>42577</v>
      </c>
      <c r="I907">
        <f>IF(AND(MyRowHidden(ROW())=FALSE,MyRowHidden(ROW()-1)=TRUE),0,(E907-E906)*unitsOfDHp+I906)</f>
        <v>296625</v>
      </c>
      <c r="J907">
        <f>IF(AND(MyRowHidden(ROW())=FALSE,MyRowHidden(ROW()-1)=TRUE),0,(G907-G906)*unitsOfExo+J906)</f>
        <v>-345600</v>
      </c>
      <c r="K907" s="9">
        <f t="shared" si="79"/>
        <v>345600</v>
      </c>
      <c r="L907">
        <f t="shared" si="80"/>
        <v>-48975</v>
      </c>
      <c r="M907">
        <f>IF(AND(MyRowHidden(ROW())=FALSE,MyRowHidden(ROW()-1)=TRUE),0,IF(MONTH(H907)&lt;&gt;MONTH(H906),M906+1,M906))</f>
        <v>6</v>
      </c>
      <c r="N907">
        <f t="shared" si="81"/>
        <v>296625</v>
      </c>
      <c r="O907">
        <f>IF(AND(MyRowHidden(ROW())=FALSE,MyRowHidden(ROW()-1)=TRUE),0,IF(M907&lt;totalMonths,(totalMonths-M907)/totalMonths *(I907-I906)+O906,0))</f>
        <v>201392.91666666666</v>
      </c>
      <c r="P907">
        <f>IF(AND(MyRowHidden(ROW())=FALSE,MyRowHidden(ROW()-1)=TRUE),0,IF(M907&lt;totalMonths,(totalMonths-M907)/totalMonths *(J907-J906)+P906,0))</f>
        <v>-33600</v>
      </c>
      <c r="Q907">
        <f>IF(AND(MyRowHidden(ROW())=FALSE,MyRowHidden(ROW()-1)=TRUE),0,IF(M907&lt;totalMonths,(totalMonths-M907)/totalMonths *(K907-K906)+Q906,0))</f>
        <v>33600</v>
      </c>
      <c r="R907">
        <f t="shared" si="82"/>
        <v>263025</v>
      </c>
      <c r="S907">
        <f t="shared" si="83"/>
        <v>167792.91666666666</v>
      </c>
    </row>
    <row r="908" spans="1:19" x14ac:dyDescent="0.25">
      <c r="D908" s="1">
        <v>42578</v>
      </c>
      <c r="E908">
        <v>39859</v>
      </c>
      <c r="F908" s="1">
        <v>42578</v>
      </c>
      <c r="G908">
        <v>-5975</v>
      </c>
      <c r="H908" s="1">
        <f t="shared" si="78"/>
        <v>42578</v>
      </c>
      <c r="I908">
        <f>IF(AND(MyRowHidden(ROW())=FALSE,MyRowHidden(ROW()-1)=TRUE),0,(E908-E907)*unitsOfDHp+I907)</f>
        <v>297115</v>
      </c>
      <c r="J908">
        <f>IF(AND(MyRowHidden(ROW())=FALSE,MyRowHidden(ROW()-1)=TRUE),0,(G908-G907)*unitsOfExo+J907)</f>
        <v>-280800</v>
      </c>
      <c r="K908" s="9">
        <f t="shared" si="79"/>
        <v>280800</v>
      </c>
      <c r="L908">
        <f t="shared" si="80"/>
        <v>16315</v>
      </c>
      <c r="M908">
        <f>IF(AND(MyRowHidden(ROW())=FALSE,MyRowHidden(ROW()-1)=TRUE),0,IF(MONTH(H908)&lt;&gt;MONTH(H907),M907+1,M907))</f>
        <v>6</v>
      </c>
      <c r="N908">
        <f t="shared" si="81"/>
        <v>297115</v>
      </c>
      <c r="O908">
        <f>IF(AND(MyRowHidden(ROW())=FALSE,MyRowHidden(ROW()-1)=TRUE),0,IF(M908&lt;totalMonths,(totalMonths-M908)/totalMonths *(I908-I907)+O907,0))</f>
        <v>201637.91666666666</v>
      </c>
      <c r="P908">
        <f>IF(AND(MyRowHidden(ROW())=FALSE,MyRowHidden(ROW()-1)=TRUE),0,IF(M908&lt;totalMonths,(totalMonths-M908)/totalMonths *(J908-J907)+P907,0))</f>
        <v>-1200</v>
      </c>
      <c r="Q908">
        <f>IF(AND(MyRowHidden(ROW())=FALSE,MyRowHidden(ROW()-1)=TRUE),0,IF(M908&lt;totalMonths,(totalMonths-M908)/totalMonths *(K908-K907)+Q907,0))</f>
        <v>1200</v>
      </c>
      <c r="R908">
        <f t="shared" si="82"/>
        <v>295915</v>
      </c>
      <c r="S908">
        <f t="shared" si="83"/>
        <v>200437.91666666666</v>
      </c>
    </row>
    <row r="909" spans="1:19" x14ac:dyDescent="0.25">
      <c r="D909" s="1">
        <v>42579</v>
      </c>
      <c r="E909">
        <v>39669</v>
      </c>
      <c r="F909" s="1">
        <v>42579</v>
      </c>
      <c r="G909">
        <v>-6287.5</v>
      </c>
      <c r="H909" s="1">
        <f t="shared" ref="H909:H972" si="84">D909</f>
        <v>42579</v>
      </c>
      <c r="I909">
        <f>IF(AND(MyRowHidden(ROW())=FALSE,MyRowHidden(ROW()-1)=TRUE),0,(E909-E908)*unitsOfDHp+I908)</f>
        <v>290465</v>
      </c>
      <c r="J909">
        <f>IF(AND(MyRowHidden(ROW())=FALSE,MyRowHidden(ROW()-1)=TRUE),0,(G909-G908)*unitsOfExo+J908)</f>
        <v>-370800</v>
      </c>
      <c r="K909" s="9">
        <f t="shared" ref="K909:K972" si="85">-(J909-J908)+K908</f>
        <v>370800</v>
      </c>
      <c r="L909">
        <f t="shared" ref="L909:L972" si="86">I909+J909</f>
        <v>-80335</v>
      </c>
      <c r="M909">
        <f>IF(AND(MyRowHidden(ROW())=FALSE,MyRowHidden(ROW()-1)=TRUE),0,IF(MONTH(H909)&lt;&gt;MONTH(H908),M908+1,M908))</f>
        <v>6</v>
      </c>
      <c r="N909">
        <f t="shared" ref="N909:N972" si="87">I909</f>
        <v>290465</v>
      </c>
      <c r="O909">
        <f>IF(AND(MyRowHidden(ROW())=FALSE,MyRowHidden(ROW()-1)=TRUE),0,IF(M909&lt;totalMonths,(totalMonths-M909)/totalMonths *(I909-I908)+O908,0))</f>
        <v>198312.91666666666</v>
      </c>
      <c r="P909">
        <f>IF(AND(MyRowHidden(ROW())=FALSE,MyRowHidden(ROW()-1)=TRUE),0,IF(M909&lt;totalMonths,(totalMonths-M909)/totalMonths *(J909-J908)+P908,0))</f>
        <v>-46200</v>
      </c>
      <c r="Q909">
        <f>IF(AND(MyRowHidden(ROW())=FALSE,MyRowHidden(ROW()-1)=TRUE),0,IF(M909&lt;totalMonths,(totalMonths-M909)/totalMonths *(K909-K908)+Q908,0))</f>
        <v>46200</v>
      </c>
      <c r="R909">
        <f t="shared" ref="R909:R972" si="88">N909+P909</f>
        <v>244265</v>
      </c>
      <c r="S909">
        <f t="shared" ref="S909:S972" si="89">O909+P909</f>
        <v>152112.91666666666</v>
      </c>
    </row>
    <row r="910" spans="1:19" x14ac:dyDescent="0.25">
      <c r="D910" s="1">
        <v>42580</v>
      </c>
      <c r="E910">
        <v>39470</v>
      </c>
      <c r="F910" s="1">
        <v>42580</v>
      </c>
      <c r="G910">
        <v>-6100</v>
      </c>
      <c r="H910" s="1">
        <f t="shared" si="84"/>
        <v>42580</v>
      </c>
      <c r="I910">
        <f>IF(AND(MyRowHidden(ROW())=FALSE,MyRowHidden(ROW()-1)=TRUE),0,(E910-E909)*unitsOfDHp+I909)</f>
        <v>283500</v>
      </c>
      <c r="J910">
        <f>IF(AND(MyRowHidden(ROW())=FALSE,MyRowHidden(ROW()-1)=TRUE),0,(G910-G909)*unitsOfExo+J909)</f>
        <v>-316800</v>
      </c>
      <c r="K910" s="9">
        <f t="shared" si="85"/>
        <v>316800</v>
      </c>
      <c r="L910">
        <f t="shared" si="86"/>
        <v>-33300</v>
      </c>
      <c r="M910">
        <f>IF(AND(MyRowHidden(ROW())=FALSE,MyRowHidden(ROW()-1)=TRUE),0,IF(MONTH(H910)&lt;&gt;MONTH(H909),M909+1,M909))</f>
        <v>6</v>
      </c>
      <c r="N910">
        <f t="shared" si="87"/>
        <v>283500</v>
      </c>
      <c r="O910">
        <f>IF(AND(MyRowHidden(ROW())=FALSE,MyRowHidden(ROW()-1)=TRUE),0,IF(M910&lt;totalMonths,(totalMonths-M910)/totalMonths *(I910-I909)+O909,0))</f>
        <v>194830.41666666666</v>
      </c>
      <c r="P910">
        <f>IF(AND(MyRowHidden(ROW())=FALSE,MyRowHidden(ROW()-1)=TRUE),0,IF(M910&lt;totalMonths,(totalMonths-M910)/totalMonths *(J910-J909)+P909,0))</f>
        <v>-19200</v>
      </c>
      <c r="Q910">
        <f>IF(AND(MyRowHidden(ROW())=FALSE,MyRowHidden(ROW()-1)=TRUE),0,IF(M910&lt;totalMonths,(totalMonths-M910)/totalMonths *(K910-K909)+Q909,0))</f>
        <v>19200</v>
      </c>
      <c r="R910">
        <f t="shared" si="88"/>
        <v>264300</v>
      </c>
      <c r="S910">
        <f t="shared" si="89"/>
        <v>175630.41666666666</v>
      </c>
    </row>
    <row r="911" spans="1:19" x14ac:dyDescent="0.25">
      <c r="D911" s="1">
        <v>42583</v>
      </c>
      <c r="E911">
        <v>39467</v>
      </c>
      <c r="F911" s="1">
        <v>42583</v>
      </c>
      <c r="G911">
        <v>-6362.5</v>
      </c>
      <c r="H911" s="1">
        <f t="shared" si="84"/>
        <v>42583</v>
      </c>
      <c r="I911">
        <f>IF(AND(MyRowHidden(ROW())=FALSE,MyRowHidden(ROW()-1)=TRUE),0,(E911-E910)*unitsOfDHp+I910)</f>
        <v>283395</v>
      </c>
      <c r="J911">
        <f>IF(AND(MyRowHidden(ROW())=FALSE,MyRowHidden(ROW()-1)=TRUE),0,(G911-G910)*unitsOfExo+J910)</f>
        <v>-392400</v>
      </c>
      <c r="K911" s="9">
        <f t="shared" si="85"/>
        <v>392400</v>
      </c>
      <c r="L911">
        <f t="shared" si="86"/>
        <v>-109005</v>
      </c>
      <c r="M911">
        <f>IF(AND(MyRowHidden(ROW())=FALSE,MyRowHidden(ROW()-1)=TRUE),0,IF(MONTH(H911)&lt;&gt;MONTH(H910),M910+1,M910))</f>
        <v>7</v>
      </c>
      <c r="N911">
        <f t="shared" si="87"/>
        <v>283395</v>
      </c>
      <c r="O911">
        <f>IF(AND(MyRowHidden(ROW())=FALSE,MyRowHidden(ROW()-1)=TRUE),0,IF(M911&lt;totalMonths,(totalMonths-M911)/totalMonths *(I911-I910)+O910,0))</f>
        <v>194786.66666666666</v>
      </c>
      <c r="P911">
        <f>IF(AND(MyRowHidden(ROW())=FALSE,MyRowHidden(ROW()-1)=TRUE),0,IF(M911&lt;totalMonths,(totalMonths-M911)/totalMonths *(J911-J910)+P910,0))</f>
        <v>-50700</v>
      </c>
      <c r="Q911">
        <f>IF(AND(MyRowHidden(ROW())=FALSE,MyRowHidden(ROW()-1)=TRUE),0,IF(M911&lt;totalMonths,(totalMonths-M911)/totalMonths *(K911-K910)+Q910,0))</f>
        <v>50700</v>
      </c>
      <c r="R911">
        <f t="shared" si="88"/>
        <v>232695</v>
      </c>
      <c r="S911">
        <f t="shared" si="89"/>
        <v>144086.66666666666</v>
      </c>
    </row>
    <row r="912" spans="1:19" x14ac:dyDescent="0.25">
      <c r="D912" s="1">
        <v>42584</v>
      </c>
      <c r="E912">
        <v>39599</v>
      </c>
      <c r="F912" s="1">
        <v>42584</v>
      </c>
      <c r="G912">
        <v>-6700</v>
      </c>
      <c r="H912" s="1">
        <f t="shared" si="84"/>
        <v>42584</v>
      </c>
      <c r="I912">
        <f>IF(AND(MyRowHidden(ROW())=FALSE,MyRowHidden(ROW()-1)=TRUE),0,(E912-E911)*unitsOfDHp+I911)</f>
        <v>288015</v>
      </c>
      <c r="J912">
        <f>IF(AND(MyRowHidden(ROW())=FALSE,MyRowHidden(ROW()-1)=TRUE),0,(G912-G911)*unitsOfExo+J911)</f>
        <v>-489600</v>
      </c>
      <c r="K912" s="9">
        <f t="shared" si="85"/>
        <v>489600</v>
      </c>
      <c r="L912">
        <f t="shared" si="86"/>
        <v>-201585</v>
      </c>
      <c r="M912">
        <f>IF(AND(MyRowHidden(ROW())=FALSE,MyRowHidden(ROW()-1)=TRUE),0,IF(MONTH(H912)&lt;&gt;MONTH(H911),M911+1,M911))</f>
        <v>7</v>
      </c>
      <c r="N912">
        <f t="shared" si="87"/>
        <v>288015</v>
      </c>
      <c r="O912">
        <f>IF(AND(MyRowHidden(ROW())=FALSE,MyRowHidden(ROW()-1)=TRUE),0,IF(M912&lt;totalMonths,(totalMonths-M912)/totalMonths *(I912-I911)+O911,0))</f>
        <v>196711.66666666666</v>
      </c>
      <c r="P912">
        <f>IF(AND(MyRowHidden(ROW())=FALSE,MyRowHidden(ROW()-1)=TRUE),0,IF(M912&lt;totalMonths,(totalMonths-M912)/totalMonths *(J912-J911)+P911,0))</f>
        <v>-91200</v>
      </c>
      <c r="Q912">
        <f>IF(AND(MyRowHidden(ROW())=FALSE,MyRowHidden(ROW()-1)=TRUE),0,IF(M912&lt;totalMonths,(totalMonths-M912)/totalMonths *(K912-K911)+Q911,0))</f>
        <v>91200</v>
      </c>
      <c r="R912">
        <f t="shared" si="88"/>
        <v>196815</v>
      </c>
      <c r="S912">
        <f t="shared" si="89"/>
        <v>105511.66666666666</v>
      </c>
    </row>
    <row r="913" spans="4:19" x14ac:dyDescent="0.25">
      <c r="D913" s="1">
        <v>42585</v>
      </c>
      <c r="E913">
        <v>39532</v>
      </c>
      <c r="F913" s="1">
        <v>42585</v>
      </c>
      <c r="G913">
        <v>-6525</v>
      </c>
      <c r="H913" s="1">
        <f t="shared" si="84"/>
        <v>42585</v>
      </c>
      <c r="I913">
        <f>IF(AND(MyRowHidden(ROW())=FALSE,MyRowHidden(ROW()-1)=TRUE),0,(E913-E912)*unitsOfDHp+I912)</f>
        <v>285670</v>
      </c>
      <c r="J913">
        <f>IF(AND(MyRowHidden(ROW())=FALSE,MyRowHidden(ROW()-1)=TRUE),0,(G913-G912)*unitsOfExo+J912)</f>
        <v>-439200</v>
      </c>
      <c r="K913" s="9">
        <f t="shared" si="85"/>
        <v>439200</v>
      </c>
      <c r="L913">
        <f t="shared" si="86"/>
        <v>-153530</v>
      </c>
      <c r="M913">
        <f>IF(AND(MyRowHidden(ROW())=FALSE,MyRowHidden(ROW()-1)=TRUE),0,IF(MONTH(H913)&lt;&gt;MONTH(H912),M912+1,M912))</f>
        <v>7</v>
      </c>
      <c r="N913">
        <f t="shared" si="87"/>
        <v>285670</v>
      </c>
      <c r="O913">
        <f>IF(AND(MyRowHidden(ROW())=FALSE,MyRowHidden(ROW()-1)=TRUE),0,IF(M913&lt;totalMonths,(totalMonths-M913)/totalMonths *(I913-I912)+O912,0))</f>
        <v>195734.58333333331</v>
      </c>
      <c r="P913">
        <f>IF(AND(MyRowHidden(ROW())=FALSE,MyRowHidden(ROW()-1)=TRUE),0,IF(M913&lt;totalMonths,(totalMonths-M913)/totalMonths *(J913-J912)+P912,0))</f>
        <v>-70200</v>
      </c>
      <c r="Q913">
        <f>IF(AND(MyRowHidden(ROW())=FALSE,MyRowHidden(ROW()-1)=TRUE),0,IF(M913&lt;totalMonths,(totalMonths-M913)/totalMonths *(K913-K912)+Q912,0))</f>
        <v>70200</v>
      </c>
      <c r="R913">
        <f t="shared" si="88"/>
        <v>215470</v>
      </c>
      <c r="S913">
        <f t="shared" si="89"/>
        <v>125534.58333333331</v>
      </c>
    </row>
    <row r="914" spans="4:19" x14ac:dyDescent="0.25">
      <c r="D914" s="1">
        <v>42586</v>
      </c>
      <c r="E914">
        <v>39520</v>
      </c>
      <c r="F914" s="1">
        <v>42586</v>
      </c>
      <c r="G914">
        <v>-6650</v>
      </c>
      <c r="H914" s="1">
        <f t="shared" si="84"/>
        <v>42586</v>
      </c>
      <c r="I914">
        <f>IF(AND(MyRowHidden(ROW())=FALSE,MyRowHidden(ROW()-1)=TRUE),0,(E914-E913)*unitsOfDHp+I913)</f>
        <v>285250</v>
      </c>
      <c r="J914">
        <f>IF(AND(MyRowHidden(ROW())=FALSE,MyRowHidden(ROW()-1)=TRUE),0,(G914-G913)*unitsOfExo+J913)</f>
        <v>-475200</v>
      </c>
      <c r="K914" s="9">
        <f t="shared" si="85"/>
        <v>475200</v>
      </c>
      <c r="L914">
        <f t="shared" si="86"/>
        <v>-189950</v>
      </c>
      <c r="M914">
        <f>IF(AND(MyRowHidden(ROW())=FALSE,MyRowHidden(ROW()-1)=TRUE),0,IF(MONTH(H914)&lt;&gt;MONTH(H913),M913+1,M913))</f>
        <v>7</v>
      </c>
      <c r="N914">
        <f t="shared" si="87"/>
        <v>285250</v>
      </c>
      <c r="O914">
        <f>IF(AND(MyRowHidden(ROW())=FALSE,MyRowHidden(ROW()-1)=TRUE),0,IF(M914&lt;totalMonths,(totalMonths-M914)/totalMonths *(I914-I913)+O913,0))</f>
        <v>195559.58333333331</v>
      </c>
      <c r="P914">
        <f>IF(AND(MyRowHidden(ROW())=FALSE,MyRowHidden(ROW()-1)=TRUE),0,IF(M914&lt;totalMonths,(totalMonths-M914)/totalMonths *(J914-J913)+P913,0))</f>
        <v>-85200</v>
      </c>
      <c r="Q914">
        <f>IF(AND(MyRowHidden(ROW())=FALSE,MyRowHidden(ROW()-1)=TRUE),0,IF(M914&lt;totalMonths,(totalMonths-M914)/totalMonths *(K914-K913)+Q913,0))</f>
        <v>85200</v>
      </c>
      <c r="R914">
        <f t="shared" si="88"/>
        <v>200050</v>
      </c>
      <c r="S914">
        <f t="shared" si="89"/>
        <v>110359.58333333331</v>
      </c>
    </row>
    <row r="915" spans="4:19" x14ac:dyDescent="0.25">
      <c r="D915" s="1">
        <v>42587</v>
      </c>
      <c r="E915">
        <v>39525</v>
      </c>
      <c r="F915" s="1">
        <v>42587</v>
      </c>
      <c r="G915">
        <v>-6637.5</v>
      </c>
      <c r="H915" s="1">
        <f t="shared" si="84"/>
        <v>42587</v>
      </c>
      <c r="I915">
        <f>IF(AND(MyRowHidden(ROW())=FALSE,MyRowHidden(ROW()-1)=TRUE),0,(E915-E914)*unitsOfDHp+I914)</f>
        <v>285425</v>
      </c>
      <c r="J915">
        <f>IF(AND(MyRowHidden(ROW())=FALSE,MyRowHidden(ROW()-1)=TRUE),0,(G915-G914)*unitsOfExo+J914)</f>
        <v>-471600</v>
      </c>
      <c r="K915" s="9">
        <f t="shared" si="85"/>
        <v>471600</v>
      </c>
      <c r="L915">
        <f t="shared" si="86"/>
        <v>-186175</v>
      </c>
      <c r="M915">
        <f>IF(AND(MyRowHidden(ROW())=FALSE,MyRowHidden(ROW()-1)=TRUE),0,IF(MONTH(H915)&lt;&gt;MONTH(H914),M914+1,M914))</f>
        <v>7</v>
      </c>
      <c r="N915">
        <f t="shared" si="87"/>
        <v>285425</v>
      </c>
      <c r="O915">
        <f>IF(AND(MyRowHidden(ROW())=FALSE,MyRowHidden(ROW()-1)=TRUE),0,IF(M915&lt;totalMonths,(totalMonths-M915)/totalMonths *(I915-I914)+O914,0))</f>
        <v>195632.49999999997</v>
      </c>
      <c r="P915">
        <f>IF(AND(MyRowHidden(ROW())=FALSE,MyRowHidden(ROW()-1)=TRUE),0,IF(M915&lt;totalMonths,(totalMonths-M915)/totalMonths *(J915-J914)+P914,0))</f>
        <v>-83700</v>
      </c>
      <c r="Q915">
        <f>IF(AND(MyRowHidden(ROW())=FALSE,MyRowHidden(ROW()-1)=TRUE),0,IF(M915&lt;totalMonths,(totalMonths-M915)/totalMonths *(K915-K914)+Q914,0))</f>
        <v>83700</v>
      </c>
      <c r="R915">
        <f t="shared" si="88"/>
        <v>201725</v>
      </c>
      <c r="S915">
        <f t="shared" si="89"/>
        <v>111932.49999999997</v>
      </c>
    </row>
    <row r="916" spans="4:19" x14ac:dyDescent="0.25">
      <c r="D916" s="1">
        <v>42590</v>
      </c>
      <c r="E916">
        <v>39411</v>
      </c>
      <c r="F916" s="1">
        <v>42590</v>
      </c>
      <c r="G916">
        <v>-6537.5</v>
      </c>
      <c r="H916" s="1">
        <f t="shared" si="84"/>
        <v>42590</v>
      </c>
      <c r="I916">
        <f>IF(AND(MyRowHidden(ROW())=FALSE,MyRowHidden(ROW()-1)=TRUE),0,(E916-E915)*unitsOfDHp+I915)</f>
        <v>281435</v>
      </c>
      <c r="J916">
        <f>IF(AND(MyRowHidden(ROW())=FALSE,MyRowHidden(ROW()-1)=TRUE),0,(G916-G915)*unitsOfExo+J915)</f>
        <v>-442800</v>
      </c>
      <c r="K916" s="9">
        <f t="shared" si="85"/>
        <v>442800</v>
      </c>
      <c r="L916">
        <f t="shared" si="86"/>
        <v>-161365</v>
      </c>
      <c r="M916">
        <f>IF(AND(MyRowHidden(ROW())=FALSE,MyRowHidden(ROW()-1)=TRUE),0,IF(MONTH(H916)&lt;&gt;MONTH(H915),M915+1,M915))</f>
        <v>7</v>
      </c>
      <c r="N916">
        <f t="shared" si="87"/>
        <v>281435</v>
      </c>
      <c r="O916">
        <f>IF(AND(MyRowHidden(ROW())=FALSE,MyRowHidden(ROW()-1)=TRUE),0,IF(M916&lt;totalMonths,(totalMonths-M916)/totalMonths *(I916-I915)+O915,0))</f>
        <v>193969.99999999997</v>
      </c>
      <c r="P916">
        <f>IF(AND(MyRowHidden(ROW())=FALSE,MyRowHidden(ROW()-1)=TRUE),0,IF(M916&lt;totalMonths,(totalMonths-M916)/totalMonths *(J916-J915)+P915,0))</f>
        <v>-71700</v>
      </c>
      <c r="Q916">
        <f>IF(AND(MyRowHidden(ROW())=FALSE,MyRowHidden(ROW()-1)=TRUE),0,IF(M916&lt;totalMonths,(totalMonths-M916)/totalMonths *(K916-K915)+Q915,0))</f>
        <v>71700</v>
      </c>
      <c r="R916">
        <f t="shared" si="88"/>
        <v>209735</v>
      </c>
      <c r="S916">
        <f t="shared" si="89"/>
        <v>122269.99999999997</v>
      </c>
    </row>
    <row r="917" spans="4:19" x14ac:dyDescent="0.25">
      <c r="D917" s="1">
        <v>42591</v>
      </c>
      <c r="E917">
        <v>39409</v>
      </c>
      <c r="F917" s="1">
        <v>42591</v>
      </c>
      <c r="G917">
        <v>-6562.5</v>
      </c>
      <c r="H917" s="1">
        <f t="shared" si="84"/>
        <v>42591</v>
      </c>
      <c r="I917">
        <f>IF(AND(MyRowHidden(ROW())=FALSE,MyRowHidden(ROW()-1)=TRUE),0,(E917-E916)*unitsOfDHp+I916)</f>
        <v>281365</v>
      </c>
      <c r="J917">
        <f>IF(AND(MyRowHidden(ROW())=FALSE,MyRowHidden(ROW()-1)=TRUE),0,(G917-G916)*unitsOfExo+J916)</f>
        <v>-450000</v>
      </c>
      <c r="K917" s="9">
        <f t="shared" si="85"/>
        <v>450000</v>
      </c>
      <c r="L917">
        <f t="shared" si="86"/>
        <v>-168635</v>
      </c>
      <c r="M917">
        <f>IF(AND(MyRowHidden(ROW())=FALSE,MyRowHidden(ROW()-1)=TRUE),0,IF(MONTH(H917)&lt;&gt;MONTH(H916),M916+1,M916))</f>
        <v>7</v>
      </c>
      <c r="N917">
        <f t="shared" si="87"/>
        <v>281365</v>
      </c>
      <c r="O917">
        <f>IF(AND(MyRowHidden(ROW())=FALSE,MyRowHidden(ROW()-1)=TRUE),0,IF(M917&lt;totalMonths,(totalMonths-M917)/totalMonths *(I917-I916)+O916,0))</f>
        <v>193940.83333333331</v>
      </c>
      <c r="P917">
        <f>IF(AND(MyRowHidden(ROW())=FALSE,MyRowHidden(ROW()-1)=TRUE),0,IF(M917&lt;totalMonths,(totalMonths-M917)/totalMonths *(J917-J916)+P916,0))</f>
        <v>-74700</v>
      </c>
      <c r="Q917">
        <f>IF(AND(MyRowHidden(ROW())=FALSE,MyRowHidden(ROW()-1)=TRUE),0,IF(M917&lt;totalMonths,(totalMonths-M917)/totalMonths *(K917-K916)+Q916,0))</f>
        <v>74700</v>
      </c>
      <c r="R917">
        <f t="shared" si="88"/>
        <v>206665</v>
      </c>
      <c r="S917">
        <f t="shared" si="89"/>
        <v>119240.83333333331</v>
      </c>
    </row>
    <row r="918" spans="4:19" x14ac:dyDescent="0.25">
      <c r="D918" s="1">
        <v>42592</v>
      </c>
      <c r="E918">
        <v>39400</v>
      </c>
      <c r="F918" s="1">
        <v>42592</v>
      </c>
      <c r="G918">
        <v>-6537.5</v>
      </c>
      <c r="H918" s="1">
        <f t="shared" si="84"/>
        <v>42592</v>
      </c>
      <c r="I918">
        <f>IF(AND(MyRowHidden(ROW())=FALSE,MyRowHidden(ROW()-1)=TRUE),0,(E918-E917)*unitsOfDHp+I917)</f>
        <v>281050</v>
      </c>
      <c r="J918">
        <f>IF(AND(MyRowHidden(ROW())=FALSE,MyRowHidden(ROW()-1)=TRUE),0,(G918-G917)*unitsOfExo+J917)</f>
        <v>-442800</v>
      </c>
      <c r="K918" s="9">
        <f t="shared" si="85"/>
        <v>442800</v>
      </c>
      <c r="L918">
        <f t="shared" si="86"/>
        <v>-161750</v>
      </c>
      <c r="M918">
        <f>IF(AND(MyRowHidden(ROW())=FALSE,MyRowHidden(ROW()-1)=TRUE),0,IF(MONTH(H918)&lt;&gt;MONTH(H917),M917+1,M917))</f>
        <v>7</v>
      </c>
      <c r="N918">
        <f t="shared" si="87"/>
        <v>281050</v>
      </c>
      <c r="O918">
        <f>IF(AND(MyRowHidden(ROW())=FALSE,MyRowHidden(ROW()-1)=TRUE),0,IF(M918&lt;totalMonths,(totalMonths-M918)/totalMonths *(I918-I917)+O917,0))</f>
        <v>193809.58333333331</v>
      </c>
      <c r="P918">
        <f>IF(AND(MyRowHidden(ROW())=FALSE,MyRowHidden(ROW()-1)=TRUE),0,IF(M918&lt;totalMonths,(totalMonths-M918)/totalMonths *(J918-J917)+P917,0))</f>
        <v>-71700</v>
      </c>
      <c r="Q918">
        <f>IF(AND(MyRowHidden(ROW())=FALSE,MyRowHidden(ROW()-1)=TRUE),0,IF(M918&lt;totalMonths,(totalMonths-M918)/totalMonths *(K918-K917)+Q917,0))</f>
        <v>71700</v>
      </c>
      <c r="R918">
        <f t="shared" si="88"/>
        <v>209350</v>
      </c>
      <c r="S918">
        <f t="shared" si="89"/>
        <v>122109.58333333331</v>
      </c>
    </row>
    <row r="919" spans="4:19" x14ac:dyDescent="0.25">
      <c r="D919" s="1">
        <v>42593</v>
      </c>
      <c r="E919">
        <v>39360</v>
      </c>
      <c r="F919" s="1">
        <v>42593</v>
      </c>
      <c r="G919">
        <v>-6700</v>
      </c>
      <c r="H919" s="1">
        <f t="shared" si="84"/>
        <v>42593</v>
      </c>
      <c r="I919">
        <f>IF(AND(MyRowHidden(ROW())=FALSE,MyRowHidden(ROW()-1)=TRUE),0,(E919-E918)*unitsOfDHp+I918)</f>
        <v>279650</v>
      </c>
      <c r="J919">
        <f>IF(AND(MyRowHidden(ROW())=FALSE,MyRowHidden(ROW()-1)=TRUE),0,(G919-G918)*unitsOfExo+J918)</f>
        <v>-489600</v>
      </c>
      <c r="K919" s="9">
        <f t="shared" si="85"/>
        <v>489600</v>
      </c>
      <c r="L919">
        <f t="shared" si="86"/>
        <v>-209950</v>
      </c>
      <c r="M919">
        <f>IF(AND(MyRowHidden(ROW())=FALSE,MyRowHidden(ROW()-1)=TRUE),0,IF(MONTH(H919)&lt;&gt;MONTH(H918),M918+1,M918))</f>
        <v>7</v>
      </c>
      <c r="N919">
        <f t="shared" si="87"/>
        <v>279650</v>
      </c>
      <c r="O919">
        <f>IF(AND(MyRowHidden(ROW())=FALSE,MyRowHidden(ROW()-1)=TRUE),0,IF(M919&lt;totalMonths,(totalMonths-M919)/totalMonths *(I919-I918)+O918,0))</f>
        <v>193226.24999999997</v>
      </c>
      <c r="P919">
        <f>IF(AND(MyRowHidden(ROW())=FALSE,MyRowHidden(ROW()-1)=TRUE),0,IF(M919&lt;totalMonths,(totalMonths-M919)/totalMonths *(J919-J918)+P918,0))</f>
        <v>-91200</v>
      </c>
      <c r="Q919">
        <f>IF(AND(MyRowHidden(ROW())=FALSE,MyRowHidden(ROW()-1)=TRUE),0,IF(M919&lt;totalMonths,(totalMonths-M919)/totalMonths *(K919-K918)+Q918,0))</f>
        <v>91200</v>
      </c>
      <c r="R919">
        <f t="shared" si="88"/>
        <v>188450</v>
      </c>
      <c r="S919">
        <f t="shared" si="89"/>
        <v>102026.24999999997</v>
      </c>
    </row>
    <row r="920" spans="4:19" x14ac:dyDescent="0.25">
      <c r="D920" s="1">
        <v>42594</v>
      </c>
      <c r="E920">
        <v>39369</v>
      </c>
      <c r="F920" s="1">
        <v>42594</v>
      </c>
      <c r="G920">
        <v>-6837.5</v>
      </c>
      <c r="H920" s="1">
        <f t="shared" si="84"/>
        <v>42594</v>
      </c>
      <c r="I920">
        <f>IF(AND(MyRowHidden(ROW())=FALSE,MyRowHidden(ROW()-1)=TRUE),0,(E920-E919)*unitsOfDHp+I919)</f>
        <v>279965</v>
      </c>
      <c r="J920">
        <f>IF(AND(MyRowHidden(ROW())=FALSE,MyRowHidden(ROW()-1)=TRUE),0,(G920-G919)*unitsOfExo+J919)</f>
        <v>-529200</v>
      </c>
      <c r="K920" s="9">
        <f t="shared" si="85"/>
        <v>529200</v>
      </c>
      <c r="L920">
        <f t="shared" si="86"/>
        <v>-249235</v>
      </c>
      <c r="M920">
        <f>IF(AND(MyRowHidden(ROW())=FALSE,MyRowHidden(ROW()-1)=TRUE),0,IF(MONTH(H920)&lt;&gt;MONTH(H919),M919+1,M919))</f>
        <v>7</v>
      </c>
      <c r="N920">
        <f t="shared" si="87"/>
        <v>279965</v>
      </c>
      <c r="O920">
        <f>IF(AND(MyRowHidden(ROW())=FALSE,MyRowHidden(ROW()-1)=TRUE),0,IF(M920&lt;totalMonths,(totalMonths-M920)/totalMonths *(I920-I919)+O919,0))</f>
        <v>193357.49999999997</v>
      </c>
      <c r="P920">
        <f>IF(AND(MyRowHidden(ROW())=FALSE,MyRowHidden(ROW()-1)=TRUE),0,IF(M920&lt;totalMonths,(totalMonths-M920)/totalMonths *(J920-J919)+P919,0))</f>
        <v>-107700</v>
      </c>
      <c r="Q920">
        <f>IF(AND(MyRowHidden(ROW())=FALSE,MyRowHidden(ROW()-1)=TRUE),0,IF(M920&lt;totalMonths,(totalMonths-M920)/totalMonths *(K920-K919)+Q919,0))</f>
        <v>107700</v>
      </c>
      <c r="R920">
        <f t="shared" si="88"/>
        <v>172265</v>
      </c>
      <c r="S920">
        <f t="shared" si="89"/>
        <v>85657.499999999971</v>
      </c>
    </row>
    <row r="921" spans="4:19" x14ac:dyDescent="0.25">
      <c r="D921" s="1">
        <v>42597</v>
      </c>
      <c r="E921">
        <v>39719</v>
      </c>
      <c r="F921" s="1">
        <v>42597</v>
      </c>
      <c r="G921">
        <v>-6412.5</v>
      </c>
      <c r="H921" s="1">
        <f t="shared" si="84"/>
        <v>42597</v>
      </c>
      <c r="I921">
        <f>IF(AND(MyRowHidden(ROW())=FALSE,MyRowHidden(ROW()-1)=TRUE),0,(E921-E920)*unitsOfDHp+I920)</f>
        <v>292215</v>
      </c>
      <c r="J921">
        <f>IF(AND(MyRowHidden(ROW())=FALSE,MyRowHidden(ROW()-1)=TRUE),0,(G921-G920)*unitsOfExo+J920)</f>
        <v>-406800</v>
      </c>
      <c r="K921" s="9">
        <f t="shared" si="85"/>
        <v>406800</v>
      </c>
      <c r="L921">
        <f t="shared" si="86"/>
        <v>-114585</v>
      </c>
      <c r="M921">
        <f>IF(AND(MyRowHidden(ROW())=FALSE,MyRowHidden(ROW()-1)=TRUE),0,IF(MONTH(H921)&lt;&gt;MONTH(H920),M920+1,M920))</f>
        <v>7</v>
      </c>
      <c r="N921">
        <f t="shared" si="87"/>
        <v>292215</v>
      </c>
      <c r="O921">
        <f>IF(AND(MyRowHidden(ROW())=FALSE,MyRowHidden(ROW()-1)=TRUE),0,IF(M921&lt;totalMonths,(totalMonths-M921)/totalMonths *(I921-I920)+O920,0))</f>
        <v>198461.66666666663</v>
      </c>
      <c r="P921">
        <f>IF(AND(MyRowHidden(ROW())=FALSE,MyRowHidden(ROW()-1)=TRUE),0,IF(M921&lt;totalMonths,(totalMonths-M921)/totalMonths *(J921-J920)+P920,0))</f>
        <v>-56700</v>
      </c>
      <c r="Q921">
        <f>IF(AND(MyRowHidden(ROW())=FALSE,MyRowHidden(ROW()-1)=TRUE),0,IF(M921&lt;totalMonths,(totalMonths-M921)/totalMonths *(K921-K920)+Q920,0))</f>
        <v>56700</v>
      </c>
      <c r="R921">
        <f t="shared" si="88"/>
        <v>235515</v>
      </c>
      <c r="S921">
        <f t="shared" si="89"/>
        <v>141761.66666666663</v>
      </c>
    </row>
    <row r="922" spans="4:19" x14ac:dyDescent="0.25">
      <c r="D922" s="1">
        <v>42598</v>
      </c>
      <c r="E922">
        <v>39762</v>
      </c>
      <c r="F922" s="1">
        <v>42598</v>
      </c>
      <c r="G922">
        <v>-6375</v>
      </c>
      <c r="H922" s="1">
        <f t="shared" si="84"/>
        <v>42598</v>
      </c>
      <c r="I922">
        <f>IF(AND(MyRowHidden(ROW())=FALSE,MyRowHidden(ROW()-1)=TRUE),0,(E922-E921)*unitsOfDHp+I921)</f>
        <v>293720</v>
      </c>
      <c r="J922">
        <f>IF(AND(MyRowHidden(ROW())=FALSE,MyRowHidden(ROW()-1)=TRUE),0,(G922-G921)*unitsOfExo+J921)</f>
        <v>-396000</v>
      </c>
      <c r="K922" s="9">
        <f t="shared" si="85"/>
        <v>396000</v>
      </c>
      <c r="L922">
        <f t="shared" si="86"/>
        <v>-102280</v>
      </c>
      <c r="M922">
        <f>IF(AND(MyRowHidden(ROW())=FALSE,MyRowHidden(ROW()-1)=TRUE),0,IF(MONTH(H922)&lt;&gt;MONTH(H921),M921+1,M921))</f>
        <v>7</v>
      </c>
      <c r="N922">
        <f t="shared" si="87"/>
        <v>293720</v>
      </c>
      <c r="O922">
        <f>IF(AND(MyRowHidden(ROW())=FALSE,MyRowHidden(ROW()-1)=TRUE),0,IF(M922&lt;totalMonths,(totalMonths-M922)/totalMonths *(I922-I921)+O921,0))</f>
        <v>199088.74999999997</v>
      </c>
      <c r="P922">
        <f>IF(AND(MyRowHidden(ROW())=FALSE,MyRowHidden(ROW()-1)=TRUE),0,IF(M922&lt;totalMonths,(totalMonths-M922)/totalMonths *(J922-J921)+P921,0))</f>
        <v>-52200</v>
      </c>
      <c r="Q922">
        <f>IF(AND(MyRowHidden(ROW())=FALSE,MyRowHidden(ROW()-1)=TRUE),0,IF(M922&lt;totalMonths,(totalMonths-M922)/totalMonths *(K922-K921)+Q921,0))</f>
        <v>52200</v>
      </c>
      <c r="R922">
        <f t="shared" si="88"/>
        <v>241520</v>
      </c>
      <c r="S922">
        <f t="shared" si="89"/>
        <v>146888.74999999997</v>
      </c>
    </row>
    <row r="923" spans="4:19" x14ac:dyDescent="0.25">
      <c r="D923" s="1">
        <v>42599</v>
      </c>
      <c r="E923">
        <v>39804</v>
      </c>
      <c r="F923" s="1">
        <v>42599</v>
      </c>
      <c r="G923">
        <v>-6350</v>
      </c>
      <c r="H923" s="1">
        <f t="shared" si="84"/>
        <v>42599</v>
      </c>
      <c r="I923">
        <f>IF(AND(MyRowHidden(ROW())=FALSE,MyRowHidden(ROW()-1)=TRUE),0,(E923-E922)*unitsOfDHp+I922)</f>
        <v>295190</v>
      </c>
      <c r="J923">
        <f>IF(AND(MyRowHidden(ROW())=FALSE,MyRowHidden(ROW()-1)=TRUE),0,(G923-G922)*unitsOfExo+J922)</f>
        <v>-388800</v>
      </c>
      <c r="K923" s="9">
        <f t="shared" si="85"/>
        <v>388800</v>
      </c>
      <c r="L923">
        <f t="shared" si="86"/>
        <v>-93610</v>
      </c>
      <c r="M923">
        <f>IF(AND(MyRowHidden(ROW())=FALSE,MyRowHidden(ROW()-1)=TRUE),0,IF(MONTH(H923)&lt;&gt;MONTH(H922),M922+1,M922))</f>
        <v>7</v>
      </c>
      <c r="N923">
        <f t="shared" si="87"/>
        <v>295190</v>
      </c>
      <c r="O923">
        <f>IF(AND(MyRowHidden(ROW())=FALSE,MyRowHidden(ROW()-1)=TRUE),0,IF(M923&lt;totalMonths,(totalMonths-M923)/totalMonths *(I923-I922)+O922,0))</f>
        <v>199701.24999999997</v>
      </c>
      <c r="P923">
        <f>IF(AND(MyRowHidden(ROW())=FALSE,MyRowHidden(ROW()-1)=TRUE),0,IF(M923&lt;totalMonths,(totalMonths-M923)/totalMonths *(J923-J922)+P922,0))</f>
        <v>-49200</v>
      </c>
      <c r="Q923">
        <f>IF(AND(MyRowHidden(ROW())=FALSE,MyRowHidden(ROW()-1)=TRUE),0,IF(M923&lt;totalMonths,(totalMonths-M923)/totalMonths *(K923-K922)+Q922,0))</f>
        <v>49200</v>
      </c>
      <c r="R923">
        <f t="shared" si="88"/>
        <v>245990</v>
      </c>
      <c r="S923">
        <f t="shared" si="89"/>
        <v>150501.24999999997</v>
      </c>
    </row>
    <row r="924" spans="4:19" x14ac:dyDescent="0.25">
      <c r="D924" s="1">
        <v>42600</v>
      </c>
      <c r="E924">
        <v>39877</v>
      </c>
      <c r="F924" s="1">
        <v>42600</v>
      </c>
      <c r="G924">
        <v>-6237.5</v>
      </c>
      <c r="H924" s="1">
        <f t="shared" si="84"/>
        <v>42600</v>
      </c>
      <c r="I924">
        <f>IF(AND(MyRowHidden(ROW())=FALSE,MyRowHidden(ROW()-1)=TRUE),0,(E924-E923)*unitsOfDHp+I923)</f>
        <v>297745</v>
      </c>
      <c r="J924">
        <f>IF(AND(MyRowHidden(ROW())=FALSE,MyRowHidden(ROW()-1)=TRUE),0,(G924-G923)*unitsOfExo+J923)</f>
        <v>-356400</v>
      </c>
      <c r="K924" s="9">
        <f t="shared" si="85"/>
        <v>356400</v>
      </c>
      <c r="L924">
        <f t="shared" si="86"/>
        <v>-58655</v>
      </c>
      <c r="M924">
        <f>IF(AND(MyRowHidden(ROW())=FALSE,MyRowHidden(ROW()-1)=TRUE),0,IF(MONTH(H924)&lt;&gt;MONTH(H923),M923+1,M923))</f>
        <v>7</v>
      </c>
      <c r="N924">
        <f t="shared" si="87"/>
        <v>297745</v>
      </c>
      <c r="O924">
        <f>IF(AND(MyRowHidden(ROW())=FALSE,MyRowHidden(ROW()-1)=TRUE),0,IF(M924&lt;totalMonths,(totalMonths-M924)/totalMonths *(I924-I923)+O923,0))</f>
        <v>200765.83333333331</v>
      </c>
      <c r="P924">
        <f>IF(AND(MyRowHidden(ROW())=FALSE,MyRowHidden(ROW()-1)=TRUE),0,IF(M924&lt;totalMonths,(totalMonths-M924)/totalMonths *(J924-J923)+P923,0))</f>
        <v>-35700</v>
      </c>
      <c r="Q924">
        <f>IF(AND(MyRowHidden(ROW())=FALSE,MyRowHidden(ROW()-1)=TRUE),0,IF(M924&lt;totalMonths,(totalMonths-M924)/totalMonths *(K924-K923)+Q923,0))</f>
        <v>35700</v>
      </c>
      <c r="R924">
        <f t="shared" si="88"/>
        <v>262045</v>
      </c>
      <c r="S924">
        <f t="shared" si="89"/>
        <v>165065.83333333331</v>
      </c>
    </row>
    <row r="925" spans="4:19" x14ac:dyDescent="0.25">
      <c r="D925" s="1">
        <v>42601</v>
      </c>
      <c r="E925">
        <v>39763</v>
      </c>
      <c r="F925" s="1">
        <v>42601</v>
      </c>
      <c r="G925">
        <v>-6050</v>
      </c>
      <c r="H925" s="1">
        <f t="shared" si="84"/>
        <v>42601</v>
      </c>
      <c r="I925">
        <f>IF(AND(MyRowHidden(ROW())=FALSE,MyRowHidden(ROW()-1)=TRUE),0,(E925-E924)*unitsOfDHp+I924)</f>
        <v>293755</v>
      </c>
      <c r="J925">
        <f>IF(AND(MyRowHidden(ROW())=FALSE,MyRowHidden(ROW()-1)=TRUE),0,(G925-G924)*unitsOfExo+J924)</f>
        <v>-302400</v>
      </c>
      <c r="K925" s="9">
        <f t="shared" si="85"/>
        <v>302400</v>
      </c>
      <c r="L925">
        <f t="shared" si="86"/>
        <v>-8645</v>
      </c>
      <c r="M925">
        <f>IF(AND(MyRowHidden(ROW())=FALSE,MyRowHidden(ROW()-1)=TRUE),0,IF(MONTH(H925)&lt;&gt;MONTH(H924),M924+1,M924))</f>
        <v>7</v>
      </c>
      <c r="N925">
        <f t="shared" si="87"/>
        <v>293755</v>
      </c>
      <c r="O925">
        <f>IF(AND(MyRowHidden(ROW())=FALSE,MyRowHidden(ROW()-1)=TRUE),0,IF(M925&lt;totalMonths,(totalMonths-M925)/totalMonths *(I925-I924)+O924,0))</f>
        <v>199103.33333333331</v>
      </c>
      <c r="P925">
        <f>IF(AND(MyRowHidden(ROW())=FALSE,MyRowHidden(ROW()-1)=TRUE),0,IF(M925&lt;totalMonths,(totalMonths-M925)/totalMonths *(J925-J924)+P924,0))</f>
        <v>-13200</v>
      </c>
      <c r="Q925">
        <f>IF(AND(MyRowHidden(ROW())=FALSE,MyRowHidden(ROW()-1)=TRUE),0,IF(M925&lt;totalMonths,(totalMonths-M925)/totalMonths *(K925-K924)+Q924,0))</f>
        <v>13200</v>
      </c>
      <c r="R925">
        <f t="shared" si="88"/>
        <v>280555</v>
      </c>
      <c r="S925">
        <f t="shared" si="89"/>
        <v>185903.33333333331</v>
      </c>
    </row>
    <row r="926" spans="4:19" x14ac:dyDescent="0.25">
      <c r="D926" s="1">
        <v>42604</v>
      </c>
      <c r="E926">
        <v>39824</v>
      </c>
      <c r="F926" s="1">
        <v>42604</v>
      </c>
      <c r="G926">
        <v>-6112.5</v>
      </c>
      <c r="H926" s="1">
        <f t="shared" si="84"/>
        <v>42604</v>
      </c>
      <c r="I926">
        <f>IF(AND(MyRowHidden(ROW())=FALSE,MyRowHidden(ROW()-1)=TRUE),0,(E926-E925)*unitsOfDHp+I925)</f>
        <v>295890</v>
      </c>
      <c r="J926">
        <f>IF(AND(MyRowHidden(ROW())=FALSE,MyRowHidden(ROW()-1)=TRUE),0,(G926-G925)*unitsOfExo+J925)</f>
        <v>-320400</v>
      </c>
      <c r="K926" s="9">
        <f t="shared" si="85"/>
        <v>320400</v>
      </c>
      <c r="L926">
        <f t="shared" si="86"/>
        <v>-24510</v>
      </c>
      <c r="M926">
        <f>IF(AND(MyRowHidden(ROW())=FALSE,MyRowHidden(ROW()-1)=TRUE),0,IF(MONTH(H926)&lt;&gt;MONTH(H925),M925+1,M925))</f>
        <v>7</v>
      </c>
      <c r="N926">
        <f t="shared" si="87"/>
        <v>295890</v>
      </c>
      <c r="O926">
        <f>IF(AND(MyRowHidden(ROW())=FALSE,MyRowHidden(ROW()-1)=TRUE),0,IF(M926&lt;totalMonths,(totalMonths-M926)/totalMonths *(I926-I925)+O925,0))</f>
        <v>199992.91666666666</v>
      </c>
      <c r="P926">
        <f>IF(AND(MyRowHidden(ROW())=FALSE,MyRowHidden(ROW()-1)=TRUE),0,IF(M926&lt;totalMonths,(totalMonths-M926)/totalMonths *(J926-J925)+P925,0))</f>
        <v>-20700</v>
      </c>
      <c r="Q926">
        <f>IF(AND(MyRowHidden(ROW())=FALSE,MyRowHidden(ROW()-1)=TRUE),0,IF(M926&lt;totalMonths,(totalMonths-M926)/totalMonths *(K926-K925)+Q925,0))</f>
        <v>20700</v>
      </c>
      <c r="R926">
        <f t="shared" si="88"/>
        <v>275190</v>
      </c>
      <c r="S926">
        <f t="shared" si="89"/>
        <v>179292.91666666666</v>
      </c>
    </row>
    <row r="927" spans="4:19" x14ac:dyDescent="0.25">
      <c r="D927" s="1">
        <v>42605</v>
      </c>
      <c r="E927">
        <v>40236</v>
      </c>
      <c r="F927" s="1">
        <v>42605</v>
      </c>
      <c r="G927">
        <v>-6312.5</v>
      </c>
      <c r="H927" s="1">
        <f t="shared" si="84"/>
        <v>42605</v>
      </c>
      <c r="I927">
        <f>IF(AND(MyRowHidden(ROW())=FALSE,MyRowHidden(ROW()-1)=TRUE),0,(E927-E926)*unitsOfDHp+I926)</f>
        <v>310310</v>
      </c>
      <c r="J927">
        <f>IF(AND(MyRowHidden(ROW())=FALSE,MyRowHidden(ROW()-1)=TRUE),0,(G927-G926)*unitsOfExo+J926)</f>
        <v>-378000</v>
      </c>
      <c r="K927" s="9">
        <f t="shared" si="85"/>
        <v>378000</v>
      </c>
      <c r="L927">
        <f t="shared" si="86"/>
        <v>-67690</v>
      </c>
      <c r="M927">
        <f>IF(AND(MyRowHidden(ROW())=FALSE,MyRowHidden(ROW()-1)=TRUE),0,IF(MONTH(H927)&lt;&gt;MONTH(H926),M926+1,M926))</f>
        <v>7</v>
      </c>
      <c r="N927">
        <f t="shared" si="87"/>
        <v>310310</v>
      </c>
      <c r="O927">
        <f>IF(AND(MyRowHidden(ROW())=FALSE,MyRowHidden(ROW()-1)=TRUE),0,IF(M927&lt;totalMonths,(totalMonths-M927)/totalMonths *(I927-I926)+O926,0))</f>
        <v>206001.25</v>
      </c>
      <c r="P927">
        <f>IF(AND(MyRowHidden(ROW())=FALSE,MyRowHidden(ROW()-1)=TRUE),0,IF(M927&lt;totalMonths,(totalMonths-M927)/totalMonths *(J927-J926)+P926,0))</f>
        <v>-44700</v>
      </c>
      <c r="Q927">
        <f>IF(AND(MyRowHidden(ROW())=FALSE,MyRowHidden(ROW()-1)=TRUE),0,IF(M927&lt;totalMonths,(totalMonths-M927)/totalMonths *(K927-K926)+Q926,0))</f>
        <v>44700</v>
      </c>
      <c r="R927">
        <f t="shared" si="88"/>
        <v>265610</v>
      </c>
      <c r="S927">
        <f t="shared" si="89"/>
        <v>161301.25</v>
      </c>
    </row>
    <row r="928" spans="4:19" x14ac:dyDescent="0.25">
      <c r="D928" s="1">
        <v>42606</v>
      </c>
      <c r="E928">
        <v>40514</v>
      </c>
      <c r="F928" s="1">
        <v>42606</v>
      </c>
      <c r="G928">
        <v>-6425</v>
      </c>
      <c r="H928" s="1">
        <f t="shared" si="84"/>
        <v>42606</v>
      </c>
      <c r="I928">
        <f>IF(AND(MyRowHidden(ROW())=FALSE,MyRowHidden(ROW()-1)=TRUE),0,(E928-E927)*unitsOfDHp+I927)</f>
        <v>320040</v>
      </c>
      <c r="J928">
        <f>IF(AND(MyRowHidden(ROW())=FALSE,MyRowHidden(ROW()-1)=TRUE),0,(G928-G927)*unitsOfExo+J927)</f>
        <v>-410400</v>
      </c>
      <c r="K928" s="9">
        <f t="shared" si="85"/>
        <v>410400</v>
      </c>
      <c r="L928">
        <f t="shared" si="86"/>
        <v>-90360</v>
      </c>
      <c r="M928">
        <f>IF(AND(MyRowHidden(ROW())=FALSE,MyRowHidden(ROW()-1)=TRUE),0,IF(MONTH(H928)&lt;&gt;MONTH(H927),M927+1,M927))</f>
        <v>7</v>
      </c>
      <c r="N928">
        <f t="shared" si="87"/>
        <v>320040</v>
      </c>
      <c r="O928">
        <f>IF(AND(MyRowHidden(ROW())=FALSE,MyRowHidden(ROW()-1)=TRUE),0,IF(M928&lt;totalMonths,(totalMonths-M928)/totalMonths *(I928-I927)+O927,0))</f>
        <v>210055.41666666666</v>
      </c>
      <c r="P928">
        <f>IF(AND(MyRowHidden(ROW())=FALSE,MyRowHidden(ROW()-1)=TRUE),0,IF(M928&lt;totalMonths,(totalMonths-M928)/totalMonths *(J928-J927)+P927,0))</f>
        <v>-58200</v>
      </c>
      <c r="Q928">
        <f>IF(AND(MyRowHidden(ROW())=FALSE,MyRowHidden(ROW()-1)=TRUE),0,IF(M928&lt;totalMonths,(totalMonths-M928)/totalMonths *(K928-K927)+Q927,0))</f>
        <v>58200</v>
      </c>
      <c r="R928">
        <f t="shared" si="88"/>
        <v>261840</v>
      </c>
      <c r="S928">
        <f t="shared" si="89"/>
        <v>151855.41666666666</v>
      </c>
    </row>
    <row r="929" spans="4:19" x14ac:dyDescent="0.25">
      <c r="D929" s="1">
        <v>42607</v>
      </c>
      <c r="E929">
        <v>40830</v>
      </c>
      <c r="F929" s="1">
        <v>42607</v>
      </c>
      <c r="G929">
        <v>-6600</v>
      </c>
      <c r="H929" s="1">
        <f t="shared" si="84"/>
        <v>42607</v>
      </c>
      <c r="I929">
        <f>IF(AND(MyRowHidden(ROW())=FALSE,MyRowHidden(ROW()-1)=TRUE),0,(E929-E928)*unitsOfDHp+I928)</f>
        <v>331100</v>
      </c>
      <c r="J929">
        <f>IF(AND(MyRowHidden(ROW())=FALSE,MyRowHidden(ROW()-1)=TRUE),0,(G929-G928)*unitsOfExo+J928)</f>
        <v>-460800</v>
      </c>
      <c r="K929" s="9">
        <f t="shared" si="85"/>
        <v>460800</v>
      </c>
      <c r="L929">
        <f t="shared" si="86"/>
        <v>-129700</v>
      </c>
      <c r="M929">
        <f>IF(AND(MyRowHidden(ROW())=FALSE,MyRowHidden(ROW()-1)=TRUE),0,IF(MONTH(H929)&lt;&gt;MONTH(H928),M928+1,M928))</f>
        <v>7</v>
      </c>
      <c r="N929">
        <f t="shared" si="87"/>
        <v>331100</v>
      </c>
      <c r="O929">
        <f>IF(AND(MyRowHidden(ROW())=FALSE,MyRowHidden(ROW()-1)=TRUE),0,IF(M929&lt;totalMonths,(totalMonths-M929)/totalMonths *(I929-I928)+O928,0))</f>
        <v>214663.75</v>
      </c>
      <c r="P929">
        <f>IF(AND(MyRowHidden(ROW())=FALSE,MyRowHidden(ROW()-1)=TRUE),0,IF(M929&lt;totalMonths,(totalMonths-M929)/totalMonths *(J929-J928)+P928,0))</f>
        <v>-79200</v>
      </c>
      <c r="Q929">
        <f>IF(AND(MyRowHidden(ROW())=FALSE,MyRowHidden(ROW()-1)=TRUE),0,IF(M929&lt;totalMonths,(totalMonths-M929)/totalMonths *(K929-K928)+Q928,0))</f>
        <v>79200</v>
      </c>
      <c r="R929">
        <f t="shared" si="88"/>
        <v>251900</v>
      </c>
      <c r="S929">
        <f t="shared" si="89"/>
        <v>135463.75</v>
      </c>
    </row>
    <row r="930" spans="4:19" x14ac:dyDescent="0.25">
      <c r="D930" s="1">
        <v>42608</v>
      </c>
      <c r="E930">
        <v>41252</v>
      </c>
      <c r="F930" s="1">
        <v>42608</v>
      </c>
      <c r="G930">
        <v>-6875</v>
      </c>
      <c r="H930" s="1">
        <f t="shared" si="84"/>
        <v>42608</v>
      </c>
      <c r="I930">
        <f>IF(AND(MyRowHidden(ROW())=FALSE,MyRowHidden(ROW()-1)=TRUE),0,(E930-E929)*unitsOfDHp+I929)</f>
        <v>345870</v>
      </c>
      <c r="J930">
        <f>IF(AND(MyRowHidden(ROW())=FALSE,MyRowHidden(ROW()-1)=TRUE),0,(G930-G929)*unitsOfExo+J929)</f>
        <v>-540000</v>
      </c>
      <c r="K930" s="9">
        <f t="shared" si="85"/>
        <v>540000</v>
      </c>
      <c r="L930">
        <f t="shared" si="86"/>
        <v>-194130</v>
      </c>
      <c r="M930">
        <f>IF(AND(MyRowHidden(ROW())=FALSE,MyRowHidden(ROW()-1)=TRUE),0,IF(MONTH(H930)&lt;&gt;MONTH(H929),M929+1,M929))</f>
        <v>7</v>
      </c>
      <c r="N930">
        <f t="shared" si="87"/>
        <v>345870</v>
      </c>
      <c r="O930">
        <f>IF(AND(MyRowHidden(ROW())=FALSE,MyRowHidden(ROW()-1)=TRUE),0,IF(M930&lt;totalMonths,(totalMonths-M930)/totalMonths *(I930-I929)+O929,0))</f>
        <v>220817.91666666666</v>
      </c>
      <c r="P930">
        <f>IF(AND(MyRowHidden(ROW())=FALSE,MyRowHidden(ROW()-1)=TRUE),0,IF(M930&lt;totalMonths,(totalMonths-M930)/totalMonths *(J930-J929)+P929,0))</f>
        <v>-112200</v>
      </c>
      <c r="Q930">
        <f>IF(AND(MyRowHidden(ROW())=FALSE,MyRowHidden(ROW()-1)=TRUE),0,IF(M930&lt;totalMonths,(totalMonths-M930)/totalMonths *(K930-K929)+Q929,0))</f>
        <v>112200</v>
      </c>
      <c r="R930">
        <f t="shared" si="88"/>
        <v>233670</v>
      </c>
      <c r="S930">
        <f t="shared" si="89"/>
        <v>108617.91666666666</v>
      </c>
    </row>
    <row r="931" spans="4:19" x14ac:dyDescent="0.25">
      <c r="D931" s="1">
        <v>42611</v>
      </c>
      <c r="E931">
        <v>41711</v>
      </c>
      <c r="F931" s="1">
        <v>42611</v>
      </c>
      <c r="G931">
        <v>-7200</v>
      </c>
      <c r="H931" s="1">
        <f t="shared" si="84"/>
        <v>42611</v>
      </c>
      <c r="I931">
        <f>IF(AND(MyRowHidden(ROW())=FALSE,MyRowHidden(ROW()-1)=TRUE),0,(E931-E930)*unitsOfDHp+I930)</f>
        <v>361935</v>
      </c>
      <c r="J931">
        <f>IF(AND(MyRowHidden(ROW())=FALSE,MyRowHidden(ROW()-1)=TRUE),0,(G931-G930)*unitsOfExo+J930)</f>
        <v>-633600</v>
      </c>
      <c r="K931" s="9">
        <f t="shared" si="85"/>
        <v>633600</v>
      </c>
      <c r="L931">
        <f t="shared" si="86"/>
        <v>-271665</v>
      </c>
      <c r="M931">
        <f>IF(AND(MyRowHidden(ROW())=FALSE,MyRowHidden(ROW()-1)=TRUE),0,IF(MONTH(H931)&lt;&gt;MONTH(H930),M930+1,M930))</f>
        <v>7</v>
      </c>
      <c r="N931">
        <f t="shared" si="87"/>
        <v>361935</v>
      </c>
      <c r="O931">
        <f>IF(AND(MyRowHidden(ROW())=FALSE,MyRowHidden(ROW()-1)=TRUE),0,IF(M931&lt;totalMonths,(totalMonths-M931)/totalMonths *(I931-I930)+O930,0))</f>
        <v>227511.66666666666</v>
      </c>
      <c r="P931">
        <f>IF(AND(MyRowHidden(ROW())=FALSE,MyRowHidden(ROW()-1)=TRUE),0,IF(M931&lt;totalMonths,(totalMonths-M931)/totalMonths *(J931-J930)+P930,0))</f>
        <v>-151200</v>
      </c>
      <c r="Q931">
        <f>IF(AND(MyRowHidden(ROW())=FALSE,MyRowHidden(ROW()-1)=TRUE),0,IF(M931&lt;totalMonths,(totalMonths-M931)/totalMonths *(K931-K930)+Q930,0))</f>
        <v>151200</v>
      </c>
      <c r="R931">
        <f t="shared" si="88"/>
        <v>210735</v>
      </c>
      <c r="S931">
        <f t="shared" si="89"/>
        <v>76311.666666666657</v>
      </c>
    </row>
    <row r="932" spans="4:19" x14ac:dyDescent="0.25">
      <c r="D932" s="1">
        <v>42612</v>
      </c>
      <c r="E932">
        <v>41531</v>
      </c>
      <c r="F932" s="1">
        <v>42612</v>
      </c>
      <c r="G932">
        <v>-7487.5</v>
      </c>
      <c r="H932" s="1">
        <f t="shared" si="84"/>
        <v>42612</v>
      </c>
      <c r="I932">
        <f>IF(AND(MyRowHidden(ROW())=FALSE,MyRowHidden(ROW()-1)=TRUE),0,(E932-E931)*unitsOfDHp+I931)</f>
        <v>355635</v>
      </c>
      <c r="J932">
        <f>IF(AND(MyRowHidden(ROW())=FALSE,MyRowHidden(ROW()-1)=TRUE),0,(G932-G931)*unitsOfExo+J931)</f>
        <v>-716400</v>
      </c>
      <c r="K932" s="9">
        <f t="shared" si="85"/>
        <v>716400</v>
      </c>
      <c r="L932">
        <f t="shared" si="86"/>
        <v>-360765</v>
      </c>
      <c r="M932">
        <f>IF(AND(MyRowHidden(ROW())=FALSE,MyRowHidden(ROW()-1)=TRUE),0,IF(MONTH(H932)&lt;&gt;MONTH(H931),M931+1,M931))</f>
        <v>7</v>
      </c>
      <c r="N932">
        <f t="shared" si="87"/>
        <v>355635</v>
      </c>
      <c r="O932">
        <f>IF(AND(MyRowHidden(ROW())=FALSE,MyRowHidden(ROW()-1)=TRUE),0,IF(M932&lt;totalMonths,(totalMonths-M932)/totalMonths *(I932-I931)+O931,0))</f>
        <v>224886.66666666666</v>
      </c>
      <c r="P932">
        <f>IF(AND(MyRowHidden(ROW())=FALSE,MyRowHidden(ROW()-1)=TRUE),0,IF(M932&lt;totalMonths,(totalMonths-M932)/totalMonths *(J932-J931)+P931,0))</f>
        <v>-185700</v>
      </c>
      <c r="Q932">
        <f>IF(AND(MyRowHidden(ROW())=FALSE,MyRowHidden(ROW()-1)=TRUE),0,IF(M932&lt;totalMonths,(totalMonths-M932)/totalMonths *(K932-K931)+Q931,0))</f>
        <v>185700</v>
      </c>
      <c r="R932">
        <f t="shared" si="88"/>
        <v>169935</v>
      </c>
      <c r="S932">
        <f t="shared" si="89"/>
        <v>39186.666666666657</v>
      </c>
    </row>
    <row r="933" spans="4:19" x14ac:dyDescent="0.25">
      <c r="D933" s="1">
        <v>42613</v>
      </c>
      <c r="E933">
        <v>41450</v>
      </c>
      <c r="F933" s="1">
        <v>42613</v>
      </c>
      <c r="G933">
        <v>-7625</v>
      </c>
      <c r="H933" s="1">
        <f t="shared" si="84"/>
        <v>42613</v>
      </c>
      <c r="I933">
        <f>IF(AND(MyRowHidden(ROW())=FALSE,MyRowHidden(ROW()-1)=TRUE),0,(E933-E932)*unitsOfDHp+I932)</f>
        <v>352800</v>
      </c>
      <c r="J933">
        <f>IF(AND(MyRowHidden(ROW())=FALSE,MyRowHidden(ROW()-1)=TRUE),0,(G933-G932)*unitsOfExo+J932)</f>
        <v>-756000</v>
      </c>
      <c r="K933" s="9">
        <f t="shared" si="85"/>
        <v>756000</v>
      </c>
      <c r="L933">
        <f t="shared" si="86"/>
        <v>-403200</v>
      </c>
      <c r="M933">
        <f>IF(AND(MyRowHidden(ROW())=FALSE,MyRowHidden(ROW()-1)=TRUE),0,IF(MONTH(H933)&lt;&gt;MONTH(H932),M932+1,M932))</f>
        <v>7</v>
      </c>
      <c r="N933">
        <f t="shared" si="87"/>
        <v>352800</v>
      </c>
      <c r="O933">
        <f>IF(AND(MyRowHidden(ROW())=FALSE,MyRowHidden(ROW()-1)=TRUE),0,IF(M933&lt;totalMonths,(totalMonths-M933)/totalMonths *(I933-I932)+O932,0))</f>
        <v>223705.41666666666</v>
      </c>
      <c r="P933">
        <f>IF(AND(MyRowHidden(ROW())=FALSE,MyRowHidden(ROW()-1)=TRUE),0,IF(M933&lt;totalMonths,(totalMonths-M933)/totalMonths *(J933-J932)+P932,0))</f>
        <v>-202200</v>
      </c>
      <c r="Q933">
        <f>IF(AND(MyRowHidden(ROW())=FALSE,MyRowHidden(ROW()-1)=TRUE),0,IF(M933&lt;totalMonths,(totalMonths-M933)/totalMonths *(K933-K932)+Q932,0))</f>
        <v>202200</v>
      </c>
      <c r="R933">
        <f t="shared" si="88"/>
        <v>150600</v>
      </c>
      <c r="S933">
        <f t="shared" si="89"/>
        <v>21505.416666666657</v>
      </c>
    </row>
    <row r="934" spans="4:19" x14ac:dyDescent="0.25">
      <c r="D934" s="1">
        <v>42614</v>
      </c>
      <c r="E934">
        <v>41738</v>
      </c>
      <c r="F934" s="1">
        <v>42614</v>
      </c>
      <c r="G934">
        <v>-7312.5</v>
      </c>
      <c r="H934" s="1">
        <f t="shared" si="84"/>
        <v>42614</v>
      </c>
      <c r="I934">
        <f>IF(AND(MyRowHidden(ROW())=FALSE,MyRowHidden(ROW()-1)=TRUE),0,(E934-E933)*unitsOfDHp+I933)</f>
        <v>362880</v>
      </c>
      <c r="J934">
        <f>IF(AND(MyRowHidden(ROW())=FALSE,MyRowHidden(ROW()-1)=TRUE),0,(G934-G933)*unitsOfExo+J933)</f>
        <v>-666000</v>
      </c>
      <c r="K934" s="9">
        <f t="shared" si="85"/>
        <v>666000</v>
      </c>
      <c r="L934">
        <f t="shared" si="86"/>
        <v>-303120</v>
      </c>
      <c r="M934">
        <f>IF(AND(MyRowHidden(ROW())=FALSE,MyRowHidden(ROW()-1)=TRUE),0,IF(MONTH(H934)&lt;&gt;MONTH(H933),M933+1,M933))</f>
        <v>8</v>
      </c>
      <c r="N934">
        <f t="shared" si="87"/>
        <v>362880</v>
      </c>
      <c r="O934">
        <f>IF(AND(MyRowHidden(ROW())=FALSE,MyRowHidden(ROW()-1)=TRUE),0,IF(M934&lt;totalMonths,(totalMonths-M934)/totalMonths *(I934-I933)+O933,0))</f>
        <v>227065.41666666666</v>
      </c>
      <c r="P934">
        <f>IF(AND(MyRowHidden(ROW())=FALSE,MyRowHidden(ROW()-1)=TRUE),0,IF(M934&lt;totalMonths,(totalMonths-M934)/totalMonths *(J934-J933)+P933,0))</f>
        <v>-172200</v>
      </c>
      <c r="Q934">
        <f>IF(AND(MyRowHidden(ROW())=FALSE,MyRowHidden(ROW()-1)=TRUE),0,IF(M934&lt;totalMonths,(totalMonths-M934)/totalMonths *(K934-K933)+Q933,0))</f>
        <v>172200</v>
      </c>
      <c r="R934">
        <f t="shared" si="88"/>
        <v>190680</v>
      </c>
      <c r="S934">
        <f t="shared" si="89"/>
        <v>54865.416666666657</v>
      </c>
    </row>
    <row r="935" spans="4:19" x14ac:dyDescent="0.25">
      <c r="D935" s="1">
        <v>42615</v>
      </c>
      <c r="E935">
        <v>42076</v>
      </c>
      <c r="F935" s="1">
        <v>42615</v>
      </c>
      <c r="G935">
        <v>-6962.5</v>
      </c>
      <c r="H935" s="1">
        <f t="shared" si="84"/>
        <v>42615</v>
      </c>
      <c r="I935">
        <f>IF(AND(MyRowHidden(ROW())=FALSE,MyRowHidden(ROW()-1)=TRUE),0,(E935-E934)*unitsOfDHp+I934)</f>
        <v>374710</v>
      </c>
      <c r="J935">
        <f>IF(AND(MyRowHidden(ROW())=FALSE,MyRowHidden(ROW()-1)=TRUE),0,(G935-G934)*unitsOfExo+J934)</f>
        <v>-565200</v>
      </c>
      <c r="K935" s="9">
        <f t="shared" si="85"/>
        <v>565200</v>
      </c>
      <c r="L935">
        <f t="shared" si="86"/>
        <v>-190490</v>
      </c>
      <c r="M935">
        <f>IF(AND(MyRowHidden(ROW())=FALSE,MyRowHidden(ROW()-1)=TRUE),0,IF(MONTH(H935)&lt;&gt;MONTH(H934),M934+1,M934))</f>
        <v>8</v>
      </c>
      <c r="N935">
        <f t="shared" si="87"/>
        <v>374710</v>
      </c>
      <c r="O935">
        <f>IF(AND(MyRowHidden(ROW())=FALSE,MyRowHidden(ROW()-1)=TRUE),0,IF(M935&lt;totalMonths,(totalMonths-M935)/totalMonths *(I935-I934)+O934,0))</f>
        <v>231008.75</v>
      </c>
      <c r="P935">
        <f>IF(AND(MyRowHidden(ROW())=FALSE,MyRowHidden(ROW()-1)=TRUE),0,IF(M935&lt;totalMonths,(totalMonths-M935)/totalMonths *(J935-J934)+P934,0))</f>
        <v>-138600</v>
      </c>
      <c r="Q935">
        <f>IF(AND(MyRowHidden(ROW())=FALSE,MyRowHidden(ROW()-1)=TRUE),0,IF(M935&lt;totalMonths,(totalMonths-M935)/totalMonths *(K935-K934)+Q934,0))</f>
        <v>138600</v>
      </c>
      <c r="R935">
        <f t="shared" si="88"/>
        <v>236110</v>
      </c>
      <c r="S935">
        <f t="shared" si="89"/>
        <v>92408.75</v>
      </c>
    </row>
    <row r="936" spans="4:19" x14ac:dyDescent="0.25">
      <c r="D936" s="1">
        <v>42619</v>
      </c>
      <c r="E936">
        <v>42068</v>
      </c>
      <c r="F936" s="1">
        <v>42619</v>
      </c>
      <c r="G936">
        <v>-6975</v>
      </c>
      <c r="H936" s="1">
        <f t="shared" si="84"/>
        <v>42619</v>
      </c>
      <c r="I936">
        <f>IF(AND(MyRowHidden(ROW())=FALSE,MyRowHidden(ROW()-1)=TRUE),0,(E936-E935)*unitsOfDHp+I935)</f>
        <v>374430</v>
      </c>
      <c r="J936">
        <f>IF(AND(MyRowHidden(ROW())=FALSE,MyRowHidden(ROW()-1)=TRUE),0,(G936-G935)*unitsOfExo+J935)</f>
        <v>-568800</v>
      </c>
      <c r="K936" s="9">
        <f t="shared" si="85"/>
        <v>568800</v>
      </c>
      <c r="L936">
        <f t="shared" si="86"/>
        <v>-194370</v>
      </c>
      <c r="M936">
        <f>IF(AND(MyRowHidden(ROW())=FALSE,MyRowHidden(ROW()-1)=TRUE),0,IF(MONTH(H936)&lt;&gt;MONTH(H935),M935+1,M935))</f>
        <v>8</v>
      </c>
      <c r="N936">
        <f t="shared" si="87"/>
        <v>374430</v>
      </c>
      <c r="O936">
        <f>IF(AND(MyRowHidden(ROW())=FALSE,MyRowHidden(ROW()-1)=TRUE),0,IF(M936&lt;totalMonths,(totalMonths-M936)/totalMonths *(I936-I935)+O935,0))</f>
        <v>230915.41666666666</v>
      </c>
      <c r="P936">
        <f>IF(AND(MyRowHidden(ROW())=FALSE,MyRowHidden(ROW()-1)=TRUE),0,IF(M936&lt;totalMonths,(totalMonths-M936)/totalMonths *(J936-J935)+P935,0))</f>
        <v>-139800</v>
      </c>
      <c r="Q936">
        <f>IF(AND(MyRowHidden(ROW())=FALSE,MyRowHidden(ROW()-1)=TRUE),0,IF(M936&lt;totalMonths,(totalMonths-M936)/totalMonths *(K936-K935)+Q935,0))</f>
        <v>139800</v>
      </c>
      <c r="R936">
        <f t="shared" si="88"/>
        <v>234630</v>
      </c>
      <c r="S936">
        <f t="shared" si="89"/>
        <v>91115.416666666657</v>
      </c>
    </row>
    <row r="937" spans="4:19" x14ac:dyDescent="0.25">
      <c r="D937" s="1">
        <v>42620</v>
      </c>
      <c r="E937">
        <v>42133</v>
      </c>
      <c r="F937" s="1">
        <v>42620</v>
      </c>
      <c r="G937">
        <v>-6750</v>
      </c>
      <c r="H937" s="1">
        <f t="shared" si="84"/>
        <v>42620</v>
      </c>
      <c r="I937">
        <f>IF(AND(MyRowHidden(ROW())=FALSE,MyRowHidden(ROW()-1)=TRUE),0,(E937-E936)*unitsOfDHp+I936)</f>
        <v>376705</v>
      </c>
      <c r="J937">
        <f>IF(AND(MyRowHidden(ROW())=FALSE,MyRowHidden(ROW()-1)=TRUE),0,(G937-G936)*unitsOfExo+J936)</f>
        <v>-504000</v>
      </c>
      <c r="K937" s="9">
        <f t="shared" si="85"/>
        <v>504000</v>
      </c>
      <c r="L937">
        <f t="shared" si="86"/>
        <v>-127295</v>
      </c>
      <c r="M937">
        <f>IF(AND(MyRowHidden(ROW())=FALSE,MyRowHidden(ROW()-1)=TRUE),0,IF(MONTH(H937)&lt;&gt;MONTH(H936),M936+1,M936))</f>
        <v>8</v>
      </c>
      <c r="N937">
        <f t="shared" si="87"/>
        <v>376705</v>
      </c>
      <c r="O937">
        <f>IF(AND(MyRowHidden(ROW())=FALSE,MyRowHidden(ROW()-1)=TRUE),0,IF(M937&lt;totalMonths,(totalMonths-M937)/totalMonths *(I937-I936)+O936,0))</f>
        <v>231673.75</v>
      </c>
      <c r="P937">
        <f>IF(AND(MyRowHidden(ROW())=FALSE,MyRowHidden(ROW()-1)=TRUE),0,IF(M937&lt;totalMonths,(totalMonths-M937)/totalMonths *(J937-J936)+P936,0))</f>
        <v>-118200</v>
      </c>
      <c r="Q937">
        <f>IF(AND(MyRowHidden(ROW())=FALSE,MyRowHidden(ROW()-1)=TRUE),0,IF(M937&lt;totalMonths,(totalMonths-M937)/totalMonths *(K937-K936)+Q936,0))</f>
        <v>118200</v>
      </c>
      <c r="R937">
        <f t="shared" si="88"/>
        <v>258505</v>
      </c>
      <c r="S937">
        <f t="shared" si="89"/>
        <v>113473.75</v>
      </c>
    </row>
    <row r="938" spans="4:19" x14ac:dyDescent="0.25">
      <c r="D938" s="1">
        <v>42621</v>
      </c>
      <c r="E938">
        <v>42183</v>
      </c>
      <c r="F938" s="1">
        <v>42621</v>
      </c>
      <c r="G938">
        <v>-6462.5</v>
      </c>
      <c r="H938" s="1">
        <f t="shared" si="84"/>
        <v>42621</v>
      </c>
      <c r="I938">
        <f>IF(AND(MyRowHidden(ROW())=FALSE,MyRowHidden(ROW()-1)=TRUE),0,(E938-E937)*unitsOfDHp+I937)</f>
        <v>378455</v>
      </c>
      <c r="J938">
        <f>IF(AND(MyRowHidden(ROW())=FALSE,MyRowHidden(ROW()-1)=TRUE),0,(G938-G937)*unitsOfExo+J937)</f>
        <v>-421200</v>
      </c>
      <c r="K938" s="9">
        <f t="shared" si="85"/>
        <v>421200</v>
      </c>
      <c r="L938">
        <f t="shared" si="86"/>
        <v>-42745</v>
      </c>
      <c r="M938">
        <f>IF(AND(MyRowHidden(ROW())=FALSE,MyRowHidden(ROW()-1)=TRUE),0,IF(MONTH(H938)&lt;&gt;MONTH(H937),M937+1,M937))</f>
        <v>8</v>
      </c>
      <c r="N938">
        <f t="shared" si="87"/>
        <v>378455</v>
      </c>
      <c r="O938">
        <f>IF(AND(MyRowHidden(ROW())=FALSE,MyRowHidden(ROW()-1)=TRUE),0,IF(M938&lt;totalMonths,(totalMonths-M938)/totalMonths *(I938-I937)+O937,0))</f>
        <v>232257.08333333334</v>
      </c>
      <c r="P938">
        <f>IF(AND(MyRowHidden(ROW())=FALSE,MyRowHidden(ROW()-1)=TRUE),0,IF(M938&lt;totalMonths,(totalMonths-M938)/totalMonths *(J938-J937)+P937,0))</f>
        <v>-90600</v>
      </c>
      <c r="Q938">
        <f>IF(AND(MyRowHidden(ROW())=FALSE,MyRowHidden(ROW()-1)=TRUE),0,IF(M938&lt;totalMonths,(totalMonths-M938)/totalMonths *(K938-K937)+Q937,0))</f>
        <v>90600</v>
      </c>
      <c r="R938">
        <f t="shared" si="88"/>
        <v>287855</v>
      </c>
      <c r="S938">
        <f t="shared" si="89"/>
        <v>141657.08333333334</v>
      </c>
    </row>
    <row r="939" spans="4:19" x14ac:dyDescent="0.25">
      <c r="D939" s="1">
        <v>42622</v>
      </c>
      <c r="E939">
        <v>42004</v>
      </c>
      <c r="F939" s="1">
        <v>42622</v>
      </c>
      <c r="G939">
        <v>-6275</v>
      </c>
      <c r="H939" s="1">
        <f t="shared" si="84"/>
        <v>42622</v>
      </c>
      <c r="I939">
        <f>IF(AND(MyRowHidden(ROW())=FALSE,MyRowHidden(ROW()-1)=TRUE),0,(E939-E938)*unitsOfDHp+I938)</f>
        <v>372190</v>
      </c>
      <c r="J939">
        <f>IF(AND(MyRowHidden(ROW())=FALSE,MyRowHidden(ROW()-1)=TRUE),0,(G939-G938)*unitsOfExo+J938)</f>
        <v>-367200</v>
      </c>
      <c r="K939" s="9">
        <f t="shared" si="85"/>
        <v>367200</v>
      </c>
      <c r="L939">
        <f t="shared" si="86"/>
        <v>4990</v>
      </c>
      <c r="M939">
        <f>IF(AND(MyRowHidden(ROW())=FALSE,MyRowHidden(ROW()-1)=TRUE),0,IF(MONTH(H939)&lt;&gt;MONTH(H938),M938+1,M938))</f>
        <v>8</v>
      </c>
      <c r="N939">
        <f t="shared" si="87"/>
        <v>372190</v>
      </c>
      <c r="O939">
        <f>IF(AND(MyRowHidden(ROW())=FALSE,MyRowHidden(ROW()-1)=TRUE),0,IF(M939&lt;totalMonths,(totalMonths-M939)/totalMonths *(I939-I938)+O938,0))</f>
        <v>230168.75</v>
      </c>
      <c r="P939">
        <f>IF(AND(MyRowHidden(ROW())=FALSE,MyRowHidden(ROW()-1)=TRUE),0,IF(M939&lt;totalMonths,(totalMonths-M939)/totalMonths *(J939-J938)+P938,0))</f>
        <v>-72600</v>
      </c>
      <c r="Q939">
        <f>IF(AND(MyRowHidden(ROW())=FALSE,MyRowHidden(ROW()-1)=TRUE),0,IF(M939&lt;totalMonths,(totalMonths-M939)/totalMonths *(K939-K938)+Q938,0))</f>
        <v>72600</v>
      </c>
      <c r="R939">
        <f t="shared" si="88"/>
        <v>299590</v>
      </c>
      <c r="S939">
        <f t="shared" si="89"/>
        <v>157568.75</v>
      </c>
    </row>
    <row r="940" spans="4:19" x14ac:dyDescent="0.25">
      <c r="D940" s="1">
        <v>42625</v>
      </c>
      <c r="E940">
        <v>42099</v>
      </c>
      <c r="F940" s="1">
        <v>42625</v>
      </c>
      <c r="G940">
        <v>-6400</v>
      </c>
      <c r="H940" s="1">
        <f t="shared" si="84"/>
        <v>42625</v>
      </c>
      <c r="I940">
        <f>IF(AND(MyRowHidden(ROW())=FALSE,MyRowHidden(ROW()-1)=TRUE),0,(E940-E939)*unitsOfDHp+I939)</f>
        <v>375515</v>
      </c>
      <c r="J940">
        <f>IF(AND(MyRowHidden(ROW())=FALSE,MyRowHidden(ROW()-1)=TRUE),0,(G940-G939)*unitsOfExo+J939)</f>
        <v>-403200</v>
      </c>
      <c r="K940" s="9">
        <f t="shared" si="85"/>
        <v>403200</v>
      </c>
      <c r="L940">
        <f t="shared" si="86"/>
        <v>-27685</v>
      </c>
      <c r="M940">
        <f>IF(AND(MyRowHidden(ROW())=FALSE,MyRowHidden(ROW()-1)=TRUE),0,IF(MONTH(H940)&lt;&gt;MONTH(H939),M939+1,M939))</f>
        <v>8</v>
      </c>
      <c r="N940">
        <f t="shared" si="87"/>
        <v>375515</v>
      </c>
      <c r="O940">
        <f>IF(AND(MyRowHidden(ROW())=FALSE,MyRowHidden(ROW()-1)=TRUE),0,IF(M940&lt;totalMonths,(totalMonths-M940)/totalMonths *(I940-I939)+O939,0))</f>
        <v>231277.08333333334</v>
      </c>
      <c r="P940">
        <f>IF(AND(MyRowHidden(ROW())=FALSE,MyRowHidden(ROW()-1)=TRUE),0,IF(M940&lt;totalMonths,(totalMonths-M940)/totalMonths *(J940-J939)+P939,0))</f>
        <v>-84600</v>
      </c>
      <c r="Q940">
        <f>IF(AND(MyRowHidden(ROW())=FALSE,MyRowHidden(ROW()-1)=TRUE),0,IF(M940&lt;totalMonths,(totalMonths-M940)/totalMonths *(K940-K939)+Q939,0))</f>
        <v>84600</v>
      </c>
      <c r="R940">
        <f t="shared" si="88"/>
        <v>290915</v>
      </c>
      <c r="S940">
        <f t="shared" si="89"/>
        <v>146677.08333333334</v>
      </c>
    </row>
    <row r="941" spans="4:19" x14ac:dyDescent="0.25">
      <c r="D941" s="1">
        <v>42626</v>
      </c>
      <c r="E941">
        <v>43029</v>
      </c>
      <c r="F941" s="1">
        <v>42626</v>
      </c>
      <c r="G941">
        <v>-6875</v>
      </c>
      <c r="H941" s="1">
        <f t="shared" si="84"/>
        <v>42626</v>
      </c>
      <c r="I941">
        <f>IF(AND(MyRowHidden(ROW())=FALSE,MyRowHidden(ROW()-1)=TRUE),0,(E941-E940)*unitsOfDHp+I940)</f>
        <v>408065</v>
      </c>
      <c r="J941">
        <f>IF(AND(MyRowHidden(ROW())=FALSE,MyRowHidden(ROW()-1)=TRUE),0,(G941-G940)*unitsOfExo+J940)</f>
        <v>-540000</v>
      </c>
      <c r="K941" s="9">
        <f t="shared" si="85"/>
        <v>540000</v>
      </c>
      <c r="L941">
        <f t="shared" si="86"/>
        <v>-131935</v>
      </c>
      <c r="M941">
        <f>IF(AND(MyRowHidden(ROW())=FALSE,MyRowHidden(ROW()-1)=TRUE),0,IF(MONTH(H941)&lt;&gt;MONTH(H940),M940+1,M940))</f>
        <v>8</v>
      </c>
      <c r="N941">
        <f t="shared" si="87"/>
        <v>408065</v>
      </c>
      <c r="O941">
        <f>IF(AND(MyRowHidden(ROW())=FALSE,MyRowHidden(ROW()-1)=TRUE),0,IF(M941&lt;totalMonths,(totalMonths-M941)/totalMonths *(I941-I940)+O940,0))</f>
        <v>242127.08333333334</v>
      </c>
      <c r="P941">
        <f>IF(AND(MyRowHidden(ROW())=FALSE,MyRowHidden(ROW()-1)=TRUE),0,IF(M941&lt;totalMonths,(totalMonths-M941)/totalMonths *(J941-J940)+P940,0))</f>
        <v>-130200</v>
      </c>
      <c r="Q941">
        <f>IF(AND(MyRowHidden(ROW())=FALSE,MyRowHidden(ROW()-1)=TRUE),0,IF(M941&lt;totalMonths,(totalMonths-M941)/totalMonths *(K941-K940)+Q940,0))</f>
        <v>130200</v>
      </c>
      <c r="R941">
        <f t="shared" si="88"/>
        <v>277865</v>
      </c>
      <c r="S941">
        <f t="shared" si="89"/>
        <v>111927.08333333334</v>
      </c>
    </row>
    <row r="942" spans="4:19" x14ac:dyDescent="0.25">
      <c r="D942" s="1">
        <v>42627</v>
      </c>
      <c r="E942">
        <v>42999</v>
      </c>
      <c r="F942" s="1">
        <v>42627</v>
      </c>
      <c r="G942">
        <v>-6850</v>
      </c>
      <c r="H942" s="1">
        <f t="shared" si="84"/>
        <v>42627</v>
      </c>
      <c r="I942">
        <f>IF(AND(MyRowHidden(ROW())=FALSE,MyRowHidden(ROW()-1)=TRUE),0,(E942-E941)*unitsOfDHp+I941)</f>
        <v>407015</v>
      </c>
      <c r="J942">
        <f>IF(AND(MyRowHidden(ROW())=FALSE,MyRowHidden(ROW()-1)=TRUE),0,(G942-G941)*unitsOfExo+J941)</f>
        <v>-532800</v>
      </c>
      <c r="K942" s="9">
        <f t="shared" si="85"/>
        <v>532800</v>
      </c>
      <c r="L942">
        <f t="shared" si="86"/>
        <v>-125785</v>
      </c>
      <c r="M942">
        <f>IF(AND(MyRowHidden(ROW())=FALSE,MyRowHidden(ROW()-1)=TRUE),0,IF(MONTH(H942)&lt;&gt;MONTH(H941),M941+1,M941))</f>
        <v>8</v>
      </c>
      <c r="N942">
        <f t="shared" si="87"/>
        <v>407015</v>
      </c>
      <c r="O942">
        <f>IF(AND(MyRowHidden(ROW())=FALSE,MyRowHidden(ROW()-1)=TRUE),0,IF(M942&lt;totalMonths,(totalMonths-M942)/totalMonths *(I942-I941)+O941,0))</f>
        <v>241777.08333333334</v>
      </c>
      <c r="P942">
        <f>IF(AND(MyRowHidden(ROW())=FALSE,MyRowHidden(ROW()-1)=TRUE),0,IF(M942&lt;totalMonths,(totalMonths-M942)/totalMonths *(J942-J941)+P941,0))</f>
        <v>-127800</v>
      </c>
      <c r="Q942">
        <f>IF(AND(MyRowHidden(ROW())=FALSE,MyRowHidden(ROW()-1)=TRUE),0,IF(M942&lt;totalMonths,(totalMonths-M942)/totalMonths *(K942-K941)+Q941,0))</f>
        <v>127800</v>
      </c>
      <c r="R942">
        <f t="shared" si="88"/>
        <v>279215</v>
      </c>
      <c r="S942">
        <f t="shared" si="89"/>
        <v>113977.08333333334</v>
      </c>
    </row>
    <row r="943" spans="4:19" x14ac:dyDescent="0.25">
      <c r="D943" s="1">
        <v>42628</v>
      </c>
      <c r="E943">
        <v>43106</v>
      </c>
      <c r="F943" s="1">
        <v>42628</v>
      </c>
      <c r="G943">
        <v>-6937.5</v>
      </c>
      <c r="H943" s="1">
        <f t="shared" si="84"/>
        <v>42628</v>
      </c>
      <c r="I943">
        <f>IF(AND(MyRowHidden(ROW())=FALSE,MyRowHidden(ROW()-1)=TRUE),0,(E943-E942)*unitsOfDHp+I942)</f>
        <v>410760</v>
      </c>
      <c r="J943">
        <f>IF(AND(MyRowHidden(ROW())=FALSE,MyRowHidden(ROW()-1)=TRUE),0,(G943-G942)*unitsOfExo+J942)</f>
        <v>-558000</v>
      </c>
      <c r="K943" s="9">
        <f t="shared" si="85"/>
        <v>558000</v>
      </c>
      <c r="L943">
        <f t="shared" si="86"/>
        <v>-147240</v>
      </c>
      <c r="M943">
        <f>IF(AND(MyRowHidden(ROW())=FALSE,MyRowHidden(ROW()-1)=TRUE),0,IF(MONTH(H943)&lt;&gt;MONTH(H942),M942+1,M942))</f>
        <v>8</v>
      </c>
      <c r="N943">
        <f t="shared" si="87"/>
        <v>410760</v>
      </c>
      <c r="O943">
        <f>IF(AND(MyRowHidden(ROW())=FALSE,MyRowHidden(ROW()-1)=TRUE),0,IF(M943&lt;totalMonths,(totalMonths-M943)/totalMonths *(I943-I942)+O942,0))</f>
        <v>243025.41666666669</v>
      </c>
      <c r="P943">
        <f>IF(AND(MyRowHidden(ROW())=FALSE,MyRowHidden(ROW()-1)=TRUE),0,IF(M943&lt;totalMonths,(totalMonths-M943)/totalMonths *(J943-J942)+P942,0))</f>
        <v>-136200</v>
      </c>
      <c r="Q943">
        <f>IF(AND(MyRowHidden(ROW())=FALSE,MyRowHidden(ROW()-1)=TRUE),0,IF(M943&lt;totalMonths,(totalMonths-M943)/totalMonths *(K943-K942)+Q942,0))</f>
        <v>136200</v>
      </c>
      <c r="R943">
        <f t="shared" si="88"/>
        <v>274560</v>
      </c>
      <c r="S943">
        <f t="shared" si="89"/>
        <v>106825.41666666669</v>
      </c>
    </row>
    <row r="944" spans="4:19" x14ac:dyDescent="0.25">
      <c r="D944" s="1">
        <v>42629</v>
      </c>
      <c r="E944">
        <v>42571</v>
      </c>
      <c r="F944" s="1">
        <v>42629</v>
      </c>
      <c r="G944">
        <v>-6537.5</v>
      </c>
      <c r="H944" s="1">
        <f t="shared" si="84"/>
        <v>42629</v>
      </c>
      <c r="I944">
        <f>IF(AND(MyRowHidden(ROW())=FALSE,MyRowHidden(ROW()-1)=TRUE),0,(E944-E943)*unitsOfDHp+I943)</f>
        <v>392035</v>
      </c>
      <c r="J944">
        <f>IF(AND(MyRowHidden(ROW())=FALSE,MyRowHidden(ROW()-1)=TRUE),0,(G944-G943)*unitsOfExo+J943)</f>
        <v>-442800</v>
      </c>
      <c r="K944" s="9">
        <f t="shared" si="85"/>
        <v>442800</v>
      </c>
      <c r="L944">
        <f t="shared" si="86"/>
        <v>-50765</v>
      </c>
      <c r="M944">
        <f>IF(AND(MyRowHidden(ROW())=FALSE,MyRowHidden(ROW()-1)=TRUE),0,IF(MONTH(H944)&lt;&gt;MONTH(H943),M943+1,M943))</f>
        <v>8</v>
      </c>
      <c r="N944">
        <f t="shared" si="87"/>
        <v>392035</v>
      </c>
      <c r="O944">
        <f>IF(AND(MyRowHidden(ROW())=FALSE,MyRowHidden(ROW()-1)=TRUE),0,IF(M944&lt;totalMonths,(totalMonths-M944)/totalMonths *(I944-I943)+O943,0))</f>
        <v>236783.75000000003</v>
      </c>
      <c r="P944">
        <f>IF(AND(MyRowHidden(ROW())=FALSE,MyRowHidden(ROW()-1)=TRUE),0,IF(M944&lt;totalMonths,(totalMonths-M944)/totalMonths *(J944-J943)+P943,0))</f>
        <v>-97800</v>
      </c>
      <c r="Q944">
        <f>IF(AND(MyRowHidden(ROW())=FALSE,MyRowHidden(ROW()-1)=TRUE),0,IF(M944&lt;totalMonths,(totalMonths-M944)/totalMonths *(K944-K943)+Q943,0))</f>
        <v>97800</v>
      </c>
      <c r="R944">
        <f t="shared" si="88"/>
        <v>294235</v>
      </c>
      <c r="S944">
        <f t="shared" si="89"/>
        <v>138983.75000000003</v>
      </c>
    </row>
    <row r="945" spans="4:19" x14ac:dyDescent="0.25">
      <c r="D945" s="1">
        <v>42632</v>
      </c>
      <c r="E945">
        <v>42612</v>
      </c>
      <c r="F945" s="1">
        <v>42632</v>
      </c>
      <c r="G945">
        <v>-6650</v>
      </c>
      <c r="H945" s="1">
        <f t="shared" si="84"/>
        <v>42632</v>
      </c>
      <c r="I945">
        <f>IF(AND(MyRowHidden(ROW())=FALSE,MyRowHidden(ROW()-1)=TRUE),0,(E945-E944)*unitsOfDHp+I944)</f>
        <v>393470</v>
      </c>
      <c r="J945">
        <f>IF(AND(MyRowHidden(ROW())=FALSE,MyRowHidden(ROW()-1)=TRUE),0,(G945-G944)*unitsOfExo+J944)</f>
        <v>-475200</v>
      </c>
      <c r="K945" s="9">
        <f t="shared" si="85"/>
        <v>475200</v>
      </c>
      <c r="L945">
        <f t="shared" si="86"/>
        <v>-81730</v>
      </c>
      <c r="M945">
        <f>IF(AND(MyRowHidden(ROW())=FALSE,MyRowHidden(ROW()-1)=TRUE),0,IF(MONTH(H945)&lt;&gt;MONTH(H944),M944+1,M944))</f>
        <v>8</v>
      </c>
      <c r="N945">
        <f t="shared" si="87"/>
        <v>393470</v>
      </c>
      <c r="O945">
        <f>IF(AND(MyRowHidden(ROW())=FALSE,MyRowHidden(ROW()-1)=TRUE),0,IF(M945&lt;totalMonths,(totalMonths-M945)/totalMonths *(I945-I944)+O944,0))</f>
        <v>237262.08333333337</v>
      </c>
      <c r="P945">
        <f>IF(AND(MyRowHidden(ROW())=FALSE,MyRowHidden(ROW()-1)=TRUE),0,IF(M945&lt;totalMonths,(totalMonths-M945)/totalMonths *(J945-J944)+P944,0))</f>
        <v>-108600</v>
      </c>
      <c r="Q945">
        <f>IF(AND(MyRowHidden(ROW())=FALSE,MyRowHidden(ROW()-1)=TRUE),0,IF(M945&lt;totalMonths,(totalMonths-M945)/totalMonths *(K945-K944)+Q944,0))</f>
        <v>108600</v>
      </c>
      <c r="R945">
        <f t="shared" si="88"/>
        <v>284870</v>
      </c>
      <c r="S945">
        <f t="shared" si="89"/>
        <v>128662.08333333337</v>
      </c>
    </row>
    <row r="946" spans="4:19" x14ac:dyDescent="0.25">
      <c r="D946" s="1">
        <v>42633</v>
      </c>
      <c r="E946">
        <v>42239</v>
      </c>
      <c r="F946" s="1">
        <v>42633</v>
      </c>
      <c r="G946">
        <v>-6375</v>
      </c>
      <c r="H946" s="1">
        <f t="shared" si="84"/>
        <v>42633</v>
      </c>
      <c r="I946">
        <f>IF(AND(MyRowHidden(ROW())=FALSE,MyRowHidden(ROW()-1)=TRUE),0,(E946-E945)*unitsOfDHp+I945)</f>
        <v>380415</v>
      </c>
      <c r="J946">
        <f>IF(AND(MyRowHidden(ROW())=FALSE,MyRowHidden(ROW()-1)=TRUE),0,(G946-G945)*unitsOfExo+J945)</f>
        <v>-396000</v>
      </c>
      <c r="K946" s="9">
        <f t="shared" si="85"/>
        <v>396000</v>
      </c>
      <c r="L946">
        <f t="shared" si="86"/>
        <v>-15585</v>
      </c>
      <c r="M946">
        <f>IF(AND(MyRowHidden(ROW())=FALSE,MyRowHidden(ROW()-1)=TRUE),0,IF(MONTH(H946)&lt;&gt;MONTH(H945),M945+1,M945))</f>
        <v>8</v>
      </c>
      <c r="N946">
        <f t="shared" si="87"/>
        <v>380415</v>
      </c>
      <c r="O946">
        <f>IF(AND(MyRowHidden(ROW())=FALSE,MyRowHidden(ROW()-1)=TRUE),0,IF(M946&lt;totalMonths,(totalMonths-M946)/totalMonths *(I946-I945)+O945,0))</f>
        <v>232910.41666666672</v>
      </c>
      <c r="P946">
        <f>IF(AND(MyRowHidden(ROW())=FALSE,MyRowHidden(ROW()-1)=TRUE),0,IF(M946&lt;totalMonths,(totalMonths-M946)/totalMonths *(J946-J945)+P945,0))</f>
        <v>-82200</v>
      </c>
      <c r="Q946">
        <f>IF(AND(MyRowHidden(ROW())=FALSE,MyRowHidden(ROW()-1)=TRUE),0,IF(M946&lt;totalMonths,(totalMonths-M946)/totalMonths *(K946-K945)+Q945,0))</f>
        <v>82200</v>
      </c>
      <c r="R946">
        <f t="shared" si="88"/>
        <v>298215</v>
      </c>
      <c r="S946">
        <f t="shared" si="89"/>
        <v>150710.41666666672</v>
      </c>
    </row>
    <row r="947" spans="4:19" x14ac:dyDescent="0.25">
      <c r="D947" s="1">
        <v>42634</v>
      </c>
      <c r="E947">
        <v>42179</v>
      </c>
      <c r="F947" s="1">
        <v>42634</v>
      </c>
      <c r="G947">
        <v>-6375</v>
      </c>
      <c r="H947" s="1">
        <f t="shared" si="84"/>
        <v>42634</v>
      </c>
      <c r="I947">
        <f>IF(AND(MyRowHidden(ROW())=FALSE,MyRowHidden(ROW()-1)=TRUE),0,(E947-E946)*unitsOfDHp+I946)</f>
        <v>378315</v>
      </c>
      <c r="J947">
        <f>IF(AND(MyRowHidden(ROW())=FALSE,MyRowHidden(ROW()-1)=TRUE),0,(G947-G946)*unitsOfExo+J946)</f>
        <v>-396000</v>
      </c>
      <c r="K947" s="9">
        <f t="shared" si="85"/>
        <v>396000</v>
      </c>
      <c r="L947">
        <f t="shared" si="86"/>
        <v>-17685</v>
      </c>
      <c r="M947">
        <f>IF(AND(MyRowHidden(ROW())=FALSE,MyRowHidden(ROW()-1)=TRUE),0,IF(MONTH(H947)&lt;&gt;MONTH(H946),M946+1,M946))</f>
        <v>8</v>
      </c>
      <c r="N947">
        <f t="shared" si="87"/>
        <v>378315</v>
      </c>
      <c r="O947">
        <f>IF(AND(MyRowHidden(ROW())=FALSE,MyRowHidden(ROW()-1)=TRUE),0,IF(M947&lt;totalMonths,(totalMonths-M947)/totalMonths *(I947-I946)+O946,0))</f>
        <v>232210.41666666672</v>
      </c>
      <c r="P947">
        <f>IF(AND(MyRowHidden(ROW())=FALSE,MyRowHidden(ROW()-1)=TRUE),0,IF(M947&lt;totalMonths,(totalMonths-M947)/totalMonths *(J947-J946)+P946,0))</f>
        <v>-82200</v>
      </c>
      <c r="Q947">
        <f>IF(AND(MyRowHidden(ROW())=FALSE,MyRowHidden(ROW()-1)=TRUE),0,IF(M947&lt;totalMonths,(totalMonths-M947)/totalMonths *(K947-K946)+Q946,0))</f>
        <v>82200</v>
      </c>
      <c r="R947">
        <f t="shared" si="88"/>
        <v>296115</v>
      </c>
      <c r="S947">
        <f t="shared" si="89"/>
        <v>150010.41666666672</v>
      </c>
    </row>
    <row r="948" spans="4:19" x14ac:dyDescent="0.25">
      <c r="D948" s="1">
        <v>42635</v>
      </c>
      <c r="E948">
        <v>42653</v>
      </c>
      <c r="F948" s="1">
        <v>42635</v>
      </c>
      <c r="G948">
        <v>-6612.5</v>
      </c>
      <c r="H948" s="1">
        <f t="shared" si="84"/>
        <v>42635</v>
      </c>
      <c r="I948">
        <f>IF(AND(MyRowHidden(ROW())=FALSE,MyRowHidden(ROW()-1)=TRUE),0,(E948-E947)*unitsOfDHp+I947)</f>
        <v>394905</v>
      </c>
      <c r="J948">
        <f>IF(AND(MyRowHidden(ROW())=FALSE,MyRowHidden(ROW()-1)=TRUE),0,(G948-G947)*unitsOfExo+J947)</f>
        <v>-464400</v>
      </c>
      <c r="K948" s="9">
        <f t="shared" si="85"/>
        <v>464400</v>
      </c>
      <c r="L948">
        <f t="shared" si="86"/>
        <v>-69495</v>
      </c>
      <c r="M948">
        <f>IF(AND(MyRowHidden(ROW())=FALSE,MyRowHidden(ROW()-1)=TRUE),0,IF(MONTH(H948)&lt;&gt;MONTH(H947),M947+1,M947))</f>
        <v>8</v>
      </c>
      <c r="N948">
        <f t="shared" si="87"/>
        <v>394905</v>
      </c>
      <c r="O948">
        <f>IF(AND(MyRowHidden(ROW())=FALSE,MyRowHidden(ROW()-1)=TRUE),0,IF(M948&lt;totalMonths,(totalMonths-M948)/totalMonths *(I948-I947)+O947,0))</f>
        <v>237740.41666666672</v>
      </c>
      <c r="P948">
        <f>IF(AND(MyRowHidden(ROW())=FALSE,MyRowHidden(ROW()-1)=TRUE),0,IF(M948&lt;totalMonths,(totalMonths-M948)/totalMonths *(J948-J947)+P947,0))</f>
        <v>-105000</v>
      </c>
      <c r="Q948">
        <f>IF(AND(MyRowHidden(ROW())=FALSE,MyRowHidden(ROW()-1)=TRUE),0,IF(M948&lt;totalMonths,(totalMonths-M948)/totalMonths *(K948-K947)+Q947,0))</f>
        <v>105000</v>
      </c>
      <c r="R948">
        <f t="shared" si="88"/>
        <v>289905</v>
      </c>
      <c r="S948">
        <f t="shared" si="89"/>
        <v>132740.41666666672</v>
      </c>
    </row>
    <row r="949" spans="4:19" x14ac:dyDescent="0.25">
      <c r="D949" s="1">
        <v>42636</v>
      </c>
      <c r="E949">
        <v>42778</v>
      </c>
      <c r="F949" s="1">
        <v>42636</v>
      </c>
      <c r="G949">
        <v>-6637.5</v>
      </c>
      <c r="H949" s="1">
        <f t="shared" si="84"/>
        <v>42636</v>
      </c>
      <c r="I949">
        <f>IF(AND(MyRowHidden(ROW())=FALSE,MyRowHidden(ROW()-1)=TRUE),0,(E949-E948)*unitsOfDHp+I948)</f>
        <v>399280</v>
      </c>
      <c r="J949">
        <f>IF(AND(MyRowHidden(ROW())=FALSE,MyRowHidden(ROW()-1)=TRUE),0,(G949-G948)*unitsOfExo+J948)</f>
        <v>-471600</v>
      </c>
      <c r="K949" s="9">
        <f t="shared" si="85"/>
        <v>471600</v>
      </c>
      <c r="L949">
        <f t="shared" si="86"/>
        <v>-72320</v>
      </c>
      <c r="M949">
        <f>IF(AND(MyRowHidden(ROW())=FALSE,MyRowHidden(ROW()-1)=TRUE),0,IF(MONTH(H949)&lt;&gt;MONTH(H948),M948+1,M948))</f>
        <v>8</v>
      </c>
      <c r="N949">
        <f t="shared" si="87"/>
        <v>399280</v>
      </c>
      <c r="O949">
        <f>IF(AND(MyRowHidden(ROW())=FALSE,MyRowHidden(ROW()-1)=TRUE),0,IF(M949&lt;totalMonths,(totalMonths-M949)/totalMonths *(I949-I948)+O948,0))</f>
        <v>239198.75000000006</v>
      </c>
      <c r="P949">
        <f>IF(AND(MyRowHidden(ROW())=FALSE,MyRowHidden(ROW()-1)=TRUE),0,IF(M949&lt;totalMonths,(totalMonths-M949)/totalMonths *(J949-J948)+P948,0))</f>
        <v>-107400</v>
      </c>
      <c r="Q949">
        <f>IF(AND(MyRowHidden(ROW())=FALSE,MyRowHidden(ROW()-1)=TRUE),0,IF(M949&lt;totalMonths,(totalMonths-M949)/totalMonths *(K949-K948)+Q948,0))</f>
        <v>107400</v>
      </c>
      <c r="R949">
        <f t="shared" si="88"/>
        <v>291880</v>
      </c>
      <c r="S949">
        <f t="shared" si="89"/>
        <v>131798.75000000006</v>
      </c>
    </row>
    <row r="950" spans="4:19" x14ac:dyDescent="0.25">
      <c r="D950" s="1">
        <v>42639</v>
      </c>
      <c r="E950">
        <v>43342</v>
      </c>
      <c r="F950" s="1">
        <v>42639</v>
      </c>
      <c r="G950">
        <v>-6925</v>
      </c>
      <c r="H950" s="1">
        <f t="shared" si="84"/>
        <v>42639</v>
      </c>
      <c r="I950">
        <f>IF(AND(MyRowHidden(ROW())=FALSE,MyRowHidden(ROW()-1)=TRUE),0,(E950-E949)*unitsOfDHp+I949)</f>
        <v>419020</v>
      </c>
      <c r="J950">
        <f>IF(AND(MyRowHidden(ROW())=FALSE,MyRowHidden(ROW()-1)=TRUE),0,(G950-G949)*unitsOfExo+J949)</f>
        <v>-554400</v>
      </c>
      <c r="K950" s="9">
        <f t="shared" si="85"/>
        <v>554400</v>
      </c>
      <c r="L950">
        <f t="shared" si="86"/>
        <v>-135380</v>
      </c>
      <c r="M950">
        <f>IF(AND(MyRowHidden(ROW())=FALSE,MyRowHidden(ROW()-1)=TRUE),0,IF(MONTH(H950)&lt;&gt;MONTH(H949),M949+1,M949))</f>
        <v>8</v>
      </c>
      <c r="N950">
        <f t="shared" si="87"/>
        <v>419020</v>
      </c>
      <c r="O950">
        <f>IF(AND(MyRowHidden(ROW())=FALSE,MyRowHidden(ROW()-1)=TRUE),0,IF(M950&lt;totalMonths,(totalMonths-M950)/totalMonths *(I950-I949)+O949,0))</f>
        <v>245778.75000000006</v>
      </c>
      <c r="P950">
        <f>IF(AND(MyRowHidden(ROW())=FALSE,MyRowHidden(ROW()-1)=TRUE),0,IF(M950&lt;totalMonths,(totalMonths-M950)/totalMonths *(J950-J949)+P949,0))</f>
        <v>-135000</v>
      </c>
      <c r="Q950">
        <f>IF(AND(MyRowHidden(ROW())=FALSE,MyRowHidden(ROW()-1)=TRUE),0,IF(M950&lt;totalMonths,(totalMonths-M950)/totalMonths *(K950-K949)+Q949,0))</f>
        <v>135000</v>
      </c>
      <c r="R950">
        <f t="shared" si="88"/>
        <v>284020</v>
      </c>
      <c r="S950">
        <f t="shared" si="89"/>
        <v>110778.75000000006</v>
      </c>
    </row>
    <row r="951" spans="4:19" x14ac:dyDescent="0.25">
      <c r="D951" s="1">
        <v>42640</v>
      </c>
      <c r="E951">
        <v>43209</v>
      </c>
      <c r="F951" s="1">
        <v>42640</v>
      </c>
      <c r="G951">
        <v>-6825</v>
      </c>
      <c r="H951" s="1">
        <f t="shared" si="84"/>
        <v>42640</v>
      </c>
      <c r="I951">
        <f>IF(AND(MyRowHidden(ROW())=FALSE,MyRowHidden(ROW()-1)=TRUE),0,(E951-E950)*unitsOfDHp+I950)</f>
        <v>414365</v>
      </c>
      <c r="J951">
        <f>IF(AND(MyRowHidden(ROW())=FALSE,MyRowHidden(ROW()-1)=TRUE),0,(G951-G950)*unitsOfExo+J950)</f>
        <v>-525600</v>
      </c>
      <c r="K951" s="9">
        <f t="shared" si="85"/>
        <v>525600</v>
      </c>
      <c r="L951">
        <f t="shared" si="86"/>
        <v>-111235</v>
      </c>
      <c r="M951">
        <f>IF(AND(MyRowHidden(ROW())=FALSE,MyRowHidden(ROW()-1)=TRUE),0,IF(MONTH(H951)&lt;&gt;MONTH(H950),M950+1,M950))</f>
        <v>8</v>
      </c>
      <c r="N951">
        <f t="shared" si="87"/>
        <v>414365</v>
      </c>
      <c r="O951">
        <f>IF(AND(MyRowHidden(ROW())=FALSE,MyRowHidden(ROW()-1)=TRUE),0,IF(M951&lt;totalMonths,(totalMonths-M951)/totalMonths *(I951-I950)+O950,0))</f>
        <v>244227.0833333334</v>
      </c>
      <c r="P951">
        <f>IF(AND(MyRowHidden(ROW())=FALSE,MyRowHidden(ROW()-1)=TRUE),0,IF(M951&lt;totalMonths,(totalMonths-M951)/totalMonths *(J951-J950)+P950,0))</f>
        <v>-125400</v>
      </c>
      <c r="Q951">
        <f>IF(AND(MyRowHidden(ROW())=FALSE,MyRowHidden(ROW()-1)=TRUE),0,IF(M951&lt;totalMonths,(totalMonths-M951)/totalMonths *(K951-K950)+Q950,0))</f>
        <v>125400</v>
      </c>
      <c r="R951">
        <f t="shared" si="88"/>
        <v>288965</v>
      </c>
      <c r="S951">
        <f t="shared" si="89"/>
        <v>118827.0833333334</v>
      </c>
    </row>
    <row r="952" spans="4:19" x14ac:dyDescent="0.25">
      <c r="D952" s="1">
        <v>42641</v>
      </c>
      <c r="E952">
        <v>43306</v>
      </c>
      <c r="F952" s="1">
        <v>42641</v>
      </c>
      <c r="G952">
        <v>-6925</v>
      </c>
      <c r="H952" s="1">
        <f t="shared" si="84"/>
        <v>42641</v>
      </c>
      <c r="I952">
        <f>IF(AND(MyRowHidden(ROW())=FALSE,MyRowHidden(ROW()-1)=TRUE),0,(E952-E951)*unitsOfDHp+I951)</f>
        <v>417760</v>
      </c>
      <c r="J952">
        <f>IF(AND(MyRowHidden(ROW())=FALSE,MyRowHidden(ROW()-1)=TRUE),0,(G952-G951)*unitsOfExo+J951)</f>
        <v>-554400</v>
      </c>
      <c r="K952" s="9">
        <f t="shared" si="85"/>
        <v>554400</v>
      </c>
      <c r="L952">
        <f t="shared" si="86"/>
        <v>-136640</v>
      </c>
      <c r="M952">
        <f>IF(AND(MyRowHidden(ROW())=FALSE,MyRowHidden(ROW()-1)=TRUE),0,IF(MONTH(H952)&lt;&gt;MONTH(H951),M951+1,M951))</f>
        <v>8</v>
      </c>
      <c r="N952">
        <f t="shared" si="87"/>
        <v>417760</v>
      </c>
      <c r="O952">
        <f>IF(AND(MyRowHidden(ROW())=FALSE,MyRowHidden(ROW()-1)=TRUE),0,IF(M952&lt;totalMonths,(totalMonths-M952)/totalMonths *(I952-I951)+O951,0))</f>
        <v>245358.75000000006</v>
      </c>
      <c r="P952">
        <f>IF(AND(MyRowHidden(ROW())=FALSE,MyRowHidden(ROW()-1)=TRUE),0,IF(M952&lt;totalMonths,(totalMonths-M952)/totalMonths *(J952-J951)+P951,0))</f>
        <v>-135000</v>
      </c>
      <c r="Q952">
        <f>IF(AND(MyRowHidden(ROW())=FALSE,MyRowHidden(ROW()-1)=TRUE),0,IF(M952&lt;totalMonths,(totalMonths-M952)/totalMonths *(K952-K951)+Q951,0))</f>
        <v>135000</v>
      </c>
      <c r="R952">
        <f t="shared" si="88"/>
        <v>282760</v>
      </c>
      <c r="S952">
        <f t="shared" si="89"/>
        <v>110358.75000000006</v>
      </c>
    </row>
    <row r="953" spans="4:19" x14ac:dyDescent="0.25">
      <c r="D953" s="1">
        <v>42642</v>
      </c>
      <c r="E953">
        <v>43336</v>
      </c>
      <c r="F953" s="1">
        <v>42642</v>
      </c>
      <c r="G953">
        <v>-6925</v>
      </c>
      <c r="H953" s="1">
        <f t="shared" si="84"/>
        <v>42642</v>
      </c>
      <c r="I953">
        <f>IF(AND(MyRowHidden(ROW())=FALSE,MyRowHidden(ROW()-1)=TRUE),0,(E953-E952)*unitsOfDHp+I952)</f>
        <v>418810</v>
      </c>
      <c r="J953">
        <f>IF(AND(MyRowHidden(ROW())=FALSE,MyRowHidden(ROW()-1)=TRUE),0,(G953-G952)*unitsOfExo+J952)</f>
        <v>-554400</v>
      </c>
      <c r="K953" s="9">
        <f t="shared" si="85"/>
        <v>554400</v>
      </c>
      <c r="L953">
        <f t="shared" si="86"/>
        <v>-135590</v>
      </c>
      <c r="M953">
        <f>IF(AND(MyRowHidden(ROW())=FALSE,MyRowHidden(ROW()-1)=TRUE),0,IF(MONTH(H953)&lt;&gt;MONTH(H952),M952+1,M952))</f>
        <v>8</v>
      </c>
      <c r="N953">
        <f t="shared" si="87"/>
        <v>418810</v>
      </c>
      <c r="O953">
        <f>IF(AND(MyRowHidden(ROW())=FALSE,MyRowHidden(ROW()-1)=TRUE),0,IF(M953&lt;totalMonths,(totalMonths-M953)/totalMonths *(I953-I952)+O952,0))</f>
        <v>245708.75000000006</v>
      </c>
      <c r="P953">
        <f>IF(AND(MyRowHidden(ROW())=FALSE,MyRowHidden(ROW()-1)=TRUE),0,IF(M953&lt;totalMonths,(totalMonths-M953)/totalMonths *(J953-J952)+P952,0))</f>
        <v>-135000</v>
      </c>
      <c r="Q953">
        <f>IF(AND(MyRowHidden(ROW())=FALSE,MyRowHidden(ROW()-1)=TRUE),0,IF(M953&lt;totalMonths,(totalMonths-M953)/totalMonths *(K953-K952)+Q952,0))</f>
        <v>135000</v>
      </c>
      <c r="R953">
        <f t="shared" si="88"/>
        <v>283810</v>
      </c>
      <c r="S953">
        <f t="shared" si="89"/>
        <v>110708.75000000006</v>
      </c>
    </row>
    <row r="954" spans="4:19" x14ac:dyDescent="0.25">
      <c r="D954" s="1">
        <v>42643</v>
      </c>
      <c r="E954">
        <v>43137</v>
      </c>
      <c r="F954" s="1">
        <v>42643</v>
      </c>
      <c r="G954">
        <v>-6687.5</v>
      </c>
      <c r="H954" s="1">
        <f t="shared" si="84"/>
        <v>42643</v>
      </c>
      <c r="I954">
        <f>IF(AND(MyRowHidden(ROW())=FALSE,MyRowHidden(ROW()-1)=TRUE),0,(E954-E953)*unitsOfDHp+I953)</f>
        <v>411845</v>
      </c>
      <c r="J954">
        <f>IF(AND(MyRowHidden(ROW())=FALSE,MyRowHidden(ROW()-1)=TRUE),0,(G954-G953)*unitsOfExo+J953)</f>
        <v>-486000</v>
      </c>
      <c r="K954" s="9">
        <f t="shared" si="85"/>
        <v>486000</v>
      </c>
      <c r="L954">
        <f t="shared" si="86"/>
        <v>-74155</v>
      </c>
      <c r="M954">
        <f>IF(AND(MyRowHidden(ROW())=FALSE,MyRowHidden(ROW()-1)=TRUE),0,IF(MONTH(H954)&lt;&gt;MONTH(H953),M953+1,M953))</f>
        <v>8</v>
      </c>
      <c r="N954">
        <f t="shared" si="87"/>
        <v>411845</v>
      </c>
      <c r="O954">
        <f>IF(AND(MyRowHidden(ROW())=FALSE,MyRowHidden(ROW()-1)=TRUE),0,IF(M954&lt;totalMonths,(totalMonths-M954)/totalMonths *(I954-I953)+O953,0))</f>
        <v>243387.0833333334</v>
      </c>
      <c r="P954">
        <f>IF(AND(MyRowHidden(ROW())=FALSE,MyRowHidden(ROW()-1)=TRUE),0,IF(M954&lt;totalMonths,(totalMonths-M954)/totalMonths *(J954-J953)+P953,0))</f>
        <v>-112200</v>
      </c>
      <c r="Q954">
        <f>IF(AND(MyRowHidden(ROW())=FALSE,MyRowHidden(ROW()-1)=TRUE),0,IF(M954&lt;totalMonths,(totalMonths-M954)/totalMonths *(K954-K953)+Q953,0))</f>
        <v>112200</v>
      </c>
      <c r="R954">
        <f t="shared" si="88"/>
        <v>299645</v>
      </c>
      <c r="S954">
        <f t="shared" si="89"/>
        <v>131187.0833333334</v>
      </c>
    </row>
    <row r="955" spans="4:19" x14ac:dyDescent="0.25">
      <c r="D955" s="1">
        <v>42646</v>
      </c>
      <c r="E955">
        <v>42826</v>
      </c>
      <c r="F955" s="1">
        <v>42646</v>
      </c>
      <c r="G955">
        <v>-6125</v>
      </c>
      <c r="H955" s="1">
        <f t="shared" si="84"/>
        <v>42646</v>
      </c>
      <c r="I955">
        <f>IF(AND(MyRowHidden(ROW())=FALSE,MyRowHidden(ROW()-1)=TRUE),0,(E955-E954)*unitsOfDHp+I954)</f>
        <v>400960</v>
      </c>
      <c r="J955">
        <f>IF(AND(MyRowHidden(ROW())=FALSE,MyRowHidden(ROW()-1)=TRUE),0,(G955-G954)*unitsOfExo+J954)</f>
        <v>-324000</v>
      </c>
      <c r="K955" s="9">
        <f t="shared" si="85"/>
        <v>324000</v>
      </c>
      <c r="L955">
        <f t="shared" si="86"/>
        <v>76960</v>
      </c>
      <c r="M955">
        <f>IF(AND(MyRowHidden(ROW())=FALSE,MyRowHidden(ROW()-1)=TRUE),0,IF(MONTH(H955)&lt;&gt;MONTH(H954),M954+1,M954))</f>
        <v>9</v>
      </c>
      <c r="N955">
        <f t="shared" si="87"/>
        <v>400960</v>
      </c>
      <c r="O955">
        <f>IF(AND(MyRowHidden(ROW())=FALSE,MyRowHidden(ROW()-1)=TRUE),0,IF(M955&lt;totalMonths,(totalMonths-M955)/totalMonths *(I955-I954)+O954,0))</f>
        <v>240665.8333333334</v>
      </c>
      <c r="P955">
        <f>IF(AND(MyRowHidden(ROW())=FALSE,MyRowHidden(ROW()-1)=TRUE),0,IF(M955&lt;totalMonths,(totalMonths-M955)/totalMonths *(J955-J954)+P954,0))</f>
        <v>-71700</v>
      </c>
      <c r="Q955">
        <f>IF(AND(MyRowHidden(ROW())=FALSE,MyRowHidden(ROW()-1)=TRUE),0,IF(M955&lt;totalMonths,(totalMonths-M955)/totalMonths *(K955-K954)+Q954,0))</f>
        <v>71700</v>
      </c>
      <c r="R955">
        <f t="shared" si="88"/>
        <v>329260</v>
      </c>
      <c r="S955">
        <f t="shared" si="89"/>
        <v>168965.8333333334</v>
      </c>
    </row>
    <row r="956" spans="4:19" x14ac:dyDescent="0.25">
      <c r="D956" s="1">
        <v>42647</v>
      </c>
      <c r="E956">
        <v>42905</v>
      </c>
      <c r="F956" s="1">
        <v>42647</v>
      </c>
      <c r="G956">
        <v>-5987.5</v>
      </c>
      <c r="H956" s="1">
        <f t="shared" si="84"/>
        <v>42647</v>
      </c>
      <c r="I956">
        <f>IF(AND(MyRowHidden(ROW())=FALSE,MyRowHidden(ROW()-1)=TRUE),0,(E956-E955)*unitsOfDHp+I955)</f>
        <v>403725</v>
      </c>
      <c r="J956">
        <f>IF(AND(MyRowHidden(ROW())=FALSE,MyRowHidden(ROW()-1)=TRUE),0,(G956-G955)*unitsOfExo+J955)</f>
        <v>-284400</v>
      </c>
      <c r="K956" s="9">
        <f t="shared" si="85"/>
        <v>284400</v>
      </c>
      <c r="L956">
        <f t="shared" si="86"/>
        <v>119325</v>
      </c>
      <c r="M956">
        <f>IF(AND(MyRowHidden(ROW())=FALSE,MyRowHidden(ROW()-1)=TRUE),0,IF(MONTH(H956)&lt;&gt;MONTH(H955),M955+1,M955))</f>
        <v>9</v>
      </c>
      <c r="N956">
        <f t="shared" si="87"/>
        <v>403725</v>
      </c>
      <c r="O956">
        <f>IF(AND(MyRowHidden(ROW())=FALSE,MyRowHidden(ROW()-1)=TRUE),0,IF(M956&lt;totalMonths,(totalMonths-M956)/totalMonths *(I956-I955)+O955,0))</f>
        <v>241357.0833333334</v>
      </c>
      <c r="P956">
        <f>IF(AND(MyRowHidden(ROW())=FALSE,MyRowHidden(ROW()-1)=TRUE),0,IF(M956&lt;totalMonths,(totalMonths-M956)/totalMonths *(J956-J955)+P955,0))</f>
        <v>-61800</v>
      </c>
      <c r="Q956">
        <f>IF(AND(MyRowHidden(ROW())=FALSE,MyRowHidden(ROW()-1)=TRUE),0,IF(M956&lt;totalMonths,(totalMonths-M956)/totalMonths *(K956-K955)+Q955,0))</f>
        <v>61800</v>
      </c>
      <c r="R956">
        <f t="shared" si="88"/>
        <v>341925</v>
      </c>
      <c r="S956">
        <f t="shared" si="89"/>
        <v>179557.0833333334</v>
      </c>
    </row>
    <row r="957" spans="4:19" x14ac:dyDescent="0.25">
      <c r="D957" s="1">
        <v>42648</v>
      </c>
      <c r="E957">
        <v>42905</v>
      </c>
      <c r="F957" s="1">
        <v>42648</v>
      </c>
      <c r="G957">
        <v>-5975</v>
      </c>
      <c r="H957" s="1">
        <f t="shared" si="84"/>
        <v>42648</v>
      </c>
      <c r="I957">
        <f>IF(AND(MyRowHidden(ROW())=FALSE,MyRowHidden(ROW()-1)=TRUE),0,(E957-E956)*unitsOfDHp+I956)</f>
        <v>403725</v>
      </c>
      <c r="J957">
        <f>IF(AND(MyRowHidden(ROW())=FALSE,MyRowHidden(ROW()-1)=TRUE),0,(G957-G956)*unitsOfExo+J956)</f>
        <v>-280800</v>
      </c>
      <c r="K957" s="9">
        <f t="shared" si="85"/>
        <v>280800</v>
      </c>
      <c r="L957">
        <f t="shared" si="86"/>
        <v>122925</v>
      </c>
      <c r="M957">
        <f>IF(AND(MyRowHidden(ROW())=FALSE,MyRowHidden(ROW()-1)=TRUE),0,IF(MONTH(H957)&lt;&gt;MONTH(H956),M956+1,M956))</f>
        <v>9</v>
      </c>
      <c r="N957">
        <f t="shared" si="87"/>
        <v>403725</v>
      </c>
      <c r="O957">
        <f>IF(AND(MyRowHidden(ROW())=FALSE,MyRowHidden(ROW()-1)=TRUE),0,IF(M957&lt;totalMonths,(totalMonths-M957)/totalMonths *(I957-I956)+O956,0))</f>
        <v>241357.0833333334</v>
      </c>
      <c r="P957">
        <f>IF(AND(MyRowHidden(ROW())=FALSE,MyRowHidden(ROW()-1)=TRUE),0,IF(M957&lt;totalMonths,(totalMonths-M957)/totalMonths *(J957-J956)+P956,0))</f>
        <v>-60900</v>
      </c>
      <c r="Q957">
        <f>IF(AND(MyRowHidden(ROW())=FALSE,MyRowHidden(ROW()-1)=TRUE),0,IF(M957&lt;totalMonths,(totalMonths-M957)/totalMonths *(K957-K956)+Q956,0))</f>
        <v>60900</v>
      </c>
      <c r="R957">
        <f t="shared" si="88"/>
        <v>342825</v>
      </c>
      <c r="S957">
        <f t="shared" si="89"/>
        <v>180457.0833333334</v>
      </c>
    </row>
    <row r="958" spans="4:19" x14ac:dyDescent="0.25">
      <c r="D958" s="1">
        <v>42649</v>
      </c>
      <c r="E958">
        <v>42788</v>
      </c>
      <c r="F958" s="1">
        <v>42649</v>
      </c>
      <c r="G958">
        <v>-6362.5</v>
      </c>
      <c r="H958" s="1">
        <f t="shared" si="84"/>
        <v>42649</v>
      </c>
      <c r="I958">
        <f>IF(AND(MyRowHidden(ROW())=FALSE,MyRowHidden(ROW()-1)=TRUE),0,(E958-E957)*unitsOfDHp+I957)</f>
        <v>399630</v>
      </c>
      <c r="J958">
        <f>IF(AND(MyRowHidden(ROW())=FALSE,MyRowHidden(ROW()-1)=TRUE),0,(G958-G957)*unitsOfExo+J957)</f>
        <v>-392400</v>
      </c>
      <c r="K958" s="9">
        <f t="shared" si="85"/>
        <v>392400</v>
      </c>
      <c r="L958">
        <f t="shared" si="86"/>
        <v>7230</v>
      </c>
      <c r="M958">
        <f>IF(AND(MyRowHidden(ROW())=FALSE,MyRowHidden(ROW()-1)=TRUE),0,IF(MONTH(H958)&lt;&gt;MONTH(H957),M957+1,M957))</f>
        <v>9</v>
      </c>
      <c r="N958">
        <f t="shared" si="87"/>
        <v>399630</v>
      </c>
      <c r="O958">
        <f>IF(AND(MyRowHidden(ROW())=FALSE,MyRowHidden(ROW()-1)=TRUE),0,IF(M958&lt;totalMonths,(totalMonths-M958)/totalMonths *(I958-I957)+O957,0))</f>
        <v>240333.3333333334</v>
      </c>
      <c r="P958">
        <f>IF(AND(MyRowHidden(ROW())=FALSE,MyRowHidden(ROW()-1)=TRUE),0,IF(M958&lt;totalMonths,(totalMonths-M958)/totalMonths *(J958-J957)+P957,0))</f>
        <v>-88800</v>
      </c>
      <c r="Q958">
        <f>IF(AND(MyRowHidden(ROW())=FALSE,MyRowHidden(ROW()-1)=TRUE),0,IF(M958&lt;totalMonths,(totalMonths-M958)/totalMonths *(K958-K957)+Q957,0))</f>
        <v>88800</v>
      </c>
      <c r="R958">
        <f t="shared" si="88"/>
        <v>310830</v>
      </c>
      <c r="S958">
        <f t="shared" si="89"/>
        <v>151533.3333333334</v>
      </c>
    </row>
    <row r="959" spans="4:19" x14ac:dyDescent="0.25">
      <c r="D959" s="1">
        <v>42650</v>
      </c>
      <c r="E959">
        <v>42788</v>
      </c>
      <c r="F959" s="1">
        <v>42650</v>
      </c>
      <c r="G959">
        <v>-6300</v>
      </c>
      <c r="H959" s="1">
        <f t="shared" si="84"/>
        <v>42650</v>
      </c>
      <c r="I959">
        <f>IF(AND(MyRowHidden(ROW())=FALSE,MyRowHidden(ROW()-1)=TRUE),0,(E959-E958)*unitsOfDHp+I958)</f>
        <v>399630</v>
      </c>
      <c r="J959">
        <f>IF(AND(MyRowHidden(ROW())=FALSE,MyRowHidden(ROW()-1)=TRUE),0,(G959-G958)*unitsOfExo+J958)</f>
        <v>-374400</v>
      </c>
      <c r="K959" s="9">
        <f t="shared" si="85"/>
        <v>374400</v>
      </c>
      <c r="L959">
        <f t="shared" si="86"/>
        <v>25230</v>
      </c>
      <c r="M959">
        <f>IF(AND(MyRowHidden(ROW())=FALSE,MyRowHidden(ROW()-1)=TRUE),0,IF(MONTH(H959)&lt;&gt;MONTH(H958),M958+1,M958))</f>
        <v>9</v>
      </c>
      <c r="N959">
        <f t="shared" si="87"/>
        <v>399630</v>
      </c>
      <c r="O959">
        <f>IF(AND(MyRowHidden(ROW())=FALSE,MyRowHidden(ROW()-1)=TRUE),0,IF(M959&lt;totalMonths,(totalMonths-M959)/totalMonths *(I959-I958)+O958,0))</f>
        <v>240333.3333333334</v>
      </c>
      <c r="P959">
        <f>IF(AND(MyRowHidden(ROW())=FALSE,MyRowHidden(ROW()-1)=TRUE),0,IF(M959&lt;totalMonths,(totalMonths-M959)/totalMonths *(J959-J958)+P958,0))</f>
        <v>-84300</v>
      </c>
      <c r="Q959">
        <f>IF(AND(MyRowHidden(ROW())=FALSE,MyRowHidden(ROW()-1)=TRUE),0,IF(M959&lt;totalMonths,(totalMonths-M959)/totalMonths *(K959-K958)+Q958,0))</f>
        <v>84300</v>
      </c>
      <c r="R959">
        <f t="shared" si="88"/>
        <v>315330</v>
      </c>
      <c r="S959">
        <f t="shared" si="89"/>
        <v>156033.3333333334</v>
      </c>
    </row>
    <row r="960" spans="4:19" x14ac:dyDescent="0.25">
      <c r="D960" s="1">
        <v>42654</v>
      </c>
      <c r="E960">
        <v>42938</v>
      </c>
      <c r="F960" s="1">
        <v>42654</v>
      </c>
      <c r="G960">
        <v>-6112.5</v>
      </c>
      <c r="H960" s="1">
        <f t="shared" si="84"/>
        <v>42654</v>
      </c>
      <c r="I960">
        <f>IF(AND(MyRowHidden(ROW())=FALSE,MyRowHidden(ROW()-1)=TRUE),0,(E960-E959)*unitsOfDHp+I959)</f>
        <v>404880</v>
      </c>
      <c r="J960">
        <f>IF(AND(MyRowHidden(ROW())=FALSE,MyRowHidden(ROW()-1)=TRUE),0,(G960-G959)*unitsOfExo+J959)</f>
        <v>-320400</v>
      </c>
      <c r="K960" s="9">
        <f t="shared" si="85"/>
        <v>320400</v>
      </c>
      <c r="L960">
        <f t="shared" si="86"/>
        <v>84480</v>
      </c>
      <c r="M960">
        <f>IF(AND(MyRowHidden(ROW())=FALSE,MyRowHidden(ROW()-1)=TRUE),0,IF(MONTH(H960)&lt;&gt;MONTH(H959),M959+1,M959))</f>
        <v>9</v>
      </c>
      <c r="N960">
        <f t="shared" si="87"/>
        <v>404880</v>
      </c>
      <c r="O960">
        <f>IF(AND(MyRowHidden(ROW())=FALSE,MyRowHidden(ROW()-1)=TRUE),0,IF(M960&lt;totalMonths,(totalMonths-M960)/totalMonths *(I960-I959)+O959,0))</f>
        <v>241645.8333333334</v>
      </c>
      <c r="P960">
        <f>IF(AND(MyRowHidden(ROW())=FALSE,MyRowHidden(ROW()-1)=TRUE),0,IF(M960&lt;totalMonths,(totalMonths-M960)/totalMonths *(J960-J959)+P959,0))</f>
        <v>-70800</v>
      </c>
      <c r="Q960">
        <f>IF(AND(MyRowHidden(ROW())=FALSE,MyRowHidden(ROW()-1)=TRUE),0,IF(M960&lt;totalMonths,(totalMonths-M960)/totalMonths *(K960-K959)+Q959,0))</f>
        <v>70800</v>
      </c>
      <c r="R960">
        <f t="shared" si="88"/>
        <v>334080</v>
      </c>
      <c r="S960">
        <f t="shared" si="89"/>
        <v>170845.8333333334</v>
      </c>
    </row>
    <row r="961" spans="4:19" x14ac:dyDescent="0.25">
      <c r="D961" s="1">
        <v>42655</v>
      </c>
      <c r="E961">
        <v>42568</v>
      </c>
      <c r="F961" s="1">
        <v>42655</v>
      </c>
      <c r="G961">
        <v>-6475</v>
      </c>
      <c r="H961" s="1">
        <f t="shared" si="84"/>
        <v>42655</v>
      </c>
      <c r="I961">
        <f>IF(AND(MyRowHidden(ROW())=FALSE,MyRowHidden(ROW()-1)=TRUE),0,(E961-E960)*unitsOfDHp+I960)</f>
        <v>391930</v>
      </c>
      <c r="J961">
        <f>IF(AND(MyRowHidden(ROW())=FALSE,MyRowHidden(ROW()-1)=TRUE),0,(G961-G960)*unitsOfExo+J960)</f>
        <v>-424800</v>
      </c>
      <c r="K961" s="9">
        <f t="shared" si="85"/>
        <v>424800</v>
      </c>
      <c r="L961">
        <f t="shared" si="86"/>
        <v>-32870</v>
      </c>
      <c r="M961">
        <f>IF(AND(MyRowHidden(ROW())=FALSE,MyRowHidden(ROW()-1)=TRUE),0,IF(MONTH(H961)&lt;&gt;MONTH(H960),M960+1,M960))</f>
        <v>9</v>
      </c>
      <c r="N961">
        <f t="shared" si="87"/>
        <v>391930</v>
      </c>
      <c r="O961">
        <f>IF(AND(MyRowHidden(ROW())=FALSE,MyRowHidden(ROW()-1)=TRUE),0,IF(M961&lt;totalMonths,(totalMonths-M961)/totalMonths *(I961-I960)+O960,0))</f>
        <v>238408.3333333334</v>
      </c>
      <c r="P961">
        <f>IF(AND(MyRowHidden(ROW())=FALSE,MyRowHidden(ROW()-1)=TRUE),0,IF(M961&lt;totalMonths,(totalMonths-M961)/totalMonths *(J961-J960)+P960,0))</f>
        <v>-96900</v>
      </c>
      <c r="Q961">
        <f>IF(AND(MyRowHidden(ROW())=FALSE,MyRowHidden(ROW()-1)=TRUE),0,IF(M961&lt;totalMonths,(totalMonths-M961)/totalMonths *(K961-K960)+Q960,0))</f>
        <v>96900</v>
      </c>
      <c r="R961">
        <f t="shared" si="88"/>
        <v>295030</v>
      </c>
      <c r="S961">
        <f t="shared" si="89"/>
        <v>141508.3333333334</v>
      </c>
    </row>
    <row r="962" spans="4:19" x14ac:dyDescent="0.25">
      <c r="D962" s="1">
        <v>42656</v>
      </c>
      <c r="E962">
        <v>42333</v>
      </c>
      <c r="F962" s="1">
        <v>42656</v>
      </c>
      <c r="G962">
        <v>-6037.5</v>
      </c>
      <c r="H962" s="1">
        <f t="shared" si="84"/>
        <v>42656</v>
      </c>
      <c r="I962">
        <f>IF(AND(MyRowHidden(ROW())=FALSE,MyRowHidden(ROW()-1)=TRUE),0,(E962-E961)*unitsOfDHp+I961)</f>
        <v>383705</v>
      </c>
      <c r="J962">
        <f>IF(AND(MyRowHidden(ROW())=FALSE,MyRowHidden(ROW()-1)=TRUE),0,(G962-G961)*unitsOfExo+J961)</f>
        <v>-298800</v>
      </c>
      <c r="K962" s="9">
        <f t="shared" si="85"/>
        <v>298800</v>
      </c>
      <c r="L962">
        <f t="shared" si="86"/>
        <v>84905</v>
      </c>
      <c r="M962">
        <f>IF(AND(MyRowHidden(ROW())=FALSE,MyRowHidden(ROW()-1)=TRUE),0,IF(MONTH(H962)&lt;&gt;MONTH(H961),M961+1,M961))</f>
        <v>9</v>
      </c>
      <c r="N962">
        <f t="shared" si="87"/>
        <v>383705</v>
      </c>
      <c r="O962">
        <f>IF(AND(MyRowHidden(ROW())=FALSE,MyRowHidden(ROW()-1)=TRUE),0,IF(M962&lt;totalMonths,(totalMonths-M962)/totalMonths *(I962-I961)+O961,0))</f>
        <v>236352.0833333334</v>
      </c>
      <c r="P962">
        <f>IF(AND(MyRowHidden(ROW())=FALSE,MyRowHidden(ROW()-1)=TRUE),0,IF(M962&lt;totalMonths,(totalMonths-M962)/totalMonths *(J962-J961)+P961,0))</f>
        <v>-65400</v>
      </c>
      <c r="Q962">
        <f>IF(AND(MyRowHidden(ROW())=FALSE,MyRowHidden(ROW()-1)=TRUE),0,IF(M962&lt;totalMonths,(totalMonths-M962)/totalMonths *(K962-K961)+Q961,0))</f>
        <v>65400</v>
      </c>
      <c r="R962">
        <f t="shared" si="88"/>
        <v>318305</v>
      </c>
      <c r="S962">
        <f t="shared" si="89"/>
        <v>170952.0833333334</v>
      </c>
    </row>
    <row r="963" spans="4:19" x14ac:dyDescent="0.25">
      <c r="D963" s="1">
        <v>42657</v>
      </c>
      <c r="E963">
        <v>43023</v>
      </c>
      <c r="F963" s="1">
        <v>42657</v>
      </c>
      <c r="G963">
        <v>-5537.5</v>
      </c>
      <c r="H963" s="1">
        <f t="shared" si="84"/>
        <v>42657</v>
      </c>
      <c r="I963">
        <f>IF(AND(MyRowHidden(ROW())=FALSE,MyRowHidden(ROW()-1)=TRUE),0,(E963-E962)*unitsOfDHp+I962)</f>
        <v>407855</v>
      </c>
      <c r="J963">
        <f>IF(AND(MyRowHidden(ROW())=FALSE,MyRowHidden(ROW()-1)=TRUE),0,(G963-G962)*unitsOfExo+J962)</f>
        <v>-154800</v>
      </c>
      <c r="K963" s="9">
        <f t="shared" si="85"/>
        <v>154800</v>
      </c>
      <c r="L963">
        <f t="shared" si="86"/>
        <v>253055</v>
      </c>
      <c r="M963">
        <f>IF(AND(MyRowHidden(ROW())=FALSE,MyRowHidden(ROW()-1)=TRUE),0,IF(MONTH(H963)&lt;&gt;MONTH(H962),M962+1,M962))</f>
        <v>9</v>
      </c>
      <c r="N963">
        <f t="shared" si="87"/>
        <v>407855</v>
      </c>
      <c r="O963">
        <f>IF(AND(MyRowHidden(ROW())=FALSE,MyRowHidden(ROW()-1)=TRUE),0,IF(M963&lt;totalMonths,(totalMonths-M963)/totalMonths *(I963-I962)+O962,0))</f>
        <v>242389.5833333334</v>
      </c>
      <c r="P963">
        <f>IF(AND(MyRowHidden(ROW())=FALSE,MyRowHidden(ROW()-1)=TRUE),0,IF(M963&lt;totalMonths,(totalMonths-M963)/totalMonths *(J963-J962)+P962,0))</f>
        <v>-29400</v>
      </c>
      <c r="Q963">
        <f>IF(AND(MyRowHidden(ROW())=FALSE,MyRowHidden(ROW()-1)=TRUE),0,IF(M963&lt;totalMonths,(totalMonths-M963)/totalMonths *(K963-K962)+Q962,0))</f>
        <v>29400</v>
      </c>
      <c r="R963">
        <f t="shared" si="88"/>
        <v>378455</v>
      </c>
      <c r="S963">
        <f t="shared" si="89"/>
        <v>212989.5833333334</v>
      </c>
    </row>
    <row r="964" spans="4:19" x14ac:dyDescent="0.25">
      <c r="D964" s="1">
        <v>42660</v>
      </c>
      <c r="E964">
        <v>42882</v>
      </c>
      <c r="F964" s="1">
        <v>42660</v>
      </c>
      <c r="G964">
        <v>-5787.5</v>
      </c>
      <c r="H964" s="1">
        <f t="shared" si="84"/>
        <v>42660</v>
      </c>
      <c r="I964">
        <f>IF(AND(MyRowHidden(ROW())=FALSE,MyRowHidden(ROW()-1)=TRUE),0,(E964-E963)*unitsOfDHp+I963)</f>
        <v>402920</v>
      </c>
      <c r="J964">
        <f>IF(AND(MyRowHidden(ROW())=FALSE,MyRowHidden(ROW()-1)=TRUE),0,(G964-G963)*unitsOfExo+J963)</f>
        <v>-226800</v>
      </c>
      <c r="K964" s="9">
        <f t="shared" si="85"/>
        <v>226800</v>
      </c>
      <c r="L964">
        <f t="shared" si="86"/>
        <v>176120</v>
      </c>
      <c r="M964">
        <f>IF(AND(MyRowHidden(ROW())=FALSE,MyRowHidden(ROW()-1)=TRUE),0,IF(MONTH(H964)&lt;&gt;MONTH(H963),M963+1,M963))</f>
        <v>9</v>
      </c>
      <c r="N964">
        <f t="shared" si="87"/>
        <v>402920</v>
      </c>
      <c r="O964">
        <f>IF(AND(MyRowHidden(ROW())=FALSE,MyRowHidden(ROW()-1)=TRUE),0,IF(M964&lt;totalMonths,(totalMonths-M964)/totalMonths *(I964-I963)+O963,0))</f>
        <v>241155.8333333334</v>
      </c>
      <c r="P964">
        <f>IF(AND(MyRowHidden(ROW())=FALSE,MyRowHidden(ROW()-1)=TRUE),0,IF(M964&lt;totalMonths,(totalMonths-M964)/totalMonths *(J964-J963)+P963,0))</f>
        <v>-47400</v>
      </c>
      <c r="Q964">
        <f>IF(AND(MyRowHidden(ROW())=FALSE,MyRowHidden(ROW()-1)=TRUE),0,IF(M964&lt;totalMonths,(totalMonths-M964)/totalMonths *(K964-K963)+Q963,0))</f>
        <v>47400</v>
      </c>
      <c r="R964">
        <f t="shared" si="88"/>
        <v>355520</v>
      </c>
      <c r="S964">
        <f t="shared" si="89"/>
        <v>193755.8333333334</v>
      </c>
    </row>
    <row r="965" spans="4:19" x14ac:dyDescent="0.25">
      <c r="D965" s="1">
        <v>42661</v>
      </c>
      <c r="E965">
        <v>42826</v>
      </c>
      <c r="F965" s="1">
        <v>42661</v>
      </c>
      <c r="G965">
        <v>-5725</v>
      </c>
      <c r="H965" s="1">
        <f t="shared" si="84"/>
        <v>42661</v>
      </c>
      <c r="I965">
        <f>IF(AND(MyRowHidden(ROW())=FALSE,MyRowHidden(ROW()-1)=TRUE),0,(E965-E964)*unitsOfDHp+I964)</f>
        <v>400960</v>
      </c>
      <c r="J965">
        <f>IF(AND(MyRowHidden(ROW())=FALSE,MyRowHidden(ROW()-1)=TRUE),0,(G965-G964)*unitsOfExo+J964)</f>
        <v>-208800</v>
      </c>
      <c r="K965" s="9">
        <f t="shared" si="85"/>
        <v>208800</v>
      </c>
      <c r="L965">
        <f t="shared" si="86"/>
        <v>192160</v>
      </c>
      <c r="M965">
        <f>IF(AND(MyRowHidden(ROW())=FALSE,MyRowHidden(ROW()-1)=TRUE),0,IF(MONTH(H965)&lt;&gt;MONTH(H964),M964+1,M964))</f>
        <v>9</v>
      </c>
      <c r="N965">
        <f t="shared" si="87"/>
        <v>400960</v>
      </c>
      <c r="O965">
        <f>IF(AND(MyRowHidden(ROW())=FALSE,MyRowHidden(ROW()-1)=TRUE),0,IF(M965&lt;totalMonths,(totalMonths-M965)/totalMonths *(I965-I964)+O964,0))</f>
        <v>240665.8333333334</v>
      </c>
      <c r="P965">
        <f>IF(AND(MyRowHidden(ROW())=FALSE,MyRowHidden(ROW()-1)=TRUE),0,IF(M965&lt;totalMonths,(totalMonths-M965)/totalMonths *(J965-J964)+P964,0))</f>
        <v>-42900</v>
      </c>
      <c r="Q965">
        <f>IF(AND(MyRowHidden(ROW())=FALSE,MyRowHidden(ROW()-1)=TRUE),0,IF(M965&lt;totalMonths,(totalMonths-M965)/totalMonths *(K965-K964)+Q964,0))</f>
        <v>42900</v>
      </c>
      <c r="R965">
        <f t="shared" si="88"/>
        <v>358060</v>
      </c>
      <c r="S965">
        <f t="shared" si="89"/>
        <v>197765.8333333334</v>
      </c>
    </row>
    <row r="966" spans="4:19" x14ac:dyDescent="0.25">
      <c r="D966" s="1">
        <v>42662</v>
      </c>
      <c r="E966">
        <v>42881</v>
      </c>
      <c r="F966" s="1">
        <v>42662</v>
      </c>
      <c r="G966">
        <v>-5562.5</v>
      </c>
      <c r="H966" s="1">
        <f t="shared" si="84"/>
        <v>42662</v>
      </c>
      <c r="I966">
        <f>IF(AND(MyRowHidden(ROW())=FALSE,MyRowHidden(ROW()-1)=TRUE),0,(E966-E965)*unitsOfDHp+I965)</f>
        <v>402885</v>
      </c>
      <c r="J966">
        <f>IF(AND(MyRowHidden(ROW())=FALSE,MyRowHidden(ROW()-1)=TRUE),0,(G966-G965)*unitsOfExo+J965)</f>
        <v>-162000</v>
      </c>
      <c r="K966" s="9">
        <f t="shared" si="85"/>
        <v>162000</v>
      </c>
      <c r="L966">
        <f t="shared" si="86"/>
        <v>240885</v>
      </c>
      <c r="M966">
        <f>IF(AND(MyRowHidden(ROW())=FALSE,MyRowHidden(ROW()-1)=TRUE),0,IF(MONTH(H966)&lt;&gt;MONTH(H965),M965+1,M965))</f>
        <v>9</v>
      </c>
      <c r="N966">
        <f t="shared" si="87"/>
        <v>402885</v>
      </c>
      <c r="O966">
        <f>IF(AND(MyRowHidden(ROW())=FALSE,MyRowHidden(ROW()-1)=TRUE),0,IF(M966&lt;totalMonths,(totalMonths-M966)/totalMonths *(I966-I965)+O965,0))</f>
        <v>241147.0833333334</v>
      </c>
      <c r="P966">
        <f>IF(AND(MyRowHidden(ROW())=FALSE,MyRowHidden(ROW()-1)=TRUE),0,IF(M966&lt;totalMonths,(totalMonths-M966)/totalMonths *(J966-J965)+P965,0))</f>
        <v>-31200</v>
      </c>
      <c r="Q966">
        <f>IF(AND(MyRowHidden(ROW())=FALSE,MyRowHidden(ROW()-1)=TRUE),0,IF(M966&lt;totalMonths,(totalMonths-M966)/totalMonths *(K966-K965)+Q965,0))</f>
        <v>31200</v>
      </c>
      <c r="R966">
        <f t="shared" si="88"/>
        <v>371685</v>
      </c>
      <c r="S966">
        <f t="shared" si="89"/>
        <v>209947.0833333334</v>
      </c>
    </row>
    <row r="967" spans="4:19" x14ac:dyDescent="0.25">
      <c r="D967" s="1">
        <v>42663</v>
      </c>
      <c r="E967">
        <v>42805</v>
      </c>
      <c r="F967" s="1">
        <v>42663</v>
      </c>
      <c r="G967">
        <v>-5812.5</v>
      </c>
      <c r="H967" s="1">
        <f t="shared" si="84"/>
        <v>42663</v>
      </c>
      <c r="I967">
        <f>IF(AND(MyRowHidden(ROW())=FALSE,MyRowHidden(ROW()-1)=TRUE),0,(E967-E966)*unitsOfDHp+I966)</f>
        <v>400225</v>
      </c>
      <c r="J967">
        <f>IF(AND(MyRowHidden(ROW())=FALSE,MyRowHidden(ROW()-1)=TRUE),0,(G967-G966)*unitsOfExo+J966)</f>
        <v>-234000</v>
      </c>
      <c r="K967" s="9">
        <f t="shared" si="85"/>
        <v>234000</v>
      </c>
      <c r="L967">
        <f t="shared" si="86"/>
        <v>166225</v>
      </c>
      <c r="M967">
        <f>IF(AND(MyRowHidden(ROW())=FALSE,MyRowHidden(ROW()-1)=TRUE),0,IF(MONTH(H967)&lt;&gt;MONTH(H966),M966+1,M966))</f>
        <v>9</v>
      </c>
      <c r="N967">
        <f t="shared" si="87"/>
        <v>400225</v>
      </c>
      <c r="O967">
        <f>IF(AND(MyRowHidden(ROW())=FALSE,MyRowHidden(ROW()-1)=TRUE),0,IF(M967&lt;totalMonths,(totalMonths-M967)/totalMonths *(I967-I966)+O966,0))</f>
        <v>240482.0833333334</v>
      </c>
      <c r="P967">
        <f>IF(AND(MyRowHidden(ROW())=FALSE,MyRowHidden(ROW()-1)=TRUE),0,IF(M967&lt;totalMonths,(totalMonths-M967)/totalMonths *(J967-J966)+P966,0))</f>
        <v>-49200</v>
      </c>
      <c r="Q967">
        <f>IF(AND(MyRowHidden(ROW())=FALSE,MyRowHidden(ROW()-1)=TRUE),0,IF(M967&lt;totalMonths,(totalMonths-M967)/totalMonths *(K967-K966)+Q966,0))</f>
        <v>49200</v>
      </c>
      <c r="R967">
        <f t="shared" si="88"/>
        <v>351025</v>
      </c>
      <c r="S967">
        <f t="shared" si="89"/>
        <v>191282.0833333334</v>
      </c>
    </row>
    <row r="968" spans="4:19" x14ac:dyDescent="0.25">
      <c r="D968" s="1">
        <v>42664</v>
      </c>
      <c r="E968">
        <v>42824</v>
      </c>
      <c r="F968" s="1">
        <v>42664</v>
      </c>
      <c r="G968">
        <v>-5812.5</v>
      </c>
      <c r="H968" s="1">
        <f t="shared" si="84"/>
        <v>42664</v>
      </c>
      <c r="I968">
        <f>IF(AND(MyRowHidden(ROW())=FALSE,MyRowHidden(ROW()-1)=TRUE),0,(E968-E967)*unitsOfDHp+I967)</f>
        <v>400890</v>
      </c>
      <c r="J968">
        <f>IF(AND(MyRowHidden(ROW())=FALSE,MyRowHidden(ROW()-1)=TRUE),0,(G968-G967)*unitsOfExo+J967)</f>
        <v>-234000</v>
      </c>
      <c r="K968" s="9">
        <f t="shared" si="85"/>
        <v>234000</v>
      </c>
      <c r="L968">
        <f t="shared" si="86"/>
        <v>166890</v>
      </c>
      <c r="M968">
        <f>IF(AND(MyRowHidden(ROW())=FALSE,MyRowHidden(ROW()-1)=TRUE),0,IF(MONTH(H968)&lt;&gt;MONTH(H967),M967+1,M967))</f>
        <v>9</v>
      </c>
      <c r="N968">
        <f t="shared" si="87"/>
        <v>400890</v>
      </c>
      <c r="O968">
        <f>IF(AND(MyRowHidden(ROW())=FALSE,MyRowHidden(ROW()-1)=TRUE),0,IF(M968&lt;totalMonths,(totalMonths-M968)/totalMonths *(I968-I967)+O967,0))</f>
        <v>240648.3333333334</v>
      </c>
      <c r="P968">
        <f>IF(AND(MyRowHidden(ROW())=FALSE,MyRowHidden(ROW()-1)=TRUE),0,IF(M968&lt;totalMonths,(totalMonths-M968)/totalMonths *(J968-J967)+P967,0))</f>
        <v>-49200</v>
      </c>
      <c r="Q968">
        <f>IF(AND(MyRowHidden(ROW())=FALSE,MyRowHidden(ROW()-1)=TRUE),0,IF(M968&lt;totalMonths,(totalMonths-M968)/totalMonths *(K968-K967)+Q967,0))</f>
        <v>49200</v>
      </c>
      <c r="R968">
        <f t="shared" si="88"/>
        <v>351690</v>
      </c>
      <c r="S968">
        <f t="shared" si="89"/>
        <v>191448.3333333334</v>
      </c>
    </row>
    <row r="969" spans="4:19" x14ac:dyDescent="0.25">
      <c r="D969" s="1">
        <v>42667</v>
      </c>
      <c r="E969">
        <v>42738</v>
      </c>
      <c r="F969" s="1">
        <v>42667</v>
      </c>
      <c r="G969">
        <v>-5987.5</v>
      </c>
      <c r="H969" s="1">
        <f t="shared" si="84"/>
        <v>42667</v>
      </c>
      <c r="I969">
        <f>IF(AND(MyRowHidden(ROW())=FALSE,MyRowHidden(ROW()-1)=TRUE),0,(E969-E968)*unitsOfDHp+I968)</f>
        <v>397880</v>
      </c>
      <c r="J969">
        <f>IF(AND(MyRowHidden(ROW())=FALSE,MyRowHidden(ROW()-1)=TRUE),0,(G969-G968)*unitsOfExo+J968)</f>
        <v>-284400</v>
      </c>
      <c r="K969" s="9">
        <f t="shared" si="85"/>
        <v>284400</v>
      </c>
      <c r="L969">
        <f t="shared" si="86"/>
        <v>113480</v>
      </c>
      <c r="M969">
        <f>IF(AND(MyRowHidden(ROW())=FALSE,MyRowHidden(ROW()-1)=TRUE),0,IF(MONTH(H969)&lt;&gt;MONTH(H968),M968+1,M968))</f>
        <v>9</v>
      </c>
      <c r="N969">
        <f t="shared" si="87"/>
        <v>397880</v>
      </c>
      <c r="O969">
        <f>IF(AND(MyRowHidden(ROW())=FALSE,MyRowHidden(ROW()-1)=TRUE),0,IF(M969&lt;totalMonths,(totalMonths-M969)/totalMonths *(I969-I968)+O968,0))</f>
        <v>239895.8333333334</v>
      </c>
      <c r="P969">
        <f>IF(AND(MyRowHidden(ROW())=FALSE,MyRowHidden(ROW()-1)=TRUE),0,IF(M969&lt;totalMonths,(totalMonths-M969)/totalMonths *(J969-J968)+P968,0))</f>
        <v>-61800</v>
      </c>
      <c r="Q969">
        <f>IF(AND(MyRowHidden(ROW())=FALSE,MyRowHidden(ROW()-1)=TRUE),0,IF(M969&lt;totalMonths,(totalMonths-M969)/totalMonths *(K969-K968)+Q968,0))</f>
        <v>61800</v>
      </c>
      <c r="R969">
        <f t="shared" si="88"/>
        <v>336080</v>
      </c>
      <c r="S969">
        <f t="shared" si="89"/>
        <v>178095.8333333334</v>
      </c>
    </row>
    <row r="970" spans="4:19" x14ac:dyDescent="0.25">
      <c r="D970" s="1">
        <v>42668</v>
      </c>
      <c r="E970">
        <v>42732</v>
      </c>
      <c r="F970" s="1">
        <v>42668</v>
      </c>
      <c r="G970">
        <v>-5962.5</v>
      </c>
      <c r="H970" s="1">
        <f t="shared" si="84"/>
        <v>42668</v>
      </c>
      <c r="I970">
        <f>IF(AND(MyRowHidden(ROW())=FALSE,MyRowHidden(ROW()-1)=TRUE),0,(E970-E969)*unitsOfDHp+I969)</f>
        <v>397670</v>
      </c>
      <c r="J970">
        <f>IF(AND(MyRowHidden(ROW())=FALSE,MyRowHidden(ROW()-1)=TRUE),0,(G970-G969)*unitsOfExo+J969)</f>
        <v>-277200</v>
      </c>
      <c r="K970" s="9">
        <f t="shared" si="85"/>
        <v>277200</v>
      </c>
      <c r="L970">
        <f t="shared" si="86"/>
        <v>120470</v>
      </c>
      <c r="M970">
        <f>IF(AND(MyRowHidden(ROW())=FALSE,MyRowHidden(ROW()-1)=TRUE),0,IF(MONTH(H970)&lt;&gt;MONTH(H969),M969+1,M969))</f>
        <v>9</v>
      </c>
      <c r="N970">
        <f t="shared" si="87"/>
        <v>397670</v>
      </c>
      <c r="O970">
        <f>IF(AND(MyRowHidden(ROW())=FALSE,MyRowHidden(ROW()-1)=TRUE),0,IF(M970&lt;totalMonths,(totalMonths-M970)/totalMonths *(I970-I969)+O969,0))</f>
        <v>239843.3333333334</v>
      </c>
      <c r="P970">
        <f>IF(AND(MyRowHidden(ROW())=FALSE,MyRowHidden(ROW()-1)=TRUE),0,IF(M970&lt;totalMonths,(totalMonths-M970)/totalMonths *(J970-J969)+P969,0))</f>
        <v>-60000</v>
      </c>
      <c r="Q970">
        <f>IF(AND(MyRowHidden(ROW())=FALSE,MyRowHidden(ROW()-1)=TRUE),0,IF(M970&lt;totalMonths,(totalMonths-M970)/totalMonths *(K970-K969)+Q969,0))</f>
        <v>60000</v>
      </c>
      <c r="R970">
        <f t="shared" si="88"/>
        <v>337670</v>
      </c>
      <c r="S970">
        <f t="shared" si="89"/>
        <v>179843.3333333334</v>
      </c>
    </row>
    <row r="971" spans="4:19" x14ac:dyDescent="0.25">
      <c r="D971" s="1">
        <v>42669</v>
      </c>
      <c r="E971">
        <v>42732</v>
      </c>
      <c r="F971" s="1">
        <v>42669</v>
      </c>
      <c r="G971">
        <v>-5687.5</v>
      </c>
      <c r="H971" s="1">
        <f t="shared" si="84"/>
        <v>42669</v>
      </c>
      <c r="I971">
        <f>IF(AND(MyRowHidden(ROW())=FALSE,MyRowHidden(ROW()-1)=TRUE),0,(E971-E970)*unitsOfDHp+I970)</f>
        <v>397670</v>
      </c>
      <c r="J971">
        <f>IF(AND(MyRowHidden(ROW())=FALSE,MyRowHidden(ROW()-1)=TRUE),0,(G971-G970)*unitsOfExo+J970)</f>
        <v>-198000</v>
      </c>
      <c r="K971" s="9">
        <f t="shared" si="85"/>
        <v>198000</v>
      </c>
      <c r="L971">
        <f t="shared" si="86"/>
        <v>199670</v>
      </c>
      <c r="M971">
        <f>IF(AND(MyRowHidden(ROW())=FALSE,MyRowHidden(ROW()-1)=TRUE),0,IF(MONTH(H971)&lt;&gt;MONTH(H970),M970+1,M970))</f>
        <v>9</v>
      </c>
      <c r="N971">
        <f t="shared" si="87"/>
        <v>397670</v>
      </c>
      <c r="O971">
        <f>IF(AND(MyRowHidden(ROW())=FALSE,MyRowHidden(ROW()-1)=TRUE),0,IF(M971&lt;totalMonths,(totalMonths-M971)/totalMonths *(I971-I970)+O970,0))</f>
        <v>239843.3333333334</v>
      </c>
      <c r="P971">
        <f>IF(AND(MyRowHidden(ROW())=FALSE,MyRowHidden(ROW()-1)=TRUE),0,IF(M971&lt;totalMonths,(totalMonths-M971)/totalMonths *(J971-J970)+P970,0))</f>
        <v>-40200</v>
      </c>
      <c r="Q971">
        <f>IF(AND(MyRowHidden(ROW())=FALSE,MyRowHidden(ROW()-1)=TRUE),0,IF(M971&lt;totalMonths,(totalMonths-M971)/totalMonths *(K971-K970)+Q970,0))</f>
        <v>40200</v>
      </c>
      <c r="R971">
        <f t="shared" si="88"/>
        <v>357470</v>
      </c>
      <c r="S971">
        <f t="shared" si="89"/>
        <v>199643.3333333334</v>
      </c>
    </row>
    <row r="972" spans="4:19" x14ac:dyDescent="0.25">
      <c r="D972" s="1">
        <v>42670</v>
      </c>
      <c r="E972">
        <v>42727</v>
      </c>
      <c r="F972" s="1">
        <v>42670</v>
      </c>
      <c r="G972">
        <v>-5562.5</v>
      </c>
      <c r="H972" s="1">
        <f t="shared" si="84"/>
        <v>42670</v>
      </c>
      <c r="I972">
        <f>IF(AND(MyRowHidden(ROW())=FALSE,MyRowHidden(ROW()-1)=TRUE),0,(E972-E971)*unitsOfDHp+I971)</f>
        <v>397495</v>
      </c>
      <c r="J972">
        <f>IF(AND(MyRowHidden(ROW())=FALSE,MyRowHidden(ROW()-1)=TRUE),0,(G972-G971)*unitsOfExo+J971)</f>
        <v>-162000</v>
      </c>
      <c r="K972" s="9">
        <f t="shared" si="85"/>
        <v>162000</v>
      </c>
      <c r="L972">
        <f t="shared" si="86"/>
        <v>235495</v>
      </c>
      <c r="M972">
        <f>IF(AND(MyRowHidden(ROW())=FALSE,MyRowHidden(ROW()-1)=TRUE),0,IF(MONTH(H972)&lt;&gt;MONTH(H971),M971+1,M971))</f>
        <v>9</v>
      </c>
      <c r="N972">
        <f t="shared" si="87"/>
        <v>397495</v>
      </c>
      <c r="O972">
        <f>IF(AND(MyRowHidden(ROW())=FALSE,MyRowHidden(ROW()-1)=TRUE),0,IF(M972&lt;totalMonths,(totalMonths-M972)/totalMonths *(I972-I971)+O971,0))</f>
        <v>239799.5833333334</v>
      </c>
      <c r="P972">
        <f>IF(AND(MyRowHidden(ROW())=FALSE,MyRowHidden(ROW()-1)=TRUE),0,IF(M972&lt;totalMonths,(totalMonths-M972)/totalMonths *(J972-J971)+P971,0))</f>
        <v>-31200</v>
      </c>
      <c r="Q972">
        <f>IF(AND(MyRowHidden(ROW())=FALSE,MyRowHidden(ROW()-1)=TRUE),0,IF(M972&lt;totalMonths,(totalMonths-M972)/totalMonths *(K972-K971)+Q971,0))</f>
        <v>31200</v>
      </c>
      <c r="R972">
        <f t="shared" si="88"/>
        <v>366295</v>
      </c>
      <c r="S972">
        <f t="shared" si="89"/>
        <v>208599.5833333334</v>
      </c>
    </row>
    <row r="973" spans="4:19" x14ac:dyDescent="0.25">
      <c r="D973" s="1">
        <v>42671</v>
      </c>
      <c r="E973">
        <v>42763</v>
      </c>
      <c r="F973" s="1">
        <v>42671</v>
      </c>
      <c r="G973">
        <v>-5637.5</v>
      </c>
      <c r="H973" s="1">
        <f t="shared" ref="H973:H1036" si="90">D973</f>
        <v>42671</v>
      </c>
      <c r="I973">
        <f>IF(AND(MyRowHidden(ROW())=FALSE,MyRowHidden(ROW()-1)=TRUE),0,(E973-E972)*unitsOfDHp+I972)</f>
        <v>398755</v>
      </c>
      <c r="J973">
        <f>IF(AND(MyRowHidden(ROW())=FALSE,MyRowHidden(ROW()-1)=TRUE),0,(G973-G972)*unitsOfExo+J972)</f>
        <v>-183600</v>
      </c>
      <c r="K973" s="9">
        <f t="shared" ref="K973:K1036" si="91">-(J973-J972)+K972</f>
        <v>183600</v>
      </c>
      <c r="L973">
        <f t="shared" ref="L973:L1036" si="92">I973+J973</f>
        <v>215155</v>
      </c>
      <c r="M973">
        <f>IF(AND(MyRowHidden(ROW())=FALSE,MyRowHidden(ROW()-1)=TRUE),0,IF(MONTH(H973)&lt;&gt;MONTH(H972),M972+1,M972))</f>
        <v>9</v>
      </c>
      <c r="N973">
        <f t="shared" ref="N973:N1036" si="93">I973</f>
        <v>398755</v>
      </c>
      <c r="O973">
        <f>IF(AND(MyRowHidden(ROW())=FALSE,MyRowHidden(ROW()-1)=TRUE),0,IF(M973&lt;totalMonths,(totalMonths-M973)/totalMonths *(I973-I972)+O972,0))</f>
        <v>240114.5833333334</v>
      </c>
      <c r="P973">
        <f>IF(AND(MyRowHidden(ROW())=FALSE,MyRowHidden(ROW()-1)=TRUE),0,IF(M973&lt;totalMonths,(totalMonths-M973)/totalMonths *(J973-J972)+P972,0))</f>
        <v>-36600</v>
      </c>
      <c r="Q973">
        <f>IF(AND(MyRowHidden(ROW())=FALSE,MyRowHidden(ROW()-1)=TRUE),0,IF(M973&lt;totalMonths,(totalMonths-M973)/totalMonths *(K973-K972)+Q972,0))</f>
        <v>36600</v>
      </c>
      <c r="R973">
        <f t="shared" ref="R973:R1036" si="94">N973+P973</f>
        <v>362155</v>
      </c>
      <c r="S973">
        <f t="shared" ref="S973:S1036" si="95">O973+P973</f>
        <v>203514.5833333334</v>
      </c>
    </row>
    <row r="974" spans="4:19" x14ac:dyDescent="0.25">
      <c r="D974" s="1">
        <v>42674</v>
      </c>
      <c r="E974">
        <v>42724</v>
      </c>
      <c r="F974" s="1">
        <v>42674</v>
      </c>
      <c r="G974">
        <v>-5600</v>
      </c>
      <c r="H974" s="1">
        <f t="shared" si="90"/>
        <v>42674</v>
      </c>
      <c r="I974">
        <f>IF(AND(MyRowHidden(ROW())=FALSE,MyRowHidden(ROW()-1)=TRUE),0,(E974-E973)*unitsOfDHp+I973)</f>
        <v>397390</v>
      </c>
      <c r="J974">
        <f>IF(AND(MyRowHidden(ROW())=FALSE,MyRowHidden(ROW()-1)=TRUE),0,(G974-G973)*unitsOfExo+J973)</f>
        <v>-172800</v>
      </c>
      <c r="K974" s="9">
        <f t="shared" si="91"/>
        <v>172800</v>
      </c>
      <c r="L974">
        <f t="shared" si="92"/>
        <v>224590</v>
      </c>
      <c r="M974">
        <f>IF(AND(MyRowHidden(ROW())=FALSE,MyRowHidden(ROW()-1)=TRUE),0,IF(MONTH(H974)&lt;&gt;MONTH(H973),M973+1,M973))</f>
        <v>9</v>
      </c>
      <c r="N974">
        <f t="shared" si="93"/>
        <v>397390</v>
      </c>
      <c r="O974">
        <f>IF(AND(MyRowHidden(ROW())=FALSE,MyRowHidden(ROW()-1)=TRUE),0,IF(M974&lt;totalMonths,(totalMonths-M974)/totalMonths *(I974-I973)+O973,0))</f>
        <v>239773.3333333334</v>
      </c>
      <c r="P974">
        <f>IF(AND(MyRowHidden(ROW())=FALSE,MyRowHidden(ROW()-1)=TRUE),0,IF(M974&lt;totalMonths,(totalMonths-M974)/totalMonths *(J974-J973)+P973,0))</f>
        <v>-33900</v>
      </c>
      <c r="Q974">
        <f>IF(AND(MyRowHidden(ROW())=FALSE,MyRowHidden(ROW()-1)=TRUE),0,IF(M974&lt;totalMonths,(totalMonths-M974)/totalMonths *(K974-K973)+Q973,0))</f>
        <v>33900</v>
      </c>
      <c r="R974">
        <f t="shared" si="94"/>
        <v>363490</v>
      </c>
      <c r="S974">
        <f t="shared" si="95"/>
        <v>205873.3333333334</v>
      </c>
    </row>
    <row r="975" spans="4:19" x14ac:dyDescent="0.25">
      <c r="D975" s="1">
        <v>42675</v>
      </c>
      <c r="E975">
        <v>42933</v>
      </c>
      <c r="F975" s="1">
        <v>42675</v>
      </c>
      <c r="G975">
        <v>-5962.5</v>
      </c>
      <c r="H975" s="1">
        <f t="shared" si="90"/>
        <v>42675</v>
      </c>
      <c r="I975">
        <f>IF(AND(MyRowHidden(ROW())=FALSE,MyRowHidden(ROW()-1)=TRUE),0,(E975-E974)*unitsOfDHp+I974)</f>
        <v>404705</v>
      </c>
      <c r="J975">
        <f>IF(AND(MyRowHidden(ROW())=FALSE,MyRowHidden(ROW()-1)=TRUE),0,(G975-G974)*unitsOfExo+J974)</f>
        <v>-277200</v>
      </c>
      <c r="K975" s="9">
        <f t="shared" si="91"/>
        <v>277200</v>
      </c>
      <c r="L975">
        <f t="shared" si="92"/>
        <v>127505</v>
      </c>
      <c r="M975">
        <f>IF(AND(MyRowHidden(ROW())=FALSE,MyRowHidden(ROW()-1)=TRUE),0,IF(MONTH(H975)&lt;&gt;MONTH(H974),M974+1,M974))</f>
        <v>10</v>
      </c>
      <c r="N975">
        <f t="shared" si="93"/>
        <v>404705</v>
      </c>
      <c r="O975">
        <f>IF(AND(MyRowHidden(ROW())=FALSE,MyRowHidden(ROW()-1)=TRUE),0,IF(M975&lt;totalMonths,(totalMonths-M975)/totalMonths *(I975-I974)+O974,0))</f>
        <v>240992.50000000006</v>
      </c>
      <c r="P975">
        <f>IF(AND(MyRowHidden(ROW())=FALSE,MyRowHidden(ROW()-1)=TRUE),0,IF(M975&lt;totalMonths,(totalMonths-M975)/totalMonths *(J975-J974)+P974,0))</f>
        <v>-51300</v>
      </c>
      <c r="Q975">
        <f>IF(AND(MyRowHidden(ROW())=FALSE,MyRowHidden(ROW()-1)=TRUE),0,IF(M975&lt;totalMonths,(totalMonths-M975)/totalMonths *(K975-K974)+Q974,0))</f>
        <v>51300</v>
      </c>
      <c r="R975">
        <f t="shared" si="94"/>
        <v>353405</v>
      </c>
      <c r="S975">
        <f t="shared" si="95"/>
        <v>189692.50000000006</v>
      </c>
    </row>
    <row r="976" spans="4:19" x14ac:dyDescent="0.25">
      <c r="D976" s="1">
        <v>42676</v>
      </c>
      <c r="E976">
        <v>43254</v>
      </c>
      <c r="F976" s="1">
        <v>42676</v>
      </c>
      <c r="G976">
        <v>-6162.5</v>
      </c>
      <c r="H976" s="1">
        <f t="shared" si="90"/>
        <v>42676</v>
      </c>
      <c r="I976">
        <f>IF(AND(MyRowHidden(ROW())=FALSE,MyRowHidden(ROW()-1)=TRUE),0,(E976-E975)*unitsOfDHp+I975)</f>
        <v>415940</v>
      </c>
      <c r="J976">
        <f>IF(AND(MyRowHidden(ROW())=FALSE,MyRowHidden(ROW()-1)=TRUE),0,(G976-G975)*unitsOfExo+J975)</f>
        <v>-334800</v>
      </c>
      <c r="K976" s="9">
        <f t="shared" si="91"/>
        <v>334800</v>
      </c>
      <c r="L976">
        <f t="shared" si="92"/>
        <v>81140</v>
      </c>
      <c r="M976">
        <f>IF(AND(MyRowHidden(ROW())=FALSE,MyRowHidden(ROW()-1)=TRUE),0,IF(MONTH(H976)&lt;&gt;MONTH(H975),M975+1,M975))</f>
        <v>10</v>
      </c>
      <c r="N976">
        <f t="shared" si="93"/>
        <v>415940</v>
      </c>
      <c r="O976">
        <f>IF(AND(MyRowHidden(ROW())=FALSE,MyRowHidden(ROW()-1)=TRUE),0,IF(M976&lt;totalMonths,(totalMonths-M976)/totalMonths *(I976-I975)+O975,0))</f>
        <v>242865.00000000006</v>
      </c>
      <c r="P976">
        <f>IF(AND(MyRowHidden(ROW())=FALSE,MyRowHidden(ROW()-1)=TRUE),0,IF(M976&lt;totalMonths,(totalMonths-M976)/totalMonths *(J976-J975)+P975,0))</f>
        <v>-60900</v>
      </c>
      <c r="Q976">
        <f>IF(AND(MyRowHidden(ROW())=FALSE,MyRowHidden(ROW()-1)=TRUE),0,IF(M976&lt;totalMonths,(totalMonths-M976)/totalMonths *(K976-K975)+Q975,0))</f>
        <v>60900</v>
      </c>
      <c r="R976">
        <f t="shared" si="94"/>
        <v>355040</v>
      </c>
      <c r="S976">
        <f t="shared" si="95"/>
        <v>181965.00000000006</v>
      </c>
    </row>
    <row r="977" spans="4:19" x14ac:dyDescent="0.25">
      <c r="D977" s="1">
        <v>42677</v>
      </c>
      <c r="E977">
        <v>43072</v>
      </c>
      <c r="F977" s="1">
        <v>42677</v>
      </c>
      <c r="G977">
        <v>-6050</v>
      </c>
      <c r="H977" s="1">
        <f t="shared" si="90"/>
        <v>42677</v>
      </c>
      <c r="I977">
        <f>IF(AND(MyRowHidden(ROW())=FALSE,MyRowHidden(ROW()-1)=TRUE),0,(E977-E976)*unitsOfDHp+I976)</f>
        <v>409570</v>
      </c>
      <c r="J977">
        <f>IF(AND(MyRowHidden(ROW())=FALSE,MyRowHidden(ROW()-1)=TRUE),0,(G977-G976)*unitsOfExo+J976)</f>
        <v>-302400</v>
      </c>
      <c r="K977" s="9">
        <f t="shared" si="91"/>
        <v>302400</v>
      </c>
      <c r="L977">
        <f t="shared" si="92"/>
        <v>107170</v>
      </c>
      <c r="M977">
        <f>IF(AND(MyRowHidden(ROW())=FALSE,MyRowHidden(ROW()-1)=TRUE),0,IF(MONTH(H977)&lt;&gt;MONTH(H976),M976+1,M976))</f>
        <v>10</v>
      </c>
      <c r="N977">
        <f t="shared" si="93"/>
        <v>409570</v>
      </c>
      <c r="O977">
        <f>IF(AND(MyRowHidden(ROW())=FALSE,MyRowHidden(ROW()-1)=TRUE),0,IF(M977&lt;totalMonths,(totalMonths-M977)/totalMonths *(I977-I976)+O976,0))</f>
        <v>241803.3333333334</v>
      </c>
      <c r="P977">
        <f>IF(AND(MyRowHidden(ROW())=FALSE,MyRowHidden(ROW()-1)=TRUE),0,IF(M977&lt;totalMonths,(totalMonths-M977)/totalMonths *(J977-J976)+P976,0))</f>
        <v>-55500</v>
      </c>
      <c r="Q977">
        <f>IF(AND(MyRowHidden(ROW())=FALSE,MyRowHidden(ROW()-1)=TRUE),0,IF(M977&lt;totalMonths,(totalMonths-M977)/totalMonths *(K977-K976)+Q976,0))</f>
        <v>55500</v>
      </c>
      <c r="R977">
        <f t="shared" si="94"/>
        <v>354070</v>
      </c>
      <c r="S977">
        <f t="shared" si="95"/>
        <v>186303.3333333334</v>
      </c>
    </row>
    <row r="978" spans="4:19" x14ac:dyDescent="0.25">
      <c r="D978" s="1">
        <v>42678</v>
      </c>
      <c r="E978">
        <v>43035</v>
      </c>
      <c r="F978" s="1">
        <v>42678</v>
      </c>
      <c r="G978">
        <v>-6025</v>
      </c>
      <c r="H978" s="1">
        <f t="shared" si="90"/>
        <v>42678</v>
      </c>
      <c r="I978">
        <f>IF(AND(MyRowHidden(ROW())=FALSE,MyRowHidden(ROW()-1)=TRUE),0,(E978-E977)*unitsOfDHp+I977)</f>
        <v>408275</v>
      </c>
      <c r="J978">
        <f>IF(AND(MyRowHidden(ROW())=FALSE,MyRowHidden(ROW()-1)=TRUE),0,(G978-G977)*unitsOfExo+J977)</f>
        <v>-295200</v>
      </c>
      <c r="K978" s="9">
        <f t="shared" si="91"/>
        <v>295200</v>
      </c>
      <c r="L978">
        <f t="shared" si="92"/>
        <v>113075</v>
      </c>
      <c r="M978">
        <f>IF(AND(MyRowHidden(ROW())=FALSE,MyRowHidden(ROW()-1)=TRUE),0,IF(MONTH(H978)&lt;&gt;MONTH(H977),M977+1,M977))</f>
        <v>10</v>
      </c>
      <c r="N978">
        <f t="shared" si="93"/>
        <v>408275</v>
      </c>
      <c r="O978">
        <f>IF(AND(MyRowHidden(ROW())=FALSE,MyRowHidden(ROW()-1)=TRUE),0,IF(M978&lt;totalMonths,(totalMonths-M978)/totalMonths *(I978-I977)+O977,0))</f>
        <v>241587.50000000006</v>
      </c>
      <c r="P978">
        <f>IF(AND(MyRowHidden(ROW())=FALSE,MyRowHidden(ROW()-1)=TRUE),0,IF(M978&lt;totalMonths,(totalMonths-M978)/totalMonths *(J978-J977)+P977,0))</f>
        <v>-54300</v>
      </c>
      <c r="Q978">
        <f>IF(AND(MyRowHidden(ROW())=FALSE,MyRowHidden(ROW()-1)=TRUE),0,IF(M978&lt;totalMonths,(totalMonths-M978)/totalMonths *(K978-K977)+Q977,0))</f>
        <v>54300</v>
      </c>
      <c r="R978">
        <f t="shared" si="94"/>
        <v>353975</v>
      </c>
      <c r="S978">
        <f t="shared" si="95"/>
        <v>187287.50000000006</v>
      </c>
    </row>
    <row r="979" spans="4:19" x14ac:dyDescent="0.25">
      <c r="D979" s="1">
        <v>42681</v>
      </c>
      <c r="E979">
        <v>43240</v>
      </c>
      <c r="F979" s="1">
        <v>42681</v>
      </c>
      <c r="G979">
        <v>-6125</v>
      </c>
      <c r="H979" s="1">
        <f t="shared" si="90"/>
        <v>42681</v>
      </c>
      <c r="I979">
        <f>IF(AND(MyRowHidden(ROW())=FALSE,MyRowHidden(ROW()-1)=TRUE),0,(E979-E978)*unitsOfDHp+I978)</f>
        <v>415450</v>
      </c>
      <c r="J979">
        <f>IF(AND(MyRowHidden(ROW())=FALSE,MyRowHidden(ROW()-1)=TRUE),0,(G979-G978)*unitsOfExo+J978)</f>
        <v>-324000</v>
      </c>
      <c r="K979" s="9">
        <f t="shared" si="91"/>
        <v>324000</v>
      </c>
      <c r="L979">
        <f t="shared" si="92"/>
        <v>91450</v>
      </c>
      <c r="M979">
        <f>IF(AND(MyRowHidden(ROW())=FALSE,MyRowHidden(ROW()-1)=TRUE),0,IF(MONTH(H979)&lt;&gt;MONTH(H978),M978+1,M978))</f>
        <v>10</v>
      </c>
      <c r="N979">
        <f t="shared" si="93"/>
        <v>415450</v>
      </c>
      <c r="O979">
        <f>IF(AND(MyRowHidden(ROW())=FALSE,MyRowHidden(ROW()-1)=TRUE),0,IF(M979&lt;totalMonths,(totalMonths-M979)/totalMonths *(I979-I978)+O978,0))</f>
        <v>242783.3333333334</v>
      </c>
      <c r="P979">
        <f>IF(AND(MyRowHidden(ROW())=FALSE,MyRowHidden(ROW()-1)=TRUE),0,IF(M979&lt;totalMonths,(totalMonths-M979)/totalMonths *(J979-J978)+P978,0))</f>
        <v>-59100</v>
      </c>
      <c r="Q979">
        <f>IF(AND(MyRowHidden(ROW())=FALSE,MyRowHidden(ROW()-1)=TRUE),0,IF(M979&lt;totalMonths,(totalMonths-M979)/totalMonths *(K979-K978)+Q978,0))</f>
        <v>59100</v>
      </c>
      <c r="R979">
        <f t="shared" si="94"/>
        <v>356350</v>
      </c>
      <c r="S979">
        <f t="shared" si="95"/>
        <v>183683.3333333334</v>
      </c>
    </row>
    <row r="980" spans="4:19" x14ac:dyDescent="0.25">
      <c r="D980" s="1">
        <v>42682</v>
      </c>
      <c r="E980">
        <v>42514</v>
      </c>
      <c r="F980" s="1">
        <v>42682</v>
      </c>
      <c r="G980">
        <v>-5762.5</v>
      </c>
      <c r="H980" s="1">
        <f t="shared" si="90"/>
        <v>42682</v>
      </c>
      <c r="I980">
        <f>IF(AND(MyRowHidden(ROW())=FALSE,MyRowHidden(ROW()-1)=TRUE),0,(E980-E979)*unitsOfDHp+I979)</f>
        <v>390040</v>
      </c>
      <c r="J980">
        <f>IF(AND(MyRowHidden(ROW())=FALSE,MyRowHidden(ROW()-1)=TRUE),0,(G980-G979)*unitsOfExo+J979)</f>
        <v>-219600</v>
      </c>
      <c r="K980" s="9">
        <f t="shared" si="91"/>
        <v>219600</v>
      </c>
      <c r="L980">
        <f t="shared" si="92"/>
        <v>170440</v>
      </c>
      <c r="M980">
        <f>IF(AND(MyRowHidden(ROW())=FALSE,MyRowHidden(ROW()-1)=TRUE),0,IF(MONTH(H980)&lt;&gt;MONTH(H979),M979+1,M979))</f>
        <v>10</v>
      </c>
      <c r="N980">
        <f t="shared" si="93"/>
        <v>390040</v>
      </c>
      <c r="O980">
        <f>IF(AND(MyRowHidden(ROW())=FALSE,MyRowHidden(ROW()-1)=TRUE),0,IF(M980&lt;totalMonths,(totalMonths-M980)/totalMonths *(I980-I979)+O979,0))</f>
        <v>238548.3333333334</v>
      </c>
      <c r="P980">
        <f>IF(AND(MyRowHidden(ROW())=FALSE,MyRowHidden(ROW()-1)=TRUE),0,IF(M980&lt;totalMonths,(totalMonths-M980)/totalMonths *(J980-J979)+P979,0))</f>
        <v>-41700</v>
      </c>
      <c r="Q980">
        <f>IF(AND(MyRowHidden(ROW())=FALSE,MyRowHidden(ROW()-1)=TRUE),0,IF(M980&lt;totalMonths,(totalMonths-M980)/totalMonths *(K980-K979)+Q979,0))</f>
        <v>41700</v>
      </c>
      <c r="R980">
        <f t="shared" si="94"/>
        <v>348340</v>
      </c>
      <c r="S980">
        <f t="shared" si="95"/>
        <v>196848.3333333334</v>
      </c>
    </row>
    <row r="981" spans="4:19" x14ac:dyDescent="0.25">
      <c r="D981" s="1">
        <v>42683</v>
      </c>
      <c r="E981">
        <v>42891</v>
      </c>
      <c r="F981" s="1">
        <v>42683</v>
      </c>
      <c r="G981">
        <v>-6300</v>
      </c>
      <c r="H981" s="1">
        <f t="shared" si="90"/>
        <v>42683</v>
      </c>
      <c r="I981">
        <f>IF(AND(MyRowHidden(ROW())=FALSE,MyRowHidden(ROW()-1)=TRUE),0,(E981-E980)*unitsOfDHp+I980)</f>
        <v>403235</v>
      </c>
      <c r="J981">
        <f>IF(AND(MyRowHidden(ROW())=FALSE,MyRowHidden(ROW()-1)=TRUE),0,(G981-G980)*unitsOfExo+J980)</f>
        <v>-374400</v>
      </c>
      <c r="K981" s="9">
        <f t="shared" si="91"/>
        <v>374400</v>
      </c>
      <c r="L981">
        <f t="shared" si="92"/>
        <v>28835</v>
      </c>
      <c r="M981">
        <f>IF(AND(MyRowHidden(ROW())=FALSE,MyRowHidden(ROW()-1)=TRUE),0,IF(MONTH(H981)&lt;&gt;MONTH(H980),M980+1,M980))</f>
        <v>10</v>
      </c>
      <c r="N981">
        <f t="shared" si="93"/>
        <v>403235</v>
      </c>
      <c r="O981">
        <f>IF(AND(MyRowHidden(ROW())=FALSE,MyRowHidden(ROW()-1)=TRUE),0,IF(M981&lt;totalMonths,(totalMonths-M981)/totalMonths *(I981-I980)+O980,0))</f>
        <v>240747.50000000006</v>
      </c>
      <c r="P981">
        <f>IF(AND(MyRowHidden(ROW())=FALSE,MyRowHidden(ROW()-1)=TRUE),0,IF(M981&lt;totalMonths,(totalMonths-M981)/totalMonths *(J981-J980)+P980,0))</f>
        <v>-67500</v>
      </c>
      <c r="Q981">
        <f>IF(AND(MyRowHidden(ROW())=FALSE,MyRowHidden(ROW()-1)=TRUE),0,IF(M981&lt;totalMonths,(totalMonths-M981)/totalMonths *(K981-K980)+Q980,0))</f>
        <v>67500</v>
      </c>
      <c r="R981">
        <f t="shared" si="94"/>
        <v>335735</v>
      </c>
      <c r="S981">
        <f t="shared" si="95"/>
        <v>173247.50000000006</v>
      </c>
    </row>
    <row r="982" spans="4:19" x14ac:dyDescent="0.25">
      <c r="D982" s="1">
        <v>42684</v>
      </c>
      <c r="E982">
        <v>42946</v>
      </c>
      <c r="F982" s="1">
        <v>42684</v>
      </c>
      <c r="G982">
        <v>-6325</v>
      </c>
      <c r="H982" s="1">
        <f t="shared" si="90"/>
        <v>42684</v>
      </c>
      <c r="I982">
        <f>IF(AND(MyRowHidden(ROW())=FALSE,MyRowHidden(ROW()-1)=TRUE),0,(E982-E981)*unitsOfDHp+I981)</f>
        <v>405160</v>
      </c>
      <c r="J982">
        <f>IF(AND(MyRowHidden(ROW())=FALSE,MyRowHidden(ROW()-1)=TRUE),0,(G982-G981)*unitsOfExo+J981)</f>
        <v>-381600</v>
      </c>
      <c r="K982" s="9">
        <f t="shared" si="91"/>
        <v>381600</v>
      </c>
      <c r="L982">
        <f t="shared" si="92"/>
        <v>23560</v>
      </c>
      <c r="M982">
        <f>IF(AND(MyRowHidden(ROW())=FALSE,MyRowHidden(ROW()-1)=TRUE),0,IF(MONTH(H982)&lt;&gt;MONTH(H981),M981+1,M981))</f>
        <v>10</v>
      </c>
      <c r="N982">
        <f t="shared" si="93"/>
        <v>405160</v>
      </c>
      <c r="O982">
        <f>IF(AND(MyRowHidden(ROW())=FALSE,MyRowHidden(ROW()-1)=TRUE),0,IF(M982&lt;totalMonths,(totalMonths-M982)/totalMonths *(I982-I981)+O981,0))</f>
        <v>241068.3333333334</v>
      </c>
      <c r="P982">
        <f>IF(AND(MyRowHidden(ROW())=FALSE,MyRowHidden(ROW()-1)=TRUE),0,IF(M982&lt;totalMonths,(totalMonths-M982)/totalMonths *(J982-J981)+P981,0))</f>
        <v>-68700</v>
      </c>
      <c r="Q982">
        <f>IF(AND(MyRowHidden(ROW())=FALSE,MyRowHidden(ROW()-1)=TRUE),0,IF(M982&lt;totalMonths,(totalMonths-M982)/totalMonths *(K982-K981)+Q981,0))</f>
        <v>68700</v>
      </c>
      <c r="R982">
        <f t="shared" si="94"/>
        <v>336460</v>
      </c>
      <c r="S982">
        <f t="shared" si="95"/>
        <v>172368.3333333334</v>
      </c>
    </row>
    <row r="983" spans="4:19" x14ac:dyDescent="0.25">
      <c r="D983" s="1">
        <v>42688</v>
      </c>
      <c r="E983">
        <v>43169</v>
      </c>
      <c r="F983" s="1">
        <v>42688</v>
      </c>
      <c r="G983">
        <v>-6512.5</v>
      </c>
      <c r="H983" s="1">
        <f t="shared" si="90"/>
        <v>42688</v>
      </c>
      <c r="I983">
        <f>IF(AND(MyRowHidden(ROW())=FALSE,MyRowHidden(ROW()-1)=TRUE),0,(E983-E982)*unitsOfDHp+I982)</f>
        <v>412965</v>
      </c>
      <c r="J983">
        <f>IF(AND(MyRowHidden(ROW())=FALSE,MyRowHidden(ROW()-1)=TRUE),0,(G983-G982)*unitsOfExo+J982)</f>
        <v>-435600</v>
      </c>
      <c r="K983" s="9">
        <f t="shared" si="91"/>
        <v>435600</v>
      </c>
      <c r="L983">
        <f t="shared" si="92"/>
        <v>-22635</v>
      </c>
      <c r="M983">
        <f>IF(AND(MyRowHidden(ROW())=FALSE,MyRowHidden(ROW()-1)=TRUE),0,IF(MONTH(H983)&lt;&gt;MONTH(H982),M982+1,M982))</f>
        <v>10</v>
      </c>
      <c r="N983">
        <f t="shared" si="93"/>
        <v>412965</v>
      </c>
      <c r="O983">
        <f>IF(AND(MyRowHidden(ROW())=FALSE,MyRowHidden(ROW()-1)=TRUE),0,IF(M983&lt;totalMonths,(totalMonths-M983)/totalMonths *(I983-I982)+O982,0))</f>
        <v>242369.16666666674</v>
      </c>
      <c r="P983">
        <f>IF(AND(MyRowHidden(ROW())=FALSE,MyRowHidden(ROW()-1)=TRUE),0,IF(M983&lt;totalMonths,(totalMonths-M983)/totalMonths *(J983-J982)+P982,0))</f>
        <v>-77700</v>
      </c>
      <c r="Q983">
        <f>IF(AND(MyRowHidden(ROW())=FALSE,MyRowHidden(ROW()-1)=TRUE),0,IF(M983&lt;totalMonths,(totalMonths-M983)/totalMonths *(K983-K982)+Q982,0))</f>
        <v>77700</v>
      </c>
      <c r="R983">
        <f t="shared" si="94"/>
        <v>335265</v>
      </c>
      <c r="S983">
        <f t="shared" si="95"/>
        <v>164669.16666666674</v>
      </c>
    </row>
    <row r="984" spans="4:19" x14ac:dyDescent="0.25">
      <c r="D984" s="1">
        <v>42689</v>
      </c>
      <c r="E984">
        <v>43124</v>
      </c>
      <c r="F984" s="1">
        <v>42689</v>
      </c>
      <c r="G984">
        <v>-6337.5</v>
      </c>
      <c r="H984" s="1">
        <f t="shared" si="90"/>
        <v>42689</v>
      </c>
      <c r="I984">
        <f>IF(AND(MyRowHidden(ROW())=FALSE,MyRowHidden(ROW()-1)=TRUE),0,(E984-E983)*unitsOfDHp+I983)</f>
        <v>411390</v>
      </c>
      <c r="J984">
        <f>IF(AND(MyRowHidden(ROW())=FALSE,MyRowHidden(ROW()-1)=TRUE),0,(G984-G983)*unitsOfExo+J983)</f>
        <v>-385200</v>
      </c>
      <c r="K984" s="9">
        <f t="shared" si="91"/>
        <v>385200</v>
      </c>
      <c r="L984">
        <f t="shared" si="92"/>
        <v>26190</v>
      </c>
      <c r="M984">
        <f>IF(AND(MyRowHidden(ROW())=FALSE,MyRowHidden(ROW()-1)=TRUE),0,IF(MONTH(H984)&lt;&gt;MONTH(H983),M983+1,M983))</f>
        <v>10</v>
      </c>
      <c r="N984">
        <f t="shared" si="93"/>
        <v>411390</v>
      </c>
      <c r="O984">
        <f>IF(AND(MyRowHidden(ROW())=FALSE,MyRowHidden(ROW()-1)=TRUE),0,IF(M984&lt;totalMonths,(totalMonths-M984)/totalMonths *(I984-I983)+O983,0))</f>
        <v>242106.66666666674</v>
      </c>
      <c r="P984">
        <f>IF(AND(MyRowHidden(ROW())=FALSE,MyRowHidden(ROW()-1)=TRUE),0,IF(M984&lt;totalMonths,(totalMonths-M984)/totalMonths *(J984-J983)+P983,0))</f>
        <v>-69300</v>
      </c>
      <c r="Q984">
        <f>IF(AND(MyRowHidden(ROW())=FALSE,MyRowHidden(ROW()-1)=TRUE),0,IF(M984&lt;totalMonths,(totalMonths-M984)/totalMonths *(K984-K983)+Q983,0))</f>
        <v>69300</v>
      </c>
      <c r="R984">
        <f t="shared" si="94"/>
        <v>342090</v>
      </c>
      <c r="S984">
        <f t="shared" si="95"/>
        <v>172806.66666666674</v>
      </c>
    </row>
    <row r="985" spans="4:19" x14ac:dyDescent="0.25">
      <c r="D985" s="1">
        <v>42690</v>
      </c>
      <c r="E985">
        <v>43113</v>
      </c>
      <c r="F985" s="1">
        <v>42690</v>
      </c>
      <c r="G985">
        <v>-6437.5</v>
      </c>
      <c r="H985" s="1">
        <f t="shared" si="90"/>
        <v>42690</v>
      </c>
      <c r="I985">
        <f>IF(AND(MyRowHidden(ROW())=FALSE,MyRowHidden(ROW()-1)=TRUE),0,(E985-E984)*unitsOfDHp+I984)</f>
        <v>411005</v>
      </c>
      <c r="J985">
        <f>IF(AND(MyRowHidden(ROW())=FALSE,MyRowHidden(ROW()-1)=TRUE),0,(G985-G984)*unitsOfExo+J984)</f>
        <v>-414000</v>
      </c>
      <c r="K985" s="9">
        <f t="shared" si="91"/>
        <v>414000</v>
      </c>
      <c r="L985">
        <f t="shared" si="92"/>
        <v>-2995</v>
      </c>
      <c r="M985">
        <f>IF(AND(MyRowHidden(ROW())=FALSE,MyRowHidden(ROW()-1)=TRUE),0,IF(MONTH(H985)&lt;&gt;MONTH(H984),M984+1,M984))</f>
        <v>10</v>
      </c>
      <c r="N985">
        <f t="shared" si="93"/>
        <v>411005</v>
      </c>
      <c r="O985">
        <f>IF(AND(MyRowHidden(ROW())=FALSE,MyRowHidden(ROW()-1)=TRUE),0,IF(M985&lt;totalMonths,(totalMonths-M985)/totalMonths *(I985-I984)+O984,0))</f>
        <v>242042.50000000009</v>
      </c>
      <c r="P985">
        <f>IF(AND(MyRowHidden(ROW())=FALSE,MyRowHidden(ROW()-1)=TRUE),0,IF(M985&lt;totalMonths,(totalMonths-M985)/totalMonths *(J985-J984)+P984,0))</f>
        <v>-74100</v>
      </c>
      <c r="Q985">
        <f>IF(AND(MyRowHidden(ROW())=FALSE,MyRowHidden(ROW()-1)=TRUE),0,IF(M985&lt;totalMonths,(totalMonths-M985)/totalMonths *(K985-K984)+Q984,0))</f>
        <v>74100</v>
      </c>
      <c r="R985">
        <f t="shared" si="94"/>
        <v>336905</v>
      </c>
      <c r="S985">
        <f t="shared" si="95"/>
        <v>167942.50000000009</v>
      </c>
    </row>
    <row r="986" spans="4:19" x14ac:dyDescent="0.25">
      <c r="D986" s="1">
        <v>42691</v>
      </c>
      <c r="E986">
        <v>42973</v>
      </c>
      <c r="F986" s="1">
        <v>42691</v>
      </c>
      <c r="G986">
        <v>-6300</v>
      </c>
      <c r="H986" s="1">
        <f t="shared" si="90"/>
        <v>42691</v>
      </c>
      <c r="I986">
        <f>IF(AND(MyRowHidden(ROW())=FALSE,MyRowHidden(ROW()-1)=TRUE),0,(E986-E985)*unitsOfDHp+I985)</f>
        <v>406105</v>
      </c>
      <c r="J986">
        <f>IF(AND(MyRowHidden(ROW())=FALSE,MyRowHidden(ROW()-1)=TRUE),0,(G986-G985)*unitsOfExo+J985)</f>
        <v>-374400</v>
      </c>
      <c r="K986" s="9">
        <f t="shared" si="91"/>
        <v>374400</v>
      </c>
      <c r="L986">
        <f t="shared" si="92"/>
        <v>31705</v>
      </c>
      <c r="M986">
        <f>IF(AND(MyRowHidden(ROW())=FALSE,MyRowHidden(ROW()-1)=TRUE),0,IF(MONTH(H986)&lt;&gt;MONTH(H985),M985+1,M985))</f>
        <v>10</v>
      </c>
      <c r="N986">
        <f t="shared" si="93"/>
        <v>406105</v>
      </c>
      <c r="O986">
        <f>IF(AND(MyRowHidden(ROW())=FALSE,MyRowHidden(ROW()-1)=TRUE),0,IF(M986&lt;totalMonths,(totalMonths-M986)/totalMonths *(I986-I985)+O985,0))</f>
        <v>241225.83333333343</v>
      </c>
      <c r="P986">
        <f>IF(AND(MyRowHidden(ROW())=FALSE,MyRowHidden(ROW()-1)=TRUE),0,IF(M986&lt;totalMonths,(totalMonths-M986)/totalMonths *(J986-J985)+P985,0))</f>
        <v>-67500</v>
      </c>
      <c r="Q986">
        <f>IF(AND(MyRowHidden(ROW())=FALSE,MyRowHidden(ROW()-1)=TRUE),0,IF(M986&lt;totalMonths,(totalMonths-M986)/totalMonths *(K986-K985)+Q985,0))</f>
        <v>67500</v>
      </c>
      <c r="R986">
        <f t="shared" si="94"/>
        <v>338605</v>
      </c>
      <c r="S986">
        <f t="shared" si="95"/>
        <v>173725.83333333343</v>
      </c>
    </row>
    <row r="987" spans="4:19" x14ac:dyDescent="0.25">
      <c r="D987" s="1">
        <v>42692</v>
      </c>
      <c r="E987">
        <v>42957</v>
      </c>
      <c r="F987" s="1">
        <v>42692</v>
      </c>
      <c r="G987">
        <v>-6162.5</v>
      </c>
      <c r="H987" s="1">
        <f t="shared" si="90"/>
        <v>42692</v>
      </c>
      <c r="I987">
        <f>IF(AND(MyRowHidden(ROW())=FALSE,MyRowHidden(ROW()-1)=TRUE),0,(E987-E986)*unitsOfDHp+I986)</f>
        <v>405545</v>
      </c>
      <c r="J987">
        <f>IF(AND(MyRowHidden(ROW())=FALSE,MyRowHidden(ROW()-1)=TRUE),0,(G987-G986)*unitsOfExo+J986)</f>
        <v>-334800</v>
      </c>
      <c r="K987" s="9">
        <f t="shared" si="91"/>
        <v>334800</v>
      </c>
      <c r="L987">
        <f t="shared" si="92"/>
        <v>70745</v>
      </c>
      <c r="M987">
        <f>IF(AND(MyRowHidden(ROW())=FALSE,MyRowHidden(ROW()-1)=TRUE),0,IF(MONTH(H987)&lt;&gt;MONTH(H986),M986+1,M986))</f>
        <v>10</v>
      </c>
      <c r="N987">
        <f t="shared" si="93"/>
        <v>405545</v>
      </c>
      <c r="O987">
        <f>IF(AND(MyRowHidden(ROW())=FALSE,MyRowHidden(ROW()-1)=TRUE),0,IF(M987&lt;totalMonths,(totalMonths-M987)/totalMonths *(I987-I986)+O986,0))</f>
        <v>241132.50000000009</v>
      </c>
      <c r="P987">
        <f>IF(AND(MyRowHidden(ROW())=FALSE,MyRowHidden(ROW()-1)=TRUE),0,IF(M987&lt;totalMonths,(totalMonths-M987)/totalMonths *(J987-J986)+P986,0))</f>
        <v>-60900</v>
      </c>
      <c r="Q987">
        <f>IF(AND(MyRowHidden(ROW())=FALSE,MyRowHidden(ROW()-1)=TRUE),0,IF(M987&lt;totalMonths,(totalMonths-M987)/totalMonths *(K987-K986)+Q986,0))</f>
        <v>60900</v>
      </c>
      <c r="R987">
        <f t="shared" si="94"/>
        <v>344645</v>
      </c>
      <c r="S987">
        <f t="shared" si="95"/>
        <v>180232.50000000009</v>
      </c>
    </row>
    <row r="988" spans="4:19" x14ac:dyDescent="0.25">
      <c r="D988" s="1">
        <v>42695</v>
      </c>
      <c r="E988">
        <v>43042</v>
      </c>
      <c r="F988" s="1">
        <v>42695</v>
      </c>
      <c r="G988">
        <v>-5937.5</v>
      </c>
      <c r="H988" s="1">
        <f t="shared" si="90"/>
        <v>42695</v>
      </c>
      <c r="I988">
        <f>IF(AND(MyRowHidden(ROW())=FALSE,MyRowHidden(ROW()-1)=TRUE),0,(E988-E987)*unitsOfDHp+I987)</f>
        <v>408520</v>
      </c>
      <c r="J988">
        <f>IF(AND(MyRowHidden(ROW())=FALSE,MyRowHidden(ROW()-1)=TRUE),0,(G988-G987)*unitsOfExo+J987)</f>
        <v>-270000</v>
      </c>
      <c r="K988" s="9">
        <f t="shared" si="91"/>
        <v>270000</v>
      </c>
      <c r="L988">
        <f t="shared" si="92"/>
        <v>138520</v>
      </c>
      <c r="M988">
        <f>IF(AND(MyRowHidden(ROW())=FALSE,MyRowHidden(ROW()-1)=TRUE),0,IF(MONTH(H988)&lt;&gt;MONTH(H987),M987+1,M987))</f>
        <v>10</v>
      </c>
      <c r="N988">
        <f t="shared" si="93"/>
        <v>408520</v>
      </c>
      <c r="O988">
        <f>IF(AND(MyRowHidden(ROW())=FALSE,MyRowHidden(ROW()-1)=TRUE),0,IF(M988&lt;totalMonths,(totalMonths-M988)/totalMonths *(I988-I987)+O987,0))</f>
        <v>241628.33333333343</v>
      </c>
      <c r="P988">
        <f>IF(AND(MyRowHidden(ROW())=FALSE,MyRowHidden(ROW()-1)=TRUE),0,IF(M988&lt;totalMonths,(totalMonths-M988)/totalMonths *(J988-J987)+P987,0))</f>
        <v>-50100</v>
      </c>
      <c r="Q988">
        <f>IF(AND(MyRowHidden(ROW())=FALSE,MyRowHidden(ROW()-1)=TRUE),0,IF(M988&lt;totalMonths,(totalMonths-M988)/totalMonths *(K988-K987)+Q987,0))</f>
        <v>50100</v>
      </c>
      <c r="R988">
        <f t="shared" si="94"/>
        <v>358420</v>
      </c>
      <c r="S988">
        <f t="shared" si="95"/>
        <v>191528.33333333343</v>
      </c>
    </row>
    <row r="989" spans="4:19" x14ac:dyDescent="0.25">
      <c r="D989" s="1">
        <v>42696</v>
      </c>
      <c r="E989">
        <v>42882</v>
      </c>
      <c r="F989" s="1">
        <v>42696</v>
      </c>
      <c r="G989">
        <v>-5875</v>
      </c>
      <c r="H989" s="1">
        <f t="shared" si="90"/>
        <v>42696</v>
      </c>
      <c r="I989">
        <f>IF(AND(MyRowHidden(ROW())=FALSE,MyRowHidden(ROW()-1)=TRUE),0,(E989-E988)*unitsOfDHp+I988)</f>
        <v>402920</v>
      </c>
      <c r="J989">
        <f>IF(AND(MyRowHidden(ROW())=FALSE,MyRowHidden(ROW()-1)=TRUE),0,(G989-G988)*unitsOfExo+J988)</f>
        <v>-252000</v>
      </c>
      <c r="K989" s="9">
        <f t="shared" si="91"/>
        <v>252000</v>
      </c>
      <c r="L989">
        <f t="shared" si="92"/>
        <v>150920</v>
      </c>
      <c r="M989">
        <f>IF(AND(MyRowHidden(ROW())=FALSE,MyRowHidden(ROW()-1)=TRUE),0,IF(MONTH(H989)&lt;&gt;MONTH(H988),M988+1,M988))</f>
        <v>10</v>
      </c>
      <c r="N989">
        <f t="shared" si="93"/>
        <v>402920</v>
      </c>
      <c r="O989">
        <f>IF(AND(MyRowHidden(ROW())=FALSE,MyRowHidden(ROW()-1)=TRUE),0,IF(M989&lt;totalMonths,(totalMonths-M989)/totalMonths *(I989-I988)+O988,0))</f>
        <v>240695.00000000009</v>
      </c>
      <c r="P989">
        <f>IF(AND(MyRowHidden(ROW())=FALSE,MyRowHidden(ROW()-1)=TRUE),0,IF(M989&lt;totalMonths,(totalMonths-M989)/totalMonths *(J989-J988)+P988,0))</f>
        <v>-47100</v>
      </c>
      <c r="Q989">
        <f>IF(AND(MyRowHidden(ROW())=FALSE,MyRowHidden(ROW()-1)=TRUE),0,IF(M989&lt;totalMonths,(totalMonths-M989)/totalMonths *(K989-K988)+Q988,0))</f>
        <v>47100</v>
      </c>
      <c r="R989">
        <f t="shared" si="94"/>
        <v>355820</v>
      </c>
      <c r="S989">
        <f t="shared" si="95"/>
        <v>193595.00000000009</v>
      </c>
    </row>
    <row r="990" spans="4:19" x14ac:dyDescent="0.25">
      <c r="D990" s="1">
        <v>42697</v>
      </c>
      <c r="E990">
        <v>42935</v>
      </c>
      <c r="F990" s="1">
        <v>42697</v>
      </c>
      <c r="G990">
        <v>-5912.5</v>
      </c>
      <c r="H990" s="1">
        <f t="shared" si="90"/>
        <v>42697</v>
      </c>
      <c r="I990">
        <f>IF(AND(MyRowHidden(ROW())=FALSE,MyRowHidden(ROW()-1)=TRUE),0,(E990-E989)*unitsOfDHp+I989)</f>
        <v>404775</v>
      </c>
      <c r="J990">
        <f>IF(AND(MyRowHidden(ROW())=FALSE,MyRowHidden(ROW()-1)=TRUE),0,(G990-G989)*unitsOfExo+J989)</f>
        <v>-262800</v>
      </c>
      <c r="K990" s="9">
        <f t="shared" si="91"/>
        <v>262800</v>
      </c>
      <c r="L990">
        <f t="shared" si="92"/>
        <v>141975</v>
      </c>
      <c r="M990">
        <f>IF(AND(MyRowHidden(ROW())=FALSE,MyRowHidden(ROW()-1)=TRUE),0,IF(MONTH(H990)&lt;&gt;MONTH(H989),M989+1,M989))</f>
        <v>10</v>
      </c>
      <c r="N990">
        <f t="shared" si="93"/>
        <v>404775</v>
      </c>
      <c r="O990">
        <f>IF(AND(MyRowHidden(ROW())=FALSE,MyRowHidden(ROW()-1)=TRUE),0,IF(M990&lt;totalMonths,(totalMonths-M990)/totalMonths *(I990-I989)+O989,0))</f>
        <v>241004.16666666674</v>
      </c>
      <c r="P990">
        <f>IF(AND(MyRowHidden(ROW())=FALSE,MyRowHidden(ROW()-1)=TRUE),0,IF(M990&lt;totalMonths,(totalMonths-M990)/totalMonths *(J990-J989)+P989,0))</f>
        <v>-48900</v>
      </c>
      <c r="Q990">
        <f>IF(AND(MyRowHidden(ROW())=FALSE,MyRowHidden(ROW()-1)=TRUE),0,IF(M990&lt;totalMonths,(totalMonths-M990)/totalMonths *(K990-K989)+Q989,0))</f>
        <v>48900</v>
      </c>
      <c r="R990">
        <f t="shared" si="94"/>
        <v>355875</v>
      </c>
      <c r="S990">
        <f t="shared" si="95"/>
        <v>192104.16666666674</v>
      </c>
    </row>
    <row r="991" spans="4:19" x14ac:dyDescent="0.25">
      <c r="D991" s="1">
        <v>42699</v>
      </c>
      <c r="E991">
        <v>42887</v>
      </c>
      <c r="F991" s="1">
        <v>42699</v>
      </c>
      <c r="G991">
        <v>-5875</v>
      </c>
      <c r="H991" s="1">
        <f t="shared" si="90"/>
        <v>42699</v>
      </c>
      <c r="I991">
        <f>IF(AND(MyRowHidden(ROW())=FALSE,MyRowHidden(ROW()-1)=TRUE),0,(E991-E990)*unitsOfDHp+I990)</f>
        <v>403095</v>
      </c>
      <c r="J991">
        <f>IF(AND(MyRowHidden(ROW())=FALSE,MyRowHidden(ROW()-1)=TRUE),0,(G991-G990)*unitsOfExo+J990)</f>
        <v>-252000</v>
      </c>
      <c r="K991" s="9">
        <f t="shared" si="91"/>
        <v>252000</v>
      </c>
      <c r="L991">
        <f t="shared" si="92"/>
        <v>151095</v>
      </c>
      <c r="M991">
        <f>IF(AND(MyRowHidden(ROW())=FALSE,MyRowHidden(ROW()-1)=TRUE),0,IF(MONTH(H991)&lt;&gt;MONTH(H990),M990+1,M990))</f>
        <v>10</v>
      </c>
      <c r="N991">
        <f t="shared" si="93"/>
        <v>403095</v>
      </c>
      <c r="O991">
        <f>IF(AND(MyRowHidden(ROW())=FALSE,MyRowHidden(ROW()-1)=TRUE),0,IF(M991&lt;totalMonths,(totalMonths-M991)/totalMonths *(I991-I990)+O990,0))</f>
        <v>240724.16666666674</v>
      </c>
      <c r="P991">
        <f>IF(AND(MyRowHidden(ROW())=FALSE,MyRowHidden(ROW()-1)=TRUE),0,IF(M991&lt;totalMonths,(totalMonths-M991)/totalMonths *(J991-J990)+P990,0))</f>
        <v>-47100</v>
      </c>
      <c r="Q991">
        <f>IF(AND(MyRowHidden(ROW())=FALSE,MyRowHidden(ROW()-1)=TRUE),0,IF(M991&lt;totalMonths,(totalMonths-M991)/totalMonths *(K991-K990)+Q990,0))</f>
        <v>47100</v>
      </c>
      <c r="R991">
        <f t="shared" si="94"/>
        <v>355995</v>
      </c>
      <c r="S991">
        <f t="shared" si="95"/>
        <v>193624.16666666674</v>
      </c>
    </row>
    <row r="992" spans="4:19" x14ac:dyDescent="0.25">
      <c r="D992" s="1">
        <v>42702</v>
      </c>
      <c r="E992">
        <v>43000</v>
      </c>
      <c r="F992" s="1">
        <v>42702</v>
      </c>
      <c r="G992">
        <v>-5962.5</v>
      </c>
      <c r="H992" s="1">
        <f t="shared" si="90"/>
        <v>42702</v>
      </c>
      <c r="I992">
        <f>IF(AND(MyRowHidden(ROW())=FALSE,MyRowHidden(ROW()-1)=TRUE),0,(E992-E991)*unitsOfDHp+I991)</f>
        <v>407050</v>
      </c>
      <c r="J992">
        <f>IF(AND(MyRowHidden(ROW())=FALSE,MyRowHidden(ROW()-1)=TRUE),0,(G992-G991)*unitsOfExo+J991)</f>
        <v>-277200</v>
      </c>
      <c r="K992" s="9">
        <f t="shared" si="91"/>
        <v>277200</v>
      </c>
      <c r="L992">
        <f t="shared" si="92"/>
        <v>129850</v>
      </c>
      <c r="M992">
        <f>IF(AND(MyRowHidden(ROW())=FALSE,MyRowHidden(ROW()-1)=TRUE),0,IF(MONTH(H992)&lt;&gt;MONTH(H991),M991+1,M991))</f>
        <v>10</v>
      </c>
      <c r="N992">
        <f t="shared" si="93"/>
        <v>407050</v>
      </c>
      <c r="O992">
        <f>IF(AND(MyRowHidden(ROW())=FALSE,MyRowHidden(ROW()-1)=TRUE),0,IF(M992&lt;totalMonths,(totalMonths-M992)/totalMonths *(I992-I991)+O991,0))</f>
        <v>241383.3333333334</v>
      </c>
      <c r="P992">
        <f>IF(AND(MyRowHidden(ROW())=FALSE,MyRowHidden(ROW()-1)=TRUE),0,IF(M992&lt;totalMonths,(totalMonths-M992)/totalMonths *(J992-J991)+P991,0))</f>
        <v>-51300</v>
      </c>
      <c r="Q992">
        <f>IF(AND(MyRowHidden(ROW())=FALSE,MyRowHidden(ROW()-1)=TRUE),0,IF(M992&lt;totalMonths,(totalMonths-M992)/totalMonths *(K992-K991)+Q991,0))</f>
        <v>51300</v>
      </c>
      <c r="R992">
        <f t="shared" si="94"/>
        <v>355750</v>
      </c>
      <c r="S992">
        <f t="shared" si="95"/>
        <v>190083.3333333334</v>
      </c>
    </row>
    <row r="993" spans="4:19" x14ac:dyDescent="0.25">
      <c r="D993" s="1">
        <v>42703</v>
      </c>
      <c r="E993">
        <v>43734</v>
      </c>
      <c r="F993" s="1">
        <v>42703</v>
      </c>
      <c r="G993">
        <v>-6500</v>
      </c>
      <c r="H993" s="1">
        <f t="shared" si="90"/>
        <v>42703</v>
      </c>
      <c r="I993">
        <f>IF(AND(MyRowHidden(ROW())=FALSE,MyRowHidden(ROW()-1)=TRUE),0,(E993-E992)*unitsOfDHp+I992)</f>
        <v>432740</v>
      </c>
      <c r="J993">
        <f>IF(AND(MyRowHidden(ROW())=FALSE,MyRowHidden(ROW()-1)=TRUE),0,(G993-G992)*unitsOfExo+J992)</f>
        <v>-432000</v>
      </c>
      <c r="K993" s="9">
        <f t="shared" si="91"/>
        <v>432000</v>
      </c>
      <c r="L993">
        <f t="shared" si="92"/>
        <v>740</v>
      </c>
      <c r="M993">
        <f>IF(AND(MyRowHidden(ROW())=FALSE,MyRowHidden(ROW()-1)=TRUE),0,IF(MONTH(H993)&lt;&gt;MONTH(H992),M992+1,M992))</f>
        <v>10</v>
      </c>
      <c r="N993">
        <f t="shared" si="93"/>
        <v>432740</v>
      </c>
      <c r="O993">
        <f>IF(AND(MyRowHidden(ROW())=FALSE,MyRowHidden(ROW()-1)=TRUE),0,IF(M993&lt;totalMonths,(totalMonths-M993)/totalMonths *(I993-I992)+O992,0))</f>
        <v>245665.00000000006</v>
      </c>
      <c r="P993">
        <f>IF(AND(MyRowHidden(ROW())=FALSE,MyRowHidden(ROW()-1)=TRUE),0,IF(M993&lt;totalMonths,(totalMonths-M993)/totalMonths *(J993-J992)+P992,0))</f>
        <v>-77100</v>
      </c>
      <c r="Q993">
        <f>IF(AND(MyRowHidden(ROW())=FALSE,MyRowHidden(ROW()-1)=TRUE),0,IF(M993&lt;totalMonths,(totalMonths-M993)/totalMonths *(K993-K992)+Q992,0))</f>
        <v>77100</v>
      </c>
      <c r="R993">
        <f t="shared" si="94"/>
        <v>355640</v>
      </c>
      <c r="S993">
        <f t="shared" si="95"/>
        <v>168565.00000000006</v>
      </c>
    </row>
    <row r="994" spans="4:19" x14ac:dyDescent="0.25">
      <c r="D994" s="1">
        <v>42704</v>
      </c>
      <c r="E994">
        <v>43726</v>
      </c>
      <c r="F994" s="1">
        <v>42704</v>
      </c>
      <c r="G994">
        <v>-6500</v>
      </c>
      <c r="H994" s="1">
        <f t="shared" si="90"/>
        <v>42704</v>
      </c>
      <c r="I994">
        <f>IF(AND(MyRowHidden(ROW())=FALSE,MyRowHidden(ROW()-1)=TRUE),0,(E994-E993)*unitsOfDHp+I993)</f>
        <v>432460</v>
      </c>
      <c r="J994">
        <f>IF(AND(MyRowHidden(ROW())=FALSE,MyRowHidden(ROW()-1)=TRUE),0,(G994-G993)*unitsOfExo+J993)</f>
        <v>-432000</v>
      </c>
      <c r="K994" s="9">
        <f t="shared" si="91"/>
        <v>432000</v>
      </c>
      <c r="L994">
        <f t="shared" si="92"/>
        <v>460</v>
      </c>
      <c r="M994">
        <f>IF(AND(MyRowHidden(ROW())=FALSE,MyRowHidden(ROW()-1)=TRUE),0,IF(MONTH(H994)&lt;&gt;MONTH(H993),M993+1,M993))</f>
        <v>10</v>
      </c>
      <c r="N994">
        <f t="shared" si="93"/>
        <v>432460</v>
      </c>
      <c r="O994">
        <f>IF(AND(MyRowHidden(ROW())=FALSE,MyRowHidden(ROW()-1)=TRUE),0,IF(M994&lt;totalMonths,(totalMonths-M994)/totalMonths *(I994-I993)+O993,0))</f>
        <v>245618.3333333334</v>
      </c>
      <c r="P994">
        <f>IF(AND(MyRowHidden(ROW())=FALSE,MyRowHidden(ROW()-1)=TRUE),0,IF(M994&lt;totalMonths,(totalMonths-M994)/totalMonths *(J994-J993)+P993,0))</f>
        <v>-77100</v>
      </c>
      <c r="Q994">
        <f>IF(AND(MyRowHidden(ROW())=FALSE,MyRowHidden(ROW()-1)=TRUE),0,IF(M994&lt;totalMonths,(totalMonths-M994)/totalMonths *(K994-K993)+Q993,0))</f>
        <v>77100</v>
      </c>
      <c r="R994">
        <f t="shared" si="94"/>
        <v>355360</v>
      </c>
      <c r="S994">
        <f t="shared" si="95"/>
        <v>168518.3333333334</v>
      </c>
    </row>
    <row r="995" spans="4:19" x14ac:dyDescent="0.25">
      <c r="D995" s="1">
        <v>42705</v>
      </c>
      <c r="E995">
        <v>43721</v>
      </c>
      <c r="F995" s="1">
        <v>42705</v>
      </c>
      <c r="G995">
        <v>-6837.5</v>
      </c>
      <c r="H995" s="1">
        <f t="shared" si="90"/>
        <v>42705</v>
      </c>
      <c r="I995">
        <f>IF(AND(MyRowHidden(ROW())=FALSE,MyRowHidden(ROW()-1)=TRUE),0,(E995-E994)*unitsOfDHp+I994)</f>
        <v>432285</v>
      </c>
      <c r="J995">
        <f>IF(AND(MyRowHidden(ROW())=FALSE,MyRowHidden(ROW()-1)=TRUE),0,(G995-G994)*unitsOfExo+J994)</f>
        <v>-529200</v>
      </c>
      <c r="K995" s="9">
        <f t="shared" si="91"/>
        <v>529200</v>
      </c>
      <c r="L995">
        <f t="shared" si="92"/>
        <v>-96915</v>
      </c>
      <c r="M995">
        <f>IF(AND(MyRowHidden(ROW())=FALSE,MyRowHidden(ROW()-1)=TRUE),0,IF(MONTH(H995)&lt;&gt;MONTH(H994),M994+1,M994))</f>
        <v>11</v>
      </c>
      <c r="N995">
        <f t="shared" si="93"/>
        <v>432285</v>
      </c>
      <c r="O995">
        <f>IF(AND(MyRowHidden(ROW())=FALSE,MyRowHidden(ROW()-1)=TRUE),0,IF(M995&lt;totalMonths,(totalMonths-M995)/totalMonths *(I995-I994)+O994,0))</f>
        <v>245603.75000000006</v>
      </c>
      <c r="P995">
        <f>IF(AND(MyRowHidden(ROW())=FALSE,MyRowHidden(ROW()-1)=TRUE),0,IF(M995&lt;totalMonths,(totalMonths-M995)/totalMonths *(J995-J994)+P994,0))</f>
        <v>-85200</v>
      </c>
      <c r="Q995">
        <f>IF(AND(MyRowHidden(ROW())=FALSE,MyRowHidden(ROW()-1)=TRUE),0,IF(M995&lt;totalMonths,(totalMonths-M995)/totalMonths *(K995-K994)+Q994,0))</f>
        <v>85200</v>
      </c>
      <c r="R995">
        <f t="shared" si="94"/>
        <v>347085</v>
      </c>
      <c r="S995">
        <f t="shared" si="95"/>
        <v>160403.75000000006</v>
      </c>
    </row>
    <row r="996" spans="4:19" x14ac:dyDescent="0.25">
      <c r="D996" s="1">
        <v>42706</v>
      </c>
      <c r="E996">
        <v>43626</v>
      </c>
      <c r="F996" s="1">
        <v>42706</v>
      </c>
      <c r="G996">
        <v>-6562.5</v>
      </c>
      <c r="H996" s="1">
        <f t="shared" si="90"/>
        <v>42706</v>
      </c>
      <c r="I996">
        <f>IF(AND(MyRowHidden(ROW())=FALSE,MyRowHidden(ROW()-1)=TRUE),0,(E996-E995)*unitsOfDHp+I995)</f>
        <v>428960</v>
      </c>
      <c r="J996">
        <f>IF(AND(MyRowHidden(ROW())=FALSE,MyRowHidden(ROW()-1)=TRUE),0,(G996-G995)*unitsOfExo+J995)</f>
        <v>-450000</v>
      </c>
      <c r="K996" s="9">
        <f t="shared" si="91"/>
        <v>450000</v>
      </c>
      <c r="L996">
        <f t="shared" si="92"/>
        <v>-21040</v>
      </c>
      <c r="M996">
        <f>IF(AND(MyRowHidden(ROW())=FALSE,MyRowHidden(ROW()-1)=TRUE),0,IF(MONTH(H996)&lt;&gt;MONTH(H995),M995+1,M995))</f>
        <v>11</v>
      </c>
      <c r="N996">
        <f t="shared" si="93"/>
        <v>428960</v>
      </c>
      <c r="O996">
        <f>IF(AND(MyRowHidden(ROW())=FALSE,MyRowHidden(ROW()-1)=TRUE),0,IF(M996&lt;totalMonths,(totalMonths-M996)/totalMonths *(I996-I995)+O995,0))</f>
        <v>245326.66666666672</v>
      </c>
      <c r="P996">
        <f>IF(AND(MyRowHidden(ROW())=FALSE,MyRowHidden(ROW()-1)=TRUE),0,IF(M996&lt;totalMonths,(totalMonths-M996)/totalMonths *(J996-J995)+P995,0))</f>
        <v>-78600</v>
      </c>
      <c r="Q996">
        <f>IF(AND(MyRowHidden(ROW())=FALSE,MyRowHidden(ROW()-1)=TRUE),0,IF(M996&lt;totalMonths,(totalMonths-M996)/totalMonths *(K996-K995)+Q995,0))</f>
        <v>78600</v>
      </c>
      <c r="R996">
        <f t="shared" si="94"/>
        <v>350360</v>
      </c>
      <c r="S996">
        <f t="shared" si="95"/>
        <v>166726.66666666672</v>
      </c>
    </row>
    <row r="997" spans="4:19" x14ac:dyDescent="0.25">
      <c r="D997" s="1">
        <v>42709</v>
      </c>
      <c r="E997">
        <v>43621</v>
      </c>
      <c r="F997" s="1">
        <v>42709</v>
      </c>
      <c r="G997">
        <v>-5987.5</v>
      </c>
      <c r="H997" s="1">
        <f t="shared" si="90"/>
        <v>42709</v>
      </c>
      <c r="I997">
        <f>IF(AND(MyRowHidden(ROW())=FALSE,MyRowHidden(ROW()-1)=TRUE),0,(E997-E996)*unitsOfDHp+I996)</f>
        <v>428785</v>
      </c>
      <c r="J997">
        <f>IF(AND(MyRowHidden(ROW())=FALSE,MyRowHidden(ROW()-1)=TRUE),0,(G997-G996)*unitsOfExo+J996)</f>
        <v>-284400</v>
      </c>
      <c r="K997" s="9">
        <f t="shared" si="91"/>
        <v>284400</v>
      </c>
      <c r="L997">
        <f t="shared" si="92"/>
        <v>144385</v>
      </c>
      <c r="M997">
        <f>IF(AND(MyRowHidden(ROW())=FALSE,MyRowHidden(ROW()-1)=TRUE),0,IF(MONTH(H997)&lt;&gt;MONTH(H996),M996+1,M996))</f>
        <v>11</v>
      </c>
      <c r="N997">
        <f t="shared" si="93"/>
        <v>428785</v>
      </c>
      <c r="O997">
        <f>IF(AND(MyRowHidden(ROW())=FALSE,MyRowHidden(ROW()-1)=TRUE),0,IF(M997&lt;totalMonths,(totalMonths-M997)/totalMonths *(I997-I996)+O996,0))</f>
        <v>245312.08333333337</v>
      </c>
      <c r="P997">
        <f>IF(AND(MyRowHidden(ROW())=FALSE,MyRowHidden(ROW()-1)=TRUE),0,IF(M997&lt;totalMonths,(totalMonths-M997)/totalMonths *(J997-J996)+P996,0))</f>
        <v>-64800</v>
      </c>
      <c r="Q997">
        <f>IF(AND(MyRowHidden(ROW())=FALSE,MyRowHidden(ROW()-1)=TRUE),0,IF(M997&lt;totalMonths,(totalMonths-M997)/totalMonths *(K997-K996)+Q996,0))</f>
        <v>64800</v>
      </c>
      <c r="R997">
        <f t="shared" si="94"/>
        <v>363985</v>
      </c>
      <c r="S997">
        <f t="shared" si="95"/>
        <v>180512.08333333337</v>
      </c>
    </row>
    <row r="998" spans="4:19" x14ac:dyDescent="0.25">
      <c r="D998" s="1">
        <v>42710</v>
      </c>
      <c r="E998">
        <v>43607</v>
      </c>
      <c r="F998" s="1">
        <v>42710</v>
      </c>
      <c r="G998">
        <v>-5987.5</v>
      </c>
      <c r="H998" s="1">
        <f t="shared" si="90"/>
        <v>42710</v>
      </c>
      <c r="I998">
        <f>IF(AND(MyRowHidden(ROW())=FALSE,MyRowHidden(ROW()-1)=TRUE),0,(E998-E997)*unitsOfDHp+I997)</f>
        <v>428295</v>
      </c>
      <c r="J998">
        <f>IF(AND(MyRowHidden(ROW())=FALSE,MyRowHidden(ROW()-1)=TRUE),0,(G998-G997)*unitsOfExo+J997)</f>
        <v>-284400</v>
      </c>
      <c r="K998" s="9">
        <f t="shared" si="91"/>
        <v>284400</v>
      </c>
      <c r="L998">
        <f t="shared" si="92"/>
        <v>143895</v>
      </c>
      <c r="M998">
        <f>IF(AND(MyRowHidden(ROW())=FALSE,MyRowHidden(ROW()-1)=TRUE),0,IF(MONTH(H998)&lt;&gt;MONTH(H997),M997+1,M997))</f>
        <v>11</v>
      </c>
      <c r="N998">
        <f t="shared" si="93"/>
        <v>428295</v>
      </c>
      <c r="O998">
        <f>IF(AND(MyRowHidden(ROW())=FALSE,MyRowHidden(ROW()-1)=TRUE),0,IF(M998&lt;totalMonths,(totalMonths-M998)/totalMonths *(I998-I997)+O997,0))</f>
        <v>245271.25000000003</v>
      </c>
      <c r="P998">
        <f>IF(AND(MyRowHidden(ROW())=FALSE,MyRowHidden(ROW()-1)=TRUE),0,IF(M998&lt;totalMonths,(totalMonths-M998)/totalMonths *(J998-J997)+P997,0))</f>
        <v>-64800</v>
      </c>
      <c r="Q998">
        <f>IF(AND(MyRowHidden(ROW())=FALSE,MyRowHidden(ROW()-1)=TRUE),0,IF(M998&lt;totalMonths,(totalMonths-M998)/totalMonths *(K998-K997)+Q997,0))</f>
        <v>64800</v>
      </c>
      <c r="R998">
        <f t="shared" si="94"/>
        <v>363495</v>
      </c>
      <c r="S998">
        <f t="shared" si="95"/>
        <v>180471.25000000003</v>
      </c>
    </row>
    <row r="999" spans="4:19" x14ac:dyDescent="0.25">
      <c r="D999" s="1">
        <v>42711</v>
      </c>
      <c r="E999">
        <v>43619</v>
      </c>
      <c r="F999" s="1">
        <v>42711</v>
      </c>
      <c r="G999">
        <v>-5900</v>
      </c>
      <c r="H999" s="1">
        <f t="shared" si="90"/>
        <v>42711</v>
      </c>
      <c r="I999">
        <f>IF(AND(MyRowHidden(ROW())=FALSE,MyRowHidden(ROW()-1)=TRUE),0,(E999-E998)*unitsOfDHp+I998)</f>
        <v>428715</v>
      </c>
      <c r="J999">
        <f>IF(AND(MyRowHidden(ROW())=FALSE,MyRowHidden(ROW()-1)=TRUE),0,(G999-G998)*unitsOfExo+J998)</f>
        <v>-259200</v>
      </c>
      <c r="K999" s="9">
        <f t="shared" si="91"/>
        <v>259200</v>
      </c>
      <c r="L999">
        <f t="shared" si="92"/>
        <v>169515</v>
      </c>
      <c r="M999">
        <f>IF(AND(MyRowHidden(ROW())=FALSE,MyRowHidden(ROW()-1)=TRUE),0,IF(MONTH(H999)&lt;&gt;MONTH(H998),M998+1,M998))</f>
        <v>11</v>
      </c>
      <c r="N999">
        <f t="shared" si="93"/>
        <v>428715</v>
      </c>
      <c r="O999">
        <f>IF(AND(MyRowHidden(ROW())=FALSE,MyRowHidden(ROW()-1)=TRUE),0,IF(M999&lt;totalMonths,(totalMonths-M999)/totalMonths *(I999-I998)+O998,0))</f>
        <v>245306.25000000003</v>
      </c>
      <c r="P999">
        <f>IF(AND(MyRowHidden(ROW())=FALSE,MyRowHidden(ROW()-1)=TRUE),0,IF(M999&lt;totalMonths,(totalMonths-M999)/totalMonths *(J999-J998)+P998,0))</f>
        <v>-62700</v>
      </c>
      <c r="Q999">
        <f>IF(AND(MyRowHidden(ROW())=FALSE,MyRowHidden(ROW()-1)=TRUE),0,IF(M999&lt;totalMonths,(totalMonths-M999)/totalMonths *(K999-K998)+Q998,0))</f>
        <v>62700</v>
      </c>
      <c r="R999">
        <f t="shared" si="94"/>
        <v>366015</v>
      </c>
      <c r="S999">
        <f t="shared" si="95"/>
        <v>182606.25000000003</v>
      </c>
    </row>
    <row r="1000" spans="4:19" x14ac:dyDescent="0.25">
      <c r="D1000" s="1">
        <v>42712</v>
      </c>
      <c r="E1000">
        <v>43862</v>
      </c>
      <c r="F1000" s="1">
        <v>42712</v>
      </c>
      <c r="G1000">
        <v>-6000</v>
      </c>
      <c r="H1000" s="1">
        <f t="shared" si="90"/>
        <v>42712</v>
      </c>
      <c r="I1000">
        <f>IF(AND(MyRowHidden(ROW())=FALSE,MyRowHidden(ROW()-1)=TRUE),0,(E1000-E999)*unitsOfDHp+I999)</f>
        <v>437220</v>
      </c>
      <c r="J1000">
        <f>IF(AND(MyRowHidden(ROW())=FALSE,MyRowHidden(ROW()-1)=TRUE),0,(G1000-G999)*unitsOfExo+J999)</f>
        <v>-288000</v>
      </c>
      <c r="K1000" s="9">
        <f t="shared" si="91"/>
        <v>288000</v>
      </c>
      <c r="L1000">
        <f t="shared" si="92"/>
        <v>149220</v>
      </c>
      <c r="M1000">
        <f>IF(AND(MyRowHidden(ROW())=FALSE,MyRowHidden(ROW()-1)=TRUE),0,IF(MONTH(H1000)&lt;&gt;MONTH(H999),M999+1,M999))</f>
        <v>11</v>
      </c>
      <c r="N1000">
        <f t="shared" si="93"/>
        <v>437220</v>
      </c>
      <c r="O1000">
        <f>IF(AND(MyRowHidden(ROW())=FALSE,MyRowHidden(ROW()-1)=TRUE),0,IF(M1000&lt;totalMonths,(totalMonths-M1000)/totalMonths *(I1000-I999)+O999,0))</f>
        <v>246015.00000000003</v>
      </c>
      <c r="P1000">
        <f>IF(AND(MyRowHidden(ROW())=FALSE,MyRowHidden(ROW()-1)=TRUE),0,IF(M1000&lt;totalMonths,(totalMonths-M1000)/totalMonths *(J1000-J999)+P999,0))</f>
        <v>-65100</v>
      </c>
      <c r="Q1000">
        <f>IF(AND(MyRowHidden(ROW())=FALSE,MyRowHidden(ROW()-1)=TRUE),0,IF(M1000&lt;totalMonths,(totalMonths-M1000)/totalMonths *(K1000-K999)+Q999,0))</f>
        <v>65100</v>
      </c>
      <c r="R1000">
        <f t="shared" si="94"/>
        <v>372120</v>
      </c>
      <c r="S1000">
        <f t="shared" si="95"/>
        <v>180915.00000000003</v>
      </c>
    </row>
    <row r="1001" spans="4:19" x14ac:dyDescent="0.25">
      <c r="D1001" s="1">
        <v>42713</v>
      </c>
      <c r="E1001">
        <v>43617</v>
      </c>
      <c r="F1001" s="1">
        <v>42713</v>
      </c>
      <c r="G1001">
        <v>-5925</v>
      </c>
      <c r="H1001" s="1">
        <f t="shared" si="90"/>
        <v>42713</v>
      </c>
      <c r="I1001">
        <f>IF(AND(MyRowHidden(ROW())=FALSE,MyRowHidden(ROW()-1)=TRUE),0,(E1001-E1000)*unitsOfDHp+I1000)</f>
        <v>428645</v>
      </c>
      <c r="J1001">
        <f>IF(AND(MyRowHidden(ROW())=FALSE,MyRowHidden(ROW()-1)=TRUE),0,(G1001-G1000)*unitsOfExo+J1000)</f>
        <v>-266400</v>
      </c>
      <c r="K1001" s="9">
        <f t="shared" si="91"/>
        <v>266400</v>
      </c>
      <c r="L1001">
        <f t="shared" si="92"/>
        <v>162245</v>
      </c>
      <c r="M1001">
        <f>IF(AND(MyRowHidden(ROW())=FALSE,MyRowHidden(ROW()-1)=TRUE),0,IF(MONTH(H1001)&lt;&gt;MONTH(H1000),M1000+1,M1000))</f>
        <v>11</v>
      </c>
      <c r="N1001">
        <f t="shared" si="93"/>
        <v>428645</v>
      </c>
      <c r="O1001">
        <f>IF(AND(MyRowHidden(ROW())=FALSE,MyRowHidden(ROW()-1)=TRUE),0,IF(M1001&lt;totalMonths,(totalMonths-M1001)/totalMonths *(I1001-I1000)+O1000,0))</f>
        <v>245300.41666666669</v>
      </c>
      <c r="P1001">
        <f>IF(AND(MyRowHidden(ROW())=FALSE,MyRowHidden(ROW()-1)=TRUE),0,IF(M1001&lt;totalMonths,(totalMonths-M1001)/totalMonths *(J1001-J1000)+P1000,0))</f>
        <v>-63300</v>
      </c>
      <c r="Q1001">
        <f>IF(AND(MyRowHidden(ROW())=FALSE,MyRowHidden(ROW()-1)=TRUE),0,IF(M1001&lt;totalMonths,(totalMonths-M1001)/totalMonths *(K1001-K1000)+Q1000,0))</f>
        <v>63300</v>
      </c>
      <c r="R1001">
        <f t="shared" si="94"/>
        <v>365345</v>
      </c>
      <c r="S1001">
        <f t="shared" si="95"/>
        <v>182000.41666666669</v>
      </c>
    </row>
    <row r="1002" spans="4:19" x14ac:dyDescent="0.25">
      <c r="D1002" s="1">
        <v>42716</v>
      </c>
      <c r="E1002">
        <v>43470</v>
      </c>
      <c r="F1002" s="1">
        <v>42716</v>
      </c>
      <c r="G1002">
        <v>-5737.5</v>
      </c>
      <c r="H1002" s="1">
        <f t="shared" si="90"/>
        <v>42716</v>
      </c>
      <c r="I1002">
        <f>IF(AND(MyRowHidden(ROW())=FALSE,MyRowHidden(ROW()-1)=TRUE),0,(E1002-E1001)*unitsOfDHp+I1001)</f>
        <v>423500</v>
      </c>
      <c r="J1002">
        <f>IF(AND(MyRowHidden(ROW())=FALSE,MyRowHidden(ROW()-1)=TRUE),0,(G1002-G1001)*unitsOfExo+J1001)</f>
        <v>-212400</v>
      </c>
      <c r="K1002" s="9">
        <f t="shared" si="91"/>
        <v>212400</v>
      </c>
      <c r="L1002">
        <f t="shared" si="92"/>
        <v>211100</v>
      </c>
      <c r="M1002">
        <f>IF(AND(MyRowHidden(ROW())=FALSE,MyRowHidden(ROW()-1)=TRUE),0,IF(MONTH(H1002)&lt;&gt;MONTH(H1001),M1001+1,M1001))</f>
        <v>11</v>
      </c>
      <c r="N1002">
        <f t="shared" si="93"/>
        <v>423500</v>
      </c>
      <c r="O1002">
        <f>IF(AND(MyRowHidden(ROW())=FALSE,MyRowHidden(ROW()-1)=TRUE),0,IF(M1002&lt;totalMonths,(totalMonths-M1002)/totalMonths *(I1002-I1001)+O1001,0))</f>
        <v>244871.66666666669</v>
      </c>
      <c r="P1002">
        <f>IF(AND(MyRowHidden(ROW())=FALSE,MyRowHidden(ROW()-1)=TRUE),0,IF(M1002&lt;totalMonths,(totalMonths-M1002)/totalMonths *(J1002-J1001)+P1001,0))</f>
        <v>-58800</v>
      </c>
      <c r="Q1002">
        <f>IF(AND(MyRowHidden(ROW())=FALSE,MyRowHidden(ROW()-1)=TRUE),0,IF(M1002&lt;totalMonths,(totalMonths-M1002)/totalMonths *(K1002-K1001)+Q1001,0))</f>
        <v>58800</v>
      </c>
      <c r="R1002">
        <f t="shared" si="94"/>
        <v>364700</v>
      </c>
      <c r="S1002">
        <f t="shared" si="95"/>
        <v>186071.66666666669</v>
      </c>
    </row>
    <row r="1003" spans="4:19" x14ac:dyDescent="0.25">
      <c r="D1003" s="1">
        <v>42717</v>
      </c>
      <c r="E1003">
        <v>43370</v>
      </c>
      <c r="F1003" s="1">
        <v>42717</v>
      </c>
      <c r="G1003">
        <v>-5587.5</v>
      </c>
      <c r="H1003" s="1">
        <f t="shared" si="90"/>
        <v>42717</v>
      </c>
      <c r="I1003">
        <f>IF(AND(MyRowHidden(ROW())=FALSE,MyRowHidden(ROW()-1)=TRUE),0,(E1003-E1002)*unitsOfDHp+I1002)</f>
        <v>420000</v>
      </c>
      <c r="J1003">
        <f>IF(AND(MyRowHidden(ROW())=FALSE,MyRowHidden(ROW()-1)=TRUE),0,(G1003-G1002)*unitsOfExo+J1002)</f>
        <v>-169200</v>
      </c>
      <c r="K1003" s="9">
        <f t="shared" si="91"/>
        <v>169200</v>
      </c>
      <c r="L1003">
        <f t="shared" si="92"/>
        <v>250800</v>
      </c>
      <c r="M1003">
        <f>IF(AND(MyRowHidden(ROW())=FALSE,MyRowHidden(ROW()-1)=TRUE),0,IF(MONTH(H1003)&lt;&gt;MONTH(H1002),M1002+1,M1002))</f>
        <v>11</v>
      </c>
      <c r="N1003">
        <f t="shared" si="93"/>
        <v>420000</v>
      </c>
      <c r="O1003">
        <f>IF(AND(MyRowHidden(ROW())=FALSE,MyRowHidden(ROW()-1)=TRUE),0,IF(M1003&lt;totalMonths,(totalMonths-M1003)/totalMonths *(I1003-I1002)+O1002,0))</f>
        <v>244580.00000000003</v>
      </c>
      <c r="P1003">
        <f>IF(AND(MyRowHidden(ROW())=FALSE,MyRowHidden(ROW()-1)=TRUE),0,IF(M1003&lt;totalMonths,(totalMonths-M1003)/totalMonths *(J1003-J1002)+P1002,0))</f>
        <v>-55200</v>
      </c>
      <c r="Q1003">
        <f>IF(AND(MyRowHidden(ROW())=FALSE,MyRowHidden(ROW()-1)=TRUE),0,IF(M1003&lt;totalMonths,(totalMonths-M1003)/totalMonths *(K1003-K1002)+Q1002,0))</f>
        <v>55200</v>
      </c>
      <c r="R1003">
        <f t="shared" si="94"/>
        <v>364800</v>
      </c>
      <c r="S1003">
        <f t="shared" si="95"/>
        <v>189380.00000000003</v>
      </c>
    </row>
    <row r="1004" spans="4:19" x14ac:dyDescent="0.25">
      <c r="D1004" s="1">
        <v>42718</v>
      </c>
      <c r="E1004">
        <v>43546</v>
      </c>
      <c r="F1004" s="1">
        <v>42718</v>
      </c>
      <c r="G1004">
        <v>-5650</v>
      </c>
      <c r="H1004" s="1">
        <f t="shared" si="90"/>
        <v>42718</v>
      </c>
      <c r="I1004">
        <f>IF(AND(MyRowHidden(ROW())=FALSE,MyRowHidden(ROW()-1)=TRUE),0,(E1004-E1003)*unitsOfDHp+I1003)</f>
        <v>426160</v>
      </c>
      <c r="J1004">
        <f>IF(AND(MyRowHidden(ROW())=FALSE,MyRowHidden(ROW()-1)=TRUE),0,(G1004-G1003)*unitsOfExo+J1003)</f>
        <v>-187200</v>
      </c>
      <c r="K1004" s="9">
        <f t="shared" si="91"/>
        <v>187200</v>
      </c>
      <c r="L1004">
        <f t="shared" si="92"/>
        <v>238960</v>
      </c>
      <c r="M1004">
        <f>IF(AND(MyRowHidden(ROW())=FALSE,MyRowHidden(ROW()-1)=TRUE),0,IF(MONTH(H1004)&lt;&gt;MONTH(H1003),M1003+1,M1003))</f>
        <v>11</v>
      </c>
      <c r="N1004">
        <f t="shared" si="93"/>
        <v>426160</v>
      </c>
      <c r="O1004">
        <f>IF(AND(MyRowHidden(ROW())=FALSE,MyRowHidden(ROW()-1)=TRUE),0,IF(M1004&lt;totalMonths,(totalMonths-M1004)/totalMonths *(I1004-I1003)+O1003,0))</f>
        <v>245093.33333333337</v>
      </c>
      <c r="P1004">
        <f>IF(AND(MyRowHidden(ROW())=FALSE,MyRowHidden(ROW()-1)=TRUE),0,IF(M1004&lt;totalMonths,(totalMonths-M1004)/totalMonths *(J1004-J1003)+P1003,0))</f>
        <v>-56700</v>
      </c>
      <c r="Q1004">
        <f>IF(AND(MyRowHidden(ROW())=FALSE,MyRowHidden(ROW()-1)=TRUE),0,IF(M1004&lt;totalMonths,(totalMonths-M1004)/totalMonths *(K1004-K1003)+Q1003,0))</f>
        <v>56700</v>
      </c>
      <c r="R1004">
        <f t="shared" si="94"/>
        <v>369460</v>
      </c>
      <c r="S1004">
        <f t="shared" si="95"/>
        <v>188393.33333333337</v>
      </c>
    </row>
    <row r="1005" spans="4:19" x14ac:dyDescent="0.25">
      <c r="D1005" s="1">
        <v>42719</v>
      </c>
      <c r="E1005">
        <v>44222</v>
      </c>
      <c r="F1005" s="1">
        <v>42719</v>
      </c>
      <c r="G1005">
        <v>-5837.5</v>
      </c>
      <c r="H1005" s="1">
        <f t="shared" si="90"/>
        <v>42719</v>
      </c>
      <c r="I1005">
        <f>IF(AND(MyRowHidden(ROW())=FALSE,MyRowHidden(ROW()-1)=TRUE),0,(E1005-E1004)*unitsOfDHp+I1004)</f>
        <v>449820</v>
      </c>
      <c r="J1005">
        <f>IF(AND(MyRowHidden(ROW())=FALSE,MyRowHidden(ROW()-1)=TRUE),0,(G1005-G1004)*unitsOfExo+J1004)</f>
        <v>-241200</v>
      </c>
      <c r="K1005" s="9">
        <f t="shared" si="91"/>
        <v>241200</v>
      </c>
      <c r="L1005">
        <f t="shared" si="92"/>
        <v>208620</v>
      </c>
      <c r="M1005">
        <f>IF(AND(MyRowHidden(ROW())=FALSE,MyRowHidden(ROW()-1)=TRUE),0,IF(MONTH(H1005)&lt;&gt;MONTH(H1004),M1004+1,M1004))</f>
        <v>11</v>
      </c>
      <c r="N1005">
        <f t="shared" si="93"/>
        <v>449820</v>
      </c>
      <c r="O1005">
        <f>IF(AND(MyRowHidden(ROW())=FALSE,MyRowHidden(ROW()-1)=TRUE),0,IF(M1005&lt;totalMonths,(totalMonths-M1005)/totalMonths *(I1005-I1004)+O1004,0))</f>
        <v>247065.00000000003</v>
      </c>
      <c r="P1005">
        <f>IF(AND(MyRowHidden(ROW())=FALSE,MyRowHidden(ROW()-1)=TRUE),0,IF(M1005&lt;totalMonths,(totalMonths-M1005)/totalMonths *(J1005-J1004)+P1004,0))</f>
        <v>-61200</v>
      </c>
      <c r="Q1005">
        <f>IF(AND(MyRowHidden(ROW())=FALSE,MyRowHidden(ROW()-1)=TRUE),0,IF(M1005&lt;totalMonths,(totalMonths-M1005)/totalMonths *(K1005-K1004)+Q1004,0))</f>
        <v>61200</v>
      </c>
      <c r="R1005">
        <f t="shared" si="94"/>
        <v>388620</v>
      </c>
      <c r="S1005">
        <f t="shared" si="95"/>
        <v>185865.00000000003</v>
      </c>
    </row>
    <row r="1006" spans="4:19" x14ac:dyDescent="0.25">
      <c r="D1006" s="1">
        <v>42720</v>
      </c>
      <c r="E1006">
        <v>44491</v>
      </c>
      <c r="F1006" s="1">
        <v>42720</v>
      </c>
      <c r="G1006">
        <v>-5900</v>
      </c>
      <c r="H1006" s="1">
        <f t="shared" si="90"/>
        <v>42720</v>
      </c>
      <c r="I1006">
        <f>IF(AND(MyRowHidden(ROW())=FALSE,MyRowHidden(ROW()-1)=TRUE),0,(E1006-E1005)*unitsOfDHp+I1005)</f>
        <v>459235</v>
      </c>
      <c r="J1006">
        <f>IF(AND(MyRowHidden(ROW())=FALSE,MyRowHidden(ROW()-1)=TRUE),0,(G1006-G1005)*unitsOfExo+J1005)</f>
        <v>-259200</v>
      </c>
      <c r="K1006" s="9">
        <f t="shared" si="91"/>
        <v>259200</v>
      </c>
      <c r="L1006">
        <f t="shared" si="92"/>
        <v>200035</v>
      </c>
      <c r="M1006">
        <f>IF(AND(MyRowHidden(ROW())=FALSE,MyRowHidden(ROW()-1)=TRUE),0,IF(MONTH(H1006)&lt;&gt;MONTH(H1005),M1005+1,M1005))</f>
        <v>11</v>
      </c>
      <c r="N1006">
        <f t="shared" si="93"/>
        <v>459235</v>
      </c>
      <c r="O1006">
        <f>IF(AND(MyRowHidden(ROW())=FALSE,MyRowHidden(ROW()-1)=TRUE),0,IF(M1006&lt;totalMonths,(totalMonths-M1006)/totalMonths *(I1006-I1005)+O1005,0))</f>
        <v>247849.58333333337</v>
      </c>
      <c r="P1006">
        <f>IF(AND(MyRowHidden(ROW())=FALSE,MyRowHidden(ROW()-1)=TRUE),0,IF(M1006&lt;totalMonths,(totalMonths-M1006)/totalMonths *(J1006-J1005)+P1005,0))</f>
        <v>-62700</v>
      </c>
      <c r="Q1006">
        <f>IF(AND(MyRowHidden(ROW())=FALSE,MyRowHidden(ROW()-1)=TRUE),0,IF(M1006&lt;totalMonths,(totalMonths-M1006)/totalMonths *(K1006-K1005)+Q1005,0))</f>
        <v>62700</v>
      </c>
      <c r="R1006">
        <f t="shared" si="94"/>
        <v>396535</v>
      </c>
      <c r="S1006">
        <f t="shared" si="95"/>
        <v>185149.58333333337</v>
      </c>
    </row>
    <row r="1007" spans="4:19" x14ac:dyDescent="0.25">
      <c r="D1007" s="1">
        <v>42723</v>
      </c>
      <c r="E1007">
        <v>44342</v>
      </c>
      <c r="F1007" s="1">
        <v>42723</v>
      </c>
      <c r="G1007">
        <v>-5812.5</v>
      </c>
      <c r="H1007" s="1">
        <f t="shared" si="90"/>
        <v>42723</v>
      </c>
      <c r="I1007">
        <f>IF(AND(MyRowHidden(ROW())=FALSE,MyRowHidden(ROW()-1)=TRUE),0,(E1007-E1006)*unitsOfDHp+I1006)</f>
        <v>454020</v>
      </c>
      <c r="J1007">
        <f>IF(AND(MyRowHidden(ROW())=FALSE,MyRowHidden(ROW()-1)=TRUE),0,(G1007-G1006)*unitsOfExo+J1006)</f>
        <v>-234000</v>
      </c>
      <c r="K1007" s="9">
        <f t="shared" si="91"/>
        <v>234000</v>
      </c>
      <c r="L1007">
        <f t="shared" si="92"/>
        <v>220020</v>
      </c>
      <c r="M1007">
        <f>IF(AND(MyRowHidden(ROW())=FALSE,MyRowHidden(ROW()-1)=TRUE),0,IF(MONTH(H1007)&lt;&gt;MONTH(H1006),M1006+1,M1006))</f>
        <v>11</v>
      </c>
      <c r="N1007">
        <f t="shared" si="93"/>
        <v>454020</v>
      </c>
      <c r="O1007">
        <f>IF(AND(MyRowHidden(ROW())=FALSE,MyRowHidden(ROW()-1)=TRUE),0,IF(M1007&lt;totalMonths,(totalMonths-M1007)/totalMonths *(I1007-I1006)+O1006,0))</f>
        <v>247415.00000000003</v>
      </c>
      <c r="P1007">
        <f>IF(AND(MyRowHidden(ROW())=FALSE,MyRowHidden(ROW()-1)=TRUE),0,IF(M1007&lt;totalMonths,(totalMonths-M1007)/totalMonths *(J1007-J1006)+P1006,0))</f>
        <v>-60600</v>
      </c>
      <c r="Q1007">
        <f>IF(AND(MyRowHidden(ROW())=FALSE,MyRowHidden(ROW()-1)=TRUE),0,IF(M1007&lt;totalMonths,(totalMonths-M1007)/totalMonths *(K1007-K1006)+Q1006,0))</f>
        <v>60600</v>
      </c>
      <c r="R1007">
        <f t="shared" si="94"/>
        <v>393420</v>
      </c>
      <c r="S1007">
        <f t="shared" si="95"/>
        <v>186815.00000000003</v>
      </c>
    </row>
    <row r="1008" spans="4:19" x14ac:dyDescent="0.25">
      <c r="D1008" s="1">
        <v>42724</v>
      </c>
      <c r="E1008">
        <v>44819</v>
      </c>
      <c r="F1008" s="1">
        <v>42724</v>
      </c>
      <c r="G1008">
        <v>-5987.5</v>
      </c>
      <c r="H1008" s="1">
        <f t="shared" si="90"/>
        <v>42724</v>
      </c>
      <c r="I1008">
        <f>IF(AND(MyRowHidden(ROW())=FALSE,MyRowHidden(ROW()-1)=TRUE),0,(E1008-E1007)*unitsOfDHp+I1007)</f>
        <v>470715</v>
      </c>
      <c r="J1008">
        <f>IF(AND(MyRowHidden(ROW())=FALSE,MyRowHidden(ROW()-1)=TRUE),0,(G1008-G1007)*unitsOfExo+J1007)</f>
        <v>-284400</v>
      </c>
      <c r="K1008" s="9">
        <f t="shared" si="91"/>
        <v>284400</v>
      </c>
      <c r="L1008">
        <f t="shared" si="92"/>
        <v>186315</v>
      </c>
      <c r="M1008">
        <f>IF(AND(MyRowHidden(ROW())=FALSE,MyRowHidden(ROW()-1)=TRUE),0,IF(MONTH(H1008)&lt;&gt;MONTH(H1007),M1007+1,M1007))</f>
        <v>11</v>
      </c>
      <c r="N1008">
        <f t="shared" si="93"/>
        <v>470715</v>
      </c>
      <c r="O1008">
        <f>IF(AND(MyRowHidden(ROW())=FALSE,MyRowHidden(ROW()-1)=TRUE),0,IF(M1008&lt;totalMonths,(totalMonths-M1008)/totalMonths *(I1008-I1007)+O1007,0))</f>
        <v>248806.25000000003</v>
      </c>
      <c r="P1008">
        <f>IF(AND(MyRowHidden(ROW())=FALSE,MyRowHidden(ROW()-1)=TRUE),0,IF(M1008&lt;totalMonths,(totalMonths-M1008)/totalMonths *(J1008-J1007)+P1007,0))</f>
        <v>-64800</v>
      </c>
      <c r="Q1008">
        <f>IF(AND(MyRowHidden(ROW())=FALSE,MyRowHidden(ROW()-1)=TRUE),0,IF(M1008&lt;totalMonths,(totalMonths-M1008)/totalMonths *(K1008-K1007)+Q1007,0))</f>
        <v>64800</v>
      </c>
      <c r="R1008">
        <f t="shared" si="94"/>
        <v>405915</v>
      </c>
      <c r="S1008">
        <f t="shared" si="95"/>
        <v>184006.25000000003</v>
      </c>
    </row>
    <row r="1009" spans="4:19" x14ac:dyDescent="0.25">
      <c r="D1009" s="1">
        <v>42725</v>
      </c>
      <c r="E1009">
        <v>45566</v>
      </c>
      <c r="F1009" s="1">
        <v>42725</v>
      </c>
      <c r="G1009">
        <v>-6300</v>
      </c>
      <c r="H1009" s="1">
        <f t="shared" si="90"/>
        <v>42725</v>
      </c>
      <c r="I1009">
        <f>IF(AND(MyRowHidden(ROW())=FALSE,MyRowHidden(ROW()-1)=TRUE),0,(E1009-E1008)*unitsOfDHp+I1008)</f>
        <v>496860</v>
      </c>
      <c r="J1009">
        <f>IF(AND(MyRowHidden(ROW())=FALSE,MyRowHidden(ROW()-1)=TRUE),0,(G1009-G1008)*unitsOfExo+J1008)</f>
        <v>-374400</v>
      </c>
      <c r="K1009" s="9">
        <f t="shared" si="91"/>
        <v>374400</v>
      </c>
      <c r="L1009">
        <f t="shared" si="92"/>
        <v>122460</v>
      </c>
      <c r="M1009">
        <f>IF(AND(MyRowHidden(ROW())=FALSE,MyRowHidden(ROW()-1)=TRUE),0,IF(MONTH(H1009)&lt;&gt;MONTH(H1008),M1008+1,M1008))</f>
        <v>11</v>
      </c>
      <c r="N1009">
        <f t="shared" si="93"/>
        <v>496860</v>
      </c>
      <c r="O1009">
        <f>IF(AND(MyRowHidden(ROW())=FALSE,MyRowHidden(ROW()-1)=TRUE),0,IF(M1009&lt;totalMonths,(totalMonths-M1009)/totalMonths *(I1009-I1008)+O1008,0))</f>
        <v>250985.00000000003</v>
      </c>
      <c r="P1009">
        <f>IF(AND(MyRowHidden(ROW())=FALSE,MyRowHidden(ROW()-1)=TRUE),0,IF(M1009&lt;totalMonths,(totalMonths-M1009)/totalMonths *(J1009-J1008)+P1008,0))</f>
        <v>-72300</v>
      </c>
      <c r="Q1009">
        <f>IF(AND(MyRowHidden(ROW())=FALSE,MyRowHidden(ROW()-1)=TRUE),0,IF(M1009&lt;totalMonths,(totalMonths-M1009)/totalMonths *(K1009-K1008)+Q1008,0))</f>
        <v>72300</v>
      </c>
      <c r="R1009">
        <f t="shared" si="94"/>
        <v>424560</v>
      </c>
      <c r="S1009">
        <f t="shared" si="95"/>
        <v>178685.00000000003</v>
      </c>
    </row>
    <row r="1010" spans="4:19" x14ac:dyDescent="0.25">
      <c r="D1010" s="1">
        <v>42726</v>
      </c>
      <c r="E1010">
        <v>45604</v>
      </c>
      <c r="F1010" s="1">
        <v>42726</v>
      </c>
      <c r="G1010">
        <v>-6350</v>
      </c>
      <c r="H1010" s="1">
        <f t="shared" si="90"/>
        <v>42726</v>
      </c>
      <c r="I1010">
        <f>IF(AND(MyRowHidden(ROW())=FALSE,MyRowHidden(ROW()-1)=TRUE),0,(E1010-E1009)*unitsOfDHp+I1009)</f>
        <v>498190</v>
      </c>
      <c r="J1010">
        <f>IF(AND(MyRowHidden(ROW())=FALSE,MyRowHidden(ROW()-1)=TRUE),0,(G1010-G1009)*unitsOfExo+J1009)</f>
        <v>-388800</v>
      </c>
      <c r="K1010" s="9">
        <f t="shared" si="91"/>
        <v>388800</v>
      </c>
      <c r="L1010">
        <f t="shared" si="92"/>
        <v>109390</v>
      </c>
      <c r="M1010">
        <f>IF(AND(MyRowHidden(ROW())=FALSE,MyRowHidden(ROW()-1)=TRUE),0,IF(MONTH(H1010)&lt;&gt;MONTH(H1009),M1009+1,M1009))</f>
        <v>11</v>
      </c>
      <c r="N1010">
        <f t="shared" si="93"/>
        <v>498190</v>
      </c>
      <c r="O1010">
        <f>IF(AND(MyRowHidden(ROW())=FALSE,MyRowHidden(ROW()-1)=TRUE),0,IF(M1010&lt;totalMonths,(totalMonths-M1010)/totalMonths *(I1010-I1009)+O1009,0))</f>
        <v>251095.83333333337</v>
      </c>
      <c r="P1010">
        <f>IF(AND(MyRowHidden(ROW())=FALSE,MyRowHidden(ROW()-1)=TRUE),0,IF(M1010&lt;totalMonths,(totalMonths-M1010)/totalMonths *(J1010-J1009)+P1009,0))</f>
        <v>-73500</v>
      </c>
      <c r="Q1010">
        <f>IF(AND(MyRowHidden(ROW())=FALSE,MyRowHidden(ROW()-1)=TRUE),0,IF(M1010&lt;totalMonths,(totalMonths-M1010)/totalMonths *(K1010-K1009)+Q1009,0))</f>
        <v>73500</v>
      </c>
      <c r="R1010">
        <f t="shared" si="94"/>
        <v>424690</v>
      </c>
      <c r="S1010">
        <f t="shared" si="95"/>
        <v>177595.83333333337</v>
      </c>
    </row>
    <row r="1011" spans="4:19" x14ac:dyDescent="0.25">
      <c r="D1011" s="1">
        <v>42727</v>
      </c>
      <c r="E1011">
        <v>45581</v>
      </c>
      <c r="F1011" s="1">
        <v>42727</v>
      </c>
      <c r="G1011">
        <v>-6325</v>
      </c>
      <c r="H1011" s="1">
        <f t="shared" si="90"/>
        <v>42727</v>
      </c>
      <c r="I1011">
        <f>IF(AND(MyRowHidden(ROW())=FALSE,MyRowHidden(ROW()-1)=TRUE),0,(E1011-E1010)*unitsOfDHp+I1010)</f>
        <v>497385</v>
      </c>
      <c r="J1011">
        <f>IF(AND(MyRowHidden(ROW())=FALSE,MyRowHidden(ROW()-1)=TRUE),0,(G1011-G1010)*unitsOfExo+J1010)</f>
        <v>-381600</v>
      </c>
      <c r="K1011" s="9">
        <f t="shared" si="91"/>
        <v>381600</v>
      </c>
      <c r="L1011">
        <f t="shared" si="92"/>
        <v>115785</v>
      </c>
      <c r="M1011">
        <f>IF(AND(MyRowHidden(ROW())=FALSE,MyRowHidden(ROW()-1)=TRUE),0,IF(MONTH(H1011)&lt;&gt;MONTH(H1010),M1010+1,M1010))</f>
        <v>11</v>
      </c>
      <c r="N1011">
        <f t="shared" si="93"/>
        <v>497385</v>
      </c>
      <c r="O1011">
        <f>IF(AND(MyRowHidden(ROW())=FALSE,MyRowHidden(ROW()-1)=TRUE),0,IF(M1011&lt;totalMonths,(totalMonths-M1011)/totalMonths *(I1011-I1010)+O1010,0))</f>
        <v>251028.75000000003</v>
      </c>
      <c r="P1011">
        <f>IF(AND(MyRowHidden(ROW())=FALSE,MyRowHidden(ROW()-1)=TRUE),0,IF(M1011&lt;totalMonths,(totalMonths-M1011)/totalMonths *(J1011-J1010)+P1010,0))</f>
        <v>-72900</v>
      </c>
      <c r="Q1011">
        <f>IF(AND(MyRowHidden(ROW())=FALSE,MyRowHidden(ROW()-1)=TRUE),0,IF(M1011&lt;totalMonths,(totalMonths-M1011)/totalMonths *(K1011-K1010)+Q1010,0))</f>
        <v>72900</v>
      </c>
      <c r="R1011">
        <f t="shared" si="94"/>
        <v>424485</v>
      </c>
      <c r="S1011">
        <f t="shared" si="95"/>
        <v>178128.75000000003</v>
      </c>
    </row>
    <row r="1012" spans="4:19" x14ac:dyDescent="0.25">
      <c r="D1012" s="1">
        <v>42731</v>
      </c>
      <c r="E1012">
        <v>45541</v>
      </c>
      <c r="F1012" s="1">
        <v>42731</v>
      </c>
      <c r="G1012">
        <v>-5962.5</v>
      </c>
      <c r="H1012" s="1">
        <f t="shared" si="90"/>
        <v>42731</v>
      </c>
      <c r="I1012">
        <f>IF(AND(MyRowHidden(ROW())=FALSE,MyRowHidden(ROW()-1)=TRUE),0,(E1012-E1011)*unitsOfDHp+I1011)</f>
        <v>495985</v>
      </c>
      <c r="J1012">
        <f>IF(AND(MyRowHidden(ROW())=FALSE,MyRowHidden(ROW()-1)=TRUE),0,(G1012-G1011)*unitsOfExo+J1011)</f>
        <v>-277200</v>
      </c>
      <c r="K1012" s="9">
        <f t="shared" si="91"/>
        <v>277200</v>
      </c>
      <c r="L1012">
        <f t="shared" si="92"/>
        <v>218785</v>
      </c>
      <c r="M1012">
        <f>IF(AND(MyRowHidden(ROW())=FALSE,MyRowHidden(ROW()-1)=TRUE),0,IF(MONTH(H1012)&lt;&gt;MONTH(H1011),M1011+1,M1011))</f>
        <v>11</v>
      </c>
      <c r="N1012">
        <f t="shared" si="93"/>
        <v>495985</v>
      </c>
      <c r="O1012">
        <f>IF(AND(MyRowHidden(ROW())=FALSE,MyRowHidden(ROW()-1)=TRUE),0,IF(M1012&lt;totalMonths,(totalMonths-M1012)/totalMonths *(I1012-I1011)+O1011,0))</f>
        <v>250912.08333333337</v>
      </c>
      <c r="P1012">
        <f>IF(AND(MyRowHidden(ROW())=FALSE,MyRowHidden(ROW()-1)=TRUE),0,IF(M1012&lt;totalMonths,(totalMonths-M1012)/totalMonths *(J1012-J1011)+P1011,0))</f>
        <v>-64200</v>
      </c>
      <c r="Q1012">
        <f>IF(AND(MyRowHidden(ROW())=FALSE,MyRowHidden(ROW()-1)=TRUE),0,IF(M1012&lt;totalMonths,(totalMonths-M1012)/totalMonths *(K1012-K1011)+Q1011,0))</f>
        <v>64200</v>
      </c>
      <c r="R1012">
        <f t="shared" si="94"/>
        <v>431785</v>
      </c>
      <c r="S1012">
        <f t="shared" si="95"/>
        <v>186712.08333333337</v>
      </c>
    </row>
    <row r="1013" spans="4:19" x14ac:dyDescent="0.25">
      <c r="D1013" s="1">
        <v>42732</v>
      </c>
      <c r="E1013">
        <v>45656</v>
      </c>
      <c r="F1013" s="1">
        <v>42732</v>
      </c>
      <c r="G1013">
        <v>-6287.5</v>
      </c>
      <c r="H1013" s="1">
        <f t="shared" si="90"/>
        <v>42732</v>
      </c>
      <c r="I1013">
        <f>IF(AND(MyRowHidden(ROW())=FALSE,MyRowHidden(ROW()-1)=TRUE),0,(E1013-E1012)*unitsOfDHp+I1012)</f>
        <v>500010</v>
      </c>
      <c r="J1013">
        <f>IF(AND(MyRowHidden(ROW())=FALSE,MyRowHidden(ROW()-1)=TRUE),0,(G1013-G1012)*unitsOfExo+J1012)</f>
        <v>-370800</v>
      </c>
      <c r="K1013" s="9">
        <f t="shared" si="91"/>
        <v>370800</v>
      </c>
      <c r="L1013">
        <f t="shared" si="92"/>
        <v>129210</v>
      </c>
      <c r="M1013">
        <f>IF(AND(MyRowHidden(ROW())=FALSE,MyRowHidden(ROW()-1)=TRUE),0,IF(MONTH(H1013)&lt;&gt;MONTH(H1012),M1012+1,M1012))</f>
        <v>11</v>
      </c>
      <c r="N1013">
        <f t="shared" si="93"/>
        <v>500010</v>
      </c>
      <c r="O1013">
        <f>IF(AND(MyRowHidden(ROW())=FALSE,MyRowHidden(ROW()-1)=TRUE),0,IF(M1013&lt;totalMonths,(totalMonths-M1013)/totalMonths *(I1013-I1012)+O1012,0))</f>
        <v>251247.50000000003</v>
      </c>
      <c r="P1013">
        <f>IF(AND(MyRowHidden(ROW())=FALSE,MyRowHidden(ROW()-1)=TRUE),0,IF(M1013&lt;totalMonths,(totalMonths-M1013)/totalMonths *(J1013-J1012)+P1012,0))</f>
        <v>-72000</v>
      </c>
      <c r="Q1013">
        <f>IF(AND(MyRowHidden(ROW())=FALSE,MyRowHidden(ROW()-1)=TRUE),0,IF(M1013&lt;totalMonths,(totalMonths-M1013)/totalMonths *(K1013-K1012)+Q1012,0))</f>
        <v>72000</v>
      </c>
      <c r="R1013">
        <f t="shared" si="94"/>
        <v>428010</v>
      </c>
      <c r="S1013">
        <f t="shared" si="95"/>
        <v>179247.50000000003</v>
      </c>
    </row>
    <row r="1014" spans="4:19" x14ac:dyDescent="0.25">
      <c r="D1014" s="1">
        <v>42733</v>
      </c>
      <c r="E1014">
        <v>45570</v>
      </c>
      <c r="F1014" s="1">
        <v>42733</v>
      </c>
      <c r="G1014">
        <v>-6187.5</v>
      </c>
      <c r="H1014" s="1">
        <f t="shared" si="90"/>
        <v>42733</v>
      </c>
      <c r="I1014">
        <f>IF(AND(MyRowHidden(ROW())=FALSE,MyRowHidden(ROW()-1)=TRUE),0,(E1014-E1013)*unitsOfDHp+I1013)</f>
        <v>497000</v>
      </c>
      <c r="J1014">
        <f>IF(AND(MyRowHidden(ROW())=FALSE,MyRowHidden(ROW()-1)=TRUE),0,(G1014-G1013)*unitsOfExo+J1013)</f>
        <v>-342000</v>
      </c>
      <c r="K1014" s="9">
        <f t="shared" si="91"/>
        <v>342000</v>
      </c>
      <c r="L1014">
        <f t="shared" si="92"/>
        <v>155000</v>
      </c>
      <c r="M1014">
        <f>IF(AND(MyRowHidden(ROW())=FALSE,MyRowHidden(ROW()-1)=TRUE),0,IF(MONTH(H1014)&lt;&gt;MONTH(H1013),M1013+1,M1013))</f>
        <v>11</v>
      </c>
      <c r="N1014">
        <f t="shared" si="93"/>
        <v>497000</v>
      </c>
      <c r="O1014">
        <f>IF(AND(MyRowHidden(ROW())=FALSE,MyRowHidden(ROW()-1)=TRUE),0,IF(M1014&lt;totalMonths,(totalMonths-M1014)/totalMonths *(I1014-I1013)+O1013,0))</f>
        <v>250996.66666666669</v>
      </c>
      <c r="P1014">
        <f>IF(AND(MyRowHidden(ROW())=FALSE,MyRowHidden(ROW()-1)=TRUE),0,IF(M1014&lt;totalMonths,(totalMonths-M1014)/totalMonths *(J1014-J1013)+P1013,0))</f>
        <v>-69600</v>
      </c>
      <c r="Q1014">
        <f>IF(AND(MyRowHidden(ROW())=FALSE,MyRowHidden(ROW()-1)=TRUE),0,IF(M1014&lt;totalMonths,(totalMonths-M1014)/totalMonths *(K1014-K1013)+Q1013,0))</f>
        <v>69600</v>
      </c>
      <c r="R1014">
        <f t="shared" si="94"/>
        <v>427400</v>
      </c>
      <c r="S1014">
        <f t="shared" si="95"/>
        <v>181396.66666666669</v>
      </c>
    </row>
    <row r="1015" spans="4:19" x14ac:dyDescent="0.25">
      <c r="D1015" s="1">
        <v>42734</v>
      </c>
      <c r="E1015">
        <v>45598</v>
      </c>
      <c r="F1015" s="1">
        <v>42734</v>
      </c>
      <c r="G1015">
        <v>-6125</v>
      </c>
      <c r="H1015" s="1">
        <f t="shared" si="90"/>
        <v>42734</v>
      </c>
      <c r="I1015">
        <f>IF(AND(MyRowHidden(ROW())=FALSE,MyRowHidden(ROW()-1)=TRUE),0,(E1015-E1014)*unitsOfDHp+I1014)</f>
        <v>497980</v>
      </c>
      <c r="J1015">
        <f>IF(AND(MyRowHidden(ROW())=FALSE,MyRowHidden(ROW()-1)=TRUE),0,(G1015-G1014)*unitsOfExo+J1014)</f>
        <v>-324000</v>
      </c>
      <c r="K1015" s="9">
        <f t="shared" si="91"/>
        <v>324000</v>
      </c>
      <c r="L1015">
        <f t="shared" si="92"/>
        <v>173980</v>
      </c>
      <c r="M1015">
        <f>IF(AND(MyRowHidden(ROW())=FALSE,MyRowHidden(ROW()-1)=TRUE),0,IF(MONTH(H1015)&lt;&gt;MONTH(H1014),M1014+1,M1014))</f>
        <v>11</v>
      </c>
      <c r="N1015">
        <f t="shared" si="93"/>
        <v>497980</v>
      </c>
      <c r="O1015">
        <f>IF(AND(MyRowHidden(ROW())=FALSE,MyRowHidden(ROW()-1)=TRUE),0,IF(M1015&lt;totalMonths,(totalMonths-M1015)/totalMonths *(I1015-I1014)+O1014,0))</f>
        <v>251078.33333333334</v>
      </c>
      <c r="P1015">
        <f>IF(AND(MyRowHidden(ROW())=FALSE,MyRowHidden(ROW()-1)=TRUE),0,IF(M1015&lt;totalMonths,(totalMonths-M1015)/totalMonths *(J1015-J1014)+P1014,0))</f>
        <v>-68100</v>
      </c>
      <c r="Q1015">
        <f>IF(AND(MyRowHidden(ROW())=FALSE,MyRowHidden(ROW()-1)=TRUE),0,IF(M1015&lt;totalMonths,(totalMonths-M1015)/totalMonths *(K1015-K1014)+Q1014,0))</f>
        <v>68100</v>
      </c>
      <c r="R1015">
        <f t="shared" si="94"/>
        <v>429880</v>
      </c>
      <c r="S1015">
        <f t="shared" si="95"/>
        <v>182978.33333333334</v>
      </c>
    </row>
    <row r="1016" spans="4:19" hidden="1" x14ac:dyDescent="0.25">
      <c r="D1016" s="1">
        <v>42738</v>
      </c>
      <c r="E1016">
        <v>45692</v>
      </c>
      <c r="F1016" s="1">
        <v>42738</v>
      </c>
      <c r="G1016">
        <v>-5887.5</v>
      </c>
      <c r="H1016" s="1">
        <f t="shared" si="90"/>
        <v>42738</v>
      </c>
      <c r="I1016">
        <f>IF(AND(MyRowHidden(ROW())=FALSE,MyRowHidden(ROW()-1)=TRUE),0,(E1016-E1015)*unitsOfDHp+I1015)</f>
        <v>501270</v>
      </c>
      <c r="J1016">
        <f>IF(AND(MyRowHidden(ROW())=FALSE,MyRowHidden(ROW()-1)=TRUE),0,(G1016-G1015)*unitsOfExo+J1015)</f>
        <v>-255600</v>
      </c>
      <c r="K1016" s="9">
        <f t="shared" si="91"/>
        <v>255600</v>
      </c>
      <c r="L1016">
        <f t="shared" si="92"/>
        <v>245670</v>
      </c>
      <c r="M1016">
        <f>IF(AND(MyRowHidden(ROW())=FALSE,MyRowHidden(ROW()-1)=TRUE),0,IF(MONTH(H1016)&lt;&gt;MONTH(H1015),M1015+1,M1015))</f>
        <v>12</v>
      </c>
      <c r="N1016">
        <f t="shared" si="93"/>
        <v>501270</v>
      </c>
      <c r="O1016">
        <f>IF(AND(MyRowHidden(ROW())=FALSE,MyRowHidden(ROW()-1)=TRUE),0,IF(M1016&lt;totalMonths,(totalMonths-M1016)/totalMonths *(I1016-I1015)+O1015,0))</f>
        <v>0</v>
      </c>
      <c r="P1016">
        <f>IF(AND(MyRowHidden(ROW())=FALSE,MyRowHidden(ROW()-1)=TRUE),0,IF(M1016&lt;totalMonths,(totalMonths-M1016)/totalMonths *(J1016-J1015)+P1015,0))</f>
        <v>0</v>
      </c>
      <c r="Q1016">
        <f>IF(AND(MyRowHidden(ROW())=FALSE,MyRowHidden(ROW()-1)=TRUE),0,IF(M1016&lt;totalMonths,(totalMonths-M1016)/totalMonths *(K1016-K1015)+Q1015,0))</f>
        <v>0</v>
      </c>
      <c r="R1016">
        <f t="shared" si="94"/>
        <v>501270</v>
      </c>
      <c r="S1016">
        <f t="shared" si="95"/>
        <v>0</v>
      </c>
    </row>
    <row r="1017" spans="4:19" hidden="1" x14ac:dyDescent="0.25">
      <c r="D1017" s="1">
        <v>42739</v>
      </c>
      <c r="E1017">
        <v>45301</v>
      </c>
      <c r="F1017" s="1">
        <v>42739</v>
      </c>
      <c r="G1017">
        <v>-5700</v>
      </c>
      <c r="H1017" s="1">
        <f t="shared" si="90"/>
        <v>42739</v>
      </c>
      <c r="I1017">
        <f>IF(AND(MyRowHidden(ROW())=FALSE,MyRowHidden(ROW()-1)=TRUE),0,(E1017-E1016)*unitsOfDHp+I1016)</f>
        <v>487585</v>
      </c>
      <c r="J1017">
        <f>IF(AND(MyRowHidden(ROW())=FALSE,MyRowHidden(ROW()-1)=TRUE),0,(G1017-G1016)*unitsOfExo+J1016)</f>
        <v>-201600</v>
      </c>
      <c r="K1017" s="9">
        <f t="shared" si="91"/>
        <v>201600</v>
      </c>
      <c r="L1017">
        <f t="shared" si="92"/>
        <v>285985</v>
      </c>
      <c r="M1017">
        <f>IF(AND(MyRowHidden(ROW())=FALSE,MyRowHidden(ROW()-1)=TRUE),0,IF(MONTH(H1017)&lt;&gt;MONTH(H1016),M1016+1,M1016))</f>
        <v>12</v>
      </c>
      <c r="N1017">
        <f t="shared" si="93"/>
        <v>487585</v>
      </c>
      <c r="O1017">
        <f>IF(AND(MyRowHidden(ROW())=FALSE,MyRowHidden(ROW()-1)=TRUE),0,IF(M1017&lt;totalMonths,(totalMonths-M1017)/totalMonths *(I1017-I1016)+O1016,0))</f>
        <v>0</v>
      </c>
      <c r="P1017">
        <f>IF(AND(MyRowHidden(ROW())=FALSE,MyRowHidden(ROW()-1)=TRUE),0,IF(M1017&lt;totalMonths,(totalMonths-M1017)/totalMonths *(J1017-J1016)+P1016,0))</f>
        <v>0</v>
      </c>
      <c r="Q1017">
        <f>IF(AND(MyRowHidden(ROW())=FALSE,MyRowHidden(ROW()-1)=TRUE),0,IF(M1017&lt;totalMonths,(totalMonths-M1017)/totalMonths *(K1017-K1016)+Q1016,0))</f>
        <v>0</v>
      </c>
      <c r="R1017">
        <f t="shared" si="94"/>
        <v>487585</v>
      </c>
      <c r="S1017">
        <f t="shared" si="95"/>
        <v>0</v>
      </c>
    </row>
    <row r="1018" spans="4:19" hidden="1" x14ac:dyDescent="0.25">
      <c r="D1018" s="1">
        <v>42740</v>
      </c>
      <c r="E1018">
        <v>45129</v>
      </c>
      <c r="F1018" s="1">
        <v>42740</v>
      </c>
      <c r="G1018">
        <v>-5587.5</v>
      </c>
      <c r="H1018" s="1">
        <f t="shared" si="90"/>
        <v>42740</v>
      </c>
      <c r="I1018">
        <f>IF(AND(MyRowHidden(ROW())=FALSE,MyRowHidden(ROW()-1)=TRUE),0,(E1018-E1017)*unitsOfDHp+I1017)</f>
        <v>481565</v>
      </c>
      <c r="J1018">
        <f>IF(AND(MyRowHidden(ROW())=FALSE,MyRowHidden(ROW()-1)=TRUE),0,(G1018-G1017)*unitsOfExo+J1017)</f>
        <v>-169200</v>
      </c>
      <c r="K1018" s="9">
        <f t="shared" si="91"/>
        <v>169200</v>
      </c>
      <c r="L1018">
        <f t="shared" si="92"/>
        <v>312365</v>
      </c>
      <c r="M1018">
        <f>IF(AND(MyRowHidden(ROW())=FALSE,MyRowHidden(ROW()-1)=TRUE),0,IF(MONTH(H1018)&lt;&gt;MONTH(H1017),M1017+1,M1017))</f>
        <v>12</v>
      </c>
      <c r="N1018">
        <f t="shared" si="93"/>
        <v>481565</v>
      </c>
      <c r="O1018">
        <f>IF(AND(MyRowHidden(ROW())=FALSE,MyRowHidden(ROW()-1)=TRUE),0,IF(M1018&lt;totalMonths,(totalMonths-M1018)/totalMonths *(I1018-I1017)+O1017,0))</f>
        <v>0</v>
      </c>
      <c r="P1018">
        <f>IF(AND(MyRowHidden(ROW())=FALSE,MyRowHidden(ROW()-1)=TRUE),0,IF(M1018&lt;totalMonths,(totalMonths-M1018)/totalMonths *(J1018-J1017)+P1017,0))</f>
        <v>0</v>
      </c>
      <c r="Q1018">
        <f>IF(AND(MyRowHidden(ROW())=FALSE,MyRowHidden(ROW()-1)=TRUE),0,IF(M1018&lt;totalMonths,(totalMonths-M1018)/totalMonths *(K1018-K1017)+Q1017,0))</f>
        <v>0</v>
      </c>
      <c r="R1018">
        <f t="shared" si="94"/>
        <v>481565</v>
      </c>
      <c r="S1018">
        <f t="shared" si="95"/>
        <v>0</v>
      </c>
    </row>
    <row r="1019" spans="4:19" hidden="1" x14ac:dyDescent="0.25">
      <c r="D1019" s="1">
        <v>42741</v>
      </c>
      <c r="E1019">
        <v>45384</v>
      </c>
      <c r="F1019" s="1">
        <v>42741</v>
      </c>
      <c r="G1019">
        <v>-5787.5</v>
      </c>
      <c r="H1019" s="1">
        <f t="shared" si="90"/>
        <v>42741</v>
      </c>
      <c r="I1019">
        <f>IF(AND(MyRowHidden(ROW())=FALSE,MyRowHidden(ROW()-1)=TRUE),0,(E1019-E1018)*unitsOfDHp+I1018)</f>
        <v>490490</v>
      </c>
      <c r="J1019">
        <f>IF(AND(MyRowHidden(ROW())=FALSE,MyRowHidden(ROW()-1)=TRUE),0,(G1019-G1018)*unitsOfExo+J1018)</f>
        <v>-226800</v>
      </c>
      <c r="K1019" s="9">
        <f t="shared" si="91"/>
        <v>226800</v>
      </c>
      <c r="L1019">
        <f t="shared" si="92"/>
        <v>263690</v>
      </c>
      <c r="M1019">
        <f>IF(AND(MyRowHidden(ROW())=FALSE,MyRowHidden(ROW()-1)=TRUE),0,IF(MONTH(H1019)&lt;&gt;MONTH(H1018),M1018+1,M1018))</f>
        <v>12</v>
      </c>
      <c r="N1019">
        <f t="shared" si="93"/>
        <v>490490</v>
      </c>
      <c r="O1019">
        <f>IF(AND(MyRowHidden(ROW())=FALSE,MyRowHidden(ROW()-1)=TRUE),0,IF(M1019&lt;totalMonths,(totalMonths-M1019)/totalMonths *(I1019-I1018)+O1018,0))</f>
        <v>0</v>
      </c>
      <c r="P1019">
        <f>IF(AND(MyRowHidden(ROW())=FALSE,MyRowHidden(ROW()-1)=TRUE),0,IF(M1019&lt;totalMonths,(totalMonths-M1019)/totalMonths *(J1019-J1018)+P1018,0))</f>
        <v>0</v>
      </c>
      <c r="Q1019">
        <f>IF(AND(MyRowHidden(ROW())=FALSE,MyRowHidden(ROW()-1)=TRUE),0,IF(M1019&lt;totalMonths,(totalMonths-M1019)/totalMonths *(K1019-K1018)+Q1018,0))</f>
        <v>0</v>
      </c>
      <c r="R1019">
        <f t="shared" si="94"/>
        <v>490490</v>
      </c>
      <c r="S1019">
        <f t="shared" si="95"/>
        <v>0</v>
      </c>
    </row>
    <row r="1020" spans="4:19" hidden="1" x14ac:dyDescent="0.25">
      <c r="D1020" s="1">
        <v>42744</v>
      </c>
      <c r="E1020">
        <v>45261</v>
      </c>
      <c r="F1020" s="1">
        <v>42744</v>
      </c>
      <c r="G1020">
        <v>-5687.5</v>
      </c>
      <c r="H1020" s="1">
        <f t="shared" si="90"/>
        <v>42744</v>
      </c>
      <c r="I1020">
        <f>IF(AND(MyRowHidden(ROW())=FALSE,MyRowHidden(ROW()-1)=TRUE),0,(E1020-E1019)*unitsOfDHp+I1019)</f>
        <v>486185</v>
      </c>
      <c r="J1020">
        <f>IF(AND(MyRowHidden(ROW())=FALSE,MyRowHidden(ROW()-1)=TRUE),0,(G1020-G1019)*unitsOfExo+J1019)</f>
        <v>-198000</v>
      </c>
      <c r="K1020" s="9">
        <f t="shared" si="91"/>
        <v>198000</v>
      </c>
      <c r="L1020">
        <f t="shared" si="92"/>
        <v>288185</v>
      </c>
      <c r="M1020">
        <f>IF(AND(MyRowHidden(ROW())=FALSE,MyRowHidden(ROW()-1)=TRUE),0,IF(MONTH(H1020)&lt;&gt;MONTH(H1019),M1019+1,M1019))</f>
        <v>12</v>
      </c>
      <c r="N1020">
        <f t="shared" si="93"/>
        <v>486185</v>
      </c>
      <c r="O1020">
        <f>IF(AND(MyRowHidden(ROW())=FALSE,MyRowHidden(ROW()-1)=TRUE),0,IF(M1020&lt;totalMonths,(totalMonths-M1020)/totalMonths *(I1020-I1019)+O1019,0))</f>
        <v>0</v>
      </c>
      <c r="P1020">
        <f>IF(AND(MyRowHidden(ROW())=FALSE,MyRowHidden(ROW()-1)=TRUE),0,IF(M1020&lt;totalMonths,(totalMonths-M1020)/totalMonths *(J1020-J1019)+P1019,0))</f>
        <v>0</v>
      </c>
      <c r="Q1020">
        <f>IF(AND(MyRowHidden(ROW())=FALSE,MyRowHidden(ROW()-1)=TRUE),0,IF(M1020&lt;totalMonths,(totalMonths-M1020)/totalMonths *(K1020-K1019)+Q1019,0))</f>
        <v>0</v>
      </c>
      <c r="R1020">
        <f t="shared" si="94"/>
        <v>486185</v>
      </c>
      <c r="S1020">
        <f t="shared" si="95"/>
        <v>0</v>
      </c>
    </row>
    <row r="1021" spans="4:19" hidden="1" x14ac:dyDescent="0.25">
      <c r="D1021" s="1">
        <v>42745</v>
      </c>
      <c r="E1021">
        <v>45284</v>
      </c>
      <c r="F1021" s="1">
        <v>42745</v>
      </c>
      <c r="G1021">
        <v>-5750</v>
      </c>
      <c r="H1021" s="1">
        <f t="shared" si="90"/>
        <v>42745</v>
      </c>
      <c r="I1021">
        <f>IF(AND(MyRowHidden(ROW())=FALSE,MyRowHidden(ROW()-1)=TRUE),0,(E1021-E1020)*unitsOfDHp+I1020)</f>
        <v>486990</v>
      </c>
      <c r="J1021">
        <f>IF(AND(MyRowHidden(ROW())=FALSE,MyRowHidden(ROW()-1)=TRUE),0,(G1021-G1020)*unitsOfExo+J1020)</f>
        <v>-216000</v>
      </c>
      <c r="K1021" s="9">
        <f t="shared" si="91"/>
        <v>216000</v>
      </c>
      <c r="L1021">
        <f t="shared" si="92"/>
        <v>270990</v>
      </c>
      <c r="M1021">
        <f>IF(AND(MyRowHidden(ROW())=FALSE,MyRowHidden(ROW()-1)=TRUE),0,IF(MONTH(H1021)&lt;&gt;MONTH(H1020),M1020+1,M1020))</f>
        <v>12</v>
      </c>
      <c r="N1021">
        <f t="shared" si="93"/>
        <v>486990</v>
      </c>
      <c r="O1021">
        <f>IF(AND(MyRowHidden(ROW())=FALSE,MyRowHidden(ROW()-1)=TRUE),0,IF(M1021&lt;totalMonths,(totalMonths-M1021)/totalMonths *(I1021-I1020)+O1020,0))</f>
        <v>0</v>
      </c>
      <c r="P1021">
        <f>IF(AND(MyRowHidden(ROW())=FALSE,MyRowHidden(ROW()-1)=TRUE),0,IF(M1021&lt;totalMonths,(totalMonths-M1021)/totalMonths *(J1021-J1020)+P1020,0))</f>
        <v>0</v>
      </c>
      <c r="Q1021">
        <f>IF(AND(MyRowHidden(ROW())=FALSE,MyRowHidden(ROW()-1)=TRUE),0,IF(M1021&lt;totalMonths,(totalMonths-M1021)/totalMonths *(K1021-K1020)+Q1020,0))</f>
        <v>0</v>
      </c>
      <c r="R1021">
        <f t="shared" si="94"/>
        <v>486990</v>
      </c>
      <c r="S1021">
        <f t="shared" si="95"/>
        <v>0</v>
      </c>
    </row>
    <row r="1022" spans="4:19" hidden="1" x14ac:dyDescent="0.25">
      <c r="D1022" s="1">
        <v>42746</v>
      </c>
      <c r="E1022">
        <v>45381</v>
      </c>
      <c r="F1022" s="1">
        <v>42746</v>
      </c>
      <c r="G1022">
        <v>-5812.5</v>
      </c>
      <c r="H1022" s="1">
        <f t="shared" si="90"/>
        <v>42746</v>
      </c>
      <c r="I1022">
        <f>IF(AND(MyRowHidden(ROW())=FALSE,MyRowHidden(ROW()-1)=TRUE),0,(E1022-E1021)*unitsOfDHp+I1021)</f>
        <v>490385</v>
      </c>
      <c r="J1022">
        <f>IF(AND(MyRowHidden(ROW())=FALSE,MyRowHidden(ROW()-1)=TRUE),0,(G1022-G1021)*unitsOfExo+J1021)</f>
        <v>-234000</v>
      </c>
      <c r="K1022" s="9">
        <f t="shared" si="91"/>
        <v>234000</v>
      </c>
      <c r="L1022">
        <f t="shared" si="92"/>
        <v>256385</v>
      </c>
      <c r="M1022">
        <f>IF(AND(MyRowHidden(ROW())=FALSE,MyRowHidden(ROW()-1)=TRUE),0,IF(MONTH(H1022)&lt;&gt;MONTH(H1021),M1021+1,M1021))</f>
        <v>12</v>
      </c>
      <c r="N1022">
        <f t="shared" si="93"/>
        <v>490385</v>
      </c>
      <c r="O1022">
        <f>IF(AND(MyRowHidden(ROW())=FALSE,MyRowHidden(ROW()-1)=TRUE),0,IF(M1022&lt;totalMonths,(totalMonths-M1022)/totalMonths *(I1022-I1021)+O1021,0))</f>
        <v>0</v>
      </c>
      <c r="P1022">
        <f>IF(AND(MyRowHidden(ROW())=FALSE,MyRowHidden(ROW()-1)=TRUE),0,IF(M1022&lt;totalMonths,(totalMonths-M1022)/totalMonths *(J1022-J1021)+P1021,0))</f>
        <v>0</v>
      </c>
      <c r="Q1022">
        <f>IF(AND(MyRowHidden(ROW())=FALSE,MyRowHidden(ROW()-1)=TRUE),0,IF(M1022&lt;totalMonths,(totalMonths-M1022)/totalMonths *(K1022-K1021)+Q1021,0))</f>
        <v>0</v>
      </c>
      <c r="R1022">
        <f t="shared" si="94"/>
        <v>490385</v>
      </c>
      <c r="S1022">
        <f t="shared" si="95"/>
        <v>0</v>
      </c>
    </row>
    <row r="1023" spans="4:19" hidden="1" x14ac:dyDescent="0.25">
      <c r="D1023" s="1">
        <v>42747</v>
      </c>
      <c r="E1023">
        <v>45562</v>
      </c>
      <c r="F1023" s="1">
        <v>42747</v>
      </c>
      <c r="G1023">
        <v>-5925</v>
      </c>
      <c r="H1023" s="1">
        <f t="shared" si="90"/>
        <v>42747</v>
      </c>
      <c r="I1023">
        <f>IF(AND(MyRowHidden(ROW())=FALSE,MyRowHidden(ROW()-1)=TRUE),0,(E1023-E1022)*unitsOfDHp+I1022)</f>
        <v>496720</v>
      </c>
      <c r="J1023">
        <f>IF(AND(MyRowHidden(ROW())=FALSE,MyRowHidden(ROW()-1)=TRUE),0,(G1023-G1022)*unitsOfExo+J1022)</f>
        <v>-266400</v>
      </c>
      <c r="K1023" s="9">
        <f t="shared" si="91"/>
        <v>266400</v>
      </c>
      <c r="L1023">
        <f t="shared" si="92"/>
        <v>230320</v>
      </c>
      <c r="M1023">
        <f>IF(AND(MyRowHidden(ROW())=FALSE,MyRowHidden(ROW()-1)=TRUE),0,IF(MONTH(H1023)&lt;&gt;MONTH(H1022),M1022+1,M1022))</f>
        <v>12</v>
      </c>
      <c r="N1023">
        <f t="shared" si="93"/>
        <v>496720</v>
      </c>
      <c r="O1023">
        <f>IF(AND(MyRowHidden(ROW())=FALSE,MyRowHidden(ROW()-1)=TRUE),0,IF(M1023&lt;totalMonths,(totalMonths-M1023)/totalMonths *(I1023-I1022)+O1022,0))</f>
        <v>0</v>
      </c>
      <c r="P1023">
        <f>IF(AND(MyRowHidden(ROW())=FALSE,MyRowHidden(ROW()-1)=TRUE),0,IF(M1023&lt;totalMonths,(totalMonths-M1023)/totalMonths *(J1023-J1022)+P1022,0))</f>
        <v>0</v>
      </c>
      <c r="Q1023">
        <f>IF(AND(MyRowHidden(ROW())=FALSE,MyRowHidden(ROW()-1)=TRUE),0,IF(M1023&lt;totalMonths,(totalMonths-M1023)/totalMonths *(K1023-K1022)+Q1022,0))</f>
        <v>0</v>
      </c>
      <c r="R1023">
        <f t="shared" si="94"/>
        <v>496720</v>
      </c>
      <c r="S1023">
        <f t="shared" si="95"/>
        <v>0</v>
      </c>
    </row>
    <row r="1024" spans="4:19" hidden="1" x14ac:dyDescent="0.25">
      <c r="D1024" s="1">
        <v>42748</v>
      </c>
      <c r="E1024">
        <v>45558</v>
      </c>
      <c r="F1024" s="1">
        <v>42748</v>
      </c>
      <c r="G1024">
        <v>-5812.5</v>
      </c>
      <c r="H1024" s="1">
        <f t="shared" si="90"/>
        <v>42748</v>
      </c>
      <c r="I1024">
        <f>IF(AND(MyRowHidden(ROW())=FALSE,MyRowHidden(ROW()-1)=TRUE),0,(E1024-E1023)*unitsOfDHp+I1023)</f>
        <v>496580</v>
      </c>
      <c r="J1024">
        <f>IF(AND(MyRowHidden(ROW())=FALSE,MyRowHidden(ROW()-1)=TRUE),0,(G1024-G1023)*unitsOfExo+J1023)</f>
        <v>-234000</v>
      </c>
      <c r="K1024" s="9">
        <f t="shared" si="91"/>
        <v>234000</v>
      </c>
      <c r="L1024">
        <f t="shared" si="92"/>
        <v>262580</v>
      </c>
      <c r="M1024">
        <f>IF(AND(MyRowHidden(ROW())=FALSE,MyRowHidden(ROW()-1)=TRUE),0,IF(MONTH(H1024)&lt;&gt;MONTH(H1023),M1023+1,M1023))</f>
        <v>12</v>
      </c>
      <c r="N1024">
        <f t="shared" si="93"/>
        <v>496580</v>
      </c>
      <c r="O1024">
        <f>IF(AND(MyRowHidden(ROW())=FALSE,MyRowHidden(ROW()-1)=TRUE),0,IF(M1024&lt;totalMonths,(totalMonths-M1024)/totalMonths *(I1024-I1023)+O1023,0))</f>
        <v>0</v>
      </c>
      <c r="P1024">
        <f>IF(AND(MyRowHidden(ROW())=FALSE,MyRowHidden(ROW()-1)=TRUE),0,IF(M1024&lt;totalMonths,(totalMonths-M1024)/totalMonths *(J1024-J1023)+P1023,0))</f>
        <v>0</v>
      </c>
      <c r="Q1024">
        <f>IF(AND(MyRowHidden(ROW())=FALSE,MyRowHidden(ROW()-1)=TRUE),0,IF(M1024&lt;totalMonths,(totalMonths-M1024)/totalMonths *(K1024-K1023)+Q1023,0))</f>
        <v>0</v>
      </c>
      <c r="R1024">
        <f t="shared" si="94"/>
        <v>496580</v>
      </c>
      <c r="S1024">
        <f t="shared" si="95"/>
        <v>0</v>
      </c>
    </row>
    <row r="1025" spans="4:19" hidden="1" x14ac:dyDescent="0.25">
      <c r="D1025" s="1">
        <v>42752</v>
      </c>
      <c r="E1025">
        <v>45268</v>
      </c>
      <c r="F1025" s="1">
        <v>42752</v>
      </c>
      <c r="G1025">
        <v>-5737.5</v>
      </c>
      <c r="H1025" s="1">
        <f t="shared" si="90"/>
        <v>42752</v>
      </c>
      <c r="I1025">
        <f>IF(AND(MyRowHidden(ROW())=FALSE,MyRowHidden(ROW()-1)=TRUE),0,(E1025-E1024)*unitsOfDHp+I1024)</f>
        <v>486430</v>
      </c>
      <c r="J1025">
        <f>IF(AND(MyRowHidden(ROW())=FALSE,MyRowHidden(ROW()-1)=TRUE),0,(G1025-G1024)*unitsOfExo+J1024)</f>
        <v>-212400</v>
      </c>
      <c r="K1025" s="9">
        <f t="shared" si="91"/>
        <v>212400</v>
      </c>
      <c r="L1025">
        <f t="shared" si="92"/>
        <v>274030</v>
      </c>
      <c r="M1025">
        <f>IF(AND(MyRowHidden(ROW())=FALSE,MyRowHidden(ROW()-1)=TRUE),0,IF(MONTH(H1025)&lt;&gt;MONTH(H1024),M1024+1,M1024))</f>
        <v>12</v>
      </c>
      <c r="N1025">
        <f t="shared" si="93"/>
        <v>486430</v>
      </c>
      <c r="O1025">
        <f>IF(AND(MyRowHidden(ROW())=FALSE,MyRowHidden(ROW()-1)=TRUE),0,IF(M1025&lt;totalMonths,(totalMonths-M1025)/totalMonths *(I1025-I1024)+O1024,0))</f>
        <v>0</v>
      </c>
      <c r="P1025">
        <f>IF(AND(MyRowHidden(ROW())=FALSE,MyRowHidden(ROW()-1)=TRUE),0,IF(M1025&lt;totalMonths,(totalMonths-M1025)/totalMonths *(J1025-J1024)+P1024,0))</f>
        <v>0</v>
      </c>
      <c r="Q1025">
        <f>IF(AND(MyRowHidden(ROW())=FALSE,MyRowHidden(ROW()-1)=TRUE),0,IF(M1025&lt;totalMonths,(totalMonths-M1025)/totalMonths *(K1025-K1024)+Q1024,0))</f>
        <v>0</v>
      </c>
      <c r="R1025">
        <f t="shared" si="94"/>
        <v>486430</v>
      </c>
      <c r="S1025">
        <f t="shared" si="95"/>
        <v>0</v>
      </c>
    </row>
    <row r="1026" spans="4:19" hidden="1" x14ac:dyDescent="0.25">
      <c r="D1026" s="1">
        <v>42753</v>
      </c>
      <c r="E1026">
        <v>45290</v>
      </c>
      <c r="F1026" s="1">
        <v>42753</v>
      </c>
      <c r="G1026">
        <v>-5337.5</v>
      </c>
      <c r="H1026" s="1">
        <f t="shared" si="90"/>
        <v>42753</v>
      </c>
      <c r="I1026">
        <f>IF(AND(MyRowHidden(ROW())=FALSE,MyRowHidden(ROW()-1)=TRUE),0,(E1026-E1025)*unitsOfDHp+I1025)</f>
        <v>487200</v>
      </c>
      <c r="J1026">
        <f>IF(AND(MyRowHidden(ROW())=FALSE,MyRowHidden(ROW()-1)=TRUE),0,(G1026-G1025)*unitsOfExo+J1025)</f>
        <v>-97200</v>
      </c>
      <c r="K1026" s="9">
        <f t="shared" si="91"/>
        <v>97200</v>
      </c>
      <c r="L1026">
        <f t="shared" si="92"/>
        <v>390000</v>
      </c>
      <c r="M1026">
        <f>IF(AND(MyRowHidden(ROW())=FALSE,MyRowHidden(ROW()-1)=TRUE),0,IF(MONTH(H1026)&lt;&gt;MONTH(H1025),M1025+1,M1025))</f>
        <v>12</v>
      </c>
      <c r="N1026">
        <f t="shared" si="93"/>
        <v>487200</v>
      </c>
      <c r="O1026">
        <f>IF(AND(MyRowHidden(ROW())=FALSE,MyRowHidden(ROW()-1)=TRUE),0,IF(M1026&lt;totalMonths,(totalMonths-M1026)/totalMonths *(I1026-I1025)+O1025,0))</f>
        <v>0</v>
      </c>
      <c r="P1026">
        <f>IF(AND(MyRowHidden(ROW())=FALSE,MyRowHidden(ROW()-1)=TRUE),0,IF(M1026&lt;totalMonths,(totalMonths-M1026)/totalMonths *(J1026-J1025)+P1025,0))</f>
        <v>0</v>
      </c>
      <c r="Q1026">
        <f>IF(AND(MyRowHidden(ROW())=FALSE,MyRowHidden(ROW()-1)=TRUE),0,IF(M1026&lt;totalMonths,(totalMonths-M1026)/totalMonths *(K1026-K1025)+Q1025,0))</f>
        <v>0</v>
      </c>
      <c r="R1026">
        <f t="shared" si="94"/>
        <v>487200</v>
      </c>
      <c r="S1026">
        <f t="shared" si="95"/>
        <v>0</v>
      </c>
    </row>
    <row r="1027" spans="4:19" hidden="1" x14ac:dyDescent="0.25">
      <c r="D1027" s="1">
        <v>42754</v>
      </c>
      <c r="E1027">
        <v>45384</v>
      </c>
      <c r="F1027" s="1">
        <v>42754</v>
      </c>
      <c r="G1027">
        <v>-5462.5</v>
      </c>
      <c r="H1027" s="1">
        <f t="shared" si="90"/>
        <v>42754</v>
      </c>
      <c r="I1027">
        <f>IF(AND(MyRowHidden(ROW())=FALSE,MyRowHidden(ROW()-1)=TRUE),0,(E1027-E1026)*unitsOfDHp+I1026)</f>
        <v>490490</v>
      </c>
      <c r="J1027">
        <f>IF(AND(MyRowHidden(ROW())=FALSE,MyRowHidden(ROW()-1)=TRUE),0,(G1027-G1026)*unitsOfExo+J1026)</f>
        <v>-133200</v>
      </c>
      <c r="K1027" s="9">
        <f t="shared" si="91"/>
        <v>133200</v>
      </c>
      <c r="L1027">
        <f t="shared" si="92"/>
        <v>357290</v>
      </c>
      <c r="M1027">
        <f>IF(AND(MyRowHidden(ROW())=FALSE,MyRowHidden(ROW()-1)=TRUE),0,IF(MONTH(H1027)&lt;&gt;MONTH(H1026),M1026+1,M1026))</f>
        <v>12</v>
      </c>
      <c r="N1027">
        <f t="shared" si="93"/>
        <v>490490</v>
      </c>
      <c r="O1027">
        <f>IF(AND(MyRowHidden(ROW())=FALSE,MyRowHidden(ROW()-1)=TRUE),0,IF(M1027&lt;totalMonths,(totalMonths-M1027)/totalMonths *(I1027-I1026)+O1026,0))</f>
        <v>0</v>
      </c>
      <c r="P1027">
        <f>IF(AND(MyRowHidden(ROW())=FALSE,MyRowHidden(ROW()-1)=TRUE),0,IF(M1027&lt;totalMonths,(totalMonths-M1027)/totalMonths *(J1027-J1026)+P1026,0))</f>
        <v>0</v>
      </c>
      <c r="Q1027">
        <f>IF(AND(MyRowHidden(ROW())=FALSE,MyRowHidden(ROW()-1)=TRUE),0,IF(M1027&lt;totalMonths,(totalMonths-M1027)/totalMonths *(K1027-K1026)+Q1026,0))</f>
        <v>0</v>
      </c>
      <c r="R1027">
        <f t="shared" si="94"/>
        <v>490490</v>
      </c>
      <c r="S1027">
        <f t="shared" si="95"/>
        <v>0</v>
      </c>
    </row>
    <row r="1028" spans="4:19" hidden="1" x14ac:dyDescent="0.25">
      <c r="D1028" s="1">
        <v>42755</v>
      </c>
      <c r="E1028">
        <v>44889</v>
      </c>
      <c r="F1028" s="1">
        <v>42755</v>
      </c>
      <c r="G1028">
        <v>-5212.5</v>
      </c>
      <c r="H1028" s="1">
        <f t="shared" si="90"/>
        <v>42755</v>
      </c>
      <c r="I1028">
        <f>IF(AND(MyRowHidden(ROW())=FALSE,MyRowHidden(ROW()-1)=TRUE),0,(E1028-E1027)*unitsOfDHp+I1027)</f>
        <v>473165</v>
      </c>
      <c r="J1028">
        <f>IF(AND(MyRowHidden(ROW())=FALSE,MyRowHidden(ROW()-1)=TRUE),0,(G1028-G1027)*unitsOfExo+J1027)</f>
        <v>-61200</v>
      </c>
      <c r="K1028" s="9">
        <f t="shared" si="91"/>
        <v>61200</v>
      </c>
      <c r="L1028">
        <f t="shared" si="92"/>
        <v>411965</v>
      </c>
      <c r="M1028">
        <f>IF(AND(MyRowHidden(ROW())=FALSE,MyRowHidden(ROW()-1)=TRUE),0,IF(MONTH(H1028)&lt;&gt;MONTH(H1027),M1027+1,M1027))</f>
        <v>12</v>
      </c>
      <c r="N1028">
        <f t="shared" si="93"/>
        <v>473165</v>
      </c>
      <c r="O1028">
        <f>IF(AND(MyRowHidden(ROW())=FALSE,MyRowHidden(ROW()-1)=TRUE),0,IF(M1028&lt;totalMonths,(totalMonths-M1028)/totalMonths *(I1028-I1027)+O1027,0))</f>
        <v>0</v>
      </c>
      <c r="P1028">
        <f>IF(AND(MyRowHidden(ROW())=FALSE,MyRowHidden(ROW()-1)=TRUE),0,IF(M1028&lt;totalMonths,(totalMonths-M1028)/totalMonths *(J1028-J1027)+P1027,0))</f>
        <v>0</v>
      </c>
      <c r="Q1028">
        <f>IF(AND(MyRowHidden(ROW())=FALSE,MyRowHidden(ROW()-1)=TRUE),0,IF(M1028&lt;totalMonths,(totalMonths-M1028)/totalMonths *(K1028-K1027)+Q1027,0))</f>
        <v>0</v>
      </c>
      <c r="R1028">
        <f t="shared" si="94"/>
        <v>473165</v>
      </c>
      <c r="S1028">
        <f t="shared" si="95"/>
        <v>0</v>
      </c>
    </row>
    <row r="1029" spans="4:19" hidden="1" x14ac:dyDescent="0.25">
      <c r="D1029" s="1">
        <v>42758</v>
      </c>
      <c r="E1029">
        <v>44879</v>
      </c>
      <c r="F1029" s="1">
        <v>42758</v>
      </c>
      <c r="G1029">
        <v>-5212.5</v>
      </c>
      <c r="H1029" s="1">
        <f t="shared" si="90"/>
        <v>42758</v>
      </c>
      <c r="I1029">
        <f>IF(AND(MyRowHidden(ROW())=FALSE,MyRowHidden(ROW()-1)=TRUE),0,(E1029-E1028)*unitsOfDHp+I1028)</f>
        <v>472815</v>
      </c>
      <c r="J1029">
        <f>IF(AND(MyRowHidden(ROW())=FALSE,MyRowHidden(ROW()-1)=TRUE),0,(G1029-G1028)*unitsOfExo+J1028)</f>
        <v>-61200</v>
      </c>
      <c r="K1029" s="9">
        <f t="shared" si="91"/>
        <v>61200</v>
      </c>
      <c r="L1029">
        <f t="shared" si="92"/>
        <v>411615</v>
      </c>
      <c r="M1029">
        <f>IF(AND(MyRowHidden(ROW())=FALSE,MyRowHidden(ROW()-1)=TRUE),0,IF(MONTH(H1029)&lt;&gt;MONTH(H1028),M1028+1,M1028))</f>
        <v>12</v>
      </c>
      <c r="N1029">
        <f t="shared" si="93"/>
        <v>472815</v>
      </c>
      <c r="O1029">
        <f>IF(AND(MyRowHidden(ROW())=FALSE,MyRowHidden(ROW()-1)=TRUE),0,IF(M1029&lt;totalMonths,(totalMonths-M1029)/totalMonths *(I1029-I1028)+O1028,0))</f>
        <v>0</v>
      </c>
      <c r="P1029">
        <f>IF(AND(MyRowHidden(ROW())=FALSE,MyRowHidden(ROW()-1)=TRUE),0,IF(M1029&lt;totalMonths,(totalMonths-M1029)/totalMonths *(J1029-J1028)+P1028,0))</f>
        <v>0</v>
      </c>
      <c r="Q1029">
        <f>IF(AND(MyRowHidden(ROW())=FALSE,MyRowHidden(ROW()-1)=TRUE),0,IF(M1029&lt;totalMonths,(totalMonths-M1029)/totalMonths *(K1029-K1028)+Q1028,0))</f>
        <v>0</v>
      </c>
      <c r="R1029">
        <f t="shared" si="94"/>
        <v>472815</v>
      </c>
      <c r="S1029">
        <f t="shared" si="95"/>
        <v>0</v>
      </c>
    </row>
    <row r="1030" spans="4:19" hidden="1" x14ac:dyDescent="0.25">
      <c r="D1030" s="1">
        <v>42759</v>
      </c>
      <c r="E1030">
        <v>44844</v>
      </c>
      <c r="F1030" s="1">
        <v>42759</v>
      </c>
      <c r="G1030">
        <v>-5187.5</v>
      </c>
      <c r="H1030" s="1">
        <f t="shared" si="90"/>
        <v>42759</v>
      </c>
      <c r="I1030">
        <f>IF(AND(MyRowHidden(ROW())=FALSE,MyRowHidden(ROW()-1)=TRUE),0,(E1030-E1029)*unitsOfDHp+I1029)</f>
        <v>471590</v>
      </c>
      <c r="J1030">
        <f>IF(AND(MyRowHidden(ROW())=FALSE,MyRowHidden(ROW()-1)=TRUE),0,(G1030-G1029)*unitsOfExo+J1029)</f>
        <v>-54000</v>
      </c>
      <c r="K1030" s="9">
        <f t="shared" si="91"/>
        <v>54000</v>
      </c>
      <c r="L1030">
        <f t="shared" si="92"/>
        <v>417590</v>
      </c>
      <c r="M1030">
        <f>IF(AND(MyRowHidden(ROW())=FALSE,MyRowHidden(ROW()-1)=TRUE),0,IF(MONTH(H1030)&lt;&gt;MONTH(H1029),M1029+1,M1029))</f>
        <v>12</v>
      </c>
      <c r="N1030">
        <f t="shared" si="93"/>
        <v>471590</v>
      </c>
      <c r="O1030">
        <f>IF(AND(MyRowHidden(ROW())=FALSE,MyRowHidden(ROW()-1)=TRUE),0,IF(M1030&lt;totalMonths,(totalMonths-M1030)/totalMonths *(I1030-I1029)+O1029,0))</f>
        <v>0</v>
      </c>
      <c r="P1030">
        <f>IF(AND(MyRowHidden(ROW())=FALSE,MyRowHidden(ROW()-1)=TRUE),0,IF(M1030&lt;totalMonths,(totalMonths-M1030)/totalMonths *(J1030-J1029)+P1029,0))</f>
        <v>0</v>
      </c>
      <c r="Q1030">
        <f>IF(AND(MyRowHidden(ROW())=FALSE,MyRowHidden(ROW()-1)=TRUE),0,IF(M1030&lt;totalMonths,(totalMonths-M1030)/totalMonths *(K1030-K1029)+Q1029,0))</f>
        <v>0</v>
      </c>
      <c r="R1030">
        <f t="shared" si="94"/>
        <v>471590</v>
      </c>
      <c r="S1030">
        <f t="shared" si="95"/>
        <v>0</v>
      </c>
    </row>
    <row r="1031" spans="4:19" hidden="1" x14ac:dyDescent="0.25">
      <c r="D1031" s="1">
        <v>42760</v>
      </c>
      <c r="E1031">
        <v>45215</v>
      </c>
      <c r="F1031" s="1">
        <v>42760</v>
      </c>
      <c r="G1031">
        <v>-5487.5</v>
      </c>
      <c r="H1031" s="1">
        <f t="shared" si="90"/>
        <v>42760</v>
      </c>
      <c r="I1031">
        <f>IF(AND(MyRowHidden(ROW())=FALSE,MyRowHidden(ROW()-1)=TRUE),0,(E1031-E1030)*unitsOfDHp+I1030)</f>
        <v>484575</v>
      </c>
      <c r="J1031">
        <f>IF(AND(MyRowHidden(ROW())=FALSE,MyRowHidden(ROW()-1)=TRUE),0,(G1031-G1030)*unitsOfExo+J1030)</f>
        <v>-140400</v>
      </c>
      <c r="K1031" s="9">
        <f t="shared" si="91"/>
        <v>140400</v>
      </c>
      <c r="L1031">
        <f t="shared" si="92"/>
        <v>344175</v>
      </c>
      <c r="M1031">
        <f>IF(AND(MyRowHidden(ROW())=FALSE,MyRowHidden(ROW()-1)=TRUE),0,IF(MONTH(H1031)&lt;&gt;MONTH(H1030),M1030+1,M1030))</f>
        <v>12</v>
      </c>
      <c r="N1031">
        <f t="shared" si="93"/>
        <v>484575</v>
      </c>
      <c r="O1031">
        <f>IF(AND(MyRowHidden(ROW())=FALSE,MyRowHidden(ROW()-1)=TRUE),0,IF(M1031&lt;totalMonths,(totalMonths-M1031)/totalMonths *(I1031-I1030)+O1030,0))</f>
        <v>0</v>
      </c>
      <c r="P1031">
        <f>IF(AND(MyRowHidden(ROW())=FALSE,MyRowHidden(ROW()-1)=TRUE),0,IF(M1031&lt;totalMonths,(totalMonths-M1031)/totalMonths *(J1031-J1030)+P1030,0))</f>
        <v>0</v>
      </c>
      <c r="Q1031">
        <f>IF(AND(MyRowHidden(ROW())=FALSE,MyRowHidden(ROW()-1)=TRUE),0,IF(M1031&lt;totalMonths,(totalMonths-M1031)/totalMonths *(K1031-K1030)+Q1030,0))</f>
        <v>0</v>
      </c>
      <c r="R1031">
        <f t="shared" si="94"/>
        <v>484575</v>
      </c>
      <c r="S1031">
        <f t="shared" si="95"/>
        <v>0</v>
      </c>
    </row>
    <row r="1032" spans="4:19" hidden="1" x14ac:dyDescent="0.25">
      <c r="D1032" s="1">
        <v>42761</v>
      </c>
      <c r="E1032">
        <v>45274</v>
      </c>
      <c r="F1032" s="1">
        <v>42761</v>
      </c>
      <c r="G1032">
        <v>-5512.5</v>
      </c>
      <c r="H1032" s="1">
        <f t="shared" si="90"/>
        <v>42761</v>
      </c>
      <c r="I1032">
        <f>IF(AND(MyRowHidden(ROW())=FALSE,MyRowHidden(ROW()-1)=TRUE),0,(E1032-E1031)*unitsOfDHp+I1031)</f>
        <v>486640</v>
      </c>
      <c r="J1032">
        <f>IF(AND(MyRowHidden(ROW())=FALSE,MyRowHidden(ROW()-1)=TRUE),0,(G1032-G1031)*unitsOfExo+J1031)</f>
        <v>-147600</v>
      </c>
      <c r="K1032" s="9">
        <f t="shared" si="91"/>
        <v>147600</v>
      </c>
      <c r="L1032">
        <f t="shared" si="92"/>
        <v>339040</v>
      </c>
      <c r="M1032">
        <f>IF(AND(MyRowHidden(ROW())=FALSE,MyRowHidden(ROW()-1)=TRUE),0,IF(MONTH(H1032)&lt;&gt;MONTH(H1031),M1031+1,M1031))</f>
        <v>12</v>
      </c>
      <c r="N1032">
        <f t="shared" si="93"/>
        <v>486640</v>
      </c>
      <c r="O1032">
        <f>IF(AND(MyRowHidden(ROW())=FALSE,MyRowHidden(ROW()-1)=TRUE),0,IF(M1032&lt;totalMonths,(totalMonths-M1032)/totalMonths *(I1032-I1031)+O1031,0))</f>
        <v>0</v>
      </c>
      <c r="P1032">
        <f>IF(AND(MyRowHidden(ROW())=FALSE,MyRowHidden(ROW()-1)=TRUE),0,IF(M1032&lt;totalMonths,(totalMonths-M1032)/totalMonths *(J1032-J1031)+P1031,0))</f>
        <v>0</v>
      </c>
      <c r="Q1032">
        <f>IF(AND(MyRowHidden(ROW())=FALSE,MyRowHidden(ROW()-1)=TRUE),0,IF(M1032&lt;totalMonths,(totalMonths-M1032)/totalMonths *(K1032-K1031)+Q1031,0))</f>
        <v>0</v>
      </c>
      <c r="R1032">
        <f t="shared" si="94"/>
        <v>486640</v>
      </c>
      <c r="S1032">
        <f t="shared" si="95"/>
        <v>0</v>
      </c>
    </row>
    <row r="1033" spans="4:19" hidden="1" x14ac:dyDescent="0.25">
      <c r="D1033" s="1">
        <v>42762</v>
      </c>
      <c r="E1033">
        <v>45354</v>
      </c>
      <c r="F1033" s="1">
        <v>42762</v>
      </c>
      <c r="G1033">
        <v>-5587.5</v>
      </c>
      <c r="H1033" s="1">
        <f t="shared" si="90"/>
        <v>42762</v>
      </c>
      <c r="I1033">
        <f>IF(AND(MyRowHidden(ROW())=FALSE,MyRowHidden(ROW()-1)=TRUE),0,(E1033-E1032)*unitsOfDHp+I1032)</f>
        <v>489440</v>
      </c>
      <c r="J1033">
        <f>IF(AND(MyRowHidden(ROW())=FALSE,MyRowHidden(ROW()-1)=TRUE),0,(G1033-G1032)*unitsOfExo+J1032)</f>
        <v>-169200</v>
      </c>
      <c r="K1033" s="9">
        <f t="shared" si="91"/>
        <v>169200</v>
      </c>
      <c r="L1033">
        <f t="shared" si="92"/>
        <v>320240</v>
      </c>
      <c r="M1033">
        <f>IF(AND(MyRowHidden(ROW())=FALSE,MyRowHidden(ROW()-1)=TRUE),0,IF(MONTH(H1033)&lt;&gt;MONTH(H1032),M1032+1,M1032))</f>
        <v>12</v>
      </c>
      <c r="N1033">
        <f t="shared" si="93"/>
        <v>489440</v>
      </c>
      <c r="O1033">
        <f>IF(AND(MyRowHidden(ROW())=FALSE,MyRowHidden(ROW()-1)=TRUE),0,IF(M1033&lt;totalMonths,(totalMonths-M1033)/totalMonths *(I1033-I1032)+O1032,0))</f>
        <v>0</v>
      </c>
      <c r="P1033">
        <f>IF(AND(MyRowHidden(ROW())=FALSE,MyRowHidden(ROW()-1)=TRUE),0,IF(M1033&lt;totalMonths,(totalMonths-M1033)/totalMonths *(J1033-J1032)+P1032,0))</f>
        <v>0</v>
      </c>
      <c r="Q1033">
        <f>IF(AND(MyRowHidden(ROW())=FALSE,MyRowHidden(ROW()-1)=TRUE),0,IF(M1033&lt;totalMonths,(totalMonths-M1033)/totalMonths *(K1033-K1032)+Q1032,0))</f>
        <v>0</v>
      </c>
      <c r="R1033">
        <f t="shared" si="94"/>
        <v>489440</v>
      </c>
      <c r="S1033">
        <f t="shared" si="95"/>
        <v>0</v>
      </c>
    </row>
    <row r="1034" spans="4:19" hidden="1" x14ac:dyDescent="0.25">
      <c r="D1034" s="1">
        <v>42765</v>
      </c>
      <c r="E1034">
        <v>45425</v>
      </c>
      <c r="F1034" s="1">
        <v>42765</v>
      </c>
      <c r="G1034">
        <v>-5725</v>
      </c>
      <c r="H1034" s="1">
        <f t="shared" si="90"/>
        <v>42765</v>
      </c>
      <c r="I1034">
        <f>IF(AND(MyRowHidden(ROW())=FALSE,MyRowHidden(ROW()-1)=TRUE),0,(E1034-E1033)*unitsOfDHp+I1033)</f>
        <v>491925</v>
      </c>
      <c r="J1034">
        <f>IF(AND(MyRowHidden(ROW())=FALSE,MyRowHidden(ROW()-1)=TRUE),0,(G1034-G1033)*unitsOfExo+J1033)</f>
        <v>-208800</v>
      </c>
      <c r="K1034" s="9">
        <f t="shared" si="91"/>
        <v>208800</v>
      </c>
      <c r="L1034">
        <f t="shared" si="92"/>
        <v>283125</v>
      </c>
      <c r="M1034">
        <f>IF(AND(MyRowHidden(ROW())=FALSE,MyRowHidden(ROW()-1)=TRUE),0,IF(MONTH(H1034)&lt;&gt;MONTH(H1033),M1033+1,M1033))</f>
        <v>12</v>
      </c>
      <c r="N1034">
        <f t="shared" si="93"/>
        <v>491925</v>
      </c>
      <c r="O1034">
        <f>IF(AND(MyRowHidden(ROW())=FALSE,MyRowHidden(ROW()-1)=TRUE),0,IF(M1034&lt;totalMonths,(totalMonths-M1034)/totalMonths *(I1034-I1033)+O1033,0))</f>
        <v>0</v>
      </c>
      <c r="P1034">
        <f>IF(AND(MyRowHidden(ROW())=FALSE,MyRowHidden(ROW()-1)=TRUE),0,IF(M1034&lt;totalMonths,(totalMonths-M1034)/totalMonths *(J1034-J1033)+P1033,0))</f>
        <v>0</v>
      </c>
      <c r="Q1034">
        <f>IF(AND(MyRowHidden(ROW())=FALSE,MyRowHidden(ROW()-1)=TRUE),0,IF(M1034&lt;totalMonths,(totalMonths-M1034)/totalMonths *(K1034-K1033)+Q1033,0))</f>
        <v>0</v>
      </c>
      <c r="R1034">
        <f t="shared" si="94"/>
        <v>491925</v>
      </c>
      <c r="S1034">
        <f t="shared" si="95"/>
        <v>0</v>
      </c>
    </row>
    <row r="1035" spans="4:19" hidden="1" x14ac:dyDescent="0.25">
      <c r="D1035" s="1">
        <v>42766</v>
      </c>
      <c r="E1035">
        <v>45466</v>
      </c>
      <c r="F1035" s="1">
        <v>42766</v>
      </c>
      <c r="G1035">
        <v>-5762.5</v>
      </c>
      <c r="H1035" s="1">
        <f t="shared" si="90"/>
        <v>42766</v>
      </c>
      <c r="I1035">
        <f>IF(AND(MyRowHidden(ROW())=FALSE,MyRowHidden(ROW()-1)=TRUE),0,(E1035-E1034)*unitsOfDHp+I1034)</f>
        <v>493360</v>
      </c>
      <c r="J1035">
        <f>IF(AND(MyRowHidden(ROW())=FALSE,MyRowHidden(ROW()-1)=TRUE),0,(G1035-G1034)*unitsOfExo+J1034)</f>
        <v>-219600</v>
      </c>
      <c r="K1035" s="9">
        <f t="shared" si="91"/>
        <v>219600</v>
      </c>
      <c r="L1035">
        <f t="shared" si="92"/>
        <v>273760</v>
      </c>
      <c r="M1035">
        <f>IF(AND(MyRowHidden(ROW())=FALSE,MyRowHidden(ROW()-1)=TRUE),0,IF(MONTH(H1035)&lt;&gt;MONTH(H1034),M1034+1,M1034))</f>
        <v>12</v>
      </c>
      <c r="N1035">
        <f t="shared" si="93"/>
        <v>493360</v>
      </c>
      <c r="O1035">
        <f>IF(AND(MyRowHidden(ROW())=FALSE,MyRowHidden(ROW()-1)=TRUE),0,IF(M1035&lt;totalMonths,(totalMonths-M1035)/totalMonths *(I1035-I1034)+O1034,0))</f>
        <v>0</v>
      </c>
      <c r="P1035">
        <f>IF(AND(MyRowHidden(ROW())=FALSE,MyRowHidden(ROW()-1)=TRUE),0,IF(M1035&lt;totalMonths,(totalMonths-M1035)/totalMonths *(J1035-J1034)+P1034,0))</f>
        <v>0</v>
      </c>
      <c r="Q1035">
        <f>IF(AND(MyRowHidden(ROW())=FALSE,MyRowHidden(ROW()-1)=TRUE),0,IF(M1035&lt;totalMonths,(totalMonths-M1035)/totalMonths *(K1035-K1034)+Q1034,0))</f>
        <v>0</v>
      </c>
      <c r="R1035">
        <f t="shared" si="94"/>
        <v>493360</v>
      </c>
      <c r="S1035">
        <f t="shared" si="95"/>
        <v>0</v>
      </c>
    </row>
    <row r="1036" spans="4:19" hidden="1" x14ac:dyDescent="0.25">
      <c r="D1036" s="1">
        <v>42767</v>
      </c>
      <c r="E1036">
        <v>45433</v>
      </c>
      <c r="F1036" s="1">
        <v>42767</v>
      </c>
      <c r="G1036">
        <v>-5700</v>
      </c>
      <c r="H1036" s="1">
        <f t="shared" si="90"/>
        <v>42767</v>
      </c>
      <c r="I1036">
        <f>IF(AND(MyRowHidden(ROW())=FALSE,MyRowHidden(ROW()-1)=TRUE),0,(E1036-E1035)*unitsOfDHp+I1035)</f>
        <v>492205</v>
      </c>
      <c r="J1036">
        <f>IF(AND(MyRowHidden(ROW())=FALSE,MyRowHidden(ROW()-1)=TRUE),0,(G1036-G1035)*unitsOfExo+J1035)</f>
        <v>-201600</v>
      </c>
      <c r="K1036" s="9">
        <f t="shared" si="91"/>
        <v>201600</v>
      </c>
      <c r="L1036">
        <f t="shared" si="92"/>
        <v>290605</v>
      </c>
      <c r="M1036">
        <f>IF(AND(MyRowHidden(ROW())=FALSE,MyRowHidden(ROW()-1)=TRUE),0,IF(MONTH(H1036)&lt;&gt;MONTH(H1035),M1035+1,M1035))</f>
        <v>13</v>
      </c>
      <c r="N1036">
        <f t="shared" si="93"/>
        <v>492205</v>
      </c>
      <c r="O1036">
        <f>IF(AND(MyRowHidden(ROW())=FALSE,MyRowHidden(ROW()-1)=TRUE),0,IF(M1036&lt;totalMonths,(totalMonths-M1036)/totalMonths *(I1036-I1035)+O1035,0))</f>
        <v>0</v>
      </c>
      <c r="P1036">
        <f>IF(AND(MyRowHidden(ROW())=FALSE,MyRowHidden(ROW()-1)=TRUE),0,IF(M1036&lt;totalMonths,(totalMonths-M1036)/totalMonths *(J1036-J1035)+P1035,0))</f>
        <v>0</v>
      </c>
      <c r="Q1036">
        <f>IF(AND(MyRowHidden(ROW())=FALSE,MyRowHidden(ROW()-1)=TRUE),0,IF(M1036&lt;totalMonths,(totalMonths-M1036)/totalMonths *(K1036-K1035)+Q1035,0))</f>
        <v>0</v>
      </c>
      <c r="R1036">
        <f t="shared" si="94"/>
        <v>492205</v>
      </c>
      <c r="S1036">
        <f t="shared" si="95"/>
        <v>0</v>
      </c>
    </row>
    <row r="1037" spans="4:19" hidden="1" x14ac:dyDescent="0.25">
      <c r="D1037" s="1">
        <v>42768</v>
      </c>
      <c r="E1037">
        <v>45210</v>
      </c>
      <c r="F1037" s="1">
        <v>42768</v>
      </c>
      <c r="G1037">
        <v>-5287.5</v>
      </c>
      <c r="H1037" s="1">
        <f t="shared" ref="H1037:H1058" si="96">D1037</f>
        <v>42768</v>
      </c>
      <c r="I1037">
        <f>IF(AND(MyRowHidden(ROW())=FALSE,MyRowHidden(ROW()-1)=TRUE),0,(E1037-E1036)*unitsOfDHp+I1036)</f>
        <v>484400</v>
      </c>
      <c r="J1037">
        <f>IF(AND(MyRowHidden(ROW())=FALSE,MyRowHidden(ROW()-1)=TRUE),0,(G1037-G1036)*unitsOfExo+J1036)</f>
        <v>-82800</v>
      </c>
      <c r="K1037" s="9">
        <f t="shared" ref="K1037:K1058" si="97">-(J1037-J1036)+K1036</f>
        <v>82800</v>
      </c>
      <c r="L1037">
        <f t="shared" ref="L1037:L1058" si="98">I1037+J1037</f>
        <v>401600</v>
      </c>
      <c r="M1037">
        <f>IF(AND(MyRowHidden(ROW())=FALSE,MyRowHidden(ROW()-1)=TRUE),0,IF(MONTH(H1037)&lt;&gt;MONTH(H1036),M1036+1,M1036))</f>
        <v>13</v>
      </c>
      <c r="N1037">
        <f t="shared" ref="N1037:N1058" si="99">I1037</f>
        <v>484400</v>
      </c>
      <c r="O1037">
        <f>IF(AND(MyRowHidden(ROW())=FALSE,MyRowHidden(ROW()-1)=TRUE),0,IF(M1037&lt;totalMonths,(totalMonths-M1037)/totalMonths *(I1037-I1036)+O1036,0))</f>
        <v>0</v>
      </c>
      <c r="P1037">
        <f>IF(AND(MyRowHidden(ROW())=FALSE,MyRowHidden(ROW()-1)=TRUE),0,IF(M1037&lt;totalMonths,(totalMonths-M1037)/totalMonths *(J1037-J1036)+P1036,0))</f>
        <v>0</v>
      </c>
      <c r="Q1037">
        <f>IF(AND(MyRowHidden(ROW())=FALSE,MyRowHidden(ROW()-1)=TRUE),0,IF(M1037&lt;totalMonths,(totalMonths-M1037)/totalMonths *(K1037-K1036)+Q1036,0))</f>
        <v>0</v>
      </c>
      <c r="R1037">
        <f t="shared" ref="R1037:R1058" si="100">N1037+P1037</f>
        <v>484400</v>
      </c>
      <c r="S1037">
        <f t="shared" ref="S1037:S1058" si="101">O1037+P1037</f>
        <v>0</v>
      </c>
    </row>
    <row r="1038" spans="4:19" hidden="1" x14ac:dyDescent="0.25">
      <c r="D1038" s="1">
        <v>42769</v>
      </c>
      <c r="E1038">
        <v>45247</v>
      </c>
      <c r="F1038" s="1">
        <v>42769</v>
      </c>
      <c r="G1038">
        <v>-5337.5</v>
      </c>
      <c r="H1038" s="1">
        <f t="shared" si="96"/>
        <v>42769</v>
      </c>
      <c r="I1038">
        <f>IF(AND(MyRowHidden(ROW())=FALSE,MyRowHidden(ROW()-1)=TRUE),0,(E1038-E1037)*unitsOfDHp+I1037)</f>
        <v>485695</v>
      </c>
      <c r="J1038">
        <f>IF(AND(MyRowHidden(ROW())=FALSE,MyRowHidden(ROW()-1)=TRUE),0,(G1038-G1037)*unitsOfExo+J1037)</f>
        <v>-97200</v>
      </c>
      <c r="K1038" s="9">
        <f t="shared" si="97"/>
        <v>97200</v>
      </c>
      <c r="L1038">
        <f t="shared" si="98"/>
        <v>388495</v>
      </c>
      <c r="M1038">
        <f>IF(AND(MyRowHidden(ROW())=FALSE,MyRowHidden(ROW()-1)=TRUE),0,IF(MONTH(H1038)&lt;&gt;MONTH(H1037),M1037+1,M1037))</f>
        <v>13</v>
      </c>
      <c r="N1038">
        <f t="shared" si="99"/>
        <v>485695</v>
      </c>
      <c r="O1038">
        <f>IF(AND(MyRowHidden(ROW())=FALSE,MyRowHidden(ROW()-1)=TRUE),0,IF(M1038&lt;totalMonths,(totalMonths-M1038)/totalMonths *(I1038-I1037)+O1037,0))</f>
        <v>0</v>
      </c>
      <c r="P1038">
        <f>IF(AND(MyRowHidden(ROW())=FALSE,MyRowHidden(ROW()-1)=TRUE),0,IF(M1038&lt;totalMonths,(totalMonths-M1038)/totalMonths *(J1038-J1037)+P1037,0))</f>
        <v>0</v>
      </c>
      <c r="Q1038">
        <f>IF(AND(MyRowHidden(ROW())=FALSE,MyRowHidden(ROW()-1)=TRUE),0,IF(M1038&lt;totalMonths,(totalMonths-M1038)/totalMonths *(K1038-K1037)+Q1037,0))</f>
        <v>0</v>
      </c>
      <c r="R1038">
        <f t="shared" si="100"/>
        <v>485695</v>
      </c>
      <c r="S1038">
        <f t="shared" si="101"/>
        <v>0</v>
      </c>
    </row>
    <row r="1039" spans="4:19" hidden="1" x14ac:dyDescent="0.25">
      <c r="D1039" s="1">
        <v>42772</v>
      </c>
      <c r="E1039">
        <v>45527</v>
      </c>
      <c r="F1039" s="1">
        <v>42772</v>
      </c>
      <c r="G1039">
        <v>-5462.5</v>
      </c>
      <c r="H1039" s="1">
        <f t="shared" si="96"/>
        <v>42772</v>
      </c>
      <c r="I1039">
        <f>IF(AND(MyRowHidden(ROW())=FALSE,MyRowHidden(ROW()-1)=TRUE),0,(E1039-E1038)*unitsOfDHp+I1038)</f>
        <v>495495</v>
      </c>
      <c r="J1039">
        <f>IF(AND(MyRowHidden(ROW())=FALSE,MyRowHidden(ROW()-1)=TRUE),0,(G1039-G1038)*unitsOfExo+J1038)</f>
        <v>-133200</v>
      </c>
      <c r="K1039" s="9">
        <f t="shared" si="97"/>
        <v>133200</v>
      </c>
      <c r="L1039">
        <f t="shared" si="98"/>
        <v>362295</v>
      </c>
      <c r="M1039">
        <f>IF(AND(MyRowHidden(ROW())=FALSE,MyRowHidden(ROW()-1)=TRUE),0,IF(MONTH(H1039)&lt;&gt;MONTH(H1038),M1038+1,M1038))</f>
        <v>13</v>
      </c>
      <c r="N1039">
        <f t="shared" si="99"/>
        <v>495495</v>
      </c>
      <c r="O1039">
        <f>IF(AND(MyRowHidden(ROW())=FALSE,MyRowHidden(ROW()-1)=TRUE),0,IF(M1039&lt;totalMonths,(totalMonths-M1039)/totalMonths *(I1039-I1038)+O1038,0))</f>
        <v>0</v>
      </c>
      <c r="P1039">
        <f>IF(AND(MyRowHidden(ROW())=FALSE,MyRowHidden(ROW()-1)=TRUE),0,IF(M1039&lt;totalMonths,(totalMonths-M1039)/totalMonths *(J1039-J1038)+P1038,0))</f>
        <v>0</v>
      </c>
      <c r="Q1039">
        <f>IF(AND(MyRowHidden(ROW())=FALSE,MyRowHidden(ROW()-1)=TRUE),0,IF(M1039&lt;totalMonths,(totalMonths-M1039)/totalMonths *(K1039-K1038)+Q1038,0))</f>
        <v>0</v>
      </c>
      <c r="R1039">
        <f t="shared" si="100"/>
        <v>495495</v>
      </c>
      <c r="S1039">
        <f t="shared" si="101"/>
        <v>0</v>
      </c>
    </row>
    <row r="1040" spans="4:19" hidden="1" x14ac:dyDescent="0.25">
      <c r="D1040" s="1">
        <v>42773</v>
      </c>
      <c r="E1040">
        <v>45206</v>
      </c>
      <c r="F1040" s="1">
        <v>42773</v>
      </c>
      <c r="G1040">
        <v>-5300</v>
      </c>
      <c r="H1040" s="1">
        <f t="shared" si="96"/>
        <v>42773</v>
      </c>
      <c r="I1040">
        <f>IF(AND(MyRowHidden(ROW())=FALSE,MyRowHidden(ROW()-1)=TRUE),0,(E1040-E1039)*unitsOfDHp+I1039)</f>
        <v>484260</v>
      </c>
      <c r="J1040">
        <f>IF(AND(MyRowHidden(ROW())=FALSE,MyRowHidden(ROW()-1)=TRUE),0,(G1040-G1039)*unitsOfExo+J1039)</f>
        <v>-86400</v>
      </c>
      <c r="K1040" s="9">
        <f t="shared" si="97"/>
        <v>86400</v>
      </c>
      <c r="L1040">
        <f t="shared" si="98"/>
        <v>397860</v>
      </c>
      <c r="M1040">
        <f>IF(AND(MyRowHidden(ROW())=FALSE,MyRowHidden(ROW()-1)=TRUE),0,IF(MONTH(H1040)&lt;&gt;MONTH(H1039),M1039+1,M1039))</f>
        <v>13</v>
      </c>
      <c r="N1040">
        <f t="shared" si="99"/>
        <v>484260</v>
      </c>
      <c r="O1040">
        <f>IF(AND(MyRowHidden(ROW())=FALSE,MyRowHidden(ROW()-1)=TRUE),0,IF(M1040&lt;totalMonths,(totalMonths-M1040)/totalMonths *(I1040-I1039)+O1039,0))</f>
        <v>0</v>
      </c>
      <c r="P1040">
        <f>IF(AND(MyRowHidden(ROW())=FALSE,MyRowHidden(ROW()-1)=TRUE),0,IF(M1040&lt;totalMonths,(totalMonths-M1040)/totalMonths *(J1040-J1039)+P1039,0))</f>
        <v>0</v>
      </c>
      <c r="Q1040">
        <f>IF(AND(MyRowHidden(ROW())=FALSE,MyRowHidden(ROW()-1)=TRUE),0,IF(M1040&lt;totalMonths,(totalMonths-M1040)/totalMonths *(K1040-K1039)+Q1039,0))</f>
        <v>0</v>
      </c>
      <c r="R1040">
        <f t="shared" si="100"/>
        <v>484260</v>
      </c>
      <c r="S1040">
        <f t="shared" si="101"/>
        <v>0</v>
      </c>
    </row>
    <row r="1041" spans="4:19" hidden="1" x14ac:dyDescent="0.25">
      <c r="D1041" s="1">
        <v>42774</v>
      </c>
      <c r="E1041">
        <v>45027</v>
      </c>
      <c r="F1041" s="1">
        <v>42774</v>
      </c>
      <c r="G1041">
        <v>-5175</v>
      </c>
      <c r="H1041" s="1">
        <f t="shared" si="96"/>
        <v>42774</v>
      </c>
      <c r="I1041">
        <f>IF(AND(MyRowHidden(ROW())=FALSE,MyRowHidden(ROW()-1)=TRUE),0,(E1041-E1040)*unitsOfDHp+I1040)</f>
        <v>477995</v>
      </c>
      <c r="J1041">
        <f>IF(AND(MyRowHidden(ROW())=FALSE,MyRowHidden(ROW()-1)=TRUE),0,(G1041-G1040)*unitsOfExo+J1040)</f>
        <v>-50400</v>
      </c>
      <c r="K1041" s="9">
        <f t="shared" si="97"/>
        <v>50400</v>
      </c>
      <c r="L1041">
        <f t="shared" si="98"/>
        <v>427595</v>
      </c>
      <c r="M1041">
        <f>IF(AND(MyRowHidden(ROW())=FALSE,MyRowHidden(ROW()-1)=TRUE),0,IF(MONTH(H1041)&lt;&gt;MONTH(H1040),M1040+1,M1040))</f>
        <v>13</v>
      </c>
      <c r="N1041">
        <f t="shared" si="99"/>
        <v>477995</v>
      </c>
      <c r="O1041">
        <f>IF(AND(MyRowHidden(ROW())=FALSE,MyRowHidden(ROW()-1)=TRUE),0,IF(M1041&lt;totalMonths,(totalMonths-M1041)/totalMonths *(I1041-I1040)+O1040,0))</f>
        <v>0</v>
      </c>
      <c r="P1041">
        <f>IF(AND(MyRowHidden(ROW())=FALSE,MyRowHidden(ROW()-1)=TRUE),0,IF(M1041&lt;totalMonths,(totalMonths-M1041)/totalMonths *(J1041-J1040)+P1040,0))</f>
        <v>0</v>
      </c>
      <c r="Q1041">
        <f>IF(AND(MyRowHidden(ROW())=FALSE,MyRowHidden(ROW()-1)=TRUE),0,IF(M1041&lt;totalMonths,(totalMonths-M1041)/totalMonths *(K1041-K1040)+Q1040,0))</f>
        <v>0</v>
      </c>
      <c r="R1041">
        <f t="shared" si="100"/>
        <v>477995</v>
      </c>
      <c r="S1041">
        <f t="shared" si="101"/>
        <v>0</v>
      </c>
    </row>
    <row r="1042" spans="4:19" hidden="1" x14ac:dyDescent="0.25">
      <c r="D1042" s="1">
        <v>42775</v>
      </c>
      <c r="E1042">
        <v>45029</v>
      </c>
      <c r="F1042" s="1">
        <v>42775</v>
      </c>
      <c r="G1042">
        <v>-5175</v>
      </c>
      <c r="H1042" s="1">
        <f t="shared" si="96"/>
        <v>42775</v>
      </c>
      <c r="I1042">
        <f>IF(AND(MyRowHidden(ROW())=FALSE,MyRowHidden(ROW()-1)=TRUE),0,(E1042-E1041)*unitsOfDHp+I1041)</f>
        <v>478065</v>
      </c>
      <c r="J1042">
        <f>IF(AND(MyRowHidden(ROW())=FALSE,MyRowHidden(ROW()-1)=TRUE),0,(G1042-G1041)*unitsOfExo+J1041)</f>
        <v>-50400</v>
      </c>
      <c r="K1042" s="9">
        <f t="shared" si="97"/>
        <v>50400</v>
      </c>
      <c r="L1042">
        <f t="shared" si="98"/>
        <v>427665</v>
      </c>
      <c r="M1042">
        <f>IF(AND(MyRowHidden(ROW())=FALSE,MyRowHidden(ROW()-1)=TRUE),0,IF(MONTH(H1042)&lt;&gt;MONTH(H1041),M1041+1,M1041))</f>
        <v>13</v>
      </c>
      <c r="N1042">
        <f t="shared" si="99"/>
        <v>478065</v>
      </c>
      <c r="O1042">
        <f>IF(AND(MyRowHidden(ROW())=FALSE,MyRowHidden(ROW()-1)=TRUE),0,IF(M1042&lt;totalMonths,(totalMonths-M1042)/totalMonths *(I1042-I1041)+O1041,0))</f>
        <v>0</v>
      </c>
      <c r="P1042">
        <f>IF(AND(MyRowHidden(ROW())=FALSE,MyRowHidden(ROW()-1)=TRUE),0,IF(M1042&lt;totalMonths,(totalMonths-M1042)/totalMonths *(J1042-J1041)+P1041,0))</f>
        <v>0</v>
      </c>
      <c r="Q1042">
        <f>IF(AND(MyRowHidden(ROW())=FALSE,MyRowHidden(ROW()-1)=TRUE),0,IF(M1042&lt;totalMonths,(totalMonths-M1042)/totalMonths *(K1042-K1041)+Q1041,0))</f>
        <v>0</v>
      </c>
      <c r="R1042">
        <f t="shared" si="100"/>
        <v>478065</v>
      </c>
      <c r="S1042">
        <f t="shared" si="101"/>
        <v>0</v>
      </c>
    </row>
    <row r="1043" spans="4:19" hidden="1" x14ac:dyDescent="0.25">
      <c r="D1043" s="1">
        <v>42776</v>
      </c>
      <c r="E1043">
        <v>44399</v>
      </c>
      <c r="F1043" s="1">
        <v>42776</v>
      </c>
      <c r="G1043">
        <v>-4950</v>
      </c>
      <c r="H1043" s="1">
        <f t="shared" si="96"/>
        <v>42776</v>
      </c>
      <c r="I1043">
        <f>IF(AND(MyRowHidden(ROW())=FALSE,MyRowHidden(ROW()-1)=TRUE),0,(E1043-E1042)*unitsOfDHp+I1042)</f>
        <v>456015</v>
      </c>
      <c r="J1043">
        <f>IF(AND(MyRowHidden(ROW())=FALSE,MyRowHidden(ROW()-1)=TRUE),0,(G1043-G1042)*unitsOfExo+J1042)</f>
        <v>14400</v>
      </c>
      <c r="K1043" s="9">
        <f t="shared" si="97"/>
        <v>-14400</v>
      </c>
      <c r="L1043">
        <f t="shared" si="98"/>
        <v>470415</v>
      </c>
      <c r="M1043">
        <f>IF(AND(MyRowHidden(ROW())=FALSE,MyRowHidden(ROW()-1)=TRUE),0,IF(MONTH(H1043)&lt;&gt;MONTH(H1042),M1042+1,M1042))</f>
        <v>13</v>
      </c>
      <c r="N1043">
        <f t="shared" si="99"/>
        <v>456015</v>
      </c>
      <c r="O1043">
        <f>IF(AND(MyRowHidden(ROW())=FALSE,MyRowHidden(ROW()-1)=TRUE),0,IF(M1043&lt;totalMonths,(totalMonths-M1043)/totalMonths *(I1043-I1042)+O1042,0))</f>
        <v>0</v>
      </c>
      <c r="P1043">
        <f>IF(AND(MyRowHidden(ROW())=FALSE,MyRowHidden(ROW()-1)=TRUE),0,IF(M1043&lt;totalMonths,(totalMonths-M1043)/totalMonths *(J1043-J1042)+P1042,0))</f>
        <v>0</v>
      </c>
      <c r="Q1043">
        <f>IF(AND(MyRowHidden(ROW())=FALSE,MyRowHidden(ROW()-1)=TRUE),0,IF(M1043&lt;totalMonths,(totalMonths-M1043)/totalMonths *(K1043-K1042)+Q1042,0))</f>
        <v>0</v>
      </c>
      <c r="R1043">
        <f t="shared" si="100"/>
        <v>456015</v>
      </c>
      <c r="S1043">
        <f t="shared" si="101"/>
        <v>0</v>
      </c>
    </row>
    <row r="1044" spans="4:19" hidden="1" x14ac:dyDescent="0.25">
      <c r="D1044" s="1">
        <v>42779</v>
      </c>
      <c r="E1044">
        <v>44185</v>
      </c>
      <c r="F1044" s="1">
        <v>42779</v>
      </c>
      <c r="G1044">
        <v>-4862.5</v>
      </c>
      <c r="H1044" s="1">
        <f t="shared" si="96"/>
        <v>42779</v>
      </c>
      <c r="I1044">
        <f>IF(AND(MyRowHidden(ROW())=FALSE,MyRowHidden(ROW()-1)=TRUE),0,(E1044-E1043)*unitsOfDHp+I1043)</f>
        <v>448525</v>
      </c>
      <c r="J1044">
        <f>IF(AND(MyRowHidden(ROW())=FALSE,MyRowHidden(ROW()-1)=TRUE),0,(G1044-G1043)*unitsOfExo+J1043)</f>
        <v>39600</v>
      </c>
      <c r="K1044" s="9">
        <f t="shared" si="97"/>
        <v>-39600</v>
      </c>
      <c r="L1044">
        <f t="shared" si="98"/>
        <v>488125</v>
      </c>
      <c r="M1044">
        <f>IF(AND(MyRowHidden(ROW())=FALSE,MyRowHidden(ROW()-1)=TRUE),0,IF(MONTH(H1044)&lt;&gt;MONTH(H1043),M1043+1,M1043))</f>
        <v>13</v>
      </c>
      <c r="N1044">
        <f t="shared" si="99"/>
        <v>448525</v>
      </c>
      <c r="O1044">
        <f>IF(AND(MyRowHidden(ROW())=FALSE,MyRowHidden(ROW()-1)=TRUE),0,IF(M1044&lt;totalMonths,(totalMonths-M1044)/totalMonths *(I1044-I1043)+O1043,0))</f>
        <v>0</v>
      </c>
      <c r="P1044">
        <f>IF(AND(MyRowHidden(ROW())=FALSE,MyRowHidden(ROW()-1)=TRUE),0,IF(M1044&lt;totalMonths,(totalMonths-M1044)/totalMonths *(J1044-J1043)+P1043,0))</f>
        <v>0</v>
      </c>
      <c r="Q1044">
        <f>IF(AND(MyRowHidden(ROW())=FALSE,MyRowHidden(ROW()-1)=TRUE),0,IF(M1044&lt;totalMonths,(totalMonths-M1044)/totalMonths *(K1044-K1043)+Q1043,0))</f>
        <v>0</v>
      </c>
      <c r="R1044">
        <f t="shared" si="100"/>
        <v>448525</v>
      </c>
      <c r="S1044">
        <f t="shared" si="101"/>
        <v>0</v>
      </c>
    </row>
    <row r="1045" spans="4:19" hidden="1" x14ac:dyDescent="0.25">
      <c r="D1045" s="1">
        <v>42780</v>
      </c>
      <c r="E1045">
        <v>44422</v>
      </c>
      <c r="F1045" s="1">
        <v>42780</v>
      </c>
      <c r="G1045">
        <v>-4975</v>
      </c>
      <c r="H1045" s="1">
        <f t="shared" si="96"/>
        <v>42780</v>
      </c>
      <c r="I1045">
        <f>IF(AND(MyRowHidden(ROW())=FALSE,MyRowHidden(ROW()-1)=TRUE),0,(E1045-E1044)*unitsOfDHp+I1044)</f>
        <v>456820</v>
      </c>
      <c r="J1045">
        <f>IF(AND(MyRowHidden(ROW())=FALSE,MyRowHidden(ROW()-1)=TRUE),0,(G1045-G1044)*unitsOfExo+J1044)</f>
        <v>7200</v>
      </c>
      <c r="K1045" s="9">
        <f t="shared" si="97"/>
        <v>-7200</v>
      </c>
      <c r="L1045">
        <f t="shared" si="98"/>
        <v>464020</v>
      </c>
      <c r="M1045">
        <f>IF(AND(MyRowHidden(ROW())=FALSE,MyRowHidden(ROW()-1)=TRUE),0,IF(MONTH(H1045)&lt;&gt;MONTH(H1044),M1044+1,M1044))</f>
        <v>13</v>
      </c>
      <c r="N1045">
        <f t="shared" si="99"/>
        <v>456820</v>
      </c>
      <c r="O1045">
        <f>IF(AND(MyRowHidden(ROW())=FALSE,MyRowHidden(ROW()-1)=TRUE),0,IF(M1045&lt;totalMonths,(totalMonths-M1045)/totalMonths *(I1045-I1044)+O1044,0))</f>
        <v>0</v>
      </c>
      <c r="P1045">
        <f>IF(AND(MyRowHidden(ROW())=FALSE,MyRowHidden(ROW()-1)=TRUE),0,IF(M1045&lt;totalMonths,(totalMonths-M1045)/totalMonths *(J1045-J1044)+P1044,0))</f>
        <v>0</v>
      </c>
      <c r="Q1045">
        <f>IF(AND(MyRowHidden(ROW())=FALSE,MyRowHidden(ROW()-1)=TRUE),0,IF(M1045&lt;totalMonths,(totalMonths-M1045)/totalMonths *(K1045-K1044)+Q1044,0))</f>
        <v>0</v>
      </c>
      <c r="R1045">
        <f t="shared" si="100"/>
        <v>456820</v>
      </c>
      <c r="S1045">
        <f t="shared" si="101"/>
        <v>0</v>
      </c>
    </row>
    <row r="1046" spans="4:19" hidden="1" x14ac:dyDescent="0.25">
      <c r="D1046" s="1">
        <v>42781</v>
      </c>
      <c r="E1046">
        <v>44125</v>
      </c>
      <c r="F1046" s="1">
        <v>42781</v>
      </c>
      <c r="G1046">
        <v>-4762.5</v>
      </c>
      <c r="H1046" s="1">
        <f t="shared" si="96"/>
        <v>42781</v>
      </c>
      <c r="I1046">
        <f>IF(AND(MyRowHidden(ROW())=FALSE,MyRowHidden(ROW()-1)=TRUE),0,(E1046-E1045)*unitsOfDHp+I1045)</f>
        <v>446425</v>
      </c>
      <c r="J1046">
        <f>IF(AND(MyRowHidden(ROW())=FALSE,MyRowHidden(ROW()-1)=TRUE),0,(G1046-G1045)*unitsOfExo+J1045)</f>
        <v>68400</v>
      </c>
      <c r="K1046" s="9">
        <f t="shared" si="97"/>
        <v>-68400</v>
      </c>
      <c r="L1046">
        <f t="shared" si="98"/>
        <v>514825</v>
      </c>
      <c r="M1046">
        <f>IF(AND(MyRowHidden(ROW())=FALSE,MyRowHidden(ROW()-1)=TRUE),0,IF(MONTH(H1046)&lt;&gt;MONTH(H1045),M1045+1,M1045))</f>
        <v>13</v>
      </c>
      <c r="N1046">
        <f t="shared" si="99"/>
        <v>446425</v>
      </c>
      <c r="O1046">
        <f>IF(AND(MyRowHidden(ROW())=FALSE,MyRowHidden(ROW()-1)=TRUE),0,IF(M1046&lt;totalMonths,(totalMonths-M1046)/totalMonths *(I1046-I1045)+O1045,0))</f>
        <v>0</v>
      </c>
      <c r="P1046">
        <f>IF(AND(MyRowHidden(ROW())=FALSE,MyRowHidden(ROW()-1)=TRUE),0,IF(M1046&lt;totalMonths,(totalMonths-M1046)/totalMonths *(J1046-J1045)+P1045,0))</f>
        <v>0</v>
      </c>
      <c r="Q1046">
        <f>IF(AND(MyRowHidden(ROW())=FALSE,MyRowHidden(ROW()-1)=TRUE),0,IF(M1046&lt;totalMonths,(totalMonths-M1046)/totalMonths *(K1046-K1045)+Q1045,0))</f>
        <v>0</v>
      </c>
      <c r="R1046">
        <f t="shared" si="100"/>
        <v>446425</v>
      </c>
      <c r="S1046">
        <f t="shared" si="101"/>
        <v>0</v>
      </c>
    </row>
    <row r="1047" spans="4:19" hidden="1" x14ac:dyDescent="0.25">
      <c r="D1047" s="1">
        <v>42782</v>
      </c>
      <c r="E1047">
        <v>44200</v>
      </c>
      <c r="F1047" s="1">
        <v>42782</v>
      </c>
      <c r="G1047">
        <v>-4887.5</v>
      </c>
      <c r="H1047" s="1">
        <f t="shared" si="96"/>
        <v>42782</v>
      </c>
      <c r="I1047">
        <f>IF(AND(MyRowHidden(ROW())=FALSE,MyRowHidden(ROW()-1)=TRUE),0,(E1047-E1046)*unitsOfDHp+I1046)</f>
        <v>449050</v>
      </c>
      <c r="J1047">
        <f>IF(AND(MyRowHidden(ROW())=FALSE,MyRowHidden(ROW()-1)=TRUE),0,(G1047-G1046)*unitsOfExo+J1046)</f>
        <v>32400</v>
      </c>
      <c r="K1047" s="9">
        <f t="shared" si="97"/>
        <v>-32400</v>
      </c>
      <c r="L1047">
        <f t="shared" si="98"/>
        <v>481450</v>
      </c>
      <c r="M1047">
        <f>IF(AND(MyRowHidden(ROW())=FALSE,MyRowHidden(ROW()-1)=TRUE),0,IF(MONTH(H1047)&lt;&gt;MONTH(H1046),M1046+1,M1046))</f>
        <v>13</v>
      </c>
      <c r="N1047">
        <f t="shared" si="99"/>
        <v>449050</v>
      </c>
      <c r="O1047">
        <f>IF(AND(MyRowHidden(ROW())=FALSE,MyRowHidden(ROW()-1)=TRUE),0,IF(M1047&lt;totalMonths,(totalMonths-M1047)/totalMonths *(I1047-I1046)+O1046,0))</f>
        <v>0</v>
      </c>
      <c r="P1047">
        <f>IF(AND(MyRowHidden(ROW())=FALSE,MyRowHidden(ROW()-1)=TRUE),0,IF(M1047&lt;totalMonths,(totalMonths-M1047)/totalMonths *(J1047-J1046)+P1046,0))</f>
        <v>0</v>
      </c>
      <c r="Q1047">
        <f>IF(AND(MyRowHidden(ROW())=FALSE,MyRowHidden(ROW()-1)=TRUE),0,IF(M1047&lt;totalMonths,(totalMonths-M1047)/totalMonths *(K1047-K1046)+Q1046,0))</f>
        <v>0</v>
      </c>
      <c r="R1047">
        <f t="shared" si="100"/>
        <v>449050</v>
      </c>
      <c r="S1047">
        <f t="shared" si="101"/>
        <v>0</v>
      </c>
    </row>
    <row r="1048" spans="4:19" hidden="1" x14ac:dyDescent="0.25">
      <c r="D1048" s="1">
        <v>42783</v>
      </c>
      <c r="E1048">
        <v>44735</v>
      </c>
      <c r="F1048" s="1">
        <v>42783</v>
      </c>
      <c r="G1048">
        <v>-5200</v>
      </c>
      <c r="H1048" s="1">
        <f t="shared" si="96"/>
        <v>42783</v>
      </c>
      <c r="I1048">
        <f>IF(AND(MyRowHidden(ROW())=FALSE,MyRowHidden(ROW()-1)=TRUE),0,(E1048-E1047)*unitsOfDHp+I1047)</f>
        <v>467775</v>
      </c>
      <c r="J1048">
        <f>IF(AND(MyRowHidden(ROW())=FALSE,MyRowHidden(ROW()-1)=TRUE),0,(G1048-G1047)*unitsOfExo+J1047)</f>
        <v>-57600</v>
      </c>
      <c r="K1048" s="9">
        <f t="shared" si="97"/>
        <v>57600</v>
      </c>
      <c r="L1048">
        <f t="shared" si="98"/>
        <v>410175</v>
      </c>
      <c r="M1048">
        <f>IF(AND(MyRowHidden(ROW())=FALSE,MyRowHidden(ROW()-1)=TRUE),0,IF(MONTH(H1048)&lt;&gt;MONTH(H1047),M1047+1,M1047))</f>
        <v>13</v>
      </c>
      <c r="N1048">
        <f t="shared" si="99"/>
        <v>467775</v>
      </c>
      <c r="O1048">
        <f>IF(AND(MyRowHidden(ROW())=FALSE,MyRowHidden(ROW()-1)=TRUE),0,IF(M1048&lt;totalMonths,(totalMonths-M1048)/totalMonths *(I1048-I1047)+O1047,0))</f>
        <v>0</v>
      </c>
      <c r="P1048">
        <f>IF(AND(MyRowHidden(ROW())=FALSE,MyRowHidden(ROW()-1)=TRUE),0,IF(M1048&lt;totalMonths,(totalMonths-M1048)/totalMonths *(J1048-J1047)+P1047,0))</f>
        <v>0</v>
      </c>
      <c r="Q1048">
        <f>IF(AND(MyRowHidden(ROW())=FALSE,MyRowHidden(ROW()-1)=TRUE),0,IF(M1048&lt;totalMonths,(totalMonths-M1048)/totalMonths *(K1048-K1047)+Q1047,0))</f>
        <v>0</v>
      </c>
      <c r="R1048">
        <f t="shared" si="100"/>
        <v>467775</v>
      </c>
      <c r="S1048">
        <f t="shared" si="101"/>
        <v>0</v>
      </c>
    </row>
    <row r="1049" spans="4:19" hidden="1" x14ac:dyDescent="0.25">
      <c r="D1049" s="1">
        <v>42787</v>
      </c>
      <c r="E1049">
        <v>44686</v>
      </c>
      <c r="F1049" s="1">
        <v>42787</v>
      </c>
      <c r="G1049">
        <v>-5175</v>
      </c>
      <c r="H1049" s="1">
        <f t="shared" si="96"/>
        <v>42787</v>
      </c>
      <c r="I1049">
        <f>IF(AND(MyRowHidden(ROW())=FALSE,MyRowHidden(ROW()-1)=TRUE),0,(E1049-E1048)*unitsOfDHp+I1048)</f>
        <v>466060</v>
      </c>
      <c r="J1049">
        <f>IF(AND(MyRowHidden(ROW())=FALSE,MyRowHidden(ROW()-1)=TRUE),0,(G1049-G1048)*unitsOfExo+J1048)</f>
        <v>-50400</v>
      </c>
      <c r="K1049" s="9">
        <f t="shared" si="97"/>
        <v>50400</v>
      </c>
      <c r="L1049">
        <f t="shared" si="98"/>
        <v>415660</v>
      </c>
      <c r="M1049">
        <f>IF(AND(MyRowHidden(ROW())=FALSE,MyRowHidden(ROW()-1)=TRUE),0,IF(MONTH(H1049)&lt;&gt;MONTH(H1048),M1048+1,M1048))</f>
        <v>13</v>
      </c>
      <c r="N1049">
        <f t="shared" si="99"/>
        <v>466060</v>
      </c>
      <c r="O1049">
        <f>IF(AND(MyRowHidden(ROW())=FALSE,MyRowHidden(ROW()-1)=TRUE),0,IF(M1049&lt;totalMonths,(totalMonths-M1049)/totalMonths *(I1049-I1048)+O1048,0))</f>
        <v>0</v>
      </c>
      <c r="P1049">
        <f>IF(AND(MyRowHidden(ROW())=FALSE,MyRowHidden(ROW()-1)=TRUE),0,IF(M1049&lt;totalMonths,(totalMonths-M1049)/totalMonths *(J1049-J1048)+P1048,0))</f>
        <v>0</v>
      </c>
      <c r="Q1049">
        <f>IF(AND(MyRowHidden(ROW())=FALSE,MyRowHidden(ROW()-1)=TRUE),0,IF(M1049&lt;totalMonths,(totalMonths-M1049)/totalMonths *(K1049-K1048)+Q1048,0))</f>
        <v>0</v>
      </c>
      <c r="R1049">
        <f t="shared" si="100"/>
        <v>466060</v>
      </c>
      <c r="S1049">
        <f t="shared" si="101"/>
        <v>0</v>
      </c>
    </row>
    <row r="1050" spans="4:19" hidden="1" x14ac:dyDescent="0.25">
      <c r="D1050" s="1">
        <v>42788</v>
      </c>
      <c r="E1050">
        <v>44625</v>
      </c>
      <c r="F1050" s="1">
        <v>42788</v>
      </c>
      <c r="G1050">
        <v>-5175</v>
      </c>
      <c r="H1050" s="1">
        <f t="shared" si="96"/>
        <v>42788</v>
      </c>
      <c r="I1050">
        <f>IF(AND(MyRowHidden(ROW())=FALSE,MyRowHidden(ROW()-1)=TRUE),0,(E1050-E1049)*unitsOfDHp+I1049)</f>
        <v>463925</v>
      </c>
      <c r="J1050">
        <f>IF(AND(MyRowHidden(ROW())=FALSE,MyRowHidden(ROW()-1)=TRUE),0,(G1050-G1049)*unitsOfExo+J1049)</f>
        <v>-50400</v>
      </c>
      <c r="K1050" s="9">
        <f t="shared" si="97"/>
        <v>50400</v>
      </c>
      <c r="L1050">
        <f t="shared" si="98"/>
        <v>413525</v>
      </c>
      <c r="M1050">
        <f>IF(AND(MyRowHidden(ROW())=FALSE,MyRowHidden(ROW()-1)=TRUE),0,IF(MONTH(H1050)&lt;&gt;MONTH(H1049),M1049+1,M1049))</f>
        <v>13</v>
      </c>
      <c r="N1050">
        <f t="shared" si="99"/>
        <v>463925</v>
      </c>
      <c r="O1050">
        <f>IF(AND(MyRowHidden(ROW())=FALSE,MyRowHidden(ROW()-1)=TRUE),0,IF(M1050&lt;totalMonths,(totalMonths-M1050)/totalMonths *(I1050-I1049)+O1049,0))</f>
        <v>0</v>
      </c>
      <c r="P1050">
        <f>IF(AND(MyRowHidden(ROW())=FALSE,MyRowHidden(ROW()-1)=TRUE),0,IF(M1050&lt;totalMonths,(totalMonths-M1050)/totalMonths *(J1050-J1049)+P1049,0))</f>
        <v>0</v>
      </c>
      <c r="Q1050">
        <f>IF(AND(MyRowHidden(ROW())=FALSE,MyRowHidden(ROW()-1)=TRUE),0,IF(M1050&lt;totalMonths,(totalMonths-M1050)/totalMonths *(K1050-K1049)+Q1049,0))</f>
        <v>0</v>
      </c>
      <c r="R1050">
        <f t="shared" si="100"/>
        <v>463925</v>
      </c>
      <c r="S1050">
        <f t="shared" si="101"/>
        <v>0</v>
      </c>
    </row>
    <row r="1051" spans="4:19" hidden="1" x14ac:dyDescent="0.25">
      <c r="D1051" s="1">
        <v>42789</v>
      </c>
      <c r="E1051">
        <v>44645</v>
      </c>
      <c r="F1051" s="1">
        <v>42789</v>
      </c>
      <c r="G1051">
        <v>-5387.5</v>
      </c>
      <c r="H1051" s="1">
        <f t="shared" si="96"/>
        <v>42789</v>
      </c>
      <c r="I1051">
        <f>IF(AND(MyRowHidden(ROW())=FALSE,MyRowHidden(ROW()-1)=TRUE),0,(E1051-E1050)*unitsOfDHp+I1050)</f>
        <v>464625</v>
      </c>
      <c r="J1051">
        <f>IF(AND(MyRowHidden(ROW())=FALSE,MyRowHidden(ROW()-1)=TRUE),0,(G1051-G1050)*unitsOfExo+J1050)</f>
        <v>-111600</v>
      </c>
      <c r="K1051" s="9">
        <f t="shared" si="97"/>
        <v>111600</v>
      </c>
      <c r="L1051">
        <f t="shared" si="98"/>
        <v>353025</v>
      </c>
      <c r="M1051">
        <f>IF(AND(MyRowHidden(ROW())=FALSE,MyRowHidden(ROW()-1)=TRUE),0,IF(MONTH(H1051)&lt;&gt;MONTH(H1050),M1050+1,M1050))</f>
        <v>13</v>
      </c>
      <c r="N1051">
        <f t="shared" si="99"/>
        <v>464625</v>
      </c>
      <c r="O1051">
        <f>IF(AND(MyRowHidden(ROW())=FALSE,MyRowHidden(ROW()-1)=TRUE),0,IF(M1051&lt;totalMonths,(totalMonths-M1051)/totalMonths *(I1051-I1050)+O1050,0))</f>
        <v>0</v>
      </c>
      <c r="P1051">
        <f>IF(AND(MyRowHidden(ROW())=FALSE,MyRowHidden(ROW()-1)=TRUE),0,IF(M1051&lt;totalMonths,(totalMonths-M1051)/totalMonths *(J1051-J1050)+P1050,0))</f>
        <v>0</v>
      </c>
      <c r="Q1051">
        <f>IF(AND(MyRowHidden(ROW())=FALSE,MyRowHidden(ROW()-1)=TRUE),0,IF(M1051&lt;totalMonths,(totalMonths-M1051)/totalMonths *(K1051-K1050)+Q1050,0))</f>
        <v>0</v>
      </c>
      <c r="R1051">
        <f t="shared" si="100"/>
        <v>464625</v>
      </c>
      <c r="S1051">
        <f t="shared" si="101"/>
        <v>0</v>
      </c>
    </row>
    <row r="1052" spans="4:19" hidden="1" x14ac:dyDescent="0.25">
      <c r="D1052" s="1">
        <v>42790</v>
      </c>
      <c r="E1052">
        <v>44888</v>
      </c>
      <c r="F1052" s="1">
        <v>42790</v>
      </c>
      <c r="G1052">
        <v>-5525</v>
      </c>
      <c r="H1052" s="1">
        <f t="shared" si="96"/>
        <v>42790</v>
      </c>
      <c r="I1052">
        <f>IF(AND(MyRowHidden(ROW())=FALSE,MyRowHidden(ROW()-1)=TRUE),0,(E1052-E1051)*unitsOfDHp+I1051)</f>
        <v>473130</v>
      </c>
      <c r="J1052">
        <f>IF(AND(MyRowHidden(ROW())=FALSE,MyRowHidden(ROW()-1)=TRUE),0,(G1052-G1051)*unitsOfExo+J1051)</f>
        <v>-151200</v>
      </c>
      <c r="K1052" s="9">
        <f t="shared" si="97"/>
        <v>151200</v>
      </c>
      <c r="L1052">
        <f t="shared" si="98"/>
        <v>321930</v>
      </c>
      <c r="M1052">
        <f>IF(AND(MyRowHidden(ROW())=FALSE,MyRowHidden(ROW()-1)=TRUE),0,IF(MONTH(H1052)&lt;&gt;MONTH(H1051),M1051+1,M1051))</f>
        <v>13</v>
      </c>
      <c r="N1052">
        <f t="shared" si="99"/>
        <v>473130</v>
      </c>
      <c r="O1052">
        <f>IF(AND(MyRowHidden(ROW())=FALSE,MyRowHidden(ROW()-1)=TRUE),0,IF(M1052&lt;totalMonths,(totalMonths-M1052)/totalMonths *(I1052-I1051)+O1051,0))</f>
        <v>0</v>
      </c>
      <c r="P1052">
        <f>IF(AND(MyRowHidden(ROW())=FALSE,MyRowHidden(ROW()-1)=TRUE),0,IF(M1052&lt;totalMonths,(totalMonths-M1052)/totalMonths *(J1052-J1051)+P1051,0))</f>
        <v>0</v>
      </c>
      <c r="Q1052">
        <f>IF(AND(MyRowHidden(ROW())=FALSE,MyRowHidden(ROW()-1)=TRUE),0,IF(M1052&lt;totalMonths,(totalMonths-M1052)/totalMonths *(K1052-K1051)+Q1051,0))</f>
        <v>0</v>
      </c>
      <c r="R1052">
        <f t="shared" si="100"/>
        <v>473130</v>
      </c>
      <c r="S1052">
        <f t="shared" si="101"/>
        <v>0</v>
      </c>
    </row>
    <row r="1053" spans="4:19" hidden="1" x14ac:dyDescent="0.25">
      <c r="D1053" s="1">
        <v>42793</v>
      </c>
      <c r="E1053">
        <v>45021</v>
      </c>
      <c r="F1053" s="1">
        <v>42793</v>
      </c>
      <c r="G1053">
        <v>-5650</v>
      </c>
      <c r="H1053" s="1">
        <f t="shared" si="96"/>
        <v>42793</v>
      </c>
      <c r="I1053">
        <f>IF(AND(MyRowHidden(ROW())=FALSE,MyRowHidden(ROW()-1)=TRUE),0,(E1053-E1052)*unitsOfDHp+I1052)</f>
        <v>477785</v>
      </c>
      <c r="J1053">
        <f>IF(AND(MyRowHidden(ROW())=FALSE,MyRowHidden(ROW()-1)=TRUE),0,(G1053-G1052)*unitsOfExo+J1052)</f>
        <v>-187200</v>
      </c>
      <c r="K1053" s="9">
        <f t="shared" si="97"/>
        <v>187200</v>
      </c>
      <c r="L1053">
        <f t="shared" si="98"/>
        <v>290585</v>
      </c>
      <c r="M1053">
        <f>IF(AND(MyRowHidden(ROW())=FALSE,MyRowHidden(ROW()-1)=TRUE),0,IF(MONTH(H1053)&lt;&gt;MONTH(H1052),M1052+1,M1052))</f>
        <v>13</v>
      </c>
      <c r="N1053">
        <f t="shared" si="99"/>
        <v>477785</v>
      </c>
      <c r="O1053">
        <f>IF(AND(MyRowHidden(ROW())=FALSE,MyRowHidden(ROW()-1)=TRUE),0,IF(M1053&lt;totalMonths,(totalMonths-M1053)/totalMonths *(I1053-I1052)+O1052,0))</f>
        <v>0</v>
      </c>
      <c r="P1053">
        <f>IF(AND(MyRowHidden(ROW())=FALSE,MyRowHidden(ROW()-1)=TRUE),0,IF(M1053&lt;totalMonths,(totalMonths-M1053)/totalMonths *(J1053-J1052)+P1052,0))</f>
        <v>0</v>
      </c>
      <c r="Q1053">
        <f>IF(AND(MyRowHidden(ROW())=FALSE,MyRowHidden(ROW()-1)=TRUE),0,IF(M1053&lt;totalMonths,(totalMonths-M1053)/totalMonths *(K1053-K1052)+Q1052,0))</f>
        <v>0</v>
      </c>
      <c r="R1053">
        <f t="shared" si="100"/>
        <v>477785</v>
      </c>
      <c r="S1053">
        <f t="shared" si="101"/>
        <v>0</v>
      </c>
    </row>
    <row r="1054" spans="4:19" hidden="1" x14ac:dyDescent="0.25">
      <c r="D1054" s="1">
        <v>42794</v>
      </c>
      <c r="E1054">
        <v>44814</v>
      </c>
      <c r="F1054" s="1">
        <v>42794</v>
      </c>
      <c r="G1054">
        <v>-5325</v>
      </c>
      <c r="H1054" s="1">
        <f t="shared" si="96"/>
        <v>42794</v>
      </c>
      <c r="I1054">
        <f>IF(AND(MyRowHidden(ROW())=FALSE,MyRowHidden(ROW()-1)=TRUE),0,(E1054-E1053)*unitsOfDHp+I1053)</f>
        <v>470540</v>
      </c>
      <c r="J1054">
        <f>IF(AND(MyRowHidden(ROW())=FALSE,MyRowHidden(ROW()-1)=TRUE),0,(G1054-G1053)*unitsOfExo+J1053)</f>
        <v>-93600</v>
      </c>
      <c r="K1054" s="9">
        <f t="shared" si="97"/>
        <v>93600</v>
      </c>
      <c r="L1054">
        <f t="shared" si="98"/>
        <v>376940</v>
      </c>
      <c r="M1054">
        <f>IF(AND(MyRowHidden(ROW())=FALSE,MyRowHidden(ROW()-1)=TRUE),0,IF(MONTH(H1054)&lt;&gt;MONTH(H1053),M1053+1,M1053))</f>
        <v>13</v>
      </c>
      <c r="N1054">
        <f t="shared" si="99"/>
        <v>470540</v>
      </c>
      <c r="O1054">
        <f>IF(AND(MyRowHidden(ROW())=FALSE,MyRowHidden(ROW()-1)=TRUE),0,IF(M1054&lt;totalMonths,(totalMonths-M1054)/totalMonths *(I1054-I1053)+O1053,0))</f>
        <v>0</v>
      </c>
      <c r="P1054">
        <f>IF(AND(MyRowHidden(ROW())=FALSE,MyRowHidden(ROW()-1)=TRUE),0,IF(M1054&lt;totalMonths,(totalMonths-M1054)/totalMonths *(J1054-J1053)+P1053,0))</f>
        <v>0</v>
      </c>
      <c r="Q1054">
        <f>IF(AND(MyRowHidden(ROW())=FALSE,MyRowHidden(ROW()-1)=TRUE),0,IF(M1054&lt;totalMonths,(totalMonths-M1054)/totalMonths *(K1054-K1053)+Q1053,0))</f>
        <v>0</v>
      </c>
      <c r="R1054">
        <f t="shared" si="100"/>
        <v>470540</v>
      </c>
      <c r="S1054">
        <f t="shared" si="101"/>
        <v>0</v>
      </c>
    </row>
    <row r="1055" spans="4:19" hidden="1" x14ac:dyDescent="0.25">
      <c r="D1055" s="1">
        <v>42795</v>
      </c>
      <c r="E1055">
        <v>45287</v>
      </c>
      <c r="F1055" s="1">
        <v>42795</v>
      </c>
      <c r="G1055">
        <v>-4937.5</v>
      </c>
      <c r="H1055" s="1">
        <f t="shared" si="96"/>
        <v>42795</v>
      </c>
      <c r="I1055">
        <f>IF(AND(MyRowHidden(ROW())=FALSE,MyRowHidden(ROW()-1)=TRUE),0,(E1055-E1054)*unitsOfDHp+I1054)</f>
        <v>487095</v>
      </c>
      <c r="J1055">
        <f>IF(AND(MyRowHidden(ROW())=FALSE,MyRowHidden(ROW()-1)=TRUE),0,(G1055-G1054)*unitsOfExo+J1054)</f>
        <v>18000</v>
      </c>
      <c r="K1055" s="9">
        <f t="shared" si="97"/>
        <v>-18000</v>
      </c>
      <c r="L1055">
        <f t="shared" si="98"/>
        <v>505095</v>
      </c>
      <c r="M1055">
        <f>IF(AND(MyRowHidden(ROW())=FALSE,MyRowHidden(ROW()-1)=TRUE),0,IF(MONTH(H1055)&lt;&gt;MONTH(H1054),M1054+1,M1054))</f>
        <v>14</v>
      </c>
      <c r="N1055">
        <f t="shared" si="99"/>
        <v>487095</v>
      </c>
      <c r="O1055">
        <f>IF(AND(MyRowHidden(ROW())=FALSE,MyRowHidden(ROW()-1)=TRUE),0,IF(M1055&lt;totalMonths,(totalMonths-M1055)/totalMonths *(I1055-I1054)+O1054,0))</f>
        <v>0</v>
      </c>
      <c r="P1055">
        <f>IF(AND(MyRowHidden(ROW())=FALSE,MyRowHidden(ROW()-1)=TRUE),0,IF(M1055&lt;totalMonths,(totalMonths-M1055)/totalMonths *(J1055-J1054)+P1054,0))</f>
        <v>0</v>
      </c>
      <c r="Q1055">
        <f>IF(AND(MyRowHidden(ROW())=FALSE,MyRowHidden(ROW()-1)=TRUE),0,IF(M1055&lt;totalMonths,(totalMonths-M1055)/totalMonths *(K1055-K1054)+Q1054,0))</f>
        <v>0</v>
      </c>
      <c r="R1055">
        <f t="shared" si="100"/>
        <v>487095</v>
      </c>
      <c r="S1055">
        <f t="shared" si="101"/>
        <v>0</v>
      </c>
    </row>
    <row r="1056" spans="4:19" hidden="1" x14ac:dyDescent="0.25">
      <c r="D1056" s="1">
        <v>42796</v>
      </c>
      <c r="E1056">
        <v>45281</v>
      </c>
      <c r="F1056" s="1">
        <v>42796</v>
      </c>
      <c r="G1056">
        <v>-4887.5</v>
      </c>
      <c r="H1056" s="1">
        <f t="shared" si="96"/>
        <v>42796</v>
      </c>
      <c r="I1056">
        <f>IF(AND(MyRowHidden(ROW())=FALSE,MyRowHidden(ROW()-1)=TRUE),0,(E1056-E1055)*unitsOfDHp+I1055)</f>
        <v>486885</v>
      </c>
      <c r="J1056">
        <f>IF(AND(MyRowHidden(ROW())=FALSE,MyRowHidden(ROW()-1)=TRUE),0,(G1056-G1055)*unitsOfExo+J1055)</f>
        <v>32400</v>
      </c>
      <c r="K1056" s="9">
        <f t="shared" si="97"/>
        <v>-32400</v>
      </c>
      <c r="L1056">
        <f t="shared" si="98"/>
        <v>519285</v>
      </c>
      <c r="M1056">
        <f>IF(AND(MyRowHidden(ROW())=FALSE,MyRowHidden(ROW()-1)=TRUE),0,IF(MONTH(H1056)&lt;&gt;MONTH(H1055),M1055+1,M1055))</f>
        <v>14</v>
      </c>
      <c r="N1056">
        <f t="shared" si="99"/>
        <v>486885</v>
      </c>
      <c r="O1056">
        <f>IF(AND(MyRowHidden(ROW())=FALSE,MyRowHidden(ROW()-1)=TRUE),0,IF(M1056&lt;totalMonths,(totalMonths-M1056)/totalMonths *(I1056-I1055)+O1055,0))</f>
        <v>0</v>
      </c>
      <c r="P1056">
        <f>IF(AND(MyRowHidden(ROW())=FALSE,MyRowHidden(ROW()-1)=TRUE),0,IF(M1056&lt;totalMonths,(totalMonths-M1056)/totalMonths *(J1056-J1055)+P1055,0))</f>
        <v>0</v>
      </c>
      <c r="Q1056">
        <f>IF(AND(MyRowHidden(ROW())=FALSE,MyRowHidden(ROW()-1)=TRUE),0,IF(M1056&lt;totalMonths,(totalMonths-M1056)/totalMonths *(K1056-K1055)+Q1055,0))</f>
        <v>0</v>
      </c>
      <c r="R1056">
        <f t="shared" si="100"/>
        <v>486885</v>
      </c>
      <c r="S1056">
        <f t="shared" si="101"/>
        <v>0</v>
      </c>
    </row>
    <row r="1057" spans="4:19" hidden="1" x14ac:dyDescent="0.25">
      <c r="D1057" s="1">
        <v>42797</v>
      </c>
      <c r="E1057">
        <v>45193</v>
      </c>
      <c r="F1057" s="1">
        <v>42797</v>
      </c>
      <c r="G1057">
        <v>-4950</v>
      </c>
      <c r="H1057" s="1">
        <f t="shared" si="96"/>
        <v>42797</v>
      </c>
      <c r="I1057">
        <f>IF(AND(MyRowHidden(ROW())=FALSE,MyRowHidden(ROW()-1)=TRUE),0,(E1057-E1056)*unitsOfDHp+I1056)</f>
        <v>483805</v>
      </c>
      <c r="J1057">
        <f>IF(AND(MyRowHidden(ROW())=FALSE,MyRowHidden(ROW()-1)=TRUE),0,(G1057-G1056)*unitsOfExo+J1056)</f>
        <v>14400</v>
      </c>
      <c r="K1057" s="9">
        <f t="shared" si="97"/>
        <v>-14400</v>
      </c>
      <c r="L1057">
        <f t="shared" si="98"/>
        <v>498205</v>
      </c>
      <c r="M1057">
        <f>IF(AND(MyRowHidden(ROW())=FALSE,MyRowHidden(ROW()-1)=TRUE),0,IF(MONTH(H1057)&lt;&gt;MONTH(H1056),M1056+1,M1056))</f>
        <v>14</v>
      </c>
      <c r="N1057">
        <f t="shared" si="99"/>
        <v>483805</v>
      </c>
      <c r="O1057">
        <f>IF(AND(MyRowHidden(ROW())=FALSE,MyRowHidden(ROW()-1)=TRUE),0,IF(M1057&lt;totalMonths,(totalMonths-M1057)/totalMonths *(I1057-I1056)+O1056,0))</f>
        <v>0</v>
      </c>
      <c r="P1057">
        <f>IF(AND(MyRowHidden(ROW())=FALSE,MyRowHidden(ROW()-1)=TRUE),0,IF(M1057&lt;totalMonths,(totalMonths-M1057)/totalMonths *(J1057-J1056)+P1056,0))</f>
        <v>0</v>
      </c>
      <c r="Q1057">
        <f>IF(AND(MyRowHidden(ROW())=FALSE,MyRowHidden(ROW()-1)=TRUE),0,IF(M1057&lt;totalMonths,(totalMonths-M1057)/totalMonths *(K1057-K1056)+Q1056,0))</f>
        <v>0</v>
      </c>
      <c r="R1057">
        <f t="shared" si="100"/>
        <v>483805</v>
      </c>
      <c r="S1057">
        <f t="shared" si="101"/>
        <v>0</v>
      </c>
    </row>
    <row r="1058" spans="4:19" hidden="1" x14ac:dyDescent="0.25">
      <c r="D1058" s="1">
        <v>42800</v>
      </c>
      <c r="E1058">
        <v>45082</v>
      </c>
      <c r="F1058" s="1">
        <v>42800</v>
      </c>
      <c r="G1058">
        <v>-5062.5</v>
      </c>
      <c r="H1058" s="1">
        <f t="shared" si="96"/>
        <v>42800</v>
      </c>
      <c r="I1058">
        <f>IF(AND(MyRowHidden(ROW())=FALSE,MyRowHidden(ROW()-1)=TRUE),0,(E1058-E1057)*unitsOfDHp+I1057)</f>
        <v>479920</v>
      </c>
      <c r="J1058">
        <f>IF(AND(MyRowHidden(ROW())=FALSE,MyRowHidden(ROW()-1)=TRUE),0,(G1058-G1057)*unitsOfExo+J1057)</f>
        <v>-18000</v>
      </c>
      <c r="K1058" s="9">
        <f t="shared" si="97"/>
        <v>18000</v>
      </c>
      <c r="L1058">
        <f t="shared" si="98"/>
        <v>461920</v>
      </c>
      <c r="M1058">
        <f>IF(AND(MyRowHidden(ROW())=FALSE,MyRowHidden(ROW()-1)=TRUE),0,IF(MONTH(H1058)&lt;&gt;MONTH(H1057),M1057+1,M1057))</f>
        <v>14</v>
      </c>
      <c r="N1058">
        <f t="shared" si="99"/>
        <v>479920</v>
      </c>
      <c r="O1058">
        <f>IF(AND(MyRowHidden(ROW())=FALSE,MyRowHidden(ROW()-1)=TRUE),0,IF(M1058&lt;totalMonths,(totalMonths-M1058)/totalMonths *(I1058-I1057)+O1057,0))</f>
        <v>0</v>
      </c>
      <c r="P1058">
        <f>IF(AND(MyRowHidden(ROW())=FALSE,MyRowHidden(ROW()-1)=TRUE),0,IF(M1058&lt;totalMonths,(totalMonths-M1058)/totalMonths *(J1058-J1057)+P1057,0))</f>
        <v>0</v>
      </c>
      <c r="Q1058">
        <f>IF(AND(MyRowHidden(ROW())=FALSE,MyRowHidden(ROW()-1)=TRUE),0,IF(M1058&lt;totalMonths,(totalMonths-M1058)/totalMonths *(K1058-K1057)+Q1057,0))</f>
        <v>0</v>
      </c>
      <c r="R1058">
        <f t="shared" si="100"/>
        <v>479920</v>
      </c>
      <c r="S1058">
        <f t="shared" si="101"/>
        <v>0</v>
      </c>
    </row>
    <row r="1059" spans="4:19" hidden="1" x14ac:dyDescent="0.25">
      <c r="D1059" s="1"/>
      <c r="F1059" s="1"/>
      <c r="H1059" s="1"/>
    </row>
  </sheetData>
  <autoFilter ref="H11:L1059">
    <filterColumn colId="0">
      <filters>
        <dateGroupItem year="2016" dateTimeGrouping="year"/>
      </filters>
    </filterColumn>
  </autoFilter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9"/>
  <sheetViews>
    <sheetView workbookViewId="0">
      <selection activeCell="I17" sqref="I17:I28"/>
    </sheetView>
  </sheetViews>
  <sheetFormatPr defaultRowHeight="15" x14ac:dyDescent="0.25"/>
  <cols>
    <col min="2" max="2" width="10.7109375" bestFit="1" customWidth="1"/>
    <col min="4" max="4" width="10.7109375" bestFit="1" customWidth="1"/>
    <col min="9" max="9" width="11.5703125" bestFit="1" customWidth="1"/>
    <col min="12" max="12" width="10.7109375" style="9" bestFit="1" customWidth="1"/>
    <col min="13" max="16" width="9.140625" style="9"/>
  </cols>
  <sheetData>
    <row r="1" spans="1:19" x14ac:dyDescent="0.25">
      <c r="A1" t="s">
        <v>59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52</v>
      </c>
      <c r="K1" t="s">
        <v>53</v>
      </c>
      <c r="L1" s="9" t="s">
        <v>54</v>
      </c>
      <c r="M1" s="9" t="s">
        <v>55</v>
      </c>
      <c r="N1" s="9" t="s">
        <v>56</v>
      </c>
      <c r="O1" s="9" t="s">
        <v>57</v>
      </c>
      <c r="P1" s="19" t="s">
        <v>84</v>
      </c>
      <c r="Q1" s="9" t="s">
        <v>58</v>
      </c>
      <c r="S1" t="s">
        <v>60</v>
      </c>
    </row>
    <row r="2" spans="1:19" x14ac:dyDescent="0.25">
      <c r="A2">
        <v>1</v>
      </c>
      <c r="B2" s="1">
        <v>42369</v>
      </c>
      <c r="I2">
        <v>0</v>
      </c>
      <c r="J2">
        <f>I2*S$2</f>
        <v>0</v>
      </c>
      <c r="K2">
        <v>0</v>
      </c>
      <c r="L2" s="9">
        <v>0</v>
      </c>
      <c r="M2" s="9">
        <v>0</v>
      </c>
      <c r="N2" s="9">
        <v>0</v>
      </c>
      <c r="O2" s="9">
        <v>0</v>
      </c>
      <c r="P2" s="9">
        <v>0</v>
      </c>
      <c r="Q2">
        <v>0</v>
      </c>
      <c r="S2" s="13">
        <v>1</v>
      </c>
    </row>
    <row r="3" spans="1:19" x14ac:dyDescent="0.25">
      <c r="A3">
        <v>1</v>
      </c>
      <c r="B3" s="1">
        <v>42400</v>
      </c>
      <c r="C3">
        <v>506018</v>
      </c>
      <c r="D3">
        <v>99219</v>
      </c>
      <c r="E3" t="s">
        <v>53</v>
      </c>
      <c r="G3">
        <v>401.99999999999994</v>
      </c>
      <c r="H3">
        <v>361.91250000000002</v>
      </c>
      <c r="I3">
        <v>-56122.499999999891</v>
      </c>
      <c r="J3">
        <f t="shared" ref="J3:J14" si="0">I3*S$2</f>
        <v>-56122.499999999891</v>
      </c>
      <c r="K3">
        <f t="shared" ref="K3:L5" si="1">IF($E3=K$1,IF($E3=$E2,$J3+K2,$J3),0)</f>
        <v>-56122.499999999891</v>
      </c>
      <c r="L3">
        <f t="shared" si="1"/>
        <v>0</v>
      </c>
      <c r="M3">
        <f t="shared" ref="M3:M8" si="2">IF($E3=M$1,IF($E3=$E2,$J3+M2,$J3),0)</f>
        <v>0</v>
      </c>
      <c r="N3">
        <f t="shared" ref="N3:N10" si="3">IF($E3=N$1,IF($E3=$E2,$J3+N2,$J3),0)</f>
        <v>0</v>
      </c>
      <c r="O3">
        <f t="shared" ref="O3:P14" si="4">IF($E3=O$1,IF($E3=$E2,$J3+O2,$J3),0)</f>
        <v>0</v>
      </c>
      <c r="P3">
        <f t="shared" si="4"/>
        <v>0</v>
      </c>
      <c r="Q3" s="9">
        <f>J3+Q2</f>
        <v>-56122.499999999891</v>
      </c>
    </row>
    <row r="4" spans="1:19" x14ac:dyDescent="0.25">
      <c r="A4">
        <v>1</v>
      </c>
      <c r="B4" s="1">
        <v>42429</v>
      </c>
      <c r="C4">
        <v>506018</v>
      </c>
      <c r="D4">
        <v>99219</v>
      </c>
      <c r="E4" t="s">
        <v>53</v>
      </c>
      <c r="G4">
        <v>401.99999999999994</v>
      </c>
      <c r="H4">
        <v>363.0595238095238</v>
      </c>
      <c r="I4">
        <v>-54516.66666666665</v>
      </c>
      <c r="J4">
        <f t="shared" si="0"/>
        <v>-54516.66666666665</v>
      </c>
      <c r="K4">
        <f t="shared" si="1"/>
        <v>-110639.16666666654</v>
      </c>
      <c r="L4">
        <f t="shared" si="1"/>
        <v>0</v>
      </c>
      <c r="M4">
        <f t="shared" si="2"/>
        <v>0</v>
      </c>
      <c r="N4">
        <f t="shared" si="3"/>
        <v>0</v>
      </c>
      <c r="O4">
        <f t="shared" si="4"/>
        <v>0</v>
      </c>
      <c r="P4">
        <f t="shared" si="4"/>
        <v>0</v>
      </c>
      <c r="Q4" s="9">
        <f>J4+Q3</f>
        <v>-110639.16666666654</v>
      </c>
    </row>
    <row r="5" spans="1:19" x14ac:dyDescent="0.25">
      <c r="A5">
        <v>1</v>
      </c>
      <c r="B5" s="1">
        <v>42460</v>
      </c>
      <c r="C5">
        <v>506018</v>
      </c>
      <c r="D5">
        <v>99219</v>
      </c>
      <c r="E5" t="s">
        <v>54</v>
      </c>
      <c r="G5">
        <v>408</v>
      </c>
      <c r="H5">
        <v>364.54347826086956</v>
      </c>
      <c r="I5">
        <v>-58666.304347826124</v>
      </c>
      <c r="J5">
        <f t="shared" si="0"/>
        <v>-58666.304347826124</v>
      </c>
      <c r="L5">
        <f t="shared" si="1"/>
        <v>-58666.304347826124</v>
      </c>
      <c r="M5">
        <f t="shared" si="2"/>
        <v>0</v>
      </c>
      <c r="N5">
        <f t="shared" si="3"/>
        <v>0</v>
      </c>
      <c r="O5">
        <f t="shared" si="4"/>
        <v>0</v>
      </c>
      <c r="P5">
        <f t="shared" si="4"/>
        <v>0</v>
      </c>
      <c r="Q5" s="9">
        <f t="shared" ref="Q5:Q14" si="5">J5+Q4</f>
        <v>-169305.47101449268</v>
      </c>
    </row>
    <row r="6" spans="1:19" x14ac:dyDescent="0.25">
      <c r="A6" s="11">
        <v>1</v>
      </c>
      <c r="B6" s="1">
        <v>42490</v>
      </c>
      <c r="C6" s="11">
        <v>698427</v>
      </c>
      <c r="D6" s="11">
        <v>136946</v>
      </c>
      <c r="E6" s="11" t="s">
        <v>54</v>
      </c>
      <c r="F6" s="11"/>
      <c r="G6" s="11">
        <v>395</v>
      </c>
      <c r="H6" s="11">
        <v>372.67857142857144</v>
      </c>
      <c r="I6" s="11">
        <v>-44642.857142857116</v>
      </c>
      <c r="J6">
        <f t="shared" si="0"/>
        <v>-44642.857142857116</v>
      </c>
      <c r="K6" s="12"/>
      <c r="L6">
        <f>IF($E6=L$1,IF($E6=$E5,$J6+L5,$J6),0)</f>
        <v>-103309.16149068324</v>
      </c>
      <c r="M6">
        <f t="shared" si="2"/>
        <v>0</v>
      </c>
      <c r="N6">
        <f t="shared" si="3"/>
        <v>0</v>
      </c>
      <c r="O6">
        <f t="shared" si="4"/>
        <v>0</v>
      </c>
      <c r="P6">
        <f t="shared" si="4"/>
        <v>0</v>
      </c>
      <c r="Q6" s="9">
        <f t="shared" si="5"/>
        <v>-213948.32815734978</v>
      </c>
    </row>
    <row r="7" spans="1:19" x14ac:dyDescent="0.25">
      <c r="A7" s="11">
        <v>1</v>
      </c>
      <c r="B7" s="1">
        <v>42521</v>
      </c>
      <c r="C7" s="11">
        <v>698427</v>
      </c>
      <c r="D7" s="11">
        <v>136946</v>
      </c>
      <c r="E7" s="11" t="s">
        <v>55</v>
      </c>
      <c r="F7" s="11"/>
      <c r="G7" s="11">
        <v>399</v>
      </c>
      <c r="H7" s="11">
        <v>391.82954545454544</v>
      </c>
      <c r="I7" s="11">
        <v>-9680.1136363637052</v>
      </c>
      <c r="J7">
        <f t="shared" si="0"/>
        <v>-9680.1136363637052</v>
      </c>
      <c r="K7" s="12"/>
      <c r="L7"/>
      <c r="M7">
        <f t="shared" si="2"/>
        <v>-9680.1136363637052</v>
      </c>
      <c r="N7">
        <f t="shared" si="3"/>
        <v>0</v>
      </c>
      <c r="O7">
        <f t="shared" si="4"/>
        <v>0</v>
      </c>
      <c r="P7">
        <f t="shared" si="4"/>
        <v>0</v>
      </c>
      <c r="Q7" s="9">
        <f t="shared" si="5"/>
        <v>-223628.44179371349</v>
      </c>
    </row>
    <row r="8" spans="1:19" x14ac:dyDescent="0.25">
      <c r="A8">
        <v>1</v>
      </c>
      <c r="B8" s="1">
        <v>42551</v>
      </c>
      <c r="C8">
        <v>698427</v>
      </c>
      <c r="D8">
        <v>136946</v>
      </c>
      <c r="E8" t="s">
        <v>55</v>
      </c>
      <c r="G8">
        <v>399</v>
      </c>
      <c r="H8">
        <v>410.26136363636363</v>
      </c>
      <c r="I8">
        <v>21959.659090909037</v>
      </c>
      <c r="J8">
        <f t="shared" si="0"/>
        <v>21959.659090909037</v>
      </c>
      <c r="M8">
        <f t="shared" si="2"/>
        <v>12279.545454545332</v>
      </c>
      <c r="N8">
        <f t="shared" si="3"/>
        <v>0</v>
      </c>
      <c r="O8">
        <f t="shared" si="4"/>
        <v>0</v>
      </c>
      <c r="P8">
        <f t="shared" si="4"/>
        <v>0</v>
      </c>
      <c r="Q8" s="9">
        <f t="shared" si="5"/>
        <v>-201668.78270280446</v>
      </c>
    </row>
    <row r="9" spans="1:19" x14ac:dyDescent="0.25">
      <c r="A9">
        <v>1</v>
      </c>
      <c r="B9" s="1">
        <v>42582</v>
      </c>
      <c r="C9">
        <v>698427</v>
      </c>
      <c r="D9">
        <v>136946</v>
      </c>
      <c r="E9" t="s">
        <v>56</v>
      </c>
      <c r="G9">
        <v>386</v>
      </c>
      <c r="H9">
        <v>345.51190476190476</v>
      </c>
      <c r="I9">
        <v>-46561.309523809505</v>
      </c>
      <c r="J9">
        <f t="shared" si="0"/>
        <v>-46561.309523809505</v>
      </c>
      <c r="M9"/>
      <c r="N9">
        <f t="shared" si="3"/>
        <v>-46561.309523809505</v>
      </c>
      <c r="O9">
        <f t="shared" si="4"/>
        <v>0</v>
      </c>
      <c r="P9">
        <f t="shared" si="4"/>
        <v>0</v>
      </c>
      <c r="Q9" s="9">
        <f t="shared" si="5"/>
        <v>-248230.09222661395</v>
      </c>
    </row>
    <row r="10" spans="1:19" x14ac:dyDescent="0.25">
      <c r="A10">
        <v>1</v>
      </c>
      <c r="B10" s="1">
        <v>42613</v>
      </c>
      <c r="C10">
        <v>698427</v>
      </c>
      <c r="D10">
        <v>136946</v>
      </c>
      <c r="E10" t="s">
        <v>56</v>
      </c>
      <c r="G10">
        <v>386</v>
      </c>
      <c r="H10">
        <v>323.04347826086956</v>
      </c>
      <c r="I10">
        <v>-81843.478260869582</v>
      </c>
      <c r="J10">
        <f t="shared" si="0"/>
        <v>-81843.478260869582</v>
      </c>
      <c r="N10">
        <f t="shared" si="3"/>
        <v>-128404.78778467909</v>
      </c>
      <c r="O10">
        <f t="shared" si="4"/>
        <v>0</v>
      </c>
      <c r="P10">
        <f t="shared" si="4"/>
        <v>0</v>
      </c>
      <c r="Q10" s="9">
        <f t="shared" si="5"/>
        <v>-330073.57048748352</v>
      </c>
    </row>
    <row r="11" spans="1:19" x14ac:dyDescent="0.25">
      <c r="A11">
        <v>1</v>
      </c>
      <c r="B11" s="1">
        <v>42643</v>
      </c>
      <c r="C11">
        <v>698427</v>
      </c>
      <c r="D11">
        <v>136946</v>
      </c>
      <c r="E11" t="s">
        <v>57</v>
      </c>
      <c r="G11">
        <v>388</v>
      </c>
      <c r="H11">
        <v>333.51136363636363</v>
      </c>
      <c r="I11">
        <v>-70835.227272727279</v>
      </c>
      <c r="J11">
        <f t="shared" si="0"/>
        <v>-70835.227272727279</v>
      </c>
      <c r="N11"/>
      <c r="O11">
        <f t="shared" si="4"/>
        <v>-70835.227272727279</v>
      </c>
      <c r="P11">
        <f t="shared" si="4"/>
        <v>0</v>
      </c>
      <c r="Q11" s="9">
        <f>J11+Q10</f>
        <v>-400908.79776021081</v>
      </c>
    </row>
    <row r="12" spans="1:19" x14ac:dyDescent="0.25">
      <c r="A12">
        <v>1</v>
      </c>
      <c r="B12" s="1">
        <v>42674</v>
      </c>
      <c r="C12">
        <v>698427</v>
      </c>
      <c r="D12">
        <v>136946</v>
      </c>
      <c r="E12" t="s">
        <v>57</v>
      </c>
      <c r="G12">
        <v>388</v>
      </c>
      <c r="H12">
        <v>349.48809523809524</v>
      </c>
      <c r="I12">
        <v>-42363.095238095208</v>
      </c>
      <c r="J12">
        <f t="shared" si="0"/>
        <v>-42363.095238095208</v>
      </c>
      <c r="O12">
        <f t="shared" si="4"/>
        <v>-113198.32251082249</v>
      </c>
      <c r="P12">
        <f t="shared" si="4"/>
        <v>0</v>
      </c>
      <c r="Q12" s="9">
        <f t="shared" si="5"/>
        <v>-443271.89299830602</v>
      </c>
    </row>
    <row r="13" spans="1:19" x14ac:dyDescent="0.25">
      <c r="A13">
        <v>1</v>
      </c>
      <c r="B13" s="1">
        <v>42704</v>
      </c>
      <c r="C13">
        <v>698427</v>
      </c>
      <c r="D13">
        <v>136946</v>
      </c>
      <c r="E13" t="s">
        <v>57</v>
      </c>
      <c r="G13">
        <v>388</v>
      </c>
      <c r="H13">
        <v>345.23863636363637</v>
      </c>
      <c r="I13">
        <v>-55589.772727272692</v>
      </c>
      <c r="J13">
        <f t="shared" si="0"/>
        <v>-55589.772727272692</v>
      </c>
      <c r="O13">
        <f t="shared" si="4"/>
        <v>-168788.09523809518</v>
      </c>
      <c r="P13">
        <f t="shared" si="4"/>
        <v>0</v>
      </c>
      <c r="Q13" s="9">
        <f t="shared" si="5"/>
        <v>-498861.66572557873</v>
      </c>
    </row>
    <row r="14" spans="1:19" x14ac:dyDescent="0.25">
      <c r="A14">
        <v>1</v>
      </c>
      <c r="B14" s="1">
        <v>42735</v>
      </c>
      <c r="C14">
        <v>698428</v>
      </c>
      <c r="D14">
        <v>136946</v>
      </c>
      <c r="E14" s="20" t="s">
        <v>84</v>
      </c>
      <c r="G14">
        <v>398</v>
      </c>
      <c r="H14">
        <v>353.23863636363637</v>
      </c>
      <c r="I14">
        <v>-53713.636363636324</v>
      </c>
      <c r="J14">
        <f t="shared" si="0"/>
        <v>-53713.636363636324</v>
      </c>
      <c r="O14"/>
      <c r="P14">
        <f t="shared" si="4"/>
        <v>-53713.636363636324</v>
      </c>
      <c r="Q14" s="9">
        <f t="shared" si="5"/>
        <v>-552575.30208921502</v>
      </c>
    </row>
    <row r="15" spans="1:19" x14ac:dyDescent="0.25">
      <c r="B15" s="1"/>
      <c r="Q15" s="9"/>
    </row>
    <row r="16" spans="1:19" ht="75" x14ac:dyDescent="0.25">
      <c r="A16" s="15" t="s">
        <v>83</v>
      </c>
      <c r="B16" s="15"/>
      <c r="C16" s="15" t="s">
        <v>64</v>
      </c>
      <c r="D16" s="15"/>
      <c r="E16" s="15"/>
      <c r="F16" s="15"/>
      <c r="G16" s="15">
        <v>100</v>
      </c>
      <c r="H16" s="15" t="s">
        <v>82</v>
      </c>
      <c r="I16" s="15"/>
      <c r="O16"/>
      <c r="P16"/>
      <c r="Q16" s="9"/>
    </row>
    <row r="17" spans="1:9" x14ac:dyDescent="0.25">
      <c r="A17" t="s">
        <v>65</v>
      </c>
      <c r="B17" s="5">
        <v>140000</v>
      </c>
      <c r="C17" s="5">
        <f>B17/5000</f>
        <v>28</v>
      </c>
      <c r="D17" s="1">
        <v>42285</v>
      </c>
      <c r="E17" t="s">
        <v>66</v>
      </c>
      <c r="F17" s="18">
        <v>4.0199999999999996</v>
      </c>
      <c r="G17" s="18">
        <f>F17*G$16</f>
        <v>401.99999999999994</v>
      </c>
      <c r="H17">
        <v>361.91250000000002</v>
      </c>
      <c r="I17" s="18">
        <v>-56122.499999999891</v>
      </c>
    </row>
    <row r="18" spans="1:9" x14ac:dyDescent="0.25">
      <c r="A18" t="s">
        <v>67</v>
      </c>
      <c r="B18" s="5">
        <v>140000</v>
      </c>
      <c r="C18" s="5">
        <f t="shared" ref="C18:C28" si="6">B18/5000</f>
        <v>28</v>
      </c>
      <c r="D18" s="1">
        <v>42285</v>
      </c>
      <c r="E18" t="s">
        <v>66</v>
      </c>
      <c r="F18" s="18">
        <v>4.0199999999999996</v>
      </c>
      <c r="G18" s="18">
        <f t="shared" ref="G18:G28" si="7">F18*G$16</f>
        <v>401.99999999999994</v>
      </c>
      <c r="H18">
        <v>363.0595238095238</v>
      </c>
      <c r="I18" s="18">
        <v>-54516.66666666665</v>
      </c>
    </row>
    <row r="19" spans="1:9" x14ac:dyDescent="0.25">
      <c r="A19" t="s">
        <v>68</v>
      </c>
      <c r="B19" s="5">
        <v>135000</v>
      </c>
      <c r="C19" s="5">
        <f t="shared" si="6"/>
        <v>27</v>
      </c>
      <c r="D19" s="1">
        <v>42285</v>
      </c>
      <c r="E19" t="s">
        <v>69</v>
      </c>
      <c r="F19" s="18">
        <v>4.08</v>
      </c>
      <c r="G19" s="18">
        <f t="shared" si="7"/>
        <v>408</v>
      </c>
      <c r="H19">
        <v>364.54347826086956</v>
      </c>
      <c r="I19" s="18">
        <v>-58666.304347826124</v>
      </c>
    </row>
    <row r="20" spans="1:9" x14ac:dyDescent="0.25">
      <c r="A20" t="s">
        <v>70</v>
      </c>
      <c r="B20" s="5">
        <v>200000</v>
      </c>
      <c r="C20" s="5">
        <f t="shared" si="6"/>
        <v>40</v>
      </c>
      <c r="D20" s="1">
        <v>42311</v>
      </c>
      <c r="E20" t="s">
        <v>69</v>
      </c>
      <c r="F20" s="18">
        <v>3.95</v>
      </c>
      <c r="G20" s="18">
        <f t="shared" si="7"/>
        <v>395</v>
      </c>
      <c r="H20">
        <v>372.67857142857144</v>
      </c>
      <c r="I20" s="18">
        <v>-44642.857142857116</v>
      </c>
    </row>
    <row r="21" spans="1:9" x14ac:dyDescent="0.25">
      <c r="A21" t="s">
        <v>54</v>
      </c>
      <c r="B21" s="5">
        <v>135000</v>
      </c>
      <c r="C21" s="5">
        <f t="shared" si="6"/>
        <v>27</v>
      </c>
      <c r="D21" s="1">
        <v>42311</v>
      </c>
      <c r="E21" t="s">
        <v>71</v>
      </c>
      <c r="F21" s="18">
        <v>3.99</v>
      </c>
      <c r="G21" s="18">
        <f t="shared" si="7"/>
        <v>399</v>
      </c>
      <c r="H21">
        <v>391.82954545454544</v>
      </c>
      <c r="I21" s="18">
        <v>-9680.1136363637052</v>
      </c>
    </row>
    <row r="22" spans="1:9" x14ac:dyDescent="0.25">
      <c r="A22" t="s">
        <v>72</v>
      </c>
      <c r="B22" s="5">
        <v>195000</v>
      </c>
      <c r="C22" s="5">
        <f t="shared" si="6"/>
        <v>39</v>
      </c>
      <c r="D22" s="1">
        <v>42311</v>
      </c>
      <c r="E22" t="s">
        <v>71</v>
      </c>
      <c r="F22" s="18">
        <v>3.99</v>
      </c>
      <c r="G22" s="18">
        <f t="shared" si="7"/>
        <v>399</v>
      </c>
      <c r="H22">
        <v>410.26136363636363</v>
      </c>
      <c r="I22" s="18">
        <v>21959.659090909037</v>
      </c>
    </row>
    <row r="23" spans="1:9" x14ac:dyDescent="0.25">
      <c r="A23" t="s">
        <v>73</v>
      </c>
      <c r="B23" s="5">
        <v>115000</v>
      </c>
      <c r="C23" s="5">
        <f t="shared" si="6"/>
        <v>23</v>
      </c>
      <c r="D23" s="1">
        <v>42318</v>
      </c>
      <c r="E23" t="s">
        <v>74</v>
      </c>
      <c r="F23" s="18">
        <v>3.86</v>
      </c>
      <c r="G23" s="18">
        <f t="shared" si="7"/>
        <v>386</v>
      </c>
      <c r="H23">
        <v>345.51190476190476</v>
      </c>
      <c r="I23" s="18">
        <v>-46561.309523809505</v>
      </c>
    </row>
    <row r="24" spans="1:9" x14ac:dyDescent="0.25">
      <c r="A24" t="s">
        <v>75</v>
      </c>
      <c r="B24" s="5">
        <v>130000</v>
      </c>
      <c r="C24" s="5">
        <f t="shared" si="6"/>
        <v>26</v>
      </c>
      <c r="D24" s="1">
        <v>42318</v>
      </c>
      <c r="E24" t="s">
        <v>74</v>
      </c>
      <c r="F24" s="18">
        <v>3.86</v>
      </c>
      <c r="G24" s="18">
        <f t="shared" si="7"/>
        <v>386</v>
      </c>
      <c r="H24">
        <v>323.04347826086956</v>
      </c>
      <c r="I24" s="18">
        <v>-81843.478260869582</v>
      </c>
    </row>
    <row r="25" spans="1:9" x14ac:dyDescent="0.25">
      <c r="A25" t="s">
        <v>76</v>
      </c>
      <c r="B25" s="5">
        <v>130000</v>
      </c>
      <c r="C25" s="5">
        <f t="shared" si="6"/>
        <v>26</v>
      </c>
      <c r="D25" s="1">
        <v>42318</v>
      </c>
      <c r="E25" t="s">
        <v>77</v>
      </c>
      <c r="F25" s="18">
        <v>3.88</v>
      </c>
      <c r="G25" s="18">
        <f t="shared" si="7"/>
        <v>388</v>
      </c>
      <c r="H25">
        <v>333.51136363636363</v>
      </c>
      <c r="I25" s="18">
        <v>-70835.227272727279</v>
      </c>
    </row>
    <row r="26" spans="1:9" x14ac:dyDescent="0.25">
      <c r="A26" t="s">
        <v>78</v>
      </c>
      <c r="B26" s="5">
        <v>110000</v>
      </c>
      <c r="C26" s="5">
        <f t="shared" si="6"/>
        <v>22</v>
      </c>
      <c r="D26" s="1">
        <v>42318</v>
      </c>
      <c r="E26" t="s">
        <v>77</v>
      </c>
      <c r="F26" s="18">
        <v>3.88</v>
      </c>
      <c r="G26" s="18">
        <f t="shared" si="7"/>
        <v>388</v>
      </c>
      <c r="H26">
        <v>349.48809523809524</v>
      </c>
      <c r="I26" s="18">
        <v>-42363.095238095208</v>
      </c>
    </row>
    <row r="27" spans="1:9" x14ac:dyDescent="0.25">
      <c r="A27" t="s">
        <v>79</v>
      </c>
      <c r="B27" s="5">
        <v>130000</v>
      </c>
      <c r="C27" s="5">
        <f t="shared" si="6"/>
        <v>26</v>
      </c>
      <c r="D27" s="1">
        <v>42318</v>
      </c>
      <c r="E27" t="s">
        <v>77</v>
      </c>
      <c r="F27" s="18">
        <v>3.88</v>
      </c>
      <c r="G27" s="18">
        <f t="shared" si="7"/>
        <v>388</v>
      </c>
      <c r="H27">
        <v>345.23863636363637</v>
      </c>
      <c r="I27" s="18">
        <v>-55589.772727272692</v>
      </c>
    </row>
    <row r="28" spans="1:9" x14ac:dyDescent="0.25">
      <c r="A28" t="s">
        <v>80</v>
      </c>
      <c r="B28" s="5">
        <v>120000</v>
      </c>
      <c r="C28" s="5">
        <f t="shared" si="6"/>
        <v>24</v>
      </c>
      <c r="D28" s="1">
        <v>42318</v>
      </c>
      <c r="E28" t="s">
        <v>81</v>
      </c>
      <c r="F28" s="18">
        <v>3.98</v>
      </c>
      <c r="G28" s="18">
        <f t="shared" si="7"/>
        <v>398</v>
      </c>
      <c r="H28">
        <v>353.23863636363637</v>
      </c>
      <c r="I28" s="18">
        <v>-53713.636363636324</v>
      </c>
    </row>
    <row r="29" spans="1:9" x14ac:dyDescent="0.25">
      <c r="I29" s="18">
        <f>SUM(I17:I28)</f>
        <v>-552575.30208921502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/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43</v>
      </c>
      <c r="D10">
        <v>437</v>
      </c>
    </row>
    <row r="11" spans="1:4" x14ac:dyDescent="0.25">
      <c r="A11" t="s">
        <v>32</v>
      </c>
      <c r="B11">
        <v>178</v>
      </c>
      <c r="C11" t="s">
        <v>44</v>
      </c>
      <c r="D11">
        <v>450</v>
      </c>
    </row>
    <row r="12" spans="1:4" x14ac:dyDescent="0.25">
      <c r="A12" t="s">
        <v>33</v>
      </c>
      <c r="B12">
        <v>180</v>
      </c>
      <c r="C12" t="s">
        <v>35</v>
      </c>
      <c r="D12">
        <v>429</v>
      </c>
    </row>
    <row r="13" spans="1:4" x14ac:dyDescent="0.25">
      <c r="A13" t="s">
        <v>36</v>
      </c>
      <c r="B13">
        <v>175</v>
      </c>
      <c r="C13" t="s">
        <v>20</v>
      </c>
      <c r="D13">
        <v>525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43</v>
      </c>
      <c r="B16">
        <v>177</v>
      </c>
    </row>
    <row r="17" spans="1:2" x14ac:dyDescent="0.25">
      <c r="A17" t="s">
        <v>44</v>
      </c>
      <c r="B17">
        <v>176</v>
      </c>
    </row>
    <row r="18" spans="1:2" x14ac:dyDescent="0.25">
      <c r="A18" t="s">
        <v>14</v>
      </c>
      <c r="B18">
        <v>222</v>
      </c>
    </row>
    <row r="19" spans="1:2" x14ac:dyDescent="0.25">
      <c r="A19" t="s">
        <v>15</v>
      </c>
      <c r="B19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Data</vt:lpstr>
      <vt:lpstr>Current Hedge</vt:lpstr>
      <vt:lpstr>selectionData</vt:lpstr>
      <vt:lpstr>Long Futures</vt:lpstr>
      <vt:lpstr>Long and Short Futures</vt:lpstr>
      <vt:lpstr>DHP</vt:lpstr>
      <vt:lpstr>DHP and Futures Constant</vt:lpstr>
      <vt:lpstr>DHP and Futures Selling Off</vt:lpstr>
      <vt:lpstr>DHP &amp; Current Hedge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totalMonths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2017-03-08T19:58:43Z</dcterms:modified>
</cp:coreProperties>
</file>