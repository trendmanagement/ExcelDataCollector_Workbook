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e Pickering\Desktop\"/>
    </mc:Choice>
  </mc:AlternateContent>
  <bookViews>
    <workbookView xWindow="0" yWindow="0" windowWidth="17985" windowHeight="9825" tabRatio="658" firstSheet="2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  <sheet name="underlying_data" sheetId="11" r:id="rId7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J13" i="1"/>
  <c r="J14" i="1"/>
  <c r="I13" i="1"/>
  <c r="J15" i="1"/>
  <c r="I14" i="1"/>
  <c r="J16" i="1"/>
  <c r="I15" i="1"/>
  <c r="J17" i="1"/>
  <c r="I16" i="1"/>
  <c r="J18" i="1"/>
  <c r="I17" i="1"/>
  <c r="J19" i="1"/>
  <c r="I18" i="1"/>
  <c r="J20" i="1"/>
  <c r="I19" i="1"/>
  <c r="J21" i="1"/>
  <c r="I20" i="1"/>
  <c r="J22" i="1"/>
  <c r="I21" i="1"/>
  <c r="J23" i="1"/>
  <c r="I22" i="1"/>
  <c r="J24" i="1"/>
  <c r="I23" i="1"/>
  <c r="J25" i="1"/>
  <c r="I24" i="1"/>
  <c r="J26" i="1"/>
  <c r="I25" i="1"/>
  <c r="J27" i="1"/>
  <c r="I26" i="1"/>
  <c r="J28" i="1"/>
  <c r="I27" i="1"/>
  <c r="J29" i="1"/>
  <c r="I28" i="1"/>
  <c r="J30" i="1"/>
  <c r="I29" i="1"/>
  <c r="J31" i="1"/>
  <c r="I30" i="1"/>
  <c r="J32" i="1"/>
  <c r="I31" i="1"/>
  <c r="J33" i="1"/>
  <c r="I32" i="1"/>
  <c r="J34" i="1"/>
  <c r="I33" i="1"/>
  <c r="J35" i="1"/>
  <c r="I34" i="1"/>
  <c r="J36" i="1"/>
  <c r="I35" i="1"/>
  <c r="J37" i="1"/>
  <c r="I36" i="1"/>
  <c r="J38" i="1"/>
  <c r="I37" i="1"/>
  <c r="J39" i="1"/>
  <c r="I38" i="1"/>
  <c r="J40" i="1"/>
  <c r="I39" i="1"/>
  <c r="J41" i="1"/>
  <c r="I40" i="1"/>
  <c r="J42" i="1"/>
  <c r="I41" i="1"/>
  <c r="J43" i="1"/>
  <c r="I42" i="1"/>
  <c r="J44" i="1"/>
  <c r="I43" i="1"/>
  <c r="J45" i="1"/>
  <c r="I44" i="1"/>
  <c r="J46" i="1"/>
  <c r="I45" i="1"/>
  <c r="J47" i="1"/>
  <c r="I46" i="1"/>
  <c r="J48" i="1"/>
  <c r="I47" i="1"/>
  <c r="J49" i="1"/>
  <c r="I48" i="1"/>
  <c r="J50" i="1"/>
  <c r="I49" i="1"/>
  <c r="J51" i="1"/>
  <c r="I50" i="1"/>
  <c r="J52" i="1"/>
  <c r="I51" i="1"/>
  <c r="J53" i="1"/>
  <c r="I52" i="1"/>
  <c r="J54" i="1"/>
  <c r="I53" i="1"/>
  <c r="J55" i="1"/>
  <c r="I54" i="1"/>
  <c r="J56" i="1"/>
  <c r="I55" i="1"/>
  <c r="J57" i="1"/>
  <c r="I56" i="1"/>
  <c r="J58" i="1"/>
  <c r="I57" i="1"/>
  <c r="J59" i="1"/>
  <c r="I58" i="1"/>
  <c r="J60" i="1"/>
  <c r="I59" i="1"/>
  <c r="J61" i="1"/>
  <c r="I60" i="1"/>
  <c r="J62" i="1"/>
  <c r="I61" i="1"/>
  <c r="J63" i="1"/>
  <c r="I62" i="1"/>
  <c r="J64" i="1"/>
  <c r="I63" i="1"/>
  <c r="J65" i="1"/>
  <c r="I64" i="1"/>
  <c r="J66" i="1"/>
  <c r="I65" i="1"/>
  <c r="J67" i="1"/>
  <c r="I66" i="1"/>
  <c r="J68" i="1"/>
  <c r="I67" i="1"/>
  <c r="J69" i="1"/>
  <c r="I68" i="1"/>
  <c r="J70" i="1"/>
  <c r="I69" i="1"/>
  <c r="J71" i="1"/>
  <c r="I70" i="1"/>
  <c r="J72" i="1"/>
  <c r="I71" i="1"/>
  <c r="J73" i="1"/>
  <c r="I72" i="1"/>
  <c r="J74" i="1"/>
  <c r="I73" i="1"/>
  <c r="J75" i="1"/>
  <c r="I74" i="1"/>
  <c r="J76" i="1"/>
  <c r="I75" i="1"/>
  <c r="J77" i="1"/>
  <c r="I76" i="1"/>
  <c r="J78" i="1"/>
  <c r="I77" i="1"/>
  <c r="J79" i="1"/>
  <c r="I78" i="1"/>
  <c r="J80" i="1"/>
  <c r="I79" i="1"/>
  <c r="J81" i="1"/>
  <c r="I80" i="1"/>
  <c r="J82" i="1"/>
  <c r="I81" i="1"/>
  <c r="J83" i="1"/>
  <c r="I82" i="1"/>
  <c r="J84" i="1"/>
  <c r="I83" i="1"/>
  <c r="J85" i="1"/>
  <c r="I84" i="1"/>
  <c r="J86" i="1"/>
  <c r="I85" i="1"/>
  <c r="J87" i="1"/>
  <c r="I86" i="1"/>
  <c r="J88" i="1"/>
  <c r="I87" i="1"/>
  <c r="J89" i="1"/>
  <c r="I88" i="1"/>
  <c r="J90" i="1"/>
  <c r="I89" i="1"/>
  <c r="J91" i="1"/>
  <c r="I90" i="1"/>
  <c r="J92" i="1"/>
  <c r="I91" i="1"/>
  <c r="J93" i="1"/>
  <c r="I92" i="1"/>
  <c r="J94" i="1"/>
  <c r="I93" i="1"/>
  <c r="J95" i="1"/>
  <c r="I94" i="1"/>
  <c r="J96" i="1"/>
  <c r="I95" i="1"/>
  <c r="J97" i="1"/>
  <c r="I96" i="1"/>
  <c r="J98" i="1"/>
  <c r="I97" i="1"/>
  <c r="J99" i="1"/>
  <c r="I98" i="1"/>
  <c r="J100" i="1"/>
  <c r="I99" i="1"/>
  <c r="J101" i="1"/>
  <c r="I100" i="1"/>
  <c r="J102" i="1"/>
  <c r="I101" i="1"/>
  <c r="J103" i="1"/>
  <c r="I102" i="1"/>
  <c r="J104" i="1"/>
  <c r="I103" i="1"/>
  <c r="J105" i="1"/>
  <c r="I104" i="1"/>
  <c r="J106" i="1"/>
  <c r="I105" i="1"/>
  <c r="J107" i="1"/>
  <c r="I106" i="1"/>
  <c r="J108" i="1"/>
  <c r="I107" i="1"/>
  <c r="J109" i="1"/>
  <c r="I108" i="1"/>
  <c r="J110" i="1"/>
  <c r="I109" i="1"/>
  <c r="J111" i="1"/>
  <c r="I110" i="1"/>
  <c r="J112" i="1"/>
  <c r="I111" i="1"/>
  <c r="J113" i="1"/>
  <c r="I112" i="1"/>
  <c r="J114" i="1"/>
  <c r="I113" i="1"/>
  <c r="J115" i="1"/>
  <c r="I114" i="1"/>
  <c r="J116" i="1"/>
  <c r="I115" i="1"/>
  <c r="J117" i="1"/>
  <c r="I116" i="1"/>
  <c r="J118" i="1"/>
  <c r="I117" i="1"/>
  <c r="J119" i="1"/>
  <c r="I118" i="1"/>
  <c r="J120" i="1"/>
  <c r="I119" i="1"/>
  <c r="J121" i="1"/>
  <c r="I120" i="1"/>
  <c r="J122" i="1"/>
  <c r="I121" i="1"/>
  <c r="J123" i="1"/>
  <c r="I122" i="1"/>
  <c r="J124" i="1"/>
  <c r="I123" i="1"/>
  <c r="J125" i="1"/>
  <c r="I124" i="1"/>
  <c r="J126" i="1"/>
  <c r="I125" i="1"/>
  <c r="J127" i="1"/>
  <c r="I126" i="1"/>
  <c r="J128" i="1"/>
  <c r="I127" i="1"/>
  <c r="J129" i="1"/>
  <c r="I128" i="1"/>
  <c r="J130" i="1"/>
  <c r="I129" i="1"/>
  <c r="J131" i="1"/>
  <c r="I130" i="1"/>
  <c r="J132" i="1"/>
  <c r="I131" i="1"/>
  <c r="J133" i="1"/>
  <c r="I132" i="1"/>
  <c r="J134" i="1"/>
  <c r="I133" i="1"/>
  <c r="J135" i="1"/>
  <c r="I134" i="1"/>
  <c r="J136" i="1"/>
  <c r="I135" i="1"/>
  <c r="J137" i="1"/>
  <c r="I136" i="1"/>
  <c r="J138" i="1"/>
  <c r="I137" i="1"/>
  <c r="J139" i="1"/>
  <c r="I138" i="1"/>
  <c r="J140" i="1"/>
  <c r="I139" i="1"/>
  <c r="J141" i="1"/>
  <c r="I140" i="1"/>
  <c r="J142" i="1"/>
  <c r="I141" i="1"/>
  <c r="J143" i="1"/>
  <c r="I142" i="1"/>
  <c r="J144" i="1"/>
  <c r="I143" i="1"/>
  <c r="J145" i="1"/>
  <c r="I144" i="1"/>
  <c r="J146" i="1"/>
  <c r="I145" i="1"/>
  <c r="J147" i="1"/>
  <c r="I146" i="1"/>
  <c r="J148" i="1"/>
  <c r="I147" i="1"/>
  <c r="J149" i="1"/>
  <c r="I148" i="1"/>
  <c r="J150" i="1"/>
  <c r="I149" i="1"/>
  <c r="J151" i="1"/>
  <c r="I150" i="1"/>
  <c r="J152" i="1"/>
  <c r="I151" i="1"/>
  <c r="J153" i="1"/>
  <c r="I152" i="1"/>
  <c r="J154" i="1"/>
  <c r="I153" i="1"/>
  <c r="J155" i="1"/>
  <c r="I154" i="1"/>
  <c r="J156" i="1"/>
  <c r="I155" i="1"/>
  <c r="J157" i="1"/>
  <c r="I156" i="1"/>
  <c r="J158" i="1"/>
  <c r="I157" i="1"/>
  <c r="J159" i="1"/>
  <c r="I158" i="1"/>
  <c r="J160" i="1"/>
  <c r="I159" i="1"/>
  <c r="J161" i="1"/>
  <c r="I160" i="1"/>
  <c r="J162" i="1"/>
  <c r="I161" i="1"/>
  <c r="J163" i="1"/>
  <c r="I162" i="1"/>
  <c r="J164" i="1"/>
  <c r="I163" i="1"/>
  <c r="J165" i="1"/>
  <c r="I164" i="1"/>
  <c r="J166" i="1"/>
  <c r="I165" i="1"/>
  <c r="J167" i="1"/>
  <c r="I166" i="1"/>
  <c r="J168" i="1"/>
  <c r="I167" i="1"/>
  <c r="J169" i="1"/>
  <c r="I168" i="1"/>
  <c r="J170" i="1"/>
  <c r="I169" i="1"/>
  <c r="J171" i="1"/>
  <c r="I170" i="1"/>
  <c r="J172" i="1"/>
  <c r="I171" i="1"/>
  <c r="J173" i="1"/>
  <c r="I172" i="1"/>
  <c r="J174" i="1"/>
  <c r="I173" i="1"/>
  <c r="J175" i="1"/>
  <c r="I174" i="1"/>
  <c r="J176" i="1"/>
  <c r="I175" i="1"/>
  <c r="J177" i="1"/>
  <c r="I176" i="1"/>
  <c r="J178" i="1"/>
  <c r="I177" i="1"/>
  <c r="J179" i="1"/>
  <c r="I178" i="1"/>
  <c r="J180" i="1"/>
  <c r="I179" i="1"/>
  <c r="J181" i="1"/>
  <c r="I180" i="1"/>
  <c r="J182" i="1"/>
  <c r="I181" i="1"/>
  <c r="J183" i="1"/>
  <c r="I182" i="1"/>
  <c r="J184" i="1"/>
  <c r="I183" i="1"/>
  <c r="J185" i="1"/>
  <c r="I184" i="1"/>
  <c r="J186" i="1"/>
  <c r="I185" i="1"/>
  <c r="J187" i="1"/>
  <c r="I186" i="1"/>
  <c r="J188" i="1"/>
  <c r="I187" i="1"/>
  <c r="J189" i="1"/>
  <c r="I188" i="1"/>
  <c r="J190" i="1"/>
  <c r="I189" i="1"/>
  <c r="J191" i="1"/>
  <c r="I190" i="1"/>
  <c r="J192" i="1"/>
  <c r="I191" i="1"/>
  <c r="J193" i="1"/>
  <c r="I192" i="1"/>
  <c r="J194" i="1"/>
  <c r="I193" i="1"/>
  <c r="J195" i="1"/>
  <c r="I194" i="1"/>
  <c r="J196" i="1"/>
  <c r="I195" i="1"/>
  <c r="J197" i="1"/>
  <c r="I196" i="1"/>
  <c r="J198" i="1"/>
  <c r="I197" i="1"/>
  <c r="J199" i="1"/>
  <c r="I198" i="1"/>
  <c r="J200" i="1"/>
  <c r="I199" i="1"/>
  <c r="J201" i="1"/>
  <c r="I200" i="1"/>
  <c r="J202" i="1"/>
  <c r="I201" i="1"/>
  <c r="J203" i="1"/>
  <c r="I202" i="1"/>
  <c r="J204" i="1"/>
  <c r="I203" i="1"/>
  <c r="J205" i="1"/>
  <c r="I204" i="1"/>
  <c r="J206" i="1"/>
  <c r="I205" i="1"/>
  <c r="J207" i="1"/>
  <c r="I206" i="1"/>
  <c r="J208" i="1"/>
  <c r="I207" i="1"/>
  <c r="J209" i="1"/>
  <c r="I208" i="1"/>
  <c r="J210" i="1"/>
  <c r="I209" i="1"/>
  <c r="J211" i="1"/>
  <c r="I210" i="1"/>
  <c r="J212" i="1"/>
  <c r="I211" i="1"/>
  <c r="J213" i="1"/>
  <c r="I212" i="1"/>
  <c r="J214" i="1"/>
  <c r="I213" i="1"/>
  <c r="J215" i="1"/>
  <c r="I214" i="1"/>
  <c r="J216" i="1"/>
  <c r="I215" i="1"/>
  <c r="J217" i="1"/>
  <c r="I216" i="1"/>
  <c r="J218" i="1"/>
  <c r="I217" i="1"/>
  <c r="J219" i="1"/>
  <c r="I218" i="1"/>
  <c r="J220" i="1"/>
  <c r="I219" i="1"/>
  <c r="J221" i="1"/>
  <c r="I220" i="1"/>
  <c r="J222" i="1"/>
  <c r="I221" i="1"/>
  <c r="J223" i="1"/>
  <c r="I222" i="1"/>
  <c r="J224" i="1"/>
  <c r="I223" i="1"/>
  <c r="J225" i="1"/>
  <c r="I224" i="1"/>
  <c r="J226" i="1"/>
  <c r="I225" i="1"/>
  <c r="J227" i="1"/>
  <c r="I226" i="1"/>
  <c r="J228" i="1"/>
  <c r="I227" i="1"/>
  <c r="J229" i="1"/>
  <c r="I228" i="1"/>
  <c r="J230" i="1"/>
  <c r="I229" i="1"/>
  <c r="J231" i="1"/>
  <c r="I230" i="1"/>
  <c r="J232" i="1"/>
  <c r="I231" i="1"/>
  <c r="J233" i="1"/>
  <c r="I232" i="1"/>
  <c r="J234" i="1"/>
  <c r="I233" i="1"/>
  <c r="J235" i="1"/>
  <c r="I234" i="1"/>
  <c r="J236" i="1"/>
  <c r="I235" i="1"/>
  <c r="J237" i="1"/>
  <c r="I236" i="1"/>
  <c r="J238" i="1"/>
  <c r="I237" i="1"/>
  <c r="J239" i="1"/>
  <c r="I238" i="1"/>
  <c r="J240" i="1"/>
  <c r="I239" i="1"/>
  <c r="J241" i="1"/>
  <c r="I240" i="1"/>
  <c r="J242" i="1"/>
  <c r="I241" i="1"/>
  <c r="J243" i="1"/>
  <c r="I242" i="1"/>
  <c r="J244" i="1"/>
  <c r="I243" i="1"/>
  <c r="J245" i="1"/>
  <c r="I244" i="1"/>
  <c r="J246" i="1"/>
  <c r="I245" i="1"/>
  <c r="J247" i="1"/>
  <c r="I246" i="1"/>
  <c r="J248" i="1"/>
  <c r="I247" i="1"/>
  <c r="J249" i="1"/>
  <c r="I248" i="1"/>
  <c r="J250" i="1"/>
  <c r="I249" i="1"/>
  <c r="J251" i="1"/>
  <c r="I250" i="1"/>
  <c r="J252" i="1"/>
  <c r="I251" i="1"/>
  <c r="J253" i="1"/>
  <c r="I252" i="1"/>
  <c r="J254" i="1"/>
  <c r="I253" i="1"/>
  <c r="J255" i="1"/>
  <c r="I254" i="1"/>
  <c r="J256" i="1"/>
  <c r="I255" i="1"/>
  <c r="J257" i="1"/>
  <c r="I256" i="1"/>
  <c r="J258" i="1"/>
  <c r="I257" i="1"/>
  <c r="J259" i="1"/>
  <c r="I258" i="1"/>
  <c r="J260" i="1"/>
  <c r="I259" i="1"/>
  <c r="J261" i="1"/>
  <c r="I260" i="1"/>
  <c r="J262" i="1"/>
  <c r="I261" i="1"/>
  <c r="J263" i="1"/>
  <c r="I262" i="1"/>
  <c r="J264" i="1"/>
  <c r="I263" i="1"/>
  <c r="J265" i="1"/>
  <c r="I264" i="1"/>
  <c r="J266" i="1"/>
  <c r="I265" i="1"/>
  <c r="J267" i="1"/>
  <c r="I266" i="1"/>
  <c r="J268" i="1"/>
  <c r="I267" i="1"/>
  <c r="J269" i="1"/>
  <c r="I268" i="1"/>
  <c r="J270" i="1"/>
  <c r="I269" i="1"/>
  <c r="J271" i="1"/>
  <c r="I270" i="1"/>
  <c r="J272" i="1"/>
  <c r="I271" i="1"/>
  <c r="J273" i="1"/>
  <c r="I272" i="1"/>
  <c r="J274" i="1"/>
  <c r="I273" i="1"/>
  <c r="J275" i="1"/>
  <c r="I274" i="1"/>
  <c r="J276" i="1"/>
  <c r="I275" i="1"/>
  <c r="J277" i="1"/>
  <c r="I276" i="1"/>
  <c r="J278" i="1"/>
  <c r="I277" i="1"/>
  <c r="J279" i="1"/>
  <c r="I278" i="1"/>
  <c r="J280" i="1"/>
  <c r="I279" i="1"/>
  <c r="J281" i="1"/>
  <c r="I280" i="1"/>
  <c r="J282" i="1"/>
  <c r="I281" i="1"/>
  <c r="J283" i="1"/>
  <c r="I282" i="1"/>
  <c r="J284" i="1"/>
  <c r="I283" i="1"/>
  <c r="J285" i="1"/>
  <c r="I284" i="1"/>
  <c r="J286" i="1"/>
  <c r="I285" i="1"/>
  <c r="J287" i="1"/>
  <c r="I286" i="1"/>
  <c r="J288" i="1"/>
  <c r="I287" i="1"/>
  <c r="J289" i="1"/>
  <c r="I288" i="1"/>
  <c r="J290" i="1"/>
  <c r="I289" i="1"/>
  <c r="J291" i="1"/>
  <c r="I290" i="1"/>
  <c r="J292" i="1"/>
  <c r="I291" i="1"/>
  <c r="J293" i="1"/>
  <c r="I292" i="1"/>
  <c r="J294" i="1"/>
  <c r="I293" i="1"/>
  <c r="J295" i="1"/>
  <c r="I294" i="1"/>
  <c r="J296" i="1"/>
  <c r="I295" i="1"/>
  <c r="J297" i="1"/>
  <c r="I296" i="1"/>
  <c r="J298" i="1"/>
  <c r="I297" i="1"/>
  <c r="J299" i="1"/>
  <c r="I298" i="1"/>
  <c r="J300" i="1"/>
  <c r="I299" i="1"/>
  <c r="J301" i="1"/>
  <c r="I300" i="1"/>
  <c r="J302" i="1"/>
  <c r="I301" i="1"/>
  <c r="J303" i="1"/>
  <c r="I302" i="1"/>
  <c r="J304" i="1"/>
  <c r="I303" i="1"/>
  <c r="J305" i="1"/>
  <c r="I304" i="1"/>
  <c r="J306" i="1"/>
  <c r="I305" i="1"/>
  <c r="J307" i="1"/>
  <c r="I306" i="1"/>
  <c r="J308" i="1"/>
  <c r="I307" i="1"/>
  <c r="J309" i="1"/>
  <c r="I308" i="1"/>
  <c r="J310" i="1"/>
  <c r="I309" i="1"/>
  <c r="J311" i="1"/>
  <c r="I310" i="1"/>
  <c r="J312" i="1"/>
  <c r="I311" i="1"/>
  <c r="J313" i="1"/>
  <c r="I312" i="1"/>
  <c r="J314" i="1"/>
  <c r="I313" i="1"/>
  <c r="J315" i="1"/>
  <c r="I314" i="1"/>
  <c r="J316" i="1"/>
  <c r="I315" i="1"/>
  <c r="J317" i="1"/>
  <c r="I316" i="1"/>
  <c r="J318" i="1"/>
  <c r="I317" i="1"/>
  <c r="J319" i="1"/>
  <c r="I318" i="1"/>
  <c r="J320" i="1"/>
  <c r="I319" i="1"/>
  <c r="J321" i="1"/>
  <c r="I320" i="1"/>
  <c r="J322" i="1"/>
  <c r="I321" i="1"/>
  <c r="J323" i="1"/>
  <c r="I322" i="1"/>
  <c r="J324" i="1"/>
  <c r="I323" i="1"/>
  <c r="J325" i="1"/>
  <c r="I324" i="1"/>
  <c r="J326" i="1"/>
  <c r="I325" i="1"/>
  <c r="J327" i="1"/>
  <c r="I326" i="1"/>
  <c r="J328" i="1"/>
  <c r="I327" i="1"/>
  <c r="J329" i="1"/>
  <c r="I328" i="1"/>
  <c r="J330" i="1"/>
  <c r="I329" i="1"/>
  <c r="J331" i="1"/>
  <c r="I330" i="1"/>
  <c r="J332" i="1"/>
  <c r="I331" i="1"/>
  <c r="J333" i="1"/>
  <c r="I332" i="1"/>
  <c r="J334" i="1"/>
  <c r="I333" i="1"/>
  <c r="J335" i="1"/>
  <c r="I334" i="1"/>
  <c r="J336" i="1"/>
  <c r="I335" i="1"/>
  <c r="J337" i="1"/>
  <c r="I336" i="1"/>
  <c r="J338" i="1"/>
  <c r="I337" i="1"/>
  <c r="J339" i="1"/>
  <c r="I338" i="1"/>
  <c r="J340" i="1"/>
  <c r="I339" i="1"/>
  <c r="J341" i="1"/>
  <c r="I340" i="1"/>
  <c r="J342" i="1"/>
  <c r="I341" i="1"/>
  <c r="J343" i="1"/>
  <c r="I342" i="1"/>
  <c r="J344" i="1"/>
  <c r="I343" i="1"/>
  <c r="J345" i="1"/>
  <c r="I344" i="1"/>
  <c r="J346" i="1"/>
  <c r="I345" i="1"/>
  <c r="J347" i="1"/>
  <c r="I346" i="1"/>
  <c r="J348" i="1"/>
  <c r="I347" i="1"/>
  <c r="J349" i="1"/>
  <c r="I348" i="1"/>
  <c r="J350" i="1"/>
  <c r="I349" i="1"/>
  <c r="J351" i="1"/>
  <c r="I350" i="1"/>
  <c r="J352" i="1"/>
  <c r="I351" i="1"/>
  <c r="J353" i="1"/>
  <c r="I352" i="1"/>
  <c r="J354" i="1"/>
  <c r="I353" i="1"/>
  <c r="J355" i="1"/>
  <c r="I354" i="1"/>
  <c r="J356" i="1"/>
  <c r="I355" i="1"/>
  <c r="J357" i="1"/>
  <c r="I356" i="1"/>
  <c r="J358" i="1"/>
  <c r="I357" i="1"/>
  <c r="J359" i="1"/>
  <c r="I358" i="1"/>
  <c r="J360" i="1"/>
  <c r="I359" i="1"/>
  <c r="J361" i="1"/>
  <c r="I360" i="1"/>
  <c r="J362" i="1"/>
  <c r="I361" i="1"/>
  <c r="J363" i="1"/>
  <c r="I362" i="1"/>
  <c r="J364" i="1"/>
  <c r="I363" i="1"/>
  <c r="J365" i="1"/>
  <c r="I364" i="1"/>
  <c r="J366" i="1"/>
  <c r="I365" i="1"/>
  <c r="J367" i="1"/>
  <c r="I366" i="1"/>
  <c r="J368" i="1"/>
  <c r="I367" i="1"/>
  <c r="J369" i="1"/>
  <c r="I368" i="1"/>
  <c r="J370" i="1"/>
  <c r="I369" i="1"/>
  <c r="J371" i="1"/>
  <c r="I370" i="1"/>
  <c r="J372" i="1"/>
  <c r="I371" i="1"/>
  <c r="J373" i="1"/>
  <c r="I372" i="1"/>
  <c r="J374" i="1"/>
  <c r="I373" i="1"/>
  <c r="J375" i="1"/>
  <c r="I374" i="1"/>
  <c r="J376" i="1"/>
  <c r="I375" i="1"/>
  <c r="J377" i="1"/>
  <c r="I376" i="1"/>
  <c r="J378" i="1"/>
  <c r="I377" i="1"/>
  <c r="J379" i="1"/>
  <c r="I378" i="1"/>
  <c r="J380" i="1"/>
  <c r="I379" i="1"/>
  <c r="J381" i="1"/>
  <c r="I380" i="1"/>
  <c r="J382" i="1"/>
  <c r="I381" i="1"/>
  <c r="J383" i="1"/>
  <c r="I382" i="1"/>
  <c r="J384" i="1"/>
  <c r="I383" i="1"/>
  <c r="J385" i="1"/>
  <c r="I384" i="1"/>
  <c r="J386" i="1"/>
  <c r="I385" i="1"/>
  <c r="J387" i="1"/>
  <c r="I386" i="1"/>
  <c r="J388" i="1"/>
  <c r="I387" i="1"/>
  <c r="J389" i="1"/>
  <c r="I388" i="1"/>
  <c r="J390" i="1"/>
  <c r="I389" i="1"/>
  <c r="J391" i="1"/>
  <c r="I390" i="1"/>
  <c r="J392" i="1"/>
  <c r="I391" i="1"/>
  <c r="J393" i="1"/>
  <c r="I392" i="1"/>
  <c r="J394" i="1"/>
  <c r="I393" i="1"/>
  <c r="J395" i="1"/>
  <c r="I394" i="1"/>
  <c r="J396" i="1"/>
  <c r="I395" i="1"/>
  <c r="J397" i="1"/>
  <c r="I396" i="1"/>
  <c r="J398" i="1"/>
  <c r="I397" i="1"/>
  <c r="J399" i="1"/>
  <c r="I398" i="1"/>
  <c r="J400" i="1"/>
  <c r="I399" i="1"/>
  <c r="J401" i="1"/>
  <c r="I400" i="1"/>
  <c r="J402" i="1"/>
  <c r="I401" i="1"/>
  <c r="J403" i="1"/>
  <c r="I402" i="1"/>
  <c r="J404" i="1"/>
  <c r="I403" i="1"/>
  <c r="J405" i="1"/>
  <c r="I404" i="1"/>
  <c r="J406" i="1"/>
  <c r="I405" i="1"/>
  <c r="J407" i="1"/>
  <c r="I406" i="1"/>
  <c r="J408" i="1"/>
  <c r="I407" i="1"/>
  <c r="J409" i="1"/>
  <c r="I408" i="1"/>
  <c r="J410" i="1"/>
  <c r="I409" i="1"/>
  <c r="J411" i="1"/>
  <c r="I410" i="1"/>
  <c r="J412" i="1"/>
  <c r="I411" i="1"/>
  <c r="J413" i="1"/>
  <c r="I412" i="1"/>
  <c r="J414" i="1"/>
  <c r="I413" i="1"/>
  <c r="J415" i="1"/>
  <c r="I414" i="1"/>
  <c r="J416" i="1"/>
  <c r="I415" i="1"/>
  <c r="J417" i="1"/>
  <c r="I416" i="1"/>
  <c r="J418" i="1"/>
  <c r="I417" i="1"/>
  <c r="J419" i="1"/>
  <c r="I418" i="1"/>
  <c r="J420" i="1"/>
  <c r="I419" i="1"/>
  <c r="J421" i="1"/>
  <c r="I420" i="1"/>
  <c r="J422" i="1"/>
  <c r="I421" i="1"/>
  <c r="J423" i="1"/>
  <c r="I422" i="1"/>
  <c r="J424" i="1"/>
  <c r="I423" i="1"/>
  <c r="J425" i="1"/>
  <c r="I424" i="1"/>
  <c r="J426" i="1"/>
  <c r="I425" i="1"/>
  <c r="J427" i="1"/>
  <c r="I426" i="1"/>
  <c r="J428" i="1"/>
  <c r="I427" i="1"/>
  <c r="J429" i="1"/>
  <c r="I428" i="1"/>
  <c r="J430" i="1"/>
  <c r="I429" i="1"/>
  <c r="J431" i="1"/>
  <c r="I430" i="1"/>
  <c r="J432" i="1"/>
  <c r="I431" i="1"/>
  <c r="J433" i="1"/>
  <c r="I432" i="1"/>
  <c r="J434" i="1"/>
  <c r="I433" i="1"/>
  <c r="J435" i="1"/>
  <c r="I434" i="1"/>
  <c r="J436" i="1"/>
  <c r="I435" i="1"/>
  <c r="J437" i="1"/>
  <c r="I436" i="1"/>
  <c r="J438" i="1"/>
  <c r="I437" i="1"/>
  <c r="J439" i="1"/>
  <c r="I438" i="1"/>
  <c r="J440" i="1"/>
  <c r="I439" i="1"/>
  <c r="J441" i="1"/>
  <c r="I440" i="1"/>
  <c r="J442" i="1"/>
  <c r="I441" i="1"/>
  <c r="J443" i="1"/>
  <c r="I442" i="1"/>
  <c r="J444" i="1"/>
  <c r="I443" i="1"/>
  <c r="J445" i="1"/>
  <c r="I444" i="1"/>
  <c r="J446" i="1"/>
  <c r="I445" i="1"/>
  <c r="J447" i="1"/>
  <c r="I446" i="1"/>
  <c r="J448" i="1"/>
  <c r="I447" i="1"/>
  <c r="J449" i="1"/>
  <c r="I448" i="1"/>
  <c r="J450" i="1"/>
  <c r="I449" i="1"/>
  <c r="J451" i="1"/>
  <c r="I450" i="1"/>
  <c r="J452" i="1"/>
  <c r="I451" i="1"/>
  <c r="J453" i="1"/>
  <c r="I452" i="1"/>
  <c r="J454" i="1"/>
  <c r="I453" i="1"/>
  <c r="J455" i="1"/>
  <c r="I454" i="1"/>
  <c r="J456" i="1"/>
  <c r="I455" i="1"/>
  <c r="J457" i="1"/>
  <c r="I456" i="1"/>
  <c r="J458" i="1"/>
  <c r="I457" i="1"/>
  <c r="J459" i="1"/>
  <c r="I458" i="1"/>
  <c r="J460" i="1"/>
  <c r="I459" i="1"/>
  <c r="J461" i="1"/>
  <c r="I460" i="1"/>
  <c r="J462" i="1"/>
  <c r="I461" i="1"/>
  <c r="J463" i="1"/>
  <c r="I462" i="1"/>
  <c r="J464" i="1"/>
  <c r="I463" i="1"/>
  <c r="J465" i="1"/>
  <c r="I464" i="1"/>
  <c r="J466" i="1"/>
  <c r="I465" i="1"/>
  <c r="J467" i="1"/>
  <c r="I466" i="1"/>
  <c r="J468" i="1"/>
  <c r="I467" i="1"/>
  <c r="J469" i="1"/>
  <c r="I468" i="1"/>
  <c r="J470" i="1"/>
  <c r="I469" i="1"/>
  <c r="J471" i="1"/>
  <c r="I470" i="1"/>
  <c r="J472" i="1"/>
  <c r="I471" i="1"/>
  <c r="J473" i="1"/>
  <c r="I472" i="1"/>
  <c r="J474" i="1"/>
  <c r="I473" i="1"/>
  <c r="J475" i="1"/>
  <c r="I474" i="1"/>
  <c r="J476" i="1"/>
  <c r="I475" i="1"/>
  <c r="J477" i="1"/>
  <c r="I476" i="1"/>
  <c r="J478" i="1"/>
  <c r="I477" i="1"/>
  <c r="J479" i="1"/>
  <c r="I478" i="1"/>
  <c r="J480" i="1"/>
  <c r="I479" i="1"/>
  <c r="J481" i="1"/>
  <c r="I480" i="1"/>
  <c r="J482" i="1"/>
  <c r="I481" i="1"/>
  <c r="J483" i="1"/>
  <c r="I482" i="1"/>
  <c r="J484" i="1"/>
  <c r="I483" i="1"/>
  <c r="J485" i="1"/>
  <c r="I484" i="1"/>
  <c r="J486" i="1"/>
  <c r="I485" i="1"/>
  <c r="J487" i="1"/>
  <c r="I486" i="1"/>
  <c r="J488" i="1"/>
  <c r="I487" i="1"/>
  <c r="J489" i="1"/>
  <c r="I488" i="1"/>
  <c r="J490" i="1"/>
  <c r="I489" i="1"/>
  <c r="J491" i="1"/>
  <c r="I490" i="1"/>
  <c r="J492" i="1"/>
  <c r="I491" i="1"/>
  <c r="J493" i="1"/>
  <c r="I492" i="1"/>
  <c r="J494" i="1"/>
  <c r="I493" i="1"/>
  <c r="J495" i="1"/>
  <c r="I494" i="1"/>
  <c r="J496" i="1"/>
  <c r="I495" i="1"/>
  <c r="J497" i="1"/>
  <c r="I496" i="1"/>
  <c r="J498" i="1"/>
  <c r="I497" i="1"/>
  <c r="J499" i="1"/>
  <c r="I498" i="1"/>
  <c r="J500" i="1"/>
  <c r="I499" i="1"/>
  <c r="J501" i="1"/>
  <c r="I500" i="1"/>
  <c r="J502" i="1"/>
  <c r="I501" i="1"/>
  <c r="J503" i="1"/>
  <c r="I502" i="1"/>
  <c r="J504" i="1"/>
  <c r="I503" i="1"/>
  <c r="J505" i="1"/>
  <c r="I504" i="1"/>
  <c r="J506" i="1"/>
  <c r="I505" i="1"/>
  <c r="J507" i="1"/>
  <c r="I506" i="1"/>
  <c r="J508" i="1"/>
  <c r="I507" i="1"/>
  <c r="J509" i="1"/>
  <c r="I508" i="1"/>
  <c r="J510" i="1"/>
  <c r="I509" i="1"/>
  <c r="J511" i="1"/>
  <c r="I510" i="1"/>
  <c r="J512" i="1"/>
  <c r="I511" i="1"/>
  <c r="J513" i="1"/>
  <c r="I512" i="1"/>
  <c r="J514" i="1"/>
  <c r="I513" i="1"/>
  <c r="J515" i="1"/>
  <c r="I514" i="1"/>
  <c r="J516" i="1"/>
  <c r="I515" i="1"/>
  <c r="J517" i="1"/>
  <c r="I516" i="1"/>
  <c r="J518" i="1"/>
  <c r="I517" i="1"/>
  <c r="J519" i="1"/>
  <c r="I518" i="1"/>
  <c r="J520" i="1"/>
  <c r="I519" i="1"/>
  <c r="J521" i="1"/>
  <c r="I520" i="1"/>
  <c r="J522" i="1"/>
  <c r="I521" i="1"/>
  <c r="J523" i="1"/>
  <c r="I522" i="1"/>
  <c r="J524" i="1"/>
  <c r="I523" i="1"/>
  <c r="J525" i="1"/>
  <c r="I524" i="1"/>
  <c r="J526" i="1"/>
  <c r="I525" i="1"/>
  <c r="J527" i="1"/>
  <c r="I526" i="1"/>
  <c r="J528" i="1"/>
  <c r="I527" i="1"/>
  <c r="J529" i="1"/>
  <c r="I528" i="1"/>
  <c r="J530" i="1"/>
  <c r="I529" i="1"/>
  <c r="J531" i="1"/>
  <c r="I530" i="1"/>
  <c r="J532" i="1"/>
  <c r="I531" i="1"/>
  <c r="J533" i="1"/>
  <c r="I532" i="1"/>
  <c r="J534" i="1"/>
  <c r="I533" i="1"/>
  <c r="J535" i="1"/>
  <c r="I534" i="1"/>
  <c r="J536" i="1"/>
  <c r="I535" i="1"/>
  <c r="J537" i="1"/>
  <c r="I536" i="1"/>
  <c r="J538" i="1"/>
  <c r="I537" i="1"/>
  <c r="J539" i="1"/>
  <c r="I538" i="1"/>
  <c r="J540" i="1"/>
  <c r="I539" i="1"/>
  <c r="J541" i="1"/>
  <c r="I540" i="1"/>
  <c r="J542" i="1"/>
  <c r="I541" i="1"/>
  <c r="J543" i="1"/>
  <c r="I542" i="1"/>
  <c r="J544" i="1"/>
  <c r="I543" i="1"/>
  <c r="J545" i="1"/>
  <c r="I544" i="1"/>
  <c r="J546" i="1"/>
  <c r="I545" i="1"/>
  <c r="J547" i="1"/>
  <c r="I546" i="1"/>
  <c r="J548" i="1"/>
  <c r="I547" i="1"/>
  <c r="J549" i="1"/>
  <c r="I548" i="1"/>
  <c r="J550" i="1"/>
  <c r="I549" i="1"/>
  <c r="J551" i="1"/>
  <c r="I550" i="1"/>
  <c r="J552" i="1"/>
  <c r="I551" i="1"/>
  <c r="J553" i="1"/>
  <c r="I552" i="1"/>
  <c r="J554" i="1"/>
  <c r="I553" i="1"/>
  <c r="J555" i="1"/>
  <c r="I554" i="1"/>
  <c r="J556" i="1"/>
  <c r="I555" i="1"/>
  <c r="J557" i="1"/>
  <c r="I556" i="1"/>
  <c r="J558" i="1"/>
  <c r="I557" i="1"/>
  <c r="J559" i="1"/>
  <c r="I558" i="1"/>
  <c r="J560" i="1"/>
  <c r="I559" i="1"/>
  <c r="J561" i="1"/>
  <c r="I560" i="1"/>
  <c r="J562" i="1"/>
  <c r="I561" i="1"/>
  <c r="J563" i="1"/>
  <c r="I562" i="1"/>
  <c r="J564" i="1"/>
  <c r="I563" i="1"/>
  <c r="J565" i="1"/>
  <c r="I564" i="1"/>
  <c r="J566" i="1"/>
  <c r="I565" i="1"/>
  <c r="J567" i="1"/>
  <c r="I566" i="1"/>
  <c r="J568" i="1"/>
  <c r="I567" i="1"/>
  <c r="J569" i="1"/>
  <c r="I568" i="1"/>
  <c r="J570" i="1"/>
  <c r="I569" i="1"/>
  <c r="J571" i="1"/>
  <c r="I570" i="1"/>
  <c r="J572" i="1"/>
  <c r="I571" i="1"/>
  <c r="J573" i="1"/>
  <c r="I572" i="1"/>
  <c r="J574" i="1"/>
  <c r="I573" i="1"/>
  <c r="J575" i="1"/>
  <c r="I574" i="1"/>
  <c r="J576" i="1"/>
  <c r="I575" i="1"/>
  <c r="J577" i="1"/>
  <c r="I576" i="1"/>
  <c r="J578" i="1"/>
  <c r="I577" i="1"/>
  <c r="J579" i="1"/>
  <c r="I578" i="1"/>
  <c r="J580" i="1"/>
  <c r="I579" i="1"/>
  <c r="J581" i="1"/>
  <c r="I580" i="1"/>
  <c r="J582" i="1"/>
  <c r="I581" i="1"/>
  <c r="J583" i="1"/>
  <c r="I582" i="1"/>
  <c r="J584" i="1"/>
  <c r="I583" i="1"/>
  <c r="J585" i="1"/>
  <c r="I584" i="1"/>
  <c r="J586" i="1"/>
  <c r="I585" i="1"/>
  <c r="J587" i="1"/>
  <c r="I586" i="1"/>
  <c r="J588" i="1"/>
  <c r="I587" i="1"/>
  <c r="J589" i="1"/>
  <c r="I588" i="1"/>
  <c r="J590" i="1"/>
  <c r="I589" i="1"/>
  <c r="J591" i="1"/>
  <c r="I590" i="1"/>
  <c r="J592" i="1"/>
  <c r="I591" i="1"/>
  <c r="J593" i="1"/>
  <c r="I592" i="1"/>
  <c r="J594" i="1"/>
  <c r="I593" i="1"/>
  <c r="J595" i="1"/>
  <c r="I594" i="1"/>
  <c r="J596" i="1"/>
  <c r="I595" i="1"/>
  <c r="J597" i="1"/>
  <c r="I596" i="1"/>
  <c r="J598" i="1"/>
  <c r="I597" i="1"/>
  <c r="J599" i="1"/>
  <c r="I598" i="1"/>
  <c r="J600" i="1"/>
  <c r="I599" i="1"/>
  <c r="J601" i="1"/>
  <c r="I600" i="1"/>
  <c r="J602" i="1"/>
  <c r="I601" i="1"/>
  <c r="J603" i="1"/>
  <c r="I602" i="1"/>
  <c r="J604" i="1"/>
  <c r="I603" i="1"/>
  <c r="J605" i="1"/>
  <c r="I604" i="1"/>
  <c r="J606" i="1"/>
  <c r="I605" i="1"/>
  <c r="J607" i="1"/>
  <c r="I606" i="1"/>
  <c r="J608" i="1"/>
  <c r="I607" i="1"/>
  <c r="J609" i="1"/>
  <c r="I608" i="1"/>
  <c r="J610" i="1"/>
  <c r="I609" i="1"/>
  <c r="J611" i="1"/>
  <c r="I610" i="1"/>
  <c r="J612" i="1"/>
  <c r="I611" i="1"/>
  <c r="J613" i="1"/>
  <c r="I612" i="1"/>
  <c r="J614" i="1"/>
  <c r="I613" i="1"/>
  <c r="J615" i="1"/>
  <c r="I614" i="1"/>
  <c r="J616" i="1"/>
  <c r="I615" i="1"/>
  <c r="J617" i="1"/>
  <c r="I616" i="1"/>
  <c r="J618" i="1"/>
  <c r="I617" i="1"/>
  <c r="J619" i="1"/>
  <c r="I618" i="1"/>
  <c r="J620" i="1"/>
  <c r="I619" i="1"/>
  <c r="J621" i="1"/>
  <c r="I620" i="1"/>
  <c r="J622" i="1"/>
  <c r="I621" i="1"/>
  <c r="J623" i="1"/>
  <c r="I622" i="1"/>
  <c r="J624" i="1"/>
  <c r="I623" i="1"/>
  <c r="J625" i="1"/>
  <c r="I624" i="1"/>
  <c r="J626" i="1"/>
  <c r="I625" i="1"/>
  <c r="J627" i="1"/>
  <c r="I626" i="1"/>
  <c r="J628" i="1"/>
  <c r="I627" i="1"/>
  <c r="J629" i="1"/>
  <c r="I628" i="1"/>
  <c r="J630" i="1"/>
  <c r="I629" i="1"/>
  <c r="J631" i="1"/>
  <c r="I630" i="1"/>
  <c r="J632" i="1"/>
  <c r="I631" i="1"/>
  <c r="J633" i="1"/>
  <c r="I632" i="1"/>
  <c r="J634" i="1"/>
  <c r="I633" i="1"/>
  <c r="J635" i="1"/>
  <c r="I634" i="1"/>
  <c r="J636" i="1"/>
  <c r="I635" i="1"/>
  <c r="J637" i="1"/>
  <c r="I636" i="1"/>
  <c r="J638" i="1"/>
  <c r="I637" i="1"/>
  <c r="J639" i="1"/>
  <c r="I638" i="1"/>
  <c r="J640" i="1"/>
  <c r="I639" i="1"/>
  <c r="J641" i="1"/>
  <c r="I640" i="1"/>
  <c r="J642" i="1"/>
  <c r="I641" i="1"/>
  <c r="J643" i="1"/>
  <c r="I642" i="1"/>
  <c r="J644" i="1"/>
  <c r="I643" i="1"/>
  <c r="J645" i="1"/>
  <c r="I644" i="1"/>
  <c r="J646" i="1"/>
  <c r="I645" i="1"/>
  <c r="J647" i="1"/>
  <c r="I646" i="1"/>
  <c r="J648" i="1"/>
  <c r="I647" i="1"/>
  <c r="J649" i="1"/>
  <c r="I648" i="1"/>
  <c r="J650" i="1"/>
  <c r="I649" i="1"/>
  <c r="J651" i="1"/>
  <c r="I650" i="1"/>
  <c r="J652" i="1"/>
  <c r="I651" i="1"/>
  <c r="J653" i="1"/>
  <c r="I652" i="1"/>
  <c r="J654" i="1"/>
  <c r="I653" i="1"/>
  <c r="J655" i="1"/>
  <c r="I654" i="1"/>
  <c r="J656" i="1"/>
  <c r="I655" i="1"/>
  <c r="J657" i="1"/>
  <c r="I656" i="1"/>
  <c r="J658" i="1"/>
  <c r="I657" i="1"/>
  <c r="J659" i="1"/>
  <c r="I658" i="1"/>
  <c r="J660" i="1"/>
  <c r="I659" i="1"/>
  <c r="J661" i="1"/>
  <c r="I660" i="1"/>
  <c r="J662" i="1"/>
  <c r="I661" i="1"/>
  <c r="J663" i="1"/>
  <c r="I662" i="1"/>
  <c r="J664" i="1"/>
  <c r="I663" i="1"/>
  <c r="J665" i="1"/>
  <c r="I664" i="1"/>
  <c r="J666" i="1"/>
  <c r="I665" i="1"/>
  <c r="J667" i="1"/>
  <c r="I666" i="1"/>
  <c r="J668" i="1"/>
  <c r="I667" i="1"/>
  <c r="J669" i="1"/>
  <c r="I668" i="1"/>
  <c r="J670" i="1"/>
  <c r="I669" i="1"/>
  <c r="J671" i="1"/>
  <c r="I670" i="1"/>
  <c r="J672" i="1"/>
  <c r="I671" i="1"/>
  <c r="J673" i="1"/>
  <c r="I672" i="1"/>
  <c r="J674" i="1"/>
  <c r="I673" i="1"/>
  <c r="J675" i="1"/>
  <c r="I674" i="1"/>
  <c r="J676" i="1"/>
  <c r="I675" i="1"/>
  <c r="J677" i="1"/>
  <c r="I676" i="1"/>
  <c r="J678" i="1"/>
  <c r="I677" i="1"/>
  <c r="J679" i="1"/>
  <c r="I678" i="1"/>
  <c r="J680" i="1"/>
  <c r="I679" i="1"/>
  <c r="J681" i="1"/>
  <c r="I680" i="1"/>
  <c r="J682" i="1"/>
  <c r="I681" i="1"/>
  <c r="J683" i="1"/>
  <c r="I682" i="1"/>
  <c r="J684" i="1"/>
  <c r="I683" i="1"/>
  <c r="J685" i="1"/>
  <c r="I684" i="1"/>
  <c r="J686" i="1"/>
  <c r="I685" i="1"/>
  <c r="J687" i="1"/>
  <c r="I686" i="1"/>
  <c r="J688" i="1"/>
  <c r="I687" i="1"/>
  <c r="J689" i="1"/>
  <c r="I688" i="1"/>
  <c r="J690" i="1"/>
  <c r="I689" i="1"/>
  <c r="J691" i="1"/>
  <c r="I690" i="1"/>
  <c r="J692" i="1"/>
  <c r="I691" i="1"/>
  <c r="J693" i="1"/>
  <c r="I692" i="1"/>
  <c r="J694" i="1"/>
  <c r="I693" i="1"/>
  <c r="J695" i="1"/>
  <c r="I694" i="1"/>
  <c r="J696" i="1"/>
  <c r="I695" i="1"/>
  <c r="J697" i="1"/>
  <c r="I696" i="1"/>
  <c r="J698" i="1"/>
  <c r="I697" i="1"/>
  <c r="J699" i="1"/>
  <c r="I698" i="1"/>
  <c r="J700" i="1"/>
  <c r="I699" i="1"/>
  <c r="J701" i="1"/>
  <c r="I700" i="1"/>
  <c r="J702" i="1"/>
  <c r="I701" i="1"/>
  <c r="J703" i="1"/>
  <c r="I702" i="1"/>
  <c r="J704" i="1"/>
  <c r="I703" i="1"/>
  <c r="J705" i="1"/>
  <c r="I704" i="1"/>
  <c r="J706" i="1"/>
  <c r="I705" i="1"/>
  <c r="J707" i="1"/>
  <c r="I706" i="1"/>
  <c r="J708" i="1"/>
  <c r="I707" i="1"/>
  <c r="J709" i="1"/>
  <c r="I708" i="1"/>
  <c r="J710" i="1"/>
  <c r="I709" i="1"/>
  <c r="J711" i="1"/>
  <c r="I710" i="1"/>
  <c r="J712" i="1"/>
  <c r="I711" i="1"/>
  <c r="J713" i="1"/>
  <c r="I712" i="1"/>
  <c r="J714" i="1"/>
  <c r="I713" i="1"/>
  <c r="J715" i="1"/>
  <c r="I714" i="1"/>
  <c r="J716" i="1"/>
  <c r="I715" i="1"/>
  <c r="J717" i="1"/>
  <c r="I716" i="1"/>
  <c r="J718" i="1"/>
  <c r="I717" i="1"/>
  <c r="J719" i="1"/>
  <c r="I718" i="1"/>
  <c r="J720" i="1"/>
  <c r="I719" i="1"/>
  <c r="J721" i="1"/>
  <c r="I720" i="1"/>
  <c r="J722" i="1"/>
  <c r="I721" i="1"/>
  <c r="J723" i="1"/>
  <c r="I722" i="1"/>
  <c r="J724" i="1"/>
  <c r="I723" i="1"/>
  <c r="J725" i="1"/>
  <c r="I724" i="1"/>
  <c r="J726" i="1"/>
  <c r="I725" i="1"/>
  <c r="J727" i="1"/>
  <c r="I726" i="1"/>
  <c r="J728" i="1"/>
  <c r="I727" i="1"/>
  <c r="J729" i="1"/>
  <c r="I728" i="1"/>
  <c r="J730" i="1"/>
  <c r="I729" i="1"/>
  <c r="J731" i="1"/>
  <c r="I730" i="1"/>
  <c r="J732" i="1"/>
  <c r="I731" i="1"/>
  <c r="J733" i="1"/>
  <c r="I732" i="1"/>
  <c r="J734" i="1"/>
  <c r="I733" i="1"/>
  <c r="J735" i="1"/>
  <c r="I734" i="1"/>
  <c r="J736" i="1"/>
  <c r="I735" i="1"/>
  <c r="J737" i="1"/>
  <c r="I736" i="1"/>
  <c r="J738" i="1"/>
  <c r="I737" i="1"/>
  <c r="J739" i="1"/>
  <c r="I738" i="1"/>
  <c r="J740" i="1"/>
  <c r="I739" i="1"/>
  <c r="J741" i="1"/>
  <c r="I740" i="1"/>
  <c r="J742" i="1"/>
  <c r="I741" i="1"/>
  <c r="J743" i="1"/>
  <c r="I742" i="1"/>
  <c r="J744" i="1"/>
  <c r="I743" i="1"/>
  <c r="J745" i="1"/>
  <c r="I744" i="1"/>
  <c r="J746" i="1"/>
  <c r="I745" i="1"/>
  <c r="J747" i="1"/>
  <c r="I746" i="1"/>
  <c r="J748" i="1"/>
  <c r="I747" i="1"/>
  <c r="J749" i="1"/>
  <c r="I748" i="1"/>
  <c r="J750" i="1"/>
  <c r="I749" i="1"/>
  <c r="J751" i="1"/>
  <c r="I750" i="1"/>
  <c r="J752" i="1"/>
  <c r="I751" i="1"/>
  <c r="J753" i="1"/>
  <c r="I752" i="1"/>
  <c r="J754" i="1"/>
  <c r="I753" i="1"/>
  <c r="J755" i="1"/>
  <c r="I754" i="1"/>
  <c r="J756" i="1"/>
  <c r="I755" i="1"/>
  <c r="J757" i="1"/>
  <c r="I756" i="1"/>
  <c r="J758" i="1"/>
  <c r="I757" i="1"/>
  <c r="J759" i="1"/>
  <c r="I758" i="1"/>
  <c r="J760" i="1"/>
  <c r="I759" i="1"/>
  <c r="J761" i="1"/>
  <c r="I760" i="1"/>
  <c r="J762" i="1"/>
  <c r="I761" i="1"/>
  <c r="J763" i="1"/>
  <c r="I762" i="1"/>
  <c r="J764" i="1"/>
  <c r="I763" i="1"/>
  <c r="J765" i="1"/>
  <c r="I764" i="1"/>
  <c r="J766" i="1"/>
  <c r="I765" i="1"/>
  <c r="J767" i="1"/>
  <c r="I766" i="1"/>
  <c r="J768" i="1"/>
  <c r="I767" i="1"/>
  <c r="J769" i="1"/>
  <c r="I768" i="1"/>
  <c r="J770" i="1"/>
  <c r="I769" i="1"/>
  <c r="J771" i="1"/>
  <c r="I770" i="1"/>
  <c r="J772" i="1"/>
  <c r="I771" i="1"/>
  <c r="J773" i="1"/>
  <c r="I772" i="1"/>
  <c r="J774" i="1"/>
  <c r="I773" i="1"/>
  <c r="J775" i="1"/>
  <c r="I774" i="1"/>
  <c r="J776" i="1"/>
  <c r="I775" i="1"/>
  <c r="J777" i="1"/>
  <c r="I776" i="1"/>
  <c r="J778" i="1"/>
  <c r="I777" i="1"/>
  <c r="J779" i="1"/>
  <c r="I778" i="1"/>
  <c r="J780" i="1"/>
  <c r="I779" i="1"/>
  <c r="J781" i="1"/>
  <c r="I780" i="1"/>
  <c r="J782" i="1"/>
  <c r="I781" i="1"/>
  <c r="J783" i="1"/>
  <c r="I782" i="1"/>
  <c r="J784" i="1"/>
  <c r="I783" i="1"/>
  <c r="J785" i="1"/>
  <c r="I784" i="1"/>
  <c r="J786" i="1"/>
  <c r="I785" i="1"/>
  <c r="J787" i="1"/>
  <c r="I786" i="1"/>
  <c r="J788" i="1"/>
  <c r="I787" i="1"/>
  <c r="J789" i="1"/>
  <c r="I788" i="1"/>
  <c r="J790" i="1"/>
  <c r="I789" i="1"/>
  <c r="J791" i="1"/>
  <c r="I790" i="1"/>
  <c r="J792" i="1"/>
  <c r="I791" i="1"/>
  <c r="J793" i="1"/>
  <c r="I792" i="1"/>
  <c r="J794" i="1"/>
  <c r="I793" i="1"/>
  <c r="J795" i="1"/>
  <c r="I794" i="1"/>
  <c r="J796" i="1"/>
  <c r="I795" i="1"/>
  <c r="J797" i="1"/>
  <c r="I796" i="1"/>
  <c r="J798" i="1"/>
  <c r="I797" i="1"/>
  <c r="J799" i="1"/>
  <c r="I798" i="1"/>
  <c r="J800" i="1"/>
  <c r="I799" i="1"/>
  <c r="J801" i="1"/>
  <c r="I800" i="1"/>
  <c r="J802" i="1"/>
  <c r="I801" i="1"/>
  <c r="J803" i="1"/>
  <c r="I802" i="1"/>
  <c r="J804" i="1"/>
  <c r="I803" i="1"/>
  <c r="J805" i="1"/>
  <c r="I804" i="1"/>
  <c r="J806" i="1"/>
  <c r="I805" i="1"/>
  <c r="J807" i="1"/>
  <c r="I806" i="1"/>
  <c r="J808" i="1"/>
  <c r="I807" i="1"/>
  <c r="J809" i="1"/>
  <c r="I808" i="1"/>
  <c r="J810" i="1"/>
  <c r="I809" i="1"/>
  <c r="J811" i="1"/>
  <c r="I810" i="1"/>
  <c r="J812" i="1"/>
  <c r="I811" i="1"/>
  <c r="J813" i="1"/>
  <c r="I812" i="1"/>
  <c r="J814" i="1"/>
  <c r="I813" i="1"/>
  <c r="J815" i="1"/>
  <c r="I814" i="1"/>
  <c r="J816" i="1"/>
  <c r="I815" i="1"/>
  <c r="J817" i="1"/>
  <c r="I816" i="1"/>
  <c r="J818" i="1"/>
  <c r="I817" i="1"/>
  <c r="J819" i="1"/>
  <c r="I818" i="1"/>
  <c r="J820" i="1"/>
  <c r="I819" i="1"/>
  <c r="J821" i="1"/>
  <c r="I820" i="1"/>
  <c r="J822" i="1"/>
  <c r="I821" i="1"/>
  <c r="J823" i="1"/>
  <c r="I822" i="1"/>
  <c r="J824" i="1"/>
  <c r="I823" i="1"/>
  <c r="J825" i="1"/>
  <c r="I824" i="1"/>
  <c r="J826" i="1"/>
  <c r="I825" i="1"/>
  <c r="J827" i="1"/>
  <c r="I826" i="1"/>
  <c r="J828" i="1"/>
  <c r="I827" i="1"/>
  <c r="J829" i="1"/>
  <c r="I828" i="1"/>
  <c r="J830" i="1"/>
  <c r="I829" i="1"/>
  <c r="J831" i="1"/>
  <c r="I830" i="1"/>
  <c r="J832" i="1"/>
  <c r="I831" i="1"/>
  <c r="J833" i="1"/>
  <c r="I832" i="1"/>
  <c r="J834" i="1"/>
  <c r="I833" i="1"/>
  <c r="J835" i="1"/>
  <c r="I834" i="1"/>
  <c r="J836" i="1"/>
  <c r="I835" i="1"/>
  <c r="J837" i="1"/>
  <c r="I836" i="1"/>
  <c r="J838" i="1"/>
  <c r="I837" i="1"/>
  <c r="J839" i="1"/>
  <c r="I838" i="1"/>
  <c r="J840" i="1"/>
  <c r="I839" i="1"/>
  <c r="J841" i="1"/>
  <c r="I840" i="1"/>
  <c r="J842" i="1"/>
  <c r="I841" i="1"/>
  <c r="J843" i="1"/>
  <c r="I842" i="1"/>
  <c r="J844" i="1"/>
  <c r="I843" i="1"/>
  <c r="J845" i="1"/>
  <c r="I844" i="1"/>
  <c r="J846" i="1"/>
  <c r="I845" i="1"/>
  <c r="J847" i="1"/>
  <c r="I846" i="1"/>
  <c r="J848" i="1"/>
  <c r="I847" i="1"/>
  <c r="J849" i="1"/>
  <c r="I848" i="1"/>
  <c r="J850" i="1"/>
  <c r="I849" i="1"/>
  <c r="J851" i="1"/>
  <c r="I850" i="1"/>
  <c r="J852" i="1"/>
  <c r="I851" i="1"/>
  <c r="J853" i="1"/>
  <c r="I852" i="1"/>
  <c r="J854" i="1"/>
  <c r="I853" i="1"/>
  <c r="J855" i="1"/>
  <c r="I854" i="1"/>
  <c r="J856" i="1"/>
  <c r="I855" i="1"/>
  <c r="J857" i="1"/>
  <c r="I856" i="1"/>
  <c r="J858" i="1"/>
  <c r="I857" i="1"/>
  <c r="J859" i="1"/>
  <c r="I858" i="1"/>
  <c r="J860" i="1"/>
  <c r="I859" i="1"/>
  <c r="J861" i="1"/>
  <c r="I860" i="1"/>
  <c r="J862" i="1"/>
  <c r="I861" i="1"/>
  <c r="J863" i="1"/>
  <c r="I862" i="1"/>
  <c r="J864" i="1"/>
  <c r="I863" i="1"/>
  <c r="J865" i="1"/>
  <c r="I864" i="1"/>
  <c r="J866" i="1"/>
  <c r="I865" i="1"/>
  <c r="J867" i="1"/>
  <c r="I866" i="1"/>
  <c r="J868" i="1"/>
  <c r="I867" i="1"/>
  <c r="J869" i="1"/>
  <c r="I868" i="1"/>
  <c r="J870" i="1"/>
  <c r="I869" i="1"/>
  <c r="J871" i="1"/>
  <c r="I870" i="1"/>
  <c r="J872" i="1"/>
  <c r="I871" i="1"/>
  <c r="J873" i="1"/>
  <c r="I872" i="1"/>
  <c r="J874" i="1"/>
  <c r="I873" i="1"/>
  <c r="J875" i="1"/>
  <c r="I874" i="1"/>
  <c r="J876" i="1"/>
  <c r="I875" i="1"/>
  <c r="J877" i="1"/>
  <c r="I876" i="1"/>
  <c r="J878" i="1"/>
  <c r="I877" i="1"/>
  <c r="J879" i="1"/>
  <c r="I878" i="1"/>
  <c r="J880" i="1"/>
  <c r="I879" i="1"/>
  <c r="J881" i="1"/>
  <c r="I880" i="1"/>
  <c r="J882" i="1"/>
  <c r="I881" i="1"/>
  <c r="J883" i="1"/>
  <c r="I882" i="1"/>
  <c r="J884" i="1"/>
  <c r="I883" i="1"/>
  <c r="J885" i="1"/>
  <c r="I884" i="1"/>
  <c r="J886" i="1"/>
  <c r="I885" i="1"/>
  <c r="J887" i="1"/>
  <c r="I886" i="1"/>
  <c r="J888" i="1"/>
  <c r="I887" i="1"/>
  <c r="J889" i="1"/>
  <c r="I888" i="1"/>
  <c r="J890" i="1"/>
  <c r="I889" i="1"/>
  <c r="J891" i="1"/>
  <c r="I890" i="1"/>
  <c r="J892" i="1"/>
  <c r="I891" i="1"/>
  <c r="J893" i="1"/>
  <c r="I892" i="1"/>
  <c r="J894" i="1"/>
  <c r="I893" i="1"/>
  <c r="J895" i="1"/>
  <c r="I894" i="1"/>
  <c r="J896" i="1"/>
  <c r="I895" i="1"/>
  <c r="J897" i="1"/>
  <c r="I896" i="1"/>
  <c r="J898" i="1"/>
  <c r="I897" i="1"/>
  <c r="J899" i="1"/>
  <c r="I898" i="1"/>
  <c r="J900" i="1"/>
  <c r="I899" i="1"/>
  <c r="J901" i="1"/>
  <c r="I900" i="1"/>
  <c r="J902" i="1"/>
  <c r="I901" i="1"/>
  <c r="J903" i="1"/>
  <c r="I902" i="1"/>
  <c r="J904" i="1"/>
  <c r="I903" i="1"/>
  <c r="J905" i="1"/>
  <c r="I904" i="1"/>
  <c r="J906" i="1"/>
  <c r="I905" i="1"/>
  <c r="J907" i="1"/>
  <c r="I906" i="1"/>
  <c r="J908" i="1"/>
  <c r="I907" i="1"/>
  <c r="J909" i="1"/>
  <c r="I908" i="1"/>
  <c r="J910" i="1"/>
  <c r="I909" i="1"/>
  <c r="J911" i="1"/>
  <c r="I910" i="1"/>
  <c r="J912" i="1"/>
  <c r="I911" i="1"/>
  <c r="J913" i="1"/>
  <c r="I912" i="1"/>
  <c r="J914" i="1"/>
  <c r="I913" i="1"/>
  <c r="J915" i="1"/>
  <c r="I914" i="1"/>
  <c r="J916" i="1"/>
  <c r="I915" i="1"/>
  <c r="J917" i="1"/>
  <c r="I916" i="1"/>
  <c r="J918" i="1"/>
  <c r="I917" i="1"/>
  <c r="J919" i="1"/>
  <c r="I918" i="1"/>
  <c r="J920" i="1"/>
  <c r="I919" i="1"/>
  <c r="J921" i="1"/>
  <c r="I920" i="1"/>
  <c r="J922" i="1"/>
  <c r="I921" i="1"/>
  <c r="J923" i="1"/>
  <c r="I922" i="1"/>
  <c r="J924" i="1"/>
  <c r="I923" i="1"/>
  <c r="J925" i="1"/>
  <c r="I924" i="1"/>
  <c r="J926" i="1"/>
  <c r="I925" i="1"/>
  <c r="J927" i="1"/>
  <c r="I926" i="1"/>
  <c r="J928" i="1"/>
  <c r="I927" i="1"/>
  <c r="J929" i="1"/>
  <c r="I928" i="1"/>
  <c r="J930" i="1"/>
  <c r="I929" i="1"/>
  <c r="J931" i="1"/>
  <c r="I930" i="1"/>
  <c r="J932" i="1"/>
  <c r="I931" i="1"/>
  <c r="J933" i="1"/>
  <c r="I932" i="1"/>
  <c r="J934" i="1"/>
  <c r="I933" i="1"/>
  <c r="J935" i="1"/>
  <c r="I934" i="1"/>
  <c r="J936" i="1"/>
  <c r="I935" i="1"/>
  <c r="J937" i="1"/>
  <c r="I936" i="1"/>
  <c r="J938" i="1"/>
  <c r="I937" i="1"/>
  <c r="J939" i="1"/>
  <c r="I938" i="1"/>
  <c r="J940" i="1"/>
  <c r="I939" i="1"/>
  <c r="J941" i="1"/>
  <c r="I940" i="1"/>
  <c r="J942" i="1"/>
  <c r="I941" i="1"/>
  <c r="J943" i="1"/>
  <c r="I942" i="1"/>
  <c r="J944" i="1"/>
  <c r="I943" i="1"/>
  <c r="J945" i="1"/>
  <c r="I944" i="1"/>
  <c r="J946" i="1"/>
  <c r="I945" i="1"/>
  <c r="J947" i="1"/>
  <c r="I946" i="1"/>
  <c r="J948" i="1"/>
  <c r="I947" i="1"/>
  <c r="J949" i="1"/>
  <c r="I948" i="1"/>
  <c r="J950" i="1"/>
  <c r="I949" i="1"/>
  <c r="J951" i="1"/>
  <c r="I950" i="1"/>
  <c r="J952" i="1"/>
  <c r="I951" i="1"/>
  <c r="J953" i="1"/>
  <c r="I952" i="1"/>
  <c r="J954" i="1"/>
  <c r="I953" i="1"/>
  <c r="J955" i="1"/>
  <c r="I954" i="1"/>
  <c r="J956" i="1"/>
  <c r="I955" i="1"/>
  <c r="J957" i="1"/>
  <c r="I956" i="1"/>
  <c r="J958" i="1"/>
  <c r="I957" i="1"/>
  <c r="J959" i="1"/>
  <c r="I958" i="1"/>
  <c r="J960" i="1"/>
  <c r="I959" i="1"/>
  <c r="J961" i="1"/>
  <c r="I960" i="1"/>
  <c r="J962" i="1"/>
  <c r="I961" i="1"/>
  <c r="J963" i="1"/>
  <c r="I962" i="1"/>
  <c r="J964" i="1"/>
  <c r="I963" i="1"/>
  <c r="J965" i="1"/>
  <c r="I964" i="1"/>
  <c r="J966" i="1"/>
  <c r="I965" i="1"/>
  <c r="J967" i="1"/>
  <c r="I966" i="1"/>
  <c r="J968" i="1"/>
  <c r="I967" i="1"/>
  <c r="J969" i="1"/>
  <c r="I968" i="1"/>
  <c r="J970" i="1"/>
  <c r="I969" i="1"/>
  <c r="J971" i="1"/>
  <c r="I970" i="1"/>
  <c r="J972" i="1"/>
  <c r="I971" i="1"/>
  <c r="J973" i="1"/>
  <c r="I972" i="1"/>
  <c r="J974" i="1"/>
  <c r="I973" i="1"/>
  <c r="J975" i="1"/>
  <c r="I974" i="1"/>
  <c r="J976" i="1"/>
  <c r="I975" i="1"/>
  <c r="J977" i="1"/>
  <c r="I976" i="1"/>
  <c r="J978" i="1"/>
  <c r="I977" i="1"/>
  <c r="J979" i="1"/>
  <c r="I978" i="1"/>
  <c r="J980" i="1"/>
  <c r="I979" i="1"/>
  <c r="J981" i="1"/>
  <c r="I980" i="1"/>
  <c r="J982" i="1"/>
  <c r="I981" i="1"/>
  <c r="J983" i="1"/>
  <c r="I982" i="1"/>
  <c r="J984" i="1"/>
  <c r="I983" i="1"/>
  <c r="J985" i="1"/>
  <c r="I984" i="1"/>
  <c r="J986" i="1"/>
  <c r="I985" i="1"/>
  <c r="J987" i="1"/>
  <c r="I986" i="1"/>
  <c r="J988" i="1"/>
  <c r="I987" i="1"/>
  <c r="J989" i="1"/>
  <c r="I988" i="1"/>
  <c r="J990" i="1"/>
  <c r="I989" i="1"/>
  <c r="J991" i="1"/>
  <c r="I990" i="1"/>
  <c r="J992" i="1"/>
  <c r="I991" i="1"/>
  <c r="J993" i="1"/>
  <c r="I992" i="1"/>
  <c r="J994" i="1"/>
  <c r="I993" i="1"/>
  <c r="J995" i="1"/>
  <c r="I994" i="1"/>
  <c r="J996" i="1"/>
  <c r="I995" i="1"/>
  <c r="J997" i="1"/>
  <c r="I996" i="1"/>
  <c r="J998" i="1"/>
  <c r="I997" i="1"/>
  <c r="J999" i="1"/>
  <c r="I998" i="1"/>
  <c r="J1000" i="1"/>
  <c r="I999" i="1"/>
  <c r="J1001" i="1"/>
  <c r="I1000" i="1"/>
  <c r="J1002" i="1"/>
  <c r="I1001" i="1"/>
  <c r="J1003" i="1"/>
  <c r="I1002" i="1"/>
  <c r="J1004" i="1"/>
  <c r="I1003" i="1"/>
  <c r="J1005" i="1"/>
  <c r="I1004" i="1"/>
  <c r="J1006" i="1"/>
  <c r="I1005" i="1"/>
  <c r="J1007" i="1"/>
  <c r="I1006" i="1"/>
  <c r="J1008" i="1"/>
  <c r="I1007" i="1"/>
  <c r="J1009" i="1"/>
  <c r="I1008" i="1"/>
  <c r="J1010" i="1"/>
  <c r="I1009" i="1"/>
  <c r="J1011" i="1"/>
  <c r="I1010" i="1"/>
  <c r="J1012" i="1"/>
  <c r="I1011" i="1"/>
  <c r="J1013" i="1"/>
  <c r="I1012" i="1"/>
  <c r="J1014" i="1"/>
  <c r="I1013" i="1"/>
  <c r="J1015" i="1"/>
  <c r="I1014" i="1"/>
  <c r="J1016" i="1"/>
  <c r="I1015" i="1"/>
  <c r="J1017" i="1"/>
  <c r="I1016" i="1"/>
  <c r="J1018" i="1"/>
  <c r="I1017" i="1"/>
  <c r="J1019" i="1"/>
  <c r="I1018" i="1"/>
  <c r="J1020" i="1"/>
  <c r="I1019" i="1"/>
  <c r="J1021" i="1"/>
  <c r="I1020" i="1"/>
  <c r="J1022" i="1"/>
  <c r="I1021" i="1"/>
  <c r="J1023" i="1"/>
  <c r="I1022" i="1"/>
  <c r="J1024" i="1"/>
  <c r="I1023" i="1"/>
  <c r="J1025" i="1"/>
  <c r="I1024" i="1"/>
  <c r="J1026" i="1"/>
  <c r="I1025" i="1"/>
  <c r="J1027" i="1"/>
  <c r="I1026" i="1"/>
  <c r="J1028" i="1"/>
  <c r="I1027" i="1"/>
  <c r="J1029" i="1"/>
  <c r="I1028" i="1"/>
  <c r="J1030" i="1"/>
  <c r="I1029" i="1"/>
  <c r="J1031" i="1"/>
  <c r="I1030" i="1"/>
  <c r="J1032" i="1"/>
  <c r="I1031" i="1"/>
  <c r="J1033" i="1"/>
  <c r="I1032" i="1"/>
  <c r="J1034" i="1"/>
  <c r="I1033" i="1"/>
  <c r="J1035" i="1"/>
  <c r="I1034" i="1"/>
  <c r="J1036" i="1"/>
  <c r="I1035" i="1"/>
  <c r="J1037" i="1"/>
  <c r="I1036" i="1"/>
  <c r="J1038" i="1"/>
  <c r="I1037" i="1"/>
  <c r="J1039" i="1"/>
  <c r="I1038" i="1"/>
  <c r="J1040" i="1"/>
  <c r="I1039" i="1"/>
  <c r="J1041" i="1"/>
  <c r="I1040" i="1"/>
  <c r="J1042" i="1"/>
  <c r="I1041" i="1"/>
  <c r="J1043" i="1"/>
  <c r="I1042" i="1"/>
  <c r="J1044" i="1"/>
  <c r="I1043" i="1"/>
  <c r="J1045" i="1"/>
  <c r="I1044" i="1"/>
  <c r="J1046" i="1"/>
  <c r="I1045" i="1"/>
  <c r="J1047" i="1"/>
  <c r="I1046" i="1"/>
  <c r="J1048" i="1"/>
  <c r="I1047" i="1"/>
  <c r="J1049" i="1"/>
  <c r="I1048" i="1"/>
  <c r="J1050" i="1"/>
  <c r="I1049" i="1"/>
  <c r="J1051" i="1"/>
  <c r="I1050" i="1"/>
  <c r="J1052" i="1"/>
  <c r="I1051" i="1"/>
  <c r="J1053" i="1"/>
  <c r="I1052" i="1"/>
  <c r="J1054" i="1"/>
  <c r="I1053" i="1"/>
  <c r="J1055" i="1"/>
  <c r="I1054" i="1"/>
  <c r="J1056" i="1"/>
  <c r="I1055" i="1"/>
  <c r="J1057" i="1"/>
  <c r="I1056" i="1"/>
  <c r="J1058" i="1"/>
  <c r="I1057" i="1"/>
  <c r="J1059" i="1"/>
  <c r="I1058" i="1"/>
  <c r="J1060" i="1"/>
  <c r="I1059" i="1"/>
  <c r="J1061" i="1"/>
  <c r="I1060" i="1"/>
  <c r="J1062" i="1"/>
  <c r="I1061" i="1"/>
  <c r="J1063" i="1"/>
  <c r="I1062" i="1"/>
  <c r="J1064" i="1"/>
  <c r="I1063" i="1"/>
  <c r="J1065" i="1"/>
  <c r="I1064" i="1"/>
  <c r="J1066" i="1"/>
  <c r="I1065" i="1"/>
  <c r="J1067" i="1"/>
  <c r="I1066" i="1"/>
  <c r="J1068" i="1"/>
  <c r="I1067" i="1"/>
  <c r="J1069" i="1"/>
  <c r="I1068" i="1"/>
  <c r="J1070" i="1"/>
  <c r="I1069" i="1"/>
  <c r="J1071" i="1"/>
  <c r="I1070" i="1"/>
  <c r="J1072" i="1"/>
  <c r="I1071" i="1"/>
  <c r="J1073" i="1"/>
  <c r="I1072" i="1"/>
  <c r="J1074" i="1"/>
  <c r="I1073" i="1"/>
  <c r="J1075" i="1"/>
  <c r="I1074" i="1"/>
  <c r="J1076" i="1"/>
  <c r="I1075" i="1"/>
  <c r="J1077" i="1"/>
  <c r="I1076" i="1"/>
  <c r="J1078" i="1"/>
  <c r="I1077" i="1"/>
  <c r="J1079" i="1"/>
  <c r="I1078" i="1"/>
  <c r="J1080" i="1"/>
  <c r="I1079" i="1"/>
  <c r="J1081" i="1"/>
  <c r="I1080" i="1"/>
  <c r="J1082" i="1"/>
  <c r="I1081" i="1"/>
  <c r="J1083" i="1"/>
  <c r="I1082" i="1"/>
  <c r="J1084" i="1"/>
  <c r="I1083" i="1"/>
  <c r="J1085" i="1"/>
  <c r="I1084" i="1"/>
  <c r="J1086" i="1"/>
  <c r="I1085" i="1"/>
  <c r="J1087" i="1"/>
  <c r="I1086" i="1"/>
  <c r="J1088" i="1"/>
  <c r="I1087" i="1"/>
  <c r="J1089" i="1"/>
  <c r="I1088" i="1"/>
  <c r="J1090" i="1"/>
  <c r="I1089" i="1"/>
  <c r="J1091" i="1"/>
  <c r="I1090" i="1"/>
  <c r="J1092" i="1"/>
  <c r="I1091" i="1"/>
  <c r="J1093" i="1"/>
  <c r="I1092" i="1"/>
  <c r="J1094" i="1"/>
  <c r="I1093" i="1"/>
  <c r="J1095" i="1"/>
  <c r="I1094" i="1"/>
  <c r="J1096" i="1"/>
  <c r="I1095" i="1"/>
  <c r="J1097" i="1"/>
  <c r="I1096" i="1"/>
  <c r="J1098" i="1"/>
  <c r="I1097" i="1"/>
  <c r="J1099" i="1"/>
  <c r="I1098" i="1"/>
  <c r="J1100" i="1"/>
  <c r="I1099" i="1"/>
  <c r="J1101" i="1"/>
  <c r="I1100" i="1"/>
  <c r="J1102" i="1"/>
  <c r="I1101" i="1"/>
  <c r="J1103" i="1"/>
  <c r="I1102" i="1"/>
  <c r="J1104" i="1"/>
  <c r="I1103" i="1"/>
  <c r="J1105" i="1"/>
  <c r="I1104" i="1"/>
  <c r="J1106" i="1"/>
  <c r="I1105" i="1"/>
  <c r="J1107" i="1"/>
  <c r="I1106" i="1"/>
  <c r="J1108" i="1"/>
  <c r="I1107" i="1"/>
  <c r="J1109" i="1"/>
  <c r="I1108" i="1"/>
  <c r="J1110" i="1"/>
  <c r="I1109" i="1"/>
  <c r="J1111" i="1"/>
  <c r="I1110" i="1"/>
  <c r="J1112" i="1"/>
  <c r="I1111" i="1"/>
  <c r="J1113" i="1"/>
  <c r="I1112" i="1"/>
  <c r="J1114" i="1"/>
  <c r="I1113" i="1"/>
  <c r="J1115" i="1"/>
  <c r="I1114" i="1"/>
  <c r="J1116" i="1"/>
  <c r="I1115" i="1"/>
  <c r="J1117" i="1"/>
  <c r="I1116" i="1"/>
  <c r="J1118" i="1"/>
  <c r="I1117" i="1"/>
  <c r="J1119" i="1"/>
  <c r="I1118" i="1"/>
  <c r="J1120" i="1"/>
  <c r="I1119" i="1"/>
  <c r="J1121" i="1"/>
  <c r="I1120" i="1"/>
  <c r="J1122" i="1"/>
  <c r="I1121" i="1"/>
  <c r="J1123" i="1"/>
  <c r="I1122" i="1"/>
  <c r="J1124" i="1"/>
  <c r="I1123" i="1"/>
  <c r="J1125" i="1"/>
  <c r="I1124" i="1"/>
  <c r="J1126" i="1"/>
  <c r="I1125" i="1"/>
  <c r="J1127" i="1"/>
  <c r="I1126" i="1"/>
  <c r="J1128" i="1"/>
  <c r="I1127" i="1"/>
  <c r="J1129" i="1"/>
  <c r="I1128" i="1"/>
  <c r="J1130" i="1"/>
  <c r="I1129" i="1"/>
  <c r="J1131" i="1"/>
  <c r="I1130" i="1"/>
  <c r="J1132" i="1"/>
  <c r="I1131" i="1"/>
  <c r="J1133" i="1"/>
  <c r="I1132" i="1"/>
  <c r="J1134" i="1"/>
  <c r="I1133" i="1"/>
  <c r="J1135" i="1"/>
  <c r="I1134" i="1"/>
  <c r="J1136" i="1"/>
  <c r="I1135" i="1"/>
  <c r="J1137" i="1"/>
  <c r="I1136" i="1"/>
  <c r="J1138" i="1"/>
  <c r="I1137" i="1"/>
  <c r="J1139" i="1"/>
  <c r="I1138" i="1"/>
  <c r="J1140" i="1"/>
  <c r="I1139" i="1"/>
  <c r="J1141" i="1"/>
  <c r="I1140" i="1"/>
  <c r="J1142" i="1"/>
  <c r="I1141" i="1"/>
  <c r="J1143" i="1"/>
  <c r="I1142" i="1"/>
  <c r="J1144" i="1"/>
  <c r="I1143" i="1"/>
  <c r="J1145" i="1"/>
  <c r="I1144" i="1"/>
  <c r="J1146" i="1"/>
  <c r="I1145" i="1"/>
  <c r="J1147" i="1"/>
  <c r="I1146" i="1"/>
  <c r="J1148" i="1"/>
  <c r="I1147" i="1"/>
  <c r="J1149" i="1"/>
  <c r="I1148" i="1"/>
  <c r="J1150" i="1"/>
  <c r="I1149" i="1"/>
  <c r="J1151" i="1"/>
  <c r="I1150" i="1"/>
  <c r="J1152" i="1"/>
  <c r="I1151" i="1"/>
  <c r="J1153" i="1"/>
  <c r="I1152" i="1"/>
  <c r="J1154" i="1"/>
  <c r="I1153" i="1"/>
  <c r="J1155" i="1"/>
  <c r="I1154" i="1"/>
  <c r="J1156" i="1"/>
  <c r="I1155" i="1"/>
  <c r="J1157" i="1"/>
  <c r="I1156" i="1"/>
  <c r="J1158" i="1"/>
  <c r="I1157" i="1"/>
  <c r="J1159" i="1"/>
  <c r="I1158" i="1"/>
  <c r="J1160" i="1"/>
  <c r="I1159" i="1"/>
  <c r="J1161" i="1"/>
  <c r="I1160" i="1"/>
  <c r="J1162" i="1"/>
  <c r="I1161" i="1"/>
  <c r="J1163" i="1"/>
  <c r="I1162" i="1"/>
  <c r="J1164" i="1"/>
  <c r="I1163" i="1"/>
  <c r="J1165" i="1"/>
  <c r="I1164" i="1"/>
  <c r="J1166" i="1"/>
  <c r="I1165" i="1"/>
  <c r="J1167" i="1"/>
  <c r="I1166" i="1"/>
  <c r="J1168" i="1"/>
  <c r="I1167" i="1"/>
  <c r="J1169" i="1"/>
  <c r="I1168" i="1"/>
  <c r="J1170" i="1"/>
  <c r="I1169" i="1"/>
  <c r="J1171" i="1"/>
  <c r="I1170" i="1"/>
  <c r="J1172" i="1"/>
  <c r="I1171" i="1"/>
  <c r="J1173" i="1"/>
  <c r="I1172" i="1"/>
  <c r="J1174" i="1"/>
  <c r="I1173" i="1"/>
  <c r="J1175" i="1"/>
  <c r="I1174" i="1"/>
  <c r="J1176" i="1"/>
  <c r="I1175" i="1"/>
  <c r="J1177" i="1"/>
  <c r="I1176" i="1"/>
  <c r="J1178" i="1"/>
  <c r="I1177" i="1"/>
  <c r="J1179" i="1"/>
  <c r="I1178" i="1"/>
  <c r="J1180" i="1"/>
  <c r="I1179" i="1"/>
  <c r="J1181" i="1"/>
  <c r="I1180" i="1"/>
  <c r="J1182" i="1"/>
  <c r="I1181" i="1"/>
  <c r="J1183" i="1"/>
  <c r="I1182" i="1"/>
  <c r="J1184" i="1"/>
  <c r="I1183" i="1"/>
  <c r="J1185" i="1"/>
  <c r="I1184" i="1"/>
  <c r="J1186" i="1"/>
  <c r="I1185" i="1"/>
  <c r="J1187" i="1"/>
  <c r="I1186" i="1"/>
  <c r="J1188" i="1"/>
  <c r="I1187" i="1"/>
  <c r="J1189" i="1"/>
  <c r="I1188" i="1"/>
  <c r="J1190" i="1"/>
  <c r="I1189" i="1"/>
  <c r="J1191" i="1"/>
  <c r="I1190" i="1"/>
  <c r="J1192" i="1"/>
  <c r="I1191" i="1"/>
  <c r="J1193" i="1"/>
  <c r="I1192" i="1"/>
  <c r="J1194" i="1"/>
  <c r="I1193" i="1"/>
  <c r="J1195" i="1"/>
  <c r="I1194" i="1"/>
  <c r="J1196" i="1"/>
  <c r="I1195" i="1"/>
  <c r="J1197" i="1"/>
  <c r="I1196" i="1"/>
  <c r="J1198" i="1"/>
  <c r="I1197" i="1"/>
  <c r="J1199" i="1"/>
  <c r="I1198" i="1"/>
  <c r="J1200" i="1"/>
  <c r="I1199" i="1"/>
  <c r="J1201" i="1"/>
  <c r="I1200" i="1"/>
  <c r="J1202" i="1"/>
  <c r="I1201" i="1"/>
  <c r="J1203" i="1"/>
  <c r="I1202" i="1"/>
  <c r="J1204" i="1"/>
  <c r="I1203" i="1"/>
  <c r="J1205" i="1"/>
  <c r="I1204" i="1"/>
  <c r="J1206" i="1"/>
  <c r="I1205" i="1"/>
  <c r="J1207" i="1"/>
  <c r="I1206" i="1"/>
  <c r="J1208" i="1"/>
  <c r="I1207" i="1"/>
  <c r="J1209" i="1"/>
  <c r="I1208" i="1"/>
  <c r="J1210" i="1"/>
  <c r="I1209" i="1"/>
  <c r="J1211" i="1"/>
  <c r="I1210" i="1"/>
  <c r="J1212" i="1"/>
  <c r="I1211" i="1"/>
  <c r="J1213" i="1"/>
  <c r="I1212" i="1"/>
  <c r="J1214" i="1"/>
  <c r="I1213" i="1"/>
  <c r="J1215" i="1"/>
  <c r="I1214" i="1"/>
  <c r="J1216" i="1"/>
  <c r="I1215" i="1"/>
  <c r="J1217" i="1"/>
  <c r="I1216" i="1"/>
  <c r="J1218" i="1"/>
  <c r="I1217" i="1"/>
  <c r="J1219" i="1"/>
  <c r="I1218" i="1"/>
  <c r="J1220" i="1"/>
  <c r="I1219" i="1"/>
  <c r="J1221" i="1"/>
  <c r="I1220" i="1"/>
  <c r="J1222" i="1"/>
  <c r="I1221" i="1"/>
  <c r="J1223" i="1"/>
  <c r="I1222" i="1"/>
  <c r="J1224" i="1"/>
  <c r="I1223" i="1"/>
  <c r="J1225" i="1"/>
  <c r="I1224" i="1"/>
  <c r="J1226" i="1"/>
  <c r="I1225" i="1"/>
  <c r="J1227" i="1"/>
  <c r="I1226" i="1"/>
  <c r="J1228" i="1"/>
  <c r="I1227" i="1"/>
  <c r="J1229" i="1"/>
  <c r="I1228" i="1"/>
  <c r="J1230" i="1"/>
  <c r="I1229" i="1"/>
  <c r="J1231" i="1"/>
  <c r="I1230" i="1"/>
  <c r="J1232" i="1"/>
  <c r="I1231" i="1"/>
  <c r="J1233" i="1"/>
  <c r="I1232" i="1"/>
  <c r="J1234" i="1"/>
  <c r="I1233" i="1"/>
  <c r="J1235" i="1"/>
  <c r="I1234" i="1"/>
  <c r="J1236" i="1"/>
  <c r="I1235" i="1"/>
  <c r="J1237" i="1"/>
  <c r="I1236" i="1"/>
  <c r="J1238" i="1"/>
  <c r="I1237" i="1"/>
  <c r="J1239" i="1"/>
  <c r="I1238" i="1"/>
  <c r="J1240" i="1"/>
  <c r="I1239" i="1"/>
  <c r="J1241" i="1"/>
  <c r="I1240" i="1"/>
  <c r="J1242" i="1"/>
  <c r="I1241" i="1"/>
  <c r="J1243" i="1"/>
  <c r="I1242" i="1"/>
  <c r="J1244" i="1"/>
  <c r="I1243" i="1"/>
  <c r="J1245" i="1"/>
  <c r="I1244" i="1"/>
  <c r="J1246" i="1"/>
  <c r="I1245" i="1"/>
  <c r="J1247" i="1"/>
  <c r="I1246" i="1"/>
  <c r="J1248" i="1"/>
  <c r="I1247" i="1"/>
  <c r="J1249" i="1"/>
  <c r="I1248" i="1"/>
  <c r="J1250" i="1"/>
  <c r="I1249" i="1"/>
  <c r="J1251" i="1"/>
  <c r="I1250" i="1"/>
  <c r="J1252" i="1"/>
  <c r="I1251" i="1"/>
  <c r="J1253" i="1"/>
  <c r="I1252" i="1"/>
  <c r="J1254" i="1"/>
  <c r="I1253" i="1"/>
  <c r="J1255" i="1"/>
  <c r="I1254" i="1"/>
  <c r="J1256" i="1"/>
  <c r="I1255" i="1"/>
  <c r="J1257" i="1"/>
  <c r="I1256" i="1"/>
  <c r="J1258" i="1"/>
  <c r="I1257" i="1"/>
  <c r="J1259" i="1"/>
  <c r="I1258" i="1"/>
  <c r="J1260" i="1"/>
  <c r="I1259" i="1"/>
  <c r="J1261" i="1"/>
  <c r="I1260" i="1"/>
  <c r="J1262" i="1"/>
  <c r="I1261" i="1"/>
  <c r="J1263" i="1"/>
  <c r="I1262" i="1"/>
  <c r="J1264" i="1"/>
  <c r="I1263" i="1"/>
  <c r="J1265" i="1"/>
  <c r="I1264" i="1"/>
  <c r="J1266" i="1"/>
  <c r="I1265" i="1"/>
  <c r="J1267" i="1"/>
  <c r="I1266" i="1"/>
  <c r="J1268" i="1"/>
  <c r="I1267" i="1"/>
  <c r="J1269" i="1"/>
  <c r="I1268" i="1"/>
  <c r="J1270" i="1"/>
  <c r="I1269" i="1"/>
  <c r="J1271" i="1"/>
  <c r="I1270" i="1"/>
  <c r="J1272" i="1"/>
  <c r="I1271" i="1"/>
  <c r="J1273" i="1"/>
  <c r="I1272" i="1"/>
  <c r="J1274" i="1"/>
  <c r="I1273" i="1"/>
  <c r="J1275" i="1"/>
  <c r="I1274" i="1"/>
  <c r="J1276" i="1"/>
  <c r="I1275" i="1"/>
  <c r="J1277" i="1"/>
  <c r="I1276" i="1"/>
  <c r="J1278" i="1"/>
  <c r="I1277" i="1"/>
  <c r="J1279" i="1"/>
  <c r="I1278" i="1"/>
  <c r="J1280" i="1"/>
  <c r="I1279" i="1"/>
  <c r="J1281" i="1"/>
  <c r="I1280" i="1"/>
  <c r="J1282" i="1"/>
  <c r="I1281" i="1"/>
  <c r="J1283" i="1"/>
  <c r="I1282" i="1"/>
  <c r="J1284" i="1"/>
  <c r="I1283" i="1"/>
  <c r="J1285" i="1"/>
  <c r="I1284" i="1"/>
  <c r="J1286" i="1"/>
  <c r="I1285" i="1"/>
  <c r="J1287" i="1"/>
  <c r="I1286" i="1"/>
  <c r="J1288" i="1"/>
  <c r="I1287" i="1"/>
  <c r="J1289" i="1"/>
  <c r="I1288" i="1"/>
  <c r="J1290" i="1"/>
  <c r="I1289" i="1"/>
  <c r="J1291" i="1"/>
  <c r="I1290" i="1"/>
  <c r="J1292" i="1"/>
  <c r="I1291" i="1"/>
  <c r="J1293" i="1"/>
  <c r="I1292" i="1"/>
  <c r="J1294" i="1"/>
  <c r="I1293" i="1"/>
  <c r="J1295" i="1"/>
  <c r="I1294" i="1"/>
  <c r="J1296" i="1"/>
  <c r="I1295" i="1"/>
  <c r="J1297" i="1"/>
  <c r="I1296" i="1"/>
  <c r="J1298" i="1"/>
  <c r="I1297" i="1"/>
  <c r="J1299" i="1"/>
  <c r="I1298" i="1"/>
  <c r="J1300" i="1"/>
  <c r="I1299" i="1"/>
  <c r="J1301" i="1"/>
  <c r="I1300" i="1"/>
  <c r="J1302" i="1"/>
  <c r="I1301" i="1"/>
  <c r="J1303" i="1"/>
  <c r="I1302" i="1"/>
  <c r="J1304" i="1"/>
  <c r="I1303" i="1"/>
  <c r="J1305" i="1"/>
  <c r="I1304" i="1"/>
  <c r="J1306" i="1"/>
  <c r="I1305" i="1"/>
  <c r="J1307" i="1"/>
  <c r="I1306" i="1"/>
  <c r="J1308" i="1"/>
  <c r="I1307" i="1"/>
  <c r="J1309" i="1"/>
  <c r="I1308" i="1"/>
  <c r="J1310" i="1"/>
  <c r="I1309" i="1"/>
  <c r="J1311" i="1"/>
  <c r="I1310" i="1"/>
  <c r="J1312" i="1"/>
  <c r="I1311" i="1"/>
  <c r="J1313" i="1"/>
  <c r="I1312" i="1"/>
  <c r="J1314" i="1"/>
  <c r="I1313" i="1"/>
  <c r="J1315" i="1"/>
  <c r="I1314" i="1"/>
  <c r="J1316" i="1"/>
  <c r="I1315" i="1"/>
  <c r="J1317" i="1"/>
  <c r="I1316" i="1"/>
  <c r="J1318" i="1"/>
  <c r="I1317" i="1"/>
  <c r="J1319" i="1"/>
  <c r="I1318" i="1"/>
  <c r="J1320" i="1"/>
  <c r="I1319" i="1"/>
  <c r="J1321" i="1"/>
  <c r="I1320" i="1"/>
  <c r="J1322" i="1"/>
  <c r="I1321" i="1"/>
  <c r="J1323" i="1"/>
  <c r="I1322" i="1"/>
  <c r="J1324" i="1"/>
  <c r="I1323" i="1"/>
  <c r="J1325" i="1"/>
  <c r="I1324" i="1"/>
  <c r="J1326" i="1"/>
  <c r="I1325" i="1"/>
  <c r="J1327" i="1"/>
  <c r="I1326" i="1"/>
  <c r="J1328" i="1"/>
  <c r="I1327" i="1"/>
  <c r="J1329" i="1"/>
  <c r="I1328" i="1"/>
  <c r="J1330" i="1"/>
  <c r="I1329" i="1"/>
  <c r="J1331" i="1"/>
  <c r="I1330" i="1"/>
  <c r="J1332" i="1"/>
  <c r="I1331" i="1"/>
  <c r="J1333" i="1"/>
  <c r="I1332" i="1"/>
  <c r="J1334" i="1"/>
  <c r="I1333" i="1"/>
  <c r="J1335" i="1"/>
  <c r="I1334" i="1"/>
  <c r="J1336" i="1"/>
  <c r="I1335" i="1"/>
  <c r="J1337" i="1"/>
  <c r="I1336" i="1"/>
  <c r="J1338" i="1"/>
  <c r="I1337" i="1"/>
  <c r="J1339" i="1"/>
  <c r="I1338" i="1"/>
  <c r="J1340" i="1"/>
  <c r="I1339" i="1"/>
  <c r="J1341" i="1"/>
  <c r="I1340" i="1"/>
  <c r="J1342" i="1"/>
  <c r="I1341" i="1"/>
  <c r="J1343" i="1"/>
  <c r="I1342" i="1"/>
  <c r="J1344" i="1"/>
  <c r="I1343" i="1"/>
  <c r="J1345" i="1"/>
  <c r="I1344" i="1"/>
  <c r="J1346" i="1"/>
  <c r="I1345" i="1"/>
  <c r="J1347" i="1"/>
  <c r="I1346" i="1"/>
  <c r="J1348" i="1"/>
  <c r="I1347" i="1"/>
  <c r="J1349" i="1"/>
  <c r="I1348" i="1"/>
  <c r="J1350" i="1"/>
  <c r="I1349" i="1"/>
  <c r="J1351" i="1"/>
  <c r="I1350" i="1"/>
  <c r="J1352" i="1"/>
  <c r="I1351" i="1"/>
  <c r="J1353" i="1"/>
  <c r="I1352" i="1"/>
  <c r="J1354" i="1"/>
  <c r="I1353" i="1"/>
  <c r="J1355" i="1"/>
  <c r="I1354" i="1"/>
  <c r="J1356" i="1"/>
  <c r="I1355" i="1"/>
  <c r="J1357" i="1"/>
  <c r="I1356" i="1"/>
  <c r="J1358" i="1"/>
  <c r="I1357" i="1"/>
  <c r="J1359" i="1"/>
  <c r="I1358" i="1"/>
  <c r="J1360" i="1"/>
  <c r="I1359" i="1"/>
  <c r="J1361" i="1"/>
  <c r="I1360" i="1"/>
  <c r="J1362" i="1"/>
  <c r="I1361" i="1"/>
  <c r="J1363" i="1"/>
  <c r="I1362" i="1"/>
  <c r="J1364" i="1"/>
  <c r="I1363" i="1"/>
  <c r="J1365" i="1"/>
  <c r="I1364" i="1"/>
  <c r="J1366" i="1"/>
  <c r="I1365" i="1"/>
  <c r="J1367" i="1"/>
  <c r="I1366" i="1"/>
  <c r="J1368" i="1"/>
  <c r="I1367" i="1"/>
  <c r="J1369" i="1"/>
  <c r="I1368" i="1"/>
  <c r="J1370" i="1"/>
  <c r="I1369" i="1"/>
  <c r="J1371" i="1"/>
  <c r="I1370" i="1"/>
  <c r="J1372" i="1"/>
  <c r="I1371" i="1"/>
  <c r="J1373" i="1"/>
  <c r="I1372" i="1"/>
  <c r="J1374" i="1"/>
  <c r="I1373" i="1"/>
  <c r="J1375" i="1"/>
  <c r="I1374" i="1"/>
  <c r="J1376" i="1"/>
  <c r="I1375" i="1"/>
  <c r="J1377" i="1"/>
  <c r="I1376" i="1"/>
  <c r="J1378" i="1"/>
  <c r="I1377" i="1"/>
  <c r="J1379" i="1"/>
  <c r="I1378" i="1"/>
  <c r="J1380" i="1"/>
  <c r="I1379" i="1"/>
  <c r="J1381" i="1"/>
  <c r="I1380" i="1"/>
  <c r="J1382" i="1"/>
  <c r="I1381" i="1"/>
  <c r="J1383" i="1"/>
  <c r="I1382" i="1"/>
  <c r="J1384" i="1"/>
  <c r="I1383" i="1"/>
  <c r="J1385" i="1"/>
  <c r="I1384" i="1"/>
  <c r="J1386" i="1"/>
  <c r="I1385" i="1"/>
  <c r="J1387" i="1"/>
  <c r="I1386" i="1"/>
  <c r="J1388" i="1"/>
  <c r="I1387" i="1"/>
  <c r="J1389" i="1"/>
  <c r="I1388" i="1"/>
  <c r="J1390" i="1"/>
  <c r="I1389" i="1"/>
  <c r="J1391" i="1"/>
  <c r="I1390" i="1"/>
  <c r="J1392" i="1"/>
  <c r="I1391" i="1"/>
  <c r="J1393" i="1"/>
  <c r="I1392" i="1"/>
  <c r="J1394" i="1"/>
  <c r="I1393" i="1"/>
  <c r="J1395" i="1"/>
  <c r="I1394" i="1"/>
  <c r="J1396" i="1"/>
  <c r="I1395" i="1"/>
  <c r="J1397" i="1"/>
  <c r="I1396" i="1"/>
  <c r="J1398" i="1"/>
  <c r="I1397" i="1"/>
  <c r="J1399" i="1"/>
  <c r="I1398" i="1"/>
  <c r="J1400" i="1"/>
  <c r="I1399" i="1"/>
  <c r="J1401" i="1"/>
  <c r="I1400" i="1"/>
  <c r="J1402" i="1"/>
  <c r="I1401" i="1"/>
  <c r="J1403" i="1"/>
  <c r="I1402" i="1"/>
  <c r="J1404" i="1"/>
  <c r="I1403" i="1"/>
  <c r="J1405" i="1"/>
  <c r="I1404" i="1"/>
  <c r="J1406" i="1"/>
  <c r="I1405" i="1"/>
  <c r="J1407" i="1"/>
  <c r="I1406" i="1"/>
  <c r="J1408" i="1"/>
  <c r="I1407" i="1"/>
  <c r="J1409" i="1"/>
  <c r="I1408" i="1"/>
  <c r="J1410" i="1"/>
  <c r="I1409" i="1"/>
  <c r="J1411" i="1"/>
  <c r="I1410" i="1"/>
  <c r="J1412" i="1"/>
  <c r="I1411" i="1"/>
  <c r="J1413" i="1"/>
  <c r="I1412" i="1"/>
  <c r="J1414" i="1"/>
  <c r="I1413" i="1"/>
  <c r="J1415" i="1"/>
  <c r="I1414" i="1"/>
  <c r="J1416" i="1"/>
  <c r="I1415" i="1"/>
  <c r="J1417" i="1"/>
  <c r="I1416" i="1"/>
  <c r="J1418" i="1"/>
  <c r="I1417" i="1"/>
  <c r="J1419" i="1"/>
  <c r="I1418" i="1"/>
  <c r="J1420" i="1"/>
  <c r="I1419" i="1"/>
  <c r="J1421" i="1"/>
  <c r="I1420" i="1"/>
  <c r="J1422" i="1"/>
  <c r="I1421" i="1"/>
  <c r="J1423" i="1"/>
  <c r="I1422" i="1"/>
  <c r="J1424" i="1"/>
  <c r="I1423" i="1"/>
  <c r="J1425" i="1"/>
  <c r="I1424" i="1"/>
  <c r="J1426" i="1"/>
  <c r="I1425" i="1"/>
  <c r="J1427" i="1"/>
  <c r="I1426" i="1"/>
  <c r="J1428" i="1"/>
  <c r="I1427" i="1"/>
  <c r="J1429" i="1"/>
  <c r="I1428" i="1"/>
  <c r="J1430" i="1"/>
  <c r="I1429" i="1"/>
  <c r="J1431" i="1"/>
  <c r="I1430" i="1"/>
  <c r="J1432" i="1"/>
  <c r="I1431" i="1"/>
  <c r="J1433" i="1"/>
  <c r="I1432" i="1"/>
  <c r="J1434" i="1"/>
  <c r="I1433" i="1"/>
  <c r="J1435" i="1"/>
  <c r="I1434" i="1"/>
  <c r="J1436" i="1"/>
  <c r="I1435" i="1"/>
  <c r="J1437" i="1"/>
  <c r="I1436" i="1"/>
  <c r="J1438" i="1"/>
  <c r="I1437" i="1"/>
  <c r="J1439" i="1"/>
  <c r="I1438" i="1"/>
  <c r="J1440" i="1"/>
  <c r="I1439" i="1"/>
  <c r="J1441" i="1"/>
  <c r="I1440" i="1"/>
  <c r="J1442" i="1"/>
  <c r="I1441" i="1"/>
  <c r="J1443" i="1"/>
  <c r="I1442" i="1"/>
  <c r="J1444" i="1"/>
  <c r="I1443" i="1"/>
  <c r="J1445" i="1"/>
  <c r="I1444" i="1"/>
  <c r="J1446" i="1"/>
  <c r="I1445" i="1"/>
  <c r="J1447" i="1"/>
  <c r="I1446" i="1"/>
  <c r="J1448" i="1"/>
  <c r="I1447" i="1"/>
  <c r="J1449" i="1"/>
  <c r="I1448" i="1"/>
  <c r="J1450" i="1"/>
  <c r="I1449" i="1"/>
  <c r="J1451" i="1"/>
  <c r="I1450" i="1"/>
  <c r="J1452" i="1"/>
  <c r="I1451" i="1"/>
  <c r="J1453" i="1"/>
  <c r="I1452" i="1"/>
  <c r="J1454" i="1"/>
  <c r="I1453" i="1"/>
  <c r="J1455" i="1"/>
  <c r="I1454" i="1"/>
  <c r="J1456" i="1"/>
  <c r="I1455" i="1"/>
  <c r="I1456" i="1"/>
  <c r="L1456" i="1" l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K963" i="1" s="1"/>
  <c r="K964" i="1" s="1"/>
  <c r="K965" i="1" s="1"/>
  <c r="K966" i="1" s="1"/>
  <c r="K967" i="1" s="1"/>
  <c r="K968" i="1" s="1"/>
  <c r="K969" i="1" s="1"/>
  <c r="K970" i="1" s="1"/>
  <c r="K971" i="1" s="1"/>
  <c r="K972" i="1" s="1"/>
  <c r="K973" i="1" s="1"/>
  <c r="K974" i="1" s="1"/>
  <c r="K975" i="1" s="1"/>
  <c r="K976" i="1" s="1"/>
  <c r="K977" i="1" s="1"/>
  <c r="K978" i="1" s="1"/>
  <c r="K979" i="1" s="1"/>
  <c r="K980" i="1" s="1"/>
  <c r="K981" i="1" s="1"/>
  <c r="K982" i="1" s="1"/>
  <c r="K983" i="1" s="1"/>
  <c r="K984" i="1" s="1"/>
  <c r="K985" i="1" s="1"/>
  <c r="K986" i="1" s="1"/>
  <c r="K987" i="1" s="1"/>
  <c r="K988" i="1" s="1"/>
  <c r="K989" i="1" s="1"/>
  <c r="K990" i="1" s="1"/>
  <c r="K991" i="1" s="1"/>
  <c r="K992" i="1" s="1"/>
  <c r="K993" i="1" s="1"/>
  <c r="K994" i="1" s="1"/>
  <c r="K995" i="1" s="1"/>
  <c r="K996" i="1" s="1"/>
  <c r="K997" i="1" s="1"/>
  <c r="K998" i="1" s="1"/>
  <c r="K999" i="1" s="1"/>
  <c r="K1000" i="1" s="1"/>
  <c r="K1001" i="1" s="1"/>
  <c r="K1002" i="1" s="1"/>
  <c r="K1003" i="1" s="1"/>
  <c r="K1004" i="1" s="1"/>
  <c r="K1005" i="1" s="1"/>
  <c r="K1006" i="1" s="1"/>
  <c r="K1007" i="1" s="1"/>
  <c r="K1008" i="1" s="1"/>
  <c r="K1009" i="1" s="1"/>
  <c r="K1010" i="1" s="1"/>
  <c r="K1011" i="1" s="1"/>
  <c r="K1012" i="1" s="1"/>
  <c r="K1013" i="1" s="1"/>
  <c r="K1014" i="1" s="1"/>
  <c r="K1015" i="1" s="1"/>
  <c r="K1016" i="1" s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  <c r="K1059" i="1" s="1"/>
  <c r="K1060" i="1" s="1"/>
  <c r="K1061" i="1" s="1"/>
  <c r="K1062" i="1" s="1"/>
  <c r="K1063" i="1" s="1"/>
  <c r="K1064" i="1" s="1"/>
  <c r="K1065" i="1" s="1"/>
  <c r="K1066" i="1" s="1"/>
  <c r="K1067" i="1" s="1"/>
  <c r="K1068" i="1" s="1"/>
  <c r="K1069" i="1" s="1"/>
  <c r="K1070" i="1" s="1"/>
  <c r="K1071" i="1" s="1"/>
  <c r="K1072" i="1" s="1"/>
  <c r="K1073" i="1" s="1"/>
  <c r="K1074" i="1" s="1"/>
  <c r="K1075" i="1" s="1"/>
  <c r="K1076" i="1" s="1"/>
  <c r="K1077" i="1" s="1"/>
  <c r="K1078" i="1" s="1"/>
  <c r="K1079" i="1" s="1"/>
  <c r="K1080" i="1" s="1"/>
  <c r="K1081" i="1" s="1"/>
  <c r="K1082" i="1" s="1"/>
  <c r="K1083" i="1" s="1"/>
  <c r="K1084" i="1" s="1"/>
  <c r="K1085" i="1" s="1"/>
  <c r="K1086" i="1" s="1"/>
  <c r="K1087" i="1" s="1"/>
  <c r="K1088" i="1" s="1"/>
  <c r="K1089" i="1" s="1"/>
  <c r="K1090" i="1" s="1"/>
  <c r="K1091" i="1" s="1"/>
  <c r="K1092" i="1" s="1"/>
  <c r="K1093" i="1" s="1"/>
  <c r="K1094" i="1" s="1"/>
  <c r="K1095" i="1" s="1"/>
  <c r="K1096" i="1" s="1"/>
  <c r="K1097" i="1" s="1"/>
  <c r="K1098" i="1" s="1"/>
  <c r="K1099" i="1" s="1"/>
  <c r="K1100" i="1" s="1"/>
  <c r="K1101" i="1" s="1"/>
  <c r="K1102" i="1" s="1"/>
  <c r="K1103" i="1" s="1"/>
  <c r="K1104" i="1" s="1"/>
  <c r="K1105" i="1" s="1"/>
  <c r="K1106" i="1" s="1"/>
  <c r="K1107" i="1" s="1"/>
  <c r="K1108" i="1" s="1"/>
  <c r="K1109" i="1" s="1"/>
  <c r="K1110" i="1" s="1"/>
  <c r="K1111" i="1" s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1" i="1" s="1"/>
  <c r="K1122" i="1" s="1"/>
  <c r="K1123" i="1" s="1"/>
  <c r="K1124" i="1" s="1"/>
  <c r="K1125" i="1" s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5" i="1" s="1"/>
  <c r="K1136" i="1" s="1"/>
  <c r="K1137" i="1" s="1"/>
  <c r="K1138" i="1" s="1"/>
  <c r="K1139" i="1" s="1"/>
  <c r="K1140" i="1" s="1"/>
  <c r="K1141" i="1" s="1"/>
  <c r="K1142" i="1" s="1"/>
  <c r="K1143" i="1" s="1"/>
  <c r="K1144" i="1" s="1"/>
  <c r="K1145" i="1" s="1"/>
  <c r="K1146" i="1" s="1"/>
  <c r="K1147" i="1" s="1"/>
  <c r="K1148" i="1" s="1"/>
  <c r="K1149" i="1" s="1"/>
  <c r="K1150" i="1" s="1"/>
  <c r="K1151" i="1" s="1"/>
  <c r="K1152" i="1" s="1"/>
  <c r="K1153" i="1" s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3" i="1" s="1"/>
  <c r="K1164" i="1" s="1"/>
  <c r="K1165" i="1" s="1"/>
  <c r="K1166" i="1" s="1"/>
  <c r="K1167" i="1" s="1"/>
  <c r="K1168" i="1" s="1"/>
  <c r="K1169" i="1" s="1"/>
  <c r="K1170" i="1" s="1"/>
  <c r="K1171" i="1" s="1"/>
  <c r="K1172" i="1" s="1"/>
  <c r="K1173" i="1" s="1"/>
  <c r="K1174" i="1" s="1"/>
  <c r="K1175" i="1" s="1"/>
  <c r="K1176" i="1" s="1"/>
  <c r="K1177" i="1" s="1"/>
  <c r="K1178" i="1" s="1"/>
  <c r="K1179" i="1" s="1"/>
  <c r="K1180" i="1" s="1"/>
  <c r="K1181" i="1" s="1"/>
  <c r="K1182" i="1" s="1"/>
  <c r="K1183" i="1" s="1"/>
  <c r="K1184" i="1" s="1"/>
  <c r="K1185" i="1" s="1"/>
  <c r="K1186" i="1" s="1"/>
  <c r="K1187" i="1" s="1"/>
  <c r="K1188" i="1" s="1"/>
  <c r="K1189" i="1" s="1"/>
  <c r="K1190" i="1" s="1"/>
  <c r="K1191" i="1" s="1"/>
  <c r="K1192" i="1" s="1"/>
  <c r="K1193" i="1" s="1"/>
  <c r="K1194" i="1" s="1"/>
  <c r="K1195" i="1" s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5" i="1" s="1"/>
  <c r="K1206" i="1" s="1"/>
  <c r="K1207" i="1" s="1"/>
  <c r="K1208" i="1" s="1"/>
  <c r="K1209" i="1" s="1"/>
  <c r="K1210" i="1" s="1"/>
  <c r="K1211" i="1" s="1"/>
  <c r="K1212" i="1" s="1"/>
  <c r="K1213" i="1" s="1"/>
  <c r="K1214" i="1" s="1"/>
  <c r="K1215" i="1" s="1"/>
  <c r="K1216" i="1" s="1"/>
  <c r="K1217" i="1" s="1"/>
  <c r="K1218" i="1" s="1"/>
  <c r="K1219" i="1" s="1"/>
  <c r="K1220" i="1" s="1"/>
  <c r="K1221" i="1" s="1"/>
  <c r="K1222" i="1" s="1"/>
  <c r="K1223" i="1" s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3" i="1" s="1"/>
  <c r="K1234" i="1" s="1"/>
  <c r="K1235" i="1" s="1"/>
  <c r="K1236" i="1" s="1"/>
  <c r="K1237" i="1" s="1"/>
  <c r="K1238" i="1" s="1"/>
  <c r="K1239" i="1" s="1"/>
  <c r="K1240" i="1" s="1"/>
  <c r="K1241" i="1" s="1"/>
  <c r="K1242" i="1" s="1"/>
  <c r="K1243" i="1" s="1"/>
  <c r="K1244" i="1" s="1"/>
  <c r="K1245" i="1" s="1"/>
  <c r="K1246" i="1" s="1"/>
  <c r="K1247" i="1" s="1"/>
  <c r="K1248" i="1" s="1"/>
  <c r="K1249" i="1" s="1"/>
  <c r="K1250" i="1" s="1"/>
  <c r="K1251" i="1" s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1" i="1" s="1"/>
  <c r="K1262" i="1" s="1"/>
  <c r="K1263" i="1" s="1"/>
  <c r="K1264" i="1" s="1"/>
  <c r="K1265" i="1" s="1"/>
  <c r="K1266" i="1" s="1"/>
  <c r="K1267" i="1" s="1"/>
  <c r="K1268" i="1" s="1"/>
  <c r="K1269" i="1" s="1"/>
  <c r="K1270" i="1" s="1"/>
  <c r="K1271" i="1" s="1"/>
  <c r="K1272" i="1" s="1"/>
  <c r="K1273" i="1" s="1"/>
  <c r="K1274" i="1" s="1"/>
  <c r="K1275" i="1" s="1"/>
  <c r="K1276" i="1" s="1"/>
  <c r="K1277" i="1" s="1"/>
  <c r="K1278" i="1" s="1"/>
  <c r="K1279" i="1" s="1"/>
  <c r="K1280" i="1" s="1"/>
  <c r="K1281" i="1" s="1"/>
  <c r="K1282" i="1" s="1"/>
  <c r="K1283" i="1" s="1"/>
  <c r="K1284" i="1" s="1"/>
  <c r="K1285" i="1" s="1"/>
  <c r="K1286" i="1" s="1"/>
  <c r="K1287" i="1" s="1"/>
  <c r="K1288" i="1" s="1"/>
  <c r="K1289" i="1" s="1"/>
  <c r="K1290" i="1" s="1"/>
  <c r="K1291" i="1" s="1"/>
  <c r="K1292" i="1" s="1"/>
  <c r="K1293" i="1" s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3" i="1" s="1"/>
  <c r="K1304" i="1" s="1"/>
  <c r="K1305" i="1" s="1"/>
  <c r="K1306" i="1" s="1"/>
  <c r="K1307" i="1" s="1"/>
  <c r="K1308" i="1" s="1"/>
  <c r="K1309" i="1" s="1"/>
  <c r="K1310" i="1" s="1"/>
  <c r="K1311" i="1" s="1"/>
  <c r="K1312" i="1" s="1"/>
  <c r="K1313" i="1" s="1"/>
  <c r="K1314" i="1" s="1"/>
  <c r="K1315" i="1" s="1"/>
  <c r="K1316" i="1" s="1"/>
  <c r="K1317" i="1" s="1"/>
  <c r="K1318" i="1" s="1"/>
  <c r="K1319" i="1" s="1"/>
  <c r="K1320" i="1" s="1"/>
  <c r="K1321" i="1" s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1" i="1" s="1"/>
  <c r="K1332" i="1" s="1"/>
  <c r="K1333" i="1" s="1"/>
  <c r="K1334" i="1" s="1"/>
  <c r="K1335" i="1" s="1"/>
  <c r="K1336" i="1" s="1"/>
  <c r="K1337" i="1" s="1"/>
  <c r="K1338" i="1" s="1"/>
  <c r="K1339" i="1" s="1"/>
  <c r="K1340" i="1" s="1"/>
  <c r="K1341" i="1" s="1"/>
  <c r="K1342" i="1" s="1"/>
  <c r="K1343" i="1" s="1"/>
  <c r="K1344" i="1" s="1"/>
  <c r="K1345" i="1" s="1"/>
  <c r="K1346" i="1" s="1"/>
  <c r="K1347" i="1" s="1"/>
  <c r="K1348" i="1" s="1"/>
  <c r="K1349" i="1" s="1"/>
  <c r="K1350" i="1" s="1"/>
  <c r="K1351" i="1" s="1"/>
  <c r="K1352" i="1" s="1"/>
  <c r="K1353" i="1" s="1"/>
  <c r="K1354" i="1" s="1"/>
  <c r="K1355" i="1" s="1"/>
  <c r="K1356" i="1" s="1"/>
  <c r="K1357" i="1" s="1"/>
  <c r="K1358" i="1" s="1"/>
  <c r="K1359" i="1" s="1"/>
  <c r="K1360" i="1" s="1"/>
  <c r="K1361" i="1" s="1"/>
  <c r="K1362" i="1" s="1"/>
  <c r="K1363" i="1" s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3" i="1" s="1"/>
  <c r="K1374" i="1" s="1"/>
  <c r="K1375" i="1" s="1"/>
  <c r="K1376" i="1" s="1"/>
  <c r="K1377" i="1" s="1"/>
  <c r="K1378" i="1" s="1"/>
  <c r="K1379" i="1" s="1"/>
  <c r="K1380" i="1" s="1"/>
  <c r="K1381" i="1" s="1"/>
  <c r="K1382" i="1" s="1"/>
  <c r="K1383" i="1" s="1"/>
  <c r="K1384" i="1" s="1"/>
  <c r="K1385" i="1" s="1"/>
  <c r="K1386" i="1" s="1"/>
  <c r="K1387" i="1" s="1"/>
  <c r="K1388" i="1" s="1"/>
  <c r="K1389" i="1" s="1"/>
  <c r="K1390" i="1" s="1"/>
  <c r="K1391" i="1" s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1" i="1" s="1"/>
  <c r="K1402" i="1" s="1"/>
  <c r="K1403" i="1" s="1"/>
  <c r="K1404" i="1" s="1"/>
  <c r="K1405" i="1" s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5" i="1" s="1"/>
  <c r="K1416" i="1" s="1"/>
  <c r="K1417" i="1" s="1"/>
  <c r="K1418" i="1" s="1"/>
  <c r="K1419" i="1" s="1"/>
  <c r="K1420" i="1" s="1"/>
  <c r="K1421" i="1" s="1"/>
  <c r="K1422" i="1" s="1"/>
  <c r="K1423" i="1" s="1"/>
  <c r="K1424" i="1" s="1"/>
  <c r="K1425" i="1" s="1"/>
  <c r="K1426" i="1" s="1"/>
  <c r="K1427" i="1" s="1"/>
  <c r="K1428" i="1" s="1"/>
  <c r="K1429" i="1" s="1"/>
  <c r="K1430" i="1" s="1"/>
  <c r="K1431" i="1" s="1"/>
  <c r="K1432" i="1" s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1443" i="1" s="1"/>
  <c r="K1444" i="1" s="1"/>
  <c r="K1445" i="1" s="1"/>
  <c r="K1446" i="1" s="1"/>
  <c r="K1447" i="1" s="1"/>
  <c r="K1448" i="1" s="1"/>
  <c r="K1449" i="1" s="1"/>
  <c r="K1450" i="1" s="1"/>
  <c r="K1451" i="1" s="1"/>
  <c r="K1452" i="1" s="1"/>
  <c r="K1453" i="1" s="1"/>
  <c r="K1454" i="1" s="1"/>
  <c r="K1455" i="1" s="1"/>
  <c r="K1456" i="1" s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I11" i="1" l="1"/>
  <c r="B5" i="1" l="1"/>
  <c r="B4" i="1"/>
  <c r="I12" i="1" l="1"/>
  <c r="A15" i="1" l="1"/>
  <c r="B17" i="1"/>
  <c r="A17" i="1" s="1"/>
  <c r="A19" i="1" s="1"/>
  <c r="A18" i="1"/>
  <c r="A22" i="1" l="1"/>
  <c r="A23" i="1" s="1"/>
  <c r="K11" i="1" l="1"/>
  <c r="J11" i="1"/>
  <c r="H12" i="1" l="1"/>
  <c r="K12" i="1"/>
  <c r="J12" i="1"/>
  <c r="L12" i="1" l="1"/>
  <c r="J1457" i="1"/>
  <c r="K1457" i="1" l="1"/>
  <c r="J1458" i="1"/>
  <c r="J1459" i="1" s="1"/>
  <c r="K1458" i="1" l="1"/>
  <c r="K1459" i="1" s="1"/>
  <c r="J1460" i="1"/>
  <c r="K1460" i="1" l="1"/>
  <c r="I1457" i="1"/>
  <c r="J1461" i="1"/>
  <c r="L1457" i="1" l="1"/>
  <c r="K1461" i="1"/>
  <c r="J1462" i="1"/>
  <c r="J1463" i="1" s="1"/>
  <c r="I1458" i="1"/>
  <c r="L1458" i="1" l="1"/>
  <c r="K1462" i="1"/>
  <c r="K1463" i="1" s="1"/>
  <c r="I1459" i="1"/>
  <c r="J1464" i="1"/>
  <c r="L1459" i="1" l="1"/>
  <c r="K1464" i="1"/>
  <c r="J1465" i="1"/>
  <c r="I1460" i="1"/>
  <c r="L1460" i="1" l="1"/>
  <c r="K1465" i="1"/>
  <c r="I1461" i="1"/>
  <c r="J1466" i="1"/>
  <c r="J1467" i="1" s="1"/>
  <c r="L1461" i="1" l="1"/>
  <c r="K1466" i="1"/>
  <c r="K1467" i="1" s="1"/>
  <c r="J1468" i="1"/>
  <c r="I1462" i="1"/>
  <c r="L1462" i="1" l="1"/>
  <c r="K1468" i="1"/>
  <c r="I1463" i="1"/>
  <c r="J1469" i="1"/>
  <c r="L1463" i="1" l="1"/>
  <c r="K1469" i="1"/>
  <c r="J1470" i="1"/>
  <c r="J1471" i="1" s="1"/>
  <c r="I1464" i="1"/>
  <c r="L1464" i="1" l="1"/>
  <c r="K1470" i="1"/>
  <c r="K1471" i="1" s="1"/>
  <c r="I1465" i="1"/>
  <c r="J1472" i="1"/>
  <c r="L1465" i="1" l="1"/>
  <c r="K1472" i="1"/>
  <c r="J1473" i="1"/>
  <c r="I1466" i="1"/>
  <c r="L1466" i="1" l="1"/>
  <c r="K1473" i="1"/>
  <c r="I1467" i="1"/>
  <c r="J1474" i="1"/>
  <c r="J1475" i="1" s="1"/>
  <c r="L1467" i="1" l="1"/>
  <c r="K1474" i="1"/>
  <c r="K1475" i="1" s="1"/>
  <c r="J1476" i="1"/>
  <c r="I1468" i="1"/>
  <c r="L1468" i="1" l="1"/>
  <c r="K1476" i="1"/>
  <c r="I1469" i="1"/>
  <c r="J1477" i="1"/>
  <c r="L1469" i="1" l="1"/>
  <c r="K1477" i="1"/>
  <c r="J1478" i="1"/>
  <c r="J1479" i="1" s="1"/>
  <c r="I1470" i="1"/>
  <c r="L1470" i="1" l="1"/>
  <c r="K1478" i="1"/>
  <c r="K1479" i="1" s="1"/>
  <c r="I1471" i="1"/>
  <c r="J1480" i="1"/>
  <c r="L1471" i="1" l="1"/>
  <c r="K1480" i="1"/>
  <c r="J1481" i="1"/>
  <c r="I1472" i="1"/>
  <c r="L1472" i="1" l="1"/>
  <c r="K1481" i="1"/>
  <c r="I1473" i="1"/>
  <c r="J1482" i="1"/>
  <c r="J1483" i="1" s="1"/>
  <c r="L1473" i="1" l="1"/>
  <c r="K1482" i="1"/>
  <c r="K1483" i="1" s="1"/>
  <c r="J1484" i="1"/>
  <c r="I1474" i="1"/>
  <c r="L1474" i="1" l="1"/>
  <c r="K1484" i="1"/>
  <c r="I1475" i="1"/>
  <c r="J1485" i="1"/>
  <c r="L1475" i="1" l="1"/>
  <c r="K1485" i="1"/>
  <c r="J1486" i="1"/>
  <c r="J1487" i="1" s="1"/>
  <c r="I1476" i="1"/>
  <c r="L1476" i="1" l="1"/>
  <c r="K1486" i="1"/>
  <c r="K1487" i="1" s="1"/>
  <c r="I1477" i="1"/>
  <c r="J1488" i="1"/>
  <c r="L1477" i="1" l="1"/>
  <c r="K1488" i="1"/>
  <c r="J1489" i="1"/>
  <c r="I1478" i="1"/>
  <c r="L1478" i="1" l="1"/>
  <c r="K1489" i="1"/>
  <c r="I1479" i="1"/>
  <c r="J1490" i="1"/>
  <c r="J1491" i="1" s="1"/>
  <c r="L1479" i="1" l="1"/>
  <c r="K1490" i="1"/>
  <c r="K1491" i="1" s="1"/>
  <c r="J1492" i="1"/>
  <c r="I1480" i="1"/>
  <c r="L1480" i="1" l="1"/>
  <c r="K1492" i="1"/>
  <c r="I1481" i="1"/>
  <c r="J1493" i="1"/>
  <c r="L1481" i="1" l="1"/>
  <c r="K1493" i="1"/>
  <c r="J1494" i="1"/>
  <c r="J1495" i="1" s="1"/>
  <c r="I1482" i="1"/>
  <c r="L1482" i="1" l="1"/>
  <c r="K1494" i="1"/>
  <c r="K1495" i="1" s="1"/>
  <c r="I1483" i="1"/>
  <c r="J1496" i="1"/>
  <c r="I1484" i="1"/>
  <c r="L1484" i="1" l="1"/>
  <c r="L1483" i="1"/>
  <c r="K1496" i="1"/>
  <c r="I1485" i="1"/>
  <c r="J1497" i="1"/>
  <c r="L1485" i="1" l="1"/>
  <c r="K1497" i="1"/>
  <c r="J1498" i="1"/>
  <c r="J1499" i="1" s="1"/>
  <c r="I1486" i="1"/>
  <c r="L1486" i="1" l="1"/>
  <c r="K1498" i="1"/>
  <c r="K1499" i="1" s="1"/>
  <c r="I1487" i="1"/>
  <c r="J1500" i="1"/>
  <c r="L1487" i="1" l="1"/>
  <c r="K1500" i="1"/>
  <c r="J1501" i="1"/>
  <c r="I1488" i="1"/>
  <c r="L1488" i="1" l="1"/>
  <c r="K1501" i="1"/>
  <c r="I1489" i="1"/>
  <c r="J1502" i="1"/>
  <c r="J1503" i="1" s="1"/>
  <c r="L1489" i="1" l="1"/>
  <c r="K1502" i="1"/>
  <c r="K1503" i="1" s="1"/>
  <c r="J1504" i="1"/>
  <c r="I1490" i="1"/>
  <c r="L1490" i="1" l="1"/>
  <c r="K1504" i="1"/>
  <c r="I1491" i="1"/>
  <c r="J1505" i="1"/>
  <c r="L1491" i="1" l="1"/>
  <c r="K1505" i="1"/>
  <c r="J1506" i="1"/>
  <c r="J1507" i="1" s="1"/>
  <c r="I1492" i="1"/>
  <c r="L1492" i="1" l="1"/>
  <c r="K1506" i="1"/>
  <c r="K1507" i="1" s="1"/>
  <c r="I1493" i="1"/>
  <c r="J1508" i="1"/>
  <c r="L1493" i="1" l="1"/>
  <c r="K1508" i="1"/>
  <c r="J1509" i="1"/>
  <c r="I1494" i="1"/>
  <c r="L1494" i="1" l="1"/>
  <c r="K1509" i="1"/>
  <c r="I1495" i="1"/>
  <c r="J1510" i="1"/>
  <c r="J1511" i="1" s="1"/>
  <c r="L1495" i="1" l="1"/>
  <c r="K1510" i="1"/>
  <c r="K1511" i="1" s="1"/>
  <c r="J1512" i="1"/>
  <c r="I1496" i="1"/>
  <c r="L1496" i="1" l="1"/>
  <c r="K1512" i="1"/>
  <c r="I1497" i="1"/>
  <c r="J1513" i="1"/>
  <c r="L1497" i="1" l="1"/>
  <c r="K1513" i="1"/>
  <c r="J1514" i="1"/>
  <c r="J1515" i="1" s="1"/>
  <c r="I1498" i="1"/>
  <c r="L1498" i="1" l="1"/>
  <c r="K1514" i="1"/>
  <c r="K1515" i="1" s="1"/>
  <c r="I1499" i="1"/>
  <c r="J1516" i="1"/>
  <c r="L1499" i="1" l="1"/>
  <c r="K1516" i="1"/>
  <c r="J1517" i="1"/>
  <c r="I1500" i="1"/>
  <c r="L1500" i="1" l="1"/>
  <c r="K1517" i="1"/>
  <c r="I1501" i="1"/>
  <c r="J1518" i="1"/>
  <c r="J1519" i="1" s="1"/>
  <c r="L1501" i="1" l="1"/>
  <c r="K1518" i="1"/>
  <c r="K1519" i="1" s="1"/>
  <c r="J1520" i="1"/>
  <c r="I1502" i="1"/>
  <c r="L1502" i="1" l="1"/>
  <c r="K1520" i="1"/>
  <c r="I1503" i="1"/>
  <c r="J1521" i="1"/>
  <c r="L1503" i="1" l="1"/>
  <c r="K1521" i="1"/>
  <c r="J1522" i="1"/>
  <c r="J1523" i="1" s="1"/>
  <c r="I1504" i="1"/>
  <c r="L1504" i="1" l="1"/>
  <c r="K1522" i="1"/>
  <c r="K1523" i="1" s="1"/>
  <c r="I1505" i="1"/>
  <c r="J1524" i="1"/>
  <c r="L1505" i="1" l="1"/>
  <c r="K1524" i="1"/>
  <c r="J1525" i="1"/>
  <c r="I1506" i="1"/>
  <c r="L1506" i="1" l="1"/>
  <c r="K1525" i="1"/>
  <c r="I1507" i="1"/>
  <c r="J1526" i="1"/>
  <c r="J1527" i="1" s="1"/>
  <c r="L1507" i="1" l="1"/>
  <c r="K1526" i="1"/>
  <c r="K1527" i="1" s="1"/>
  <c r="J1528" i="1"/>
  <c r="I1508" i="1"/>
  <c r="L1508" i="1" l="1"/>
  <c r="K1528" i="1"/>
  <c r="I1509" i="1"/>
  <c r="J1529" i="1"/>
  <c r="L1509" i="1" l="1"/>
  <c r="K1529" i="1"/>
  <c r="J1530" i="1"/>
  <c r="J1531" i="1" s="1"/>
  <c r="I1510" i="1"/>
  <c r="L1510" i="1" l="1"/>
  <c r="K1530" i="1"/>
  <c r="K1531" i="1" s="1"/>
  <c r="I1511" i="1"/>
  <c r="J1532" i="1"/>
  <c r="L1511" i="1" l="1"/>
  <c r="K1532" i="1"/>
  <c r="J1533" i="1"/>
  <c r="I1512" i="1"/>
  <c r="L1512" i="1" l="1"/>
  <c r="K1533" i="1"/>
  <c r="I1513" i="1"/>
  <c r="J1534" i="1"/>
  <c r="J1535" i="1" s="1"/>
  <c r="L1513" i="1" l="1"/>
  <c r="K1534" i="1"/>
  <c r="K1535" i="1" s="1"/>
  <c r="J1536" i="1"/>
  <c r="I1514" i="1"/>
  <c r="L1514" i="1" l="1"/>
  <c r="K1536" i="1"/>
  <c r="I1515" i="1"/>
  <c r="J1537" i="1"/>
  <c r="I1516" i="1"/>
  <c r="L1516" i="1" l="1"/>
  <c r="L1515" i="1"/>
  <c r="K1537" i="1"/>
  <c r="I1517" i="1"/>
  <c r="J1538" i="1"/>
  <c r="J1539" i="1" s="1"/>
  <c r="L1517" i="1" l="1"/>
  <c r="K1538" i="1"/>
  <c r="K1539" i="1" s="1"/>
  <c r="J1540" i="1"/>
  <c r="I1518" i="1"/>
  <c r="L1518" i="1" l="1"/>
  <c r="K1540" i="1"/>
  <c r="I1519" i="1"/>
  <c r="J1541" i="1"/>
  <c r="L1519" i="1" l="1"/>
  <c r="K1541" i="1"/>
  <c r="J1542" i="1"/>
  <c r="J1543" i="1" s="1"/>
  <c r="I1520" i="1"/>
  <c r="L1520" i="1" l="1"/>
  <c r="K1542" i="1"/>
  <c r="K1543" i="1" s="1"/>
  <c r="I1521" i="1"/>
  <c r="J1544" i="1"/>
  <c r="L1521" i="1" l="1"/>
  <c r="K1544" i="1"/>
  <c r="J1545" i="1"/>
  <c r="I1522" i="1"/>
  <c r="L1522" i="1" l="1"/>
  <c r="K1545" i="1"/>
  <c r="I1523" i="1"/>
  <c r="J1546" i="1"/>
  <c r="J1547" i="1" s="1"/>
  <c r="L1523" i="1" l="1"/>
  <c r="K1546" i="1"/>
  <c r="K1547" i="1" s="1"/>
  <c r="J1548" i="1"/>
  <c r="I1524" i="1"/>
  <c r="L1524" i="1" l="1"/>
  <c r="K1548" i="1"/>
  <c r="I1525" i="1"/>
  <c r="J1549" i="1"/>
  <c r="L1525" i="1" l="1"/>
  <c r="K1549" i="1"/>
  <c r="J1550" i="1"/>
  <c r="J1551" i="1" s="1"/>
  <c r="I1526" i="1"/>
  <c r="L1526" i="1" l="1"/>
  <c r="K1550" i="1"/>
  <c r="K1551" i="1" s="1"/>
  <c r="I1527" i="1"/>
  <c r="J1552" i="1"/>
  <c r="L1527" i="1" l="1"/>
  <c r="K1552" i="1"/>
  <c r="J1553" i="1"/>
  <c r="I1528" i="1"/>
  <c r="L1528" i="1" l="1"/>
  <c r="K1553" i="1"/>
  <c r="I1529" i="1"/>
  <c r="J1554" i="1"/>
  <c r="J1555" i="1" s="1"/>
  <c r="L1529" i="1" l="1"/>
  <c r="K1554" i="1"/>
  <c r="K1555" i="1" s="1"/>
  <c r="J1556" i="1"/>
  <c r="I1530" i="1"/>
  <c r="L1530" i="1" l="1"/>
  <c r="K1556" i="1"/>
  <c r="I1531" i="1"/>
  <c r="J1557" i="1"/>
  <c r="L1531" i="1" l="1"/>
  <c r="K1557" i="1"/>
  <c r="J1558" i="1"/>
  <c r="J1559" i="1" s="1"/>
  <c r="I1532" i="1"/>
  <c r="L1532" i="1" l="1"/>
  <c r="K1558" i="1"/>
  <c r="K1559" i="1" s="1"/>
  <c r="I1533" i="1"/>
  <c r="J1560" i="1"/>
  <c r="L1533" i="1" l="1"/>
  <c r="K1560" i="1"/>
  <c r="J1561" i="1"/>
  <c r="I1534" i="1"/>
  <c r="L1534" i="1" l="1"/>
  <c r="K1561" i="1"/>
  <c r="I1535" i="1"/>
  <c r="J1562" i="1"/>
  <c r="J1563" i="1" s="1"/>
  <c r="L1535" i="1" l="1"/>
  <c r="K1562" i="1"/>
  <c r="K1563" i="1" s="1"/>
  <c r="J1564" i="1"/>
  <c r="I1536" i="1"/>
  <c r="L1536" i="1" l="1"/>
  <c r="K1564" i="1"/>
  <c r="I1537" i="1"/>
  <c r="J1565" i="1"/>
  <c r="L1537" i="1" l="1"/>
  <c r="K1565" i="1"/>
  <c r="J1566" i="1"/>
  <c r="J1567" i="1" s="1"/>
  <c r="I1538" i="1"/>
  <c r="L1538" i="1" l="1"/>
  <c r="K1566" i="1"/>
  <c r="K1567" i="1" s="1"/>
  <c r="I1539" i="1"/>
  <c r="J1568" i="1"/>
  <c r="L1539" i="1" l="1"/>
  <c r="K1568" i="1"/>
  <c r="J1569" i="1"/>
  <c r="I1540" i="1"/>
  <c r="L1540" i="1" l="1"/>
  <c r="K1569" i="1"/>
  <c r="I1541" i="1"/>
  <c r="J1570" i="1"/>
  <c r="J1571" i="1" s="1"/>
  <c r="L1541" i="1" l="1"/>
  <c r="K1570" i="1"/>
  <c r="K1571" i="1" s="1"/>
  <c r="J1572" i="1"/>
  <c r="I1542" i="1"/>
  <c r="L1542" i="1" l="1"/>
  <c r="K1572" i="1"/>
  <c r="I1543" i="1"/>
  <c r="J1573" i="1"/>
  <c r="L1543" i="1" l="1"/>
  <c r="K1573" i="1"/>
  <c r="J1574" i="1"/>
  <c r="J1575" i="1" s="1"/>
  <c r="I1544" i="1"/>
  <c r="L1544" i="1" l="1"/>
  <c r="K1574" i="1"/>
  <c r="K1575" i="1" s="1"/>
  <c r="I1545" i="1"/>
  <c r="J1576" i="1"/>
  <c r="L1545" i="1" l="1"/>
  <c r="K1576" i="1"/>
  <c r="J1577" i="1"/>
  <c r="I1546" i="1"/>
  <c r="L1546" i="1" l="1"/>
  <c r="K1577" i="1"/>
  <c r="I1547" i="1"/>
  <c r="J1578" i="1"/>
  <c r="J1579" i="1" s="1"/>
  <c r="I1548" i="1"/>
  <c r="L1548" i="1" l="1"/>
  <c r="L1547" i="1"/>
  <c r="K1578" i="1"/>
  <c r="K1579" i="1" s="1"/>
  <c r="I1549" i="1"/>
  <c r="J1580" i="1"/>
  <c r="L1549" i="1" l="1"/>
  <c r="K1580" i="1"/>
  <c r="J1581" i="1"/>
  <c r="I1550" i="1"/>
  <c r="L1550" i="1" l="1"/>
  <c r="K1581" i="1"/>
  <c r="I1551" i="1"/>
  <c r="J1582" i="1"/>
  <c r="J1583" i="1" s="1"/>
  <c r="L1551" i="1" l="1"/>
  <c r="K1582" i="1"/>
  <c r="K1583" i="1" s="1"/>
  <c r="J1584" i="1"/>
  <c r="I1552" i="1"/>
  <c r="L1552" i="1" l="1"/>
  <c r="K1584" i="1"/>
  <c r="I1553" i="1"/>
  <c r="J1585" i="1"/>
  <c r="L1553" i="1" l="1"/>
  <c r="K1585" i="1"/>
  <c r="J1586" i="1"/>
  <c r="J1587" i="1" s="1"/>
  <c r="I1554" i="1"/>
  <c r="L1554" i="1" l="1"/>
  <c r="K1586" i="1"/>
  <c r="K1587" i="1" s="1"/>
  <c r="I1555" i="1"/>
  <c r="J1588" i="1"/>
  <c r="L1555" i="1" l="1"/>
  <c r="K1588" i="1"/>
  <c r="J1589" i="1"/>
  <c r="I1556" i="1"/>
  <c r="L1556" i="1" l="1"/>
  <c r="K1589" i="1"/>
  <c r="I1557" i="1"/>
  <c r="J1590" i="1"/>
  <c r="J1591" i="1" s="1"/>
  <c r="L1557" i="1" l="1"/>
  <c r="K1590" i="1"/>
  <c r="K1591" i="1" s="1"/>
  <c r="J1592" i="1"/>
  <c r="I1558" i="1"/>
  <c r="L1558" i="1" l="1"/>
  <c r="K1592" i="1"/>
  <c r="I1559" i="1"/>
  <c r="J1593" i="1"/>
  <c r="L1559" i="1" l="1"/>
  <c r="K1593" i="1"/>
  <c r="J1594" i="1"/>
  <c r="J1595" i="1" s="1"/>
  <c r="I1560" i="1"/>
  <c r="L1560" i="1" l="1"/>
  <c r="K1594" i="1"/>
  <c r="K1595" i="1" s="1"/>
  <c r="I1561" i="1"/>
  <c r="J1596" i="1"/>
  <c r="L1561" i="1" l="1"/>
  <c r="K1596" i="1"/>
  <c r="J1597" i="1"/>
  <c r="I1562" i="1"/>
  <c r="L1562" i="1" l="1"/>
  <c r="K1597" i="1"/>
  <c r="I1563" i="1"/>
  <c r="J1598" i="1"/>
  <c r="J1599" i="1" s="1"/>
  <c r="L1563" i="1" l="1"/>
  <c r="K1598" i="1"/>
  <c r="K1599" i="1" s="1"/>
  <c r="J1600" i="1"/>
  <c r="I1564" i="1"/>
  <c r="L1564" i="1" l="1"/>
  <c r="K1600" i="1"/>
  <c r="I1565" i="1"/>
  <c r="J1601" i="1"/>
  <c r="L1565" i="1" l="1"/>
  <c r="K1601" i="1"/>
  <c r="J1602" i="1"/>
  <c r="J1603" i="1" s="1"/>
  <c r="I1566" i="1"/>
  <c r="L1566" i="1" l="1"/>
  <c r="K1602" i="1"/>
  <c r="K1603" i="1" s="1"/>
  <c r="I1567" i="1"/>
  <c r="J1604" i="1"/>
  <c r="L1567" i="1" l="1"/>
  <c r="K1604" i="1"/>
  <c r="J1605" i="1"/>
  <c r="I1568" i="1"/>
  <c r="L1568" i="1" l="1"/>
  <c r="K1605" i="1"/>
  <c r="I1569" i="1"/>
  <c r="J1606" i="1"/>
  <c r="J1607" i="1" s="1"/>
  <c r="L1569" i="1" l="1"/>
  <c r="K1606" i="1"/>
  <c r="K1607" i="1" s="1"/>
  <c r="J1608" i="1"/>
  <c r="I1570" i="1"/>
  <c r="L1570" i="1" l="1"/>
  <c r="K1608" i="1"/>
  <c r="I1571" i="1"/>
  <c r="J1609" i="1"/>
  <c r="L1571" i="1" l="1"/>
  <c r="K1609" i="1"/>
  <c r="J1610" i="1"/>
  <c r="J1611" i="1" s="1"/>
  <c r="I1572" i="1"/>
  <c r="L1572" i="1" l="1"/>
  <c r="K1610" i="1"/>
  <c r="K1611" i="1" s="1"/>
  <c r="I1573" i="1"/>
  <c r="J1612" i="1"/>
  <c r="L1573" i="1" l="1"/>
  <c r="K1612" i="1"/>
  <c r="J1613" i="1"/>
  <c r="I1574" i="1"/>
  <c r="L1574" i="1" l="1"/>
  <c r="K1613" i="1"/>
  <c r="I1575" i="1"/>
  <c r="J1614" i="1"/>
  <c r="J1615" i="1" s="1"/>
  <c r="L1575" i="1" l="1"/>
  <c r="K1614" i="1"/>
  <c r="K1615" i="1" s="1"/>
  <c r="J1616" i="1"/>
  <c r="I1576" i="1"/>
  <c r="L1576" i="1" l="1"/>
  <c r="K1616" i="1"/>
  <c r="I1577" i="1"/>
  <c r="J1617" i="1"/>
  <c r="L1577" i="1" l="1"/>
  <c r="K1617" i="1"/>
  <c r="J1618" i="1"/>
  <c r="J1619" i="1" s="1"/>
  <c r="I1578" i="1"/>
  <c r="L1578" i="1" l="1"/>
  <c r="K1618" i="1"/>
  <c r="K1619" i="1" s="1"/>
  <c r="I1579" i="1"/>
  <c r="J1620" i="1"/>
  <c r="L1579" i="1" l="1"/>
  <c r="K1620" i="1"/>
  <c r="J1621" i="1"/>
  <c r="I1580" i="1"/>
  <c r="L1580" i="1" l="1"/>
  <c r="K1621" i="1"/>
  <c r="I1581" i="1"/>
  <c r="J1622" i="1"/>
  <c r="J1623" i="1" s="1"/>
  <c r="L1581" i="1" l="1"/>
  <c r="K1622" i="1"/>
  <c r="K1623" i="1" s="1"/>
  <c r="J1624" i="1"/>
  <c r="I1582" i="1"/>
  <c r="L1582" i="1" l="1"/>
  <c r="K1624" i="1"/>
  <c r="I1583" i="1"/>
  <c r="J1625" i="1"/>
  <c r="L1583" i="1" l="1"/>
  <c r="K1625" i="1"/>
  <c r="J1626" i="1"/>
  <c r="J1627" i="1" s="1"/>
  <c r="I1584" i="1"/>
  <c r="L1584" i="1" l="1"/>
  <c r="K1626" i="1"/>
  <c r="K1627" i="1" s="1"/>
  <c r="I1585" i="1"/>
  <c r="J1628" i="1"/>
  <c r="L1585" i="1" l="1"/>
  <c r="K1628" i="1"/>
  <c r="J1629" i="1"/>
  <c r="I1586" i="1"/>
  <c r="L1586" i="1" l="1"/>
  <c r="K1629" i="1"/>
  <c r="I1587" i="1"/>
  <c r="J1630" i="1"/>
  <c r="J1631" i="1" s="1"/>
  <c r="I1588" i="1"/>
  <c r="L1588" i="1" l="1"/>
  <c r="L1587" i="1"/>
  <c r="K1630" i="1"/>
  <c r="K1631" i="1" s="1"/>
  <c r="I1589" i="1"/>
  <c r="J1632" i="1"/>
  <c r="L1589" i="1" l="1"/>
  <c r="K1632" i="1"/>
  <c r="J1633" i="1"/>
  <c r="I1590" i="1"/>
  <c r="L1590" i="1" l="1"/>
  <c r="K1633" i="1"/>
  <c r="I1591" i="1"/>
  <c r="J1634" i="1"/>
  <c r="J1635" i="1" s="1"/>
  <c r="L1591" i="1" l="1"/>
  <c r="K1634" i="1"/>
  <c r="K1635" i="1" s="1"/>
  <c r="J1636" i="1"/>
  <c r="I1592" i="1"/>
  <c r="L1592" i="1" l="1"/>
  <c r="K1636" i="1"/>
  <c r="I1593" i="1"/>
  <c r="J1637" i="1"/>
  <c r="L1593" i="1" l="1"/>
  <c r="K1637" i="1"/>
  <c r="J1638" i="1"/>
  <c r="J1639" i="1" s="1"/>
  <c r="I1594" i="1"/>
  <c r="L1594" i="1" l="1"/>
  <c r="K1638" i="1"/>
  <c r="K1639" i="1" s="1"/>
  <c r="I1595" i="1"/>
  <c r="J1640" i="1"/>
  <c r="L1595" i="1" l="1"/>
  <c r="K1640" i="1"/>
  <c r="J1641" i="1"/>
  <c r="I1596" i="1"/>
  <c r="L1596" i="1" l="1"/>
  <c r="K1641" i="1"/>
  <c r="I1597" i="1"/>
  <c r="J1642" i="1"/>
  <c r="J1643" i="1" s="1"/>
  <c r="L1597" i="1" l="1"/>
  <c r="K1642" i="1"/>
  <c r="K1643" i="1" s="1"/>
  <c r="J1644" i="1"/>
  <c r="I1598" i="1"/>
  <c r="L1598" i="1" l="1"/>
  <c r="K1644" i="1"/>
  <c r="I1599" i="1"/>
  <c r="J1645" i="1"/>
  <c r="L1599" i="1" l="1"/>
  <c r="K1645" i="1"/>
  <c r="J1646" i="1"/>
  <c r="J1647" i="1" s="1"/>
  <c r="I1600" i="1"/>
  <c r="L1600" i="1" l="1"/>
  <c r="K1646" i="1"/>
  <c r="K1647" i="1" s="1"/>
  <c r="I1601" i="1"/>
  <c r="J1648" i="1"/>
  <c r="L1601" i="1" l="1"/>
  <c r="K1648" i="1"/>
  <c r="J1649" i="1"/>
  <c r="I1602" i="1"/>
  <c r="L1602" i="1" l="1"/>
  <c r="K1649" i="1"/>
  <c r="I1603" i="1"/>
  <c r="J1650" i="1"/>
  <c r="J1651" i="1" s="1"/>
  <c r="L1603" i="1" l="1"/>
  <c r="K1650" i="1"/>
  <c r="K1651" i="1" s="1"/>
  <c r="J1652" i="1"/>
  <c r="I1604" i="1"/>
  <c r="L1604" i="1" l="1"/>
  <c r="K1652" i="1"/>
  <c r="I1605" i="1"/>
  <c r="J1653" i="1"/>
  <c r="L1605" i="1" l="1"/>
  <c r="K1653" i="1"/>
  <c r="J1654" i="1"/>
  <c r="J1655" i="1" s="1"/>
  <c r="I1606" i="1"/>
  <c r="L1606" i="1" l="1"/>
  <c r="K1654" i="1"/>
  <c r="K1655" i="1" s="1"/>
  <c r="I1607" i="1"/>
  <c r="J1656" i="1"/>
  <c r="L1607" i="1" l="1"/>
  <c r="K1656" i="1"/>
  <c r="J1657" i="1"/>
  <c r="I1608" i="1"/>
  <c r="L1608" i="1" l="1"/>
  <c r="K1657" i="1"/>
  <c r="I1609" i="1"/>
  <c r="J1658" i="1"/>
  <c r="J1659" i="1" s="1"/>
  <c r="L1609" i="1" l="1"/>
  <c r="K1658" i="1"/>
  <c r="K1659" i="1" s="1"/>
  <c r="J1660" i="1"/>
  <c r="I1610" i="1"/>
  <c r="L1610" i="1" l="1"/>
  <c r="K1660" i="1"/>
  <c r="I1611" i="1"/>
  <c r="J1661" i="1"/>
  <c r="L1611" i="1" l="1"/>
  <c r="K1661" i="1"/>
  <c r="J1662" i="1"/>
  <c r="J1663" i="1" s="1"/>
  <c r="I1612" i="1"/>
  <c r="L1612" i="1" l="1"/>
  <c r="K1662" i="1"/>
  <c r="K1663" i="1" s="1"/>
  <c r="I1613" i="1"/>
  <c r="J1664" i="1"/>
  <c r="L1613" i="1" l="1"/>
  <c r="K1664" i="1"/>
  <c r="J1665" i="1"/>
  <c r="I1614" i="1"/>
  <c r="L1614" i="1" l="1"/>
  <c r="K1665" i="1"/>
  <c r="I1615" i="1"/>
  <c r="J1666" i="1"/>
  <c r="J1667" i="1" s="1"/>
  <c r="L1615" i="1" l="1"/>
  <c r="K1666" i="1"/>
  <c r="K1667" i="1" s="1"/>
  <c r="J1668" i="1"/>
  <c r="I1616" i="1"/>
  <c r="L1616" i="1" l="1"/>
  <c r="K1668" i="1"/>
  <c r="I1617" i="1"/>
  <c r="J1669" i="1"/>
  <c r="L1617" i="1" l="1"/>
  <c r="K1669" i="1"/>
  <c r="J1670" i="1"/>
  <c r="J1671" i="1" s="1"/>
  <c r="I1618" i="1"/>
  <c r="L1618" i="1" l="1"/>
  <c r="K1670" i="1"/>
  <c r="K1671" i="1" s="1"/>
  <c r="I1619" i="1"/>
  <c r="J1672" i="1"/>
  <c r="I1620" i="1"/>
  <c r="L1620" i="1" l="1"/>
  <c r="L1619" i="1"/>
  <c r="K1672" i="1"/>
  <c r="I1621" i="1"/>
  <c r="J1673" i="1"/>
  <c r="L1621" i="1" l="1"/>
  <c r="K1673" i="1"/>
  <c r="J1674" i="1"/>
  <c r="J1675" i="1" s="1"/>
  <c r="I1622" i="1"/>
  <c r="L1622" i="1" l="1"/>
  <c r="K1674" i="1"/>
  <c r="K1675" i="1" s="1"/>
  <c r="I1623" i="1"/>
  <c r="J1676" i="1"/>
  <c r="L1623" i="1" l="1"/>
  <c r="K1676" i="1"/>
  <c r="J1677" i="1"/>
  <c r="I1624" i="1"/>
  <c r="L1624" i="1" l="1"/>
  <c r="K1677" i="1"/>
  <c r="I1625" i="1"/>
  <c r="J1678" i="1"/>
  <c r="J1679" i="1" s="1"/>
  <c r="L1625" i="1" l="1"/>
  <c r="K1678" i="1"/>
  <c r="K1679" i="1" s="1"/>
  <c r="J1680" i="1"/>
  <c r="I1626" i="1"/>
  <c r="L1626" i="1" l="1"/>
  <c r="K1680" i="1"/>
  <c r="I1627" i="1"/>
  <c r="J1681" i="1"/>
  <c r="L1627" i="1" l="1"/>
  <c r="K1681" i="1"/>
  <c r="J1682" i="1"/>
  <c r="J1683" i="1" s="1"/>
  <c r="I1628" i="1"/>
  <c r="L1628" i="1" l="1"/>
  <c r="K1682" i="1"/>
  <c r="K1683" i="1" s="1"/>
  <c r="I1629" i="1"/>
  <c r="J1684" i="1"/>
  <c r="L1629" i="1" l="1"/>
  <c r="K1684" i="1"/>
  <c r="J1685" i="1"/>
  <c r="I1630" i="1"/>
  <c r="L1630" i="1" l="1"/>
  <c r="K1685" i="1"/>
  <c r="I1631" i="1"/>
  <c r="J1686" i="1"/>
  <c r="J1687" i="1" s="1"/>
  <c r="L1631" i="1" l="1"/>
  <c r="K1686" i="1"/>
  <c r="K1687" i="1" s="1"/>
  <c r="J1688" i="1"/>
  <c r="I1632" i="1"/>
  <c r="L1632" i="1" l="1"/>
  <c r="K1688" i="1"/>
  <c r="I1633" i="1"/>
  <c r="J1689" i="1"/>
  <c r="L1633" i="1" l="1"/>
  <c r="K1689" i="1"/>
  <c r="J1690" i="1"/>
  <c r="J1691" i="1" s="1"/>
  <c r="I1634" i="1"/>
  <c r="L1634" i="1" l="1"/>
  <c r="K1690" i="1"/>
  <c r="K1691" i="1" s="1"/>
  <c r="I1635" i="1"/>
  <c r="J1692" i="1"/>
  <c r="L1635" i="1" l="1"/>
  <c r="K1692" i="1"/>
  <c r="J1693" i="1"/>
  <c r="I1636" i="1"/>
  <c r="L1636" i="1" l="1"/>
  <c r="K1693" i="1"/>
  <c r="I1637" i="1"/>
  <c r="J1694" i="1"/>
  <c r="J1695" i="1" s="1"/>
  <c r="L1637" i="1" l="1"/>
  <c r="K1694" i="1"/>
  <c r="K1695" i="1" s="1"/>
  <c r="J1696" i="1"/>
  <c r="I1638" i="1"/>
  <c r="L1638" i="1" l="1"/>
  <c r="K1696" i="1"/>
  <c r="I1639" i="1"/>
  <c r="J1697" i="1"/>
  <c r="L1639" i="1" l="1"/>
  <c r="K1697" i="1"/>
  <c r="J1698" i="1"/>
  <c r="J1699" i="1" s="1"/>
  <c r="I1640" i="1"/>
  <c r="L1640" i="1" l="1"/>
  <c r="K1698" i="1"/>
  <c r="K1699" i="1" s="1"/>
  <c r="I1641" i="1"/>
  <c r="J1700" i="1"/>
  <c r="L1641" i="1" l="1"/>
  <c r="K1700" i="1"/>
  <c r="J1701" i="1"/>
  <c r="I1642" i="1"/>
  <c r="L1642" i="1" l="1"/>
  <c r="K1701" i="1"/>
  <c r="I1643" i="1"/>
  <c r="J1702" i="1"/>
  <c r="J1703" i="1" s="1"/>
  <c r="L1643" i="1" l="1"/>
  <c r="K1702" i="1"/>
  <c r="K1703" i="1" s="1"/>
  <c r="J1704" i="1"/>
  <c r="I1644" i="1"/>
  <c r="L1644" i="1" l="1"/>
  <c r="K1704" i="1"/>
  <c r="I1645" i="1"/>
  <c r="J1705" i="1"/>
  <c r="L1645" i="1" l="1"/>
  <c r="K1705" i="1"/>
  <c r="J1706" i="1"/>
  <c r="J1707" i="1" s="1"/>
  <c r="I1646" i="1"/>
  <c r="L1646" i="1" l="1"/>
  <c r="K1706" i="1"/>
  <c r="K1707" i="1" s="1"/>
  <c r="I1647" i="1"/>
  <c r="J1708" i="1"/>
  <c r="I1648" i="1"/>
  <c r="L1648" i="1" l="1"/>
  <c r="L1647" i="1"/>
  <c r="K1708" i="1"/>
  <c r="I1649" i="1"/>
  <c r="J1709" i="1"/>
  <c r="L1649" i="1" l="1"/>
  <c r="K1709" i="1"/>
  <c r="J1710" i="1"/>
  <c r="J1711" i="1" s="1"/>
  <c r="I1650" i="1"/>
  <c r="L1650" i="1" l="1"/>
  <c r="K1710" i="1"/>
  <c r="K1711" i="1" s="1"/>
  <c r="I1651" i="1"/>
  <c r="J1712" i="1"/>
  <c r="L1651" i="1" l="1"/>
  <c r="K1712" i="1"/>
  <c r="J1713" i="1"/>
  <c r="I1652" i="1"/>
  <c r="L1652" i="1" l="1"/>
  <c r="K1713" i="1"/>
  <c r="I1653" i="1"/>
  <c r="J1714" i="1"/>
  <c r="J1715" i="1" s="1"/>
  <c r="L1653" i="1" l="1"/>
  <c r="K1714" i="1"/>
  <c r="K1715" i="1" s="1"/>
  <c r="J1716" i="1"/>
  <c r="I1654" i="1"/>
  <c r="L1654" i="1" l="1"/>
  <c r="K1716" i="1"/>
  <c r="I1655" i="1"/>
  <c r="J1717" i="1"/>
  <c r="L1655" i="1" l="1"/>
  <c r="K1717" i="1"/>
  <c r="J1718" i="1"/>
  <c r="J1719" i="1" s="1"/>
  <c r="I1656" i="1"/>
  <c r="L1656" i="1" l="1"/>
  <c r="K1718" i="1"/>
  <c r="K1719" i="1" s="1"/>
  <c r="I1657" i="1"/>
  <c r="J1720" i="1"/>
  <c r="L1657" i="1" l="1"/>
  <c r="K1720" i="1"/>
  <c r="J1721" i="1"/>
  <c r="I1658" i="1"/>
  <c r="L1658" i="1" l="1"/>
  <c r="K1721" i="1"/>
  <c r="I1659" i="1"/>
  <c r="J1722" i="1"/>
  <c r="J1723" i="1" s="1"/>
  <c r="L1659" i="1" l="1"/>
  <c r="K1722" i="1"/>
  <c r="K1723" i="1" s="1"/>
  <c r="J1724" i="1"/>
  <c r="I1660" i="1"/>
  <c r="L1660" i="1" l="1"/>
  <c r="K1724" i="1"/>
  <c r="I1661" i="1"/>
  <c r="J1725" i="1"/>
  <c r="L1661" i="1" l="1"/>
  <c r="K1725" i="1"/>
  <c r="J1726" i="1"/>
  <c r="J1727" i="1" s="1"/>
  <c r="I1662" i="1"/>
  <c r="L1662" i="1" l="1"/>
  <c r="K1726" i="1"/>
  <c r="K1727" i="1" s="1"/>
  <c r="I1663" i="1"/>
  <c r="J1728" i="1"/>
  <c r="L1663" i="1" l="1"/>
  <c r="K1728" i="1"/>
  <c r="J1729" i="1"/>
  <c r="I1664" i="1"/>
  <c r="L1664" i="1" l="1"/>
  <c r="K1729" i="1"/>
  <c r="I1665" i="1"/>
  <c r="J1730" i="1"/>
  <c r="J1731" i="1" s="1"/>
  <c r="L1665" i="1" l="1"/>
  <c r="K1730" i="1"/>
  <c r="K1731" i="1" s="1"/>
  <c r="J1732" i="1"/>
  <c r="I1666" i="1"/>
  <c r="L1666" i="1" l="1"/>
  <c r="K1732" i="1"/>
  <c r="I1667" i="1"/>
  <c r="J1733" i="1"/>
  <c r="L1667" i="1" l="1"/>
  <c r="K1733" i="1"/>
  <c r="J1734" i="1"/>
  <c r="J1735" i="1" s="1"/>
  <c r="I1668" i="1"/>
  <c r="L1668" i="1" l="1"/>
  <c r="K1734" i="1"/>
  <c r="K1735" i="1" s="1"/>
  <c r="I1669" i="1"/>
  <c r="J1736" i="1"/>
  <c r="L1669" i="1" l="1"/>
  <c r="K1736" i="1"/>
  <c r="J1737" i="1"/>
  <c r="I1670" i="1"/>
  <c r="L1670" i="1" l="1"/>
  <c r="K1737" i="1"/>
  <c r="I1671" i="1"/>
  <c r="J1738" i="1"/>
  <c r="J1739" i="1" s="1"/>
  <c r="L1671" i="1" l="1"/>
  <c r="K1738" i="1"/>
  <c r="K1739" i="1" s="1"/>
  <c r="J1740" i="1"/>
  <c r="I1672" i="1"/>
  <c r="L1672" i="1" l="1"/>
  <c r="K1740" i="1"/>
  <c r="I1673" i="1"/>
  <c r="J1741" i="1"/>
  <c r="L1673" i="1" l="1"/>
  <c r="K1741" i="1"/>
  <c r="J1742" i="1"/>
  <c r="J1743" i="1" s="1"/>
  <c r="I1674" i="1"/>
  <c r="L1674" i="1" l="1"/>
  <c r="K1742" i="1"/>
  <c r="K1743" i="1" s="1"/>
  <c r="I1675" i="1"/>
  <c r="J1744" i="1"/>
  <c r="L1675" i="1" l="1"/>
  <c r="K1744" i="1"/>
  <c r="J1745" i="1"/>
  <c r="I1676" i="1"/>
  <c r="L1676" i="1" l="1"/>
  <c r="K1745" i="1"/>
  <c r="I1677" i="1"/>
  <c r="J1746" i="1"/>
  <c r="J1747" i="1" s="1"/>
  <c r="L1677" i="1" l="1"/>
  <c r="K1746" i="1"/>
  <c r="K1747" i="1" s="1"/>
  <c r="J1748" i="1"/>
  <c r="I1678" i="1"/>
  <c r="L1678" i="1" l="1"/>
  <c r="K1748" i="1"/>
  <c r="I1679" i="1"/>
  <c r="J1749" i="1"/>
  <c r="L1679" i="1" l="1"/>
  <c r="K1749" i="1"/>
  <c r="J1750" i="1"/>
  <c r="J1751" i="1" s="1"/>
  <c r="I1680" i="1"/>
  <c r="L1680" i="1" l="1"/>
  <c r="K1750" i="1"/>
  <c r="K1751" i="1" s="1"/>
  <c r="I1681" i="1"/>
  <c r="J1752" i="1"/>
  <c r="L1681" i="1" l="1"/>
  <c r="K1752" i="1"/>
  <c r="J1753" i="1"/>
  <c r="I1682" i="1"/>
  <c r="L1682" i="1" l="1"/>
  <c r="K1753" i="1"/>
  <c r="I1683" i="1"/>
  <c r="J1754" i="1"/>
  <c r="J1755" i="1" s="1"/>
  <c r="L1683" i="1" l="1"/>
  <c r="K1754" i="1"/>
  <c r="K1755" i="1" s="1"/>
  <c r="J1756" i="1"/>
  <c r="I1684" i="1"/>
  <c r="L1684" i="1" l="1"/>
  <c r="K1756" i="1"/>
  <c r="I1685" i="1"/>
  <c r="J1757" i="1"/>
  <c r="L1685" i="1" l="1"/>
  <c r="K1757" i="1"/>
  <c r="J1758" i="1"/>
  <c r="J1759" i="1" s="1"/>
  <c r="I1686" i="1"/>
  <c r="L1686" i="1" l="1"/>
  <c r="K1758" i="1"/>
  <c r="K1759" i="1" s="1"/>
  <c r="I1687" i="1"/>
  <c r="J1760" i="1"/>
  <c r="I1688" i="1"/>
  <c r="L1688" i="1" l="1"/>
  <c r="L1687" i="1"/>
  <c r="K1760" i="1"/>
  <c r="I1689" i="1"/>
  <c r="J1761" i="1"/>
  <c r="L1689" i="1" l="1"/>
  <c r="K1761" i="1"/>
  <c r="J1762" i="1"/>
  <c r="J1763" i="1" s="1"/>
  <c r="I1690" i="1"/>
  <c r="L1690" i="1" l="1"/>
  <c r="K1762" i="1"/>
  <c r="K1763" i="1" s="1"/>
  <c r="I1691" i="1"/>
  <c r="J1764" i="1"/>
  <c r="L1691" i="1" l="1"/>
  <c r="K1764" i="1"/>
  <c r="J1765" i="1"/>
  <c r="I1692" i="1"/>
  <c r="L1692" i="1" l="1"/>
  <c r="K1765" i="1"/>
  <c r="I1693" i="1"/>
  <c r="J1766" i="1"/>
  <c r="J1767" i="1" s="1"/>
  <c r="L1693" i="1" l="1"/>
  <c r="K1766" i="1"/>
  <c r="K1767" i="1" s="1"/>
  <c r="J1768" i="1"/>
  <c r="I1694" i="1"/>
  <c r="L1694" i="1" l="1"/>
  <c r="K1768" i="1"/>
  <c r="I1695" i="1"/>
  <c r="J1769" i="1"/>
  <c r="L1695" i="1" l="1"/>
  <c r="K1769" i="1"/>
  <c r="J1770" i="1"/>
  <c r="J1771" i="1" s="1"/>
  <c r="I1696" i="1"/>
  <c r="L1696" i="1" l="1"/>
  <c r="K1770" i="1"/>
  <c r="K1771" i="1" s="1"/>
  <c r="I1697" i="1"/>
  <c r="J1772" i="1"/>
  <c r="L1697" i="1" l="1"/>
  <c r="K1772" i="1"/>
  <c r="J1773" i="1"/>
  <c r="I1698" i="1"/>
  <c r="L1698" i="1" l="1"/>
  <c r="K1773" i="1"/>
  <c r="I1699" i="1"/>
  <c r="J1774" i="1"/>
  <c r="J1775" i="1" s="1"/>
  <c r="L1699" i="1" l="1"/>
  <c r="K1774" i="1"/>
  <c r="K1775" i="1" s="1"/>
  <c r="J1776" i="1"/>
  <c r="I1700" i="1"/>
  <c r="L1700" i="1" l="1"/>
  <c r="K1776" i="1"/>
  <c r="I1701" i="1"/>
  <c r="J1777" i="1"/>
  <c r="L1701" i="1" l="1"/>
  <c r="K1777" i="1"/>
  <c r="J1778" i="1"/>
  <c r="J1779" i="1" s="1"/>
  <c r="I1702" i="1"/>
  <c r="L1702" i="1" l="1"/>
  <c r="K1778" i="1"/>
  <c r="K1779" i="1" s="1"/>
  <c r="I1703" i="1"/>
  <c r="J1780" i="1"/>
  <c r="L1703" i="1" l="1"/>
  <c r="K1780" i="1"/>
  <c r="J1781" i="1"/>
  <c r="I1704" i="1"/>
  <c r="L1704" i="1" l="1"/>
  <c r="K1781" i="1"/>
  <c r="I1705" i="1"/>
  <c r="J1782" i="1"/>
  <c r="J1783" i="1" s="1"/>
  <c r="L1705" i="1" l="1"/>
  <c r="K1782" i="1"/>
  <c r="K1783" i="1" s="1"/>
  <c r="J1784" i="1"/>
  <c r="I1706" i="1"/>
  <c r="L1706" i="1" l="1"/>
  <c r="K1784" i="1"/>
  <c r="I1707" i="1"/>
  <c r="J1785" i="1"/>
  <c r="L1707" i="1" l="1"/>
  <c r="K1785" i="1"/>
  <c r="J1786" i="1"/>
  <c r="J1787" i="1" s="1"/>
  <c r="I1708" i="1"/>
  <c r="L1708" i="1" l="1"/>
  <c r="K1786" i="1"/>
  <c r="K1787" i="1" s="1"/>
  <c r="I1709" i="1"/>
  <c r="J1788" i="1"/>
  <c r="L1709" i="1" l="1"/>
  <c r="K1788" i="1"/>
  <c r="J1789" i="1"/>
  <c r="I1710" i="1"/>
  <c r="L1710" i="1" l="1"/>
  <c r="K1789" i="1"/>
  <c r="I1711" i="1"/>
  <c r="J1790" i="1"/>
  <c r="J1791" i="1" s="1"/>
  <c r="L1711" i="1" l="1"/>
  <c r="K1790" i="1"/>
  <c r="K1791" i="1" s="1"/>
  <c r="J1792" i="1"/>
  <c r="I1712" i="1"/>
  <c r="L1712" i="1" l="1"/>
  <c r="K1792" i="1"/>
  <c r="I1713" i="1"/>
  <c r="J1793" i="1"/>
  <c r="L1713" i="1" l="1"/>
  <c r="K1793" i="1"/>
  <c r="J1794" i="1"/>
  <c r="J1795" i="1" s="1"/>
  <c r="I1714" i="1"/>
  <c r="L1714" i="1" l="1"/>
  <c r="K1794" i="1"/>
  <c r="K1795" i="1" s="1"/>
  <c r="I1715" i="1"/>
  <c r="J1796" i="1"/>
  <c r="L1715" i="1" l="1"/>
  <c r="K1796" i="1"/>
  <c r="J1797" i="1"/>
  <c r="I1716" i="1"/>
  <c r="L1716" i="1" l="1"/>
  <c r="K1797" i="1"/>
  <c r="I1717" i="1"/>
  <c r="J1798" i="1"/>
  <c r="J1799" i="1" s="1"/>
  <c r="L1717" i="1" l="1"/>
  <c r="K1798" i="1"/>
  <c r="K1799" i="1" s="1"/>
  <c r="J1800" i="1"/>
  <c r="I1718" i="1"/>
  <c r="L1718" i="1" l="1"/>
  <c r="K1800" i="1"/>
  <c r="I1719" i="1"/>
  <c r="J1801" i="1"/>
  <c r="L1719" i="1" l="1"/>
  <c r="K1801" i="1"/>
  <c r="J1802" i="1"/>
  <c r="J1803" i="1" s="1"/>
  <c r="I1720" i="1"/>
  <c r="L1720" i="1" l="1"/>
  <c r="K1802" i="1"/>
  <c r="K1803" i="1" s="1"/>
  <c r="I1721" i="1"/>
  <c r="J1804" i="1"/>
  <c r="L1721" i="1" l="1"/>
  <c r="K1804" i="1"/>
  <c r="J1805" i="1"/>
  <c r="I1722" i="1"/>
  <c r="L1722" i="1" l="1"/>
  <c r="K1805" i="1"/>
  <c r="I1723" i="1"/>
  <c r="J1806" i="1"/>
  <c r="J1807" i="1" s="1"/>
  <c r="I1724" i="1"/>
  <c r="L1724" i="1" l="1"/>
  <c r="L1723" i="1"/>
  <c r="K1806" i="1"/>
  <c r="K1807" i="1" s="1"/>
  <c r="I1725" i="1"/>
  <c r="J1808" i="1"/>
  <c r="L1725" i="1" l="1"/>
  <c r="K1808" i="1"/>
  <c r="J1809" i="1"/>
  <c r="I1726" i="1"/>
  <c r="L1726" i="1" l="1"/>
  <c r="K1809" i="1"/>
  <c r="I1727" i="1"/>
  <c r="J1810" i="1"/>
  <c r="J1811" i="1" s="1"/>
  <c r="L1727" i="1" l="1"/>
  <c r="K1810" i="1"/>
  <c r="K1811" i="1" s="1"/>
  <c r="J1812" i="1"/>
  <c r="I1728" i="1"/>
  <c r="L1728" i="1" l="1"/>
  <c r="K1812" i="1"/>
  <c r="I1729" i="1"/>
  <c r="J1813" i="1"/>
  <c r="L1729" i="1" l="1"/>
  <c r="K1813" i="1"/>
  <c r="J1814" i="1"/>
  <c r="J1815" i="1" s="1"/>
  <c r="I1730" i="1"/>
  <c r="L1730" i="1" l="1"/>
  <c r="K1814" i="1"/>
  <c r="K1815" i="1" s="1"/>
  <c r="I1731" i="1"/>
  <c r="J1816" i="1"/>
  <c r="L1731" i="1" l="1"/>
  <c r="K1816" i="1"/>
  <c r="J1817" i="1"/>
  <c r="I1732" i="1"/>
  <c r="L1732" i="1" l="1"/>
  <c r="K1817" i="1"/>
  <c r="I1733" i="1"/>
  <c r="J1818" i="1"/>
  <c r="J1819" i="1" s="1"/>
  <c r="L1733" i="1" l="1"/>
  <c r="K1818" i="1"/>
  <c r="K1819" i="1" s="1"/>
  <c r="J1820" i="1"/>
  <c r="I1734" i="1"/>
  <c r="L1734" i="1" l="1"/>
  <c r="K1820" i="1"/>
  <c r="I1735" i="1"/>
  <c r="J1821" i="1"/>
  <c r="L1735" i="1" l="1"/>
  <c r="K1821" i="1"/>
  <c r="J1822" i="1"/>
  <c r="J1823" i="1" s="1"/>
  <c r="I1736" i="1"/>
  <c r="L1736" i="1" l="1"/>
  <c r="K1822" i="1"/>
  <c r="K1823" i="1" s="1"/>
  <c r="I1737" i="1"/>
  <c r="J1824" i="1"/>
  <c r="L1737" i="1" l="1"/>
  <c r="K1824" i="1"/>
  <c r="J1825" i="1"/>
  <c r="I1738" i="1"/>
  <c r="L1738" i="1" l="1"/>
  <c r="K1825" i="1"/>
  <c r="I1739" i="1"/>
  <c r="J1826" i="1"/>
  <c r="J1827" i="1" s="1"/>
  <c r="L1739" i="1" l="1"/>
  <c r="K1826" i="1"/>
  <c r="K1827" i="1" s="1"/>
  <c r="J1828" i="1"/>
  <c r="I1740" i="1"/>
  <c r="L1740" i="1" l="1"/>
  <c r="K1828" i="1"/>
  <c r="I1741" i="1"/>
  <c r="J1829" i="1"/>
  <c r="L1741" i="1" l="1"/>
  <c r="K1829" i="1"/>
  <c r="J1830" i="1"/>
  <c r="J1831" i="1" s="1"/>
  <c r="I1742" i="1"/>
  <c r="L1742" i="1" l="1"/>
  <c r="K1830" i="1"/>
  <c r="K1831" i="1" s="1"/>
  <c r="I1743" i="1"/>
  <c r="J1832" i="1"/>
  <c r="L1743" i="1" l="1"/>
  <c r="K1832" i="1"/>
  <c r="J1833" i="1"/>
  <c r="I1744" i="1"/>
  <c r="L1744" i="1" l="1"/>
  <c r="K1833" i="1"/>
  <c r="I1745" i="1"/>
  <c r="J1834" i="1"/>
  <c r="J1835" i="1" s="1"/>
  <c r="L1745" i="1" l="1"/>
  <c r="K1834" i="1"/>
  <c r="K1835" i="1" s="1"/>
  <c r="J1836" i="1"/>
  <c r="I1746" i="1"/>
  <c r="L1746" i="1" l="1"/>
  <c r="K1836" i="1"/>
  <c r="I1747" i="1"/>
  <c r="J1837" i="1"/>
  <c r="L1747" i="1" l="1"/>
  <c r="K1837" i="1"/>
  <c r="J1838" i="1"/>
  <c r="J1839" i="1" s="1"/>
  <c r="I1748" i="1"/>
  <c r="L1748" i="1" l="1"/>
  <c r="K1838" i="1"/>
  <c r="K1839" i="1" s="1"/>
  <c r="I1749" i="1"/>
  <c r="J1840" i="1"/>
  <c r="L1749" i="1" l="1"/>
  <c r="K1840" i="1"/>
  <c r="J1841" i="1"/>
  <c r="I1750" i="1"/>
  <c r="L1750" i="1" l="1"/>
  <c r="K1841" i="1"/>
  <c r="I1751" i="1"/>
  <c r="J1842" i="1"/>
  <c r="J1843" i="1" s="1"/>
  <c r="L1751" i="1" l="1"/>
  <c r="K1842" i="1"/>
  <c r="K1843" i="1" s="1"/>
  <c r="J1844" i="1"/>
  <c r="I1752" i="1"/>
  <c r="L1752" i="1" l="1"/>
  <c r="K1844" i="1"/>
  <c r="I1753" i="1"/>
  <c r="J1845" i="1"/>
  <c r="L1753" i="1" l="1"/>
  <c r="K1845" i="1"/>
  <c r="J1846" i="1"/>
  <c r="J1847" i="1" s="1"/>
  <c r="I1754" i="1"/>
  <c r="L1754" i="1" l="1"/>
  <c r="K1846" i="1"/>
  <c r="K1847" i="1" s="1"/>
  <c r="I1755" i="1"/>
  <c r="J1848" i="1"/>
  <c r="I1756" i="1"/>
  <c r="L1756" i="1" l="1"/>
  <c r="L1755" i="1"/>
  <c r="K1848" i="1"/>
  <c r="I1757" i="1"/>
  <c r="J1849" i="1"/>
  <c r="L1757" i="1" l="1"/>
  <c r="K1849" i="1"/>
  <c r="J1850" i="1"/>
  <c r="J1851" i="1" s="1"/>
  <c r="I1758" i="1"/>
  <c r="L1758" i="1" l="1"/>
  <c r="K1850" i="1"/>
  <c r="K1851" i="1" s="1"/>
  <c r="I1759" i="1"/>
  <c r="J1852" i="1"/>
  <c r="L1759" i="1" l="1"/>
  <c r="K1852" i="1"/>
  <c r="J1853" i="1"/>
  <c r="I1760" i="1"/>
  <c r="L1760" i="1" l="1"/>
  <c r="K1853" i="1"/>
  <c r="I1761" i="1"/>
  <c r="J1854" i="1"/>
  <c r="J1855" i="1" s="1"/>
  <c r="L1761" i="1" l="1"/>
  <c r="K1854" i="1"/>
  <c r="K1855" i="1" s="1"/>
  <c r="J1856" i="1"/>
  <c r="I1762" i="1"/>
  <c r="L1762" i="1" l="1"/>
  <c r="K1856" i="1"/>
  <c r="I1763" i="1"/>
  <c r="J1857" i="1"/>
  <c r="L1763" i="1" l="1"/>
  <c r="K1857" i="1"/>
  <c r="J1858" i="1"/>
  <c r="J1859" i="1" s="1"/>
  <c r="I1764" i="1"/>
  <c r="L1764" i="1" l="1"/>
  <c r="K1858" i="1"/>
  <c r="K1859" i="1" s="1"/>
  <c r="I1765" i="1"/>
  <c r="J1860" i="1"/>
  <c r="L1765" i="1" l="1"/>
  <c r="K1860" i="1"/>
  <c r="J1861" i="1"/>
  <c r="I1766" i="1"/>
  <c r="L1766" i="1" l="1"/>
  <c r="K1861" i="1"/>
  <c r="I1767" i="1"/>
  <c r="J1862" i="1"/>
  <c r="J1863" i="1" s="1"/>
  <c r="L1767" i="1" l="1"/>
  <c r="K1862" i="1"/>
  <c r="K1863" i="1" s="1"/>
  <c r="J1864" i="1"/>
  <c r="I1768" i="1"/>
  <c r="L1768" i="1" l="1"/>
  <c r="K1864" i="1"/>
  <c r="I1769" i="1"/>
  <c r="J1865" i="1"/>
  <c r="L1769" i="1" l="1"/>
  <c r="K1865" i="1"/>
  <c r="J1866" i="1"/>
  <c r="J1867" i="1" s="1"/>
  <c r="I1770" i="1"/>
  <c r="L1770" i="1" l="1"/>
  <c r="K1866" i="1"/>
  <c r="K1867" i="1" s="1"/>
  <c r="I1771" i="1"/>
  <c r="J1868" i="1"/>
  <c r="L1771" i="1" l="1"/>
  <c r="K1868" i="1"/>
  <c r="J1869" i="1"/>
  <c r="I1772" i="1"/>
  <c r="L1772" i="1" l="1"/>
  <c r="K1869" i="1"/>
  <c r="I1773" i="1"/>
  <c r="J1870" i="1"/>
  <c r="J1871" i="1" s="1"/>
  <c r="L1773" i="1" l="1"/>
  <c r="K1870" i="1"/>
  <c r="K1871" i="1" s="1"/>
  <c r="J1872" i="1"/>
  <c r="I1774" i="1"/>
  <c r="L1774" i="1" l="1"/>
  <c r="K1872" i="1"/>
  <c r="I1775" i="1"/>
  <c r="J1873" i="1"/>
  <c r="L1775" i="1" l="1"/>
  <c r="K1873" i="1"/>
  <c r="J1874" i="1"/>
  <c r="J1875" i="1" s="1"/>
  <c r="I1776" i="1"/>
  <c r="L1776" i="1" l="1"/>
  <c r="K1874" i="1"/>
  <c r="K1875" i="1" s="1"/>
  <c r="I1777" i="1"/>
  <c r="J1876" i="1"/>
  <c r="L1777" i="1" l="1"/>
  <c r="K1876" i="1"/>
  <c r="J1877" i="1"/>
  <c r="I1778" i="1"/>
  <c r="L1778" i="1" l="1"/>
  <c r="K1877" i="1"/>
  <c r="I1779" i="1"/>
  <c r="J1878" i="1"/>
  <c r="J1879" i="1" s="1"/>
  <c r="L1779" i="1" l="1"/>
  <c r="K1878" i="1"/>
  <c r="K1879" i="1" s="1"/>
  <c r="J1880" i="1"/>
  <c r="I1780" i="1"/>
  <c r="L1780" i="1" l="1"/>
  <c r="K1880" i="1"/>
  <c r="I1781" i="1"/>
  <c r="J1881" i="1"/>
  <c r="L1781" i="1" l="1"/>
  <c r="K1881" i="1"/>
  <c r="J1882" i="1"/>
  <c r="J1883" i="1" s="1"/>
  <c r="I1782" i="1"/>
  <c r="L1782" i="1" l="1"/>
  <c r="K1882" i="1"/>
  <c r="K1883" i="1" s="1"/>
  <c r="I1783" i="1"/>
  <c r="J1884" i="1"/>
  <c r="L1783" i="1" l="1"/>
  <c r="K1884" i="1"/>
  <c r="J1885" i="1"/>
  <c r="I1784" i="1"/>
  <c r="L1784" i="1" l="1"/>
  <c r="K1885" i="1"/>
  <c r="I1785" i="1"/>
  <c r="J1886" i="1"/>
  <c r="J1887" i="1" s="1"/>
  <c r="L1785" i="1" l="1"/>
  <c r="K1886" i="1"/>
  <c r="K1887" i="1" s="1"/>
  <c r="J1888" i="1"/>
  <c r="I1786" i="1"/>
  <c r="L1786" i="1" l="1"/>
  <c r="K1888" i="1"/>
  <c r="I1787" i="1"/>
  <c r="J1889" i="1"/>
  <c r="L1787" i="1" l="1"/>
  <c r="K1889" i="1"/>
  <c r="J1890" i="1"/>
  <c r="J1891" i="1" s="1"/>
  <c r="I1788" i="1"/>
  <c r="L1788" i="1" l="1"/>
  <c r="K1890" i="1"/>
  <c r="K1891" i="1" s="1"/>
  <c r="I1789" i="1"/>
  <c r="J1892" i="1"/>
  <c r="L1789" i="1" l="1"/>
  <c r="K1892" i="1"/>
  <c r="J1893" i="1"/>
  <c r="I1790" i="1"/>
  <c r="L1790" i="1" l="1"/>
  <c r="K1893" i="1"/>
  <c r="I1791" i="1"/>
  <c r="J1894" i="1"/>
  <c r="J1895" i="1" s="1"/>
  <c r="I1792" i="1"/>
  <c r="L1792" i="1" l="1"/>
  <c r="L1791" i="1"/>
  <c r="K1894" i="1"/>
  <c r="K1895" i="1" s="1"/>
  <c r="I1793" i="1"/>
  <c r="J1896" i="1"/>
  <c r="L1793" i="1" l="1"/>
  <c r="K1896" i="1"/>
  <c r="J1897" i="1"/>
  <c r="I1794" i="1"/>
  <c r="L1794" i="1" l="1"/>
  <c r="K1897" i="1"/>
  <c r="I1795" i="1"/>
  <c r="J1898" i="1"/>
  <c r="J1899" i="1" s="1"/>
  <c r="L1795" i="1" l="1"/>
  <c r="K1898" i="1"/>
  <c r="K1899" i="1" s="1"/>
  <c r="J1900" i="1"/>
  <c r="I1796" i="1"/>
  <c r="L1796" i="1" l="1"/>
  <c r="K1900" i="1"/>
  <c r="I1797" i="1"/>
  <c r="J1901" i="1"/>
  <c r="L1797" i="1" l="1"/>
  <c r="K1901" i="1"/>
  <c r="J1902" i="1"/>
  <c r="J1903" i="1" s="1"/>
  <c r="I1798" i="1"/>
  <c r="L1798" i="1" l="1"/>
  <c r="K1902" i="1"/>
  <c r="K1903" i="1" s="1"/>
  <c r="I1799" i="1"/>
  <c r="J1904" i="1"/>
  <c r="L1799" i="1" l="1"/>
  <c r="K1904" i="1"/>
  <c r="J1905" i="1"/>
  <c r="I1800" i="1"/>
  <c r="L1800" i="1" l="1"/>
  <c r="K1905" i="1"/>
  <c r="I1801" i="1"/>
  <c r="J1906" i="1"/>
  <c r="J1907" i="1" s="1"/>
  <c r="L1801" i="1" l="1"/>
  <c r="K1906" i="1"/>
  <c r="K1907" i="1" s="1"/>
  <c r="J1908" i="1"/>
  <c r="I1802" i="1"/>
  <c r="L1802" i="1" l="1"/>
  <c r="K1908" i="1"/>
  <c r="I1803" i="1"/>
  <c r="J1909" i="1"/>
  <c r="L1803" i="1" l="1"/>
  <c r="K1909" i="1"/>
  <c r="J1910" i="1"/>
  <c r="J1911" i="1" s="1"/>
  <c r="I1804" i="1"/>
  <c r="L1804" i="1" l="1"/>
  <c r="K1910" i="1"/>
  <c r="K1911" i="1" s="1"/>
  <c r="I1805" i="1"/>
  <c r="J1912" i="1"/>
  <c r="L1805" i="1" l="1"/>
  <c r="K1912" i="1"/>
  <c r="J1913" i="1"/>
  <c r="I1806" i="1"/>
  <c r="L1806" i="1" l="1"/>
  <c r="K1913" i="1"/>
  <c r="I1807" i="1"/>
  <c r="J1914" i="1"/>
  <c r="J1915" i="1" s="1"/>
  <c r="L1807" i="1" l="1"/>
  <c r="K1914" i="1"/>
  <c r="K1915" i="1" s="1"/>
  <c r="J1916" i="1"/>
  <c r="I1808" i="1"/>
  <c r="L1808" i="1" l="1"/>
  <c r="K1916" i="1"/>
  <c r="I1809" i="1"/>
  <c r="J1917" i="1"/>
  <c r="L1809" i="1" l="1"/>
  <c r="K1917" i="1"/>
  <c r="J1918" i="1"/>
  <c r="J1919" i="1" s="1"/>
  <c r="I1810" i="1"/>
  <c r="L1810" i="1" l="1"/>
  <c r="K1918" i="1"/>
  <c r="K1919" i="1" s="1"/>
  <c r="I1811" i="1"/>
  <c r="J1920" i="1"/>
  <c r="L1811" i="1" l="1"/>
  <c r="K1920" i="1"/>
  <c r="J1921" i="1"/>
  <c r="I1812" i="1"/>
  <c r="L1812" i="1" l="1"/>
  <c r="K1921" i="1"/>
  <c r="I1813" i="1"/>
  <c r="J1922" i="1"/>
  <c r="J1923" i="1" s="1"/>
  <c r="L1813" i="1" l="1"/>
  <c r="K1922" i="1"/>
  <c r="K1923" i="1" s="1"/>
  <c r="J1924" i="1"/>
  <c r="I1814" i="1"/>
  <c r="L1814" i="1" l="1"/>
  <c r="K1924" i="1"/>
  <c r="I1815" i="1"/>
  <c r="J1925" i="1"/>
  <c r="L1815" i="1" l="1"/>
  <c r="K1925" i="1"/>
  <c r="J1926" i="1"/>
  <c r="J1927" i="1" s="1"/>
  <c r="I1816" i="1"/>
  <c r="L1816" i="1" l="1"/>
  <c r="K1926" i="1"/>
  <c r="K1927" i="1" s="1"/>
  <c r="I1817" i="1"/>
  <c r="J1928" i="1"/>
  <c r="L1817" i="1" l="1"/>
  <c r="K1928" i="1"/>
  <c r="J1929" i="1"/>
  <c r="I1818" i="1"/>
  <c r="L1818" i="1" l="1"/>
  <c r="K1929" i="1"/>
  <c r="I1819" i="1"/>
  <c r="J1930" i="1"/>
  <c r="J1931" i="1" s="1"/>
  <c r="L1819" i="1" l="1"/>
  <c r="K1930" i="1"/>
  <c r="K1931" i="1" s="1"/>
  <c r="J1932" i="1"/>
  <c r="I1820" i="1"/>
  <c r="L1820" i="1" l="1"/>
  <c r="K1932" i="1"/>
  <c r="I1821" i="1"/>
  <c r="J1933" i="1"/>
  <c r="L1821" i="1" l="1"/>
  <c r="K1933" i="1"/>
  <c r="J1934" i="1"/>
  <c r="J1935" i="1" s="1"/>
  <c r="I1822" i="1"/>
  <c r="L1822" i="1" l="1"/>
  <c r="K1934" i="1"/>
  <c r="K1935" i="1" s="1"/>
  <c r="I1823" i="1"/>
  <c r="J1936" i="1"/>
  <c r="I1824" i="1"/>
  <c r="L1824" i="1" l="1"/>
  <c r="L1823" i="1"/>
  <c r="K1936" i="1"/>
  <c r="I1825" i="1"/>
  <c r="J1937" i="1"/>
  <c r="L1825" i="1" l="1"/>
  <c r="K1937" i="1"/>
  <c r="J1938" i="1"/>
  <c r="J1939" i="1" s="1"/>
  <c r="I1826" i="1"/>
  <c r="L1826" i="1" l="1"/>
  <c r="K1938" i="1"/>
  <c r="K1939" i="1" s="1"/>
  <c r="I1827" i="1"/>
  <c r="J1940" i="1"/>
  <c r="L1827" i="1" l="1"/>
  <c r="K1940" i="1"/>
  <c r="J1941" i="1"/>
  <c r="I1828" i="1"/>
  <c r="L1828" i="1" l="1"/>
  <c r="K1941" i="1"/>
  <c r="I1829" i="1"/>
  <c r="J1942" i="1"/>
  <c r="J1943" i="1" s="1"/>
  <c r="L1829" i="1" l="1"/>
  <c r="K1942" i="1"/>
  <c r="K1943" i="1" s="1"/>
  <c r="J1944" i="1"/>
  <c r="I1830" i="1"/>
  <c r="L1830" i="1" l="1"/>
  <c r="K1944" i="1"/>
  <c r="I1831" i="1"/>
  <c r="J1945" i="1"/>
  <c r="L1831" i="1" l="1"/>
  <c r="K1945" i="1"/>
  <c r="J1946" i="1"/>
  <c r="J1947" i="1" s="1"/>
  <c r="I1832" i="1"/>
  <c r="L1832" i="1" l="1"/>
  <c r="K1946" i="1"/>
  <c r="K1947" i="1" s="1"/>
  <c r="I1833" i="1"/>
  <c r="J1948" i="1"/>
  <c r="L1833" i="1" l="1"/>
  <c r="K1948" i="1"/>
  <c r="J1949" i="1"/>
  <c r="I1834" i="1"/>
  <c r="L1834" i="1" l="1"/>
  <c r="K1949" i="1"/>
  <c r="I1835" i="1"/>
  <c r="J1950" i="1"/>
  <c r="J1951" i="1" s="1"/>
  <c r="L1835" i="1" l="1"/>
  <c r="K1950" i="1"/>
  <c r="K1951" i="1" s="1"/>
  <c r="J1952" i="1"/>
  <c r="I1836" i="1"/>
  <c r="L1836" i="1" l="1"/>
  <c r="K1952" i="1"/>
  <c r="I1837" i="1"/>
  <c r="J1953" i="1"/>
  <c r="L1837" i="1" l="1"/>
  <c r="K1953" i="1"/>
  <c r="J1954" i="1"/>
  <c r="J1955" i="1" s="1"/>
  <c r="I1838" i="1"/>
  <c r="L1838" i="1" l="1"/>
  <c r="K1954" i="1"/>
  <c r="K1955" i="1" s="1"/>
  <c r="I1839" i="1"/>
  <c r="J1956" i="1"/>
  <c r="L1839" i="1" l="1"/>
  <c r="K1956" i="1"/>
  <c r="J1957" i="1"/>
  <c r="I1840" i="1"/>
  <c r="L1840" i="1" l="1"/>
  <c r="K1957" i="1"/>
  <c r="I1841" i="1"/>
  <c r="J1958" i="1"/>
  <c r="J1959" i="1" s="1"/>
  <c r="L1841" i="1" l="1"/>
  <c r="K1958" i="1"/>
  <c r="K1959" i="1" s="1"/>
  <c r="J1960" i="1"/>
  <c r="I1842" i="1"/>
  <c r="L1842" i="1" l="1"/>
  <c r="K1960" i="1"/>
  <c r="I1843" i="1"/>
  <c r="J1961" i="1"/>
  <c r="L1843" i="1" l="1"/>
  <c r="K1961" i="1"/>
  <c r="J1962" i="1"/>
  <c r="J1963" i="1" s="1"/>
  <c r="I1844" i="1"/>
  <c r="L1844" i="1" l="1"/>
  <c r="K1962" i="1"/>
  <c r="K1963" i="1" s="1"/>
  <c r="I1845" i="1"/>
  <c r="J1964" i="1"/>
  <c r="L1845" i="1" l="1"/>
  <c r="K1964" i="1"/>
  <c r="J1965" i="1"/>
  <c r="I1846" i="1"/>
  <c r="L1846" i="1" l="1"/>
  <c r="K1965" i="1"/>
  <c r="I1847" i="1"/>
  <c r="J1966" i="1"/>
  <c r="J1967" i="1" s="1"/>
  <c r="L1847" i="1" l="1"/>
  <c r="K1966" i="1"/>
  <c r="K1967" i="1" s="1"/>
  <c r="J1968" i="1"/>
  <c r="I1848" i="1"/>
  <c r="L1848" i="1" l="1"/>
  <c r="K1968" i="1"/>
  <c r="I1849" i="1"/>
  <c r="J1969" i="1"/>
  <c r="L1849" i="1" l="1"/>
  <c r="K1969" i="1"/>
  <c r="J1970" i="1"/>
  <c r="J1971" i="1" s="1"/>
  <c r="I1850" i="1"/>
  <c r="L1850" i="1" l="1"/>
  <c r="K1970" i="1"/>
  <c r="K1971" i="1" s="1"/>
  <c r="I1851" i="1"/>
  <c r="J1972" i="1"/>
  <c r="I1852" i="1"/>
  <c r="L1852" i="1" l="1"/>
  <c r="L1851" i="1"/>
  <c r="K1972" i="1"/>
  <c r="I1853" i="1"/>
  <c r="J1973" i="1"/>
  <c r="L1853" i="1" l="1"/>
  <c r="K1973" i="1"/>
  <c r="J1974" i="1"/>
  <c r="J1975" i="1" s="1"/>
  <c r="I1854" i="1"/>
  <c r="L1854" i="1" l="1"/>
  <c r="K1974" i="1"/>
  <c r="K1975" i="1" s="1"/>
  <c r="I1855" i="1"/>
  <c r="J1976" i="1"/>
  <c r="L1855" i="1" l="1"/>
  <c r="K1976" i="1"/>
  <c r="J1977" i="1"/>
  <c r="I1856" i="1"/>
  <c r="L1856" i="1" l="1"/>
  <c r="K1977" i="1"/>
  <c r="I1857" i="1"/>
  <c r="J1978" i="1"/>
  <c r="J1979" i="1" s="1"/>
  <c r="L1857" i="1" l="1"/>
  <c r="K1978" i="1"/>
  <c r="K1979" i="1" s="1"/>
  <c r="J1980" i="1"/>
  <c r="I1858" i="1"/>
  <c r="L1858" i="1" l="1"/>
  <c r="K1980" i="1"/>
  <c r="I1859" i="1"/>
  <c r="J1981" i="1"/>
  <c r="L1859" i="1" l="1"/>
  <c r="K1981" i="1"/>
  <c r="J1982" i="1"/>
  <c r="J1983" i="1" s="1"/>
  <c r="I1860" i="1"/>
  <c r="L1860" i="1" l="1"/>
  <c r="K1982" i="1"/>
  <c r="K1983" i="1" s="1"/>
  <c r="I1861" i="1"/>
  <c r="J1984" i="1"/>
  <c r="L1861" i="1" l="1"/>
  <c r="K1984" i="1"/>
  <c r="J1985" i="1"/>
  <c r="I1862" i="1"/>
  <c r="L1862" i="1" l="1"/>
  <c r="K1985" i="1"/>
  <c r="I1863" i="1"/>
  <c r="J1986" i="1"/>
  <c r="J1987" i="1" s="1"/>
  <c r="L1863" i="1" l="1"/>
  <c r="K1986" i="1"/>
  <c r="K1987" i="1" s="1"/>
  <c r="J1988" i="1"/>
  <c r="I1864" i="1"/>
  <c r="L1864" i="1" l="1"/>
  <c r="K1988" i="1"/>
  <c r="I1865" i="1"/>
  <c r="J1989" i="1"/>
  <c r="L1865" i="1" l="1"/>
  <c r="K1989" i="1"/>
  <c r="J1990" i="1"/>
  <c r="J1991" i="1" s="1"/>
  <c r="I1866" i="1"/>
  <c r="L1866" i="1" l="1"/>
  <c r="K1990" i="1"/>
  <c r="K1991" i="1" s="1"/>
  <c r="I1867" i="1"/>
  <c r="J1992" i="1"/>
  <c r="L1867" i="1" l="1"/>
  <c r="K1992" i="1"/>
  <c r="J1993" i="1"/>
  <c r="I1868" i="1"/>
  <c r="L1868" i="1" l="1"/>
  <c r="K1993" i="1"/>
  <c r="I1869" i="1"/>
  <c r="J1994" i="1"/>
  <c r="J1995" i="1" s="1"/>
  <c r="L1869" i="1" l="1"/>
  <c r="K1994" i="1"/>
  <c r="K1995" i="1" s="1"/>
  <c r="J1996" i="1"/>
  <c r="I1870" i="1"/>
  <c r="L1870" i="1" l="1"/>
  <c r="K1996" i="1"/>
  <c r="I1871" i="1"/>
  <c r="J1997" i="1"/>
  <c r="L1871" i="1" l="1"/>
  <c r="K1997" i="1"/>
  <c r="J1998" i="1"/>
  <c r="J1999" i="1" s="1"/>
  <c r="I1872" i="1"/>
  <c r="L1872" i="1" l="1"/>
  <c r="K1998" i="1"/>
  <c r="K1999" i="1" s="1"/>
  <c r="I1873" i="1"/>
  <c r="J2000" i="1"/>
  <c r="L1873" i="1" l="1"/>
  <c r="K2000" i="1"/>
  <c r="J2001" i="1"/>
  <c r="I1874" i="1"/>
  <c r="L1874" i="1" l="1"/>
  <c r="K2001" i="1"/>
  <c r="I1875" i="1"/>
  <c r="J2002" i="1"/>
  <c r="J2003" i="1" s="1"/>
  <c r="L1875" i="1" l="1"/>
  <c r="K2002" i="1"/>
  <c r="K2003" i="1" s="1"/>
  <c r="J2004" i="1"/>
  <c r="I1876" i="1"/>
  <c r="L1876" i="1" l="1"/>
  <c r="K2004" i="1"/>
  <c r="I1877" i="1"/>
  <c r="J2005" i="1"/>
  <c r="L1877" i="1" l="1"/>
  <c r="K2005" i="1"/>
  <c r="J2006" i="1"/>
  <c r="J2007" i="1" s="1"/>
  <c r="I1878" i="1"/>
  <c r="L1878" i="1" l="1"/>
  <c r="K2006" i="1"/>
  <c r="K2007" i="1" s="1"/>
  <c r="I1879" i="1"/>
  <c r="J2008" i="1"/>
  <c r="L1879" i="1" l="1"/>
  <c r="K2008" i="1"/>
  <c r="J2009" i="1"/>
  <c r="I1880" i="1"/>
  <c r="L1880" i="1" l="1"/>
  <c r="K2009" i="1"/>
  <c r="I1881" i="1"/>
  <c r="J2010" i="1"/>
  <c r="J2011" i="1" s="1"/>
  <c r="L1881" i="1" l="1"/>
  <c r="K2010" i="1"/>
  <c r="K2011" i="1" s="1"/>
  <c r="J2012" i="1"/>
  <c r="I1882" i="1"/>
  <c r="L1882" i="1" l="1"/>
  <c r="K2012" i="1"/>
  <c r="I1883" i="1"/>
  <c r="J2013" i="1"/>
  <c r="I1884" i="1"/>
  <c r="L1884" i="1" l="1"/>
  <c r="L1883" i="1"/>
  <c r="K2013" i="1"/>
  <c r="I1885" i="1"/>
  <c r="J2014" i="1"/>
  <c r="J2015" i="1" s="1"/>
  <c r="L1885" i="1" l="1"/>
  <c r="K2014" i="1"/>
  <c r="K2015" i="1" s="1"/>
  <c r="J2016" i="1"/>
  <c r="I1886" i="1"/>
  <c r="L1886" i="1" l="1"/>
  <c r="K2016" i="1"/>
  <c r="I1887" i="1"/>
  <c r="J2017" i="1"/>
  <c r="L1887" i="1" l="1"/>
  <c r="K2017" i="1"/>
  <c r="J2018" i="1"/>
  <c r="J2019" i="1" s="1"/>
  <c r="I1888" i="1"/>
  <c r="L1888" i="1" l="1"/>
  <c r="K2018" i="1"/>
  <c r="K2019" i="1" s="1"/>
  <c r="I1889" i="1"/>
  <c r="J2020" i="1"/>
  <c r="L1889" i="1" l="1"/>
  <c r="K2020" i="1"/>
  <c r="J2021" i="1"/>
  <c r="I1890" i="1"/>
  <c r="L1890" i="1" l="1"/>
  <c r="K2021" i="1"/>
  <c r="I1891" i="1"/>
  <c r="J2022" i="1"/>
  <c r="J2023" i="1" s="1"/>
  <c r="L1891" i="1" l="1"/>
  <c r="K2022" i="1"/>
  <c r="K2023" i="1" s="1"/>
  <c r="J2024" i="1"/>
  <c r="I1892" i="1"/>
  <c r="L1892" i="1" l="1"/>
  <c r="K2024" i="1"/>
  <c r="I1893" i="1"/>
  <c r="J2025" i="1"/>
  <c r="L1893" i="1" l="1"/>
  <c r="K2025" i="1"/>
  <c r="J2026" i="1"/>
  <c r="J2027" i="1" s="1"/>
  <c r="I1894" i="1"/>
  <c r="L1894" i="1" l="1"/>
  <c r="K2026" i="1"/>
  <c r="K2027" i="1" s="1"/>
  <c r="I1895" i="1"/>
  <c r="J2028" i="1"/>
  <c r="L1895" i="1" l="1"/>
  <c r="K2028" i="1"/>
  <c r="J2029" i="1"/>
  <c r="I1896" i="1"/>
  <c r="L1896" i="1" l="1"/>
  <c r="K2029" i="1"/>
  <c r="I1897" i="1"/>
  <c r="J2030" i="1"/>
  <c r="J2031" i="1" s="1"/>
  <c r="L1897" i="1" l="1"/>
  <c r="K2030" i="1"/>
  <c r="K2031" i="1" s="1"/>
  <c r="J2032" i="1"/>
  <c r="I1898" i="1"/>
  <c r="L1898" i="1" l="1"/>
  <c r="K2032" i="1"/>
  <c r="I1899" i="1"/>
  <c r="J2033" i="1"/>
  <c r="L1899" i="1" l="1"/>
  <c r="K2033" i="1"/>
  <c r="J2034" i="1"/>
  <c r="J2035" i="1" s="1"/>
  <c r="I1900" i="1"/>
  <c r="L1900" i="1" l="1"/>
  <c r="K2034" i="1"/>
  <c r="K2035" i="1" s="1"/>
  <c r="I1901" i="1"/>
  <c r="J2036" i="1"/>
  <c r="L1901" i="1" l="1"/>
  <c r="K2036" i="1"/>
  <c r="J2037" i="1"/>
  <c r="I1902" i="1"/>
  <c r="L1902" i="1" l="1"/>
  <c r="K2037" i="1"/>
  <c r="I1903" i="1"/>
  <c r="J2038" i="1"/>
  <c r="J2039" i="1" s="1"/>
  <c r="L1903" i="1" l="1"/>
  <c r="K2038" i="1"/>
  <c r="K2039" i="1" s="1"/>
  <c r="J2040" i="1"/>
  <c r="I1904" i="1"/>
  <c r="L1904" i="1" l="1"/>
  <c r="K2040" i="1"/>
  <c r="I1905" i="1"/>
  <c r="J2041" i="1"/>
  <c r="L1905" i="1" l="1"/>
  <c r="K2041" i="1"/>
  <c r="J2042" i="1"/>
  <c r="J2043" i="1" s="1"/>
  <c r="I1906" i="1"/>
  <c r="L1906" i="1" l="1"/>
  <c r="K2042" i="1"/>
  <c r="K2043" i="1" s="1"/>
  <c r="I1907" i="1"/>
  <c r="J2044" i="1"/>
  <c r="L1907" i="1" l="1"/>
  <c r="K2044" i="1"/>
  <c r="J2045" i="1"/>
  <c r="I1908" i="1"/>
  <c r="L1908" i="1" l="1"/>
  <c r="K2045" i="1"/>
  <c r="I1909" i="1"/>
  <c r="J2046" i="1"/>
  <c r="J2047" i="1" s="1"/>
  <c r="L1909" i="1" l="1"/>
  <c r="K2046" i="1"/>
  <c r="K2047" i="1" s="1"/>
  <c r="J2048" i="1"/>
  <c r="I1910" i="1"/>
  <c r="L1910" i="1" l="1"/>
  <c r="K2048" i="1"/>
  <c r="I1911" i="1"/>
  <c r="J2049" i="1"/>
  <c r="L1911" i="1" l="1"/>
  <c r="K2049" i="1"/>
  <c r="J2050" i="1"/>
  <c r="J2051" i="1" s="1"/>
  <c r="I1912" i="1"/>
  <c r="L1912" i="1" l="1"/>
  <c r="K2050" i="1"/>
  <c r="K2051" i="1" s="1"/>
  <c r="I1913" i="1"/>
  <c r="J2052" i="1"/>
  <c r="L1913" i="1" l="1"/>
  <c r="K2052" i="1"/>
  <c r="J2053" i="1"/>
  <c r="I1914" i="1"/>
  <c r="L1914" i="1" l="1"/>
  <c r="K2053" i="1"/>
  <c r="I1915" i="1"/>
  <c r="J2054" i="1"/>
  <c r="J2055" i="1" s="1"/>
  <c r="L1915" i="1" l="1"/>
  <c r="K2054" i="1"/>
  <c r="K2055" i="1" s="1"/>
  <c r="J2056" i="1"/>
  <c r="I1916" i="1"/>
  <c r="L1916" i="1" l="1"/>
  <c r="K2056" i="1"/>
  <c r="I1917" i="1"/>
  <c r="J2057" i="1"/>
  <c r="L1917" i="1" l="1"/>
  <c r="K2057" i="1"/>
  <c r="J2058" i="1"/>
  <c r="J2059" i="1" s="1"/>
  <c r="I1918" i="1"/>
  <c r="L1918" i="1" l="1"/>
  <c r="K2058" i="1"/>
  <c r="K2059" i="1" s="1"/>
  <c r="I1919" i="1"/>
  <c r="J2060" i="1"/>
  <c r="I1920" i="1"/>
  <c r="L1920" i="1" l="1"/>
  <c r="L1919" i="1"/>
  <c r="K2060" i="1"/>
  <c r="I1921" i="1"/>
  <c r="J2061" i="1"/>
  <c r="L1921" i="1" l="1"/>
  <c r="K2061" i="1"/>
  <c r="J2062" i="1"/>
  <c r="J2063" i="1" s="1"/>
  <c r="I1922" i="1"/>
  <c r="L1922" i="1" l="1"/>
  <c r="K2062" i="1"/>
  <c r="K2063" i="1" s="1"/>
  <c r="I1923" i="1"/>
  <c r="J2064" i="1"/>
  <c r="L1923" i="1" l="1"/>
  <c r="K2064" i="1"/>
  <c r="J2065" i="1"/>
  <c r="I1924" i="1"/>
  <c r="L1924" i="1" l="1"/>
  <c r="K2065" i="1"/>
  <c r="I1925" i="1"/>
  <c r="J2066" i="1"/>
  <c r="J2067" i="1" s="1"/>
  <c r="L1925" i="1" l="1"/>
  <c r="K2066" i="1"/>
  <c r="K2067" i="1" s="1"/>
  <c r="J2068" i="1"/>
  <c r="I1926" i="1"/>
  <c r="L1926" i="1" l="1"/>
  <c r="K2068" i="1"/>
  <c r="I1927" i="1"/>
  <c r="J2069" i="1"/>
  <c r="L1927" i="1" l="1"/>
  <c r="K2069" i="1"/>
  <c r="J2070" i="1"/>
  <c r="I1928" i="1"/>
  <c r="L1928" i="1" l="1"/>
  <c r="K2070" i="1"/>
  <c r="I1929" i="1"/>
  <c r="L1929" i="1" l="1"/>
  <c r="I1930" i="1"/>
  <c r="L1930" i="1" l="1"/>
  <c r="I1931" i="1"/>
  <c r="L1931" i="1" l="1"/>
  <c r="I1932" i="1"/>
  <c r="L1932" i="1" l="1"/>
  <c r="I1933" i="1"/>
  <c r="L1933" i="1" l="1"/>
  <c r="I1934" i="1"/>
  <c r="L1934" i="1" l="1"/>
  <c r="I1935" i="1"/>
  <c r="L1935" i="1" l="1"/>
  <c r="I1936" i="1"/>
  <c r="L1936" i="1" l="1"/>
  <c r="I1937" i="1"/>
  <c r="L1937" i="1" l="1"/>
  <c r="I1938" i="1"/>
  <c r="L1938" i="1" l="1"/>
  <c r="I1939" i="1"/>
  <c r="L1939" i="1" l="1"/>
  <c r="I1940" i="1"/>
  <c r="L1940" i="1" l="1"/>
  <c r="I1941" i="1"/>
  <c r="L1941" i="1" l="1"/>
  <c r="I1942" i="1"/>
  <c r="L1942" i="1" l="1"/>
  <c r="I1943" i="1"/>
  <c r="L1943" i="1" l="1"/>
  <c r="I1944" i="1"/>
  <c r="L1944" i="1" l="1"/>
  <c r="I1945" i="1"/>
  <c r="L1945" i="1" l="1"/>
  <c r="I1946" i="1"/>
  <c r="L1946" i="1" l="1"/>
  <c r="I1947" i="1"/>
  <c r="L1947" i="1" l="1"/>
  <c r="I1948" i="1"/>
  <c r="L1948" i="1" l="1"/>
  <c r="I1949" i="1"/>
  <c r="L1949" i="1" l="1"/>
  <c r="I1950" i="1"/>
  <c r="L1950" i="1" l="1"/>
  <c r="I1951" i="1"/>
  <c r="I1952" i="1"/>
  <c r="L1952" i="1" l="1"/>
  <c r="L1951" i="1"/>
  <c r="I1953" i="1"/>
  <c r="L1953" i="1" l="1"/>
  <c r="I1954" i="1"/>
  <c r="L1954" i="1" l="1"/>
  <c r="I1955" i="1"/>
  <c r="L1955" i="1" l="1"/>
  <c r="I1956" i="1"/>
  <c r="L1956" i="1" l="1"/>
  <c r="I1957" i="1"/>
  <c r="L1957" i="1" l="1"/>
  <c r="I1958" i="1"/>
  <c r="L1958" i="1" l="1"/>
  <c r="I1959" i="1"/>
  <c r="L1959" i="1" l="1"/>
  <c r="I1960" i="1"/>
  <c r="L1960" i="1" l="1"/>
  <c r="I1961" i="1"/>
  <c r="L1961" i="1" l="1"/>
  <c r="I1962" i="1"/>
  <c r="L1962" i="1" l="1"/>
  <c r="I1963" i="1"/>
  <c r="L1963" i="1" l="1"/>
  <c r="I1964" i="1"/>
  <c r="L1964" i="1" l="1"/>
  <c r="I1965" i="1"/>
  <c r="L1965" i="1" l="1"/>
  <c r="I1966" i="1"/>
  <c r="L1966" i="1" l="1"/>
  <c r="I1967" i="1"/>
  <c r="L1967" i="1" l="1"/>
  <c r="I1968" i="1"/>
  <c r="L1968" i="1" l="1"/>
  <c r="I1969" i="1"/>
  <c r="L1969" i="1" l="1"/>
  <c r="I1970" i="1"/>
  <c r="L1970" i="1" l="1"/>
  <c r="I1971" i="1"/>
  <c r="L1971" i="1" l="1"/>
  <c r="I1972" i="1"/>
  <c r="L1972" i="1" l="1"/>
  <c r="I1973" i="1"/>
  <c r="L1973" i="1" l="1"/>
  <c r="I1974" i="1"/>
  <c r="L1974" i="1" l="1"/>
  <c r="I1975" i="1"/>
  <c r="L1975" i="1" l="1"/>
  <c r="I1976" i="1"/>
  <c r="L1976" i="1" l="1"/>
  <c r="I1977" i="1"/>
  <c r="L1977" i="1" l="1"/>
  <c r="I1978" i="1"/>
  <c r="L1978" i="1" l="1"/>
  <c r="I1979" i="1"/>
  <c r="L1979" i="1" l="1"/>
  <c r="I1980" i="1"/>
  <c r="L1980" i="1" l="1"/>
  <c r="I1981" i="1"/>
  <c r="L1981" i="1" l="1"/>
  <c r="I1982" i="1"/>
  <c r="L1982" i="1" l="1"/>
  <c r="I1983" i="1"/>
  <c r="I1984" i="1"/>
  <c r="L1984" i="1" l="1"/>
  <c r="L1983" i="1"/>
  <c r="I1985" i="1"/>
  <c r="L1985" i="1" l="1"/>
  <c r="I1986" i="1"/>
  <c r="L1986" i="1" l="1"/>
  <c r="I1987" i="1"/>
  <c r="L1987" i="1" l="1"/>
  <c r="I1988" i="1"/>
  <c r="L1988" i="1" l="1"/>
  <c r="I1989" i="1"/>
  <c r="L1989" i="1" l="1"/>
  <c r="I1990" i="1"/>
  <c r="L1990" i="1" l="1"/>
  <c r="I1991" i="1"/>
  <c r="L1991" i="1" l="1"/>
  <c r="I1992" i="1"/>
  <c r="L1992" i="1" l="1"/>
  <c r="I1993" i="1"/>
  <c r="L1993" i="1" l="1"/>
  <c r="I1994" i="1"/>
  <c r="L1994" i="1" l="1"/>
  <c r="I1995" i="1"/>
  <c r="L1995" i="1" l="1"/>
  <c r="I1996" i="1"/>
  <c r="L1996" i="1" l="1"/>
  <c r="I1997" i="1"/>
  <c r="L1997" i="1" l="1"/>
  <c r="I1998" i="1"/>
  <c r="L1998" i="1" l="1"/>
  <c r="I1999" i="1"/>
  <c r="L1999" i="1" l="1"/>
  <c r="I2000" i="1"/>
  <c r="L2000" i="1" l="1"/>
  <c r="I2001" i="1"/>
  <c r="L2001" i="1" l="1"/>
  <c r="I2002" i="1"/>
  <c r="L2002" i="1" l="1"/>
  <c r="I2003" i="1"/>
  <c r="L2003" i="1" l="1"/>
  <c r="I2004" i="1"/>
  <c r="L2004" i="1" l="1"/>
  <c r="I2005" i="1"/>
  <c r="L2005" i="1" l="1"/>
  <c r="I2006" i="1"/>
  <c r="L2006" i="1" l="1"/>
  <c r="I2007" i="1"/>
  <c r="I2008" i="1"/>
  <c r="L2008" i="1" l="1"/>
  <c r="L2007" i="1"/>
  <c r="I2009" i="1"/>
  <c r="L2009" i="1" l="1"/>
  <c r="I2010" i="1"/>
  <c r="L2010" i="1" l="1"/>
  <c r="I2011" i="1"/>
  <c r="L2011" i="1" l="1"/>
  <c r="I2012" i="1"/>
  <c r="L2012" i="1" l="1"/>
  <c r="I2013" i="1"/>
  <c r="L2013" i="1" l="1"/>
  <c r="I2014" i="1"/>
  <c r="L2014" i="1" l="1"/>
  <c r="I2015" i="1"/>
  <c r="L2015" i="1" l="1"/>
  <c r="I2016" i="1"/>
  <c r="L2016" i="1" l="1"/>
  <c r="I2017" i="1"/>
  <c r="L2017" i="1" l="1"/>
  <c r="I2018" i="1"/>
  <c r="L2018" i="1" l="1"/>
  <c r="I2019" i="1"/>
  <c r="L2019" i="1" l="1"/>
  <c r="I2020" i="1"/>
  <c r="L2020" i="1" l="1"/>
  <c r="I2021" i="1"/>
  <c r="L2021" i="1" l="1"/>
  <c r="I2022" i="1"/>
  <c r="L2022" i="1" l="1"/>
  <c r="I2023" i="1"/>
  <c r="L2023" i="1" l="1"/>
  <c r="I2024" i="1"/>
  <c r="L2024" i="1" l="1"/>
  <c r="I2025" i="1"/>
  <c r="L2025" i="1" l="1"/>
  <c r="I2026" i="1"/>
  <c r="L2026" i="1" l="1"/>
  <c r="I2027" i="1"/>
  <c r="L2027" i="1" l="1"/>
  <c r="I2028" i="1"/>
  <c r="L2028" i="1" l="1"/>
  <c r="I2029" i="1"/>
  <c r="L2029" i="1" l="1"/>
  <c r="I2030" i="1"/>
  <c r="L2030" i="1" l="1"/>
  <c r="I2031" i="1"/>
  <c r="L2031" i="1" l="1"/>
  <c r="I2032" i="1"/>
  <c r="L2032" i="1" l="1"/>
  <c r="I2033" i="1"/>
  <c r="L2033" i="1" l="1"/>
  <c r="I2034" i="1"/>
  <c r="L2034" i="1" l="1"/>
  <c r="I2035" i="1"/>
  <c r="I2036" i="1"/>
  <c r="L2036" i="1" l="1"/>
  <c r="L2035" i="1"/>
  <c r="I2037" i="1"/>
  <c r="L2037" i="1" l="1"/>
  <c r="I2038" i="1"/>
  <c r="L2038" i="1" l="1"/>
  <c r="I2039" i="1"/>
  <c r="L2039" i="1" l="1"/>
  <c r="I2040" i="1"/>
  <c r="L2040" i="1" l="1"/>
  <c r="I2041" i="1"/>
  <c r="L2041" i="1" l="1"/>
  <c r="I2042" i="1"/>
  <c r="L2042" i="1" l="1"/>
  <c r="I2043" i="1"/>
  <c r="L2043" i="1" l="1"/>
  <c r="I2044" i="1"/>
  <c r="L2044" i="1" l="1"/>
  <c r="I2045" i="1"/>
  <c r="L2045" i="1" l="1"/>
  <c r="I2046" i="1"/>
  <c r="L2046" i="1" l="1"/>
  <c r="I2047" i="1"/>
  <c r="L2047" i="1" l="1"/>
  <c r="I2048" i="1"/>
  <c r="L2048" i="1" l="1"/>
  <c r="I2049" i="1"/>
  <c r="L2049" i="1" l="1"/>
  <c r="I2050" i="1"/>
  <c r="L2050" i="1" l="1"/>
  <c r="I2051" i="1"/>
  <c r="L2051" i="1" l="1"/>
  <c r="I2052" i="1"/>
  <c r="L2052" i="1" l="1"/>
  <c r="I2053" i="1"/>
  <c r="L2053" i="1" l="1"/>
  <c r="I2054" i="1"/>
  <c r="L2054" i="1" l="1"/>
  <c r="I2055" i="1"/>
  <c r="L2055" i="1" l="1"/>
  <c r="I2056" i="1"/>
  <c r="L2056" i="1" l="1"/>
  <c r="I2057" i="1"/>
  <c r="L2057" i="1" l="1"/>
  <c r="I2058" i="1"/>
  <c r="L2058" i="1" l="1"/>
  <c r="I2059" i="1"/>
  <c r="I2060" i="1"/>
  <c r="L2060" i="1" l="1"/>
  <c r="L2059" i="1"/>
  <c r="I2061" i="1"/>
  <c r="L2061" i="1" l="1"/>
  <c r="I2062" i="1"/>
  <c r="L2062" i="1" l="1"/>
  <c r="I2063" i="1"/>
  <c r="L2063" i="1" l="1"/>
  <c r="I2064" i="1"/>
  <c r="L2064" i="1" l="1"/>
  <c r="I2065" i="1"/>
  <c r="L2065" i="1" l="1"/>
  <c r="I2066" i="1"/>
  <c r="L2066" i="1" l="1"/>
  <c r="I2067" i="1"/>
  <c r="L2067" i="1" l="1"/>
  <c r="I2068" i="1"/>
  <c r="L2068" i="1" l="1"/>
  <c r="I2069" i="1"/>
  <c r="L2069" i="1" l="1"/>
  <c r="I2070" i="1"/>
  <c r="L2070" i="1" l="1"/>
</calcChain>
</file>

<file path=xl/sharedStrings.xml><?xml version="1.0" encoding="utf-8"?>
<sst xmlns="http://schemas.openxmlformats.org/spreadsheetml/2006/main" count="61" uniqueCount="49">
  <si>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</si>
  <si>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</si>
  <si>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</si>
  <si>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</si>
  <si>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</si>
  <si>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</si>
  <si>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</si>
  <si>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</si>
  <si>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</si>
  <si>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</si>
  <si>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</si>
  <si>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</si>
  <si>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</si>
  <si>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</si>
  <si>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</si>
  <si>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</si>
  <si>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</si>
  <si>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</si>
  <si>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</si>
  <si>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</si>
  <si>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</si>
  <si>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</si>
  <si>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</si>
  <si>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</si>
  <si>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</si>
  <si>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</si>
  <si>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</si>
  <si>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</si>
  <si>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</si>
  <si>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</si>
  <si>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</si>
  <si>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</si>
  <si>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</si>
  <si>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</si>
  <si>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</si>
  <si>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</si>
  <si>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</si>
  <si>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</si>
  <si>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</si>
  <si>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</si>
  <si>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</si>
  <si>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</si>
  <si>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</si>
  <si>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</si>
  <si>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</si>
  <si>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CL_Bidirectional V3</t>
  </si>
  <si>
    <t>CL_ContFut</t>
  </si>
  <si>
    <t>ZC_Bidirectional V3</t>
  </si>
  <si>
    <t>ZC_ContFut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</si>
</sst>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0" borderId="0" xfId="0" applyAlignment="1">
      <alignment wrapText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openxmlformats.org/officeDocument/2006/relationships/calcChain" Target="calcChain.xml"/><Relationship Id="rId5" Type="http://schemas.openxmlformats.org/officeDocument/2006/relationships/worksheet" Target="worksheets/sheet1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1445"/>
                <c:pt idx="0">
                  <c:v>50000</c:v>
                </c:pt>
                <c:pt idx="1">
                  <c:v>55500</c:v>
                </c:pt>
                <c:pt idx="2">
                  <c:v>52125</c:v>
                </c:pt>
                <c:pt idx="3">
                  <c:v>40250</c:v>
                </c:pt>
                <c:pt idx="4">
                  <c:v>40125</c:v>
                </c:pt>
                <c:pt idx="5">
                  <c:v>53125</c:v>
                </c:pt>
                <c:pt idx="6">
                  <c:v>67125</c:v>
                </c:pt>
                <c:pt idx="7">
                  <c:v>67750</c:v>
                </c:pt>
                <c:pt idx="8">
                  <c:v>62875</c:v>
                </c:pt>
                <c:pt idx="9">
                  <c:v>50750</c:v>
                </c:pt>
                <c:pt idx="10">
                  <c:v>35750</c:v>
                </c:pt>
                <c:pt idx="11">
                  <c:v>25375</c:v>
                </c:pt>
                <c:pt idx="12">
                  <c:v>21625</c:v>
                </c:pt>
                <c:pt idx="13">
                  <c:v>24625</c:v>
                </c:pt>
                <c:pt idx="14">
                  <c:v>25500</c:v>
                </c:pt>
                <c:pt idx="15">
                  <c:v>11750</c:v>
                </c:pt>
                <c:pt idx="16">
                  <c:v>13375</c:v>
                </c:pt>
                <c:pt idx="17">
                  <c:v>11375</c:v>
                </c:pt>
                <c:pt idx="18">
                  <c:v>4000</c:v>
                </c:pt>
                <c:pt idx="19">
                  <c:v>13375</c:v>
                </c:pt>
                <c:pt idx="20">
                  <c:v>21250</c:v>
                </c:pt>
                <c:pt idx="21">
                  <c:v>-18250</c:v>
                </c:pt>
                <c:pt idx="22">
                  <c:v>-2375</c:v>
                </c:pt>
                <c:pt idx="23">
                  <c:v>14000</c:v>
                </c:pt>
                <c:pt idx="24">
                  <c:v>-875</c:v>
                </c:pt>
                <c:pt idx="25">
                  <c:v>-2250</c:v>
                </c:pt>
                <c:pt idx="26">
                  <c:v>5750</c:v>
                </c:pt>
                <c:pt idx="27">
                  <c:v>11375</c:v>
                </c:pt>
                <c:pt idx="28">
                  <c:v>28000</c:v>
                </c:pt>
                <c:pt idx="29">
                  <c:v>38875</c:v>
                </c:pt>
                <c:pt idx="30">
                  <c:v>39125</c:v>
                </c:pt>
                <c:pt idx="31">
                  <c:v>41250</c:v>
                </c:pt>
                <c:pt idx="32">
                  <c:v>42250</c:v>
                </c:pt>
                <c:pt idx="33">
                  <c:v>46000</c:v>
                </c:pt>
                <c:pt idx="34">
                  <c:v>40875</c:v>
                </c:pt>
                <c:pt idx="35">
                  <c:v>35000</c:v>
                </c:pt>
                <c:pt idx="36">
                  <c:v>37500</c:v>
                </c:pt>
                <c:pt idx="37">
                  <c:v>34375</c:v>
                </c:pt>
                <c:pt idx="38">
                  <c:v>38750</c:v>
                </c:pt>
                <c:pt idx="39">
                  <c:v>39750</c:v>
                </c:pt>
                <c:pt idx="40">
                  <c:v>36375</c:v>
                </c:pt>
                <c:pt idx="41">
                  <c:v>26750</c:v>
                </c:pt>
                <c:pt idx="42">
                  <c:v>34750</c:v>
                </c:pt>
                <c:pt idx="43">
                  <c:v>48500</c:v>
                </c:pt>
                <c:pt idx="44">
                  <c:v>47875</c:v>
                </c:pt>
                <c:pt idx="45">
                  <c:v>39875</c:v>
                </c:pt>
                <c:pt idx="46">
                  <c:v>44000</c:v>
                </c:pt>
                <c:pt idx="47">
                  <c:v>33750</c:v>
                </c:pt>
                <c:pt idx="48">
                  <c:v>33875</c:v>
                </c:pt>
                <c:pt idx="49">
                  <c:v>34500</c:v>
                </c:pt>
                <c:pt idx="50">
                  <c:v>47250</c:v>
                </c:pt>
                <c:pt idx="51">
                  <c:v>46625</c:v>
                </c:pt>
                <c:pt idx="52">
                  <c:v>47000</c:v>
                </c:pt>
                <c:pt idx="53">
                  <c:v>51375</c:v>
                </c:pt>
                <c:pt idx="54">
                  <c:v>52250</c:v>
                </c:pt>
                <c:pt idx="55">
                  <c:v>45000</c:v>
                </c:pt>
                <c:pt idx="56">
                  <c:v>50875</c:v>
                </c:pt>
                <c:pt idx="57">
                  <c:v>53500</c:v>
                </c:pt>
                <c:pt idx="58">
                  <c:v>59250</c:v>
                </c:pt>
                <c:pt idx="59">
                  <c:v>60625</c:v>
                </c:pt>
                <c:pt idx="60">
                  <c:v>60875</c:v>
                </c:pt>
                <c:pt idx="61">
                  <c:v>70125</c:v>
                </c:pt>
                <c:pt idx="62">
                  <c:v>74125</c:v>
                </c:pt>
                <c:pt idx="63">
                  <c:v>76625</c:v>
                </c:pt>
                <c:pt idx="64">
                  <c:v>75250</c:v>
                </c:pt>
                <c:pt idx="65">
                  <c:v>63750</c:v>
                </c:pt>
                <c:pt idx="66">
                  <c:v>70250</c:v>
                </c:pt>
                <c:pt idx="67">
                  <c:v>69250</c:v>
                </c:pt>
                <c:pt idx="68">
                  <c:v>63000</c:v>
                </c:pt>
                <c:pt idx="69">
                  <c:v>56500</c:v>
                </c:pt>
                <c:pt idx="70">
                  <c:v>59500</c:v>
                </c:pt>
                <c:pt idx="71">
                  <c:v>61375</c:v>
                </c:pt>
                <c:pt idx="72">
                  <c:v>51875</c:v>
                </c:pt>
                <c:pt idx="73">
                  <c:v>51375</c:v>
                </c:pt>
                <c:pt idx="74">
                  <c:v>40125</c:v>
                </c:pt>
                <c:pt idx="75">
                  <c:v>35125</c:v>
                </c:pt>
                <c:pt idx="76">
                  <c:v>32375</c:v>
                </c:pt>
                <c:pt idx="77">
                  <c:v>34000</c:v>
                </c:pt>
                <c:pt idx="78">
                  <c:v>33500</c:v>
                </c:pt>
                <c:pt idx="79">
                  <c:v>15500</c:v>
                </c:pt>
                <c:pt idx="80">
                  <c:v>10875</c:v>
                </c:pt>
                <c:pt idx="81">
                  <c:v>13500</c:v>
                </c:pt>
                <c:pt idx="82">
                  <c:v>13500</c:v>
                </c:pt>
                <c:pt idx="83">
                  <c:v>5000</c:v>
                </c:pt>
                <c:pt idx="84">
                  <c:v>5625</c:v>
                </c:pt>
                <c:pt idx="85">
                  <c:v>-15000</c:v>
                </c:pt>
                <c:pt idx="86">
                  <c:v>-15625</c:v>
                </c:pt>
                <c:pt idx="87">
                  <c:v>-16250</c:v>
                </c:pt>
                <c:pt idx="88">
                  <c:v>-8125</c:v>
                </c:pt>
                <c:pt idx="89">
                  <c:v>-7625</c:v>
                </c:pt>
                <c:pt idx="90">
                  <c:v>-10875</c:v>
                </c:pt>
                <c:pt idx="91">
                  <c:v>11125</c:v>
                </c:pt>
                <c:pt idx="92">
                  <c:v>7250</c:v>
                </c:pt>
                <c:pt idx="93">
                  <c:v>7625</c:v>
                </c:pt>
                <c:pt idx="94">
                  <c:v>9125</c:v>
                </c:pt>
                <c:pt idx="95">
                  <c:v>9250</c:v>
                </c:pt>
                <c:pt idx="96">
                  <c:v>10625</c:v>
                </c:pt>
                <c:pt idx="97">
                  <c:v>11250</c:v>
                </c:pt>
                <c:pt idx="98">
                  <c:v>12625</c:v>
                </c:pt>
                <c:pt idx="99">
                  <c:v>15000</c:v>
                </c:pt>
                <c:pt idx="100">
                  <c:v>15875</c:v>
                </c:pt>
                <c:pt idx="101">
                  <c:v>14625</c:v>
                </c:pt>
                <c:pt idx="102">
                  <c:v>7000</c:v>
                </c:pt>
                <c:pt idx="103">
                  <c:v>14625</c:v>
                </c:pt>
                <c:pt idx="104">
                  <c:v>14375</c:v>
                </c:pt>
                <c:pt idx="105">
                  <c:v>10125</c:v>
                </c:pt>
                <c:pt idx="106">
                  <c:v>12000</c:v>
                </c:pt>
                <c:pt idx="107">
                  <c:v>10250</c:v>
                </c:pt>
                <c:pt idx="108">
                  <c:v>15000</c:v>
                </c:pt>
                <c:pt idx="109">
                  <c:v>16375</c:v>
                </c:pt>
                <c:pt idx="110">
                  <c:v>15125</c:v>
                </c:pt>
                <c:pt idx="111">
                  <c:v>19250</c:v>
                </c:pt>
                <c:pt idx="112">
                  <c:v>16625</c:v>
                </c:pt>
                <c:pt idx="113">
                  <c:v>12375</c:v>
                </c:pt>
                <c:pt idx="114">
                  <c:v>5625</c:v>
                </c:pt>
                <c:pt idx="115">
                  <c:v>9625</c:v>
                </c:pt>
                <c:pt idx="116">
                  <c:v>8625</c:v>
                </c:pt>
                <c:pt idx="117">
                  <c:v>-5375</c:v>
                </c:pt>
                <c:pt idx="118">
                  <c:v>-7875</c:v>
                </c:pt>
                <c:pt idx="119">
                  <c:v>-12375</c:v>
                </c:pt>
                <c:pt idx="120">
                  <c:v>-12500</c:v>
                </c:pt>
                <c:pt idx="121">
                  <c:v>-16250</c:v>
                </c:pt>
                <c:pt idx="122">
                  <c:v>-20125</c:v>
                </c:pt>
                <c:pt idx="123">
                  <c:v>-15500</c:v>
                </c:pt>
                <c:pt idx="124">
                  <c:v>-11750</c:v>
                </c:pt>
                <c:pt idx="125">
                  <c:v>-9750</c:v>
                </c:pt>
                <c:pt idx="126">
                  <c:v>-14000</c:v>
                </c:pt>
                <c:pt idx="127">
                  <c:v>-18500</c:v>
                </c:pt>
                <c:pt idx="128">
                  <c:v>-20500</c:v>
                </c:pt>
                <c:pt idx="129">
                  <c:v>-18750</c:v>
                </c:pt>
                <c:pt idx="130">
                  <c:v>-22000</c:v>
                </c:pt>
                <c:pt idx="131">
                  <c:v>-15750</c:v>
                </c:pt>
                <c:pt idx="132">
                  <c:v>-20875</c:v>
                </c:pt>
                <c:pt idx="133">
                  <c:v>-18375</c:v>
                </c:pt>
                <c:pt idx="134">
                  <c:v>-19750</c:v>
                </c:pt>
                <c:pt idx="135">
                  <c:v>-23875</c:v>
                </c:pt>
                <c:pt idx="136">
                  <c:v>-25500</c:v>
                </c:pt>
                <c:pt idx="137">
                  <c:v>-24375</c:v>
                </c:pt>
                <c:pt idx="138">
                  <c:v>-16000</c:v>
                </c:pt>
                <c:pt idx="139">
                  <c:v>-12375</c:v>
                </c:pt>
                <c:pt idx="140">
                  <c:v>-8250</c:v>
                </c:pt>
                <c:pt idx="141">
                  <c:v>-4500</c:v>
                </c:pt>
                <c:pt idx="142">
                  <c:v>-5125</c:v>
                </c:pt>
                <c:pt idx="143">
                  <c:v>750</c:v>
                </c:pt>
                <c:pt idx="144">
                  <c:v>6000</c:v>
                </c:pt>
                <c:pt idx="145">
                  <c:v>2875</c:v>
                </c:pt>
                <c:pt idx="146">
                  <c:v>6875</c:v>
                </c:pt>
                <c:pt idx="147">
                  <c:v>11625</c:v>
                </c:pt>
                <c:pt idx="148">
                  <c:v>12375</c:v>
                </c:pt>
                <c:pt idx="149">
                  <c:v>6625</c:v>
                </c:pt>
                <c:pt idx="150">
                  <c:v>7375</c:v>
                </c:pt>
                <c:pt idx="151">
                  <c:v>11375</c:v>
                </c:pt>
                <c:pt idx="152">
                  <c:v>11500</c:v>
                </c:pt>
                <c:pt idx="153">
                  <c:v>10125</c:v>
                </c:pt>
                <c:pt idx="154">
                  <c:v>-9875</c:v>
                </c:pt>
                <c:pt idx="155">
                  <c:v>-14750</c:v>
                </c:pt>
                <c:pt idx="156">
                  <c:v>-12000</c:v>
                </c:pt>
                <c:pt idx="157">
                  <c:v>-18375</c:v>
                </c:pt>
                <c:pt idx="158">
                  <c:v>-13500</c:v>
                </c:pt>
                <c:pt idx="159">
                  <c:v>-11625</c:v>
                </c:pt>
                <c:pt idx="160">
                  <c:v>-5750</c:v>
                </c:pt>
                <c:pt idx="161">
                  <c:v>500</c:v>
                </c:pt>
                <c:pt idx="162">
                  <c:v>1625</c:v>
                </c:pt>
                <c:pt idx="163">
                  <c:v>3750</c:v>
                </c:pt>
                <c:pt idx="164">
                  <c:v>3750</c:v>
                </c:pt>
                <c:pt idx="165">
                  <c:v>-250</c:v>
                </c:pt>
                <c:pt idx="166">
                  <c:v>2125</c:v>
                </c:pt>
                <c:pt idx="167">
                  <c:v>6125</c:v>
                </c:pt>
                <c:pt idx="168">
                  <c:v>4375</c:v>
                </c:pt>
                <c:pt idx="169">
                  <c:v>5500</c:v>
                </c:pt>
                <c:pt idx="170">
                  <c:v>6000</c:v>
                </c:pt>
                <c:pt idx="171">
                  <c:v>5250</c:v>
                </c:pt>
                <c:pt idx="172">
                  <c:v>5750</c:v>
                </c:pt>
                <c:pt idx="173">
                  <c:v>750</c:v>
                </c:pt>
                <c:pt idx="174">
                  <c:v>-875</c:v>
                </c:pt>
                <c:pt idx="175">
                  <c:v>2125</c:v>
                </c:pt>
                <c:pt idx="176">
                  <c:v>1000</c:v>
                </c:pt>
                <c:pt idx="177">
                  <c:v>-2250</c:v>
                </c:pt>
                <c:pt idx="178">
                  <c:v>1125</c:v>
                </c:pt>
                <c:pt idx="179">
                  <c:v>6000</c:v>
                </c:pt>
                <c:pt idx="180">
                  <c:v>-875</c:v>
                </c:pt>
                <c:pt idx="181">
                  <c:v>2625</c:v>
                </c:pt>
                <c:pt idx="182">
                  <c:v>3750</c:v>
                </c:pt>
                <c:pt idx="183">
                  <c:v>4875</c:v>
                </c:pt>
                <c:pt idx="184">
                  <c:v>6500</c:v>
                </c:pt>
                <c:pt idx="185">
                  <c:v>10125</c:v>
                </c:pt>
                <c:pt idx="186">
                  <c:v>13125</c:v>
                </c:pt>
                <c:pt idx="187">
                  <c:v>11125</c:v>
                </c:pt>
                <c:pt idx="188">
                  <c:v>11375</c:v>
                </c:pt>
                <c:pt idx="189">
                  <c:v>17000</c:v>
                </c:pt>
                <c:pt idx="190">
                  <c:v>15375</c:v>
                </c:pt>
                <c:pt idx="191">
                  <c:v>6750</c:v>
                </c:pt>
                <c:pt idx="192">
                  <c:v>5750</c:v>
                </c:pt>
                <c:pt idx="193">
                  <c:v>10750</c:v>
                </c:pt>
                <c:pt idx="194">
                  <c:v>17875</c:v>
                </c:pt>
                <c:pt idx="195">
                  <c:v>19375</c:v>
                </c:pt>
                <c:pt idx="196">
                  <c:v>17625</c:v>
                </c:pt>
                <c:pt idx="197">
                  <c:v>23375</c:v>
                </c:pt>
                <c:pt idx="198">
                  <c:v>24625</c:v>
                </c:pt>
                <c:pt idx="199">
                  <c:v>22875</c:v>
                </c:pt>
                <c:pt idx="200">
                  <c:v>12500</c:v>
                </c:pt>
                <c:pt idx="201">
                  <c:v>11500</c:v>
                </c:pt>
                <c:pt idx="202">
                  <c:v>11000</c:v>
                </c:pt>
                <c:pt idx="203">
                  <c:v>11125</c:v>
                </c:pt>
                <c:pt idx="204">
                  <c:v>10125</c:v>
                </c:pt>
                <c:pt idx="205">
                  <c:v>6625</c:v>
                </c:pt>
                <c:pt idx="206">
                  <c:v>625</c:v>
                </c:pt>
                <c:pt idx="207">
                  <c:v>-6000</c:v>
                </c:pt>
                <c:pt idx="208">
                  <c:v>11625</c:v>
                </c:pt>
                <c:pt idx="209">
                  <c:v>18250</c:v>
                </c:pt>
                <c:pt idx="210">
                  <c:v>21000</c:v>
                </c:pt>
                <c:pt idx="211">
                  <c:v>16625</c:v>
                </c:pt>
                <c:pt idx="212">
                  <c:v>18750</c:v>
                </c:pt>
                <c:pt idx="213">
                  <c:v>18750</c:v>
                </c:pt>
                <c:pt idx="214">
                  <c:v>15750</c:v>
                </c:pt>
                <c:pt idx="215">
                  <c:v>7875</c:v>
                </c:pt>
                <c:pt idx="216">
                  <c:v>6375</c:v>
                </c:pt>
                <c:pt idx="217">
                  <c:v>9500</c:v>
                </c:pt>
                <c:pt idx="218">
                  <c:v>2750</c:v>
                </c:pt>
                <c:pt idx="219">
                  <c:v>2625</c:v>
                </c:pt>
                <c:pt idx="220">
                  <c:v>-375</c:v>
                </c:pt>
                <c:pt idx="221">
                  <c:v>-7625</c:v>
                </c:pt>
                <c:pt idx="222">
                  <c:v>-1750</c:v>
                </c:pt>
                <c:pt idx="223">
                  <c:v>-3000</c:v>
                </c:pt>
                <c:pt idx="224">
                  <c:v>-125</c:v>
                </c:pt>
                <c:pt idx="225">
                  <c:v>250</c:v>
                </c:pt>
                <c:pt idx="226">
                  <c:v>-3625</c:v>
                </c:pt>
                <c:pt idx="227">
                  <c:v>-1750</c:v>
                </c:pt>
                <c:pt idx="228">
                  <c:v>14625</c:v>
                </c:pt>
                <c:pt idx="229">
                  <c:v>16250</c:v>
                </c:pt>
                <c:pt idx="230">
                  <c:v>21625</c:v>
                </c:pt>
                <c:pt idx="231">
                  <c:v>11000</c:v>
                </c:pt>
                <c:pt idx="232">
                  <c:v>13125</c:v>
                </c:pt>
                <c:pt idx="233">
                  <c:v>24750</c:v>
                </c:pt>
                <c:pt idx="234">
                  <c:v>19875</c:v>
                </c:pt>
                <c:pt idx="235">
                  <c:v>24125</c:v>
                </c:pt>
                <c:pt idx="236">
                  <c:v>18125</c:v>
                </c:pt>
                <c:pt idx="237">
                  <c:v>625</c:v>
                </c:pt>
                <c:pt idx="238">
                  <c:v>-6500</c:v>
                </c:pt>
                <c:pt idx="239">
                  <c:v>-6125</c:v>
                </c:pt>
                <c:pt idx="240">
                  <c:v>1125</c:v>
                </c:pt>
                <c:pt idx="241">
                  <c:v>8875</c:v>
                </c:pt>
                <c:pt idx="242">
                  <c:v>15125</c:v>
                </c:pt>
                <c:pt idx="243">
                  <c:v>19750</c:v>
                </c:pt>
                <c:pt idx="244">
                  <c:v>20375</c:v>
                </c:pt>
                <c:pt idx="245">
                  <c:v>6625</c:v>
                </c:pt>
                <c:pt idx="246">
                  <c:v>5750</c:v>
                </c:pt>
                <c:pt idx="247">
                  <c:v>-6375</c:v>
                </c:pt>
                <c:pt idx="248">
                  <c:v>-9250</c:v>
                </c:pt>
                <c:pt idx="249">
                  <c:v>-15500</c:v>
                </c:pt>
                <c:pt idx="250">
                  <c:v>-16625</c:v>
                </c:pt>
                <c:pt idx="251">
                  <c:v>-16375</c:v>
                </c:pt>
                <c:pt idx="252">
                  <c:v>-18750</c:v>
                </c:pt>
                <c:pt idx="253">
                  <c:v>-14375</c:v>
                </c:pt>
                <c:pt idx="254">
                  <c:v>-12500</c:v>
                </c:pt>
                <c:pt idx="255">
                  <c:v>-5250</c:v>
                </c:pt>
                <c:pt idx="256">
                  <c:v>500</c:v>
                </c:pt>
                <c:pt idx="257">
                  <c:v>2750</c:v>
                </c:pt>
                <c:pt idx="258">
                  <c:v>-1250</c:v>
                </c:pt>
                <c:pt idx="259">
                  <c:v>-5625</c:v>
                </c:pt>
                <c:pt idx="260">
                  <c:v>1625</c:v>
                </c:pt>
                <c:pt idx="261">
                  <c:v>3375</c:v>
                </c:pt>
                <c:pt idx="262">
                  <c:v>-6000</c:v>
                </c:pt>
                <c:pt idx="263">
                  <c:v>4125</c:v>
                </c:pt>
                <c:pt idx="264">
                  <c:v>8625</c:v>
                </c:pt>
                <c:pt idx="265">
                  <c:v>7875</c:v>
                </c:pt>
                <c:pt idx="266">
                  <c:v>-125</c:v>
                </c:pt>
                <c:pt idx="267">
                  <c:v>-125</c:v>
                </c:pt>
                <c:pt idx="268">
                  <c:v>17250</c:v>
                </c:pt>
                <c:pt idx="269">
                  <c:v>25000</c:v>
                </c:pt>
                <c:pt idx="270">
                  <c:v>28500</c:v>
                </c:pt>
                <c:pt idx="271">
                  <c:v>27000</c:v>
                </c:pt>
                <c:pt idx="272">
                  <c:v>39625</c:v>
                </c:pt>
                <c:pt idx="273">
                  <c:v>48250</c:v>
                </c:pt>
                <c:pt idx="274">
                  <c:v>62500</c:v>
                </c:pt>
                <c:pt idx="275">
                  <c:v>82750</c:v>
                </c:pt>
                <c:pt idx="276">
                  <c:v>79375</c:v>
                </c:pt>
                <c:pt idx="277">
                  <c:v>93000</c:v>
                </c:pt>
                <c:pt idx="278">
                  <c:v>86125</c:v>
                </c:pt>
                <c:pt idx="279">
                  <c:v>70375</c:v>
                </c:pt>
                <c:pt idx="280">
                  <c:v>92125</c:v>
                </c:pt>
                <c:pt idx="281">
                  <c:v>92875</c:v>
                </c:pt>
                <c:pt idx="282">
                  <c:v>110750</c:v>
                </c:pt>
                <c:pt idx="283">
                  <c:v>114750</c:v>
                </c:pt>
                <c:pt idx="284">
                  <c:v>120625</c:v>
                </c:pt>
                <c:pt idx="285">
                  <c:v>124375</c:v>
                </c:pt>
                <c:pt idx="286">
                  <c:v>134125</c:v>
                </c:pt>
                <c:pt idx="287">
                  <c:v>126625</c:v>
                </c:pt>
                <c:pt idx="288">
                  <c:v>116875</c:v>
                </c:pt>
                <c:pt idx="289">
                  <c:v>122000</c:v>
                </c:pt>
                <c:pt idx="290">
                  <c:v>114500</c:v>
                </c:pt>
                <c:pt idx="291">
                  <c:v>122625</c:v>
                </c:pt>
                <c:pt idx="292">
                  <c:v>133875</c:v>
                </c:pt>
                <c:pt idx="293">
                  <c:v>128750</c:v>
                </c:pt>
                <c:pt idx="294">
                  <c:v>116625</c:v>
                </c:pt>
                <c:pt idx="295">
                  <c:v>123125</c:v>
                </c:pt>
                <c:pt idx="296">
                  <c:v>129750</c:v>
                </c:pt>
                <c:pt idx="297">
                  <c:v>127000</c:v>
                </c:pt>
                <c:pt idx="298">
                  <c:v>122000</c:v>
                </c:pt>
                <c:pt idx="299">
                  <c:v>128500</c:v>
                </c:pt>
                <c:pt idx="300">
                  <c:v>136125</c:v>
                </c:pt>
                <c:pt idx="301">
                  <c:v>126875</c:v>
                </c:pt>
                <c:pt idx="302">
                  <c:v>118250</c:v>
                </c:pt>
                <c:pt idx="303">
                  <c:v>113250</c:v>
                </c:pt>
                <c:pt idx="304">
                  <c:v>119500</c:v>
                </c:pt>
                <c:pt idx="305">
                  <c:v>124250</c:v>
                </c:pt>
                <c:pt idx="306">
                  <c:v>123625</c:v>
                </c:pt>
                <c:pt idx="307">
                  <c:v>132125</c:v>
                </c:pt>
                <c:pt idx="308">
                  <c:v>140000</c:v>
                </c:pt>
                <c:pt idx="309">
                  <c:v>137875</c:v>
                </c:pt>
                <c:pt idx="310">
                  <c:v>128125</c:v>
                </c:pt>
                <c:pt idx="311">
                  <c:v>125625</c:v>
                </c:pt>
                <c:pt idx="312">
                  <c:v>122500</c:v>
                </c:pt>
                <c:pt idx="313">
                  <c:v>119750</c:v>
                </c:pt>
                <c:pt idx="314">
                  <c:v>129250</c:v>
                </c:pt>
                <c:pt idx="315">
                  <c:v>132250</c:v>
                </c:pt>
                <c:pt idx="316">
                  <c:v>125625</c:v>
                </c:pt>
                <c:pt idx="317">
                  <c:v>124125</c:v>
                </c:pt>
                <c:pt idx="318">
                  <c:v>120500</c:v>
                </c:pt>
                <c:pt idx="319">
                  <c:v>124125</c:v>
                </c:pt>
                <c:pt idx="320">
                  <c:v>123375</c:v>
                </c:pt>
                <c:pt idx="321">
                  <c:v>115000</c:v>
                </c:pt>
                <c:pt idx="322">
                  <c:v>116625</c:v>
                </c:pt>
                <c:pt idx="323">
                  <c:v>109625</c:v>
                </c:pt>
                <c:pt idx="324">
                  <c:v>112375</c:v>
                </c:pt>
                <c:pt idx="325">
                  <c:v>117000</c:v>
                </c:pt>
                <c:pt idx="326">
                  <c:v>102625</c:v>
                </c:pt>
                <c:pt idx="327">
                  <c:v>96625</c:v>
                </c:pt>
                <c:pt idx="328">
                  <c:v>103125</c:v>
                </c:pt>
                <c:pt idx="329">
                  <c:v>98750</c:v>
                </c:pt>
                <c:pt idx="330">
                  <c:v>100375</c:v>
                </c:pt>
                <c:pt idx="331">
                  <c:v>98375</c:v>
                </c:pt>
                <c:pt idx="332">
                  <c:v>97375</c:v>
                </c:pt>
                <c:pt idx="333">
                  <c:v>88750</c:v>
                </c:pt>
                <c:pt idx="334">
                  <c:v>83250</c:v>
                </c:pt>
                <c:pt idx="335">
                  <c:v>104375</c:v>
                </c:pt>
                <c:pt idx="336">
                  <c:v>105250</c:v>
                </c:pt>
                <c:pt idx="337">
                  <c:v>102500</c:v>
                </c:pt>
                <c:pt idx="338">
                  <c:v>105375</c:v>
                </c:pt>
                <c:pt idx="339">
                  <c:v>107625</c:v>
                </c:pt>
                <c:pt idx="340">
                  <c:v>100750</c:v>
                </c:pt>
                <c:pt idx="341">
                  <c:v>97500</c:v>
                </c:pt>
                <c:pt idx="342">
                  <c:v>94500</c:v>
                </c:pt>
                <c:pt idx="343">
                  <c:v>113750</c:v>
                </c:pt>
                <c:pt idx="344">
                  <c:v>102250</c:v>
                </c:pt>
                <c:pt idx="345">
                  <c:v>94125</c:v>
                </c:pt>
                <c:pt idx="346">
                  <c:v>94125</c:v>
                </c:pt>
                <c:pt idx="347">
                  <c:v>97750</c:v>
                </c:pt>
                <c:pt idx="348">
                  <c:v>106125</c:v>
                </c:pt>
                <c:pt idx="349">
                  <c:v>108250</c:v>
                </c:pt>
                <c:pt idx="350">
                  <c:v>107750</c:v>
                </c:pt>
                <c:pt idx="351">
                  <c:v>103125</c:v>
                </c:pt>
                <c:pt idx="352">
                  <c:v>103125</c:v>
                </c:pt>
                <c:pt idx="353">
                  <c:v>98250</c:v>
                </c:pt>
                <c:pt idx="354">
                  <c:v>95375</c:v>
                </c:pt>
                <c:pt idx="355">
                  <c:v>94750</c:v>
                </c:pt>
                <c:pt idx="356">
                  <c:v>96125</c:v>
                </c:pt>
                <c:pt idx="357">
                  <c:v>103000</c:v>
                </c:pt>
                <c:pt idx="358">
                  <c:v>103375</c:v>
                </c:pt>
                <c:pt idx="359">
                  <c:v>96875</c:v>
                </c:pt>
                <c:pt idx="360">
                  <c:v>93250</c:v>
                </c:pt>
                <c:pt idx="361">
                  <c:v>96250</c:v>
                </c:pt>
                <c:pt idx="362">
                  <c:v>97875</c:v>
                </c:pt>
                <c:pt idx="363">
                  <c:v>98375</c:v>
                </c:pt>
                <c:pt idx="364">
                  <c:v>96750</c:v>
                </c:pt>
                <c:pt idx="365">
                  <c:v>85125</c:v>
                </c:pt>
                <c:pt idx="366">
                  <c:v>90000</c:v>
                </c:pt>
                <c:pt idx="367">
                  <c:v>87500</c:v>
                </c:pt>
                <c:pt idx="368">
                  <c:v>89625</c:v>
                </c:pt>
                <c:pt idx="369">
                  <c:v>95250</c:v>
                </c:pt>
                <c:pt idx="370">
                  <c:v>98375</c:v>
                </c:pt>
                <c:pt idx="371">
                  <c:v>95875</c:v>
                </c:pt>
                <c:pt idx="372">
                  <c:v>99000</c:v>
                </c:pt>
                <c:pt idx="373">
                  <c:v>100500</c:v>
                </c:pt>
                <c:pt idx="374">
                  <c:v>102125</c:v>
                </c:pt>
                <c:pt idx="375">
                  <c:v>107375</c:v>
                </c:pt>
                <c:pt idx="376">
                  <c:v>103500</c:v>
                </c:pt>
                <c:pt idx="377">
                  <c:v>99000</c:v>
                </c:pt>
                <c:pt idx="378">
                  <c:v>100375</c:v>
                </c:pt>
                <c:pt idx="379">
                  <c:v>99000</c:v>
                </c:pt>
                <c:pt idx="380">
                  <c:v>102000</c:v>
                </c:pt>
                <c:pt idx="381">
                  <c:v>98625</c:v>
                </c:pt>
                <c:pt idx="382">
                  <c:v>93125</c:v>
                </c:pt>
                <c:pt idx="383">
                  <c:v>88750</c:v>
                </c:pt>
                <c:pt idx="384">
                  <c:v>87125</c:v>
                </c:pt>
                <c:pt idx="385">
                  <c:v>86500</c:v>
                </c:pt>
                <c:pt idx="386">
                  <c:v>83000</c:v>
                </c:pt>
                <c:pt idx="387">
                  <c:v>89125</c:v>
                </c:pt>
                <c:pt idx="388">
                  <c:v>85875</c:v>
                </c:pt>
                <c:pt idx="389">
                  <c:v>83625</c:v>
                </c:pt>
                <c:pt idx="390">
                  <c:v>76625</c:v>
                </c:pt>
                <c:pt idx="391">
                  <c:v>71750</c:v>
                </c:pt>
                <c:pt idx="392">
                  <c:v>74375</c:v>
                </c:pt>
                <c:pt idx="393">
                  <c:v>76500</c:v>
                </c:pt>
                <c:pt idx="394">
                  <c:v>71250</c:v>
                </c:pt>
                <c:pt idx="395">
                  <c:v>69625</c:v>
                </c:pt>
                <c:pt idx="396">
                  <c:v>70500</c:v>
                </c:pt>
                <c:pt idx="397">
                  <c:v>72500</c:v>
                </c:pt>
                <c:pt idx="398">
                  <c:v>69000</c:v>
                </c:pt>
                <c:pt idx="399">
                  <c:v>69500</c:v>
                </c:pt>
                <c:pt idx="400">
                  <c:v>65750</c:v>
                </c:pt>
                <c:pt idx="401">
                  <c:v>66625</c:v>
                </c:pt>
                <c:pt idx="402">
                  <c:v>70000</c:v>
                </c:pt>
                <c:pt idx="403">
                  <c:v>71250</c:v>
                </c:pt>
                <c:pt idx="404">
                  <c:v>73125</c:v>
                </c:pt>
                <c:pt idx="405">
                  <c:v>81625</c:v>
                </c:pt>
                <c:pt idx="406">
                  <c:v>85500</c:v>
                </c:pt>
                <c:pt idx="407">
                  <c:v>90000</c:v>
                </c:pt>
                <c:pt idx="408">
                  <c:v>88750</c:v>
                </c:pt>
                <c:pt idx="409">
                  <c:v>87875</c:v>
                </c:pt>
                <c:pt idx="410">
                  <c:v>88375</c:v>
                </c:pt>
                <c:pt idx="411">
                  <c:v>89375</c:v>
                </c:pt>
                <c:pt idx="412">
                  <c:v>85875</c:v>
                </c:pt>
                <c:pt idx="413">
                  <c:v>84875</c:v>
                </c:pt>
                <c:pt idx="414">
                  <c:v>84500</c:v>
                </c:pt>
                <c:pt idx="415">
                  <c:v>86000</c:v>
                </c:pt>
                <c:pt idx="416">
                  <c:v>89625</c:v>
                </c:pt>
                <c:pt idx="417">
                  <c:v>94375</c:v>
                </c:pt>
                <c:pt idx="418">
                  <c:v>94000</c:v>
                </c:pt>
                <c:pt idx="419">
                  <c:v>93250</c:v>
                </c:pt>
                <c:pt idx="420">
                  <c:v>90875</c:v>
                </c:pt>
                <c:pt idx="421">
                  <c:v>87750</c:v>
                </c:pt>
                <c:pt idx="422">
                  <c:v>85875</c:v>
                </c:pt>
                <c:pt idx="423">
                  <c:v>81375</c:v>
                </c:pt>
                <c:pt idx="424">
                  <c:v>80375</c:v>
                </c:pt>
                <c:pt idx="425">
                  <c:v>75125</c:v>
                </c:pt>
                <c:pt idx="426">
                  <c:v>71125</c:v>
                </c:pt>
                <c:pt idx="427">
                  <c:v>70625</c:v>
                </c:pt>
                <c:pt idx="428">
                  <c:v>69625</c:v>
                </c:pt>
                <c:pt idx="429">
                  <c:v>72875</c:v>
                </c:pt>
                <c:pt idx="430">
                  <c:v>70875</c:v>
                </c:pt>
                <c:pt idx="431">
                  <c:v>73750</c:v>
                </c:pt>
                <c:pt idx="432">
                  <c:v>71000</c:v>
                </c:pt>
                <c:pt idx="433">
                  <c:v>70375</c:v>
                </c:pt>
                <c:pt idx="434">
                  <c:v>71375</c:v>
                </c:pt>
                <c:pt idx="435">
                  <c:v>75625</c:v>
                </c:pt>
                <c:pt idx="436">
                  <c:v>79750</c:v>
                </c:pt>
                <c:pt idx="437">
                  <c:v>83750</c:v>
                </c:pt>
                <c:pt idx="438">
                  <c:v>87250</c:v>
                </c:pt>
                <c:pt idx="439">
                  <c:v>84000</c:v>
                </c:pt>
                <c:pt idx="440">
                  <c:v>89500</c:v>
                </c:pt>
                <c:pt idx="441">
                  <c:v>80125</c:v>
                </c:pt>
                <c:pt idx="442">
                  <c:v>77250</c:v>
                </c:pt>
                <c:pt idx="443">
                  <c:v>84250</c:v>
                </c:pt>
                <c:pt idx="444">
                  <c:v>91875</c:v>
                </c:pt>
                <c:pt idx="445">
                  <c:v>95125</c:v>
                </c:pt>
                <c:pt idx="446">
                  <c:v>92000</c:v>
                </c:pt>
                <c:pt idx="447">
                  <c:v>94875</c:v>
                </c:pt>
                <c:pt idx="448">
                  <c:v>95500</c:v>
                </c:pt>
                <c:pt idx="449">
                  <c:v>95625</c:v>
                </c:pt>
                <c:pt idx="450">
                  <c:v>100125</c:v>
                </c:pt>
                <c:pt idx="451">
                  <c:v>102750</c:v>
                </c:pt>
                <c:pt idx="452">
                  <c:v>104250</c:v>
                </c:pt>
                <c:pt idx="453">
                  <c:v>100750</c:v>
                </c:pt>
                <c:pt idx="454">
                  <c:v>102625</c:v>
                </c:pt>
                <c:pt idx="455">
                  <c:v>101375</c:v>
                </c:pt>
                <c:pt idx="456">
                  <c:v>105375</c:v>
                </c:pt>
                <c:pt idx="457">
                  <c:v>84875</c:v>
                </c:pt>
                <c:pt idx="458">
                  <c:v>84875</c:v>
                </c:pt>
                <c:pt idx="459">
                  <c:v>60375</c:v>
                </c:pt>
                <c:pt idx="460">
                  <c:v>54750</c:v>
                </c:pt>
                <c:pt idx="461">
                  <c:v>57000</c:v>
                </c:pt>
                <c:pt idx="462">
                  <c:v>53500</c:v>
                </c:pt>
                <c:pt idx="463">
                  <c:v>52000</c:v>
                </c:pt>
                <c:pt idx="464">
                  <c:v>53625</c:v>
                </c:pt>
                <c:pt idx="465">
                  <c:v>59000</c:v>
                </c:pt>
                <c:pt idx="466">
                  <c:v>59875</c:v>
                </c:pt>
                <c:pt idx="467">
                  <c:v>63875</c:v>
                </c:pt>
                <c:pt idx="468">
                  <c:v>65500</c:v>
                </c:pt>
                <c:pt idx="469">
                  <c:v>61750</c:v>
                </c:pt>
                <c:pt idx="470">
                  <c:v>67375</c:v>
                </c:pt>
                <c:pt idx="471">
                  <c:v>67000</c:v>
                </c:pt>
                <c:pt idx="472">
                  <c:v>60250</c:v>
                </c:pt>
                <c:pt idx="473">
                  <c:v>62375</c:v>
                </c:pt>
                <c:pt idx="474">
                  <c:v>59875</c:v>
                </c:pt>
                <c:pt idx="475">
                  <c:v>57500</c:v>
                </c:pt>
                <c:pt idx="476">
                  <c:v>56125</c:v>
                </c:pt>
                <c:pt idx="477">
                  <c:v>59125</c:v>
                </c:pt>
                <c:pt idx="478">
                  <c:v>59375</c:v>
                </c:pt>
                <c:pt idx="479">
                  <c:v>77875</c:v>
                </c:pt>
                <c:pt idx="480">
                  <c:v>80125</c:v>
                </c:pt>
                <c:pt idx="481">
                  <c:v>79250</c:v>
                </c:pt>
                <c:pt idx="482">
                  <c:v>86000</c:v>
                </c:pt>
                <c:pt idx="483">
                  <c:v>86875</c:v>
                </c:pt>
                <c:pt idx="484">
                  <c:v>77250</c:v>
                </c:pt>
                <c:pt idx="485">
                  <c:v>77250</c:v>
                </c:pt>
                <c:pt idx="486">
                  <c:v>74000</c:v>
                </c:pt>
                <c:pt idx="487">
                  <c:v>86250</c:v>
                </c:pt>
                <c:pt idx="488">
                  <c:v>82250</c:v>
                </c:pt>
                <c:pt idx="489">
                  <c:v>90750</c:v>
                </c:pt>
                <c:pt idx="490">
                  <c:v>88500</c:v>
                </c:pt>
                <c:pt idx="491">
                  <c:v>87625</c:v>
                </c:pt>
                <c:pt idx="492">
                  <c:v>84125</c:v>
                </c:pt>
                <c:pt idx="493">
                  <c:v>89125</c:v>
                </c:pt>
                <c:pt idx="494">
                  <c:v>86875</c:v>
                </c:pt>
                <c:pt idx="495">
                  <c:v>81375</c:v>
                </c:pt>
                <c:pt idx="496">
                  <c:v>91000</c:v>
                </c:pt>
                <c:pt idx="497">
                  <c:v>94250</c:v>
                </c:pt>
                <c:pt idx="498">
                  <c:v>92625</c:v>
                </c:pt>
                <c:pt idx="499">
                  <c:v>95625</c:v>
                </c:pt>
                <c:pt idx="500">
                  <c:v>95375</c:v>
                </c:pt>
                <c:pt idx="501">
                  <c:v>89375</c:v>
                </c:pt>
                <c:pt idx="502">
                  <c:v>94250</c:v>
                </c:pt>
                <c:pt idx="503">
                  <c:v>92375</c:v>
                </c:pt>
                <c:pt idx="504">
                  <c:v>90625</c:v>
                </c:pt>
                <c:pt idx="505">
                  <c:v>93625</c:v>
                </c:pt>
                <c:pt idx="506">
                  <c:v>93625</c:v>
                </c:pt>
                <c:pt idx="507">
                  <c:v>95750</c:v>
                </c:pt>
                <c:pt idx="508">
                  <c:v>87625</c:v>
                </c:pt>
                <c:pt idx="509">
                  <c:v>91000</c:v>
                </c:pt>
                <c:pt idx="510">
                  <c:v>87750</c:v>
                </c:pt>
                <c:pt idx="511">
                  <c:v>85125</c:v>
                </c:pt>
                <c:pt idx="512">
                  <c:v>90250</c:v>
                </c:pt>
                <c:pt idx="513">
                  <c:v>95125</c:v>
                </c:pt>
                <c:pt idx="514">
                  <c:v>98125</c:v>
                </c:pt>
                <c:pt idx="515">
                  <c:v>103625</c:v>
                </c:pt>
                <c:pt idx="516">
                  <c:v>99750</c:v>
                </c:pt>
                <c:pt idx="517">
                  <c:v>96000</c:v>
                </c:pt>
                <c:pt idx="518">
                  <c:v>89875</c:v>
                </c:pt>
                <c:pt idx="519">
                  <c:v>91375</c:v>
                </c:pt>
                <c:pt idx="520">
                  <c:v>94875</c:v>
                </c:pt>
                <c:pt idx="521">
                  <c:v>97375</c:v>
                </c:pt>
                <c:pt idx="522">
                  <c:v>95500</c:v>
                </c:pt>
                <c:pt idx="523">
                  <c:v>91125</c:v>
                </c:pt>
                <c:pt idx="524">
                  <c:v>98375</c:v>
                </c:pt>
                <c:pt idx="525">
                  <c:v>102125</c:v>
                </c:pt>
                <c:pt idx="526">
                  <c:v>106375</c:v>
                </c:pt>
                <c:pt idx="527">
                  <c:v>109875</c:v>
                </c:pt>
                <c:pt idx="528">
                  <c:v>115125</c:v>
                </c:pt>
                <c:pt idx="529">
                  <c:v>117500</c:v>
                </c:pt>
                <c:pt idx="530">
                  <c:v>122000</c:v>
                </c:pt>
                <c:pt idx="531">
                  <c:v>116125</c:v>
                </c:pt>
                <c:pt idx="532">
                  <c:v>110250</c:v>
                </c:pt>
                <c:pt idx="533">
                  <c:v>114000</c:v>
                </c:pt>
                <c:pt idx="534">
                  <c:v>111250</c:v>
                </c:pt>
                <c:pt idx="535">
                  <c:v>112125</c:v>
                </c:pt>
                <c:pt idx="536">
                  <c:v>113875</c:v>
                </c:pt>
                <c:pt idx="537">
                  <c:v>112500</c:v>
                </c:pt>
                <c:pt idx="538">
                  <c:v>103750</c:v>
                </c:pt>
                <c:pt idx="539">
                  <c:v>96125</c:v>
                </c:pt>
                <c:pt idx="540">
                  <c:v>89750</c:v>
                </c:pt>
                <c:pt idx="541">
                  <c:v>88875</c:v>
                </c:pt>
                <c:pt idx="542">
                  <c:v>86125</c:v>
                </c:pt>
                <c:pt idx="543">
                  <c:v>88125</c:v>
                </c:pt>
                <c:pt idx="544">
                  <c:v>91250</c:v>
                </c:pt>
                <c:pt idx="545">
                  <c:v>85500</c:v>
                </c:pt>
                <c:pt idx="546">
                  <c:v>80875</c:v>
                </c:pt>
                <c:pt idx="547">
                  <c:v>76125</c:v>
                </c:pt>
                <c:pt idx="548">
                  <c:v>77625</c:v>
                </c:pt>
                <c:pt idx="549">
                  <c:v>76125</c:v>
                </c:pt>
                <c:pt idx="550">
                  <c:v>77375</c:v>
                </c:pt>
                <c:pt idx="551">
                  <c:v>75625</c:v>
                </c:pt>
                <c:pt idx="552">
                  <c:v>78750</c:v>
                </c:pt>
                <c:pt idx="553">
                  <c:v>71125</c:v>
                </c:pt>
                <c:pt idx="554">
                  <c:v>73000</c:v>
                </c:pt>
                <c:pt idx="555">
                  <c:v>81125</c:v>
                </c:pt>
                <c:pt idx="556">
                  <c:v>78500</c:v>
                </c:pt>
                <c:pt idx="557">
                  <c:v>86500</c:v>
                </c:pt>
                <c:pt idx="558">
                  <c:v>85000</c:v>
                </c:pt>
                <c:pt idx="559">
                  <c:v>91125</c:v>
                </c:pt>
                <c:pt idx="560">
                  <c:v>87125</c:v>
                </c:pt>
                <c:pt idx="561">
                  <c:v>90750</c:v>
                </c:pt>
                <c:pt idx="562">
                  <c:v>102375</c:v>
                </c:pt>
                <c:pt idx="563">
                  <c:v>94125</c:v>
                </c:pt>
                <c:pt idx="564">
                  <c:v>92625</c:v>
                </c:pt>
                <c:pt idx="565">
                  <c:v>91750</c:v>
                </c:pt>
                <c:pt idx="566">
                  <c:v>86250</c:v>
                </c:pt>
                <c:pt idx="567">
                  <c:v>87125</c:v>
                </c:pt>
                <c:pt idx="568">
                  <c:v>89375</c:v>
                </c:pt>
                <c:pt idx="569">
                  <c:v>84125</c:v>
                </c:pt>
                <c:pt idx="570">
                  <c:v>88125</c:v>
                </c:pt>
                <c:pt idx="571">
                  <c:v>80250</c:v>
                </c:pt>
                <c:pt idx="572">
                  <c:v>79000</c:v>
                </c:pt>
                <c:pt idx="573">
                  <c:v>79875</c:v>
                </c:pt>
                <c:pt idx="574">
                  <c:v>75375</c:v>
                </c:pt>
                <c:pt idx="575">
                  <c:v>75250</c:v>
                </c:pt>
                <c:pt idx="576">
                  <c:v>73375</c:v>
                </c:pt>
                <c:pt idx="577">
                  <c:v>73000</c:v>
                </c:pt>
                <c:pt idx="578">
                  <c:v>72250</c:v>
                </c:pt>
                <c:pt idx="579">
                  <c:v>73750</c:v>
                </c:pt>
                <c:pt idx="580">
                  <c:v>70750</c:v>
                </c:pt>
                <c:pt idx="581">
                  <c:v>71250</c:v>
                </c:pt>
                <c:pt idx="582">
                  <c:v>69375</c:v>
                </c:pt>
                <c:pt idx="583">
                  <c:v>73375</c:v>
                </c:pt>
                <c:pt idx="584">
                  <c:v>72750</c:v>
                </c:pt>
                <c:pt idx="585">
                  <c:v>72375</c:v>
                </c:pt>
                <c:pt idx="586">
                  <c:v>67500</c:v>
                </c:pt>
                <c:pt idx="587">
                  <c:v>63875</c:v>
                </c:pt>
                <c:pt idx="588">
                  <c:v>64875</c:v>
                </c:pt>
                <c:pt idx="589">
                  <c:v>65875</c:v>
                </c:pt>
                <c:pt idx="590">
                  <c:v>67000</c:v>
                </c:pt>
                <c:pt idx="591">
                  <c:v>69125</c:v>
                </c:pt>
                <c:pt idx="592">
                  <c:v>66000</c:v>
                </c:pt>
                <c:pt idx="593">
                  <c:v>67000</c:v>
                </c:pt>
                <c:pt idx="594">
                  <c:v>64125</c:v>
                </c:pt>
                <c:pt idx="595">
                  <c:v>62375</c:v>
                </c:pt>
                <c:pt idx="596">
                  <c:v>66625</c:v>
                </c:pt>
                <c:pt idx="597">
                  <c:v>66375</c:v>
                </c:pt>
                <c:pt idx="598">
                  <c:v>66375</c:v>
                </c:pt>
                <c:pt idx="599">
                  <c:v>66750</c:v>
                </c:pt>
                <c:pt idx="600">
                  <c:v>66875</c:v>
                </c:pt>
                <c:pt idx="601">
                  <c:v>65375</c:v>
                </c:pt>
                <c:pt idx="602">
                  <c:v>66875</c:v>
                </c:pt>
                <c:pt idx="603">
                  <c:v>65125</c:v>
                </c:pt>
                <c:pt idx="604">
                  <c:v>65500</c:v>
                </c:pt>
                <c:pt idx="605">
                  <c:v>60875</c:v>
                </c:pt>
                <c:pt idx="606">
                  <c:v>60625</c:v>
                </c:pt>
                <c:pt idx="607">
                  <c:v>60625</c:v>
                </c:pt>
                <c:pt idx="608">
                  <c:v>58875</c:v>
                </c:pt>
                <c:pt idx="609">
                  <c:v>59125</c:v>
                </c:pt>
                <c:pt idx="610">
                  <c:v>58625</c:v>
                </c:pt>
                <c:pt idx="611">
                  <c:v>57625</c:v>
                </c:pt>
                <c:pt idx="612">
                  <c:v>55875</c:v>
                </c:pt>
                <c:pt idx="613">
                  <c:v>55875</c:v>
                </c:pt>
                <c:pt idx="614">
                  <c:v>57625</c:v>
                </c:pt>
                <c:pt idx="615">
                  <c:v>62250</c:v>
                </c:pt>
                <c:pt idx="616">
                  <c:v>60375</c:v>
                </c:pt>
                <c:pt idx="617">
                  <c:v>58250</c:v>
                </c:pt>
                <c:pt idx="618">
                  <c:v>57375</c:v>
                </c:pt>
                <c:pt idx="619">
                  <c:v>51875</c:v>
                </c:pt>
                <c:pt idx="620">
                  <c:v>53000</c:v>
                </c:pt>
                <c:pt idx="621">
                  <c:v>54000</c:v>
                </c:pt>
                <c:pt idx="622">
                  <c:v>56125</c:v>
                </c:pt>
                <c:pt idx="623">
                  <c:v>56125</c:v>
                </c:pt>
                <c:pt idx="624">
                  <c:v>56750</c:v>
                </c:pt>
                <c:pt idx="625">
                  <c:v>54125</c:v>
                </c:pt>
                <c:pt idx="626">
                  <c:v>54000</c:v>
                </c:pt>
                <c:pt idx="627">
                  <c:v>52750</c:v>
                </c:pt>
                <c:pt idx="628">
                  <c:v>53000</c:v>
                </c:pt>
                <c:pt idx="629">
                  <c:v>55625</c:v>
                </c:pt>
                <c:pt idx="630">
                  <c:v>57375</c:v>
                </c:pt>
                <c:pt idx="631">
                  <c:v>57125</c:v>
                </c:pt>
                <c:pt idx="632">
                  <c:v>56000</c:v>
                </c:pt>
                <c:pt idx="633">
                  <c:v>59125</c:v>
                </c:pt>
                <c:pt idx="634">
                  <c:v>58875</c:v>
                </c:pt>
                <c:pt idx="635">
                  <c:v>60875</c:v>
                </c:pt>
                <c:pt idx="636">
                  <c:v>58000</c:v>
                </c:pt>
                <c:pt idx="637">
                  <c:v>54625</c:v>
                </c:pt>
                <c:pt idx="638">
                  <c:v>54000</c:v>
                </c:pt>
                <c:pt idx="639">
                  <c:v>55000</c:v>
                </c:pt>
                <c:pt idx="640">
                  <c:v>54000</c:v>
                </c:pt>
                <c:pt idx="641">
                  <c:v>56125</c:v>
                </c:pt>
                <c:pt idx="642">
                  <c:v>57750</c:v>
                </c:pt>
                <c:pt idx="643">
                  <c:v>58625</c:v>
                </c:pt>
                <c:pt idx="644">
                  <c:v>58750</c:v>
                </c:pt>
                <c:pt idx="645">
                  <c:v>55125</c:v>
                </c:pt>
                <c:pt idx="646">
                  <c:v>55000</c:v>
                </c:pt>
                <c:pt idx="647">
                  <c:v>53250</c:v>
                </c:pt>
                <c:pt idx="648">
                  <c:v>52750</c:v>
                </c:pt>
                <c:pt idx="649">
                  <c:v>50750</c:v>
                </c:pt>
                <c:pt idx="650">
                  <c:v>53250</c:v>
                </c:pt>
                <c:pt idx="651">
                  <c:v>54750</c:v>
                </c:pt>
                <c:pt idx="652">
                  <c:v>54875</c:v>
                </c:pt>
                <c:pt idx="653">
                  <c:v>50875</c:v>
                </c:pt>
                <c:pt idx="654">
                  <c:v>47125</c:v>
                </c:pt>
                <c:pt idx="655">
                  <c:v>55750</c:v>
                </c:pt>
                <c:pt idx="656">
                  <c:v>58625</c:v>
                </c:pt>
                <c:pt idx="657">
                  <c:v>56875</c:v>
                </c:pt>
                <c:pt idx="658">
                  <c:v>54750</c:v>
                </c:pt>
                <c:pt idx="659">
                  <c:v>54750</c:v>
                </c:pt>
                <c:pt idx="660">
                  <c:v>53375</c:v>
                </c:pt>
                <c:pt idx="661">
                  <c:v>53250</c:v>
                </c:pt>
                <c:pt idx="662">
                  <c:v>54500</c:v>
                </c:pt>
                <c:pt idx="663">
                  <c:v>56125</c:v>
                </c:pt>
                <c:pt idx="664">
                  <c:v>56250</c:v>
                </c:pt>
                <c:pt idx="665">
                  <c:v>57375</c:v>
                </c:pt>
                <c:pt idx="666">
                  <c:v>57750</c:v>
                </c:pt>
                <c:pt idx="667">
                  <c:v>55375</c:v>
                </c:pt>
                <c:pt idx="668">
                  <c:v>58000</c:v>
                </c:pt>
                <c:pt idx="669">
                  <c:v>57375</c:v>
                </c:pt>
                <c:pt idx="670">
                  <c:v>59500</c:v>
                </c:pt>
                <c:pt idx="671">
                  <c:v>61875</c:v>
                </c:pt>
                <c:pt idx="672">
                  <c:v>63250</c:v>
                </c:pt>
                <c:pt idx="673">
                  <c:v>62875</c:v>
                </c:pt>
                <c:pt idx="674">
                  <c:v>63250</c:v>
                </c:pt>
                <c:pt idx="675">
                  <c:v>62000</c:v>
                </c:pt>
                <c:pt idx="676">
                  <c:v>62375</c:v>
                </c:pt>
                <c:pt idx="677">
                  <c:v>61500</c:v>
                </c:pt>
                <c:pt idx="678">
                  <c:v>61125</c:v>
                </c:pt>
                <c:pt idx="679">
                  <c:v>63500</c:v>
                </c:pt>
                <c:pt idx="680">
                  <c:v>65625</c:v>
                </c:pt>
                <c:pt idx="681">
                  <c:v>68125</c:v>
                </c:pt>
                <c:pt idx="682">
                  <c:v>69125</c:v>
                </c:pt>
                <c:pt idx="683">
                  <c:v>68875</c:v>
                </c:pt>
                <c:pt idx="684">
                  <c:v>66625</c:v>
                </c:pt>
                <c:pt idx="685">
                  <c:v>67875</c:v>
                </c:pt>
                <c:pt idx="686">
                  <c:v>70375</c:v>
                </c:pt>
                <c:pt idx="687">
                  <c:v>66875</c:v>
                </c:pt>
                <c:pt idx="688">
                  <c:v>70250</c:v>
                </c:pt>
                <c:pt idx="689">
                  <c:v>71625</c:v>
                </c:pt>
                <c:pt idx="690">
                  <c:v>78000</c:v>
                </c:pt>
                <c:pt idx="691">
                  <c:v>78500</c:v>
                </c:pt>
                <c:pt idx="692">
                  <c:v>85125</c:v>
                </c:pt>
                <c:pt idx="693">
                  <c:v>82750</c:v>
                </c:pt>
                <c:pt idx="694">
                  <c:v>77750</c:v>
                </c:pt>
                <c:pt idx="695">
                  <c:v>80250</c:v>
                </c:pt>
                <c:pt idx="696">
                  <c:v>83500</c:v>
                </c:pt>
                <c:pt idx="697">
                  <c:v>83125</c:v>
                </c:pt>
                <c:pt idx="698">
                  <c:v>81125</c:v>
                </c:pt>
                <c:pt idx="699">
                  <c:v>80125</c:v>
                </c:pt>
                <c:pt idx="700">
                  <c:v>83250</c:v>
                </c:pt>
                <c:pt idx="701">
                  <c:v>84875</c:v>
                </c:pt>
                <c:pt idx="702">
                  <c:v>79375</c:v>
                </c:pt>
                <c:pt idx="703">
                  <c:v>80125</c:v>
                </c:pt>
                <c:pt idx="704">
                  <c:v>84375</c:v>
                </c:pt>
                <c:pt idx="705">
                  <c:v>82875</c:v>
                </c:pt>
                <c:pt idx="706">
                  <c:v>81750</c:v>
                </c:pt>
                <c:pt idx="707">
                  <c:v>85750</c:v>
                </c:pt>
                <c:pt idx="708">
                  <c:v>86750</c:v>
                </c:pt>
                <c:pt idx="709">
                  <c:v>90500</c:v>
                </c:pt>
                <c:pt idx="710">
                  <c:v>93875</c:v>
                </c:pt>
                <c:pt idx="711">
                  <c:v>87125</c:v>
                </c:pt>
                <c:pt idx="712">
                  <c:v>88500</c:v>
                </c:pt>
                <c:pt idx="713">
                  <c:v>89625</c:v>
                </c:pt>
                <c:pt idx="714">
                  <c:v>89000</c:v>
                </c:pt>
                <c:pt idx="715">
                  <c:v>93375</c:v>
                </c:pt>
                <c:pt idx="716">
                  <c:v>92125</c:v>
                </c:pt>
                <c:pt idx="717">
                  <c:v>91125</c:v>
                </c:pt>
                <c:pt idx="718">
                  <c:v>89500</c:v>
                </c:pt>
                <c:pt idx="719">
                  <c:v>92000</c:v>
                </c:pt>
                <c:pt idx="720">
                  <c:v>91375</c:v>
                </c:pt>
                <c:pt idx="721">
                  <c:v>88250</c:v>
                </c:pt>
                <c:pt idx="722">
                  <c:v>86750</c:v>
                </c:pt>
                <c:pt idx="723">
                  <c:v>87375</c:v>
                </c:pt>
                <c:pt idx="724">
                  <c:v>83625</c:v>
                </c:pt>
                <c:pt idx="725">
                  <c:v>89000</c:v>
                </c:pt>
                <c:pt idx="726">
                  <c:v>91250</c:v>
                </c:pt>
                <c:pt idx="727">
                  <c:v>90625</c:v>
                </c:pt>
                <c:pt idx="728">
                  <c:v>93500</c:v>
                </c:pt>
                <c:pt idx="729">
                  <c:v>94375</c:v>
                </c:pt>
                <c:pt idx="730">
                  <c:v>97125</c:v>
                </c:pt>
                <c:pt idx="731">
                  <c:v>96500</c:v>
                </c:pt>
                <c:pt idx="732">
                  <c:v>91750</c:v>
                </c:pt>
                <c:pt idx="733">
                  <c:v>86375</c:v>
                </c:pt>
                <c:pt idx="734">
                  <c:v>91750</c:v>
                </c:pt>
                <c:pt idx="735">
                  <c:v>96625</c:v>
                </c:pt>
                <c:pt idx="736">
                  <c:v>93625</c:v>
                </c:pt>
                <c:pt idx="737">
                  <c:v>96625</c:v>
                </c:pt>
                <c:pt idx="738">
                  <c:v>93375</c:v>
                </c:pt>
                <c:pt idx="739">
                  <c:v>88875</c:v>
                </c:pt>
                <c:pt idx="740">
                  <c:v>89875</c:v>
                </c:pt>
                <c:pt idx="741">
                  <c:v>87250</c:v>
                </c:pt>
                <c:pt idx="742">
                  <c:v>81250</c:v>
                </c:pt>
                <c:pt idx="743">
                  <c:v>80250</c:v>
                </c:pt>
                <c:pt idx="744">
                  <c:v>77750</c:v>
                </c:pt>
                <c:pt idx="745">
                  <c:v>76250</c:v>
                </c:pt>
                <c:pt idx="746">
                  <c:v>76375</c:v>
                </c:pt>
                <c:pt idx="747">
                  <c:v>77000</c:v>
                </c:pt>
                <c:pt idx="748">
                  <c:v>77875</c:v>
                </c:pt>
                <c:pt idx="749">
                  <c:v>74375</c:v>
                </c:pt>
                <c:pt idx="750">
                  <c:v>75125</c:v>
                </c:pt>
                <c:pt idx="751">
                  <c:v>73500</c:v>
                </c:pt>
                <c:pt idx="752">
                  <c:v>72625</c:v>
                </c:pt>
                <c:pt idx="753">
                  <c:v>72625</c:v>
                </c:pt>
                <c:pt idx="754">
                  <c:v>67875</c:v>
                </c:pt>
                <c:pt idx="755">
                  <c:v>67375</c:v>
                </c:pt>
                <c:pt idx="756">
                  <c:v>64375</c:v>
                </c:pt>
                <c:pt idx="757">
                  <c:v>67625</c:v>
                </c:pt>
                <c:pt idx="758">
                  <c:v>62875</c:v>
                </c:pt>
                <c:pt idx="759">
                  <c:v>62375</c:v>
                </c:pt>
                <c:pt idx="760">
                  <c:v>59250</c:v>
                </c:pt>
                <c:pt idx="761">
                  <c:v>60375</c:v>
                </c:pt>
                <c:pt idx="762">
                  <c:v>61625</c:v>
                </c:pt>
                <c:pt idx="763">
                  <c:v>59875</c:v>
                </c:pt>
                <c:pt idx="764">
                  <c:v>58625</c:v>
                </c:pt>
                <c:pt idx="765">
                  <c:v>60375</c:v>
                </c:pt>
                <c:pt idx="766">
                  <c:v>64125</c:v>
                </c:pt>
                <c:pt idx="767">
                  <c:v>65250</c:v>
                </c:pt>
                <c:pt idx="768">
                  <c:v>61875</c:v>
                </c:pt>
                <c:pt idx="769">
                  <c:v>60500</c:v>
                </c:pt>
                <c:pt idx="770">
                  <c:v>59375</c:v>
                </c:pt>
                <c:pt idx="771">
                  <c:v>61500</c:v>
                </c:pt>
                <c:pt idx="772">
                  <c:v>59875</c:v>
                </c:pt>
                <c:pt idx="773">
                  <c:v>51625</c:v>
                </c:pt>
                <c:pt idx="774">
                  <c:v>50000</c:v>
                </c:pt>
                <c:pt idx="775">
                  <c:v>48250</c:v>
                </c:pt>
                <c:pt idx="776">
                  <c:v>47750</c:v>
                </c:pt>
                <c:pt idx="777">
                  <c:v>43750</c:v>
                </c:pt>
                <c:pt idx="778">
                  <c:v>43500</c:v>
                </c:pt>
                <c:pt idx="779">
                  <c:v>41375</c:v>
                </c:pt>
                <c:pt idx="780">
                  <c:v>39750</c:v>
                </c:pt>
                <c:pt idx="781">
                  <c:v>36750</c:v>
                </c:pt>
                <c:pt idx="782">
                  <c:v>40500</c:v>
                </c:pt>
                <c:pt idx="783">
                  <c:v>37375</c:v>
                </c:pt>
                <c:pt idx="784">
                  <c:v>38000</c:v>
                </c:pt>
                <c:pt idx="785">
                  <c:v>39750</c:v>
                </c:pt>
                <c:pt idx="786">
                  <c:v>36000</c:v>
                </c:pt>
                <c:pt idx="787">
                  <c:v>32500</c:v>
                </c:pt>
                <c:pt idx="788">
                  <c:v>30500</c:v>
                </c:pt>
                <c:pt idx="789">
                  <c:v>31000</c:v>
                </c:pt>
                <c:pt idx="790">
                  <c:v>30250</c:v>
                </c:pt>
                <c:pt idx="791">
                  <c:v>31125</c:v>
                </c:pt>
                <c:pt idx="792">
                  <c:v>34000</c:v>
                </c:pt>
                <c:pt idx="793">
                  <c:v>30500</c:v>
                </c:pt>
                <c:pt idx="794">
                  <c:v>30250</c:v>
                </c:pt>
                <c:pt idx="795">
                  <c:v>28875</c:v>
                </c:pt>
                <c:pt idx="796">
                  <c:v>27000</c:v>
                </c:pt>
                <c:pt idx="797">
                  <c:v>29625</c:v>
                </c:pt>
                <c:pt idx="798">
                  <c:v>27375</c:v>
                </c:pt>
                <c:pt idx="799">
                  <c:v>30875</c:v>
                </c:pt>
                <c:pt idx="800">
                  <c:v>28875</c:v>
                </c:pt>
                <c:pt idx="801">
                  <c:v>26000</c:v>
                </c:pt>
                <c:pt idx="802">
                  <c:v>27750</c:v>
                </c:pt>
                <c:pt idx="803">
                  <c:v>29500</c:v>
                </c:pt>
                <c:pt idx="804">
                  <c:v>29125</c:v>
                </c:pt>
                <c:pt idx="805">
                  <c:v>31000</c:v>
                </c:pt>
                <c:pt idx="806">
                  <c:v>32875</c:v>
                </c:pt>
                <c:pt idx="807">
                  <c:v>30625</c:v>
                </c:pt>
                <c:pt idx="808">
                  <c:v>30750</c:v>
                </c:pt>
                <c:pt idx="809">
                  <c:v>29250</c:v>
                </c:pt>
                <c:pt idx="810">
                  <c:v>31500</c:v>
                </c:pt>
                <c:pt idx="811">
                  <c:v>33125</c:v>
                </c:pt>
                <c:pt idx="812">
                  <c:v>30125</c:v>
                </c:pt>
                <c:pt idx="813">
                  <c:v>27375</c:v>
                </c:pt>
                <c:pt idx="814">
                  <c:v>27375</c:v>
                </c:pt>
                <c:pt idx="815">
                  <c:v>30125</c:v>
                </c:pt>
                <c:pt idx="816">
                  <c:v>28375</c:v>
                </c:pt>
                <c:pt idx="817">
                  <c:v>27875</c:v>
                </c:pt>
                <c:pt idx="818">
                  <c:v>21250</c:v>
                </c:pt>
                <c:pt idx="819">
                  <c:v>18000</c:v>
                </c:pt>
                <c:pt idx="820">
                  <c:v>22625</c:v>
                </c:pt>
                <c:pt idx="821">
                  <c:v>19250</c:v>
                </c:pt>
                <c:pt idx="822">
                  <c:v>18000</c:v>
                </c:pt>
                <c:pt idx="823">
                  <c:v>19875</c:v>
                </c:pt>
                <c:pt idx="824">
                  <c:v>16125</c:v>
                </c:pt>
                <c:pt idx="825">
                  <c:v>15750</c:v>
                </c:pt>
                <c:pt idx="826">
                  <c:v>18000</c:v>
                </c:pt>
                <c:pt idx="827">
                  <c:v>18875</c:v>
                </c:pt>
                <c:pt idx="828">
                  <c:v>17250</c:v>
                </c:pt>
                <c:pt idx="829">
                  <c:v>15875</c:v>
                </c:pt>
                <c:pt idx="830">
                  <c:v>12875</c:v>
                </c:pt>
                <c:pt idx="831">
                  <c:v>11750</c:v>
                </c:pt>
                <c:pt idx="832">
                  <c:v>9375</c:v>
                </c:pt>
                <c:pt idx="833">
                  <c:v>11250</c:v>
                </c:pt>
                <c:pt idx="834">
                  <c:v>9500</c:v>
                </c:pt>
                <c:pt idx="835">
                  <c:v>8250</c:v>
                </c:pt>
                <c:pt idx="836">
                  <c:v>9250</c:v>
                </c:pt>
                <c:pt idx="837">
                  <c:v>7375</c:v>
                </c:pt>
                <c:pt idx="838">
                  <c:v>7125</c:v>
                </c:pt>
                <c:pt idx="839">
                  <c:v>7250</c:v>
                </c:pt>
                <c:pt idx="840">
                  <c:v>8000</c:v>
                </c:pt>
                <c:pt idx="841">
                  <c:v>12500</c:v>
                </c:pt>
                <c:pt idx="842">
                  <c:v>16250</c:v>
                </c:pt>
                <c:pt idx="843">
                  <c:v>17625</c:v>
                </c:pt>
                <c:pt idx="844">
                  <c:v>19250</c:v>
                </c:pt>
                <c:pt idx="845">
                  <c:v>12875</c:v>
                </c:pt>
                <c:pt idx="846">
                  <c:v>23875</c:v>
                </c:pt>
                <c:pt idx="847">
                  <c:v>20750</c:v>
                </c:pt>
                <c:pt idx="848">
                  <c:v>22125</c:v>
                </c:pt>
                <c:pt idx="849">
                  <c:v>20375</c:v>
                </c:pt>
                <c:pt idx="850">
                  <c:v>20125</c:v>
                </c:pt>
                <c:pt idx="851">
                  <c:v>24875</c:v>
                </c:pt>
                <c:pt idx="852">
                  <c:v>23250</c:v>
                </c:pt>
                <c:pt idx="853">
                  <c:v>26125</c:v>
                </c:pt>
                <c:pt idx="854">
                  <c:v>23125</c:v>
                </c:pt>
                <c:pt idx="855">
                  <c:v>26875</c:v>
                </c:pt>
                <c:pt idx="856">
                  <c:v>28625</c:v>
                </c:pt>
                <c:pt idx="857">
                  <c:v>32875</c:v>
                </c:pt>
                <c:pt idx="858">
                  <c:v>34375</c:v>
                </c:pt>
                <c:pt idx="859">
                  <c:v>32875</c:v>
                </c:pt>
                <c:pt idx="860">
                  <c:v>32250</c:v>
                </c:pt>
                <c:pt idx="861">
                  <c:v>29375</c:v>
                </c:pt>
                <c:pt idx="862">
                  <c:v>31125</c:v>
                </c:pt>
                <c:pt idx="863">
                  <c:v>32375</c:v>
                </c:pt>
                <c:pt idx="864">
                  <c:v>30625</c:v>
                </c:pt>
                <c:pt idx="865">
                  <c:v>31875</c:v>
                </c:pt>
                <c:pt idx="866">
                  <c:v>35500</c:v>
                </c:pt>
                <c:pt idx="867">
                  <c:v>38125</c:v>
                </c:pt>
                <c:pt idx="868">
                  <c:v>38125</c:v>
                </c:pt>
                <c:pt idx="869">
                  <c:v>35125</c:v>
                </c:pt>
                <c:pt idx="870">
                  <c:v>33250</c:v>
                </c:pt>
                <c:pt idx="871">
                  <c:v>28375</c:v>
                </c:pt>
                <c:pt idx="872">
                  <c:v>33000</c:v>
                </c:pt>
                <c:pt idx="873">
                  <c:v>35000</c:v>
                </c:pt>
                <c:pt idx="874">
                  <c:v>29875</c:v>
                </c:pt>
                <c:pt idx="875">
                  <c:v>32750</c:v>
                </c:pt>
                <c:pt idx="876">
                  <c:v>35750</c:v>
                </c:pt>
                <c:pt idx="877">
                  <c:v>34500</c:v>
                </c:pt>
                <c:pt idx="878">
                  <c:v>33750</c:v>
                </c:pt>
                <c:pt idx="879">
                  <c:v>31000</c:v>
                </c:pt>
                <c:pt idx="880">
                  <c:v>30000</c:v>
                </c:pt>
                <c:pt idx="881">
                  <c:v>34375</c:v>
                </c:pt>
                <c:pt idx="882">
                  <c:v>37500</c:v>
                </c:pt>
                <c:pt idx="883">
                  <c:v>36375</c:v>
                </c:pt>
                <c:pt idx="884">
                  <c:v>37875</c:v>
                </c:pt>
                <c:pt idx="885">
                  <c:v>37000</c:v>
                </c:pt>
                <c:pt idx="886">
                  <c:v>39375</c:v>
                </c:pt>
                <c:pt idx="887">
                  <c:v>45750</c:v>
                </c:pt>
                <c:pt idx="888">
                  <c:v>45000</c:v>
                </c:pt>
                <c:pt idx="889">
                  <c:v>44250</c:v>
                </c:pt>
                <c:pt idx="890">
                  <c:v>44875</c:v>
                </c:pt>
                <c:pt idx="891">
                  <c:v>46375</c:v>
                </c:pt>
                <c:pt idx="892">
                  <c:v>45375</c:v>
                </c:pt>
                <c:pt idx="893">
                  <c:v>47000</c:v>
                </c:pt>
                <c:pt idx="894">
                  <c:v>47750</c:v>
                </c:pt>
                <c:pt idx="895">
                  <c:v>44875</c:v>
                </c:pt>
                <c:pt idx="896">
                  <c:v>47500</c:v>
                </c:pt>
                <c:pt idx="897">
                  <c:v>47125</c:v>
                </c:pt>
                <c:pt idx="898">
                  <c:v>44250</c:v>
                </c:pt>
                <c:pt idx="899">
                  <c:v>39250</c:v>
                </c:pt>
                <c:pt idx="900">
                  <c:v>38750</c:v>
                </c:pt>
                <c:pt idx="901">
                  <c:v>43750</c:v>
                </c:pt>
                <c:pt idx="902">
                  <c:v>43375</c:v>
                </c:pt>
                <c:pt idx="903">
                  <c:v>39250</c:v>
                </c:pt>
                <c:pt idx="904">
                  <c:v>38250</c:v>
                </c:pt>
                <c:pt idx="905">
                  <c:v>41375</c:v>
                </c:pt>
                <c:pt idx="906">
                  <c:v>42375</c:v>
                </c:pt>
                <c:pt idx="907">
                  <c:v>34125</c:v>
                </c:pt>
                <c:pt idx="908">
                  <c:v>30875</c:v>
                </c:pt>
                <c:pt idx="909">
                  <c:v>30125</c:v>
                </c:pt>
                <c:pt idx="910">
                  <c:v>34500</c:v>
                </c:pt>
                <c:pt idx="911">
                  <c:v>35750</c:v>
                </c:pt>
                <c:pt idx="912">
                  <c:v>34875</c:v>
                </c:pt>
                <c:pt idx="913">
                  <c:v>32875</c:v>
                </c:pt>
                <c:pt idx="914">
                  <c:v>33750</c:v>
                </c:pt>
                <c:pt idx="915">
                  <c:v>33250</c:v>
                </c:pt>
                <c:pt idx="916">
                  <c:v>32375</c:v>
                </c:pt>
                <c:pt idx="917">
                  <c:v>29125</c:v>
                </c:pt>
                <c:pt idx="918">
                  <c:v>26125</c:v>
                </c:pt>
                <c:pt idx="919">
                  <c:v>26000</c:v>
                </c:pt>
                <c:pt idx="920">
                  <c:v>26250</c:v>
                </c:pt>
                <c:pt idx="921">
                  <c:v>34000</c:v>
                </c:pt>
                <c:pt idx="922">
                  <c:v>31375</c:v>
                </c:pt>
                <c:pt idx="923">
                  <c:v>32875</c:v>
                </c:pt>
                <c:pt idx="924">
                  <c:v>32250</c:v>
                </c:pt>
                <c:pt idx="925">
                  <c:v>36250</c:v>
                </c:pt>
                <c:pt idx="926">
                  <c:v>34500</c:v>
                </c:pt>
                <c:pt idx="927">
                  <c:v>34500</c:v>
                </c:pt>
                <c:pt idx="928">
                  <c:v>32375</c:v>
                </c:pt>
                <c:pt idx="929">
                  <c:v>33625</c:v>
                </c:pt>
                <c:pt idx="930">
                  <c:v>35375</c:v>
                </c:pt>
                <c:pt idx="931">
                  <c:v>32750</c:v>
                </c:pt>
                <c:pt idx="932">
                  <c:v>35375</c:v>
                </c:pt>
                <c:pt idx="933">
                  <c:v>32875</c:v>
                </c:pt>
                <c:pt idx="934">
                  <c:v>30625</c:v>
                </c:pt>
                <c:pt idx="935">
                  <c:v>30250</c:v>
                </c:pt>
                <c:pt idx="936">
                  <c:v>27375</c:v>
                </c:pt>
                <c:pt idx="937">
                  <c:v>30750</c:v>
                </c:pt>
                <c:pt idx="938">
                  <c:v>34375</c:v>
                </c:pt>
                <c:pt idx="939">
                  <c:v>30250</c:v>
                </c:pt>
                <c:pt idx="940">
                  <c:v>31500</c:v>
                </c:pt>
                <c:pt idx="941">
                  <c:v>31250</c:v>
                </c:pt>
                <c:pt idx="942">
                  <c:v>32500</c:v>
                </c:pt>
                <c:pt idx="943">
                  <c:v>29500</c:v>
                </c:pt>
                <c:pt idx="944">
                  <c:v>33000</c:v>
                </c:pt>
                <c:pt idx="945">
                  <c:v>31000</c:v>
                </c:pt>
                <c:pt idx="946">
                  <c:v>33250</c:v>
                </c:pt>
                <c:pt idx="947">
                  <c:v>32250</c:v>
                </c:pt>
                <c:pt idx="948">
                  <c:v>28125</c:v>
                </c:pt>
                <c:pt idx="949">
                  <c:v>26875</c:v>
                </c:pt>
                <c:pt idx="950">
                  <c:v>22875</c:v>
                </c:pt>
                <c:pt idx="951">
                  <c:v>23875</c:v>
                </c:pt>
                <c:pt idx="952">
                  <c:v>23875</c:v>
                </c:pt>
                <c:pt idx="953">
                  <c:v>30625</c:v>
                </c:pt>
                <c:pt idx="954">
                  <c:v>33000</c:v>
                </c:pt>
                <c:pt idx="955">
                  <c:v>34000</c:v>
                </c:pt>
                <c:pt idx="956">
                  <c:v>35250</c:v>
                </c:pt>
                <c:pt idx="957">
                  <c:v>33125</c:v>
                </c:pt>
                <c:pt idx="958">
                  <c:v>33000</c:v>
                </c:pt>
                <c:pt idx="959">
                  <c:v>34500</c:v>
                </c:pt>
                <c:pt idx="960">
                  <c:v>26000</c:v>
                </c:pt>
                <c:pt idx="961">
                  <c:v>28250</c:v>
                </c:pt>
                <c:pt idx="962">
                  <c:v>31125</c:v>
                </c:pt>
                <c:pt idx="963">
                  <c:v>31125</c:v>
                </c:pt>
                <c:pt idx="964">
                  <c:v>30250</c:v>
                </c:pt>
                <c:pt idx="965">
                  <c:v>29000</c:v>
                </c:pt>
                <c:pt idx="966">
                  <c:v>26625</c:v>
                </c:pt>
                <c:pt idx="967">
                  <c:v>26875</c:v>
                </c:pt>
                <c:pt idx="968">
                  <c:v>25625</c:v>
                </c:pt>
                <c:pt idx="969">
                  <c:v>23500</c:v>
                </c:pt>
                <c:pt idx="970">
                  <c:v>24750</c:v>
                </c:pt>
                <c:pt idx="971">
                  <c:v>25250</c:v>
                </c:pt>
                <c:pt idx="972">
                  <c:v>26375</c:v>
                </c:pt>
                <c:pt idx="973">
                  <c:v>26875</c:v>
                </c:pt>
                <c:pt idx="974">
                  <c:v>27000</c:v>
                </c:pt>
                <c:pt idx="975">
                  <c:v>24125</c:v>
                </c:pt>
                <c:pt idx="976">
                  <c:v>23875</c:v>
                </c:pt>
                <c:pt idx="977">
                  <c:v>25250</c:v>
                </c:pt>
                <c:pt idx="978">
                  <c:v>20375</c:v>
                </c:pt>
                <c:pt idx="979">
                  <c:v>18500</c:v>
                </c:pt>
                <c:pt idx="980">
                  <c:v>18875</c:v>
                </c:pt>
                <c:pt idx="981">
                  <c:v>19250</c:v>
                </c:pt>
                <c:pt idx="982">
                  <c:v>18250</c:v>
                </c:pt>
                <c:pt idx="983">
                  <c:v>17000</c:v>
                </c:pt>
                <c:pt idx="984">
                  <c:v>17750</c:v>
                </c:pt>
                <c:pt idx="985">
                  <c:v>17125</c:v>
                </c:pt>
                <c:pt idx="986">
                  <c:v>20500</c:v>
                </c:pt>
                <c:pt idx="987">
                  <c:v>16750</c:v>
                </c:pt>
                <c:pt idx="988">
                  <c:v>16000</c:v>
                </c:pt>
                <c:pt idx="989">
                  <c:v>16375</c:v>
                </c:pt>
                <c:pt idx="990">
                  <c:v>17000</c:v>
                </c:pt>
                <c:pt idx="991">
                  <c:v>16125</c:v>
                </c:pt>
                <c:pt idx="992">
                  <c:v>19375</c:v>
                </c:pt>
                <c:pt idx="993">
                  <c:v>17875</c:v>
                </c:pt>
                <c:pt idx="994">
                  <c:v>20625</c:v>
                </c:pt>
                <c:pt idx="995">
                  <c:v>16500</c:v>
                </c:pt>
                <c:pt idx="996">
                  <c:v>15500</c:v>
                </c:pt>
                <c:pt idx="997">
                  <c:v>18000</c:v>
                </c:pt>
                <c:pt idx="998">
                  <c:v>16000</c:v>
                </c:pt>
                <c:pt idx="999">
                  <c:v>12625</c:v>
                </c:pt>
                <c:pt idx="1000">
                  <c:v>10625</c:v>
                </c:pt>
                <c:pt idx="1001">
                  <c:v>12500</c:v>
                </c:pt>
                <c:pt idx="1002">
                  <c:v>10875</c:v>
                </c:pt>
                <c:pt idx="1003">
                  <c:v>11625</c:v>
                </c:pt>
                <c:pt idx="1004">
                  <c:v>15250</c:v>
                </c:pt>
                <c:pt idx="1005">
                  <c:v>14375</c:v>
                </c:pt>
                <c:pt idx="1006">
                  <c:v>17375</c:v>
                </c:pt>
                <c:pt idx="1007">
                  <c:v>15750</c:v>
                </c:pt>
                <c:pt idx="1008">
                  <c:v>17875</c:v>
                </c:pt>
                <c:pt idx="1009">
                  <c:v>18250</c:v>
                </c:pt>
                <c:pt idx="1010">
                  <c:v>15250</c:v>
                </c:pt>
                <c:pt idx="1011">
                  <c:v>13250</c:v>
                </c:pt>
                <c:pt idx="1012">
                  <c:v>12250</c:v>
                </c:pt>
                <c:pt idx="1013">
                  <c:v>9500</c:v>
                </c:pt>
                <c:pt idx="1014">
                  <c:v>11375</c:v>
                </c:pt>
                <c:pt idx="1015">
                  <c:v>14625</c:v>
                </c:pt>
                <c:pt idx="1016">
                  <c:v>15125</c:v>
                </c:pt>
                <c:pt idx="1017">
                  <c:v>12875</c:v>
                </c:pt>
                <c:pt idx="1018">
                  <c:v>14750</c:v>
                </c:pt>
                <c:pt idx="1019">
                  <c:v>19000</c:v>
                </c:pt>
                <c:pt idx="1020">
                  <c:v>19375</c:v>
                </c:pt>
                <c:pt idx="1021">
                  <c:v>23250</c:v>
                </c:pt>
                <c:pt idx="1022">
                  <c:v>28250</c:v>
                </c:pt>
                <c:pt idx="1023">
                  <c:v>28250</c:v>
                </c:pt>
                <c:pt idx="1024">
                  <c:v>40500</c:v>
                </c:pt>
                <c:pt idx="1025">
                  <c:v>39250</c:v>
                </c:pt>
                <c:pt idx="1026">
                  <c:v>45500</c:v>
                </c:pt>
                <c:pt idx="1027">
                  <c:v>44750</c:v>
                </c:pt>
                <c:pt idx="1028">
                  <c:v>43625</c:v>
                </c:pt>
                <c:pt idx="1029">
                  <c:v>43875</c:v>
                </c:pt>
                <c:pt idx="1030">
                  <c:v>47250</c:v>
                </c:pt>
                <c:pt idx="1031">
                  <c:v>49625</c:v>
                </c:pt>
                <c:pt idx="1032">
                  <c:v>52500</c:v>
                </c:pt>
                <c:pt idx="1033">
                  <c:v>47625</c:v>
                </c:pt>
                <c:pt idx="1034">
                  <c:v>45625</c:v>
                </c:pt>
                <c:pt idx="1035">
                  <c:v>47250</c:v>
                </c:pt>
                <c:pt idx="1036">
                  <c:v>41875</c:v>
                </c:pt>
                <c:pt idx="1037">
                  <c:v>35000</c:v>
                </c:pt>
                <c:pt idx="1038">
                  <c:v>35625</c:v>
                </c:pt>
                <c:pt idx="1039">
                  <c:v>33000</c:v>
                </c:pt>
                <c:pt idx="1040">
                  <c:v>32375</c:v>
                </c:pt>
                <c:pt idx="1041">
                  <c:v>29250</c:v>
                </c:pt>
                <c:pt idx="1042">
                  <c:v>20375</c:v>
                </c:pt>
                <c:pt idx="1043">
                  <c:v>17375</c:v>
                </c:pt>
                <c:pt idx="1044">
                  <c:v>16375</c:v>
                </c:pt>
                <c:pt idx="1045">
                  <c:v>17375</c:v>
                </c:pt>
                <c:pt idx="1046">
                  <c:v>19125</c:v>
                </c:pt>
                <c:pt idx="1047">
                  <c:v>16125</c:v>
                </c:pt>
                <c:pt idx="1048">
                  <c:v>15375</c:v>
                </c:pt>
                <c:pt idx="1049">
                  <c:v>17875</c:v>
                </c:pt>
                <c:pt idx="1050">
                  <c:v>17500</c:v>
                </c:pt>
                <c:pt idx="1051">
                  <c:v>18250</c:v>
                </c:pt>
                <c:pt idx="1052">
                  <c:v>25125</c:v>
                </c:pt>
                <c:pt idx="1053">
                  <c:v>22000</c:v>
                </c:pt>
                <c:pt idx="1054">
                  <c:v>10500</c:v>
                </c:pt>
                <c:pt idx="1055">
                  <c:v>12625</c:v>
                </c:pt>
                <c:pt idx="1056">
                  <c:v>13250</c:v>
                </c:pt>
                <c:pt idx="1057">
                  <c:v>13750</c:v>
                </c:pt>
                <c:pt idx="1058">
                  <c:v>14875</c:v>
                </c:pt>
                <c:pt idx="1059">
                  <c:v>15500</c:v>
                </c:pt>
                <c:pt idx="1060">
                  <c:v>17125</c:v>
                </c:pt>
                <c:pt idx="1061">
                  <c:v>14250</c:v>
                </c:pt>
                <c:pt idx="1062">
                  <c:v>15750</c:v>
                </c:pt>
                <c:pt idx="1063">
                  <c:v>14125</c:v>
                </c:pt>
                <c:pt idx="1064">
                  <c:v>12875</c:v>
                </c:pt>
                <c:pt idx="1065">
                  <c:v>13000</c:v>
                </c:pt>
                <c:pt idx="1066">
                  <c:v>13500</c:v>
                </c:pt>
                <c:pt idx="1067">
                  <c:v>12875</c:v>
                </c:pt>
                <c:pt idx="1068">
                  <c:v>10000</c:v>
                </c:pt>
                <c:pt idx="1069">
                  <c:v>7875</c:v>
                </c:pt>
                <c:pt idx="1070">
                  <c:v>5500</c:v>
                </c:pt>
                <c:pt idx="1071">
                  <c:v>6250</c:v>
                </c:pt>
                <c:pt idx="1072">
                  <c:v>8125</c:v>
                </c:pt>
                <c:pt idx="1073">
                  <c:v>10000</c:v>
                </c:pt>
                <c:pt idx="1074">
                  <c:v>12500</c:v>
                </c:pt>
                <c:pt idx="1075">
                  <c:v>17500</c:v>
                </c:pt>
                <c:pt idx="1076">
                  <c:v>22125</c:v>
                </c:pt>
                <c:pt idx="1077">
                  <c:v>21125</c:v>
                </c:pt>
                <c:pt idx="1078">
                  <c:v>18625</c:v>
                </c:pt>
                <c:pt idx="1079">
                  <c:v>16375</c:v>
                </c:pt>
                <c:pt idx="1080">
                  <c:v>14625</c:v>
                </c:pt>
                <c:pt idx="1081">
                  <c:v>17625</c:v>
                </c:pt>
                <c:pt idx="1082">
                  <c:v>15500</c:v>
                </c:pt>
                <c:pt idx="1083">
                  <c:v>16750</c:v>
                </c:pt>
                <c:pt idx="1084">
                  <c:v>15875</c:v>
                </c:pt>
                <c:pt idx="1085">
                  <c:v>19625</c:v>
                </c:pt>
                <c:pt idx="1086">
                  <c:v>18625</c:v>
                </c:pt>
                <c:pt idx="1087">
                  <c:v>19875</c:v>
                </c:pt>
                <c:pt idx="1088">
                  <c:v>18250</c:v>
                </c:pt>
                <c:pt idx="1089">
                  <c:v>20625</c:v>
                </c:pt>
                <c:pt idx="1090">
                  <c:v>20625</c:v>
                </c:pt>
                <c:pt idx="1091">
                  <c:v>22000</c:v>
                </c:pt>
                <c:pt idx="1092">
                  <c:v>24375</c:v>
                </c:pt>
                <c:pt idx="1093">
                  <c:v>23500</c:v>
                </c:pt>
                <c:pt idx="1094">
                  <c:v>21500</c:v>
                </c:pt>
                <c:pt idx="1095">
                  <c:v>18250</c:v>
                </c:pt>
                <c:pt idx="1096">
                  <c:v>17625</c:v>
                </c:pt>
                <c:pt idx="1097">
                  <c:v>15125</c:v>
                </c:pt>
                <c:pt idx="1098">
                  <c:v>13375</c:v>
                </c:pt>
                <c:pt idx="1099">
                  <c:v>13625</c:v>
                </c:pt>
                <c:pt idx="1100">
                  <c:v>12375</c:v>
                </c:pt>
                <c:pt idx="1101">
                  <c:v>13125</c:v>
                </c:pt>
                <c:pt idx="1102">
                  <c:v>15750</c:v>
                </c:pt>
                <c:pt idx="1103">
                  <c:v>15125</c:v>
                </c:pt>
                <c:pt idx="1104">
                  <c:v>14625</c:v>
                </c:pt>
                <c:pt idx="1105">
                  <c:v>17625</c:v>
                </c:pt>
                <c:pt idx="1106">
                  <c:v>16250</c:v>
                </c:pt>
                <c:pt idx="1107">
                  <c:v>13625</c:v>
                </c:pt>
                <c:pt idx="1108">
                  <c:v>15250</c:v>
                </c:pt>
                <c:pt idx="1109">
                  <c:v>16625</c:v>
                </c:pt>
                <c:pt idx="1110">
                  <c:v>13875</c:v>
                </c:pt>
                <c:pt idx="1111">
                  <c:v>15375</c:v>
                </c:pt>
                <c:pt idx="1112">
                  <c:v>17250</c:v>
                </c:pt>
                <c:pt idx="1113">
                  <c:v>13375</c:v>
                </c:pt>
                <c:pt idx="1114">
                  <c:v>12250</c:v>
                </c:pt>
                <c:pt idx="1115">
                  <c:v>10000</c:v>
                </c:pt>
                <c:pt idx="1116">
                  <c:v>4750</c:v>
                </c:pt>
                <c:pt idx="1117">
                  <c:v>6250</c:v>
                </c:pt>
                <c:pt idx="1118">
                  <c:v>5125</c:v>
                </c:pt>
                <c:pt idx="1119">
                  <c:v>5000</c:v>
                </c:pt>
                <c:pt idx="1120">
                  <c:v>5625</c:v>
                </c:pt>
                <c:pt idx="1121">
                  <c:v>6375</c:v>
                </c:pt>
                <c:pt idx="1122">
                  <c:v>7750</c:v>
                </c:pt>
                <c:pt idx="1123">
                  <c:v>7375</c:v>
                </c:pt>
                <c:pt idx="1124">
                  <c:v>8875</c:v>
                </c:pt>
                <c:pt idx="1125">
                  <c:v>7875</c:v>
                </c:pt>
                <c:pt idx="1126">
                  <c:v>7875</c:v>
                </c:pt>
                <c:pt idx="1127">
                  <c:v>5375</c:v>
                </c:pt>
                <c:pt idx="1128">
                  <c:v>7625</c:v>
                </c:pt>
                <c:pt idx="1129">
                  <c:v>9125</c:v>
                </c:pt>
                <c:pt idx="1130">
                  <c:v>7750</c:v>
                </c:pt>
                <c:pt idx="1131">
                  <c:v>10875</c:v>
                </c:pt>
                <c:pt idx="1132">
                  <c:v>13250</c:v>
                </c:pt>
                <c:pt idx="1133">
                  <c:v>10375</c:v>
                </c:pt>
                <c:pt idx="1134">
                  <c:v>10625</c:v>
                </c:pt>
                <c:pt idx="1135">
                  <c:v>11125</c:v>
                </c:pt>
                <c:pt idx="1136">
                  <c:v>14250</c:v>
                </c:pt>
                <c:pt idx="1137">
                  <c:v>12625</c:v>
                </c:pt>
                <c:pt idx="1138">
                  <c:v>13375</c:v>
                </c:pt>
                <c:pt idx="1139">
                  <c:v>13500</c:v>
                </c:pt>
                <c:pt idx="1140">
                  <c:v>9125</c:v>
                </c:pt>
                <c:pt idx="1141">
                  <c:v>10750</c:v>
                </c:pt>
                <c:pt idx="1142">
                  <c:v>11375</c:v>
                </c:pt>
                <c:pt idx="1143">
                  <c:v>9875</c:v>
                </c:pt>
                <c:pt idx="1144">
                  <c:v>7375</c:v>
                </c:pt>
                <c:pt idx="1145">
                  <c:v>6875</c:v>
                </c:pt>
                <c:pt idx="1146">
                  <c:v>6375</c:v>
                </c:pt>
                <c:pt idx="1147">
                  <c:v>4500</c:v>
                </c:pt>
                <c:pt idx="1148">
                  <c:v>5000</c:v>
                </c:pt>
                <c:pt idx="1149">
                  <c:v>3750</c:v>
                </c:pt>
                <c:pt idx="1150">
                  <c:v>3375</c:v>
                </c:pt>
                <c:pt idx="1151">
                  <c:v>0</c:v>
                </c:pt>
                <c:pt idx="1152">
                  <c:v>750</c:v>
                </c:pt>
                <c:pt idx="1153">
                  <c:v>1250</c:v>
                </c:pt>
                <c:pt idx="1154">
                  <c:v>375</c:v>
                </c:pt>
                <c:pt idx="1155">
                  <c:v>2375</c:v>
                </c:pt>
                <c:pt idx="1156">
                  <c:v>-375</c:v>
                </c:pt>
                <c:pt idx="1157">
                  <c:v>3125</c:v>
                </c:pt>
                <c:pt idx="1158">
                  <c:v>3500</c:v>
                </c:pt>
                <c:pt idx="1159">
                  <c:v>3500</c:v>
                </c:pt>
                <c:pt idx="1160">
                  <c:v>5250</c:v>
                </c:pt>
                <c:pt idx="1161">
                  <c:v>8375</c:v>
                </c:pt>
                <c:pt idx="1162">
                  <c:v>8125</c:v>
                </c:pt>
                <c:pt idx="1163">
                  <c:v>7875</c:v>
                </c:pt>
                <c:pt idx="1164">
                  <c:v>9000</c:v>
                </c:pt>
                <c:pt idx="1165">
                  <c:v>8875</c:v>
                </c:pt>
                <c:pt idx="1166">
                  <c:v>8625</c:v>
                </c:pt>
                <c:pt idx="1167">
                  <c:v>9125</c:v>
                </c:pt>
                <c:pt idx="1168">
                  <c:v>7125</c:v>
                </c:pt>
                <c:pt idx="1169">
                  <c:v>9500</c:v>
                </c:pt>
                <c:pt idx="1170">
                  <c:v>9250</c:v>
                </c:pt>
                <c:pt idx="1171">
                  <c:v>10000</c:v>
                </c:pt>
                <c:pt idx="1172">
                  <c:v>9375</c:v>
                </c:pt>
                <c:pt idx="1173">
                  <c:v>8500</c:v>
                </c:pt>
                <c:pt idx="1174">
                  <c:v>7250</c:v>
                </c:pt>
                <c:pt idx="1175">
                  <c:v>4875</c:v>
                </c:pt>
                <c:pt idx="1176">
                  <c:v>4375</c:v>
                </c:pt>
                <c:pt idx="1177">
                  <c:v>4250</c:v>
                </c:pt>
                <c:pt idx="1178">
                  <c:v>4000</c:v>
                </c:pt>
                <c:pt idx="1179">
                  <c:v>3375</c:v>
                </c:pt>
                <c:pt idx="1180">
                  <c:v>4625</c:v>
                </c:pt>
                <c:pt idx="1181">
                  <c:v>7500</c:v>
                </c:pt>
                <c:pt idx="1182">
                  <c:v>7125</c:v>
                </c:pt>
                <c:pt idx="1183">
                  <c:v>6875</c:v>
                </c:pt>
                <c:pt idx="1184">
                  <c:v>7875</c:v>
                </c:pt>
                <c:pt idx="1185">
                  <c:v>5000</c:v>
                </c:pt>
                <c:pt idx="1186">
                  <c:v>4125</c:v>
                </c:pt>
                <c:pt idx="1187">
                  <c:v>2000</c:v>
                </c:pt>
                <c:pt idx="1188">
                  <c:v>1000</c:v>
                </c:pt>
                <c:pt idx="1189">
                  <c:v>750</c:v>
                </c:pt>
                <c:pt idx="1190">
                  <c:v>1500</c:v>
                </c:pt>
                <c:pt idx="1191">
                  <c:v>1125</c:v>
                </c:pt>
                <c:pt idx="1192">
                  <c:v>500</c:v>
                </c:pt>
                <c:pt idx="1193">
                  <c:v>1250</c:v>
                </c:pt>
                <c:pt idx="1194">
                  <c:v>2000</c:v>
                </c:pt>
                <c:pt idx="1195">
                  <c:v>3000</c:v>
                </c:pt>
                <c:pt idx="1196">
                  <c:v>3750</c:v>
                </c:pt>
                <c:pt idx="1197">
                  <c:v>5125</c:v>
                </c:pt>
                <c:pt idx="1198">
                  <c:v>6875</c:v>
                </c:pt>
                <c:pt idx="1199">
                  <c:v>9500</c:v>
                </c:pt>
                <c:pt idx="1200">
                  <c:v>9375</c:v>
                </c:pt>
                <c:pt idx="1201">
                  <c:v>8875</c:v>
                </c:pt>
                <c:pt idx="1202">
                  <c:v>9125</c:v>
                </c:pt>
                <c:pt idx="1203">
                  <c:v>8375</c:v>
                </c:pt>
                <c:pt idx="1204">
                  <c:v>9750</c:v>
                </c:pt>
                <c:pt idx="1205">
                  <c:v>9875</c:v>
                </c:pt>
                <c:pt idx="1206">
                  <c:v>9125</c:v>
                </c:pt>
                <c:pt idx="1207">
                  <c:v>9875</c:v>
                </c:pt>
                <c:pt idx="1208">
                  <c:v>10000</c:v>
                </c:pt>
                <c:pt idx="1209">
                  <c:v>10750</c:v>
                </c:pt>
                <c:pt idx="1210">
                  <c:v>11125</c:v>
                </c:pt>
                <c:pt idx="1211">
                  <c:v>9750</c:v>
                </c:pt>
                <c:pt idx="1212">
                  <c:v>-750</c:v>
                </c:pt>
                <c:pt idx="1213">
                  <c:v>750</c:v>
                </c:pt>
                <c:pt idx="1214">
                  <c:v>2375</c:v>
                </c:pt>
                <c:pt idx="1215">
                  <c:v>2875</c:v>
                </c:pt>
                <c:pt idx="1216">
                  <c:v>4125</c:v>
                </c:pt>
                <c:pt idx="1217">
                  <c:v>5750</c:v>
                </c:pt>
                <c:pt idx="1218">
                  <c:v>6000</c:v>
                </c:pt>
                <c:pt idx="1219">
                  <c:v>3375</c:v>
                </c:pt>
                <c:pt idx="1220">
                  <c:v>4750</c:v>
                </c:pt>
                <c:pt idx="1221">
                  <c:v>12000</c:v>
                </c:pt>
                <c:pt idx="1222">
                  <c:v>12000</c:v>
                </c:pt>
                <c:pt idx="1223">
                  <c:v>15000</c:v>
                </c:pt>
                <c:pt idx="1224">
                  <c:v>15625</c:v>
                </c:pt>
                <c:pt idx="1225">
                  <c:v>17375</c:v>
                </c:pt>
                <c:pt idx="1226">
                  <c:v>20625</c:v>
                </c:pt>
                <c:pt idx="1227">
                  <c:v>20125</c:v>
                </c:pt>
                <c:pt idx="1228">
                  <c:v>11875</c:v>
                </c:pt>
                <c:pt idx="1229">
                  <c:v>15375</c:v>
                </c:pt>
                <c:pt idx="1230">
                  <c:v>15250</c:v>
                </c:pt>
                <c:pt idx="1231">
                  <c:v>14250</c:v>
                </c:pt>
                <c:pt idx="1232">
                  <c:v>18500</c:v>
                </c:pt>
                <c:pt idx="1233">
                  <c:v>19500</c:v>
                </c:pt>
                <c:pt idx="1234">
                  <c:v>18625</c:v>
                </c:pt>
                <c:pt idx="1235">
                  <c:v>13500</c:v>
                </c:pt>
                <c:pt idx="1236">
                  <c:v>12375</c:v>
                </c:pt>
                <c:pt idx="1237">
                  <c:v>10625</c:v>
                </c:pt>
                <c:pt idx="1238">
                  <c:v>12750</c:v>
                </c:pt>
                <c:pt idx="1239">
                  <c:v>9875</c:v>
                </c:pt>
                <c:pt idx="1240">
                  <c:v>14125</c:v>
                </c:pt>
                <c:pt idx="1241">
                  <c:v>11125</c:v>
                </c:pt>
                <c:pt idx="1242">
                  <c:v>16750</c:v>
                </c:pt>
                <c:pt idx="1243">
                  <c:v>18250</c:v>
                </c:pt>
                <c:pt idx="1244">
                  <c:v>19125</c:v>
                </c:pt>
                <c:pt idx="1245">
                  <c:v>21500</c:v>
                </c:pt>
                <c:pt idx="1246">
                  <c:v>22750</c:v>
                </c:pt>
                <c:pt idx="1247">
                  <c:v>17625</c:v>
                </c:pt>
                <c:pt idx="1248">
                  <c:v>19500</c:v>
                </c:pt>
                <c:pt idx="1249">
                  <c:v>21625</c:v>
                </c:pt>
                <c:pt idx="1250">
                  <c:v>23250</c:v>
                </c:pt>
                <c:pt idx="1251">
                  <c:v>25125</c:v>
                </c:pt>
                <c:pt idx="1252">
                  <c:v>27000</c:v>
                </c:pt>
                <c:pt idx="1253">
                  <c:v>29125</c:v>
                </c:pt>
                <c:pt idx="1254">
                  <c:v>26000</c:v>
                </c:pt>
                <c:pt idx="1255">
                  <c:v>29375</c:v>
                </c:pt>
                <c:pt idx="1256">
                  <c:v>31500</c:v>
                </c:pt>
                <c:pt idx="1257">
                  <c:v>31875</c:v>
                </c:pt>
                <c:pt idx="1258">
                  <c:v>36750</c:v>
                </c:pt>
                <c:pt idx="1259">
                  <c:v>36625</c:v>
                </c:pt>
                <c:pt idx="1260">
                  <c:v>39375</c:v>
                </c:pt>
                <c:pt idx="1261">
                  <c:v>36125</c:v>
                </c:pt>
                <c:pt idx="1262">
                  <c:v>34375</c:v>
                </c:pt>
                <c:pt idx="1263">
                  <c:v>37750</c:v>
                </c:pt>
                <c:pt idx="1264">
                  <c:v>40000</c:v>
                </c:pt>
                <c:pt idx="1265">
                  <c:v>38625</c:v>
                </c:pt>
                <c:pt idx="1266">
                  <c:v>35500</c:v>
                </c:pt>
                <c:pt idx="1267">
                  <c:v>40250</c:v>
                </c:pt>
                <c:pt idx="1268">
                  <c:v>34625</c:v>
                </c:pt>
                <c:pt idx="1269">
                  <c:v>21875</c:v>
                </c:pt>
                <c:pt idx="1270">
                  <c:v>21750</c:v>
                </c:pt>
                <c:pt idx="1271">
                  <c:v>17125</c:v>
                </c:pt>
                <c:pt idx="1272">
                  <c:v>14125</c:v>
                </c:pt>
                <c:pt idx="1273">
                  <c:v>15500</c:v>
                </c:pt>
                <c:pt idx="1274">
                  <c:v>16000</c:v>
                </c:pt>
                <c:pt idx="1275">
                  <c:v>10125</c:v>
                </c:pt>
                <c:pt idx="1276">
                  <c:v>3000</c:v>
                </c:pt>
                <c:pt idx="1277">
                  <c:v>-250</c:v>
                </c:pt>
                <c:pt idx="1278">
                  <c:v>-6000</c:v>
                </c:pt>
                <c:pt idx="1279">
                  <c:v>-7750</c:v>
                </c:pt>
                <c:pt idx="1280">
                  <c:v>-9000</c:v>
                </c:pt>
                <c:pt idx="1281">
                  <c:v>-2375</c:v>
                </c:pt>
                <c:pt idx="1282">
                  <c:v>-5125</c:v>
                </c:pt>
                <c:pt idx="1283">
                  <c:v>-1625</c:v>
                </c:pt>
                <c:pt idx="1284">
                  <c:v>3250</c:v>
                </c:pt>
                <c:pt idx="1285">
                  <c:v>1375</c:v>
                </c:pt>
                <c:pt idx="1286">
                  <c:v>-1250</c:v>
                </c:pt>
                <c:pt idx="1287">
                  <c:v>-125</c:v>
                </c:pt>
                <c:pt idx="1288">
                  <c:v>-6000</c:v>
                </c:pt>
                <c:pt idx="1289">
                  <c:v>-10000</c:v>
                </c:pt>
                <c:pt idx="1290">
                  <c:v>-10250</c:v>
                </c:pt>
                <c:pt idx="1291">
                  <c:v>-10125</c:v>
                </c:pt>
                <c:pt idx="1292">
                  <c:v>-10875</c:v>
                </c:pt>
                <c:pt idx="1293">
                  <c:v>-12000</c:v>
                </c:pt>
                <c:pt idx="1294">
                  <c:v>-9750</c:v>
                </c:pt>
                <c:pt idx="1295">
                  <c:v>-12875</c:v>
                </c:pt>
                <c:pt idx="1296">
                  <c:v>-11000</c:v>
                </c:pt>
                <c:pt idx="1297">
                  <c:v>-13625</c:v>
                </c:pt>
                <c:pt idx="1298">
                  <c:v>-17000</c:v>
                </c:pt>
                <c:pt idx="1299">
                  <c:v>-15250</c:v>
                </c:pt>
                <c:pt idx="1300">
                  <c:v>-16500</c:v>
                </c:pt>
                <c:pt idx="1301">
                  <c:v>-16375</c:v>
                </c:pt>
                <c:pt idx="1302">
                  <c:v>-15375</c:v>
                </c:pt>
                <c:pt idx="1303">
                  <c:v>-15625</c:v>
                </c:pt>
                <c:pt idx="1304">
                  <c:v>-15375</c:v>
                </c:pt>
                <c:pt idx="1305">
                  <c:v>-17000</c:v>
                </c:pt>
                <c:pt idx="1306">
                  <c:v>-18375</c:v>
                </c:pt>
                <c:pt idx="1307">
                  <c:v>-14125</c:v>
                </c:pt>
                <c:pt idx="1308">
                  <c:v>-13750</c:v>
                </c:pt>
                <c:pt idx="1309">
                  <c:v>-13500</c:v>
                </c:pt>
                <c:pt idx="1310">
                  <c:v>-12375</c:v>
                </c:pt>
                <c:pt idx="1311">
                  <c:v>-10500</c:v>
                </c:pt>
                <c:pt idx="1312">
                  <c:v>-11125</c:v>
                </c:pt>
                <c:pt idx="1313">
                  <c:v>-13125</c:v>
                </c:pt>
                <c:pt idx="1314">
                  <c:v>-14250</c:v>
                </c:pt>
                <c:pt idx="1315">
                  <c:v>-16000</c:v>
                </c:pt>
                <c:pt idx="1316">
                  <c:v>-18750</c:v>
                </c:pt>
                <c:pt idx="1317">
                  <c:v>-22000</c:v>
                </c:pt>
                <c:pt idx="1318">
                  <c:v>-24875</c:v>
                </c:pt>
                <c:pt idx="1319">
                  <c:v>-26250</c:v>
                </c:pt>
                <c:pt idx="1320">
                  <c:v>-23125</c:v>
                </c:pt>
                <c:pt idx="1321">
                  <c:v>-19625</c:v>
                </c:pt>
                <c:pt idx="1322">
                  <c:v>-19750</c:v>
                </c:pt>
                <c:pt idx="1323">
                  <c:v>-17500</c:v>
                </c:pt>
                <c:pt idx="1324">
                  <c:v>-14625</c:v>
                </c:pt>
                <c:pt idx="1325">
                  <c:v>-12750</c:v>
                </c:pt>
                <c:pt idx="1326">
                  <c:v>-14000</c:v>
                </c:pt>
                <c:pt idx="1327">
                  <c:v>-18750</c:v>
                </c:pt>
                <c:pt idx="1328">
                  <c:v>-18500</c:v>
                </c:pt>
                <c:pt idx="1329">
                  <c:v>-19375</c:v>
                </c:pt>
                <c:pt idx="1330">
                  <c:v>-15375</c:v>
                </c:pt>
                <c:pt idx="1331">
                  <c:v>-16500</c:v>
                </c:pt>
                <c:pt idx="1332">
                  <c:v>-13750</c:v>
                </c:pt>
                <c:pt idx="1333">
                  <c:v>-13750</c:v>
                </c:pt>
                <c:pt idx="1334">
                  <c:v>-16125</c:v>
                </c:pt>
                <c:pt idx="1335">
                  <c:v>-16375</c:v>
                </c:pt>
                <c:pt idx="1336">
                  <c:v>-19250</c:v>
                </c:pt>
                <c:pt idx="1337">
                  <c:v>-18250</c:v>
                </c:pt>
                <c:pt idx="1338">
                  <c:v>-19250</c:v>
                </c:pt>
                <c:pt idx="1339">
                  <c:v>-19250</c:v>
                </c:pt>
                <c:pt idx="1340">
                  <c:v>-16875</c:v>
                </c:pt>
                <c:pt idx="1341">
                  <c:v>-11250</c:v>
                </c:pt>
                <c:pt idx="1342">
                  <c:v>-9875</c:v>
                </c:pt>
                <c:pt idx="1343">
                  <c:v>-9750</c:v>
                </c:pt>
                <c:pt idx="1344">
                  <c:v>-13625</c:v>
                </c:pt>
                <c:pt idx="1345">
                  <c:v>-13000</c:v>
                </c:pt>
                <c:pt idx="1346">
                  <c:v>-11125</c:v>
                </c:pt>
                <c:pt idx="1347">
                  <c:v>-14750</c:v>
                </c:pt>
                <c:pt idx="1348">
                  <c:v>-10375</c:v>
                </c:pt>
                <c:pt idx="1349">
                  <c:v>-5375</c:v>
                </c:pt>
                <c:pt idx="1350">
                  <c:v>-7875</c:v>
                </c:pt>
                <c:pt idx="1351">
                  <c:v>-7250</c:v>
                </c:pt>
                <c:pt idx="1352">
                  <c:v>-5625</c:v>
                </c:pt>
                <c:pt idx="1353">
                  <c:v>-8125</c:v>
                </c:pt>
                <c:pt idx="1354">
                  <c:v>-8125</c:v>
                </c:pt>
                <c:pt idx="1355">
                  <c:v>-9875</c:v>
                </c:pt>
                <c:pt idx="1356">
                  <c:v>-9625</c:v>
                </c:pt>
                <c:pt idx="1357">
                  <c:v>-6875</c:v>
                </c:pt>
                <c:pt idx="1358">
                  <c:v>-5625</c:v>
                </c:pt>
                <c:pt idx="1359">
                  <c:v>-6375</c:v>
                </c:pt>
                <c:pt idx="1360">
                  <c:v>-6000</c:v>
                </c:pt>
                <c:pt idx="1361">
                  <c:v>-9625</c:v>
                </c:pt>
                <c:pt idx="1362">
                  <c:v>-11625</c:v>
                </c:pt>
                <c:pt idx="1363">
                  <c:v>-10500</c:v>
                </c:pt>
                <c:pt idx="1364">
                  <c:v>-10250</c:v>
                </c:pt>
                <c:pt idx="1365">
                  <c:v>-11250</c:v>
                </c:pt>
                <c:pt idx="1366">
                  <c:v>-7625</c:v>
                </c:pt>
                <c:pt idx="1367">
                  <c:v>-13000</c:v>
                </c:pt>
                <c:pt idx="1368">
                  <c:v>-13250</c:v>
                </c:pt>
                <c:pt idx="1369">
                  <c:v>-15125</c:v>
                </c:pt>
                <c:pt idx="1370">
                  <c:v>-13375</c:v>
                </c:pt>
                <c:pt idx="1371">
                  <c:v>-14375</c:v>
                </c:pt>
                <c:pt idx="1372">
                  <c:v>-13000</c:v>
                </c:pt>
                <c:pt idx="1373">
                  <c:v>-11625</c:v>
                </c:pt>
                <c:pt idx="1374">
                  <c:v>-9375</c:v>
                </c:pt>
                <c:pt idx="1375">
                  <c:v>-8750</c:v>
                </c:pt>
                <c:pt idx="1376">
                  <c:v>-9125</c:v>
                </c:pt>
                <c:pt idx="1377">
                  <c:v>-8750</c:v>
                </c:pt>
                <c:pt idx="1378">
                  <c:v>-9625</c:v>
                </c:pt>
                <c:pt idx="1379">
                  <c:v>-15000</c:v>
                </c:pt>
                <c:pt idx="1380">
                  <c:v>-15000</c:v>
                </c:pt>
                <c:pt idx="1381">
                  <c:v>-18375</c:v>
                </c:pt>
                <c:pt idx="1382">
                  <c:v>-15625</c:v>
                </c:pt>
                <c:pt idx="1383">
                  <c:v>-9875</c:v>
                </c:pt>
                <c:pt idx="1384">
                  <c:v>-9875</c:v>
                </c:pt>
                <c:pt idx="1385">
                  <c:v>-9000</c:v>
                </c:pt>
                <c:pt idx="1386">
                  <c:v>-10000</c:v>
                </c:pt>
                <c:pt idx="1387">
                  <c:v>-9250</c:v>
                </c:pt>
                <c:pt idx="1388">
                  <c:v>-7375</c:v>
                </c:pt>
                <c:pt idx="1389">
                  <c:v>-5875</c:v>
                </c:pt>
                <c:pt idx="1390">
                  <c:v>-6500</c:v>
                </c:pt>
                <c:pt idx="1391">
                  <c:v>-8375</c:v>
                </c:pt>
                <c:pt idx="1392">
                  <c:v>-9000</c:v>
                </c:pt>
                <c:pt idx="1393">
                  <c:v>-8125</c:v>
                </c:pt>
                <c:pt idx="1394">
                  <c:v>-9875</c:v>
                </c:pt>
                <c:pt idx="1395">
                  <c:v>-13000</c:v>
                </c:pt>
                <c:pt idx="1396">
                  <c:v>-13500</c:v>
                </c:pt>
                <c:pt idx="1397">
                  <c:v>-13250</c:v>
                </c:pt>
                <c:pt idx="1398">
                  <c:v>-9625</c:v>
                </c:pt>
                <c:pt idx="1399">
                  <c:v>-12875</c:v>
                </c:pt>
                <c:pt idx="1400">
                  <c:v>-11875</c:v>
                </c:pt>
                <c:pt idx="1401">
                  <c:v>-11250</c:v>
                </c:pt>
                <c:pt idx="1402">
                  <c:v>-8875</c:v>
                </c:pt>
                <c:pt idx="1403">
                  <c:v>-7000</c:v>
                </c:pt>
                <c:pt idx="1404">
                  <c:v>-5875</c:v>
                </c:pt>
                <c:pt idx="1405">
                  <c:v>-7875</c:v>
                </c:pt>
                <c:pt idx="1406">
                  <c:v>-6875</c:v>
                </c:pt>
                <c:pt idx="1407">
                  <c:v>-7500</c:v>
                </c:pt>
                <c:pt idx="1408">
                  <c:v>-8125</c:v>
                </c:pt>
                <c:pt idx="1409">
                  <c:v>-9250</c:v>
                </c:pt>
                <c:pt idx="1410">
                  <c:v>-8125</c:v>
                </c:pt>
                <c:pt idx="1411">
                  <c:v>-7375</c:v>
                </c:pt>
                <c:pt idx="1412">
                  <c:v>-3375</c:v>
                </c:pt>
                <c:pt idx="1413">
                  <c:v>-4625</c:v>
                </c:pt>
                <c:pt idx="1414">
                  <c:v>-2125</c:v>
                </c:pt>
                <c:pt idx="1415">
                  <c:v>-2125</c:v>
                </c:pt>
                <c:pt idx="1416">
                  <c:v>-1875</c:v>
                </c:pt>
                <c:pt idx="1417">
                  <c:v>-4875</c:v>
                </c:pt>
                <c:pt idx="1418">
                  <c:v>-5125</c:v>
                </c:pt>
                <c:pt idx="1419">
                  <c:v>-5875</c:v>
                </c:pt>
                <c:pt idx="1420">
                  <c:v>-7250</c:v>
                </c:pt>
                <c:pt idx="1421">
                  <c:v>-7625</c:v>
                </c:pt>
                <c:pt idx="1422">
                  <c:v>-7000</c:v>
                </c:pt>
                <c:pt idx="1423">
                  <c:v>-2875</c:v>
                </c:pt>
                <c:pt idx="1424">
                  <c:v>-3375</c:v>
                </c:pt>
                <c:pt idx="1425">
                  <c:v>-4625</c:v>
                </c:pt>
                <c:pt idx="1426">
                  <c:v>-3000</c:v>
                </c:pt>
                <c:pt idx="1427">
                  <c:v>-1750</c:v>
                </c:pt>
                <c:pt idx="1428">
                  <c:v>-1750</c:v>
                </c:pt>
                <c:pt idx="1429">
                  <c:v>500</c:v>
                </c:pt>
                <c:pt idx="1430">
                  <c:v>1375</c:v>
                </c:pt>
                <c:pt idx="1431">
                  <c:v>250</c:v>
                </c:pt>
                <c:pt idx="1432">
                  <c:v>2375</c:v>
                </c:pt>
                <c:pt idx="1433">
                  <c:v>1125</c:v>
                </c:pt>
                <c:pt idx="1434">
                  <c:v>-2000</c:v>
                </c:pt>
                <c:pt idx="1435">
                  <c:v>-1750</c:v>
                </c:pt>
                <c:pt idx="1436">
                  <c:v>-1750</c:v>
                </c:pt>
                <c:pt idx="1437">
                  <c:v>-3875</c:v>
                </c:pt>
                <c:pt idx="1438">
                  <c:v>-5250</c:v>
                </c:pt>
                <c:pt idx="1439">
                  <c:v>-6500</c:v>
                </c:pt>
                <c:pt idx="1440">
                  <c:v>-3250</c:v>
                </c:pt>
                <c:pt idx="1441">
                  <c:v>625</c:v>
                </c:pt>
                <c:pt idx="1442">
                  <c:v>1125</c:v>
                </c:pt>
                <c:pt idx="1443">
                  <c:v>500</c:v>
                </c:pt>
                <c:pt idx="1444">
                  <c:v>-625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1445"/>
                <c:pt idx="0">
                  <c:v>50000</c:v>
                </c:pt>
                <c:pt idx="1">
                  <c:v>55500</c:v>
                </c:pt>
                <c:pt idx="2">
                  <c:v>52125</c:v>
                </c:pt>
                <c:pt idx="3">
                  <c:v>40250</c:v>
                </c:pt>
                <c:pt idx="4">
                  <c:v>40125</c:v>
                </c:pt>
                <c:pt idx="5">
                  <c:v>53125</c:v>
                </c:pt>
                <c:pt idx="6">
                  <c:v>67125</c:v>
                </c:pt>
                <c:pt idx="7">
                  <c:v>67750</c:v>
                </c:pt>
                <c:pt idx="8">
                  <c:v>62875</c:v>
                </c:pt>
                <c:pt idx="9">
                  <c:v>50750</c:v>
                </c:pt>
                <c:pt idx="10">
                  <c:v>35750</c:v>
                </c:pt>
                <c:pt idx="11">
                  <c:v>25375</c:v>
                </c:pt>
                <c:pt idx="12">
                  <c:v>21625</c:v>
                </c:pt>
                <c:pt idx="13">
                  <c:v>24625</c:v>
                </c:pt>
                <c:pt idx="14">
                  <c:v>25500</c:v>
                </c:pt>
                <c:pt idx="15">
                  <c:v>11750</c:v>
                </c:pt>
                <c:pt idx="16">
                  <c:v>13375</c:v>
                </c:pt>
                <c:pt idx="17">
                  <c:v>11375</c:v>
                </c:pt>
                <c:pt idx="18">
                  <c:v>4000</c:v>
                </c:pt>
                <c:pt idx="19">
                  <c:v>13375</c:v>
                </c:pt>
                <c:pt idx="20">
                  <c:v>21250</c:v>
                </c:pt>
                <c:pt idx="21">
                  <c:v>-18250</c:v>
                </c:pt>
                <c:pt idx="22">
                  <c:v>-2375</c:v>
                </c:pt>
                <c:pt idx="23">
                  <c:v>14000</c:v>
                </c:pt>
                <c:pt idx="24">
                  <c:v>-875</c:v>
                </c:pt>
                <c:pt idx="25">
                  <c:v>-2250</c:v>
                </c:pt>
                <c:pt idx="26">
                  <c:v>5750</c:v>
                </c:pt>
                <c:pt idx="27">
                  <c:v>11375</c:v>
                </c:pt>
                <c:pt idx="28">
                  <c:v>28000</c:v>
                </c:pt>
                <c:pt idx="29">
                  <c:v>38875</c:v>
                </c:pt>
                <c:pt idx="30">
                  <c:v>39125</c:v>
                </c:pt>
                <c:pt idx="31">
                  <c:v>41250</c:v>
                </c:pt>
                <c:pt idx="32">
                  <c:v>42250</c:v>
                </c:pt>
                <c:pt idx="33">
                  <c:v>46000</c:v>
                </c:pt>
                <c:pt idx="34">
                  <c:v>40875</c:v>
                </c:pt>
                <c:pt idx="35">
                  <c:v>35000</c:v>
                </c:pt>
                <c:pt idx="36">
                  <c:v>37500</c:v>
                </c:pt>
                <c:pt idx="37">
                  <c:v>34375</c:v>
                </c:pt>
                <c:pt idx="38">
                  <c:v>38750</c:v>
                </c:pt>
                <c:pt idx="39">
                  <c:v>39750</c:v>
                </c:pt>
                <c:pt idx="40">
                  <c:v>36375</c:v>
                </c:pt>
                <c:pt idx="41">
                  <c:v>26750</c:v>
                </c:pt>
                <c:pt idx="42">
                  <c:v>34750</c:v>
                </c:pt>
                <c:pt idx="43">
                  <c:v>48500</c:v>
                </c:pt>
                <c:pt idx="44">
                  <c:v>47875</c:v>
                </c:pt>
                <c:pt idx="45">
                  <c:v>39875</c:v>
                </c:pt>
                <c:pt idx="46">
                  <c:v>44000</c:v>
                </c:pt>
                <c:pt idx="47">
                  <c:v>33750</c:v>
                </c:pt>
                <c:pt idx="48">
                  <c:v>33875</c:v>
                </c:pt>
                <c:pt idx="49">
                  <c:v>34500</c:v>
                </c:pt>
                <c:pt idx="50">
                  <c:v>47250</c:v>
                </c:pt>
                <c:pt idx="51">
                  <c:v>46625</c:v>
                </c:pt>
                <c:pt idx="52">
                  <c:v>47000</c:v>
                </c:pt>
                <c:pt idx="53">
                  <c:v>51375</c:v>
                </c:pt>
                <c:pt idx="54">
                  <c:v>52250</c:v>
                </c:pt>
                <c:pt idx="55">
                  <c:v>45000</c:v>
                </c:pt>
                <c:pt idx="56">
                  <c:v>50875</c:v>
                </c:pt>
                <c:pt idx="57">
                  <c:v>53500</c:v>
                </c:pt>
                <c:pt idx="58">
                  <c:v>59250</c:v>
                </c:pt>
                <c:pt idx="59">
                  <c:v>60625</c:v>
                </c:pt>
                <c:pt idx="60">
                  <c:v>60875</c:v>
                </c:pt>
                <c:pt idx="61">
                  <c:v>70125</c:v>
                </c:pt>
                <c:pt idx="62">
                  <c:v>74125</c:v>
                </c:pt>
                <c:pt idx="63">
                  <c:v>76625</c:v>
                </c:pt>
                <c:pt idx="64">
                  <c:v>75250</c:v>
                </c:pt>
                <c:pt idx="65">
                  <c:v>63750</c:v>
                </c:pt>
                <c:pt idx="66">
                  <c:v>70250</c:v>
                </c:pt>
                <c:pt idx="67">
                  <c:v>69250</c:v>
                </c:pt>
                <c:pt idx="68">
                  <c:v>63000</c:v>
                </c:pt>
                <c:pt idx="69">
                  <c:v>56500</c:v>
                </c:pt>
                <c:pt idx="70">
                  <c:v>59500</c:v>
                </c:pt>
                <c:pt idx="71">
                  <c:v>61375</c:v>
                </c:pt>
                <c:pt idx="72">
                  <c:v>51875</c:v>
                </c:pt>
                <c:pt idx="73">
                  <c:v>51375</c:v>
                </c:pt>
                <c:pt idx="74">
                  <c:v>40125</c:v>
                </c:pt>
                <c:pt idx="75">
                  <c:v>35125</c:v>
                </c:pt>
                <c:pt idx="76">
                  <c:v>32375</c:v>
                </c:pt>
                <c:pt idx="77">
                  <c:v>34000</c:v>
                </c:pt>
                <c:pt idx="78">
                  <c:v>33500</c:v>
                </c:pt>
                <c:pt idx="79">
                  <c:v>15500</c:v>
                </c:pt>
                <c:pt idx="80">
                  <c:v>10875</c:v>
                </c:pt>
                <c:pt idx="81">
                  <c:v>13500</c:v>
                </c:pt>
                <c:pt idx="82">
                  <c:v>13500</c:v>
                </c:pt>
                <c:pt idx="83">
                  <c:v>5000</c:v>
                </c:pt>
                <c:pt idx="84">
                  <c:v>5625</c:v>
                </c:pt>
                <c:pt idx="85">
                  <c:v>-15000</c:v>
                </c:pt>
                <c:pt idx="86">
                  <c:v>-15625</c:v>
                </c:pt>
                <c:pt idx="87">
                  <c:v>-16250</c:v>
                </c:pt>
                <c:pt idx="88">
                  <c:v>-8125</c:v>
                </c:pt>
                <c:pt idx="89">
                  <c:v>-7625</c:v>
                </c:pt>
                <c:pt idx="90">
                  <c:v>-10875</c:v>
                </c:pt>
                <c:pt idx="91">
                  <c:v>11125</c:v>
                </c:pt>
                <c:pt idx="92">
                  <c:v>7250</c:v>
                </c:pt>
                <c:pt idx="93">
                  <c:v>7625</c:v>
                </c:pt>
                <c:pt idx="94">
                  <c:v>9125</c:v>
                </c:pt>
                <c:pt idx="95">
                  <c:v>9250</c:v>
                </c:pt>
                <c:pt idx="96">
                  <c:v>10625</c:v>
                </c:pt>
                <c:pt idx="97">
                  <c:v>11250</c:v>
                </c:pt>
                <c:pt idx="98">
                  <c:v>12625</c:v>
                </c:pt>
                <c:pt idx="99">
                  <c:v>15000</c:v>
                </c:pt>
                <c:pt idx="100">
                  <c:v>15875</c:v>
                </c:pt>
                <c:pt idx="101">
                  <c:v>14625</c:v>
                </c:pt>
                <c:pt idx="102">
                  <c:v>7000</c:v>
                </c:pt>
                <c:pt idx="103">
                  <c:v>14625</c:v>
                </c:pt>
                <c:pt idx="104">
                  <c:v>14375</c:v>
                </c:pt>
                <c:pt idx="105">
                  <c:v>10125</c:v>
                </c:pt>
                <c:pt idx="106">
                  <c:v>12000</c:v>
                </c:pt>
                <c:pt idx="107">
                  <c:v>10250</c:v>
                </c:pt>
                <c:pt idx="108">
                  <c:v>15000</c:v>
                </c:pt>
                <c:pt idx="109">
                  <c:v>16375</c:v>
                </c:pt>
                <c:pt idx="110">
                  <c:v>15125</c:v>
                </c:pt>
                <c:pt idx="111">
                  <c:v>19250</c:v>
                </c:pt>
                <c:pt idx="112">
                  <c:v>16625</c:v>
                </c:pt>
                <c:pt idx="113">
                  <c:v>12375</c:v>
                </c:pt>
                <c:pt idx="114">
                  <c:v>5625</c:v>
                </c:pt>
                <c:pt idx="115">
                  <c:v>9625</c:v>
                </c:pt>
                <c:pt idx="116">
                  <c:v>8625</c:v>
                </c:pt>
                <c:pt idx="117">
                  <c:v>-5375</c:v>
                </c:pt>
                <c:pt idx="118">
                  <c:v>-7875</c:v>
                </c:pt>
                <c:pt idx="119">
                  <c:v>-12375</c:v>
                </c:pt>
                <c:pt idx="120">
                  <c:v>-12500</c:v>
                </c:pt>
                <c:pt idx="121">
                  <c:v>-16250</c:v>
                </c:pt>
                <c:pt idx="122">
                  <c:v>-20125</c:v>
                </c:pt>
                <c:pt idx="123">
                  <c:v>-15500</c:v>
                </c:pt>
                <c:pt idx="124">
                  <c:v>-11750</c:v>
                </c:pt>
                <c:pt idx="125">
                  <c:v>-9750</c:v>
                </c:pt>
                <c:pt idx="126">
                  <c:v>-14000</c:v>
                </c:pt>
                <c:pt idx="127">
                  <c:v>-18500</c:v>
                </c:pt>
                <c:pt idx="128">
                  <c:v>-20500</c:v>
                </c:pt>
                <c:pt idx="129">
                  <c:v>-18750</c:v>
                </c:pt>
                <c:pt idx="130">
                  <c:v>-22000</c:v>
                </c:pt>
                <c:pt idx="131">
                  <c:v>-15750</c:v>
                </c:pt>
                <c:pt idx="132">
                  <c:v>-20875</c:v>
                </c:pt>
                <c:pt idx="133">
                  <c:v>-18375</c:v>
                </c:pt>
                <c:pt idx="134">
                  <c:v>-19750</c:v>
                </c:pt>
                <c:pt idx="135">
                  <c:v>-23875</c:v>
                </c:pt>
                <c:pt idx="136">
                  <c:v>-25500</c:v>
                </c:pt>
                <c:pt idx="137">
                  <c:v>-24375</c:v>
                </c:pt>
                <c:pt idx="138">
                  <c:v>-16000</c:v>
                </c:pt>
                <c:pt idx="139">
                  <c:v>-12375</c:v>
                </c:pt>
                <c:pt idx="140">
                  <c:v>-8250</c:v>
                </c:pt>
                <c:pt idx="141">
                  <c:v>-4500</c:v>
                </c:pt>
                <c:pt idx="142">
                  <c:v>-5125</c:v>
                </c:pt>
                <c:pt idx="143">
                  <c:v>750</c:v>
                </c:pt>
                <c:pt idx="144">
                  <c:v>6000</c:v>
                </c:pt>
                <c:pt idx="145">
                  <c:v>2875</c:v>
                </c:pt>
                <c:pt idx="146">
                  <c:v>6875</c:v>
                </c:pt>
                <c:pt idx="147">
                  <c:v>11625</c:v>
                </c:pt>
                <c:pt idx="148">
                  <c:v>12375</c:v>
                </c:pt>
                <c:pt idx="149">
                  <c:v>6625</c:v>
                </c:pt>
                <c:pt idx="150">
                  <c:v>7375</c:v>
                </c:pt>
                <c:pt idx="151">
                  <c:v>11375</c:v>
                </c:pt>
                <c:pt idx="152">
                  <c:v>11500</c:v>
                </c:pt>
                <c:pt idx="153">
                  <c:v>10125</c:v>
                </c:pt>
                <c:pt idx="154">
                  <c:v>-9875</c:v>
                </c:pt>
                <c:pt idx="155">
                  <c:v>-14750</c:v>
                </c:pt>
                <c:pt idx="156">
                  <c:v>-12000</c:v>
                </c:pt>
                <c:pt idx="157">
                  <c:v>-18375</c:v>
                </c:pt>
                <c:pt idx="158">
                  <c:v>-13500</c:v>
                </c:pt>
                <c:pt idx="159">
                  <c:v>-11625</c:v>
                </c:pt>
                <c:pt idx="160">
                  <c:v>-5750</c:v>
                </c:pt>
                <c:pt idx="161">
                  <c:v>500</c:v>
                </c:pt>
                <c:pt idx="162">
                  <c:v>1625</c:v>
                </c:pt>
                <c:pt idx="163">
                  <c:v>3750</c:v>
                </c:pt>
                <c:pt idx="164">
                  <c:v>3750</c:v>
                </c:pt>
                <c:pt idx="165">
                  <c:v>-250</c:v>
                </c:pt>
                <c:pt idx="166">
                  <c:v>2125</c:v>
                </c:pt>
                <c:pt idx="167">
                  <c:v>6125</c:v>
                </c:pt>
                <c:pt idx="168">
                  <c:v>4375</c:v>
                </c:pt>
                <c:pt idx="169">
                  <c:v>5500</c:v>
                </c:pt>
                <c:pt idx="170">
                  <c:v>6000</c:v>
                </c:pt>
                <c:pt idx="171">
                  <c:v>5250</c:v>
                </c:pt>
                <c:pt idx="172">
                  <c:v>5750</c:v>
                </c:pt>
                <c:pt idx="173">
                  <c:v>750</c:v>
                </c:pt>
                <c:pt idx="174">
                  <c:v>-875</c:v>
                </c:pt>
                <c:pt idx="175">
                  <c:v>2125</c:v>
                </c:pt>
                <c:pt idx="176">
                  <c:v>1000</c:v>
                </c:pt>
                <c:pt idx="177">
                  <c:v>-2250</c:v>
                </c:pt>
                <c:pt idx="178">
                  <c:v>1125</c:v>
                </c:pt>
                <c:pt idx="179">
                  <c:v>6000</c:v>
                </c:pt>
                <c:pt idx="180">
                  <c:v>-875</c:v>
                </c:pt>
                <c:pt idx="181">
                  <c:v>2625</c:v>
                </c:pt>
                <c:pt idx="182">
                  <c:v>3750</c:v>
                </c:pt>
                <c:pt idx="183">
                  <c:v>4875</c:v>
                </c:pt>
                <c:pt idx="184">
                  <c:v>6500</c:v>
                </c:pt>
                <c:pt idx="185">
                  <c:v>10125</c:v>
                </c:pt>
                <c:pt idx="186">
                  <c:v>13125</c:v>
                </c:pt>
                <c:pt idx="187">
                  <c:v>11125</c:v>
                </c:pt>
                <c:pt idx="188">
                  <c:v>11375</c:v>
                </c:pt>
                <c:pt idx="189">
                  <c:v>17000</c:v>
                </c:pt>
                <c:pt idx="190">
                  <c:v>15375</c:v>
                </c:pt>
                <c:pt idx="191">
                  <c:v>6750</c:v>
                </c:pt>
                <c:pt idx="192">
                  <c:v>5750</c:v>
                </c:pt>
                <c:pt idx="193">
                  <c:v>10750</c:v>
                </c:pt>
                <c:pt idx="194">
                  <c:v>17875</c:v>
                </c:pt>
                <c:pt idx="195">
                  <c:v>19375</c:v>
                </c:pt>
                <c:pt idx="196">
                  <c:v>17625</c:v>
                </c:pt>
                <c:pt idx="197">
                  <c:v>23375</c:v>
                </c:pt>
                <c:pt idx="198">
                  <c:v>24625</c:v>
                </c:pt>
                <c:pt idx="199">
                  <c:v>22875</c:v>
                </c:pt>
                <c:pt idx="200">
                  <c:v>12500</c:v>
                </c:pt>
                <c:pt idx="201">
                  <c:v>11500</c:v>
                </c:pt>
                <c:pt idx="202">
                  <c:v>11000</c:v>
                </c:pt>
                <c:pt idx="203">
                  <c:v>11125</c:v>
                </c:pt>
                <c:pt idx="204">
                  <c:v>10125</c:v>
                </c:pt>
                <c:pt idx="205">
                  <c:v>6625</c:v>
                </c:pt>
                <c:pt idx="206">
                  <c:v>625</c:v>
                </c:pt>
                <c:pt idx="207">
                  <c:v>-6000</c:v>
                </c:pt>
                <c:pt idx="208">
                  <c:v>11625</c:v>
                </c:pt>
                <c:pt idx="209">
                  <c:v>18250</c:v>
                </c:pt>
                <c:pt idx="210">
                  <c:v>21000</c:v>
                </c:pt>
                <c:pt idx="211">
                  <c:v>16625</c:v>
                </c:pt>
                <c:pt idx="212">
                  <c:v>18750</c:v>
                </c:pt>
                <c:pt idx="213">
                  <c:v>18750</c:v>
                </c:pt>
                <c:pt idx="214">
                  <c:v>15750</c:v>
                </c:pt>
                <c:pt idx="215">
                  <c:v>7875</c:v>
                </c:pt>
                <c:pt idx="216">
                  <c:v>6375</c:v>
                </c:pt>
                <c:pt idx="217">
                  <c:v>9500</c:v>
                </c:pt>
                <c:pt idx="218">
                  <c:v>2750</c:v>
                </c:pt>
                <c:pt idx="219">
                  <c:v>2625</c:v>
                </c:pt>
                <c:pt idx="220">
                  <c:v>-375</c:v>
                </c:pt>
                <c:pt idx="221">
                  <c:v>-7625</c:v>
                </c:pt>
                <c:pt idx="222">
                  <c:v>-1750</c:v>
                </c:pt>
                <c:pt idx="223">
                  <c:v>-3000</c:v>
                </c:pt>
                <c:pt idx="224">
                  <c:v>-125</c:v>
                </c:pt>
                <c:pt idx="225">
                  <c:v>250</c:v>
                </c:pt>
                <c:pt idx="226">
                  <c:v>-3625</c:v>
                </c:pt>
                <c:pt idx="227">
                  <c:v>-1750</c:v>
                </c:pt>
                <c:pt idx="228">
                  <c:v>14625</c:v>
                </c:pt>
                <c:pt idx="229">
                  <c:v>16250</c:v>
                </c:pt>
                <c:pt idx="230">
                  <c:v>21625</c:v>
                </c:pt>
                <c:pt idx="231">
                  <c:v>11000</c:v>
                </c:pt>
                <c:pt idx="232">
                  <c:v>13125</c:v>
                </c:pt>
                <c:pt idx="233">
                  <c:v>24750</c:v>
                </c:pt>
                <c:pt idx="234">
                  <c:v>19875</c:v>
                </c:pt>
                <c:pt idx="235">
                  <c:v>24125</c:v>
                </c:pt>
                <c:pt idx="236">
                  <c:v>18125</c:v>
                </c:pt>
                <c:pt idx="237">
                  <c:v>625</c:v>
                </c:pt>
                <c:pt idx="238">
                  <c:v>-6500</c:v>
                </c:pt>
                <c:pt idx="239">
                  <c:v>-6125</c:v>
                </c:pt>
                <c:pt idx="240">
                  <c:v>1125</c:v>
                </c:pt>
                <c:pt idx="241">
                  <c:v>8875</c:v>
                </c:pt>
                <c:pt idx="242">
                  <c:v>15125</c:v>
                </c:pt>
                <c:pt idx="243">
                  <c:v>19750</c:v>
                </c:pt>
                <c:pt idx="244">
                  <c:v>20375</c:v>
                </c:pt>
                <c:pt idx="245">
                  <c:v>6625</c:v>
                </c:pt>
                <c:pt idx="246">
                  <c:v>5750</c:v>
                </c:pt>
                <c:pt idx="247">
                  <c:v>-6375</c:v>
                </c:pt>
                <c:pt idx="248">
                  <c:v>-9250</c:v>
                </c:pt>
                <c:pt idx="249">
                  <c:v>-15500</c:v>
                </c:pt>
                <c:pt idx="250">
                  <c:v>-16625</c:v>
                </c:pt>
                <c:pt idx="251">
                  <c:v>-16375</c:v>
                </c:pt>
                <c:pt idx="252">
                  <c:v>-18750</c:v>
                </c:pt>
                <c:pt idx="253">
                  <c:v>-14375</c:v>
                </c:pt>
                <c:pt idx="254">
                  <c:v>-12500</c:v>
                </c:pt>
                <c:pt idx="255">
                  <c:v>-5250</c:v>
                </c:pt>
                <c:pt idx="256">
                  <c:v>500</c:v>
                </c:pt>
                <c:pt idx="257">
                  <c:v>2750</c:v>
                </c:pt>
                <c:pt idx="258">
                  <c:v>-1250</c:v>
                </c:pt>
                <c:pt idx="259">
                  <c:v>-5625</c:v>
                </c:pt>
                <c:pt idx="260">
                  <c:v>1625</c:v>
                </c:pt>
                <c:pt idx="261">
                  <c:v>3375</c:v>
                </c:pt>
                <c:pt idx="262">
                  <c:v>-6000</c:v>
                </c:pt>
                <c:pt idx="263">
                  <c:v>4125</c:v>
                </c:pt>
                <c:pt idx="264">
                  <c:v>8625</c:v>
                </c:pt>
                <c:pt idx="265">
                  <c:v>7875</c:v>
                </c:pt>
                <c:pt idx="266">
                  <c:v>-125</c:v>
                </c:pt>
                <c:pt idx="267">
                  <c:v>-125</c:v>
                </c:pt>
                <c:pt idx="268">
                  <c:v>17250</c:v>
                </c:pt>
                <c:pt idx="269">
                  <c:v>25000</c:v>
                </c:pt>
                <c:pt idx="270">
                  <c:v>28500</c:v>
                </c:pt>
                <c:pt idx="271">
                  <c:v>27000</c:v>
                </c:pt>
                <c:pt idx="272">
                  <c:v>39625</c:v>
                </c:pt>
                <c:pt idx="273">
                  <c:v>48250</c:v>
                </c:pt>
                <c:pt idx="274">
                  <c:v>62500</c:v>
                </c:pt>
                <c:pt idx="275">
                  <c:v>82750</c:v>
                </c:pt>
                <c:pt idx="276">
                  <c:v>79375</c:v>
                </c:pt>
                <c:pt idx="277">
                  <c:v>93000</c:v>
                </c:pt>
                <c:pt idx="278">
                  <c:v>86125</c:v>
                </c:pt>
                <c:pt idx="279">
                  <c:v>70375</c:v>
                </c:pt>
                <c:pt idx="280">
                  <c:v>92125</c:v>
                </c:pt>
                <c:pt idx="281">
                  <c:v>92875</c:v>
                </c:pt>
                <c:pt idx="282">
                  <c:v>110750</c:v>
                </c:pt>
                <c:pt idx="283">
                  <c:v>114750</c:v>
                </c:pt>
                <c:pt idx="284">
                  <c:v>120625</c:v>
                </c:pt>
                <c:pt idx="285">
                  <c:v>124375</c:v>
                </c:pt>
                <c:pt idx="286">
                  <c:v>134125</c:v>
                </c:pt>
                <c:pt idx="287">
                  <c:v>126625</c:v>
                </c:pt>
                <c:pt idx="288">
                  <c:v>116875</c:v>
                </c:pt>
                <c:pt idx="289">
                  <c:v>122000</c:v>
                </c:pt>
                <c:pt idx="290">
                  <c:v>114500</c:v>
                </c:pt>
                <c:pt idx="291">
                  <c:v>122625</c:v>
                </c:pt>
                <c:pt idx="292">
                  <c:v>133875</c:v>
                </c:pt>
                <c:pt idx="293">
                  <c:v>128750</c:v>
                </c:pt>
                <c:pt idx="294">
                  <c:v>116625</c:v>
                </c:pt>
                <c:pt idx="295">
                  <c:v>123125</c:v>
                </c:pt>
                <c:pt idx="296">
                  <c:v>129750</c:v>
                </c:pt>
                <c:pt idx="297">
                  <c:v>127000</c:v>
                </c:pt>
                <c:pt idx="298">
                  <c:v>122000</c:v>
                </c:pt>
                <c:pt idx="299">
                  <c:v>128500</c:v>
                </c:pt>
                <c:pt idx="300">
                  <c:v>136125</c:v>
                </c:pt>
                <c:pt idx="301">
                  <c:v>126875</c:v>
                </c:pt>
                <c:pt idx="302">
                  <c:v>118250</c:v>
                </c:pt>
                <c:pt idx="303">
                  <c:v>113250</c:v>
                </c:pt>
                <c:pt idx="304">
                  <c:v>119500</c:v>
                </c:pt>
                <c:pt idx="305">
                  <c:v>124250</c:v>
                </c:pt>
                <c:pt idx="306">
                  <c:v>123625</c:v>
                </c:pt>
                <c:pt idx="307">
                  <c:v>132125</c:v>
                </c:pt>
                <c:pt idx="308">
                  <c:v>140000</c:v>
                </c:pt>
                <c:pt idx="309">
                  <c:v>137875</c:v>
                </c:pt>
                <c:pt idx="310">
                  <c:v>128125</c:v>
                </c:pt>
                <c:pt idx="311">
                  <c:v>125625</c:v>
                </c:pt>
                <c:pt idx="312">
                  <c:v>122500</c:v>
                </c:pt>
                <c:pt idx="313">
                  <c:v>119750</c:v>
                </c:pt>
                <c:pt idx="314">
                  <c:v>129250</c:v>
                </c:pt>
                <c:pt idx="315">
                  <c:v>132250</c:v>
                </c:pt>
                <c:pt idx="316">
                  <c:v>125625</c:v>
                </c:pt>
                <c:pt idx="317">
                  <c:v>124125</c:v>
                </c:pt>
                <c:pt idx="318">
                  <c:v>120500</c:v>
                </c:pt>
                <c:pt idx="319">
                  <c:v>124125</c:v>
                </c:pt>
                <c:pt idx="320">
                  <c:v>123375</c:v>
                </c:pt>
                <c:pt idx="321">
                  <c:v>115000</c:v>
                </c:pt>
                <c:pt idx="322">
                  <c:v>116625</c:v>
                </c:pt>
                <c:pt idx="323">
                  <c:v>109625</c:v>
                </c:pt>
                <c:pt idx="324">
                  <c:v>112375</c:v>
                </c:pt>
                <c:pt idx="325">
                  <c:v>117000</c:v>
                </c:pt>
                <c:pt idx="326">
                  <c:v>102625</c:v>
                </c:pt>
                <c:pt idx="327">
                  <c:v>96625</c:v>
                </c:pt>
                <c:pt idx="328">
                  <c:v>103125</c:v>
                </c:pt>
                <c:pt idx="329">
                  <c:v>98750</c:v>
                </c:pt>
                <c:pt idx="330">
                  <c:v>100375</c:v>
                </c:pt>
                <c:pt idx="331">
                  <c:v>98375</c:v>
                </c:pt>
                <c:pt idx="332">
                  <c:v>97375</c:v>
                </c:pt>
                <c:pt idx="333">
                  <c:v>88750</c:v>
                </c:pt>
                <c:pt idx="334">
                  <c:v>83250</c:v>
                </c:pt>
                <c:pt idx="335">
                  <c:v>104375</c:v>
                </c:pt>
                <c:pt idx="336">
                  <c:v>105250</c:v>
                </c:pt>
                <c:pt idx="337">
                  <c:v>102500</c:v>
                </c:pt>
                <c:pt idx="338">
                  <c:v>105375</c:v>
                </c:pt>
                <c:pt idx="339">
                  <c:v>107625</c:v>
                </c:pt>
                <c:pt idx="340">
                  <c:v>100750</c:v>
                </c:pt>
                <c:pt idx="341">
                  <c:v>97500</c:v>
                </c:pt>
                <c:pt idx="342">
                  <c:v>94500</c:v>
                </c:pt>
                <c:pt idx="343">
                  <c:v>113750</c:v>
                </c:pt>
                <c:pt idx="344">
                  <c:v>102250</c:v>
                </c:pt>
                <c:pt idx="345">
                  <c:v>94125</c:v>
                </c:pt>
                <c:pt idx="346">
                  <c:v>94125</c:v>
                </c:pt>
                <c:pt idx="347">
                  <c:v>97750</c:v>
                </c:pt>
                <c:pt idx="348">
                  <c:v>106125</c:v>
                </c:pt>
                <c:pt idx="349">
                  <c:v>108250</c:v>
                </c:pt>
                <c:pt idx="350">
                  <c:v>107750</c:v>
                </c:pt>
                <c:pt idx="351">
                  <c:v>103125</c:v>
                </c:pt>
                <c:pt idx="352">
                  <c:v>103125</c:v>
                </c:pt>
                <c:pt idx="353">
                  <c:v>98250</c:v>
                </c:pt>
                <c:pt idx="354">
                  <c:v>95375</c:v>
                </c:pt>
                <c:pt idx="355">
                  <c:v>94750</c:v>
                </c:pt>
                <c:pt idx="356">
                  <c:v>96125</c:v>
                </c:pt>
                <c:pt idx="357">
                  <c:v>103000</c:v>
                </c:pt>
                <c:pt idx="358">
                  <c:v>103375</c:v>
                </c:pt>
                <c:pt idx="359">
                  <c:v>96875</c:v>
                </c:pt>
                <c:pt idx="360">
                  <c:v>93250</c:v>
                </c:pt>
                <c:pt idx="361">
                  <c:v>96250</c:v>
                </c:pt>
                <c:pt idx="362">
                  <c:v>97875</c:v>
                </c:pt>
                <c:pt idx="363">
                  <c:v>98375</c:v>
                </c:pt>
                <c:pt idx="364">
                  <c:v>96750</c:v>
                </c:pt>
                <c:pt idx="365">
                  <c:v>85125</c:v>
                </c:pt>
                <c:pt idx="366">
                  <c:v>90000</c:v>
                </c:pt>
                <c:pt idx="367">
                  <c:v>87500</c:v>
                </c:pt>
                <c:pt idx="368">
                  <c:v>89625</c:v>
                </c:pt>
                <c:pt idx="369">
                  <c:v>95250</c:v>
                </c:pt>
                <c:pt idx="370">
                  <c:v>98375</c:v>
                </c:pt>
                <c:pt idx="371">
                  <c:v>95875</c:v>
                </c:pt>
                <c:pt idx="372">
                  <c:v>99000</c:v>
                </c:pt>
                <c:pt idx="373">
                  <c:v>100500</c:v>
                </c:pt>
                <c:pt idx="374">
                  <c:v>102125</c:v>
                </c:pt>
                <c:pt idx="375">
                  <c:v>107375</c:v>
                </c:pt>
                <c:pt idx="376">
                  <c:v>103500</c:v>
                </c:pt>
                <c:pt idx="377">
                  <c:v>99000</c:v>
                </c:pt>
                <c:pt idx="378">
                  <c:v>100375</c:v>
                </c:pt>
                <c:pt idx="379">
                  <c:v>99000</c:v>
                </c:pt>
                <c:pt idx="380">
                  <c:v>102000</c:v>
                </c:pt>
                <c:pt idx="381">
                  <c:v>98625</c:v>
                </c:pt>
                <c:pt idx="382">
                  <c:v>93125</c:v>
                </c:pt>
                <c:pt idx="383">
                  <c:v>88750</c:v>
                </c:pt>
                <c:pt idx="384">
                  <c:v>87125</c:v>
                </c:pt>
                <c:pt idx="385">
                  <c:v>86500</c:v>
                </c:pt>
                <c:pt idx="386">
                  <c:v>83000</c:v>
                </c:pt>
                <c:pt idx="387">
                  <c:v>89125</c:v>
                </c:pt>
                <c:pt idx="388">
                  <c:v>85875</c:v>
                </c:pt>
                <c:pt idx="389">
                  <c:v>83625</c:v>
                </c:pt>
                <c:pt idx="390">
                  <c:v>76625</c:v>
                </c:pt>
                <c:pt idx="391">
                  <c:v>71750</c:v>
                </c:pt>
                <c:pt idx="392">
                  <c:v>74375</c:v>
                </c:pt>
                <c:pt idx="393">
                  <c:v>76500</c:v>
                </c:pt>
                <c:pt idx="394">
                  <c:v>71250</c:v>
                </c:pt>
                <c:pt idx="395">
                  <c:v>69625</c:v>
                </c:pt>
                <c:pt idx="396">
                  <c:v>70500</c:v>
                </c:pt>
                <c:pt idx="397">
                  <c:v>72500</c:v>
                </c:pt>
                <c:pt idx="398">
                  <c:v>69000</c:v>
                </c:pt>
                <c:pt idx="399">
                  <c:v>69500</c:v>
                </c:pt>
                <c:pt idx="400">
                  <c:v>65750</c:v>
                </c:pt>
                <c:pt idx="401">
                  <c:v>66625</c:v>
                </c:pt>
                <c:pt idx="402">
                  <c:v>70000</c:v>
                </c:pt>
                <c:pt idx="403">
                  <c:v>71250</c:v>
                </c:pt>
                <c:pt idx="404">
                  <c:v>73125</c:v>
                </c:pt>
                <c:pt idx="405">
                  <c:v>81625</c:v>
                </c:pt>
                <c:pt idx="406">
                  <c:v>85500</c:v>
                </c:pt>
                <c:pt idx="407">
                  <c:v>90000</c:v>
                </c:pt>
                <c:pt idx="408">
                  <c:v>88750</c:v>
                </c:pt>
                <c:pt idx="409">
                  <c:v>87875</c:v>
                </c:pt>
                <c:pt idx="410">
                  <c:v>88375</c:v>
                </c:pt>
                <c:pt idx="411">
                  <c:v>89375</c:v>
                </c:pt>
                <c:pt idx="412">
                  <c:v>85875</c:v>
                </c:pt>
                <c:pt idx="413">
                  <c:v>84875</c:v>
                </c:pt>
                <c:pt idx="414">
                  <c:v>84500</c:v>
                </c:pt>
                <c:pt idx="415">
                  <c:v>86000</c:v>
                </c:pt>
                <c:pt idx="416">
                  <c:v>89625</c:v>
                </c:pt>
                <c:pt idx="417">
                  <c:v>94375</c:v>
                </c:pt>
                <c:pt idx="418">
                  <c:v>94000</c:v>
                </c:pt>
                <c:pt idx="419">
                  <c:v>93250</c:v>
                </c:pt>
                <c:pt idx="420">
                  <c:v>90875</c:v>
                </c:pt>
                <c:pt idx="421">
                  <c:v>87750</c:v>
                </c:pt>
                <c:pt idx="422">
                  <c:v>85875</c:v>
                </c:pt>
                <c:pt idx="423">
                  <c:v>81375</c:v>
                </c:pt>
                <c:pt idx="424">
                  <c:v>80375</c:v>
                </c:pt>
                <c:pt idx="425">
                  <c:v>75125</c:v>
                </c:pt>
                <c:pt idx="426">
                  <c:v>71125</c:v>
                </c:pt>
                <c:pt idx="427">
                  <c:v>70625</c:v>
                </c:pt>
                <c:pt idx="428">
                  <c:v>69625</c:v>
                </c:pt>
                <c:pt idx="429">
                  <c:v>72875</c:v>
                </c:pt>
                <c:pt idx="430">
                  <c:v>70875</c:v>
                </c:pt>
                <c:pt idx="431">
                  <c:v>73750</c:v>
                </c:pt>
                <c:pt idx="432">
                  <c:v>71000</c:v>
                </c:pt>
                <c:pt idx="433">
                  <c:v>70375</c:v>
                </c:pt>
                <c:pt idx="434">
                  <c:v>71375</c:v>
                </c:pt>
                <c:pt idx="435">
                  <c:v>75625</c:v>
                </c:pt>
                <c:pt idx="436">
                  <c:v>79750</c:v>
                </c:pt>
                <c:pt idx="437">
                  <c:v>83750</c:v>
                </c:pt>
                <c:pt idx="438">
                  <c:v>87250</c:v>
                </c:pt>
                <c:pt idx="439">
                  <c:v>84000</c:v>
                </c:pt>
                <c:pt idx="440">
                  <c:v>89500</c:v>
                </c:pt>
                <c:pt idx="441">
                  <c:v>80125</c:v>
                </c:pt>
                <c:pt idx="442">
                  <c:v>77250</c:v>
                </c:pt>
                <c:pt idx="443">
                  <c:v>84250</c:v>
                </c:pt>
                <c:pt idx="444">
                  <c:v>91875</c:v>
                </c:pt>
                <c:pt idx="445">
                  <c:v>95125</c:v>
                </c:pt>
                <c:pt idx="446">
                  <c:v>92000</c:v>
                </c:pt>
                <c:pt idx="447">
                  <c:v>94875</c:v>
                </c:pt>
                <c:pt idx="448">
                  <c:v>95500</c:v>
                </c:pt>
                <c:pt idx="449">
                  <c:v>95625</c:v>
                </c:pt>
                <c:pt idx="450">
                  <c:v>100125</c:v>
                </c:pt>
                <c:pt idx="451">
                  <c:v>102750</c:v>
                </c:pt>
                <c:pt idx="452">
                  <c:v>104250</c:v>
                </c:pt>
                <c:pt idx="453">
                  <c:v>100750</c:v>
                </c:pt>
                <c:pt idx="454">
                  <c:v>102625</c:v>
                </c:pt>
                <c:pt idx="455">
                  <c:v>101375</c:v>
                </c:pt>
                <c:pt idx="456">
                  <c:v>105375</c:v>
                </c:pt>
                <c:pt idx="457">
                  <c:v>84875</c:v>
                </c:pt>
                <c:pt idx="458">
                  <c:v>84875</c:v>
                </c:pt>
                <c:pt idx="459">
                  <c:v>60375</c:v>
                </c:pt>
                <c:pt idx="460">
                  <c:v>54750</c:v>
                </c:pt>
                <c:pt idx="461">
                  <c:v>57000</c:v>
                </c:pt>
                <c:pt idx="462">
                  <c:v>53500</c:v>
                </c:pt>
                <c:pt idx="463">
                  <c:v>52000</c:v>
                </c:pt>
                <c:pt idx="464">
                  <c:v>53625</c:v>
                </c:pt>
                <c:pt idx="465">
                  <c:v>59000</c:v>
                </c:pt>
                <c:pt idx="466">
                  <c:v>59875</c:v>
                </c:pt>
                <c:pt idx="467">
                  <c:v>63875</c:v>
                </c:pt>
                <c:pt idx="468">
                  <c:v>65500</c:v>
                </c:pt>
                <c:pt idx="469">
                  <c:v>61750</c:v>
                </c:pt>
                <c:pt idx="470">
                  <c:v>67375</c:v>
                </c:pt>
                <c:pt idx="471">
                  <c:v>67000</c:v>
                </c:pt>
                <c:pt idx="472">
                  <c:v>60250</c:v>
                </c:pt>
                <c:pt idx="473">
                  <c:v>62375</c:v>
                </c:pt>
                <c:pt idx="474">
                  <c:v>59875</c:v>
                </c:pt>
                <c:pt idx="475">
                  <c:v>57500</c:v>
                </c:pt>
                <c:pt idx="476">
                  <c:v>56125</c:v>
                </c:pt>
                <c:pt idx="477">
                  <c:v>59125</c:v>
                </c:pt>
                <c:pt idx="478">
                  <c:v>59375</c:v>
                </c:pt>
                <c:pt idx="479">
                  <c:v>77875</c:v>
                </c:pt>
                <c:pt idx="480">
                  <c:v>80125</c:v>
                </c:pt>
                <c:pt idx="481">
                  <c:v>79250</c:v>
                </c:pt>
                <c:pt idx="482">
                  <c:v>86000</c:v>
                </c:pt>
                <c:pt idx="483">
                  <c:v>86875</c:v>
                </c:pt>
                <c:pt idx="484">
                  <c:v>77250</c:v>
                </c:pt>
                <c:pt idx="485">
                  <c:v>77250</c:v>
                </c:pt>
                <c:pt idx="486">
                  <c:v>74000</c:v>
                </c:pt>
                <c:pt idx="487">
                  <c:v>86250</c:v>
                </c:pt>
                <c:pt idx="488">
                  <c:v>82250</c:v>
                </c:pt>
                <c:pt idx="489">
                  <c:v>90750</c:v>
                </c:pt>
                <c:pt idx="490">
                  <c:v>88500</c:v>
                </c:pt>
                <c:pt idx="491">
                  <c:v>87625</c:v>
                </c:pt>
                <c:pt idx="492">
                  <c:v>84125</c:v>
                </c:pt>
                <c:pt idx="493">
                  <c:v>89125</c:v>
                </c:pt>
                <c:pt idx="494">
                  <c:v>86875</c:v>
                </c:pt>
                <c:pt idx="495">
                  <c:v>81375</c:v>
                </c:pt>
                <c:pt idx="496">
                  <c:v>91000</c:v>
                </c:pt>
                <c:pt idx="497">
                  <c:v>94250</c:v>
                </c:pt>
                <c:pt idx="498">
                  <c:v>92625</c:v>
                </c:pt>
                <c:pt idx="499">
                  <c:v>95625</c:v>
                </c:pt>
                <c:pt idx="500">
                  <c:v>95375</c:v>
                </c:pt>
                <c:pt idx="501">
                  <c:v>89375</c:v>
                </c:pt>
                <c:pt idx="502">
                  <c:v>94250</c:v>
                </c:pt>
                <c:pt idx="503">
                  <c:v>92375</c:v>
                </c:pt>
                <c:pt idx="504">
                  <c:v>90625</c:v>
                </c:pt>
                <c:pt idx="505">
                  <c:v>93625</c:v>
                </c:pt>
                <c:pt idx="506">
                  <c:v>93625</c:v>
                </c:pt>
                <c:pt idx="507">
                  <c:v>95750</c:v>
                </c:pt>
                <c:pt idx="508">
                  <c:v>87625</c:v>
                </c:pt>
                <c:pt idx="509">
                  <c:v>91000</c:v>
                </c:pt>
                <c:pt idx="510">
                  <c:v>87750</c:v>
                </c:pt>
                <c:pt idx="511">
                  <c:v>85125</c:v>
                </c:pt>
                <c:pt idx="512">
                  <c:v>90250</c:v>
                </c:pt>
                <c:pt idx="513">
                  <c:v>95125</c:v>
                </c:pt>
                <c:pt idx="514">
                  <c:v>98125</c:v>
                </c:pt>
                <c:pt idx="515">
                  <c:v>103625</c:v>
                </c:pt>
                <c:pt idx="516">
                  <c:v>99750</c:v>
                </c:pt>
                <c:pt idx="517">
                  <c:v>96000</c:v>
                </c:pt>
                <c:pt idx="518">
                  <c:v>89875</c:v>
                </c:pt>
                <c:pt idx="519">
                  <c:v>91375</c:v>
                </c:pt>
                <c:pt idx="520">
                  <c:v>94875</c:v>
                </c:pt>
                <c:pt idx="521">
                  <c:v>97375</c:v>
                </c:pt>
                <c:pt idx="522">
                  <c:v>95500</c:v>
                </c:pt>
                <c:pt idx="523">
                  <c:v>91125</c:v>
                </c:pt>
                <c:pt idx="524">
                  <c:v>98375</c:v>
                </c:pt>
                <c:pt idx="525">
                  <c:v>102125</c:v>
                </c:pt>
                <c:pt idx="526">
                  <c:v>106375</c:v>
                </c:pt>
                <c:pt idx="527">
                  <c:v>109875</c:v>
                </c:pt>
                <c:pt idx="528">
                  <c:v>115125</c:v>
                </c:pt>
                <c:pt idx="529">
                  <c:v>117500</c:v>
                </c:pt>
                <c:pt idx="530">
                  <c:v>122000</c:v>
                </c:pt>
                <c:pt idx="531">
                  <c:v>116125</c:v>
                </c:pt>
                <c:pt idx="532">
                  <c:v>110250</c:v>
                </c:pt>
                <c:pt idx="533">
                  <c:v>114000</c:v>
                </c:pt>
                <c:pt idx="534">
                  <c:v>111250</c:v>
                </c:pt>
                <c:pt idx="535">
                  <c:v>112125</c:v>
                </c:pt>
                <c:pt idx="536">
                  <c:v>113875</c:v>
                </c:pt>
                <c:pt idx="537">
                  <c:v>112500</c:v>
                </c:pt>
                <c:pt idx="538">
                  <c:v>103750</c:v>
                </c:pt>
                <c:pt idx="539">
                  <c:v>96125</c:v>
                </c:pt>
                <c:pt idx="540">
                  <c:v>89750</c:v>
                </c:pt>
                <c:pt idx="541">
                  <c:v>88875</c:v>
                </c:pt>
                <c:pt idx="542">
                  <c:v>86125</c:v>
                </c:pt>
                <c:pt idx="543">
                  <c:v>88125</c:v>
                </c:pt>
                <c:pt idx="544">
                  <c:v>91250</c:v>
                </c:pt>
                <c:pt idx="545">
                  <c:v>85500</c:v>
                </c:pt>
                <c:pt idx="546">
                  <c:v>80875</c:v>
                </c:pt>
                <c:pt idx="547">
                  <c:v>76125</c:v>
                </c:pt>
                <c:pt idx="548">
                  <c:v>77625</c:v>
                </c:pt>
                <c:pt idx="549">
                  <c:v>76125</c:v>
                </c:pt>
                <c:pt idx="550">
                  <c:v>77375</c:v>
                </c:pt>
                <c:pt idx="551">
                  <c:v>75625</c:v>
                </c:pt>
                <c:pt idx="552">
                  <c:v>78750</c:v>
                </c:pt>
                <c:pt idx="553">
                  <c:v>71125</c:v>
                </c:pt>
                <c:pt idx="554">
                  <c:v>73000</c:v>
                </c:pt>
                <c:pt idx="555">
                  <c:v>81125</c:v>
                </c:pt>
                <c:pt idx="556">
                  <c:v>78500</c:v>
                </c:pt>
                <c:pt idx="557">
                  <c:v>86500</c:v>
                </c:pt>
                <c:pt idx="558">
                  <c:v>85000</c:v>
                </c:pt>
                <c:pt idx="559">
                  <c:v>91125</c:v>
                </c:pt>
                <c:pt idx="560">
                  <c:v>87125</c:v>
                </c:pt>
                <c:pt idx="561">
                  <c:v>90750</c:v>
                </c:pt>
                <c:pt idx="562">
                  <c:v>102375</c:v>
                </c:pt>
                <c:pt idx="563">
                  <c:v>94125</c:v>
                </c:pt>
                <c:pt idx="564">
                  <c:v>92625</c:v>
                </c:pt>
                <c:pt idx="565">
                  <c:v>91750</c:v>
                </c:pt>
                <c:pt idx="566">
                  <c:v>86250</c:v>
                </c:pt>
                <c:pt idx="567">
                  <c:v>87125</c:v>
                </c:pt>
                <c:pt idx="568">
                  <c:v>89375</c:v>
                </c:pt>
                <c:pt idx="569">
                  <c:v>84125</c:v>
                </c:pt>
                <c:pt idx="570">
                  <c:v>88125</c:v>
                </c:pt>
                <c:pt idx="571">
                  <c:v>80250</c:v>
                </c:pt>
                <c:pt idx="572">
                  <c:v>79000</c:v>
                </c:pt>
                <c:pt idx="573">
                  <c:v>79875</c:v>
                </c:pt>
                <c:pt idx="574">
                  <c:v>75375</c:v>
                </c:pt>
                <c:pt idx="575">
                  <c:v>75250</c:v>
                </c:pt>
                <c:pt idx="576">
                  <c:v>73375</c:v>
                </c:pt>
                <c:pt idx="577">
                  <c:v>73000</c:v>
                </c:pt>
                <c:pt idx="578">
                  <c:v>72250</c:v>
                </c:pt>
                <c:pt idx="579">
                  <c:v>73750</c:v>
                </c:pt>
                <c:pt idx="580">
                  <c:v>70750</c:v>
                </c:pt>
                <c:pt idx="581">
                  <c:v>71250</c:v>
                </c:pt>
                <c:pt idx="582">
                  <c:v>69375</c:v>
                </c:pt>
                <c:pt idx="583">
                  <c:v>73375</c:v>
                </c:pt>
                <c:pt idx="584">
                  <c:v>72750</c:v>
                </c:pt>
                <c:pt idx="585">
                  <c:v>72375</c:v>
                </c:pt>
                <c:pt idx="586">
                  <c:v>67500</c:v>
                </c:pt>
                <c:pt idx="587">
                  <c:v>63875</c:v>
                </c:pt>
                <c:pt idx="588">
                  <c:v>64875</c:v>
                </c:pt>
                <c:pt idx="589">
                  <c:v>65875</c:v>
                </c:pt>
                <c:pt idx="590">
                  <c:v>67000</c:v>
                </c:pt>
                <c:pt idx="591">
                  <c:v>69125</c:v>
                </c:pt>
                <c:pt idx="592">
                  <c:v>66000</c:v>
                </c:pt>
                <c:pt idx="593">
                  <c:v>67000</c:v>
                </c:pt>
                <c:pt idx="594">
                  <c:v>64125</c:v>
                </c:pt>
                <c:pt idx="595">
                  <c:v>62375</c:v>
                </c:pt>
                <c:pt idx="596">
                  <c:v>66625</c:v>
                </c:pt>
                <c:pt idx="597">
                  <c:v>66375</c:v>
                </c:pt>
                <c:pt idx="598">
                  <c:v>66375</c:v>
                </c:pt>
                <c:pt idx="599">
                  <c:v>66750</c:v>
                </c:pt>
                <c:pt idx="600">
                  <c:v>66875</c:v>
                </c:pt>
                <c:pt idx="601">
                  <c:v>65375</c:v>
                </c:pt>
                <c:pt idx="602">
                  <c:v>66875</c:v>
                </c:pt>
                <c:pt idx="603">
                  <c:v>65125</c:v>
                </c:pt>
                <c:pt idx="604">
                  <c:v>65500</c:v>
                </c:pt>
                <c:pt idx="605">
                  <c:v>60875</c:v>
                </c:pt>
                <c:pt idx="606">
                  <c:v>60625</c:v>
                </c:pt>
                <c:pt idx="607">
                  <c:v>60625</c:v>
                </c:pt>
                <c:pt idx="608">
                  <c:v>58875</c:v>
                </c:pt>
                <c:pt idx="609">
                  <c:v>59125</c:v>
                </c:pt>
                <c:pt idx="610">
                  <c:v>58625</c:v>
                </c:pt>
                <c:pt idx="611">
                  <c:v>57625</c:v>
                </c:pt>
                <c:pt idx="612">
                  <c:v>55875</c:v>
                </c:pt>
                <c:pt idx="613">
                  <c:v>55875</c:v>
                </c:pt>
                <c:pt idx="614">
                  <c:v>57625</c:v>
                </c:pt>
                <c:pt idx="615">
                  <c:v>62250</c:v>
                </c:pt>
                <c:pt idx="616">
                  <c:v>60375</c:v>
                </c:pt>
                <c:pt idx="617">
                  <c:v>58250</c:v>
                </c:pt>
                <c:pt idx="618">
                  <c:v>57375</c:v>
                </c:pt>
                <c:pt idx="619">
                  <c:v>51875</c:v>
                </c:pt>
                <c:pt idx="620">
                  <c:v>53000</c:v>
                </c:pt>
                <c:pt idx="621">
                  <c:v>54000</c:v>
                </c:pt>
                <c:pt idx="622">
                  <c:v>56125</c:v>
                </c:pt>
                <c:pt idx="623">
                  <c:v>56125</c:v>
                </c:pt>
                <c:pt idx="624">
                  <c:v>56750</c:v>
                </c:pt>
                <c:pt idx="625">
                  <c:v>54125</c:v>
                </c:pt>
                <c:pt idx="626">
                  <c:v>54000</c:v>
                </c:pt>
                <c:pt idx="627">
                  <c:v>52750</c:v>
                </c:pt>
                <c:pt idx="628">
                  <c:v>53000</c:v>
                </c:pt>
                <c:pt idx="629">
                  <c:v>55625</c:v>
                </c:pt>
                <c:pt idx="630">
                  <c:v>57375</c:v>
                </c:pt>
                <c:pt idx="631">
                  <c:v>57125</c:v>
                </c:pt>
                <c:pt idx="632">
                  <c:v>56000</c:v>
                </c:pt>
                <c:pt idx="633">
                  <c:v>59125</c:v>
                </c:pt>
                <c:pt idx="634">
                  <c:v>58875</c:v>
                </c:pt>
                <c:pt idx="635">
                  <c:v>60875</c:v>
                </c:pt>
                <c:pt idx="636">
                  <c:v>58000</c:v>
                </c:pt>
                <c:pt idx="637">
                  <c:v>54625</c:v>
                </c:pt>
                <c:pt idx="638">
                  <c:v>54000</c:v>
                </c:pt>
                <c:pt idx="639">
                  <c:v>55000</c:v>
                </c:pt>
                <c:pt idx="640">
                  <c:v>54000</c:v>
                </c:pt>
                <c:pt idx="641">
                  <c:v>56125</c:v>
                </c:pt>
                <c:pt idx="642">
                  <c:v>57750</c:v>
                </c:pt>
                <c:pt idx="643">
                  <c:v>58625</c:v>
                </c:pt>
                <c:pt idx="644">
                  <c:v>58750</c:v>
                </c:pt>
                <c:pt idx="645">
                  <c:v>55125</c:v>
                </c:pt>
                <c:pt idx="646">
                  <c:v>55000</c:v>
                </c:pt>
                <c:pt idx="647">
                  <c:v>53250</c:v>
                </c:pt>
                <c:pt idx="648">
                  <c:v>52750</c:v>
                </c:pt>
                <c:pt idx="649">
                  <c:v>50750</c:v>
                </c:pt>
                <c:pt idx="650">
                  <c:v>53250</c:v>
                </c:pt>
                <c:pt idx="651">
                  <c:v>54750</c:v>
                </c:pt>
                <c:pt idx="652">
                  <c:v>54875</c:v>
                </c:pt>
                <c:pt idx="653">
                  <c:v>50875</c:v>
                </c:pt>
                <c:pt idx="654">
                  <c:v>47125</c:v>
                </c:pt>
                <c:pt idx="655">
                  <c:v>55750</c:v>
                </c:pt>
                <c:pt idx="656">
                  <c:v>58625</c:v>
                </c:pt>
                <c:pt idx="657">
                  <c:v>56875</c:v>
                </c:pt>
                <c:pt idx="658">
                  <c:v>54750</c:v>
                </c:pt>
                <c:pt idx="659">
                  <c:v>54750</c:v>
                </c:pt>
                <c:pt idx="660">
                  <c:v>53375</c:v>
                </c:pt>
                <c:pt idx="661">
                  <c:v>53250</c:v>
                </c:pt>
                <c:pt idx="662">
                  <c:v>54500</c:v>
                </c:pt>
                <c:pt idx="663">
                  <c:v>56125</c:v>
                </c:pt>
                <c:pt idx="664">
                  <c:v>56250</c:v>
                </c:pt>
                <c:pt idx="665">
                  <c:v>57375</c:v>
                </c:pt>
                <c:pt idx="666">
                  <c:v>57750</c:v>
                </c:pt>
                <c:pt idx="667">
                  <c:v>55375</c:v>
                </c:pt>
                <c:pt idx="668">
                  <c:v>58000</c:v>
                </c:pt>
                <c:pt idx="669">
                  <c:v>57375</c:v>
                </c:pt>
                <c:pt idx="670">
                  <c:v>59500</c:v>
                </c:pt>
                <c:pt idx="671">
                  <c:v>61875</c:v>
                </c:pt>
                <c:pt idx="672">
                  <c:v>63250</c:v>
                </c:pt>
                <c:pt idx="673">
                  <c:v>62875</c:v>
                </c:pt>
                <c:pt idx="674">
                  <c:v>63250</c:v>
                </c:pt>
                <c:pt idx="675">
                  <c:v>62000</c:v>
                </c:pt>
                <c:pt idx="676">
                  <c:v>62375</c:v>
                </c:pt>
                <c:pt idx="677">
                  <c:v>61500</c:v>
                </c:pt>
                <c:pt idx="678">
                  <c:v>61125</c:v>
                </c:pt>
                <c:pt idx="679">
                  <c:v>63500</c:v>
                </c:pt>
                <c:pt idx="680">
                  <c:v>65625</c:v>
                </c:pt>
                <c:pt idx="681">
                  <c:v>68125</c:v>
                </c:pt>
                <c:pt idx="682">
                  <c:v>69125</c:v>
                </c:pt>
                <c:pt idx="683">
                  <c:v>68875</c:v>
                </c:pt>
                <c:pt idx="684">
                  <c:v>66625</c:v>
                </c:pt>
                <c:pt idx="685">
                  <c:v>67875</c:v>
                </c:pt>
                <c:pt idx="686">
                  <c:v>70375</c:v>
                </c:pt>
                <c:pt idx="687">
                  <c:v>66875</c:v>
                </c:pt>
                <c:pt idx="688">
                  <c:v>70250</c:v>
                </c:pt>
                <c:pt idx="689">
                  <c:v>71625</c:v>
                </c:pt>
                <c:pt idx="690">
                  <c:v>78000</c:v>
                </c:pt>
                <c:pt idx="691">
                  <c:v>78500</c:v>
                </c:pt>
                <c:pt idx="692">
                  <c:v>85125</c:v>
                </c:pt>
                <c:pt idx="693">
                  <c:v>82750</c:v>
                </c:pt>
                <c:pt idx="694">
                  <c:v>77750</c:v>
                </c:pt>
                <c:pt idx="695">
                  <c:v>80250</c:v>
                </c:pt>
                <c:pt idx="696">
                  <c:v>83500</c:v>
                </c:pt>
                <c:pt idx="697">
                  <c:v>83125</c:v>
                </c:pt>
                <c:pt idx="698">
                  <c:v>81125</c:v>
                </c:pt>
                <c:pt idx="699">
                  <c:v>80125</c:v>
                </c:pt>
                <c:pt idx="700">
                  <c:v>83250</c:v>
                </c:pt>
                <c:pt idx="701">
                  <c:v>84875</c:v>
                </c:pt>
                <c:pt idx="702">
                  <c:v>79375</c:v>
                </c:pt>
                <c:pt idx="703">
                  <c:v>80125</c:v>
                </c:pt>
                <c:pt idx="704">
                  <c:v>84375</c:v>
                </c:pt>
                <c:pt idx="705">
                  <c:v>82875</c:v>
                </c:pt>
                <c:pt idx="706">
                  <c:v>81750</c:v>
                </c:pt>
                <c:pt idx="707">
                  <c:v>85750</c:v>
                </c:pt>
                <c:pt idx="708">
                  <c:v>86750</c:v>
                </c:pt>
                <c:pt idx="709">
                  <c:v>90500</c:v>
                </c:pt>
                <c:pt idx="710">
                  <c:v>93875</c:v>
                </c:pt>
                <c:pt idx="711">
                  <c:v>87125</c:v>
                </c:pt>
                <c:pt idx="712">
                  <c:v>88500</c:v>
                </c:pt>
                <c:pt idx="713">
                  <c:v>89625</c:v>
                </c:pt>
                <c:pt idx="714">
                  <c:v>89000</c:v>
                </c:pt>
                <c:pt idx="715">
                  <c:v>93375</c:v>
                </c:pt>
                <c:pt idx="716">
                  <c:v>92125</c:v>
                </c:pt>
                <c:pt idx="717">
                  <c:v>91125</c:v>
                </c:pt>
                <c:pt idx="718">
                  <c:v>89500</c:v>
                </c:pt>
                <c:pt idx="719">
                  <c:v>92000</c:v>
                </c:pt>
                <c:pt idx="720">
                  <c:v>91375</c:v>
                </c:pt>
                <c:pt idx="721">
                  <c:v>88250</c:v>
                </c:pt>
                <c:pt idx="722">
                  <c:v>86750</c:v>
                </c:pt>
                <c:pt idx="723">
                  <c:v>87375</c:v>
                </c:pt>
                <c:pt idx="724">
                  <c:v>83625</c:v>
                </c:pt>
                <c:pt idx="725">
                  <c:v>89000</c:v>
                </c:pt>
                <c:pt idx="726">
                  <c:v>91250</c:v>
                </c:pt>
                <c:pt idx="727">
                  <c:v>90625</c:v>
                </c:pt>
                <c:pt idx="728">
                  <c:v>93500</c:v>
                </c:pt>
                <c:pt idx="729">
                  <c:v>94375</c:v>
                </c:pt>
                <c:pt idx="730">
                  <c:v>97125</c:v>
                </c:pt>
                <c:pt idx="731">
                  <c:v>96500</c:v>
                </c:pt>
                <c:pt idx="732">
                  <c:v>91750</c:v>
                </c:pt>
                <c:pt idx="733">
                  <c:v>86375</c:v>
                </c:pt>
                <c:pt idx="734">
                  <c:v>91750</c:v>
                </c:pt>
                <c:pt idx="735">
                  <c:v>96625</c:v>
                </c:pt>
                <c:pt idx="736">
                  <c:v>93625</c:v>
                </c:pt>
                <c:pt idx="737">
                  <c:v>96625</c:v>
                </c:pt>
                <c:pt idx="738">
                  <c:v>93375</c:v>
                </c:pt>
                <c:pt idx="739">
                  <c:v>88875</c:v>
                </c:pt>
                <c:pt idx="740">
                  <c:v>89875</c:v>
                </c:pt>
                <c:pt idx="741">
                  <c:v>87250</c:v>
                </c:pt>
                <c:pt idx="742">
                  <c:v>81250</c:v>
                </c:pt>
                <c:pt idx="743">
                  <c:v>80250</c:v>
                </c:pt>
                <c:pt idx="744">
                  <c:v>77750</c:v>
                </c:pt>
                <c:pt idx="745">
                  <c:v>76250</c:v>
                </c:pt>
                <c:pt idx="746">
                  <c:v>76375</c:v>
                </c:pt>
                <c:pt idx="747">
                  <c:v>77000</c:v>
                </c:pt>
                <c:pt idx="748">
                  <c:v>77875</c:v>
                </c:pt>
                <c:pt idx="749">
                  <c:v>74375</c:v>
                </c:pt>
                <c:pt idx="750">
                  <c:v>75125</c:v>
                </c:pt>
                <c:pt idx="751">
                  <c:v>73500</c:v>
                </c:pt>
                <c:pt idx="752">
                  <c:v>72625</c:v>
                </c:pt>
                <c:pt idx="753">
                  <c:v>72625</c:v>
                </c:pt>
                <c:pt idx="754">
                  <c:v>67875</c:v>
                </c:pt>
                <c:pt idx="755">
                  <c:v>67375</c:v>
                </c:pt>
                <c:pt idx="756">
                  <c:v>64375</c:v>
                </c:pt>
                <c:pt idx="757">
                  <c:v>67625</c:v>
                </c:pt>
                <c:pt idx="758">
                  <c:v>62875</c:v>
                </c:pt>
                <c:pt idx="759">
                  <c:v>62375</c:v>
                </c:pt>
                <c:pt idx="760">
                  <c:v>59250</c:v>
                </c:pt>
                <c:pt idx="761">
                  <c:v>60375</c:v>
                </c:pt>
                <c:pt idx="762">
                  <c:v>61625</c:v>
                </c:pt>
                <c:pt idx="763">
                  <c:v>59875</c:v>
                </c:pt>
                <c:pt idx="764">
                  <c:v>58625</c:v>
                </c:pt>
                <c:pt idx="765">
                  <c:v>60375</c:v>
                </c:pt>
                <c:pt idx="766">
                  <c:v>64125</c:v>
                </c:pt>
                <c:pt idx="767">
                  <c:v>65250</c:v>
                </c:pt>
                <c:pt idx="768">
                  <c:v>61875</c:v>
                </c:pt>
                <c:pt idx="769">
                  <c:v>60500</c:v>
                </c:pt>
                <c:pt idx="770">
                  <c:v>59375</c:v>
                </c:pt>
                <c:pt idx="771">
                  <c:v>61500</c:v>
                </c:pt>
                <c:pt idx="772">
                  <c:v>59875</c:v>
                </c:pt>
                <c:pt idx="773">
                  <c:v>51625</c:v>
                </c:pt>
                <c:pt idx="774">
                  <c:v>50000</c:v>
                </c:pt>
                <c:pt idx="775">
                  <c:v>48250</c:v>
                </c:pt>
                <c:pt idx="776">
                  <c:v>47750</c:v>
                </c:pt>
                <c:pt idx="777">
                  <c:v>43750</c:v>
                </c:pt>
                <c:pt idx="778">
                  <c:v>43500</c:v>
                </c:pt>
                <c:pt idx="779">
                  <c:v>41375</c:v>
                </c:pt>
                <c:pt idx="780">
                  <c:v>39750</c:v>
                </c:pt>
                <c:pt idx="781">
                  <c:v>36750</c:v>
                </c:pt>
                <c:pt idx="782">
                  <c:v>40500</c:v>
                </c:pt>
                <c:pt idx="783">
                  <c:v>37375</c:v>
                </c:pt>
                <c:pt idx="784">
                  <c:v>38000</c:v>
                </c:pt>
                <c:pt idx="785">
                  <c:v>39750</c:v>
                </c:pt>
                <c:pt idx="786">
                  <c:v>36000</c:v>
                </c:pt>
                <c:pt idx="787">
                  <c:v>32500</c:v>
                </c:pt>
                <c:pt idx="788">
                  <c:v>30500</c:v>
                </c:pt>
                <c:pt idx="789">
                  <c:v>31000</c:v>
                </c:pt>
                <c:pt idx="790">
                  <c:v>30250</c:v>
                </c:pt>
                <c:pt idx="791">
                  <c:v>31125</c:v>
                </c:pt>
                <c:pt idx="792">
                  <c:v>34000</c:v>
                </c:pt>
                <c:pt idx="793">
                  <c:v>30500</c:v>
                </c:pt>
                <c:pt idx="794">
                  <c:v>30250</c:v>
                </c:pt>
                <c:pt idx="795">
                  <c:v>28875</c:v>
                </c:pt>
                <c:pt idx="796">
                  <c:v>27000</c:v>
                </c:pt>
                <c:pt idx="797">
                  <c:v>29625</c:v>
                </c:pt>
                <c:pt idx="798">
                  <c:v>27375</c:v>
                </c:pt>
                <c:pt idx="799">
                  <c:v>30875</c:v>
                </c:pt>
                <c:pt idx="800">
                  <c:v>28875</c:v>
                </c:pt>
                <c:pt idx="801">
                  <c:v>26000</c:v>
                </c:pt>
                <c:pt idx="802">
                  <c:v>27750</c:v>
                </c:pt>
                <c:pt idx="803">
                  <c:v>29500</c:v>
                </c:pt>
                <c:pt idx="804">
                  <c:v>29125</c:v>
                </c:pt>
                <c:pt idx="805">
                  <c:v>31000</c:v>
                </c:pt>
                <c:pt idx="806">
                  <c:v>32875</c:v>
                </c:pt>
                <c:pt idx="807">
                  <c:v>30625</c:v>
                </c:pt>
                <c:pt idx="808">
                  <c:v>30750</c:v>
                </c:pt>
                <c:pt idx="809">
                  <c:v>29250</c:v>
                </c:pt>
                <c:pt idx="810">
                  <c:v>31500</c:v>
                </c:pt>
                <c:pt idx="811">
                  <c:v>33125</c:v>
                </c:pt>
                <c:pt idx="812">
                  <c:v>30125</c:v>
                </c:pt>
                <c:pt idx="813">
                  <c:v>27375</c:v>
                </c:pt>
                <c:pt idx="814">
                  <c:v>27375</c:v>
                </c:pt>
                <c:pt idx="815">
                  <c:v>30125</c:v>
                </c:pt>
                <c:pt idx="816">
                  <c:v>28375</c:v>
                </c:pt>
                <c:pt idx="817">
                  <c:v>27875</c:v>
                </c:pt>
                <c:pt idx="818">
                  <c:v>21250</c:v>
                </c:pt>
                <c:pt idx="819">
                  <c:v>18000</c:v>
                </c:pt>
                <c:pt idx="820">
                  <c:v>22625</c:v>
                </c:pt>
                <c:pt idx="821">
                  <c:v>19250</c:v>
                </c:pt>
                <c:pt idx="822">
                  <c:v>18000</c:v>
                </c:pt>
                <c:pt idx="823">
                  <c:v>19875</c:v>
                </c:pt>
                <c:pt idx="824">
                  <c:v>16125</c:v>
                </c:pt>
                <c:pt idx="825">
                  <c:v>15750</c:v>
                </c:pt>
                <c:pt idx="826">
                  <c:v>18000</c:v>
                </c:pt>
                <c:pt idx="827">
                  <c:v>18875</c:v>
                </c:pt>
                <c:pt idx="828">
                  <c:v>17250</c:v>
                </c:pt>
                <c:pt idx="829">
                  <c:v>15875</c:v>
                </c:pt>
                <c:pt idx="830">
                  <c:v>12875</c:v>
                </c:pt>
                <c:pt idx="831">
                  <c:v>11750</c:v>
                </c:pt>
                <c:pt idx="832">
                  <c:v>9375</c:v>
                </c:pt>
                <c:pt idx="833">
                  <c:v>11250</c:v>
                </c:pt>
                <c:pt idx="834">
                  <c:v>9500</c:v>
                </c:pt>
                <c:pt idx="835">
                  <c:v>8250</c:v>
                </c:pt>
                <c:pt idx="836">
                  <c:v>9250</c:v>
                </c:pt>
                <c:pt idx="837">
                  <c:v>7375</c:v>
                </c:pt>
                <c:pt idx="838">
                  <c:v>7125</c:v>
                </c:pt>
                <c:pt idx="839">
                  <c:v>7250</c:v>
                </c:pt>
                <c:pt idx="840">
                  <c:v>8000</c:v>
                </c:pt>
                <c:pt idx="841">
                  <c:v>12500</c:v>
                </c:pt>
                <c:pt idx="842">
                  <c:v>16250</c:v>
                </c:pt>
                <c:pt idx="843">
                  <c:v>17625</c:v>
                </c:pt>
                <c:pt idx="844">
                  <c:v>19250</c:v>
                </c:pt>
                <c:pt idx="845">
                  <c:v>12875</c:v>
                </c:pt>
                <c:pt idx="846">
                  <c:v>23875</c:v>
                </c:pt>
                <c:pt idx="847">
                  <c:v>20750</c:v>
                </c:pt>
                <c:pt idx="848">
                  <c:v>22125</c:v>
                </c:pt>
                <c:pt idx="849">
                  <c:v>20375</c:v>
                </c:pt>
                <c:pt idx="850">
                  <c:v>20125</c:v>
                </c:pt>
                <c:pt idx="851">
                  <c:v>24875</c:v>
                </c:pt>
                <c:pt idx="852">
                  <c:v>23250</c:v>
                </c:pt>
                <c:pt idx="853">
                  <c:v>26125</c:v>
                </c:pt>
                <c:pt idx="854">
                  <c:v>23125</c:v>
                </c:pt>
                <c:pt idx="855">
                  <c:v>26875</c:v>
                </c:pt>
                <c:pt idx="856">
                  <c:v>28625</c:v>
                </c:pt>
                <c:pt idx="857">
                  <c:v>32875</c:v>
                </c:pt>
                <c:pt idx="858">
                  <c:v>34375</c:v>
                </c:pt>
                <c:pt idx="859">
                  <c:v>32875</c:v>
                </c:pt>
                <c:pt idx="860">
                  <c:v>32250</c:v>
                </c:pt>
                <c:pt idx="861">
                  <c:v>29375</c:v>
                </c:pt>
                <c:pt idx="862">
                  <c:v>31125</c:v>
                </c:pt>
                <c:pt idx="863">
                  <c:v>32375</c:v>
                </c:pt>
                <c:pt idx="864">
                  <c:v>30625</c:v>
                </c:pt>
                <c:pt idx="865">
                  <c:v>31875</c:v>
                </c:pt>
                <c:pt idx="866">
                  <c:v>35500</c:v>
                </c:pt>
                <c:pt idx="867">
                  <c:v>38125</c:v>
                </c:pt>
                <c:pt idx="868">
                  <c:v>38125</c:v>
                </c:pt>
                <c:pt idx="869">
                  <c:v>35125</c:v>
                </c:pt>
                <c:pt idx="870">
                  <c:v>33250</c:v>
                </c:pt>
                <c:pt idx="871">
                  <c:v>28375</c:v>
                </c:pt>
                <c:pt idx="872">
                  <c:v>33000</c:v>
                </c:pt>
                <c:pt idx="873">
                  <c:v>35000</c:v>
                </c:pt>
                <c:pt idx="874">
                  <c:v>29875</c:v>
                </c:pt>
                <c:pt idx="875">
                  <c:v>32750</c:v>
                </c:pt>
                <c:pt idx="876">
                  <c:v>35750</c:v>
                </c:pt>
                <c:pt idx="877">
                  <c:v>34500</c:v>
                </c:pt>
                <c:pt idx="878">
                  <c:v>33750</c:v>
                </c:pt>
                <c:pt idx="879">
                  <c:v>31000</c:v>
                </c:pt>
                <c:pt idx="880">
                  <c:v>30000</c:v>
                </c:pt>
                <c:pt idx="881">
                  <c:v>34375</c:v>
                </c:pt>
                <c:pt idx="882">
                  <c:v>37500</c:v>
                </c:pt>
                <c:pt idx="883">
                  <c:v>36375</c:v>
                </c:pt>
                <c:pt idx="884">
                  <c:v>37875</c:v>
                </c:pt>
                <c:pt idx="885">
                  <c:v>37000</c:v>
                </c:pt>
                <c:pt idx="886">
                  <c:v>39375</c:v>
                </c:pt>
                <c:pt idx="887">
                  <c:v>45750</c:v>
                </c:pt>
                <c:pt idx="888">
                  <c:v>45000</c:v>
                </c:pt>
                <c:pt idx="889">
                  <c:v>44250</c:v>
                </c:pt>
                <c:pt idx="890">
                  <c:v>44875</c:v>
                </c:pt>
                <c:pt idx="891">
                  <c:v>46375</c:v>
                </c:pt>
                <c:pt idx="892">
                  <c:v>45375</c:v>
                </c:pt>
                <c:pt idx="893">
                  <c:v>47000</c:v>
                </c:pt>
                <c:pt idx="894">
                  <c:v>47750</c:v>
                </c:pt>
                <c:pt idx="895">
                  <c:v>44875</c:v>
                </c:pt>
                <c:pt idx="896">
                  <c:v>47500</c:v>
                </c:pt>
                <c:pt idx="897">
                  <c:v>47125</c:v>
                </c:pt>
                <c:pt idx="898">
                  <c:v>44250</c:v>
                </c:pt>
                <c:pt idx="899">
                  <c:v>39250</c:v>
                </c:pt>
                <c:pt idx="900">
                  <c:v>38750</c:v>
                </c:pt>
                <c:pt idx="901">
                  <c:v>43750</c:v>
                </c:pt>
                <c:pt idx="902">
                  <c:v>43375</c:v>
                </c:pt>
                <c:pt idx="903">
                  <c:v>39250</c:v>
                </c:pt>
                <c:pt idx="904">
                  <c:v>38250</c:v>
                </c:pt>
                <c:pt idx="905">
                  <c:v>41375</c:v>
                </c:pt>
                <c:pt idx="906">
                  <c:v>42375</c:v>
                </c:pt>
                <c:pt idx="907">
                  <c:v>34125</c:v>
                </c:pt>
                <c:pt idx="908">
                  <c:v>30875</c:v>
                </c:pt>
                <c:pt idx="909">
                  <c:v>30125</c:v>
                </c:pt>
                <c:pt idx="910">
                  <c:v>34500</c:v>
                </c:pt>
                <c:pt idx="911">
                  <c:v>35750</c:v>
                </c:pt>
                <c:pt idx="912">
                  <c:v>34875</c:v>
                </c:pt>
                <c:pt idx="913">
                  <c:v>32875</c:v>
                </c:pt>
                <c:pt idx="914">
                  <c:v>33750</c:v>
                </c:pt>
                <c:pt idx="915">
                  <c:v>33250</c:v>
                </c:pt>
                <c:pt idx="916">
                  <c:v>32375</c:v>
                </c:pt>
                <c:pt idx="917">
                  <c:v>29125</c:v>
                </c:pt>
                <c:pt idx="918">
                  <c:v>26125</c:v>
                </c:pt>
                <c:pt idx="919">
                  <c:v>26000</c:v>
                </c:pt>
                <c:pt idx="920">
                  <c:v>26250</c:v>
                </c:pt>
                <c:pt idx="921">
                  <c:v>34000</c:v>
                </c:pt>
                <c:pt idx="922">
                  <c:v>31375</c:v>
                </c:pt>
                <c:pt idx="923">
                  <c:v>32875</c:v>
                </c:pt>
                <c:pt idx="924">
                  <c:v>32250</c:v>
                </c:pt>
                <c:pt idx="925">
                  <c:v>36250</c:v>
                </c:pt>
                <c:pt idx="926">
                  <c:v>34500</c:v>
                </c:pt>
                <c:pt idx="927">
                  <c:v>34500</c:v>
                </c:pt>
                <c:pt idx="928">
                  <c:v>32375</c:v>
                </c:pt>
                <c:pt idx="929">
                  <c:v>33625</c:v>
                </c:pt>
                <c:pt idx="930">
                  <c:v>35375</c:v>
                </c:pt>
                <c:pt idx="931">
                  <c:v>32750</c:v>
                </c:pt>
                <c:pt idx="932">
                  <c:v>35375</c:v>
                </c:pt>
                <c:pt idx="933">
                  <c:v>32875</c:v>
                </c:pt>
                <c:pt idx="934">
                  <c:v>30625</c:v>
                </c:pt>
                <c:pt idx="935">
                  <c:v>30250</c:v>
                </c:pt>
                <c:pt idx="936">
                  <c:v>27375</c:v>
                </c:pt>
                <c:pt idx="937">
                  <c:v>30750</c:v>
                </c:pt>
                <c:pt idx="938">
                  <c:v>34375</c:v>
                </c:pt>
                <c:pt idx="939">
                  <c:v>30250</c:v>
                </c:pt>
                <c:pt idx="940">
                  <c:v>31500</c:v>
                </c:pt>
                <c:pt idx="941">
                  <c:v>31250</c:v>
                </c:pt>
                <c:pt idx="942">
                  <c:v>32500</c:v>
                </c:pt>
                <c:pt idx="943">
                  <c:v>29500</c:v>
                </c:pt>
                <c:pt idx="944">
                  <c:v>33000</c:v>
                </c:pt>
                <c:pt idx="945">
                  <c:v>31000</c:v>
                </c:pt>
                <c:pt idx="946">
                  <c:v>33250</c:v>
                </c:pt>
                <c:pt idx="947">
                  <c:v>32250</c:v>
                </c:pt>
                <c:pt idx="948">
                  <c:v>28125</c:v>
                </c:pt>
                <c:pt idx="949">
                  <c:v>26875</c:v>
                </c:pt>
                <c:pt idx="950">
                  <c:v>22875</c:v>
                </c:pt>
                <c:pt idx="951">
                  <c:v>23875</c:v>
                </c:pt>
                <c:pt idx="952">
                  <c:v>23875</c:v>
                </c:pt>
                <c:pt idx="953">
                  <c:v>30625</c:v>
                </c:pt>
                <c:pt idx="954">
                  <c:v>33000</c:v>
                </c:pt>
                <c:pt idx="955">
                  <c:v>34000</c:v>
                </c:pt>
                <c:pt idx="956">
                  <c:v>35250</c:v>
                </c:pt>
                <c:pt idx="957">
                  <c:v>33125</c:v>
                </c:pt>
                <c:pt idx="958">
                  <c:v>33000</c:v>
                </c:pt>
                <c:pt idx="959">
                  <c:v>34500</c:v>
                </c:pt>
                <c:pt idx="960">
                  <c:v>26000</c:v>
                </c:pt>
                <c:pt idx="961">
                  <c:v>28250</c:v>
                </c:pt>
                <c:pt idx="962">
                  <c:v>31125</c:v>
                </c:pt>
                <c:pt idx="963">
                  <c:v>31125</c:v>
                </c:pt>
                <c:pt idx="964">
                  <c:v>30250</c:v>
                </c:pt>
                <c:pt idx="965">
                  <c:v>29000</c:v>
                </c:pt>
                <c:pt idx="966">
                  <c:v>26625</c:v>
                </c:pt>
                <c:pt idx="967">
                  <c:v>26875</c:v>
                </c:pt>
                <c:pt idx="968">
                  <c:v>25625</c:v>
                </c:pt>
                <c:pt idx="969">
                  <c:v>23500</c:v>
                </c:pt>
                <c:pt idx="970">
                  <c:v>24750</c:v>
                </c:pt>
                <c:pt idx="971">
                  <c:v>25250</c:v>
                </c:pt>
                <c:pt idx="972">
                  <c:v>26375</c:v>
                </c:pt>
                <c:pt idx="973">
                  <c:v>26875</c:v>
                </c:pt>
                <c:pt idx="974">
                  <c:v>27000</c:v>
                </c:pt>
                <c:pt idx="975">
                  <c:v>24125</c:v>
                </c:pt>
                <c:pt idx="976">
                  <c:v>23875</c:v>
                </c:pt>
                <c:pt idx="977">
                  <c:v>25250</c:v>
                </c:pt>
                <c:pt idx="978">
                  <c:v>20375</c:v>
                </c:pt>
                <c:pt idx="979">
                  <c:v>18500</c:v>
                </c:pt>
                <c:pt idx="980">
                  <c:v>18875</c:v>
                </c:pt>
                <c:pt idx="981">
                  <c:v>19250</c:v>
                </c:pt>
                <c:pt idx="982">
                  <c:v>18250</c:v>
                </c:pt>
                <c:pt idx="983">
                  <c:v>17000</c:v>
                </c:pt>
                <c:pt idx="984">
                  <c:v>17750</c:v>
                </c:pt>
                <c:pt idx="985">
                  <c:v>17125</c:v>
                </c:pt>
                <c:pt idx="986">
                  <c:v>20500</c:v>
                </c:pt>
                <c:pt idx="987">
                  <c:v>16750</c:v>
                </c:pt>
                <c:pt idx="988">
                  <c:v>16000</c:v>
                </c:pt>
                <c:pt idx="989">
                  <c:v>16375</c:v>
                </c:pt>
                <c:pt idx="990">
                  <c:v>17000</c:v>
                </c:pt>
                <c:pt idx="991">
                  <c:v>16125</c:v>
                </c:pt>
                <c:pt idx="992">
                  <c:v>19375</c:v>
                </c:pt>
                <c:pt idx="993">
                  <c:v>17875</c:v>
                </c:pt>
                <c:pt idx="994">
                  <c:v>20625</c:v>
                </c:pt>
                <c:pt idx="995">
                  <c:v>16500</c:v>
                </c:pt>
                <c:pt idx="996">
                  <c:v>15500</c:v>
                </c:pt>
                <c:pt idx="997">
                  <c:v>18000</c:v>
                </c:pt>
                <c:pt idx="998">
                  <c:v>16000</c:v>
                </c:pt>
                <c:pt idx="999">
                  <c:v>12625</c:v>
                </c:pt>
                <c:pt idx="1000">
                  <c:v>10625</c:v>
                </c:pt>
                <c:pt idx="1001">
                  <c:v>12500</c:v>
                </c:pt>
                <c:pt idx="1002">
                  <c:v>10875</c:v>
                </c:pt>
                <c:pt idx="1003">
                  <c:v>11625</c:v>
                </c:pt>
                <c:pt idx="1004">
                  <c:v>15250</c:v>
                </c:pt>
                <c:pt idx="1005">
                  <c:v>14375</c:v>
                </c:pt>
                <c:pt idx="1006">
                  <c:v>17375</c:v>
                </c:pt>
                <c:pt idx="1007">
                  <c:v>15750</c:v>
                </c:pt>
                <c:pt idx="1008">
                  <c:v>17875</c:v>
                </c:pt>
                <c:pt idx="1009">
                  <c:v>18250</c:v>
                </c:pt>
                <c:pt idx="1010">
                  <c:v>15250</c:v>
                </c:pt>
                <c:pt idx="1011">
                  <c:v>13250</c:v>
                </c:pt>
                <c:pt idx="1012">
                  <c:v>12250</c:v>
                </c:pt>
                <c:pt idx="1013">
                  <c:v>9500</c:v>
                </c:pt>
                <c:pt idx="1014">
                  <c:v>11375</c:v>
                </c:pt>
                <c:pt idx="1015">
                  <c:v>14625</c:v>
                </c:pt>
                <c:pt idx="1016">
                  <c:v>15125</c:v>
                </c:pt>
                <c:pt idx="1017">
                  <c:v>12875</c:v>
                </c:pt>
                <c:pt idx="1018">
                  <c:v>14750</c:v>
                </c:pt>
                <c:pt idx="1019">
                  <c:v>19000</c:v>
                </c:pt>
                <c:pt idx="1020">
                  <c:v>19375</c:v>
                </c:pt>
                <c:pt idx="1021">
                  <c:v>23250</c:v>
                </c:pt>
                <c:pt idx="1022">
                  <c:v>28250</c:v>
                </c:pt>
                <c:pt idx="1023">
                  <c:v>28250</c:v>
                </c:pt>
                <c:pt idx="1024">
                  <c:v>40500</c:v>
                </c:pt>
                <c:pt idx="1025">
                  <c:v>39250</c:v>
                </c:pt>
                <c:pt idx="1026">
                  <c:v>45500</c:v>
                </c:pt>
                <c:pt idx="1027">
                  <c:v>44750</c:v>
                </c:pt>
                <c:pt idx="1028">
                  <c:v>43625</c:v>
                </c:pt>
                <c:pt idx="1029">
                  <c:v>43875</c:v>
                </c:pt>
                <c:pt idx="1030">
                  <c:v>47250</c:v>
                </c:pt>
                <c:pt idx="1031">
                  <c:v>49625</c:v>
                </c:pt>
                <c:pt idx="1032">
                  <c:v>52500</c:v>
                </c:pt>
                <c:pt idx="1033">
                  <c:v>47625</c:v>
                </c:pt>
                <c:pt idx="1034">
                  <c:v>45625</c:v>
                </c:pt>
                <c:pt idx="1035">
                  <c:v>47250</c:v>
                </c:pt>
                <c:pt idx="1036">
                  <c:v>41875</c:v>
                </c:pt>
                <c:pt idx="1037">
                  <c:v>35000</c:v>
                </c:pt>
                <c:pt idx="1038">
                  <c:v>35625</c:v>
                </c:pt>
                <c:pt idx="1039">
                  <c:v>33000</c:v>
                </c:pt>
                <c:pt idx="1040">
                  <c:v>32375</c:v>
                </c:pt>
                <c:pt idx="1041">
                  <c:v>29250</c:v>
                </c:pt>
                <c:pt idx="1042">
                  <c:v>20375</c:v>
                </c:pt>
                <c:pt idx="1043">
                  <c:v>17375</c:v>
                </c:pt>
                <c:pt idx="1044">
                  <c:v>16375</c:v>
                </c:pt>
                <c:pt idx="1045">
                  <c:v>17375</c:v>
                </c:pt>
                <c:pt idx="1046">
                  <c:v>19125</c:v>
                </c:pt>
                <c:pt idx="1047">
                  <c:v>16125</c:v>
                </c:pt>
                <c:pt idx="1048">
                  <c:v>15375</c:v>
                </c:pt>
                <c:pt idx="1049">
                  <c:v>17875</c:v>
                </c:pt>
                <c:pt idx="1050">
                  <c:v>17500</c:v>
                </c:pt>
                <c:pt idx="1051">
                  <c:v>18250</c:v>
                </c:pt>
                <c:pt idx="1052">
                  <c:v>25125</c:v>
                </c:pt>
                <c:pt idx="1053">
                  <c:v>22000</c:v>
                </c:pt>
                <c:pt idx="1054">
                  <c:v>10500</c:v>
                </c:pt>
                <c:pt idx="1055">
                  <c:v>12625</c:v>
                </c:pt>
                <c:pt idx="1056">
                  <c:v>13250</c:v>
                </c:pt>
                <c:pt idx="1057">
                  <c:v>13750</c:v>
                </c:pt>
                <c:pt idx="1058">
                  <c:v>14875</c:v>
                </c:pt>
                <c:pt idx="1059">
                  <c:v>15500</c:v>
                </c:pt>
                <c:pt idx="1060">
                  <c:v>17125</c:v>
                </c:pt>
                <c:pt idx="1061">
                  <c:v>14250</c:v>
                </c:pt>
                <c:pt idx="1062">
                  <c:v>15750</c:v>
                </c:pt>
                <c:pt idx="1063">
                  <c:v>14125</c:v>
                </c:pt>
                <c:pt idx="1064">
                  <c:v>12875</c:v>
                </c:pt>
                <c:pt idx="1065">
                  <c:v>13000</c:v>
                </c:pt>
                <c:pt idx="1066">
                  <c:v>13500</c:v>
                </c:pt>
                <c:pt idx="1067">
                  <c:v>12875</c:v>
                </c:pt>
                <c:pt idx="1068">
                  <c:v>10000</c:v>
                </c:pt>
                <c:pt idx="1069">
                  <c:v>7875</c:v>
                </c:pt>
                <c:pt idx="1070">
                  <c:v>5500</c:v>
                </c:pt>
                <c:pt idx="1071">
                  <c:v>6250</c:v>
                </c:pt>
                <c:pt idx="1072">
                  <c:v>8125</c:v>
                </c:pt>
                <c:pt idx="1073">
                  <c:v>10000</c:v>
                </c:pt>
                <c:pt idx="1074">
                  <c:v>12500</c:v>
                </c:pt>
                <c:pt idx="1075">
                  <c:v>17500</c:v>
                </c:pt>
                <c:pt idx="1076">
                  <c:v>22125</c:v>
                </c:pt>
                <c:pt idx="1077">
                  <c:v>21125</c:v>
                </c:pt>
                <c:pt idx="1078">
                  <c:v>18625</c:v>
                </c:pt>
                <c:pt idx="1079">
                  <c:v>16375</c:v>
                </c:pt>
                <c:pt idx="1080">
                  <c:v>14625</c:v>
                </c:pt>
                <c:pt idx="1081">
                  <c:v>17625</c:v>
                </c:pt>
                <c:pt idx="1082">
                  <c:v>15500</c:v>
                </c:pt>
                <c:pt idx="1083">
                  <c:v>16750</c:v>
                </c:pt>
                <c:pt idx="1084">
                  <c:v>15875</c:v>
                </c:pt>
                <c:pt idx="1085">
                  <c:v>19625</c:v>
                </c:pt>
                <c:pt idx="1086">
                  <c:v>18625</c:v>
                </c:pt>
                <c:pt idx="1087">
                  <c:v>19875</c:v>
                </c:pt>
                <c:pt idx="1088">
                  <c:v>18250</c:v>
                </c:pt>
                <c:pt idx="1089">
                  <c:v>20625</c:v>
                </c:pt>
                <c:pt idx="1090">
                  <c:v>20625</c:v>
                </c:pt>
                <c:pt idx="1091">
                  <c:v>22000</c:v>
                </c:pt>
                <c:pt idx="1092">
                  <c:v>24375</c:v>
                </c:pt>
                <c:pt idx="1093">
                  <c:v>23500</c:v>
                </c:pt>
                <c:pt idx="1094">
                  <c:v>21500</c:v>
                </c:pt>
                <c:pt idx="1095">
                  <c:v>18250</c:v>
                </c:pt>
                <c:pt idx="1096">
                  <c:v>17625</c:v>
                </c:pt>
                <c:pt idx="1097">
                  <c:v>15125</c:v>
                </c:pt>
                <c:pt idx="1098">
                  <c:v>13375</c:v>
                </c:pt>
                <c:pt idx="1099">
                  <c:v>13625</c:v>
                </c:pt>
                <c:pt idx="1100">
                  <c:v>12375</c:v>
                </c:pt>
                <c:pt idx="1101">
                  <c:v>13125</c:v>
                </c:pt>
                <c:pt idx="1102">
                  <c:v>15750</c:v>
                </c:pt>
                <c:pt idx="1103">
                  <c:v>15125</c:v>
                </c:pt>
                <c:pt idx="1104">
                  <c:v>14625</c:v>
                </c:pt>
                <c:pt idx="1105">
                  <c:v>17625</c:v>
                </c:pt>
                <c:pt idx="1106">
                  <c:v>16250</c:v>
                </c:pt>
                <c:pt idx="1107">
                  <c:v>13625</c:v>
                </c:pt>
                <c:pt idx="1108">
                  <c:v>15250</c:v>
                </c:pt>
                <c:pt idx="1109">
                  <c:v>16625</c:v>
                </c:pt>
                <c:pt idx="1110">
                  <c:v>13875</c:v>
                </c:pt>
                <c:pt idx="1111">
                  <c:v>15375</c:v>
                </c:pt>
                <c:pt idx="1112">
                  <c:v>17250</c:v>
                </c:pt>
                <c:pt idx="1113">
                  <c:v>13375</c:v>
                </c:pt>
                <c:pt idx="1114">
                  <c:v>12250</c:v>
                </c:pt>
                <c:pt idx="1115">
                  <c:v>10000</c:v>
                </c:pt>
                <c:pt idx="1116">
                  <c:v>4750</c:v>
                </c:pt>
                <c:pt idx="1117">
                  <c:v>6250</c:v>
                </c:pt>
                <c:pt idx="1118">
                  <c:v>5125</c:v>
                </c:pt>
                <c:pt idx="1119">
                  <c:v>5000</c:v>
                </c:pt>
                <c:pt idx="1120">
                  <c:v>5625</c:v>
                </c:pt>
                <c:pt idx="1121">
                  <c:v>6375</c:v>
                </c:pt>
                <c:pt idx="1122">
                  <c:v>7750</c:v>
                </c:pt>
                <c:pt idx="1123">
                  <c:v>7375</c:v>
                </c:pt>
                <c:pt idx="1124">
                  <c:v>8875</c:v>
                </c:pt>
                <c:pt idx="1125">
                  <c:v>7875</c:v>
                </c:pt>
                <c:pt idx="1126">
                  <c:v>7875</c:v>
                </c:pt>
                <c:pt idx="1127">
                  <c:v>5375</c:v>
                </c:pt>
                <c:pt idx="1128">
                  <c:v>7625</c:v>
                </c:pt>
                <c:pt idx="1129">
                  <c:v>9125</c:v>
                </c:pt>
                <c:pt idx="1130">
                  <c:v>7750</c:v>
                </c:pt>
                <c:pt idx="1131">
                  <c:v>10875</c:v>
                </c:pt>
                <c:pt idx="1132">
                  <c:v>13250</c:v>
                </c:pt>
                <c:pt idx="1133">
                  <c:v>10375</c:v>
                </c:pt>
                <c:pt idx="1134">
                  <c:v>10625</c:v>
                </c:pt>
                <c:pt idx="1135">
                  <c:v>11125</c:v>
                </c:pt>
                <c:pt idx="1136">
                  <c:v>14250</c:v>
                </c:pt>
                <c:pt idx="1137">
                  <c:v>12625</c:v>
                </c:pt>
                <c:pt idx="1138">
                  <c:v>13375</c:v>
                </c:pt>
                <c:pt idx="1139">
                  <c:v>13500</c:v>
                </c:pt>
                <c:pt idx="1140">
                  <c:v>9125</c:v>
                </c:pt>
                <c:pt idx="1141">
                  <c:v>10750</c:v>
                </c:pt>
                <c:pt idx="1142">
                  <c:v>11375</c:v>
                </c:pt>
                <c:pt idx="1143">
                  <c:v>9875</c:v>
                </c:pt>
                <c:pt idx="1144">
                  <c:v>7375</c:v>
                </c:pt>
                <c:pt idx="1145">
                  <c:v>6875</c:v>
                </c:pt>
                <c:pt idx="1146">
                  <c:v>6375</c:v>
                </c:pt>
                <c:pt idx="1147">
                  <c:v>4500</c:v>
                </c:pt>
                <c:pt idx="1148">
                  <c:v>5000</c:v>
                </c:pt>
                <c:pt idx="1149">
                  <c:v>3750</c:v>
                </c:pt>
                <c:pt idx="1150">
                  <c:v>3375</c:v>
                </c:pt>
                <c:pt idx="1151">
                  <c:v>0</c:v>
                </c:pt>
                <c:pt idx="1152">
                  <c:v>750</c:v>
                </c:pt>
                <c:pt idx="1153">
                  <c:v>1250</c:v>
                </c:pt>
                <c:pt idx="1154">
                  <c:v>375</c:v>
                </c:pt>
                <c:pt idx="1155">
                  <c:v>2375</c:v>
                </c:pt>
                <c:pt idx="1156">
                  <c:v>-375</c:v>
                </c:pt>
                <c:pt idx="1157">
                  <c:v>3125</c:v>
                </c:pt>
                <c:pt idx="1158">
                  <c:v>3500</c:v>
                </c:pt>
                <c:pt idx="1159">
                  <c:v>3500</c:v>
                </c:pt>
                <c:pt idx="1160">
                  <c:v>5250</c:v>
                </c:pt>
                <c:pt idx="1161">
                  <c:v>8375</c:v>
                </c:pt>
                <c:pt idx="1162">
                  <c:v>8125</c:v>
                </c:pt>
                <c:pt idx="1163">
                  <c:v>7875</c:v>
                </c:pt>
                <c:pt idx="1164">
                  <c:v>9000</c:v>
                </c:pt>
                <c:pt idx="1165">
                  <c:v>8875</c:v>
                </c:pt>
                <c:pt idx="1166">
                  <c:v>8625</c:v>
                </c:pt>
                <c:pt idx="1167">
                  <c:v>9125</c:v>
                </c:pt>
                <c:pt idx="1168">
                  <c:v>7125</c:v>
                </c:pt>
                <c:pt idx="1169">
                  <c:v>9500</c:v>
                </c:pt>
                <c:pt idx="1170">
                  <c:v>9250</c:v>
                </c:pt>
                <c:pt idx="1171">
                  <c:v>10000</c:v>
                </c:pt>
                <c:pt idx="1172">
                  <c:v>9375</c:v>
                </c:pt>
                <c:pt idx="1173">
                  <c:v>8500</c:v>
                </c:pt>
                <c:pt idx="1174">
                  <c:v>7250</c:v>
                </c:pt>
                <c:pt idx="1175">
                  <c:v>4875</c:v>
                </c:pt>
                <c:pt idx="1176">
                  <c:v>4375</c:v>
                </c:pt>
                <c:pt idx="1177">
                  <c:v>4250</c:v>
                </c:pt>
                <c:pt idx="1178">
                  <c:v>4000</c:v>
                </c:pt>
                <c:pt idx="1179">
                  <c:v>3375</c:v>
                </c:pt>
                <c:pt idx="1180">
                  <c:v>4625</c:v>
                </c:pt>
                <c:pt idx="1181">
                  <c:v>7500</c:v>
                </c:pt>
                <c:pt idx="1182">
                  <c:v>7125</c:v>
                </c:pt>
                <c:pt idx="1183">
                  <c:v>6875</c:v>
                </c:pt>
                <c:pt idx="1184">
                  <c:v>7875</c:v>
                </c:pt>
                <c:pt idx="1185">
                  <c:v>5000</c:v>
                </c:pt>
                <c:pt idx="1186">
                  <c:v>4125</c:v>
                </c:pt>
                <c:pt idx="1187">
                  <c:v>2000</c:v>
                </c:pt>
                <c:pt idx="1188">
                  <c:v>1000</c:v>
                </c:pt>
                <c:pt idx="1189">
                  <c:v>750</c:v>
                </c:pt>
                <c:pt idx="1190">
                  <c:v>1500</c:v>
                </c:pt>
                <c:pt idx="1191">
                  <c:v>1125</c:v>
                </c:pt>
                <c:pt idx="1192">
                  <c:v>500</c:v>
                </c:pt>
                <c:pt idx="1193">
                  <c:v>1250</c:v>
                </c:pt>
                <c:pt idx="1194">
                  <c:v>2000</c:v>
                </c:pt>
                <c:pt idx="1195">
                  <c:v>3000</c:v>
                </c:pt>
                <c:pt idx="1196">
                  <c:v>3750</c:v>
                </c:pt>
                <c:pt idx="1197">
                  <c:v>5125</c:v>
                </c:pt>
                <c:pt idx="1198">
                  <c:v>6875</c:v>
                </c:pt>
                <c:pt idx="1199">
                  <c:v>9500</c:v>
                </c:pt>
                <c:pt idx="1200">
                  <c:v>9375</c:v>
                </c:pt>
                <c:pt idx="1201">
                  <c:v>8875</c:v>
                </c:pt>
                <c:pt idx="1202">
                  <c:v>9125</c:v>
                </c:pt>
                <c:pt idx="1203">
                  <c:v>8375</c:v>
                </c:pt>
                <c:pt idx="1204">
                  <c:v>9750</c:v>
                </c:pt>
                <c:pt idx="1205">
                  <c:v>9875</c:v>
                </c:pt>
                <c:pt idx="1206">
                  <c:v>9125</c:v>
                </c:pt>
                <c:pt idx="1207">
                  <c:v>9875</c:v>
                </c:pt>
                <c:pt idx="1208">
                  <c:v>10000</c:v>
                </c:pt>
                <c:pt idx="1209">
                  <c:v>10750</c:v>
                </c:pt>
                <c:pt idx="1210">
                  <c:v>11125</c:v>
                </c:pt>
                <c:pt idx="1211">
                  <c:v>9750</c:v>
                </c:pt>
                <c:pt idx="1212">
                  <c:v>-750</c:v>
                </c:pt>
                <c:pt idx="1213">
                  <c:v>750</c:v>
                </c:pt>
                <c:pt idx="1214">
                  <c:v>2375</c:v>
                </c:pt>
                <c:pt idx="1215">
                  <c:v>2875</c:v>
                </c:pt>
                <c:pt idx="1216">
                  <c:v>4125</c:v>
                </c:pt>
                <c:pt idx="1217">
                  <c:v>5750</c:v>
                </c:pt>
                <c:pt idx="1218">
                  <c:v>6000</c:v>
                </c:pt>
                <c:pt idx="1219">
                  <c:v>3375</c:v>
                </c:pt>
                <c:pt idx="1220">
                  <c:v>4750</c:v>
                </c:pt>
                <c:pt idx="1221">
                  <c:v>12000</c:v>
                </c:pt>
                <c:pt idx="1222">
                  <c:v>12000</c:v>
                </c:pt>
                <c:pt idx="1223">
                  <c:v>15000</c:v>
                </c:pt>
                <c:pt idx="1224">
                  <c:v>15625</c:v>
                </c:pt>
                <c:pt idx="1225">
                  <c:v>17375</c:v>
                </c:pt>
                <c:pt idx="1226">
                  <c:v>20625</c:v>
                </c:pt>
                <c:pt idx="1227">
                  <c:v>20125</c:v>
                </c:pt>
                <c:pt idx="1228">
                  <c:v>11875</c:v>
                </c:pt>
                <c:pt idx="1229">
                  <c:v>15375</c:v>
                </c:pt>
                <c:pt idx="1230">
                  <c:v>15250</c:v>
                </c:pt>
                <c:pt idx="1231">
                  <c:v>14250</c:v>
                </c:pt>
                <c:pt idx="1232">
                  <c:v>18500</c:v>
                </c:pt>
                <c:pt idx="1233">
                  <c:v>19500</c:v>
                </c:pt>
                <c:pt idx="1234">
                  <c:v>18625</c:v>
                </c:pt>
                <c:pt idx="1235">
                  <c:v>13500</c:v>
                </c:pt>
                <c:pt idx="1236">
                  <c:v>12375</c:v>
                </c:pt>
                <c:pt idx="1237">
                  <c:v>10625</c:v>
                </c:pt>
                <c:pt idx="1238">
                  <c:v>12750</c:v>
                </c:pt>
                <c:pt idx="1239">
                  <c:v>9875</c:v>
                </c:pt>
                <c:pt idx="1240">
                  <c:v>14125</c:v>
                </c:pt>
                <c:pt idx="1241">
                  <c:v>11125</c:v>
                </c:pt>
                <c:pt idx="1242">
                  <c:v>16750</c:v>
                </c:pt>
                <c:pt idx="1243">
                  <c:v>18250</c:v>
                </c:pt>
                <c:pt idx="1244">
                  <c:v>19125</c:v>
                </c:pt>
                <c:pt idx="1245">
                  <c:v>21500</c:v>
                </c:pt>
                <c:pt idx="1246">
                  <c:v>22750</c:v>
                </c:pt>
                <c:pt idx="1247">
                  <c:v>17625</c:v>
                </c:pt>
                <c:pt idx="1248">
                  <c:v>19500</c:v>
                </c:pt>
                <c:pt idx="1249">
                  <c:v>21625</c:v>
                </c:pt>
                <c:pt idx="1250">
                  <c:v>23250</c:v>
                </c:pt>
                <c:pt idx="1251">
                  <c:v>25125</c:v>
                </c:pt>
                <c:pt idx="1252">
                  <c:v>27000</c:v>
                </c:pt>
                <c:pt idx="1253">
                  <c:v>29125</c:v>
                </c:pt>
                <c:pt idx="1254">
                  <c:v>26000</c:v>
                </c:pt>
                <c:pt idx="1255">
                  <c:v>29375</c:v>
                </c:pt>
                <c:pt idx="1256">
                  <c:v>31500</c:v>
                </c:pt>
                <c:pt idx="1257">
                  <c:v>31875</c:v>
                </c:pt>
                <c:pt idx="1258">
                  <c:v>36750</c:v>
                </c:pt>
                <c:pt idx="1259">
                  <c:v>36625</c:v>
                </c:pt>
                <c:pt idx="1260">
                  <c:v>39375</c:v>
                </c:pt>
                <c:pt idx="1261">
                  <c:v>36125</c:v>
                </c:pt>
                <c:pt idx="1262">
                  <c:v>34375</c:v>
                </c:pt>
                <c:pt idx="1263">
                  <c:v>37750</c:v>
                </c:pt>
                <c:pt idx="1264">
                  <c:v>40000</c:v>
                </c:pt>
                <c:pt idx="1265">
                  <c:v>38625</c:v>
                </c:pt>
                <c:pt idx="1266">
                  <c:v>35500</c:v>
                </c:pt>
                <c:pt idx="1267">
                  <c:v>40250</c:v>
                </c:pt>
                <c:pt idx="1268">
                  <c:v>34625</c:v>
                </c:pt>
                <c:pt idx="1269">
                  <c:v>21875</c:v>
                </c:pt>
                <c:pt idx="1270">
                  <c:v>21750</c:v>
                </c:pt>
                <c:pt idx="1271">
                  <c:v>17125</c:v>
                </c:pt>
                <c:pt idx="1272">
                  <c:v>14125</c:v>
                </c:pt>
                <c:pt idx="1273">
                  <c:v>15500</c:v>
                </c:pt>
                <c:pt idx="1274">
                  <c:v>16000</c:v>
                </c:pt>
                <c:pt idx="1275">
                  <c:v>10125</c:v>
                </c:pt>
                <c:pt idx="1276">
                  <c:v>3000</c:v>
                </c:pt>
                <c:pt idx="1277">
                  <c:v>-250</c:v>
                </c:pt>
                <c:pt idx="1278">
                  <c:v>-6000</c:v>
                </c:pt>
                <c:pt idx="1279">
                  <c:v>-7750</c:v>
                </c:pt>
                <c:pt idx="1280">
                  <c:v>-9000</c:v>
                </c:pt>
                <c:pt idx="1281">
                  <c:v>-2375</c:v>
                </c:pt>
                <c:pt idx="1282">
                  <c:v>-5125</c:v>
                </c:pt>
                <c:pt idx="1283">
                  <c:v>-1625</c:v>
                </c:pt>
                <c:pt idx="1284">
                  <c:v>3250</c:v>
                </c:pt>
                <c:pt idx="1285">
                  <c:v>1375</c:v>
                </c:pt>
                <c:pt idx="1286">
                  <c:v>-1250</c:v>
                </c:pt>
                <c:pt idx="1287">
                  <c:v>-125</c:v>
                </c:pt>
                <c:pt idx="1288">
                  <c:v>-6000</c:v>
                </c:pt>
                <c:pt idx="1289">
                  <c:v>-10000</c:v>
                </c:pt>
                <c:pt idx="1290">
                  <c:v>-10250</c:v>
                </c:pt>
                <c:pt idx="1291">
                  <c:v>-10125</c:v>
                </c:pt>
                <c:pt idx="1292">
                  <c:v>-10875</c:v>
                </c:pt>
                <c:pt idx="1293">
                  <c:v>-12000</c:v>
                </c:pt>
                <c:pt idx="1294">
                  <c:v>-9750</c:v>
                </c:pt>
                <c:pt idx="1295">
                  <c:v>-12875</c:v>
                </c:pt>
                <c:pt idx="1296">
                  <c:v>-11000</c:v>
                </c:pt>
                <c:pt idx="1297">
                  <c:v>-13625</c:v>
                </c:pt>
                <c:pt idx="1298">
                  <c:v>-17000</c:v>
                </c:pt>
                <c:pt idx="1299">
                  <c:v>-15250</c:v>
                </c:pt>
                <c:pt idx="1300">
                  <c:v>-16500</c:v>
                </c:pt>
                <c:pt idx="1301">
                  <c:v>-16375</c:v>
                </c:pt>
                <c:pt idx="1302">
                  <c:v>-15375</c:v>
                </c:pt>
                <c:pt idx="1303">
                  <c:v>-15625</c:v>
                </c:pt>
                <c:pt idx="1304">
                  <c:v>-15375</c:v>
                </c:pt>
                <c:pt idx="1305">
                  <c:v>-17000</c:v>
                </c:pt>
                <c:pt idx="1306">
                  <c:v>-18375</c:v>
                </c:pt>
                <c:pt idx="1307">
                  <c:v>-14125</c:v>
                </c:pt>
                <c:pt idx="1308">
                  <c:v>-13750</c:v>
                </c:pt>
                <c:pt idx="1309">
                  <c:v>-13500</c:v>
                </c:pt>
                <c:pt idx="1310">
                  <c:v>-12375</c:v>
                </c:pt>
                <c:pt idx="1311">
                  <c:v>-10500</c:v>
                </c:pt>
                <c:pt idx="1312">
                  <c:v>-11125</c:v>
                </c:pt>
                <c:pt idx="1313">
                  <c:v>-13125</c:v>
                </c:pt>
                <c:pt idx="1314">
                  <c:v>-14250</c:v>
                </c:pt>
                <c:pt idx="1315">
                  <c:v>-16000</c:v>
                </c:pt>
                <c:pt idx="1316">
                  <c:v>-18750</c:v>
                </c:pt>
                <c:pt idx="1317">
                  <c:v>-22000</c:v>
                </c:pt>
                <c:pt idx="1318">
                  <c:v>-24875</c:v>
                </c:pt>
                <c:pt idx="1319">
                  <c:v>-26250</c:v>
                </c:pt>
                <c:pt idx="1320">
                  <c:v>-23125</c:v>
                </c:pt>
                <c:pt idx="1321">
                  <c:v>-19625</c:v>
                </c:pt>
                <c:pt idx="1322">
                  <c:v>-19750</c:v>
                </c:pt>
                <c:pt idx="1323">
                  <c:v>-17500</c:v>
                </c:pt>
                <c:pt idx="1324">
                  <c:v>-14625</c:v>
                </c:pt>
                <c:pt idx="1325">
                  <c:v>-12750</c:v>
                </c:pt>
                <c:pt idx="1326">
                  <c:v>-14000</c:v>
                </c:pt>
                <c:pt idx="1327">
                  <c:v>-18750</c:v>
                </c:pt>
                <c:pt idx="1328">
                  <c:v>-18500</c:v>
                </c:pt>
                <c:pt idx="1329">
                  <c:v>-19375</c:v>
                </c:pt>
                <c:pt idx="1330">
                  <c:v>-15375</c:v>
                </c:pt>
                <c:pt idx="1331">
                  <c:v>-16500</c:v>
                </c:pt>
                <c:pt idx="1332">
                  <c:v>-13750</c:v>
                </c:pt>
                <c:pt idx="1333">
                  <c:v>-13750</c:v>
                </c:pt>
                <c:pt idx="1334">
                  <c:v>-16125</c:v>
                </c:pt>
                <c:pt idx="1335">
                  <c:v>-16375</c:v>
                </c:pt>
                <c:pt idx="1336">
                  <c:v>-19250</c:v>
                </c:pt>
                <c:pt idx="1337">
                  <c:v>-18250</c:v>
                </c:pt>
                <c:pt idx="1338">
                  <c:v>-19250</c:v>
                </c:pt>
                <c:pt idx="1339">
                  <c:v>-19250</c:v>
                </c:pt>
                <c:pt idx="1340">
                  <c:v>-16875</c:v>
                </c:pt>
                <c:pt idx="1341">
                  <c:v>-11250</c:v>
                </c:pt>
                <c:pt idx="1342">
                  <c:v>-9875</c:v>
                </c:pt>
                <c:pt idx="1343">
                  <c:v>-9750</c:v>
                </c:pt>
                <c:pt idx="1344">
                  <c:v>-13625</c:v>
                </c:pt>
                <c:pt idx="1345">
                  <c:v>-13000</c:v>
                </c:pt>
                <c:pt idx="1346">
                  <c:v>-11125</c:v>
                </c:pt>
                <c:pt idx="1347">
                  <c:v>-14750</c:v>
                </c:pt>
                <c:pt idx="1348">
                  <c:v>-10375</c:v>
                </c:pt>
                <c:pt idx="1349">
                  <c:v>-5375</c:v>
                </c:pt>
                <c:pt idx="1350">
                  <c:v>-7875</c:v>
                </c:pt>
                <c:pt idx="1351">
                  <c:v>-7250</c:v>
                </c:pt>
                <c:pt idx="1352">
                  <c:v>-5625</c:v>
                </c:pt>
                <c:pt idx="1353">
                  <c:v>-8125</c:v>
                </c:pt>
                <c:pt idx="1354">
                  <c:v>-8125</c:v>
                </c:pt>
                <c:pt idx="1355">
                  <c:v>-9875</c:v>
                </c:pt>
                <c:pt idx="1356">
                  <c:v>-9625</c:v>
                </c:pt>
                <c:pt idx="1357">
                  <c:v>-6875</c:v>
                </c:pt>
                <c:pt idx="1358">
                  <c:v>-5625</c:v>
                </c:pt>
                <c:pt idx="1359">
                  <c:v>-6375</c:v>
                </c:pt>
                <c:pt idx="1360">
                  <c:v>-6000</c:v>
                </c:pt>
                <c:pt idx="1361">
                  <c:v>-9625</c:v>
                </c:pt>
                <c:pt idx="1362">
                  <c:v>-11625</c:v>
                </c:pt>
                <c:pt idx="1363">
                  <c:v>-10500</c:v>
                </c:pt>
                <c:pt idx="1364">
                  <c:v>-10250</c:v>
                </c:pt>
                <c:pt idx="1365">
                  <c:v>-11250</c:v>
                </c:pt>
                <c:pt idx="1366">
                  <c:v>-7625</c:v>
                </c:pt>
                <c:pt idx="1367">
                  <c:v>-13000</c:v>
                </c:pt>
                <c:pt idx="1368">
                  <c:v>-13250</c:v>
                </c:pt>
                <c:pt idx="1369">
                  <c:v>-15125</c:v>
                </c:pt>
                <c:pt idx="1370">
                  <c:v>-13375</c:v>
                </c:pt>
                <c:pt idx="1371">
                  <c:v>-14375</c:v>
                </c:pt>
                <c:pt idx="1372">
                  <c:v>-13000</c:v>
                </c:pt>
                <c:pt idx="1373">
                  <c:v>-11625</c:v>
                </c:pt>
                <c:pt idx="1374">
                  <c:v>-9375</c:v>
                </c:pt>
                <c:pt idx="1375">
                  <c:v>-8750</c:v>
                </c:pt>
                <c:pt idx="1376">
                  <c:v>-9125</c:v>
                </c:pt>
                <c:pt idx="1377">
                  <c:v>-8750</c:v>
                </c:pt>
                <c:pt idx="1378">
                  <c:v>-9625</c:v>
                </c:pt>
                <c:pt idx="1379">
                  <c:v>-15000</c:v>
                </c:pt>
                <c:pt idx="1380">
                  <c:v>-15000</c:v>
                </c:pt>
                <c:pt idx="1381">
                  <c:v>-18375</c:v>
                </c:pt>
                <c:pt idx="1382">
                  <c:v>-15625</c:v>
                </c:pt>
                <c:pt idx="1383">
                  <c:v>-9875</c:v>
                </c:pt>
                <c:pt idx="1384">
                  <c:v>-9875</c:v>
                </c:pt>
                <c:pt idx="1385">
                  <c:v>-9000</c:v>
                </c:pt>
                <c:pt idx="1386">
                  <c:v>-10000</c:v>
                </c:pt>
                <c:pt idx="1387">
                  <c:v>-9250</c:v>
                </c:pt>
                <c:pt idx="1388">
                  <c:v>-7375</c:v>
                </c:pt>
                <c:pt idx="1389">
                  <c:v>-5875</c:v>
                </c:pt>
                <c:pt idx="1390">
                  <c:v>-6500</c:v>
                </c:pt>
                <c:pt idx="1391">
                  <c:v>-8375</c:v>
                </c:pt>
                <c:pt idx="1392">
                  <c:v>-9000</c:v>
                </c:pt>
                <c:pt idx="1393">
                  <c:v>-8125</c:v>
                </c:pt>
                <c:pt idx="1394">
                  <c:v>-9875</c:v>
                </c:pt>
                <c:pt idx="1395">
                  <c:v>-13000</c:v>
                </c:pt>
                <c:pt idx="1396">
                  <c:v>-13500</c:v>
                </c:pt>
                <c:pt idx="1397">
                  <c:v>-13250</c:v>
                </c:pt>
                <c:pt idx="1398">
                  <c:v>-9625</c:v>
                </c:pt>
                <c:pt idx="1399">
                  <c:v>-12875</c:v>
                </c:pt>
                <c:pt idx="1400">
                  <c:v>-11875</c:v>
                </c:pt>
                <c:pt idx="1401">
                  <c:v>-11250</c:v>
                </c:pt>
                <c:pt idx="1402">
                  <c:v>-8875</c:v>
                </c:pt>
                <c:pt idx="1403">
                  <c:v>-7000</c:v>
                </c:pt>
                <c:pt idx="1404">
                  <c:v>-5875</c:v>
                </c:pt>
                <c:pt idx="1405">
                  <c:v>-7875</c:v>
                </c:pt>
                <c:pt idx="1406">
                  <c:v>-6875</c:v>
                </c:pt>
                <c:pt idx="1407">
                  <c:v>-7500</c:v>
                </c:pt>
                <c:pt idx="1408">
                  <c:v>-8125</c:v>
                </c:pt>
                <c:pt idx="1409">
                  <c:v>-9250</c:v>
                </c:pt>
                <c:pt idx="1410">
                  <c:v>-8125</c:v>
                </c:pt>
                <c:pt idx="1411">
                  <c:v>-7375</c:v>
                </c:pt>
                <c:pt idx="1412">
                  <c:v>-3375</c:v>
                </c:pt>
                <c:pt idx="1413">
                  <c:v>-4625</c:v>
                </c:pt>
                <c:pt idx="1414">
                  <c:v>-2125</c:v>
                </c:pt>
                <c:pt idx="1415">
                  <c:v>-2125</c:v>
                </c:pt>
                <c:pt idx="1416">
                  <c:v>-1875</c:v>
                </c:pt>
                <c:pt idx="1417">
                  <c:v>-4875</c:v>
                </c:pt>
                <c:pt idx="1418">
                  <c:v>-5125</c:v>
                </c:pt>
                <c:pt idx="1419">
                  <c:v>-5875</c:v>
                </c:pt>
                <c:pt idx="1420">
                  <c:v>-7250</c:v>
                </c:pt>
                <c:pt idx="1421">
                  <c:v>-7625</c:v>
                </c:pt>
                <c:pt idx="1422">
                  <c:v>-7000</c:v>
                </c:pt>
                <c:pt idx="1423">
                  <c:v>-2875</c:v>
                </c:pt>
                <c:pt idx="1424">
                  <c:v>-3375</c:v>
                </c:pt>
                <c:pt idx="1425">
                  <c:v>-4625</c:v>
                </c:pt>
                <c:pt idx="1426">
                  <c:v>-3000</c:v>
                </c:pt>
                <c:pt idx="1427">
                  <c:v>-1750</c:v>
                </c:pt>
                <c:pt idx="1428">
                  <c:v>-1750</c:v>
                </c:pt>
                <c:pt idx="1429">
                  <c:v>500</c:v>
                </c:pt>
                <c:pt idx="1430">
                  <c:v>1375</c:v>
                </c:pt>
                <c:pt idx="1431">
                  <c:v>250</c:v>
                </c:pt>
                <c:pt idx="1432">
                  <c:v>2375</c:v>
                </c:pt>
                <c:pt idx="1433">
                  <c:v>1125</c:v>
                </c:pt>
                <c:pt idx="1434">
                  <c:v>-2000</c:v>
                </c:pt>
                <c:pt idx="1435">
                  <c:v>-1750</c:v>
                </c:pt>
                <c:pt idx="1436">
                  <c:v>-1750</c:v>
                </c:pt>
                <c:pt idx="1437">
                  <c:v>-3875</c:v>
                </c:pt>
                <c:pt idx="1438">
                  <c:v>-5250</c:v>
                </c:pt>
                <c:pt idx="1439">
                  <c:v>-6500</c:v>
                </c:pt>
                <c:pt idx="1440">
                  <c:v>-3250</c:v>
                </c:pt>
                <c:pt idx="1441">
                  <c:v>625</c:v>
                </c:pt>
                <c:pt idx="1442">
                  <c:v>1125</c:v>
                </c:pt>
                <c:pt idx="1443">
                  <c:v>500</c:v>
                </c:pt>
                <c:pt idx="1444">
                  <c:v>-625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1445"/>
                <c:pt idx="0">
                  <c:v>50000</c:v>
                </c:pt>
                <c:pt idx="1">
                  <c:v>44500</c:v>
                </c:pt>
                <c:pt idx="2">
                  <c:v>47875</c:v>
                </c:pt>
                <c:pt idx="3">
                  <c:v>59750</c:v>
                </c:pt>
                <c:pt idx="4">
                  <c:v>59875</c:v>
                </c:pt>
                <c:pt idx="5">
                  <c:v>46875</c:v>
                </c:pt>
                <c:pt idx="6">
                  <c:v>32875</c:v>
                </c:pt>
                <c:pt idx="7">
                  <c:v>32250</c:v>
                </c:pt>
                <c:pt idx="8">
                  <c:v>37125</c:v>
                </c:pt>
                <c:pt idx="9">
                  <c:v>49250</c:v>
                </c:pt>
                <c:pt idx="10">
                  <c:v>64250</c:v>
                </c:pt>
                <c:pt idx="11">
                  <c:v>74625</c:v>
                </c:pt>
                <c:pt idx="12">
                  <c:v>78375</c:v>
                </c:pt>
                <c:pt idx="13">
                  <c:v>75375</c:v>
                </c:pt>
                <c:pt idx="14">
                  <c:v>74500</c:v>
                </c:pt>
                <c:pt idx="15">
                  <c:v>88250</c:v>
                </c:pt>
                <c:pt idx="16">
                  <c:v>86625</c:v>
                </c:pt>
                <c:pt idx="17">
                  <c:v>88625</c:v>
                </c:pt>
                <c:pt idx="18">
                  <c:v>96000</c:v>
                </c:pt>
                <c:pt idx="19">
                  <c:v>86625</c:v>
                </c:pt>
                <c:pt idx="20">
                  <c:v>78750</c:v>
                </c:pt>
                <c:pt idx="21">
                  <c:v>118250</c:v>
                </c:pt>
                <c:pt idx="22">
                  <c:v>102375</c:v>
                </c:pt>
                <c:pt idx="23">
                  <c:v>86000</c:v>
                </c:pt>
                <c:pt idx="24">
                  <c:v>100875</c:v>
                </c:pt>
                <c:pt idx="25">
                  <c:v>102250</c:v>
                </c:pt>
                <c:pt idx="26">
                  <c:v>94250</c:v>
                </c:pt>
                <c:pt idx="27">
                  <c:v>88625</c:v>
                </c:pt>
                <c:pt idx="28">
                  <c:v>72000</c:v>
                </c:pt>
                <c:pt idx="29">
                  <c:v>61125</c:v>
                </c:pt>
                <c:pt idx="30">
                  <c:v>60875</c:v>
                </c:pt>
                <c:pt idx="31">
                  <c:v>58750</c:v>
                </c:pt>
                <c:pt idx="32">
                  <c:v>57750</c:v>
                </c:pt>
                <c:pt idx="33">
                  <c:v>54000</c:v>
                </c:pt>
                <c:pt idx="34">
                  <c:v>59125</c:v>
                </c:pt>
                <c:pt idx="35">
                  <c:v>65000</c:v>
                </c:pt>
                <c:pt idx="36">
                  <c:v>62500</c:v>
                </c:pt>
                <c:pt idx="37">
                  <c:v>65625</c:v>
                </c:pt>
                <c:pt idx="38">
                  <c:v>61250</c:v>
                </c:pt>
                <c:pt idx="39">
                  <c:v>60250</c:v>
                </c:pt>
                <c:pt idx="40">
                  <c:v>63625</c:v>
                </c:pt>
                <c:pt idx="41">
                  <c:v>73250</c:v>
                </c:pt>
                <c:pt idx="42">
                  <c:v>65250</c:v>
                </c:pt>
                <c:pt idx="43">
                  <c:v>51500</c:v>
                </c:pt>
                <c:pt idx="44">
                  <c:v>52125</c:v>
                </c:pt>
                <c:pt idx="45">
                  <c:v>60125</c:v>
                </c:pt>
                <c:pt idx="46">
                  <c:v>56000</c:v>
                </c:pt>
                <c:pt idx="47">
                  <c:v>66250</c:v>
                </c:pt>
                <c:pt idx="48">
                  <c:v>66125</c:v>
                </c:pt>
                <c:pt idx="49">
                  <c:v>65500</c:v>
                </c:pt>
                <c:pt idx="50">
                  <c:v>52750</c:v>
                </c:pt>
                <c:pt idx="51">
                  <c:v>53375</c:v>
                </c:pt>
                <c:pt idx="52">
                  <c:v>53000</c:v>
                </c:pt>
                <c:pt idx="53">
                  <c:v>48625</c:v>
                </c:pt>
                <c:pt idx="54">
                  <c:v>47750</c:v>
                </c:pt>
                <c:pt idx="55">
                  <c:v>55000</c:v>
                </c:pt>
                <c:pt idx="56">
                  <c:v>49125</c:v>
                </c:pt>
                <c:pt idx="57">
                  <c:v>46500</c:v>
                </c:pt>
                <c:pt idx="58">
                  <c:v>40750</c:v>
                </c:pt>
                <c:pt idx="59">
                  <c:v>39375</c:v>
                </c:pt>
                <c:pt idx="60">
                  <c:v>39125</c:v>
                </c:pt>
                <c:pt idx="61">
                  <c:v>29875</c:v>
                </c:pt>
                <c:pt idx="62">
                  <c:v>25875</c:v>
                </c:pt>
                <c:pt idx="63">
                  <c:v>23375</c:v>
                </c:pt>
                <c:pt idx="64">
                  <c:v>24750</c:v>
                </c:pt>
                <c:pt idx="65">
                  <c:v>36250</c:v>
                </c:pt>
                <c:pt idx="66">
                  <c:v>29750</c:v>
                </c:pt>
                <c:pt idx="67">
                  <c:v>30750</c:v>
                </c:pt>
                <c:pt idx="68">
                  <c:v>37000</c:v>
                </c:pt>
                <c:pt idx="69">
                  <c:v>43500</c:v>
                </c:pt>
                <c:pt idx="70">
                  <c:v>40500</c:v>
                </c:pt>
                <c:pt idx="71">
                  <c:v>38625</c:v>
                </c:pt>
                <c:pt idx="72">
                  <c:v>48125</c:v>
                </c:pt>
                <c:pt idx="73">
                  <c:v>48625</c:v>
                </c:pt>
                <c:pt idx="74">
                  <c:v>59875</c:v>
                </c:pt>
                <c:pt idx="75">
                  <c:v>64875</c:v>
                </c:pt>
                <c:pt idx="76">
                  <c:v>67625</c:v>
                </c:pt>
                <c:pt idx="77">
                  <c:v>66000</c:v>
                </c:pt>
                <c:pt idx="78">
                  <c:v>66500</c:v>
                </c:pt>
                <c:pt idx="79">
                  <c:v>84500</c:v>
                </c:pt>
                <c:pt idx="80">
                  <c:v>89125</c:v>
                </c:pt>
                <c:pt idx="81">
                  <c:v>86500</c:v>
                </c:pt>
                <c:pt idx="82">
                  <c:v>86500</c:v>
                </c:pt>
                <c:pt idx="83">
                  <c:v>95000</c:v>
                </c:pt>
                <c:pt idx="84">
                  <c:v>94375</c:v>
                </c:pt>
                <c:pt idx="85">
                  <c:v>115000</c:v>
                </c:pt>
                <c:pt idx="86">
                  <c:v>115625</c:v>
                </c:pt>
                <c:pt idx="87">
                  <c:v>116250</c:v>
                </c:pt>
                <c:pt idx="88">
                  <c:v>108125</c:v>
                </c:pt>
                <c:pt idx="89">
                  <c:v>107625</c:v>
                </c:pt>
                <c:pt idx="90">
                  <c:v>110875</c:v>
                </c:pt>
                <c:pt idx="91">
                  <c:v>88875</c:v>
                </c:pt>
                <c:pt idx="92">
                  <c:v>92750</c:v>
                </c:pt>
                <c:pt idx="93">
                  <c:v>92375</c:v>
                </c:pt>
                <c:pt idx="94">
                  <c:v>90875</c:v>
                </c:pt>
                <c:pt idx="95">
                  <c:v>90750</c:v>
                </c:pt>
                <c:pt idx="96">
                  <c:v>89375</c:v>
                </c:pt>
                <c:pt idx="97">
                  <c:v>88750</c:v>
                </c:pt>
                <c:pt idx="98">
                  <c:v>87375</c:v>
                </c:pt>
                <c:pt idx="99">
                  <c:v>85000</c:v>
                </c:pt>
                <c:pt idx="100">
                  <c:v>84125</c:v>
                </c:pt>
                <c:pt idx="101">
                  <c:v>85375</c:v>
                </c:pt>
                <c:pt idx="102">
                  <c:v>93000</c:v>
                </c:pt>
                <c:pt idx="103">
                  <c:v>85375</c:v>
                </c:pt>
                <c:pt idx="104">
                  <c:v>85625</c:v>
                </c:pt>
                <c:pt idx="105">
                  <c:v>89875</c:v>
                </c:pt>
                <c:pt idx="106">
                  <c:v>88000</c:v>
                </c:pt>
                <c:pt idx="107">
                  <c:v>89750</c:v>
                </c:pt>
                <c:pt idx="108">
                  <c:v>85000</c:v>
                </c:pt>
                <c:pt idx="109">
                  <c:v>83625</c:v>
                </c:pt>
                <c:pt idx="110">
                  <c:v>84875</c:v>
                </c:pt>
                <c:pt idx="111">
                  <c:v>80750</c:v>
                </c:pt>
                <c:pt idx="112">
                  <c:v>83375</c:v>
                </c:pt>
                <c:pt idx="113">
                  <c:v>87625</c:v>
                </c:pt>
                <c:pt idx="114">
                  <c:v>94375</c:v>
                </c:pt>
                <c:pt idx="115">
                  <c:v>90375</c:v>
                </c:pt>
                <c:pt idx="116">
                  <c:v>91375</c:v>
                </c:pt>
                <c:pt idx="117">
                  <c:v>105375</c:v>
                </c:pt>
                <c:pt idx="118">
                  <c:v>107875</c:v>
                </c:pt>
                <c:pt idx="119">
                  <c:v>112375</c:v>
                </c:pt>
                <c:pt idx="120">
                  <c:v>112500</c:v>
                </c:pt>
                <c:pt idx="121">
                  <c:v>116250</c:v>
                </c:pt>
                <c:pt idx="122">
                  <c:v>120125</c:v>
                </c:pt>
                <c:pt idx="123">
                  <c:v>115500</c:v>
                </c:pt>
                <c:pt idx="124">
                  <c:v>111750</c:v>
                </c:pt>
                <c:pt idx="125">
                  <c:v>109750</c:v>
                </c:pt>
                <c:pt idx="126">
                  <c:v>114000</c:v>
                </c:pt>
                <c:pt idx="127">
                  <c:v>118500</c:v>
                </c:pt>
                <c:pt idx="128">
                  <c:v>120500</c:v>
                </c:pt>
                <c:pt idx="129">
                  <c:v>118750</c:v>
                </c:pt>
                <c:pt idx="130">
                  <c:v>122000</c:v>
                </c:pt>
                <c:pt idx="131">
                  <c:v>115750</c:v>
                </c:pt>
                <c:pt idx="132">
                  <c:v>120875</c:v>
                </c:pt>
                <c:pt idx="133">
                  <c:v>118375</c:v>
                </c:pt>
                <c:pt idx="134">
                  <c:v>119750</c:v>
                </c:pt>
                <c:pt idx="135">
                  <c:v>123875</c:v>
                </c:pt>
                <c:pt idx="136">
                  <c:v>125500</c:v>
                </c:pt>
                <c:pt idx="137">
                  <c:v>124375</c:v>
                </c:pt>
                <c:pt idx="138">
                  <c:v>116000</c:v>
                </c:pt>
                <c:pt idx="139">
                  <c:v>112375</c:v>
                </c:pt>
                <c:pt idx="140">
                  <c:v>108250</c:v>
                </c:pt>
                <c:pt idx="141">
                  <c:v>104500</c:v>
                </c:pt>
                <c:pt idx="142">
                  <c:v>105125</c:v>
                </c:pt>
                <c:pt idx="143">
                  <c:v>99250</c:v>
                </c:pt>
                <c:pt idx="144">
                  <c:v>94000</c:v>
                </c:pt>
                <c:pt idx="145">
                  <c:v>97125</c:v>
                </c:pt>
                <c:pt idx="146">
                  <c:v>93125</c:v>
                </c:pt>
                <c:pt idx="147">
                  <c:v>88375</c:v>
                </c:pt>
                <c:pt idx="148">
                  <c:v>87625</c:v>
                </c:pt>
                <c:pt idx="149">
                  <c:v>93375</c:v>
                </c:pt>
                <c:pt idx="150">
                  <c:v>92625</c:v>
                </c:pt>
                <c:pt idx="151">
                  <c:v>88625</c:v>
                </c:pt>
                <c:pt idx="152">
                  <c:v>88500</c:v>
                </c:pt>
                <c:pt idx="153">
                  <c:v>89875</c:v>
                </c:pt>
                <c:pt idx="154">
                  <c:v>109875</c:v>
                </c:pt>
                <c:pt idx="155">
                  <c:v>114750</c:v>
                </c:pt>
                <c:pt idx="156">
                  <c:v>112000</c:v>
                </c:pt>
                <c:pt idx="157">
                  <c:v>118375</c:v>
                </c:pt>
                <c:pt idx="158">
                  <c:v>113500</c:v>
                </c:pt>
                <c:pt idx="159">
                  <c:v>111625</c:v>
                </c:pt>
                <c:pt idx="160">
                  <c:v>105750</c:v>
                </c:pt>
                <c:pt idx="161">
                  <c:v>99500</c:v>
                </c:pt>
                <c:pt idx="162">
                  <c:v>98375</c:v>
                </c:pt>
                <c:pt idx="163">
                  <c:v>96250</c:v>
                </c:pt>
                <c:pt idx="164">
                  <c:v>96250</c:v>
                </c:pt>
                <c:pt idx="165">
                  <c:v>100250</c:v>
                </c:pt>
                <c:pt idx="166">
                  <c:v>97875</c:v>
                </c:pt>
                <c:pt idx="167">
                  <c:v>93875</c:v>
                </c:pt>
                <c:pt idx="168">
                  <c:v>95625</c:v>
                </c:pt>
                <c:pt idx="169">
                  <c:v>94500</c:v>
                </c:pt>
                <c:pt idx="170">
                  <c:v>94000</c:v>
                </c:pt>
                <c:pt idx="171">
                  <c:v>94750</c:v>
                </c:pt>
                <c:pt idx="172">
                  <c:v>94250</c:v>
                </c:pt>
                <c:pt idx="173">
                  <c:v>99250</c:v>
                </c:pt>
                <c:pt idx="174">
                  <c:v>100875</c:v>
                </c:pt>
                <c:pt idx="175">
                  <c:v>97875</c:v>
                </c:pt>
                <c:pt idx="176">
                  <c:v>99000</c:v>
                </c:pt>
                <c:pt idx="177">
                  <c:v>102250</c:v>
                </c:pt>
                <c:pt idx="178">
                  <c:v>98875</c:v>
                </c:pt>
                <c:pt idx="179">
                  <c:v>94000</c:v>
                </c:pt>
                <c:pt idx="180">
                  <c:v>100875</c:v>
                </c:pt>
                <c:pt idx="181">
                  <c:v>97375</c:v>
                </c:pt>
                <c:pt idx="182">
                  <c:v>96250</c:v>
                </c:pt>
                <c:pt idx="183">
                  <c:v>95125</c:v>
                </c:pt>
                <c:pt idx="184">
                  <c:v>93500</c:v>
                </c:pt>
                <c:pt idx="185">
                  <c:v>89875</c:v>
                </c:pt>
                <c:pt idx="186">
                  <c:v>86875</c:v>
                </c:pt>
                <c:pt idx="187">
                  <c:v>88875</c:v>
                </c:pt>
                <c:pt idx="188">
                  <c:v>88625</c:v>
                </c:pt>
                <c:pt idx="189">
                  <c:v>83000</c:v>
                </c:pt>
                <c:pt idx="190">
                  <c:v>84625</c:v>
                </c:pt>
                <c:pt idx="191">
                  <c:v>93250</c:v>
                </c:pt>
                <c:pt idx="192">
                  <c:v>94250</c:v>
                </c:pt>
                <c:pt idx="193">
                  <c:v>89250</c:v>
                </c:pt>
                <c:pt idx="194">
                  <c:v>82125</c:v>
                </c:pt>
                <c:pt idx="195">
                  <c:v>80625</c:v>
                </c:pt>
                <c:pt idx="196">
                  <c:v>82375</c:v>
                </c:pt>
                <c:pt idx="197">
                  <c:v>76625</c:v>
                </c:pt>
                <c:pt idx="198">
                  <c:v>75375</c:v>
                </c:pt>
                <c:pt idx="199">
                  <c:v>77125</c:v>
                </c:pt>
                <c:pt idx="200">
                  <c:v>87500</c:v>
                </c:pt>
                <c:pt idx="201">
                  <c:v>88500</c:v>
                </c:pt>
                <c:pt idx="202">
                  <c:v>89000</c:v>
                </c:pt>
                <c:pt idx="203">
                  <c:v>88875</c:v>
                </c:pt>
                <c:pt idx="204">
                  <c:v>89875</c:v>
                </c:pt>
                <c:pt idx="205">
                  <c:v>93375</c:v>
                </c:pt>
                <c:pt idx="206">
                  <c:v>99375</c:v>
                </c:pt>
                <c:pt idx="207">
                  <c:v>106000</c:v>
                </c:pt>
                <c:pt idx="208">
                  <c:v>88375</c:v>
                </c:pt>
                <c:pt idx="209">
                  <c:v>81750</c:v>
                </c:pt>
                <c:pt idx="210">
                  <c:v>79000</c:v>
                </c:pt>
                <c:pt idx="211">
                  <c:v>83375</c:v>
                </c:pt>
                <c:pt idx="212">
                  <c:v>81250</c:v>
                </c:pt>
                <c:pt idx="213">
                  <c:v>81250</c:v>
                </c:pt>
                <c:pt idx="214">
                  <c:v>84250</c:v>
                </c:pt>
                <c:pt idx="215">
                  <c:v>92125</c:v>
                </c:pt>
                <c:pt idx="216">
                  <c:v>93625</c:v>
                </c:pt>
                <c:pt idx="217">
                  <c:v>90500</c:v>
                </c:pt>
                <c:pt idx="218">
                  <c:v>97250</c:v>
                </c:pt>
                <c:pt idx="219">
                  <c:v>97375</c:v>
                </c:pt>
                <c:pt idx="220">
                  <c:v>100375</c:v>
                </c:pt>
                <c:pt idx="221">
                  <c:v>107625</c:v>
                </c:pt>
                <c:pt idx="222">
                  <c:v>101750</c:v>
                </c:pt>
                <c:pt idx="223">
                  <c:v>103000</c:v>
                </c:pt>
                <c:pt idx="224">
                  <c:v>100125</c:v>
                </c:pt>
                <c:pt idx="225">
                  <c:v>99750</c:v>
                </c:pt>
                <c:pt idx="226">
                  <c:v>103625</c:v>
                </c:pt>
                <c:pt idx="227">
                  <c:v>101750</c:v>
                </c:pt>
                <c:pt idx="228">
                  <c:v>85375</c:v>
                </c:pt>
                <c:pt idx="229">
                  <c:v>83750</c:v>
                </c:pt>
                <c:pt idx="230">
                  <c:v>78375</c:v>
                </c:pt>
                <c:pt idx="231">
                  <c:v>89000</c:v>
                </c:pt>
                <c:pt idx="232">
                  <c:v>86875</c:v>
                </c:pt>
                <c:pt idx="233">
                  <c:v>75250</c:v>
                </c:pt>
                <c:pt idx="234">
                  <c:v>80125</c:v>
                </c:pt>
                <c:pt idx="235">
                  <c:v>75875</c:v>
                </c:pt>
                <c:pt idx="236">
                  <c:v>81875</c:v>
                </c:pt>
                <c:pt idx="237">
                  <c:v>99375</c:v>
                </c:pt>
                <c:pt idx="238">
                  <c:v>106500</c:v>
                </c:pt>
                <c:pt idx="239">
                  <c:v>106125</c:v>
                </c:pt>
                <c:pt idx="240">
                  <c:v>98875</c:v>
                </c:pt>
                <c:pt idx="241">
                  <c:v>91125</c:v>
                </c:pt>
                <c:pt idx="242">
                  <c:v>84875</c:v>
                </c:pt>
                <c:pt idx="243">
                  <c:v>80250</c:v>
                </c:pt>
                <c:pt idx="244">
                  <c:v>79625</c:v>
                </c:pt>
                <c:pt idx="245">
                  <c:v>93375</c:v>
                </c:pt>
                <c:pt idx="246">
                  <c:v>94250</c:v>
                </c:pt>
                <c:pt idx="247">
                  <c:v>106375</c:v>
                </c:pt>
                <c:pt idx="248">
                  <c:v>109250</c:v>
                </c:pt>
                <c:pt idx="249">
                  <c:v>115500</c:v>
                </c:pt>
                <c:pt idx="250">
                  <c:v>116625</c:v>
                </c:pt>
                <c:pt idx="251">
                  <c:v>116375</c:v>
                </c:pt>
                <c:pt idx="252">
                  <c:v>118750</c:v>
                </c:pt>
                <c:pt idx="253">
                  <c:v>114375</c:v>
                </c:pt>
                <c:pt idx="254">
                  <c:v>112500</c:v>
                </c:pt>
                <c:pt idx="255">
                  <c:v>105250</c:v>
                </c:pt>
                <c:pt idx="256">
                  <c:v>99500</c:v>
                </c:pt>
                <c:pt idx="257">
                  <c:v>97250</c:v>
                </c:pt>
                <c:pt idx="258">
                  <c:v>101250</c:v>
                </c:pt>
                <c:pt idx="259">
                  <c:v>105625</c:v>
                </c:pt>
                <c:pt idx="260">
                  <c:v>98375</c:v>
                </c:pt>
                <c:pt idx="261">
                  <c:v>96625</c:v>
                </c:pt>
                <c:pt idx="262">
                  <c:v>106000</c:v>
                </c:pt>
                <c:pt idx="263">
                  <c:v>95875</c:v>
                </c:pt>
                <c:pt idx="264">
                  <c:v>91375</c:v>
                </c:pt>
                <c:pt idx="265">
                  <c:v>92125</c:v>
                </c:pt>
                <c:pt idx="266">
                  <c:v>100125</c:v>
                </c:pt>
                <c:pt idx="267">
                  <c:v>100125</c:v>
                </c:pt>
                <c:pt idx="268">
                  <c:v>82750</c:v>
                </c:pt>
                <c:pt idx="269">
                  <c:v>75000</c:v>
                </c:pt>
                <c:pt idx="270">
                  <c:v>71500</c:v>
                </c:pt>
                <c:pt idx="271">
                  <c:v>73000</c:v>
                </c:pt>
                <c:pt idx="272">
                  <c:v>60375</c:v>
                </c:pt>
                <c:pt idx="273">
                  <c:v>51750</c:v>
                </c:pt>
                <c:pt idx="274">
                  <c:v>37500</c:v>
                </c:pt>
                <c:pt idx="275">
                  <c:v>17250</c:v>
                </c:pt>
                <c:pt idx="276">
                  <c:v>20625</c:v>
                </c:pt>
                <c:pt idx="277">
                  <c:v>7000</c:v>
                </c:pt>
                <c:pt idx="278">
                  <c:v>13875</c:v>
                </c:pt>
                <c:pt idx="279">
                  <c:v>29625</c:v>
                </c:pt>
                <c:pt idx="280">
                  <c:v>7875</c:v>
                </c:pt>
                <c:pt idx="281">
                  <c:v>7125</c:v>
                </c:pt>
                <c:pt idx="282">
                  <c:v>-10750</c:v>
                </c:pt>
                <c:pt idx="283">
                  <c:v>-14750</c:v>
                </c:pt>
                <c:pt idx="284">
                  <c:v>-20625</c:v>
                </c:pt>
                <c:pt idx="285">
                  <c:v>-24375</c:v>
                </c:pt>
                <c:pt idx="286">
                  <c:v>-34125</c:v>
                </c:pt>
                <c:pt idx="287">
                  <c:v>-26625</c:v>
                </c:pt>
                <c:pt idx="288">
                  <c:v>-16875</c:v>
                </c:pt>
                <c:pt idx="289">
                  <c:v>-22000</c:v>
                </c:pt>
                <c:pt idx="290">
                  <c:v>-14500</c:v>
                </c:pt>
                <c:pt idx="291">
                  <c:v>-22625</c:v>
                </c:pt>
                <c:pt idx="292">
                  <c:v>-33875</c:v>
                </c:pt>
                <c:pt idx="293">
                  <c:v>-28750</c:v>
                </c:pt>
                <c:pt idx="294">
                  <c:v>-16625</c:v>
                </c:pt>
                <c:pt idx="295">
                  <c:v>-23125</c:v>
                </c:pt>
                <c:pt idx="296">
                  <c:v>-29750</c:v>
                </c:pt>
                <c:pt idx="297">
                  <c:v>-27000</c:v>
                </c:pt>
                <c:pt idx="298">
                  <c:v>-22000</c:v>
                </c:pt>
                <c:pt idx="299">
                  <c:v>-28500</c:v>
                </c:pt>
                <c:pt idx="300">
                  <c:v>-36125</c:v>
                </c:pt>
                <c:pt idx="301">
                  <c:v>-26875</c:v>
                </c:pt>
                <c:pt idx="302">
                  <c:v>-18250</c:v>
                </c:pt>
                <c:pt idx="303">
                  <c:v>-13250</c:v>
                </c:pt>
                <c:pt idx="304">
                  <c:v>-19500</c:v>
                </c:pt>
                <c:pt idx="305">
                  <c:v>-24250</c:v>
                </c:pt>
                <c:pt idx="306">
                  <c:v>-23625</c:v>
                </c:pt>
                <c:pt idx="307">
                  <c:v>-32125</c:v>
                </c:pt>
                <c:pt idx="308">
                  <c:v>-40000</c:v>
                </c:pt>
                <c:pt idx="309">
                  <c:v>-37875</c:v>
                </c:pt>
                <c:pt idx="310">
                  <c:v>-28125</c:v>
                </c:pt>
                <c:pt idx="311">
                  <c:v>-25625</c:v>
                </c:pt>
                <c:pt idx="312">
                  <c:v>-22500</c:v>
                </c:pt>
                <c:pt idx="313">
                  <c:v>-19750</c:v>
                </c:pt>
                <c:pt idx="314">
                  <c:v>-29250</c:v>
                </c:pt>
                <c:pt idx="315">
                  <c:v>-32250</c:v>
                </c:pt>
                <c:pt idx="316">
                  <c:v>-25625</c:v>
                </c:pt>
                <c:pt idx="317">
                  <c:v>-24125</c:v>
                </c:pt>
                <c:pt idx="318">
                  <c:v>-20500</c:v>
                </c:pt>
                <c:pt idx="319">
                  <c:v>-24125</c:v>
                </c:pt>
                <c:pt idx="320">
                  <c:v>-23375</c:v>
                </c:pt>
                <c:pt idx="321">
                  <c:v>-15000</c:v>
                </c:pt>
                <c:pt idx="322">
                  <c:v>-16625</c:v>
                </c:pt>
                <c:pt idx="323">
                  <c:v>-9625</c:v>
                </c:pt>
                <c:pt idx="324">
                  <c:v>-12375</c:v>
                </c:pt>
                <c:pt idx="325">
                  <c:v>-17000</c:v>
                </c:pt>
                <c:pt idx="326">
                  <c:v>-2625</c:v>
                </c:pt>
                <c:pt idx="327">
                  <c:v>3375</c:v>
                </c:pt>
                <c:pt idx="328">
                  <c:v>-3125</c:v>
                </c:pt>
                <c:pt idx="329">
                  <c:v>1250</c:v>
                </c:pt>
                <c:pt idx="330">
                  <c:v>-375</c:v>
                </c:pt>
                <c:pt idx="331">
                  <c:v>1625</c:v>
                </c:pt>
                <c:pt idx="332">
                  <c:v>2625</c:v>
                </c:pt>
                <c:pt idx="333">
                  <c:v>11250</c:v>
                </c:pt>
                <c:pt idx="334">
                  <c:v>16750</c:v>
                </c:pt>
                <c:pt idx="335">
                  <c:v>-4375</c:v>
                </c:pt>
                <c:pt idx="336">
                  <c:v>-5250</c:v>
                </c:pt>
                <c:pt idx="337">
                  <c:v>-2500</c:v>
                </c:pt>
                <c:pt idx="338">
                  <c:v>-5375</c:v>
                </c:pt>
                <c:pt idx="339">
                  <c:v>-7625</c:v>
                </c:pt>
                <c:pt idx="340">
                  <c:v>-750</c:v>
                </c:pt>
                <c:pt idx="341">
                  <c:v>2500</c:v>
                </c:pt>
                <c:pt idx="342">
                  <c:v>5500</c:v>
                </c:pt>
                <c:pt idx="343">
                  <c:v>-13750</c:v>
                </c:pt>
                <c:pt idx="344">
                  <c:v>-2250</c:v>
                </c:pt>
                <c:pt idx="345">
                  <c:v>5875</c:v>
                </c:pt>
                <c:pt idx="346">
                  <c:v>5875</c:v>
                </c:pt>
                <c:pt idx="347">
                  <c:v>2250</c:v>
                </c:pt>
                <c:pt idx="348">
                  <c:v>-6125</c:v>
                </c:pt>
                <c:pt idx="349">
                  <c:v>-8250</c:v>
                </c:pt>
                <c:pt idx="350">
                  <c:v>-7750</c:v>
                </c:pt>
                <c:pt idx="351">
                  <c:v>-3125</c:v>
                </c:pt>
                <c:pt idx="352">
                  <c:v>-3125</c:v>
                </c:pt>
                <c:pt idx="353">
                  <c:v>1750</c:v>
                </c:pt>
                <c:pt idx="354">
                  <c:v>4625</c:v>
                </c:pt>
                <c:pt idx="355">
                  <c:v>5250</c:v>
                </c:pt>
                <c:pt idx="356">
                  <c:v>3875</c:v>
                </c:pt>
                <c:pt idx="357">
                  <c:v>-3000</c:v>
                </c:pt>
                <c:pt idx="358">
                  <c:v>-3375</c:v>
                </c:pt>
                <c:pt idx="359">
                  <c:v>3125</c:v>
                </c:pt>
                <c:pt idx="360">
                  <c:v>6750</c:v>
                </c:pt>
                <c:pt idx="361">
                  <c:v>3750</c:v>
                </c:pt>
                <c:pt idx="362">
                  <c:v>2125</c:v>
                </c:pt>
                <c:pt idx="363">
                  <c:v>1625</c:v>
                </c:pt>
                <c:pt idx="364">
                  <c:v>3250</c:v>
                </c:pt>
                <c:pt idx="365">
                  <c:v>14875</c:v>
                </c:pt>
                <c:pt idx="366">
                  <c:v>10000</c:v>
                </c:pt>
                <c:pt idx="367">
                  <c:v>12500</c:v>
                </c:pt>
                <c:pt idx="368">
                  <c:v>10375</c:v>
                </c:pt>
                <c:pt idx="369">
                  <c:v>4750</c:v>
                </c:pt>
                <c:pt idx="370">
                  <c:v>1625</c:v>
                </c:pt>
                <c:pt idx="371">
                  <c:v>4125</c:v>
                </c:pt>
                <c:pt idx="372">
                  <c:v>1000</c:v>
                </c:pt>
                <c:pt idx="373">
                  <c:v>-500</c:v>
                </c:pt>
                <c:pt idx="374">
                  <c:v>-2125</c:v>
                </c:pt>
                <c:pt idx="375">
                  <c:v>-7375</c:v>
                </c:pt>
                <c:pt idx="376">
                  <c:v>-3500</c:v>
                </c:pt>
                <c:pt idx="377">
                  <c:v>1000</c:v>
                </c:pt>
                <c:pt idx="378">
                  <c:v>-375</c:v>
                </c:pt>
                <c:pt idx="379">
                  <c:v>1000</c:v>
                </c:pt>
                <c:pt idx="380">
                  <c:v>-2000</c:v>
                </c:pt>
                <c:pt idx="381">
                  <c:v>1375</c:v>
                </c:pt>
                <c:pt idx="382">
                  <c:v>6875</c:v>
                </c:pt>
                <c:pt idx="383">
                  <c:v>11250</c:v>
                </c:pt>
                <c:pt idx="384">
                  <c:v>12875</c:v>
                </c:pt>
                <c:pt idx="385">
                  <c:v>13500</c:v>
                </c:pt>
                <c:pt idx="386">
                  <c:v>17000</c:v>
                </c:pt>
                <c:pt idx="387">
                  <c:v>10875</c:v>
                </c:pt>
                <c:pt idx="388">
                  <c:v>14125</c:v>
                </c:pt>
                <c:pt idx="389">
                  <c:v>16375</c:v>
                </c:pt>
                <c:pt idx="390">
                  <c:v>23375</c:v>
                </c:pt>
                <c:pt idx="391">
                  <c:v>28250</c:v>
                </c:pt>
                <c:pt idx="392">
                  <c:v>25625</c:v>
                </c:pt>
                <c:pt idx="393">
                  <c:v>23500</c:v>
                </c:pt>
                <c:pt idx="394">
                  <c:v>28750</c:v>
                </c:pt>
                <c:pt idx="395">
                  <c:v>30375</c:v>
                </c:pt>
                <c:pt idx="396">
                  <c:v>29500</c:v>
                </c:pt>
                <c:pt idx="397">
                  <c:v>27500</c:v>
                </c:pt>
                <c:pt idx="398">
                  <c:v>31000</c:v>
                </c:pt>
                <c:pt idx="399">
                  <c:v>30500</c:v>
                </c:pt>
                <c:pt idx="400">
                  <c:v>34250</c:v>
                </c:pt>
                <c:pt idx="401">
                  <c:v>33375</c:v>
                </c:pt>
                <c:pt idx="402">
                  <c:v>30000</c:v>
                </c:pt>
                <c:pt idx="403">
                  <c:v>28750</c:v>
                </c:pt>
                <c:pt idx="404">
                  <c:v>26875</c:v>
                </c:pt>
                <c:pt idx="405">
                  <c:v>18375</c:v>
                </c:pt>
                <c:pt idx="406">
                  <c:v>14500</c:v>
                </c:pt>
                <c:pt idx="407">
                  <c:v>10000</c:v>
                </c:pt>
                <c:pt idx="408">
                  <c:v>11250</c:v>
                </c:pt>
                <c:pt idx="409">
                  <c:v>12125</c:v>
                </c:pt>
                <c:pt idx="410">
                  <c:v>11625</c:v>
                </c:pt>
                <c:pt idx="411">
                  <c:v>10625</c:v>
                </c:pt>
                <c:pt idx="412">
                  <c:v>14125</c:v>
                </c:pt>
                <c:pt idx="413">
                  <c:v>15125</c:v>
                </c:pt>
                <c:pt idx="414">
                  <c:v>15500</c:v>
                </c:pt>
                <c:pt idx="415">
                  <c:v>14000</c:v>
                </c:pt>
                <c:pt idx="416">
                  <c:v>10375</c:v>
                </c:pt>
                <c:pt idx="417">
                  <c:v>5625</c:v>
                </c:pt>
                <c:pt idx="418">
                  <c:v>6000</c:v>
                </c:pt>
                <c:pt idx="419">
                  <c:v>6750</c:v>
                </c:pt>
                <c:pt idx="420">
                  <c:v>9125</c:v>
                </c:pt>
                <c:pt idx="421">
                  <c:v>12250</c:v>
                </c:pt>
                <c:pt idx="422">
                  <c:v>14125</c:v>
                </c:pt>
                <c:pt idx="423">
                  <c:v>18625</c:v>
                </c:pt>
                <c:pt idx="424">
                  <c:v>19625</c:v>
                </c:pt>
                <c:pt idx="425">
                  <c:v>24875</c:v>
                </c:pt>
                <c:pt idx="426">
                  <c:v>28875</c:v>
                </c:pt>
                <c:pt idx="427">
                  <c:v>29375</c:v>
                </c:pt>
                <c:pt idx="428">
                  <c:v>30375</c:v>
                </c:pt>
                <c:pt idx="429">
                  <c:v>27125</c:v>
                </c:pt>
                <c:pt idx="430">
                  <c:v>29125</c:v>
                </c:pt>
                <c:pt idx="431">
                  <c:v>26250</c:v>
                </c:pt>
                <c:pt idx="432">
                  <c:v>29000</c:v>
                </c:pt>
                <c:pt idx="433">
                  <c:v>29625</c:v>
                </c:pt>
                <c:pt idx="434">
                  <c:v>28625</c:v>
                </c:pt>
                <c:pt idx="435">
                  <c:v>24375</c:v>
                </c:pt>
                <c:pt idx="436">
                  <c:v>20250</c:v>
                </c:pt>
                <c:pt idx="437">
                  <c:v>16250</c:v>
                </c:pt>
                <c:pt idx="438">
                  <c:v>12750</c:v>
                </c:pt>
                <c:pt idx="439">
                  <c:v>16000</c:v>
                </c:pt>
                <c:pt idx="440">
                  <c:v>10500</c:v>
                </c:pt>
                <c:pt idx="441">
                  <c:v>19875</c:v>
                </c:pt>
                <c:pt idx="442">
                  <c:v>22750</c:v>
                </c:pt>
                <c:pt idx="443">
                  <c:v>15750</c:v>
                </c:pt>
                <c:pt idx="444">
                  <c:v>8125</c:v>
                </c:pt>
                <c:pt idx="445">
                  <c:v>4875</c:v>
                </c:pt>
                <c:pt idx="446">
                  <c:v>8000</c:v>
                </c:pt>
                <c:pt idx="447">
                  <c:v>5125</c:v>
                </c:pt>
                <c:pt idx="448">
                  <c:v>4500</c:v>
                </c:pt>
                <c:pt idx="449">
                  <c:v>4375</c:v>
                </c:pt>
                <c:pt idx="450">
                  <c:v>-125</c:v>
                </c:pt>
                <c:pt idx="451">
                  <c:v>-2750</c:v>
                </c:pt>
                <c:pt idx="452">
                  <c:v>-4250</c:v>
                </c:pt>
                <c:pt idx="453">
                  <c:v>-750</c:v>
                </c:pt>
                <c:pt idx="454">
                  <c:v>-2625</c:v>
                </c:pt>
                <c:pt idx="455">
                  <c:v>-1375</c:v>
                </c:pt>
                <c:pt idx="456">
                  <c:v>-5375</c:v>
                </c:pt>
                <c:pt idx="457">
                  <c:v>15125</c:v>
                </c:pt>
                <c:pt idx="458">
                  <c:v>15125</c:v>
                </c:pt>
                <c:pt idx="459">
                  <c:v>39625</c:v>
                </c:pt>
                <c:pt idx="460">
                  <c:v>45250</c:v>
                </c:pt>
                <c:pt idx="461">
                  <c:v>43000</c:v>
                </c:pt>
                <c:pt idx="462">
                  <c:v>46500</c:v>
                </c:pt>
                <c:pt idx="463">
                  <c:v>48000</c:v>
                </c:pt>
                <c:pt idx="464">
                  <c:v>46375</c:v>
                </c:pt>
                <c:pt idx="465">
                  <c:v>41000</c:v>
                </c:pt>
                <c:pt idx="466">
                  <c:v>40125</c:v>
                </c:pt>
                <c:pt idx="467">
                  <c:v>36125</c:v>
                </c:pt>
                <c:pt idx="468">
                  <c:v>34500</c:v>
                </c:pt>
                <c:pt idx="469">
                  <c:v>38250</c:v>
                </c:pt>
                <c:pt idx="470">
                  <c:v>32625</c:v>
                </c:pt>
                <c:pt idx="471">
                  <c:v>33000</c:v>
                </c:pt>
                <c:pt idx="472">
                  <c:v>39750</c:v>
                </c:pt>
                <c:pt idx="473">
                  <c:v>37625</c:v>
                </c:pt>
                <c:pt idx="474">
                  <c:v>40125</c:v>
                </c:pt>
                <c:pt idx="475">
                  <c:v>42500</c:v>
                </c:pt>
                <c:pt idx="476">
                  <c:v>43875</c:v>
                </c:pt>
                <c:pt idx="477">
                  <c:v>40875</c:v>
                </c:pt>
                <c:pt idx="478">
                  <c:v>40625</c:v>
                </c:pt>
                <c:pt idx="479">
                  <c:v>22125</c:v>
                </c:pt>
                <c:pt idx="480">
                  <c:v>19875</c:v>
                </c:pt>
                <c:pt idx="481">
                  <c:v>20750</c:v>
                </c:pt>
                <c:pt idx="482">
                  <c:v>14000</c:v>
                </c:pt>
                <c:pt idx="483">
                  <c:v>13125</c:v>
                </c:pt>
                <c:pt idx="484">
                  <c:v>22750</c:v>
                </c:pt>
                <c:pt idx="485">
                  <c:v>22750</c:v>
                </c:pt>
                <c:pt idx="486">
                  <c:v>26000</c:v>
                </c:pt>
                <c:pt idx="487">
                  <c:v>13750</c:v>
                </c:pt>
                <c:pt idx="488">
                  <c:v>17750</c:v>
                </c:pt>
                <c:pt idx="489">
                  <c:v>9250</c:v>
                </c:pt>
                <c:pt idx="490">
                  <c:v>11500</c:v>
                </c:pt>
                <c:pt idx="491">
                  <c:v>12375</c:v>
                </c:pt>
                <c:pt idx="492">
                  <c:v>15875</c:v>
                </c:pt>
                <c:pt idx="493">
                  <c:v>10875</c:v>
                </c:pt>
                <c:pt idx="494">
                  <c:v>13125</c:v>
                </c:pt>
                <c:pt idx="495">
                  <c:v>18625</c:v>
                </c:pt>
                <c:pt idx="496">
                  <c:v>9000</c:v>
                </c:pt>
                <c:pt idx="497">
                  <c:v>5750</c:v>
                </c:pt>
                <c:pt idx="498">
                  <c:v>7375</c:v>
                </c:pt>
                <c:pt idx="499">
                  <c:v>4375</c:v>
                </c:pt>
                <c:pt idx="500">
                  <c:v>4625</c:v>
                </c:pt>
                <c:pt idx="501">
                  <c:v>10625</c:v>
                </c:pt>
                <c:pt idx="502">
                  <c:v>5750</c:v>
                </c:pt>
                <c:pt idx="503">
                  <c:v>7625</c:v>
                </c:pt>
                <c:pt idx="504">
                  <c:v>9375</c:v>
                </c:pt>
                <c:pt idx="505">
                  <c:v>6375</c:v>
                </c:pt>
                <c:pt idx="506">
                  <c:v>6375</c:v>
                </c:pt>
                <c:pt idx="507">
                  <c:v>4250</c:v>
                </c:pt>
                <c:pt idx="508">
                  <c:v>12375</c:v>
                </c:pt>
                <c:pt idx="509">
                  <c:v>9000</c:v>
                </c:pt>
                <c:pt idx="510">
                  <c:v>12250</c:v>
                </c:pt>
                <c:pt idx="511">
                  <c:v>14875</c:v>
                </c:pt>
                <c:pt idx="512">
                  <c:v>9750</c:v>
                </c:pt>
                <c:pt idx="513">
                  <c:v>4875</c:v>
                </c:pt>
                <c:pt idx="514">
                  <c:v>1875</c:v>
                </c:pt>
                <c:pt idx="515">
                  <c:v>-3625</c:v>
                </c:pt>
                <c:pt idx="516">
                  <c:v>250</c:v>
                </c:pt>
                <c:pt idx="517">
                  <c:v>4000</c:v>
                </c:pt>
                <c:pt idx="518">
                  <c:v>10125</c:v>
                </c:pt>
                <c:pt idx="519">
                  <c:v>8625</c:v>
                </c:pt>
                <c:pt idx="520">
                  <c:v>5125</c:v>
                </c:pt>
                <c:pt idx="521">
                  <c:v>2625</c:v>
                </c:pt>
                <c:pt idx="522">
                  <c:v>4500</c:v>
                </c:pt>
                <c:pt idx="523">
                  <c:v>8875</c:v>
                </c:pt>
                <c:pt idx="524">
                  <c:v>1625</c:v>
                </c:pt>
                <c:pt idx="525">
                  <c:v>-2125</c:v>
                </c:pt>
                <c:pt idx="526">
                  <c:v>-6375</c:v>
                </c:pt>
                <c:pt idx="527">
                  <c:v>-9875</c:v>
                </c:pt>
                <c:pt idx="528">
                  <c:v>-15125</c:v>
                </c:pt>
                <c:pt idx="529">
                  <c:v>-17500</c:v>
                </c:pt>
                <c:pt idx="530">
                  <c:v>-22000</c:v>
                </c:pt>
                <c:pt idx="531">
                  <c:v>-16125</c:v>
                </c:pt>
                <c:pt idx="532">
                  <c:v>-10250</c:v>
                </c:pt>
                <c:pt idx="533">
                  <c:v>-14000</c:v>
                </c:pt>
                <c:pt idx="534">
                  <c:v>-11250</c:v>
                </c:pt>
                <c:pt idx="535">
                  <c:v>-12125</c:v>
                </c:pt>
                <c:pt idx="536">
                  <c:v>-13875</c:v>
                </c:pt>
                <c:pt idx="537">
                  <c:v>-12500</c:v>
                </c:pt>
                <c:pt idx="538">
                  <c:v>-3750</c:v>
                </c:pt>
                <c:pt idx="539">
                  <c:v>3875</c:v>
                </c:pt>
                <c:pt idx="540">
                  <c:v>10250</c:v>
                </c:pt>
                <c:pt idx="541">
                  <c:v>11125</c:v>
                </c:pt>
                <c:pt idx="542">
                  <c:v>13875</c:v>
                </c:pt>
                <c:pt idx="543">
                  <c:v>11875</c:v>
                </c:pt>
                <c:pt idx="544">
                  <c:v>8750</c:v>
                </c:pt>
                <c:pt idx="545">
                  <c:v>14500</c:v>
                </c:pt>
                <c:pt idx="546">
                  <c:v>19125</c:v>
                </c:pt>
                <c:pt idx="547">
                  <c:v>23875</c:v>
                </c:pt>
                <c:pt idx="548">
                  <c:v>22375</c:v>
                </c:pt>
                <c:pt idx="549">
                  <c:v>23875</c:v>
                </c:pt>
                <c:pt idx="550">
                  <c:v>22625</c:v>
                </c:pt>
                <c:pt idx="551">
                  <c:v>24375</c:v>
                </c:pt>
                <c:pt idx="552">
                  <c:v>21250</c:v>
                </c:pt>
                <c:pt idx="553">
                  <c:v>28875</c:v>
                </c:pt>
                <c:pt idx="554">
                  <c:v>27000</c:v>
                </c:pt>
                <c:pt idx="555">
                  <c:v>18875</c:v>
                </c:pt>
                <c:pt idx="556">
                  <c:v>21500</c:v>
                </c:pt>
                <c:pt idx="557">
                  <c:v>13500</c:v>
                </c:pt>
                <c:pt idx="558">
                  <c:v>15000</c:v>
                </c:pt>
                <c:pt idx="559">
                  <c:v>8875</c:v>
                </c:pt>
                <c:pt idx="560">
                  <c:v>12875</c:v>
                </c:pt>
                <c:pt idx="561">
                  <c:v>9250</c:v>
                </c:pt>
                <c:pt idx="562">
                  <c:v>-2375</c:v>
                </c:pt>
                <c:pt idx="563">
                  <c:v>5875</c:v>
                </c:pt>
                <c:pt idx="564">
                  <c:v>7375</c:v>
                </c:pt>
                <c:pt idx="565">
                  <c:v>8250</c:v>
                </c:pt>
                <c:pt idx="566">
                  <c:v>13750</c:v>
                </c:pt>
                <c:pt idx="567">
                  <c:v>12875</c:v>
                </c:pt>
                <c:pt idx="568">
                  <c:v>10625</c:v>
                </c:pt>
                <c:pt idx="569">
                  <c:v>15875</c:v>
                </c:pt>
                <c:pt idx="570">
                  <c:v>11875</c:v>
                </c:pt>
                <c:pt idx="571">
                  <c:v>19750</c:v>
                </c:pt>
                <c:pt idx="572">
                  <c:v>21000</c:v>
                </c:pt>
                <c:pt idx="573">
                  <c:v>20125</c:v>
                </c:pt>
                <c:pt idx="574">
                  <c:v>24625</c:v>
                </c:pt>
                <c:pt idx="575">
                  <c:v>24750</c:v>
                </c:pt>
                <c:pt idx="576">
                  <c:v>26625</c:v>
                </c:pt>
                <c:pt idx="577">
                  <c:v>27000</c:v>
                </c:pt>
                <c:pt idx="578">
                  <c:v>27750</c:v>
                </c:pt>
                <c:pt idx="579">
                  <c:v>26250</c:v>
                </c:pt>
                <c:pt idx="580">
                  <c:v>29250</c:v>
                </c:pt>
                <c:pt idx="581">
                  <c:v>28750</c:v>
                </c:pt>
                <c:pt idx="582">
                  <c:v>30625</c:v>
                </c:pt>
                <c:pt idx="583">
                  <c:v>26625</c:v>
                </c:pt>
                <c:pt idx="584">
                  <c:v>27250</c:v>
                </c:pt>
                <c:pt idx="585">
                  <c:v>27625</c:v>
                </c:pt>
                <c:pt idx="586">
                  <c:v>32500</c:v>
                </c:pt>
                <c:pt idx="587">
                  <c:v>36125</c:v>
                </c:pt>
                <c:pt idx="588">
                  <c:v>35125</c:v>
                </c:pt>
                <c:pt idx="589">
                  <c:v>34125</c:v>
                </c:pt>
                <c:pt idx="590">
                  <c:v>33000</c:v>
                </c:pt>
                <c:pt idx="591">
                  <c:v>30875</c:v>
                </c:pt>
                <c:pt idx="592">
                  <c:v>34000</c:v>
                </c:pt>
                <c:pt idx="593">
                  <c:v>33000</c:v>
                </c:pt>
                <c:pt idx="594">
                  <c:v>35875</c:v>
                </c:pt>
                <c:pt idx="595">
                  <c:v>37625</c:v>
                </c:pt>
                <c:pt idx="596">
                  <c:v>33375</c:v>
                </c:pt>
                <c:pt idx="597">
                  <c:v>33625</c:v>
                </c:pt>
                <c:pt idx="598">
                  <c:v>33625</c:v>
                </c:pt>
                <c:pt idx="599">
                  <c:v>33250</c:v>
                </c:pt>
                <c:pt idx="600">
                  <c:v>33125</c:v>
                </c:pt>
                <c:pt idx="601">
                  <c:v>34625</c:v>
                </c:pt>
                <c:pt idx="602">
                  <c:v>33125</c:v>
                </c:pt>
                <c:pt idx="603">
                  <c:v>34875</c:v>
                </c:pt>
                <c:pt idx="604">
                  <c:v>34500</c:v>
                </c:pt>
                <c:pt idx="605">
                  <c:v>39125</c:v>
                </c:pt>
                <c:pt idx="606">
                  <c:v>39375</c:v>
                </c:pt>
                <c:pt idx="607">
                  <c:v>39375</c:v>
                </c:pt>
                <c:pt idx="608">
                  <c:v>41125</c:v>
                </c:pt>
                <c:pt idx="609">
                  <c:v>40875</c:v>
                </c:pt>
                <c:pt idx="610">
                  <c:v>41375</c:v>
                </c:pt>
                <c:pt idx="611">
                  <c:v>42375</c:v>
                </c:pt>
                <c:pt idx="612">
                  <c:v>44125</c:v>
                </c:pt>
                <c:pt idx="613">
                  <c:v>44125</c:v>
                </c:pt>
                <c:pt idx="614">
                  <c:v>42375</c:v>
                </c:pt>
                <c:pt idx="615">
                  <c:v>37750</c:v>
                </c:pt>
                <c:pt idx="616">
                  <c:v>39625</c:v>
                </c:pt>
                <c:pt idx="617">
                  <c:v>41750</c:v>
                </c:pt>
                <c:pt idx="618">
                  <c:v>42625</c:v>
                </c:pt>
                <c:pt idx="619">
                  <c:v>48125</c:v>
                </c:pt>
                <c:pt idx="620">
                  <c:v>47000</c:v>
                </c:pt>
                <c:pt idx="621">
                  <c:v>46000</c:v>
                </c:pt>
                <c:pt idx="622">
                  <c:v>43875</c:v>
                </c:pt>
                <c:pt idx="623">
                  <c:v>43875</c:v>
                </c:pt>
                <c:pt idx="624">
                  <c:v>43250</c:v>
                </c:pt>
                <c:pt idx="625">
                  <c:v>45875</c:v>
                </c:pt>
                <c:pt idx="626">
                  <c:v>46000</c:v>
                </c:pt>
                <c:pt idx="627">
                  <c:v>47250</c:v>
                </c:pt>
                <c:pt idx="628">
                  <c:v>47000</c:v>
                </c:pt>
                <c:pt idx="629">
                  <c:v>44375</c:v>
                </c:pt>
                <c:pt idx="630">
                  <c:v>42625</c:v>
                </c:pt>
                <c:pt idx="631">
                  <c:v>42875</c:v>
                </c:pt>
                <c:pt idx="632">
                  <c:v>44000</c:v>
                </c:pt>
                <c:pt idx="633">
                  <c:v>40875</c:v>
                </c:pt>
                <c:pt idx="634">
                  <c:v>41125</c:v>
                </c:pt>
                <c:pt idx="635">
                  <c:v>39125</c:v>
                </c:pt>
                <c:pt idx="636">
                  <c:v>42000</c:v>
                </c:pt>
                <c:pt idx="637">
                  <c:v>45375</c:v>
                </c:pt>
                <c:pt idx="638">
                  <c:v>46000</c:v>
                </c:pt>
                <c:pt idx="639">
                  <c:v>45000</c:v>
                </c:pt>
                <c:pt idx="640">
                  <c:v>46000</c:v>
                </c:pt>
                <c:pt idx="641">
                  <c:v>43875</c:v>
                </c:pt>
                <c:pt idx="642">
                  <c:v>42250</c:v>
                </c:pt>
                <c:pt idx="643">
                  <c:v>41375</c:v>
                </c:pt>
                <c:pt idx="644">
                  <c:v>41250</c:v>
                </c:pt>
                <c:pt idx="645">
                  <c:v>44875</c:v>
                </c:pt>
                <c:pt idx="646">
                  <c:v>45000</c:v>
                </c:pt>
                <c:pt idx="647">
                  <c:v>46750</c:v>
                </c:pt>
                <c:pt idx="648">
                  <c:v>47250</c:v>
                </c:pt>
                <c:pt idx="649">
                  <c:v>49250</c:v>
                </c:pt>
                <c:pt idx="650">
                  <c:v>46750</c:v>
                </c:pt>
                <c:pt idx="651">
                  <c:v>45250</c:v>
                </c:pt>
                <c:pt idx="652">
                  <c:v>45125</c:v>
                </c:pt>
                <c:pt idx="653">
                  <c:v>49125</c:v>
                </c:pt>
                <c:pt idx="654">
                  <c:v>52875</c:v>
                </c:pt>
                <c:pt idx="655">
                  <c:v>44250</c:v>
                </c:pt>
                <c:pt idx="656">
                  <c:v>41375</c:v>
                </c:pt>
                <c:pt idx="657">
                  <c:v>43125</c:v>
                </c:pt>
                <c:pt idx="658">
                  <c:v>45250</c:v>
                </c:pt>
                <c:pt idx="659">
                  <c:v>45250</c:v>
                </c:pt>
                <c:pt idx="660">
                  <c:v>46625</c:v>
                </c:pt>
                <c:pt idx="661">
                  <c:v>46750</c:v>
                </c:pt>
                <c:pt idx="662">
                  <c:v>45500</c:v>
                </c:pt>
                <c:pt idx="663">
                  <c:v>43875</c:v>
                </c:pt>
                <c:pt idx="664">
                  <c:v>43750</c:v>
                </c:pt>
                <c:pt idx="665">
                  <c:v>42625</c:v>
                </c:pt>
                <c:pt idx="666">
                  <c:v>42250</c:v>
                </c:pt>
                <c:pt idx="667">
                  <c:v>44625</c:v>
                </c:pt>
                <c:pt idx="668">
                  <c:v>42000</c:v>
                </c:pt>
                <c:pt idx="669">
                  <c:v>42625</c:v>
                </c:pt>
                <c:pt idx="670">
                  <c:v>40500</c:v>
                </c:pt>
                <c:pt idx="671">
                  <c:v>38125</c:v>
                </c:pt>
                <c:pt idx="672">
                  <c:v>36750</c:v>
                </c:pt>
                <c:pt idx="673">
                  <c:v>37125</c:v>
                </c:pt>
                <c:pt idx="674">
                  <c:v>36750</c:v>
                </c:pt>
                <c:pt idx="675">
                  <c:v>38000</c:v>
                </c:pt>
                <c:pt idx="676">
                  <c:v>37625</c:v>
                </c:pt>
                <c:pt idx="677">
                  <c:v>38500</c:v>
                </c:pt>
                <c:pt idx="678">
                  <c:v>38875</c:v>
                </c:pt>
                <c:pt idx="679">
                  <c:v>36500</c:v>
                </c:pt>
                <c:pt idx="680">
                  <c:v>34375</c:v>
                </c:pt>
                <c:pt idx="681">
                  <c:v>31875</c:v>
                </c:pt>
                <c:pt idx="682">
                  <c:v>30875</c:v>
                </c:pt>
                <c:pt idx="683">
                  <c:v>31125</c:v>
                </c:pt>
                <c:pt idx="684">
                  <c:v>33375</c:v>
                </c:pt>
                <c:pt idx="685">
                  <c:v>32125</c:v>
                </c:pt>
                <c:pt idx="686">
                  <c:v>29625</c:v>
                </c:pt>
                <c:pt idx="687">
                  <c:v>33125</c:v>
                </c:pt>
                <c:pt idx="688">
                  <c:v>29750</c:v>
                </c:pt>
                <c:pt idx="689">
                  <c:v>28375</c:v>
                </c:pt>
                <c:pt idx="690">
                  <c:v>22000</c:v>
                </c:pt>
                <c:pt idx="691">
                  <c:v>21500</c:v>
                </c:pt>
                <c:pt idx="692">
                  <c:v>14875</c:v>
                </c:pt>
                <c:pt idx="693">
                  <c:v>17250</c:v>
                </c:pt>
                <c:pt idx="694">
                  <c:v>22250</c:v>
                </c:pt>
                <c:pt idx="695">
                  <c:v>19750</c:v>
                </c:pt>
                <c:pt idx="696">
                  <c:v>16500</c:v>
                </c:pt>
                <c:pt idx="697">
                  <c:v>16875</c:v>
                </c:pt>
                <c:pt idx="698">
                  <c:v>18875</c:v>
                </c:pt>
                <c:pt idx="699">
                  <c:v>19875</c:v>
                </c:pt>
                <c:pt idx="700">
                  <c:v>16750</c:v>
                </c:pt>
                <c:pt idx="701">
                  <c:v>15125</c:v>
                </c:pt>
                <c:pt idx="702">
                  <c:v>20625</c:v>
                </c:pt>
                <c:pt idx="703">
                  <c:v>19875</c:v>
                </c:pt>
                <c:pt idx="704">
                  <c:v>15625</c:v>
                </c:pt>
                <c:pt idx="705">
                  <c:v>17125</c:v>
                </c:pt>
                <c:pt idx="706">
                  <c:v>18250</c:v>
                </c:pt>
                <c:pt idx="707">
                  <c:v>14250</c:v>
                </c:pt>
                <c:pt idx="708">
                  <c:v>13250</c:v>
                </c:pt>
                <c:pt idx="709">
                  <c:v>9500</c:v>
                </c:pt>
                <c:pt idx="710">
                  <c:v>6125</c:v>
                </c:pt>
                <c:pt idx="711">
                  <c:v>12875</c:v>
                </c:pt>
                <c:pt idx="712">
                  <c:v>11500</c:v>
                </c:pt>
                <c:pt idx="713">
                  <c:v>10375</c:v>
                </c:pt>
                <c:pt idx="714">
                  <c:v>11000</c:v>
                </c:pt>
                <c:pt idx="715">
                  <c:v>6625</c:v>
                </c:pt>
                <c:pt idx="716">
                  <c:v>7875</c:v>
                </c:pt>
                <c:pt idx="717">
                  <c:v>8875</c:v>
                </c:pt>
                <c:pt idx="718">
                  <c:v>10500</c:v>
                </c:pt>
                <c:pt idx="719">
                  <c:v>8000</c:v>
                </c:pt>
                <c:pt idx="720">
                  <c:v>8625</c:v>
                </c:pt>
                <c:pt idx="721">
                  <c:v>11750</c:v>
                </c:pt>
                <c:pt idx="722">
                  <c:v>13250</c:v>
                </c:pt>
                <c:pt idx="723">
                  <c:v>12625</c:v>
                </c:pt>
                <c:pt idx="724">
                  <c:v>16375</c:v>
                </c:pt>
                <c:pt idx="725">
                  <c:v>11000</c:v>
                </c:pt>
                <c:pt idx="726">
                  <c:v>8750</c:v>
                </c:pt>
                <c:pt idx="727">
                  <c:v>9375</c:v>
                </c:pt>
                <c:pt idx="728">
                  <c:v>6500</c:v>
                </c:pt>
                <c:pt idx="729">
                  <c:v>5625</c:v>
                </c:pt>
                <c:pt idx="730">
                  <c:v>2875</c:v>
                </c:pt>
                <c:pt idx="731">
                  <c:v>3500</c:v>
                </c:pt>
                <c:pt idx="732">
                  <c:v>8250</c:v>
                </c:pt>
                <c:pt idx="733">
                  <c:v>13625</c:v>
                </c:pt>
                <c:pt idx="734">
                  <c:v>8250</c:v>
                </c:pt>
                <c:pt idx="735">
                  <c:v>3375</c:v>
                </c:pt>
                <c:pt idx="736">
                  <c:v>6375</c:v>
                </c:pt>
                <c:pt idx="737">
                  <c:v>3375</c:v>
                </c:pt>
                <c:pt idx="738">
                  <c:v>6625</c:v>
                </c:pt>
                <c:pt idx="739">
                  <c:v>11125</c:v>
                </c:pt>
                <c:pt idx="740">
                  <c:v>10125</c:v>
                </c:pt>
                <c:pt idx="741">
                  <c:v>12750</c:v>
                </c:pt>
                <c:pt idx="742">
                  <c:v>18750</c:v>
                </c:pt>
                <c:pt idx="743">
                  <c:v>19750</c:v>
                </c:pt>
                <c:pt idx="744">
                  <c:v>22250</c:v>
                </c:pt>
                <c:pt idx="745">
                  <c:v>23750</c:v>
                </c:pt>
                <c:pt idx="746">
                  <c:v>23625</c:v>
                </c:pt>
                <c:pt idx="747">
                  <c:v>23000</c:v>
                </c:pt>
                <c:pt idx="748">
                  <c:v>22125</c:v>
                </c:pt>
                <c:pt idx="749">
                  <c:v>25625</c:v>
                </c:pt>
                <c:pt idx="750">
                  <c:v>24875</c:v>
                </c:pt>
                <c:pt idx="751">
                  <c:v>26500</c:v>
                </c:pt>
                <c:pt idx="752">
                  <c:v>27375</c:v>
                </c:pt>
                <c:pt idx="753">
                  <c:v>27375</c:v>
                </c:pt>
                <c:pt idx="754">
                  <c:v>32125</c:v>
                </c:pt>
                <c:pt idx="755">
                  <c:v>32625</c:v>
                </c:pt>
                <c:pt idx="756">
                  <c:v>35625</c:v>
                </c:pt>
                <c:pt idx="757">
                  <c:v>32375</c:v>
                </c:pt>
                <c:pt idx="758">
                  <c:v>37125</c:v>
                </c:pt>
                <c:pt idx="759">
                  <c:v>37625</c:v>
                </c:pt>
                <c:pt idx="760">
                  <c:v>40750</c:v>
                </c:pt>
                <c:pt idx="761">
                  <c:v>39625</c:v>
                </c:pt>
                <c:pt idx="762">
                  <c:v>38375</c:v>
                </c:pt>
                <c:pt idx="763">
                  <c:v>40125</c:v>
                </c:pt>
                <c:pt idx="764">
                  <c:v>41375</c:v>
                </c:pt>
                <c:pt idx="765">
                  <c:v>39625</c:v>
                </c:pt>
                <c:pt idx="766">
                  <c:v>35875</c:v>
                </c:pt>
                <c:pt idx="767">
                  <c:v>34750</c:v>
                </c:pt>
                <c:pt idx="768">
                  <c:v>38125</c:v>
                </c:pt>
                <c:pt idx="769">
                  <c:v>39500</c:v>
                </c:pt>
                <c:pt idx="770">
                  <c:v>40625</c:v>
                </c:pt>
                <c:pt idx="771">
                  <c:v>38500</c:v>
                </c:pt>
                <c:pt idx="772">
                  <c:v>40125</c:v>
                </c:pt>
                <c:pt idx="773">
                  <c:v>48375</c:v>
                </c:pt>
                <c:pt idx="774">
                  <c:v>50000</c:v>
                </c:pt>
                <c:pt idx="775">
                  <c:v>51750</c:v>
                </c:pt>
                <c:pt idx="776">
                  <c:v>52250</c:v>
                </c:pt>
                <c:pt idx="777">
                  <c:v>56250</c:v>
                </c:pt>
                <c:pt idx="778">
                  <c:v>56500</c:v>
                </c:pt>
                <c:pt idx="779">
                  <c:v>58625</c:v>
                </c:pt>
                <c:pt idx="780">
                  <c:v>60250</c:v>
                </c:pt>
                <c:pt idx="781">
                  <c:v>63250</c:v>
                </c:pt>
                <c:pt idx="782">
                  <c:v>59500</c:v>
                </c:pt>
                <c:pt idx="783">
                  <c:v>62625</c:v>
                </c:pt>
                <c:pt idx="784">
                  <c:v>62000</c:v>
                </c:pt>
                <c:pt idx="785">
                  <c:v>60250</c:v>
                </c:pt>
                <c:pt idx="786">
                  <c:v>64000</c:v>
                </c:pt>
                <c:pt idx="787">
                  <c:v>67500</c:v>
                </c:pt>
                <c:pt idx="788">
                  <c:v>69500</c:v>
                </c:pt>
                <c:pt idx="789">
                  <c:v>69000</c:v>
                </c:pt>
                <c:pt idx="790">
                  <c:v>69750</c:v>
                </c:pt>
                <c:pt idx="791">
                  <c:v>68875</c:v>
                </c:pt>
                <c:pt idx="792">
                  <c:v>66000</c:v>
                </c:pt>
                <c:pt idx="793">
                  <c:v>69500</c:v>
                </c:pt>
                <c:pt idx="794">
                  <c:v>69750</c:v>
                </c:pt>
                <c:pt idx="795">
                  <c:v>71125</c:v>
                </c:pt>
                <c:pt idx="796">
                  <c:v>73000</c:v>
                </c:pt>
                <c:pt idx="797">
                  <c:v>70375</c:v>
                </c:pt>
                <c:pt idx="798">
                  <c:v>72625</c:v>
                </c:pt>
                <c:pt idx="799">
                  <c:v>69125</c:v>
                </c:pt>
                <c:pt idx="800">
                  <c:v>71125</c:v>
                </c:pt>
                <c:pt idx="801">
                  <c:v>74000</c:v>
                </c:pt>
                <c:pt idx="802">
                  <c:v>72250</c:v>
                </c:pt>
                <c:pt idx="803">
                  <c:v>70500</c:v>
                </c:pt>
                <c:pt idx="804">
                  <c:v>70875</c:v>
                </c:pt>
                <c:pt idx="805">
                  <c:v>69000</c:v>
                </c:pt>
                <c:pt idx="806">
                  <c:v>67125</c:v>
                </c:pt>
                <c:pt idx="807">
                  <c:v>69375</c:v>
                </c:pt>
                <c:pt idx="808">
                  <c:v>69250</c:v>
                </c:pt>
                <c:pt idx="809">
                  <c:v>70750</c:v>
                </c:pt>
                <c:pt idx="810">
                  <c:v>68500</c:v>
                </c:pt>
                <c:pt idx="811">
                  <c:v>66875</c:v>
                </c:pt>
                <c:pt idx="812">
                  <c:v>69875</c:v>
                </c:pt>
                <c:pt idx="813">
                  <c:v>72625</c:v>
                </c:pt>
                <c:pt idx="814">
                  <c:v>72625</c:v>
                </c:pt>
                <c:pt idx="815">
                  <c:v>69875</c:v>
                </c:pt>
                <c:pt idx="816">
                  <c:v>71625</c:v>
                </c:pt>
                <c:pt idx="817">
                  <c:v>72125</c:v>
                </c:pt>
                <c:pt idx="818">
                  <c:v>78750</c:v>
                </c:pt>
                <c:pt idx="819">
                  <c:v>82000</c:v>
                </c:pt>
                <c:pt idx="820">
                  <c:v>77375</c:v>
                </c:pt>
                <c:pt idx="821">
                  <c:v>80750</c:v>
                </c:pt>
                <c:pt idx="822">
                  <c:v>82000</c:v>
                </c:pt>
                <c:pt idx="823">
                  <c:v>80125</c:v>
                </c:pt>
                <c:pt idx="824">
                  <c:v>83875</c:v>
                </c:pt>
                <c:pt idx="825">
                  <c:v>84250</c:v>
                </c:pt>
                <c:pt idx="826">
                  <c:v>82000</c:v>
                </c:pt>
                <c:pt idx="827">
                  <c:v>81125</c:v>
                </c:pt>
                <c:pt idx="828">
                  <c:v>82750</c:v>
                </c:pt>
                <c:pt idx="829">
                  <c:v>84125</c:v>
                </c:pt>
                <c:pt idx="830">
                  <c:v>87125</c:v>
                </c:pt>
                <c:pt idx="831">
                  <c:v>88250</c:v>
                </c:pt>
                <c:pt idx="832">
                  <c:v>90625</c:v>
                </c:pt>
                <c:pt idx="833">
                  <c:v>88750</c:v>
                </c:pt>
                <c:pt idx="834">
                  <c:v>90500</c:v>
                </c:pt>
                <c:pt idx="835">
                  <c:v>91750</c:v>
                </c:pt>
                <c:pt idx="836">
                  <c:v>90750</c:v>
                </c:pt>
                <c:pt idx="837">
                  <c:v>92625</c:v>
                </c:pt>
                <c:pt idx="838">
                  <c:v>92875</c:v>
                </c:pt>
                <c:pt idx="839">
                  <c:v>92750</c:v>
                </c:pt>
                <c:pt idx="840">
                  <c:v>92000</c:v>
                </c:pt>
                <c:pt idx="841">
                  <c:v>87500</c:v>
                </c:pt>
                <c:pt idx="842">
                  <c:v>83750</c:v>
                </c:pt>
                <c:pt idx="843">
                  <c:v>82375</c:v>
                </c:pt>
                <c:pt idx="844">
                  <c:v>80750</c:v>
                </c:pt>
                <c:pt idx="845">
                  <c:v>87125</c:v>
                </c:pt>
                <c:pt idx="846">
                  <c:v>76125</c:v>
                </c:pt>
                <c:pt idx="847">
                  <c:v>79250</c:v>
                </c:pt>
                <c:pt idx="848">
                  <c:v>77875</c:v>
                </c:pt>
                <c:pt idx="849">
                  <c:v>79625</c:v>
                </c:pt>
                <c:pt idx="850">
                  <c:v>79875</c:v>
                </c:pt>
                <c:pt idx="851">
                  <c:v>75125</c:v>
                </c:pt>
                <c:pt idx="852">
                  <c:v>76750</c:v>
                </c:pt>
                <c:pt idx="853">
                  <c:v>73875</c:v>
                </c:pt>
                <c:pt idx="854">
                  <c:v>76875</c:v>
                </c:pt>
                <c:pt idx="855">
                  <c:v>73125</c:v>
                </c:pt>
                <c:pt idx="856">
                  <c:v>71375</c:v>
                </c:pt>
                <c:pt idx="857">
                  <c:v>67125</c:v>
                </c:pt>
                <c:pt idx="858">
                  <c:v>65625</c:v>
                </c:pt>
                <c:pt idx="859">
                  <c:v>67125</c:v>
                </c:pt>
                <c:pt idx="860">
                  <c:v>67750</c:v>
                </c:pt>
                <c:pt idx="861">
                  <c:v>70625</c:v>
                </c:pt>
                <c:pt idx="862">
                  <c:v>68875</c:v>
                </c:pt>
                <c:pt idx="863">
                  <c:v>67625</c:v>
                </c:pt>
                <c:pt idx="864">
                  <c:v>69375</c:v>
                </c:pt>
                <c:pt idx="865">
                  <c:v>68125</c:v>
                </c:pt>
                <c:pt idx="866">
                  <c:v>64500</c:v>
                </c:pt>
                <c:pt idx="867">
                  <c:v>61875</c:v>
                </c:pt>
                <c:pt idx="868">
                  <c:v>61875</c:v>
                </c:pt>
                <c:pt idx="869">
                  <c:v>64875</c:v>
                </c:pt>
                <c:pt idx="870">
                  <c:v>66750</c:v>
                </c:pt>
                <c:pt idx="871">
                  <c:v>71625</c:v>
                </c:pt>
                <c:pt idx="872">
                  <c:v>67000</c:v>
                </c:pt>
                <c:pt idx="873">
                  <c:v>65000</c:v>
                </c:pt>
                <c:pt idx="874">
                  <c:v>70125</c:v>
                </c:pt>
                <c:pt idx="875">
                  <c:v>67250</c:v>
                </c:pt>
                <c:pt idx="876">
                  <c:v>64250</c:v>
                </c:pt>
                <c:pt idx="877">
                  <c:v>65500</c:v>
                </c:pt>
                <c:pt idx="878">
                  <c:v>66250</c:v>
                </c:pt>
                <c:pt idx="879">
                  <c:v>69000</c:v>
                </c:pt>
                <c:pt idx="880">
                  <c:v>70000</c:v>
                </c:pt>
                <c:pt idx="881">
                  <c:v>65625</c:v>
                </c:pt>
                <c:pt idx="882">
                  <c:v>62500</c:v>
                </c:pt>
                <c:pt idx="883">
                  <c:v>63625</c:v>
                </c:pt>
                <c:pt idx="884">
                  <c:v>62125</c:v>
                </c:pt>
                <c:pt idx="885">
                  <c:v>63000</c:v>
                </c:pt>
                <c:pt idx="886">
                  <c:v>60625</c:v>
                </c:pt>
                <c:pt idx="887">
                  <c:v>54250</c:v>
                </c:pt>
                <c:pt idx="888">
                  <c:v>55000</c:v>
                </c:pt>
                <c:pt idx="889">
                  <c:v>55750</c:v>
                </c:pt>
                <c:pt idx="890">
                  <c:v>55125</c:v>
                </c:pt>
                <c:pt idx="891">
                  <c:v>53625</c:v>
                </c:pt>
                <c:pt idx="892">
                  <c:v>54625</c:v>
                </c:pt>
                <c:pt idx="893">
                  <c:v>53000</c:v>
                </c:pt>
                <c:pt idx="894">
                  <c:v>52250</c:v>
                </c:pt>
                <c:pt idx="895">
                  <c:v>55125</c:v>
                </c:pt>
                <c:pt idx="896">
                  <c:v>52500</c:v>
                </c:pt>
                <c:pt idx="897">
                  <c:v>52875</c:v>
                </c:pt>
                <c:pt idx="898">
                  <c:v>55750</c:v>
                </c:pt>
                <c:pt idx="899">
                  <c:v>60750</c:v>
                </c:pt>
                <c:pt idx="900">
                  <c:v>61250</c:v>
                </c:pt>
                <c:pt idx="901">
                  <c:v>56250</c:v>
                </c:pt>
                <c:pt idx="902">
                  <c:v>56625</c:v>
                </c:pt>
                <c:pt idx="903">
                  <c:v>60750</c:v>
                </c:pt>
                <c:pt idx="904">
                  <c:v>61750</c:v>
                </c:pt>
                <c:pt idx="905">
                  <c:v>58625</c:v>
                </c:pt>
                <c:pt idx="906">
                  <c:v>57625</c:v>
                </c:pt>
                <c:pt idx="907">
                  <c:v>65875</c:v>
                </c:pt>
                <c:pt idx="908">
                  <c:v>69125</c:v>
                </c:pt>
                <c:pt idx="909">
                  <c:v>69875</c:v>
                </c:pt>
                <c:pt idx="910">
                  <c:v>65500</c:v>
                </c:pt>
                <c:pt idx="911">
                  <c:v>64250</c:v>
                </c:pt>
                <c:pt idx="912">
                  <c:v>65125</c:v>
                </c:pt>
                <c:pt idx="913">
                  <c:v>67125</c:v>
                </c:pt>
                <c:pt idx="914">
                  <c:v>66250</c:v>
                </c:pt>
                <c:pt idx="915">
                  <c:v>66750</c:v>
                </c:pt>
                <c:pt idx="916">
                  <c:v>67625</c:v>
                </c:pt>
                <c:pt idx="917">
                  <c:v>70875</c:v>
                </c:pt>
                <c:pt idx="918">
                  <c:v>73875</c:v>
                </c:pt>
                <c:pt idx="919">
                  <c:v>74000</c:v>
                </c:pt>
                <c:pt idx="920">
                  <c:v>73750</c:v>
                </c:pt>
                <c:pt idx="921">
                  <c:v>66000</c:v>
                </c:pt>
                <c:pt idx="922">
                  <c:v>68625</c:v>
                </c:pt>
                <c:pt idx="923">
                  <c:v>67125</c:v>
                </c:pt>
                <c:pt idx="924">
                  <c:v>67750</c:v>
                </c:pt>
                <c:pt idx="925">
                  <c:v>63750</c:v>
                </c:pt>
                <c:pt idx="926">
                  <c:v>65500</c:v>
                </c:pt>
                <c:pt idx="927">
                  <c:v>65500</c:v>
                </c:pt>
                <c:pt idx="928">
                  <c:v>67625</c:v>
                </c:pt>
                <c:pt idx="929">
                  <c:v>66375</c:v>
                </c:pt>
                <c:pt idx="930">
                  <c:v>64625</c:v>
                </c:pt>
                <c:pt idx="931">
                  <c:v>67250</c:v>
                </c:pt>
                <c:pt idx="932">
                  <c:v>64625</c:v>
                </c:pt>
                <c:pt idx="933">
                  <c:v>67125</c:v>
                </c:pt>
                <c:pt idx="934">
                  <c:v>69375</c:v>
                </c:pt>
                <c:pt idx="935">
                  <c:v>69750</c:v>
                </c:pt>
                <c:pt idx="936">
                  <c:v>72625</c:v>
                </c:pt>
                <c:pt idx="937">
                  <c:v>69250</c:v>
                </c:pt>
                <c:pt idx="938">
                  <c:v>65625</c:v>
                </c:pt>
                <c:pt idx="939">
                  <c:v>69750</c:v>
                </c:pt>
                <c:pt idx="940">
                  <c:v>68500</c:v>
                </c:pt>
                <c:pt idx="941">
                  <c:v>68750</c:v>
                </c:pt>
                <c:pt idx="942">
                  <c:v>67500</c:v>
                </c:pt>
                <c:pt idx="943">
                  <c:v>70500</c:v>
                </c:pt>
                <c:pt idx="944">
                  <c:v>67000</c:v>
                </c:pt>
                <c:pt idx="945">
                  <c:v>69000</c:v>
                </c:pt>
                <c:pt idx="946">
                  <c:v>66750</c:v>
                </c:pt>
                <c:pt idx="947">
                  <c:v>67750</c:v>
                </c:pt>
                <c:pt idx="948">
                  <c:v>71875</c:v>
                </c:pt>
                <c:pt idx="949">
                  <c:v>73125</c:v>
                </c:pt>
                <c:pt idx="950">
                  <c:v>77125</c:v>
                </c:pt>
                <c:pt idx="951">
                  <c:v>76125</c:v>
                </c:pt>
                <c:pt idx="952">
                  <c:v>76125</c:v>
                </c:pt>
                <c:pt idx="953">
                  <c:v>69375</c:v>
                </c:pt>
                <c:pt idx="954">
                  <c:v>67000</c:v>
                </c:pt>
                <c:pt idx="955">
                  <c:v>66000</c:v>
                </c:pt>
                <c:pt idx="956">
                  <c:v>64750</c:v>
                </c:pt>
                <c:pt idx="957">
                  <c:v>66875</c:v>
                </c:pt>
                <c:pt idx="958">
                  <c:v>67000</c:v>
                </c:pt>
                <c:pt idx="959">
                  <c:v>65500</c:v>
                </c:pt>
                <c:pt idx="960">
                  <c:v>74000</c:v>
                </c:pt>
                <c:pt idx="961">
                  <c:v>71750</c:v>
                </c:pt>
                <c:pt idx="962">
                  <c:v>68875</c:v>
                </c:pt>
                <c:pt idx="963">
                  <c:v>68875</c:v>
                </c:pt>
                <c:pt idx="964">
                  <c:v>69750</c:v>
                </c:pt>
                <c:pt idx="965">
                  <c:v>71000</c:v>
                </c:pt>
                <c:pt idx="966">
                  <c:v>73375</c:v>
                </c:pt>
                <c:pt idx="967">
                  <c:v>73125</c:v>
                </c:pt>
                <c:pt idx="968">
                  <c:v>74375</c:v>
                </c:pt>
                <c:pt idx="969">
                  <c:v>76500</c:v>
                </c:pt>
                <c:pt idx="970">
                  <c:v>75250</c:v>
                </c:pt>
                <c:pt idx="971">
                  <c:v>74750</c:v>
                </c:pt>
                <c:pt idx="972">
                  <c:v>73625</c:v>
                </c:pt>
                <c:pt idx="973">
                  <c:v>73125</c:v>
                </c:pt>
                <c:pt idx="974">
                  <c:v>73000</c:v>
                </c:pt>
                <c:pt idx="975">
                  <c:v>75875</c:v>
                </c:pt>
                <c:pt idx="976">
                  <c:v>76125</c:v>
                </c:pt>
                <c:pt idx="977">
                  <c:v>74750</c:v>
                </c:pt>
                <c:pt idx="978">
                  <c:v>79625</c:v>
                </c:pt>
                <c:pt idx="979">
                  <c:v>81500</c:v>
                </c:pt>
                <c:pt idx="980">
                  <c:v>81125</c:v>
                </c:pt>
                <c:pt idx="981">
                  <c:v>80750</c:v>
                </c:pt>
                <c:pt idx="982">
                  <c:v>81750</c:v>
                </c:pt>
                <c:pt idx="983">
                  <c:v>83000</c:v>
                </c:pt>
                <c:pt idx="984">
                  <c:v>82250</c:v>
                </c:pt>
                <c:pt idx="985">
                  <c:v>82875</c:v>
                </c:pt>
                <c:pt idx="986">
                  <c:v>79500</c:v>
                </c:pt>
                <c:pt idx="987">
                  <c:v>83250</c:v>
                </c:pt>
                <c:pt idx="988">
                  <c:v>84000</c:v>
                </c:pt>
                <c:pt idx="989">
                  <c:v>83625</c:v>
                </c:pt>
                <c:pt idx="990">
                  <c:v>83000</c:v>
                </c:pt>
                <c:pt idx="991">
                  <c:v>83875</c:v>
                </c:pt>
                <c:pt idx="992">
                  <c:v>80625</c:v>
                </c:pt>
                <c:pt idx="993">
                  <c:v>82125</c:v>
                </c:pt>
                <c:pt idx="994">
                  <c:v>79375</c:v>
                </c:pt>
                <c:pt idx="995">
                  <c:v>83500</c:v>
                </c:pt>
                <c:pt idx="996">
                  <c:v>84500</c:v>
                </c:pt>
                <c:pt idx="997">
                  <c:v>82000</c:v>
                </c:pt>
                <c:pt idx="998">
                  <c:v>84000</c:v>
                </c:pt>
                <c:pt idx="999">
                  <c:v>87375</c:v>
                </c:pt>
                <c:pt idx="1000">
                  <c:v>89375</c:v>
                </c:pt>
                <c:pt idx="1001">
                  <c:v>87500</c:v>
                </c:pt>
                <c:pt idx="1002">
                  <c:v>89125</c:v>
                </c:pt>
                <c:pt idx="1003">
                  <c:v>88375</c:v>
                </c:pt>
                <c:pt idx="1004">
                  <c:v>84750</c:v>
                </c:pt>
                <c:pt idx="1005">
                  <c:v>85625</c:v>
                </c:pt>
                <c:pt idx="1006">
                  <c:v>82625</c:v>
                </c:pt>
                <c:pt idx="1007">
                  <c:v>84250</c:v>
                </c:pt>
                <c:pt idx="1008">
                  <c:v>82125</c:v>
                </c:pt>
                <c:pt idx="1009">
                  <c:v>81750</c:v>
                </c:pt>
                <c:pt idx="1010">
                  <c:v>84750</c:v>
                </c:pt>
                <c:pt idx="1011">
                  <c:v>86750</c:v>
                </c:pt>
                <c:pt idx="1012">
                  <c:v>87750</c:v>
                </c:pt>
                <c:pt idx="1013">
                  <c:v>90500</c:v>
                </c:pt>
                <c:pt idx="1014">
                  <c:v>88625</c:v>
                </c:pt>
                <c:pt idx="1015">
                  <c:v>85375</c:v>
                </c:pt>
                <c:pt idx="1016">
                  <c:v>84875</c:v>
                </c:pt>
                <c:pt idx="1017">
                  <c:v>87125</c:v>
                </c:pt>
                <c:pt idx="1018">
                  <c:v>85250</c:v>
                </c:pt>
                <c:pt idx="1019">
                  <c:v>81000</c:v>
                </c:pt>
                <c:pt idx="1020">
                  <c:v>80625</c:v>
                </c:pt>
                <c:pt idx="1021">
                  <c:v>76750</c:v>
                </c:pt>
                <c:pt idx="1022">
                  <c:v>71750</c:v>
                </c:pt>
                <c:pt idx="1023">
                  <c:v>71750</c:v>
                </c:pt>
                <c:pt idx="1024">
                  <c:v>59500</c:v>
                </c:pt>
                <c:pt idx="1025">
                  <c:v>60750</c:v>
                </c:pt>
                <c:pt idx="1026">
                  <c:v>54500</c:v>
                </c:pt>
                <c:pt idx="1027">
                  <c:v>55250</c:v>
                </c:pt>
                <c:pt idx="1028">
                  <c:v>56375</c:v>
                </c:pt>
                <c:pt idx="1029">
                  <c:v>56125</c:v>
                </c:pt>
                <c:pt idx="1030">
                  <c:v>52750</c:v>
                </c:pt>
                <c:pt idx="1031">
                  <c:v>50375</c:v>
                </c:pt>
                <c:pt idx="1032">
                  <c:v>47500</c:v>
                </c:pt>
                <c:pt idx="1033">
                  <c:v>52375</c:v>
                </c:pt>
                <c:pt idx="1034">
                  <c:v>54375</c:v>
                </c:pt>
                <c:pt idx="1035">
                  <c:v>52750</c:v>
                </c:pt>
                <c:pt idx="1036">
                  <c:v>58125</c:v>
                </c:pt>
                <c:pt idx="1037">
                  <c:v>65000</c:v>
                </c:pt>
                <c:pt idx="1038">
                  <c:v>64375</c:v>
                </c:pt>
                <c:pt idx="1039">
                  <c:v>67000</c:v>
                </c:pt>
                <c:pt idx="1040">
                  <c:v>67625</c:v>
                </c:pt>
                <c:pt idx="1041">
                  <c:v>70750</c:v>
                </c:pt>
                <c:pt idx="1042">
                  <c:v>79625</c:v>
                </c:pt>
                <c:pt idx="1043">
                  <c:v>82625</c:v>
                </c:pt>
                <c:pt idx="1044">
                  <c:v>83625</c:v>
                </c:pt>
                <c:pt idx="1045">
                  <c:v>82625</c:v>
                </c:pt>
                <c:pt idx="1046">
                  <c:v>80875</c:v>
                </c:pt>
                <c:pt idx="1047">
                  <c:v>83875</c:v>
                </c:pt>
                <c:pt idx="1048">
                  <c:v>84625</c:v>
                </c:pt>
                <c:pt idx="1049">
                  <c:v>82125</c:v>
                </c:pt>
                <c:pt idx="1050">
                  <c:v>82500</c:v>
                </c:pt>
                <c:pt idx="1051">
                  <c:v>81750</c:v>
                </c:pt>
                <c:pt idx="1052">
                  <c:v>74875</c:v>
                </c:pt>
                <c:pt idx="1053">
                  <c:v>78000</c:v>
                </c:pt>
                <c:pt idx="1054">
                  <c:v>89500</c:v>
                </c:pt>
                <c:pt idx="1055">
                  <c:v>87375</c:v>
                </c:pt>
                <c:pt idx="1056">
                  <c:v>86750</c:v>
                </c:pt>
                <c:pt idx="1057">
                  <c:v>86250</c:v>
                </c:pt>
                <c:pt idx="1058">
                  <c:v>85125</c:v>
                </c:pt>
                <c:pt idx="1059">
                  <c:v>84500</c:v>
                </c:pt>
                <c:pt idx="1060">
                  <c:v>82875</c:v>
                </c:pt>
                <c:pt idx="1061">
                  <c:v>85750</c:v>
                </c:pt>
                <c:pt idx="1062">
                  <c:v>84250</c:v>
                </c:pt>
                <c:pt idx="1063">
                  <c:v>85875</c:v>
                </c:pt>
                <c:pt idx="1064">
                  <c:v>87125</c:v>
                </c:pt>
                <c:pt idx="1065">
                  <c:v>87000</c:v>
                </c:pt>
                <c:pt idx="1066">
                  <c:v>86500</c:v>
                </c:pt>
                <c:pt idx="1067">
                  <c:v>87125</c:v>
                </c:pt>
                <c:pt idx="1068">
                  <c:v>90000</c:v>
                </c:pt>
                <c:pt idx="1069">
                  <c:v>92125</c:v>
                </c:pt>
                <c:pt idx="1070">
                  <c:v>94500</c:v>
                </c:pt>
                <c:pt idx="1071">
                  <c:v>93750</c:v>
                </c:pt>
                <c:pt idx="1072">
                  <c:v>91875</c:v>
                </c:pt>
                <c:pt idx="1073">
                  <c:v>90000</c:v>
                </c:pt>
                <c:pt idx="1074">
                  <c:v>87500</c:v>
                </c:pt>
                <c:pt idx="1075">
                  <c:v>82500</c:v>
                </c:pt>
                <c:pt idx="1076">
                  <c:v>77875</c:v>
                </c:pt>
                <c:pt idx="1077">
                  <c:v>78875</c:v>
                </c:pt>
                <c:pt idx="1078">
                  <c:v>81375</c:v>
                </c:pt>
                <c:pt idx="1079">
                  <c:v>83625</c:v>
                </c:pt>
                <c:pt idx="1080">
                  <c:v>85375</c:v>
                </c:pt>
                <c:pt idx="1081">
                  <c:v>82375</c:v>
                </c:pt>
                <c:pt idx="1082">
                  <c:v>84500</c:v>
                </c:pt>
                <c:pt idx="1083">
                  <c:v>83250</c:v>
                </c:pt>
                <c:pt idx="1084">
                  <c:v>84125</c:v>
                </c:pt>
                <c:pt idx="1085">
                  <c:v>80375</c:v>
                </c:pt>
                <c:pt idx="1086">
                  <c:v>81375</c:v>
                </c:pt>
                <c:pt idx="1087">
                  <c:v>80125</c:v>
                </c:pt>
                <c:pt idx="1088">
                  <c:v>81750</c:v>
                </c:pt>
                <c:pt idx="1089">
                  <c:v>79375</c:v>
                </c:pt>
                <c:pt idx="1090">
                  <c:v>79375</c:v>
                </c:pt>
                <c:pt idx="1091">
                  <c:v>78000</c:v>
                </c:pt>
                <c:pt idx="1092">
                  <c:v>75625</c:v>
                </c:pt>
                <c:pt idx="1093">
                  <c:v>76500</c:v>
                </c:pt>
                <c:pt idx="1094">
                  <c:v>78500</c:v>
                </c:pt>
                <c:pt idx="1095">
                  <c:v>81750</c:v>
                </c:pt>
                <c:pt idx="1096">
                  <c:v>82375</c:v>
                </c:pt>
                <c:pt idx="1097">
                  <c:v>84875</c:v>
                </c:pt>
                <c:pt idx="1098">
                  <c:v>86625</c:v>
                </c:pt>
                <c:pt idx="1099">
                  <c:v>86375</c:v>
                </c:pt>
                <c:pt idx="1100">
                  <c:v>87625</c:v>
                </c:pt>
                <c:pt idx="1101">
                  <c:v>86875</c:v>
                </c:pt>
                <c:pt idx="1102">
                  <c:v>84250</c:v>
                </c:pt>
                <c:pt idx="1103">
                  <c:v>84875</c:v>
                </c:pt>
                <c:pt idx="1104">
                  <c:v>85375</c:v>
                </c:pt>
                <c:pt idx="1105">
                  <c:v>82375</c:v>
                </c:pt>
                <c:pt idx="1106">
                  <c:v>83750</c:v>
                </c:pt>
                <c:pt idx="1107">
                  <c:v>86375</c:v>
                </c:pt>
                <c:pt idx="1108">
                  <c:v>84750</c:v>
                </c:pt>
                <c:pt idx="1109">
                  <c:v>83375</c:v>
                </c:pt>
                <c:pt idx="1110">
                  <c:v>86125</c:v>
                </c:pt>
                <c:pt idx="1111">
                  <c:v>84625</c:v>
                </c:pt>
                <c:pt idx="1112">
                  <c:v>82750</c:v>
                </c:pt>
                <c:pt idx="1113">
                  <c:v>86625</c:v>
                </c:pt>
                <c:pt idx="1114">
                  <c:v>87750</c:v>
                </c:pt>
                <c:pt idx="1115">
                  <c:v>90000</c:v>
                </c:pt>
                <c:pt idx="1116">
                  <c:v>95250</c:v>
                </c:pt>
                <c:pt idx="1117">
                  <c:v>93750</c:v>
                </c:pt>
                <c:pt idx="1118">
                  <c:v>94875</c:v>
                </c:pt>
                <c:pt idx="1119">
                  <c:v>95000</c:v>
                </c:pt>
                <c:pt idx="1120">
                  <c:v>94375</c:v>
                </c:pt>
                <c:pt idx="1121">
                  <c:v>93625</c:v>
                </c:pt>
                <c:pt idx="1122">
                  <c:v>92250</c:v>
                </c:pt>
                <c:pt idx="1123">
                  <c:v>92625</c:v>
                </c:pt>
                <c:pt idx="1124">
                  <c:v>91125</c:v>
                </c:pt>
                <c:pt idx="1125">
                  <c:v>92125</c:v>
                </c:pt>
                <c:pt idx="1126">
                  <c:v>92125</c:v>
                </c:pt>
                <c:pt idx="1127">
                  <c:v>94625</c:v>
                </c:pt>
                <c:pt idx="1128">
                  <c:v>92375</c:v>
                </c:pt>
                <c:pt idx="1129">
                  <c:v>90875</c:v>
                </c:pt>
                <c:pt idx="1130">
                  <c:v>92250</c:v>
                </c:pt>
                <c:pt idx="1131">
                  <c:v>89125</c:v>
                </c:pt>
                <c:pt idx="1132">
                  <c:v>86750</c:v>
                </c:pt>
                <c:pt idx="1133">
                  <c:v>89625</c:v>
                </c:pt>
                <c:pt idx="1134">
                  <c:v>89375</c:v>
                </c:pt>
                <c:pt idx="1135">
                  <c:v>88875</c:v>
                </c:pt>
                <c:pt idx="1136">
                  <c:v>85750</c:v>
                </c:pt>
                <c:pt idx="1137">
                  <c:v>87375</c:v>
                </c:pt>
                <c:pt idx="1138">
                  <c:v>86625</c:v>
                </c:pt>
                <c:pt idx="1139">
                  <c:v>86500</c:v>
                </c:pt>
                <c:pt idx="1140">
                  <c:v>90875</c:v>
                </c:pt>
                <c:pt idx="1141">
                  <c:v>89250</c:v>
                </c:pt>
                <c:pt idx="1142">
                  <c:v>88625</c:v>
                </c:pt>
                <c:pt idx="1143">
                  <c:v>90125</c:v>
                </c:pt>
                <c:pt idx="1144">
                  <c:v>92625</c:v>
                </c:pt>
                <c:pt idx="1145">
                  <c:v>93125</c:v>
                </c:pt>
                <c:pt idx="1146">
                  <c:v>93625</c:v>
                </c:pt>
                <c:pt idx="1147">
                  <c:v>95500</c:v>
                </c:pt>
                <c:pt idx="1148">
                  <c:v>95000</c:v>
                </c:pt>
                <c:pt idx="1149">
                  <c:v>96250</c:v>
                </c:pt>
                <c:pt idx="1150">
                  <c:v>96625</c:v>
                </c:pt>
                <c:pt idx="1151">
                  <c:v>100000</c:v>
                </c:pt>
                <c:pt idx="1152">
                  <c:v>99250</c:v>
                </c:pt>
                <c:pt idx="1153">
                  <c:v>98750</c:v>
                </c:pt>
                <c:pt idx="1154">
                  <c:v>99625</c:v>
                </c:pt>
                <c:pt idx="1155">
                  <c:v>97625</c:v>
                </c:pt>
                <c:pt idx="1156">
                  <c:v>100375</c:v>
                </c:pt>
                <c:pt idx="1157">
                  <c:v>96875</c:v>
                </c:pt>
                <c:pt idx="1158">
                  <c:v>96500</c:v>
                </c:pt>
                <c:pt idx="1159">
                  <c:v>96500</c:v>
                </c:pt>
                <c:pt idx="1160">
                  <c:v>94750</c:v>
                </c:pt>
                <c:pt idx="1161">
                  <c:v>91625</c:v>
                </c:pt>
                <c:pt idx="1162">
                  <c:v>91875</c:v>
                </c:pt>
                <c:pt idx="1163">
                  <c:v>92125</c:v>
                </c:pt>
                <c:pt idx="1164">
                  <c:v>91000</c:v>
                </c:pt>
                <c:pt idx="1165">
                  <c:v>91125</c:v>
                </c:pt>
                <c:pt idx="1166">
                  <c:v>91375</c:v>
                </c:pt>
                <c:pt idx="1167">
                  <c:v>90875</c:v>
                </c:pt>
                <c:pt idx="1168">
                  <c:v>92875</c:v>
                </c:pt>
                <c:pt idx="1169">
                  <c:v>90500</c:v>
                </c:pt>
                <c:pt idx="1170">
                  <c:v>90750</c:v>
                </c:pt>
                <c:pt idx="1171">
                  <c:v>90000</c:v>
                </c:pt>
                <c:pt idx="1172">
                  <c:v>90625</c:v>
                </c:pt>
                <c:pt idx="1173">
                  <c:v>91500</c:v>
                </c:pt>
                <c:pt idx="1174">
                  <c:v>92750</c:v>
                </c:pt>
                <c:pt idx="1175">
                  <c:v>95125</c:v>
                </c:pt>
                <c:pt idx="1176">
                  <c:v>95625</c:v>
                </c:pt>
                <c:pt idx="1177">
                  <c:v>95750</c:v>
                </c:pt>
                <c:pt idx="1178">
                  <c:v>96000</c:v>
                </c:pt>
                <c:pt idx="1179">
                  <c:v>96625</c:v>
                </c:pt>
                <c:pt idx="1180">
                  <c:v>95375</c:v>
                </c:pt>
                <c:pt idx="1181">
                  <c:v>92500</c:v>
                </c:pt>
                <c:pt idx="1182">
                  <c:v>92875</c:v>
                </c:pt>
                <c:pt idx="1183">
                  <c:v>93125</c:v>
                </c:pt>
                <c:pt idx="1184">
                  <c:v>92125</c:v>
                </c:pt>
                <c:pt idx="1185">
                  <c:v>95000</c:v>
                </c:pt>
                <c:pt idx="1186">
                  <c:v>95875</c:v>
                </c:pt>
                <c:pt idx="1187">
                  <c:v>98000</c:v>
                </c:pt>
                <c:pt idx="1188">
                  <c:v>99000</c:v>
                </c:pt>
                <c:pt idx="1189">
                  <c:v>99250</c:v>
                </c:pt>
                <c:pt idx="1190">
                  <c:v>98500</c:v>
                </c:pt>
                <c:pt idx="1191">
                  <c:v>98875</c:v>
                </c:pt>
                <c:pt idx="1192">
                  <c:v>99500</c:v>
                </c:pt>
                <c:pt idx="1193">
                  <c:v>98750</c:v>
                </c:pt>
                <c:pt idx="1194">
                  <c:v>98000</c:v>
                </c:pt>
                <c:pt idx="1195">
                  <c:v>97000</c:v>
                </c:pt>
                <c:pt idx="1196">
                  <c:v>96250</c:v>
                </c:pt>
                <c:pt idx="1197">
                  <c:v>94875</c:v>
                </c:pt>
                <c:pt idx="1198">
                  <c:v>93125</c:v>
                </c:pt>
                <c:pt idx="1199">
                  <c:v>90500</c:v>
                </c:pt>
                <c:pt idx="1200">
                  <c:v>90625</c:v>
                </c:pt>
                <c:pt idx="1201">
                  <c:v>91125</c:v>
                </c:pt>
                <c:pt idx="1202">
                  <c:v>90875</c:v>
                </c:pt>
                <c:pt idx="1203">
                  <c:v>91625</c:v>
                </c:pt>
                <c:pt idx="1204">
                  <c:v>90250</c:v>
                </c:pt>
                <c:pt idx="1205">
                  <c:v>90125</c:v>
                </c:pt>
                <c:pt idx="1206">
                  <c:v>90875</c:v>
                </c:pt>
                <c:pt idx="1207">
                  <c:v>90125</c:v>
                </c:pt>
                <c:pt idx="1208">
                  <c:v>90000</c:v>
                </c:pt>
                <c:pt idx="1209">
                  <c:v>89250</c:v>
                </c:pt>
                <c:pt idx="1210">
                  <c:v>88875</c:v>
                </c:pt>
                <c:pt idx="1211">
                  <c:v>90250</c:v>
                </c:pt>
                <c:pt idx="1212">
                  <c:v>100750</c:v>
                </c:pt>
                <c:pt idx="1213">
                  <c:v>99250</c:v>
                </c:pt>
                <c:pt idx="1214">
                  <c:v>97625</c:v>
                </c:pt>
                <c:pt idx="1215">
                  <c:v>97125</c:v>
                </c:pt>
                <c:pt idx="1216">
                  <c:v>95875</c:v>
                </c:pt>
                <c:pt idx="1217">
                  <c:v>94250</c:v>
                </c:pt>
                <c:pt idx="1218">
                  <c:v>94000</c:v>
                </c:pt>
                <c:pt idx="1219">
                  <c:v>96625</c:v>
                </c:pt>
                <c:pt idx="1220">
                  <c:v>95250</c:v>
                </c:pt>
                <c:pt idx="1221">
                  <c:v>88000</c:v>
                </c:pt>
                <c:pt idx="1222">
                  <c:v>88000</c:v>
                </c:pt>
                <c:pt idx="1223">
                  <c:v>85000</c:v>
                </c:pt>
                <c:pt idx="1224">
                  <c:v>84375</c:v>
                </c:pt>
                <c:pt idx="1225">
                  <c:v>82625</c:v>
                </c:pt>
                <c:pt idx="1226">
                  <c:v>79375</c:v>
                </c:pt>
                <c:pt idx="1227">
                  <c:v>79875</c:v>
                </c:pt>
                <c:pt idx="1228">
                  <c:v>88125</c:v>
                </c:pt>
                <c:pt idx="1229">
                  <c:v>84625</c:v>
                </c:pt>
                <c:pt idx="1230">
                  <c:v>84750</c:v>
                </c:pt>
                <c:pt idx="1231">
                  <c:v>85750</c:v>
                </c:pt>
                <c:pt idx="1232">
                  <c:v>81500</c:v>
                </c:pt>
                <c:pt idx="1233">
                  <c:v>80500</c:v>
                </c:pt>
                <c:pt idx="1234">
                  <c:v>81375</c:v>
                </c:pt>
                <c:pt idx="1235">
                  <c:v>86500</c:v>
                </c:pt>
                <c:pt idx="1236">
                  <c:v>87625</c:v>
                </c:pt>
                <c:pt idx="1237">
                  <c:v>89375</c:v>
                </c:pt>
                <c:pt idx="1238">
                  <c:v>87250</c:v>
                </c:pt>
                <c:pt idx="1239">
                  <c:v>90125</c:v>
                </c:pt>
                <c:pt idx="1240">
                  <c:v>85875</c:v>
                </c:pt>
                <c:pt idx="1241">
                  <c:v>88875</c:v>
                </c:pt>
                <c:pt idx="1242">
                  <c:v>83250</c:v>
                </c:pt>
                <c:pt idx="1243">
                  <c:v>81750</c:v>
                </c:pt>
                <c:pt idx="1244">
                  <c:v>80875</c:v>
                </c:pt>
                <c:pt idx="1245">
                  <c:v>78500</c:v>
                </c:pt>
                <c:pt idx="1246">
                  <c:v>77250</c:v>
                </c:pt>
                <c:pt idx="1247">
                  <c:v>82375</c:v>
                </c:pt>
                <c:pt idx="1248">
                  <c:v>80500</c:v>
                </c:pt>
                <c:pt idx="1249">
                  <c:v>78375</c:v>
                </c:pt>
                <c:pt idx="1250">
                  <c:v>76750</c:v>
                </c:pt>
                <c:pt idx="1251">
                  <c:v>74875</c:v>
                </c:pt>
                <c:pt idx="1252">
                  <c:v>73000</c:v>
                </c:pt>
                <c:pt idx="1253">
                  <c:v>70875</c:v>
                </c:pt>
                <c:pt idx="1254">
                  <c:v>74000</c:v>
                </c:pt>
                <c:pt idx="1255">
                  <c:v>70625</c:v>
                </c:pt>
                <c:pt idx="1256">
                  <c:v>68500</c:v>
                </c:pt>
                <c:pt idx="1257">
                  <c:v>68125</c:v>
                </c:pt>
                <c:pt idx="1258">
                  <c:v>63250</c:v>
                </c:pt>
                <c:pt idx="1259">
                  <c:v>63375</c:v>
                </c:pt>
                <c:pt idx="1260">
                  <c:v>60625</c:v>
                </c:pt>
                <c:pt idx="1261">
                  <c:v>63875</c:v>
                </c:pt>
                <c:pt idx="1262">
                  <c:v>65625</c:v>
                </c:pt>
                <c:pt idx="1263">
                  <c:v>62250</c:v>
                </c:pt>
                <c:pt idx="1264">
                  <c:v>60000</c:v>
                </c:pt>
                <c:pt idx="1265">
                  <c:v>61375</c:v>
                </c:pt>
                <c:pt idx="1266">
                  <c:v>64500</c:v>
                </c:pt>
                <c:pt idx="1267">
                  <c:v>59750</c:v>
                </c:pt>
                <c:pt idx="1268">
                  <c:v>65375</c:v>
                </c:pt>
                <c:pt idx="1269">
                  <c:v>78125</c:v>
                </c:pt>
                <c:pt idx="1270">
                  <c:v>78250</c:v>
                </c:pt>
                <c:pt idx="1271">
                  <c:v>82875</c:v>
                </c:pt>
                <c:pt idx="1272">
                  <c:v>85875</c:v>
                </c:pt>
                <c:pt idx="1273">
                  <c:v>84500</c:v>
                </c:pt>
                <c:pt idx="1274">
                  <c:v>84000</c:v>
                </c:pt>
                <c:pt idx="1275">
                  <c:v>89875</c:v>
                </c:pt>
                <c:pt idx="1276">
                  <c:v>97000</c:v>
                </c:pt>
                <c:pt idx="1277">
                  <c:v>100250</c:v>
                </c:pt>
                <c:pt idx="1278">
                  <c:v>106000</c:v>
                </c:pt>
                <c:pt idx="1279">
                  <c:v>107750</c:v>
                </c:pt>
                <c:pt idx="1280">
                  <c:v>109000</c:v>
                </c:pt>
                <c:pt idx="1281">
                  <c:v>102375</c:v>
                </c:pt>
                <c:pt idx="1282">
                  <c:v>105125</c:v>
                </c:pt>
                <c:pt idx="1283">
                  <c:v>101625</c:v>
                </c:pt>
                <c:pt idx="1284">
                  <c:v>96750</c:v>
                </c:pt>
                <c:pt idx="1285">
                  <c:v>98625</c:v>
                </c:pt>
                <c:pt idx="1286">
                  <c:v>101250</c:v>
                </c:pt>
                <c:pt idx="1287">
                  <c:v>100125</c:v>
                </c:pt>
                <c:pt idx="1288">
                  <c:v>106000</c:v>
                </c:pt>
                <c:pt idx="1289">
                  <c:v>110000</c:v>
                </c:pt>
                <c:pt idx="1290">
                  <c:v>110250</c:v>
                </c:pt>
                <c:pt idx="1291">
                  <c:v>110125</c:v>
                </c:pt>
                <c:pt idx="1292">
                  <c:v>110875</c:v>
                </c:pt>
                <c:pt idx="1293">
                  <c:v>112000</c:v>
                </c:pt>
                <c:pt idx="1294">
                  <c:v>109750</c:v>
                </c:pt>
                <c:pt idx="1295">
                  <c:v>112875</c:v>
                </c:pt>
                <c:pt idx="1296">
                  <c:v>111000</c:v>
                </c:pt>
                <c:pt idx="1297">
                  <c:v>113625</c:v>
                </c:pt>
                <c:pt idx="1298">
                  <c:v>117000</c:v>
                </c:pt>
                <c:pt idx="1299">
                  <c:v>115250</c:v>
                </c:pt>
                <c:pt idx="1300">
                  <c:v>116500</c:v>
                </c:pt>
                <c:pt idx="1301">
                  <c:v>116375</c:v>
                </c:pt>
                <c:pt idx="1302">
                  <c:v>115375</c:v>
                </c:pt>
                <c:pt idx="1303">
                  <c:v>115625</c:v>
                </c:pt>
                <c:pt idx="1304">
                  <c:v>115375</c:v>
                </c:pt>
                <c:pt idx="1305">
                  <c:v>117000</c:v>
                </c:pt>
                <c:pt idx="1306">
                  <c:v>118375</c:v>
                </c:pt>
                <c:pt idx="1307">
                  <c:v>114125</c:v>
                </c:pt>
                <c:pt idx="1308">
                  <c:v>113750</c:v>
                </c:pt>
                <c:pt idx="1309">
                  <c:v>113500</c:v>
                </c:pt>
                <c:pt idx="1310">
                  <c:v>112375</c:v>
                </c:pt>
                <c:pt idx="1311">
                  <c:v>110500</c:v>
                </c:pt>
                <c:pt idx="1312">
                  <c:v>111125</c:v>
                </c:pt>
                <c:pt idx="1313">
                  <c:v>113125</c:v>
                </c:pt>
                <c:pt idx="1314">
                  <c:v>114250</c:v>
                </c:pt>
                <c:pt idx="1315">
                  <c:v>116000</c:v>
                </c:pt>
                <c:pt idx="1316">
                  <c:v>118750</c:v>
                </c:pt>
                <c:pt idx="1317">
                  <c:v>122000</c:v>
                </c:pt>
                <c:pt idx="1318">
                  <c:v>124875</c:v>
                </c:pt>
                <c:pt idx="1319">
                  <c:v>126250</c:v>
                </c:pt>
                <c:pt idx="1320">
                  <c:v>123125</c:v>
                </c:pt>
                <c:pt idx="1321">
                  <c:v>119625</c:v>
                </c:pt>
                <c:pt idx="1322">
                  <c:v>119750</c:v>
                </c:pt>
                <c:pt idx="1323">
                  <c:v>117500</c:v>
                </c:pt>
                <c:pt idx="1324">
                  <c:v>114625</c:v>
                </c:pt>
                <c:pt idx="1325">
                  <c:v>112750</c:v>
                </c:pt>
                <c:pt idx="1326">
                  <c:v>114000</c:v>
                </c:pt>
                <c:pt idx="1327">
                  <c:v>118750</c:v>
                </c:pt>
                <c:pt idx="1328">
                  <c:v>118500</c:v>
                </c:pt>
                <c:pt idx="1329">
                  <c:v>119375</c:v>
                </c:pt>
                <c:pt idx="1330">
                  <c:v>115375</c:v>
                </c:pt>
                <c:pt idx="1331">
                  <c:v>116500</c:v>
                </c:pt>
                <c:pt idx="1332">
                  <c:v>113750</c:v>
                </c:pt>
                <c:pt idx="1333">
                  <c:v>113750</c:v>
                </c:pt>
                <c:pt idx="1334">
                  <c:v>116125</c:v>
                </c:pt>
                <c:pt idx="1335">
                  <c:v>116375</c:v>
                </c:pt>
                <c:pt idx="1336">
                  <c:v>119250</c:v>
                </c:pt>
                <c:pt idx="1337">
                  <c:v>118250</c:v>
                </c:pt>
                <c:pt idx="1338">
                  <c:v>119250</c:v>
                </c:pt>
                <c:pt idx="1339">
                  <c:v>119250</c:v>
                </c:pt>
                <c:pt idx="1340">
                  <c:v>116875</c:v>
                </c:pt>
                <c:pt idx="1341">
                  <c:v>111250</c:v>
                </c:pt>
                <c:pt idx="1342">
                  <c:v>109875</c:v>
                </c:pt>
                <c:pt idx="1343">
                  <c:v>109750</c:v>
                </c:pt>
                <c:pt idx="1344">
                  <c:v>113625</c:v>
                </c:pt>
                <c:pt idx="1345">
                  <c:v>113000</c:v>
                </c:pt>
                <c:pt idx="1346">
                  <c:v>111125</c:v>
                </c:pt>
                <c:pt idx="1347">
                  <c:v>114750</c:v>
                </c:pt>
                <c:pt idx="1348">
                  <c:v>110375</c:v>
                </c:pt>
                <c:pt idx="1349">
                  <c:v>105375</c:v>
                </c:pt>
                <c:pt idx="1350">
                  <c:v>107875</c:v>
                </c:pt>
                <c:pt idx="1351">
                  <c:v>107250</c:v>
                </c:pt>
                <c:pt idx="1352">
                  <c:v>105625</c:v>
                </c:pt>
                <c:pt idx="1353">
                  <c:v>108125</c:v>
                </c:pt>
                <c:pt idx="1354">
                  <c:v>108125</c:v>
                </c:pt>
                <c:pt idx="1355">
                  <c:v>109875</c:v>
                </c:pt>
                <c:pt idx="1356">
                  <c:v>109625</c:v>
                </c:pt>
                <c:pt idx="1357">
                  <c:v>106875</c:v>
                </c:pt>
                <c:pt idx="1358">
                  <c:v>105625</c:v>
                </c:pt>
                <c:pt idx="1359">
                  <c:v>106375</c:v>
                </c:pt>
                <c:pt idx="1360">
                  <c:v>106000</c:v>
                </c:pt>
                <c:pt idx="1361">
                  <c:v>109625</c:v>
                </c:pt>
                <c:pt idx="1362">
                  <c:v>111625</c:v>
                </c:pt>
                <c:pt idx="1363">
                  <c:v>110500</c:v>
                </c:pt>
                <c:pt idx="1364">
                  <c:v>110250</c:v>
                </c:pt>
                <c:pt idx="1365">
                  <c:v>111250</c:v>
                </c:pt>
                <c:pt idx="1366">
                  <c:v>107625</c:v>
                </c:pt>
                <c:pt idx="1367">
                  <c:v>113000</c:v>
                </c:pt>
                <c:pt idx="1368">
                  <c:v>113250</c:v>
                </c:pt>
                <c:pt idx="1369">
                  <c:v>115125</c:v>
                </c:pt>
                <c:pt idx="1370">
                  <c:v>113375</c:v>
                </c:pt>
                <c:pt idx="1371">
                  <c:v>114375</c:v>
                </c:pt>
                <c:pt idx="1372">
                  <c:v>113000</c:v>
                </c:pt>
                <c:pt idx="1373">
                  <c:v>111625</c:v>
                </c:pt>
                <c:pt idx="1374">
                  <c:v>109375</c:v>
                </c:pt>
                <c:pt idx="1375">
                  <c:v>108750</c:v>
                </c:pt>
                <c:pt idx="1376">
                  <c:v>109125</c:v>
                </c:pt>
                <c:pt idx="1377">
                  <c:v>108750</c:v>
                </c:pt>
                <c:pt idx="1378">
                  <c:v>109625</c:v>
                </c:pt>
                <c:pt idx="1379">
                  <c:v>115000</c:v>
                </c:pt>
                <c:pt idx="1380">
                  <c:v>115000</c:v>
                </c:pt>
                <c:pt idx="1381">
                  <c:v>118375</c:v>
                </c:pt>
                <c:pt idx="1382">
                  <c:v>115625</c:v>
                </c:pt>
                <c:pt idx="1383">
                  <c:v>109875</c:v>
                </c:pt>
                <c:pt idx="1384">
                  <c:v>109875</c:v>
                </c:pt>
                <c:pt idx="1385">
                  <c:v>109000</c:v>
                </c:pt>
                <c:pt idx="1386">
                  <c:v>110000</c:v>
                </c:pt>
                <c:pt idx="1387">
                  <c:v>109250</c:v>
                </c:pt>
                <c:pt idx="1388">
                  <c:v>107375</c:v>
                </c:pt>
                <c:pt idx="1389">
                  <c:v>105875</c:v>
                </c:pt>
                <c:pt idx="1390">
                  <c:v>106500</c:v>
                </c:pt>
                <c:pt idx="1391">
                  <c:v>108375</c:v>
                </c:pt>
                <c:pt idx="1392">
                  <c:v>109000</c:v>
                </c:pt>
                <c:pt idx="1393">
                  <c:v>108125</c:v>
                </c:pt>
                <c:pt idx="1394">
                  <c:v>109875</c:v>
                </c:pt>
                <c:pt idx="1395">
                  <c:v>113000</c:v>
                </c:pt>
                <c:pt idx="1396">
                  <c:v>113500</c:v>
                </c:pt>
                <c:pt idx="1397">
                  <c:v>113250</c:v>
                </c:pt>
                <c:pt idx="1398">
                  <c:v>109625</c:v>
                </c:pt>
                <c:pt idx="1399">
                  <c:v>112875</c:v>
                </c:pt>
                <c:pt idx="1400">
                  <c:v>111875</c:v>
                </c:pt>
                <c:pt idx="1401">
                  <c:v>111250</c:v>
                </c:pt>
                <c:pt idx="1402">
                  <c:v>108875</c:v>
                </c:pt>
                <c:pt idx="1403">
                  <c:v>107000</c:v>
                </c:pt>
                <c:pt idx="1404">
                  <c:v>105875</c:v>
                </c:pt>
                <c:pt idx="1405">
                  <c:v>107875</c:v>
                </c:pt>
                <c:pt idx="1406">
                  <c:v>106875</c:v>
                </c:pt>
                <c:pt idx="1407">
                  <c:v>107500</c:v>
                </c:pt>
                <c:pt idx="1408">
                  <c:v>108125</c:v>
                </c:pt>
                <c:pt idx="1409">
                  <c:v>109250</c:v>
                </c:pt>
                <c:pt idx="1410">
                  <c:v>108125</c:v>
                </c:pt>
                <c:pt idx="1411">
                  <c:v>107375</c:v>
                </c:pt>
                <c:pt idx="1412">
                  <c:v>103375</c:v>
                </c:pt>
                <c:pt idx="1413">
                  <c:v>104625</c:v>
                </c:pt>
                <c:pt idx="1414">
                  <c:v>102125</c:v>
                </c:pt>
                <c:pt idx="1415">
                  <c:v>102125</c:v>
                </c:pt>
                <c:pt idx="1416">
                  <c:v>101875</c:v>
                </c:pt>
                <c:pt idx="1417">
                  <c:v>104875</c:v>
                </c:pt>
                <c:pt idx="1418">
                  <c:v>105125</c:v>
                </c:pt>
                <c:pt idx="1419">
                  <c:v>105875</c:v>
                </c:pt>
                <c:pt idx="1420">
                  <c:v>107250</c:v>
                </c:pt>
                <c:pt idx="1421">
                  <c:v>107625</c:v>
                </c:pt>
                <c:pt idx="1422">
                  <c:v>107000</c:v>
                </c:pt>
                <c:pt idx="1423">
                  <c:v>102875</c:v>
                </c:pt>
                <c:pt idx="1424">
                  <c:v>103375</c:v>
                </c:pt>
                <c:pt idx="1425">
                  <c:v>104625</c:v>
                </c:pt>
                <c:pt idx="1426">
                  <c:v>103000</c:v>
                </c:pt>
                <c:pt idx="1427">
                  <c:v>101750</c:v>
                </c:pt>
                <c:pt idx="1428">
                  <c:v>101750</c:v>
                </c:pt>
                <c:pt idx="1429">
                  <c:v>99500</c:v>
                </c:pt>
                <c:pt idx="1430">
                  <c:v>98625</c:v>
                </c:pt>
                <c:pt idx="1431">
                  <c:v>99750</c:v>
                </c:pt>
                <c:pt idx="1432">
                  <c:v>97625</c:v>
                </c:pt>
                <c:pt idx="1433">
                  <c:v>98875</c:v>
                </c:pt>
                <c:pt idx="1434">
                  <c:v>102000</c:v>
                </c:pt>
                <c:pt idx="1435">
                  <c:v>101750</c:v>
                </c:pt>
                <c:pt idx="1436">
                  <c:v>101750</c:v>
                </c:pt>
                <c:pt idx="1437">
                  <c:v>103875</c:v>
                </c:pt>
                <c:pt idx="1438">
                  <c:v>105250</c:v>
                </c:pt>
                <c:pt idx="1439">
                  <c:v>106500</c:v>
                </c:pt>
                <c:pt idx="1440">
                  <c:v>103250</c:v>
                </c:pt>
                <c:pt idx="1441">
                  <c:v>99375</c:v>
                </c:pt>
                <c:pt idx="1442">
                  <c:v>98875</c:v>
                </c:pt>
                <c:pt idx="1443">
                  <c:v>99500</c:v>
                </c:pt>
                <c:pt idx="1444">
                  <c:v>100625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1445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49940</c:v>
                </c:pt>
                <c:pt idx="9">
                  <c:v>45970</c:v>
                </c:pt>
                <c:pt idx="10">
                  <c:v>38570</c:v>
                </c:pt>
                <c:pt idx="11">
                  <c:v>33640</c:v>
                </c:pt>
                <c:pt idx="12">
                  <c:v>32100</c:v>
                </c:pt>
                <c:pt idx="13">
                  <c:v>30980</c:v>
                </c:pt>
                <c:pt idx="14">
                  <c:v>31350</c:v>
                </c:pt>
                <c:pt idx="15">
                  <c:v>27340</c:v>
                </c:pt>
                <c:pt idx="16">
                  <c:v>27730</c:v>
                </c:pt>
                <c:pt idx="17">
                  <c:v>29240</c:v>
                </c:pt>
                <c:pt idx="18">
                  <c:v>30830</c:v>
                </c:pt>
                <c:pt idx="19">
                  <c:v>25640</c:v>
                </c:pt>
                <c:pt idx="20">
                  <c:v>24420</c:v>
                </c:pt>
                <c:pt idx="21">
                  <c:v>32620</c:v>
                </c:pt>
                <c:pt idx="22">
                  <c:v>46230</c:v>
                </c:pt>
                <c:pt idx="23">
                  <c:v>39670</c:v>
                </c:pt>
                <c:pt idx="24">
                  <c:v>39710</c:v>
                </c:pt>
                <c:pt idx="25">
                  <c:v>40400</c:v>
                </c:pt>
                <c:pt idx="26">
                  <c:v>41520</c:v>
                </c:pt>
                <c:pt idx="27">
                  <c:v>42360</c:v>
                </c:pt>
                <c:pt idx="28">
                  <c:v>39570</c:v>
                </c:pt>
                <c:pt idx="29">
                  <c:v>30470</c:v>
                </c:pt>
                <c:pt idx="30">
                  <c:v>29490</c:v>
                </c:pt>
                <c:pt idx="31">
                  <c:v>27510</c:v>
                </c:pt>
                <c:pt idx="32">
                  <c:v>25650</c:v>
                </c:pt>
                <c:pt idx="33">
                  <c:v>25250</c:v>
                </c:pt>
                <c:pt idx="34">
                  <c:v>27820</c:v>
                </c:pt>
                <c:pt idx="35">
                  <c:v>29020</c:v>
                </c:pt>
                <c:pt idx="36">
                  <c:v>27960</c:v>
                </c:pt>
                <c:pt idx="37">
                  <c:v>28820</c:v>
                </c:pt>
                <c:pt idx="38">
                  <c:v>26580</c:v>
                </c:pt>
                <c:pt idx="39">
                  <c:v>26440</c:v>
                </c:pt>
                <c:pt idx="40">
                  <c:v>27430</c:v>
                </c:pt>
                <c:pt idx="41">
                  <c:v>33710</c:v>
                </c:pt>
                <c:pt idx="42">
                  <c:v>31980</c:v>
                </c:pt>
                <c:pt idx="43">
                  <c:v>32090</c:v>
                </c:pt>
                <c:pt idx="44">
                  <c:v>31640</c:v>
                </c:pt>
                <c:pt idx="45">
                  <c:v>32220</c:v>
                </c:pt>
                <c:pt idx="46">
                  <c:v>30680</c:v>
                </c:pt>
                <c:pt idx="47">
                  <c:v>30560</c:v>
                </c:pt>
                <c:pt idx="48">
                  <c:v>30020</c:v>
                </c:pt>
                <c:pt idx="49">
                  <c:v>29840</c:v>
                </c:pt>
                <c:pt idx="50">
                  <c:v>25640</c:v>
                </c:pt>
                <c:pt idx="51">
                  <c:v>25580</c:v>
                </c:pt>
                <c:pt idx="52">
                  <c:v>25820</c:v>
                </c:pt>
                <c:pt idx="53">
                  <c:v>23010</c:v>
                </c:pt>
                <c:pt idx="54">
                  <c:v>22200</c:v>
                </c:pt>
                <c:pt idx="55">
                  <c:v>26680</c:v>
                </c:pt>
                <c:pt idx="56">
                  <c:v>18840</c:v>
                </c:pt>
                <c:pt idx="57">
                  <c:v>16510</c:v>
                </c:pt>
                <c:pt idx="58">
                  <c:v>8480</c:v>
                </c:pt>
                <c:pt idx="59">
                  <c:v>5490</c:v>
                </c:pt>
                <c:pt idx="60">
                  <c:v>5960</c:v>
                </c:pt>
                <c:pt idx="61">
                  <c:v>-1670</c:v>
                </c:pt>
                <c:pt idx="62">
                  <c:v>-2830</c:v>
                </c:pt>
                <c:pt idx="63">
                  <c:v>-2330</c:v>
                </c:pt>
                <c:pt idx="64">
                  <c:v>-3000</c:v>
                </c:pt>
                <c:pt idx="65">
                  <c:v>-2360</c:v>
                </c:pt>
                <c:pt idx="66">
                  <c:v>-2540</c:v>
                </c:pt>
                <c:pt idx="67">
                  <c:v>-3150</c:v>
                </c:pt>
                <c:pt idx="68">
                  <c:v>-1500</c:v>
                </c:pt>
                <c:pt idx="69">
                  <c:v>-5420</c:v>
                </c:pt>
                <c:pt idx="70">
                  <c:v>-3480</c:v>
                </c:pt>
                <c:pt idx="71">
                  <c:v>-50</c:v>
                </c:pt>
                <c:pt idx="72">
                  <c:v>2880</c:v>
                </c:pt>
                <c:pt idx="73">
                  <c:v>4370</c:v>
                </c:pt>
                <c:pt idx="74">
                  <c:v>20850</c:v>
                </c:pt>
                <c:pt idx="75">
                  <c:v>21430</c:v>
                </c:pt>
                <c:pt idx="76">
                  <c:v>18910</c:v>
                </c:pt>
                <c:pt idx="77">
                  <c:v>19860</c:v>
                </c:pt>
                <c:pt idx="78">
                  <c:v>19760</c:v>
                </c:pt>
                <c:pt idx="79">
                  <c:v>48330</c:v>
                </c:pt>
                <c:pt idx="80">
                  <c:v>51190</c:v>
                </c:pt>
                <c:pt idx="81">
                  <c:v>47080</c:v>
                </c:pt>
                <c:pt idx="82">
                  <c:v>46720</c:v>
                </c:pt>
                <c:pt idx="83">
                  <c:v>57160</c:v>
                </c:pt>
                <c:pt idx="84">
                  <c:v>56560</c:v>
                </c:pt>
                <c:pt idx="85">
                  <c:v>63890</c:v>
                </c:pt>
                <c:pt idx="86">
                  <c:v>65230</c:v>
                </c:pt>
                <c:pt idx="87">
                  <c:v>65160</c:v>
                </c:pt>
                <c:pt idx="88">
                  <c:v>63230</c:v>
                </c:pt>
                <c:pt idx="89">
                  <c:v>63270</c:v>
                </c:pt>
                <c:pt idx="90">
                  <c:v>65060</c:v>
                </c:pt>
                <c:pt idx="91">
                  <c:v>54810</c:v>
                </c:pt>
                <c:pt idx="92">
                  <c:v>56050</c:v>
                </c:pt>
                <c:pt idx="93">
                  <c:v>61210</c:v>
                </c:pt>
                <c:pt idx="94">
                  <c:v>61390</c:v>
                </c:pt>
                <c:pt idx="95">
                  <c:v>62850</c:v>
                </c:pt>
                <c:pt idx="96">
                  <c:v>64510</c:v>
                </c:pt>
                <c:pt idx="97">
                  <c:v>66260</c:v>
                </c:pt>
                <c:pt idx="98">
                  <c:v>67280</c:v>
                </c:pt>
                <c:pt idx="99">
                  <c:v>68560</c:v>
                </c:pt>
                <c:pt idx="100">
                  <c:v>68610</c:v>
                </c:pt>
                <c:pt idx="101">
                  <c:v>68640</c:v>
                </c:pt>
                <c:pt idx="102">
                  <c:v>67360</c:v>
                </c:pt>
                <c:pt idx="103">
                  <c:v>71240</c:v>
                </c:pt>
                <c:pt idx="104">
                  <c:v>71830</c:v>
                </c:pt>
                <c:pt idx="105">
                  <c:v>73590</c:v>
                </c:pt>
                <c:pt idx="106">
                  <c:v>72070</c:v>
                </c:pt>
                <c:pt idx="107">
                  <c:v>72560</c:v>
                </c:pt>
                <c:pt idx="108">
                  <c:v>69620</c:v>
                </c:pt>
                <c:pt idx="109">
                  <c:v>69570</c:v>
                </c:pt>
                <c:pt idx="110">
                  <c:v>69940</c:v>
                </c:pt>
                <c:pt idx="111">
                  <c:v>66920</c:v>
                </c:pt>
                <c:pt idx="112">
                  <c:v>67740</c:v>
                </c:pt>
                <c:pt idx="113">
                  <c:v>72240</c:v>
                </c:pt>
                <c:pt idx="114">
                  <c:v>80040</c:v>
                </c:pt>
                <c:pt idx="115">
                  <c:v>79360</c:v>
                </c:pt>
                <c:pt idx="116">
                  <c:v>80710</c:v>
                </c:pt>
                <c:pt idx="117">
                  <c:v>80210</c:v>
                </c:pt>
                <c:pt idx="118">
                  <c:v>79590</c:v>
                </c:pt>
                <c:pt idx="119">
                  <c:v>80250</c:v>
                </c:pt>
                <c:pt idx="120">
                  <c:v>80870</c:v>
                </c:pt>
                <c:pt idx="121">
                  <c:v>82640</c:v>
                </c:pt>
                <c:pt idx="122">
                  <c:v>91690</c:v>
                </c:pt>
                <c:pt idx="123">
                  <c:v>83600</c:v>
                </c:pt>
                <c:pt idx="124">
                  <c:v>78250</c:v>
                </c:pt>
                <c:pt idx="125">
                  <c:v>76890</c:v>
                </c:pt>
                <c:pt idx="126">
                  <c:v>82640</c:v>
                </c:pt>
                <c:pt idx="127">
                  <c:v>91220</c:v>
                </c:pt>
                <c:pt idx="128">
                  <c:v>94300</c:v>
                </c:pt>
                <c:pt idx="129">
                  <c:v>90930</c:v>
                </c:pt>
                <c:pt idx="130">
                  <c:v>93540</c:v>
                </c:pt>
                <c:pt idx="131">
                  <c:v>90960</c:v>
                </c:pt>
                <c:pt idx="132">
                  <c:v>88500</c:v>
                </c:pt>
                <c:pt idx="133">
                  <c:v>90920</c:v>
                </c:pt>
                <c:pt idx="134">
                  <c:v>91710</c:v>
                </c:pt>
                <c:pt idx="135">
                  <c:v>90380</c:v>
                </c:pt>
                <c:pt idx="136">
                  <c:v>89140</c:v>
                </c:pt>
                <c:pt idx="137">
                  <c:v>90060</c:v>
                </c:pt>
                <c:pt idx="138">
                  <c:v>95900</c:v>
                </c:pt>
                <c:pt idx="139">
                  <c:v>97100</c:v>
                </c:pt>
                <c:pt idx="140">
                  <c:v>96120</c:v>
                </c:pt>
                <c:pt idx="141">
                  <c:v>98990</c:v>
                </c:pt>
                <c:pt idx="142">
                  <c:v>98070</c:v>
                </c:pt>
                <c:pt idx="143">
                  <c:v>102960</c:v>
                </c:pt>
                <c:pt idx="144">
                  <c:v>101760</c:v>
                </c:pt>
                <c:pt idx="145">
                  <c:v>100880</c:v>
                </c:pt>
                <c:pt idx="146">
                  <c:v>99320</c:v>
                </c:pt>
                <c:pt idx="147">
                  <c:v>99120</c:v>
                </c:pt>
                <c:pt idx="148">
                  <c:v>99070</c:v>
                </c:pt>
                <c:pt idx="149">
                  <c:v>98070</c:v>
                </c:pt>
                <c:pt idx="150">
                  <c:v>98420</c:v>
                </c:pt>
                <c:pt idx="151">
                  <c:v>98050</c:v>
                </c:pt>
                <c:pt idx="152">
                  <c:v>98480</c:v>
                </c:pt>
                <c:pt idx="153">
                  <c:v>98180</c:v>
                </c:pt>
                <c:pt idx="154">
                  <c:v>99570</c:v>
                </c:pt>
                <c:pt idx="155">
                  <c:v>101620</c:v>
                </c:pt>
                <c:pt idx="156">
                  <c:v>102560</c:v>
                </c:pt>
                <c:pt idx="157">
                  <c:v>98240</c:v>
                </c:pt>
                <c:pt idx="158">
                  <c:v>97020</c:v>
                </c:pt>
                <c:pt idx="159">
                  <c:v>97020</c:v>
                </c:pt>
                <c:pt idx="160">
                  <c:v>97020</c:v>
                </c:pt>
                <c:pt idx="161">
                  <c:v>97020</c:v>
                </c:pt>
                <c:pt idx="162">
                  <c:v>97020</c:v>
                </c:pt>
                <c:pt idx="163">
                  <c:v>96970</c:v>
                </c:pt>
                <c:pt idx="164">
                  <c:v>96950</c:v>
                </c:pt>
                <c:pt idx="165">
                  <c:v>98590</c:v>
                </c:pt>
                <c:pt idx="166">
                  <c:v>97730</c:v>
                </c:pt>
                <c:pt idx="167">
                  <c:v>97840</c:v>
                </c:pt>
                <c:pt idx="168">
                  <c:v>98400</c:v>
                </c:pt>
                <c:pt idx="169">
                  <c:v>97710</c:v>
                </c:pt>
                <c:pt idx="170">
                  <c:v>97490</c:v>
                </c:pt>
                <c:pt idx="171">
                  <c:v>97440</c:v>
                </c:pt>
                <c:pt idx="172">
                  <c:v>97350</c:v>
                </c:pt>
                <c:pt idx="173">
                  <c:v>97240</c:v>
                </c:pt>
                <c:pt idx="174">
                  <c:v>98360</c:v>
                </c:pt>
                <c:pt idx="175">
                  <c:v>99360</c:v>
                </c:pt>
                <c:pt idx="176">
                  <c:v>100000</c:v>
                </c:pt>
                <c:pt idx="177">
                  <c:v>103840</c:v>
                </c:pt>
                <c:pt idx="178">
                  <c:v>103170</c:v>
                </c:pt>
                <c:pt idx="179">
                  <c:v>100370</c:v>
                </c:pt>
                <c:pt idx="180">
                  <c:v>103100</c:v>
                </c:pt>
                <c:pt idx="181">
                  <c:v>103400</c:v>
                </c:pt>
                <c:pt idx="182">
                  <c:v>103890</c:v>
                </c:pt>
                <c:pt idx="183">
                  <c:v>104350</c:v>
                </c:pt>
                <c:pt idx="184">
                  <c:v>105560</c:v>
                </c:pt>
                <c:pt idx="185">
                  <c:v>106910</c:v>
                </c:pt>
                <c:pt idx="186">
                  <c:v>105910</c:v>
                </c:pt>
                <c:pt idx="187">
                  <c:v>111330</c:v>
                </c:pt>
                <c:pt idx="188">
                  <c:v>115870</c:v>
                </c:pt>
                <c:pt idx="189">
                  <c:v>105320</c:v>
                </c:pt>
                <c:pt idx="190">
                  <c:v>107770</c:v>
                </c:pt>
                <c:pt idx="191">
                  <c:v>121010</c:v>
                </c:pt>
                <c:pt idx="192">
                  <c:v>123140</c:v>
                </c:pt>
                <c:pt idx="193">
                  <c:v>125210</c:v>
                </c:pt>
                <c:pt idx="194">
                  <c:v>132280</c:v>
                </c:pt>
                <c:pt idx="195">
                  <c:v>134290</c:v>
                </c:pt>
                <c:pt idx="196">
                  <c:v>136050</c:v>
                </c:pt>
                <c:pt idx="197">
                  <c:v>122270</c:v>
                </c:pt>
                <c:pt idx="198">
                  <c:v>117270</c:v>
                </c:pt>
                <c:pt idx="199">
                  <c:v>121540</c:v>
                </c:pt>
                <c:pt idx="200">
                  <c:v>157150</c:v>
                </c:pt>
                <c:pt idx="201">
                  <c:v>160310</c:v>
                </c:pt>
                <c:pt idx="202">
                  <c:v>161310</c:v>
                </c:pt>
                <c:pt idx="203">
                  <c:v>161270</c:v>
                </c:pt>
                <c:pt idx="204">
                  <c:v>163550</c:v>
                </c:pt>
                <c:pt idx="205">
                  <c:v>168700</c:v>
                </c:pt>
                <c:pt idx="206">
                  <c:v>175050</c:v>
                </c:pt>
                <c:pt idx="207">
                  <c:v>181560</c:v>
                </c:pt>
                <c:pt idx="208">
                  <c:v>176550</c:v>
                </c:pt>
                <c:pt idx="209">
                  <c:v>169210</c:v>
                </c:pt>
                <c:pt idx="210">
                  <c:v>163450</c:v>
                </c:pt>
                <c:pt idx="211">
                  <c:v>169520</c:v>
                </c:pt>
                <c:pt idx="212">
                  <c:v>164990</c:v>
                </c:pt>
                <c:pt idx="213">
                  <c:v>164100</c:v>
                </c:pt>
                <c:pt idx="214">
                  <c:v>169860</c:v>
                </c:pt>
                <c:pt idx="215">
                  <c:v>180640</c:v>
                </c:pt>
                <c:pt idx="216">
                  <c:v>182650</c:v>
                </c:pt>
                <c:pt idx="217">
                  <c:v>182630</c:v>
                </c:pt>
                <c:pt idx="218">
                  <c:v>188970</c:v>
                </c:pt>
                <c:pt idx="219">
                  <c:v>189380</c:v>
                </c:pt>
                <c:pt idx="220">
                  <c:v>186600</c:v>
                </c:pt>
                <c:pt idx="221">
                  <c:v>174000</c:v>
                </c:pt>
                <c:pt idx="222">
                  <c:v>181830</c:v>
                </c:pt>
                <c:pt idx="223">
                  <c:v>178450</c:v>
                </c:pt>
                <c:pt idx="224">
                  <c:v>185480</c:v>
                </c:pt>
                <c:pt idx="225">
                  <c:v>187210</c:v>
                </c:pt>
                <c:pt idx="226">
                  <c:v>182360</c:v>
                </c:pt>
                <c:pt idx="227">
                  <c:v>181610</c:v>
                </c:pt>
                <c:pt idx="228">
                  <c:v>195170</c:v>
                </c:pt>
                <c:pt idx="229">
                  <c:v>192710</c:v>
                </c:pt>
                <c:pt idx="230">
                  <c:v>189460</c:v>
                </c:pt>
                <c:pt idx="231">
                  <c:v>203310</c:v>
                </c:pt>
                <c:pt idx="232">
                  <c:v>204620</c:v>
                </c:pt>
                <c:pt idx="233">
                  <c:v>200510</c:v>
                </c:pt>
                <c:pt idx="234">
                  <c:v>204200</c:v>
                </c:pt>
                <c:pt idx="235">
                  <c:v>196520</c:v>
                </c:pt>
                <c:pt idx="236">
                  <c:v>200800</c:v>
                </c:pt>
                <c:pt idx="237">
                  <c:v>218880</c:v>
                </c:pt>
                <c:pt idx="238">
                  <c:v>208220</c:v>
                </c:pt>
                <c:pt idx="239">
                  <c:v>213410</c:v>
                </c:pt>
                <c:pt idx="240">
                  <c:v>231970</c:v>
                </c:pt>
                <c:pt idx="241">
                  <c:v>249420</c:v>
                </c:pt>
                <c:pt idx="242">
                  <c:v>243170</c:v>
                </c:pt>
                <c:pt idx="243">
                  <c:v>232740</c:v>
                </c:pt>
                <c:pt idx="244">
                  <c:v>229130</c:v>
                </c:pt>
                <c:pt idx="245">
                  <c:v>263360</c:v>
                </c:pt>
                <c:pt idx="246">
                  <c:v>263720</c:v>
                </c:pt>
                <c:pt idx="247">
                  <c:v>255090</c:v>
                </c:pt>
                <c:pt idx="248">
                  <c:v>251580</c:v>
                </c:pt>
                <c:pt idx="249">
                  <c:v>246150</c:v>
                </c:pt>
                <c:pt idx="250">
                  <c:v>244700</c:v>
                </c:pt>
                <c:pt idx="251">
                  <c:v>244420</c:v>
                </c:pt>
                <c:pt idx="252">
                  <c:v>242040</c:v>
                </c:pt>
                <c:pt idx="253">
                  <c:v>242960</c:v>
                </c:pt>
                <c:pt idx="254">
                  <c:v>243930</c:v>
                </c:pt>
                <c:pt idx="255">
                  <c:v>254480</c:v>
                </c:pt>
                <c:pt idx="256">
                  <c:v>262410</c:v>
                </c:pt>
                <c:pt idx="257">
                  <c:v>265860</c:v>
                </c:pt>
                <c:pt idx="258">
                  <c:v>261810</c:v>
                </c:pt>
                <c:pt idx="259">
                  <c:v>256890</c:v>
                </c:pt>
                <c:pt idx="260">
                  <c:v>270850</c:v>
                </c:pt>
                <c:pt idx="261">
                  <c:v>275070</c:v>
                </c:pt>
                <c:pt idx="262">
                  <c:v>252610</c:v>
                </c:pt>
                <c:pt idx="263">
                  <c:v>268080</c:v>
                </c:pt>
                <c:pt idx="264">
                  <c:v>272330</c:v>
                </c:pt>
                <c:pt idx="265">
                  <c:v>274380</c:v>
                </c:pt>
                <c:pt idx="266">
                  <c:v>271510</c:v>
                </c:pt>
                <c:pt idx="267">
                  <c:v>270010</c:v>
                </c:pt>
                <c:pt idx="268">
                  <c:v>295840</c:v>
                </c:pt>
                <c:pt idx="269">
                  <c:v>277820</c:v>
                </c:pt>
                <c:pt idx="270">
                  <c:v>262940</c:v>
                </c:pt>
                <c:pt idx="271">
                  <c:v>264920</c:v>
                </c:pt>
                <c:pt idx="272">
                  <c:v>259230</c:v>
                </c:pt>
                <c:pt idx="273">
                  <c:v>251010</c:v>
                </c:pt>
                <c:pt idx="274">
                  <c:v>243090</c:v>
                </c:pt>
                <c:pt idx="275">
                  <c:v>237080</c:v>
                </c:pt>
                <c:pt idx="276">
                  <c:v>237260</c:v>
                </c:pt>
                <c:pt idx="277">
                  <c:v>234150</c:v>
                </c:pt>
                <c:pt idx="278">
                  <c:v>234480</c:v>
                </c:pt>
                <c:pt idx="279">
                  <c:v>235490</c:v>
                </c:pt>
                <c:pt idx="280">
                  <c:v>233130</c:v>
                </c:pt>
                <c:pt idx="281">
                  <c:v>232970</c:v>
                </c:pt>
                <c:pt idx="282">
                  <c:v>214930</c:v>
                </c:pt>
                <c:pt idx="283">
                  <c:v>210670</c:v>
                </c:pt>
                <c:pt idx="284">
                  <c:v>203750</c:v>
                </c:pt>
                <c:pt idx="285">
                  <c:v>199030</c:v>
                </c:pt>
                <c:pt idx="286">
                  <c:v>188430</c:v>
                </c:pt>
                <c:pt idx="287">
                  <c:v>192150</c:v>
                </c:pt>
                <c:pt idx="288">
                  <c:v>192160</c:v>
                </c:pt>
                <c:pt idx="289">
                  <c:v>191720</c:v>
                </c:pt>
                <c:pt idx="290">
                  <c:v>195780</c:v>
                </c:pt>
                <c:pt idx="291">
                  <c:v>192250</c:v>
                </c:pt>
                <c:pt idx="292">
                  <c:v>189700</c:v>
                </c:pt>
                <c:pt idx="293">
                  <c:v>190650</c:v>
                </c:pt>
                <c:pt idx="294">
                  <c:v>196160</c:v>
                </c:pt>
                <c:pt idx="295">
                  <c:v>193200</c:v>
                </c:pt>
                <c:pt idx="296">
                  <c:v>191460</c:v>
                </c:pt>
                <c:pt idx="297">
                  <c:v>191300</c:v>
                </c:pt>
                <c:pt idx="298">
                  <c:v>193930</c:v>
                </c:pt>
                <c:pt idx="299">
                  <c:v>190200</c:v>
                </c:pt>
                <c:pt idx="300">
                  <c:v>188110</c:v>
                </c:pt>
                <c:pt idx="301">
                  <c:v>192590</c:v>
                </c:pt>
                <c:pt idx="302">
                  <c:v>205170</c:v>
                </c:pt>
                <c:pt idx="303">
                  <c:v>209350</c:v>
                </c:pt>
                <c:pt idx="304">
                  <c:v>207470</c:v>
                </c:pt>
                <c:pt idx="305">
                  <c:v>207470</c:v>
                </c:pt>
                <c:pt idx="306">
                  <c:v>207420</c:v>
                </c:pt>
                <c:pt idx="307">
                  <c:v>202020</c:v>
                </c:pt>
                <c:pt idx="308">
                  <c:v>207640</c:v>
                </c:pt>
                <c:pt idx="309">
                  <c:v>208460</c:v>
                </c:pt>
                <c:pt idx="310">
                  <c:v>213000</c:v>
                </c:pt>
                <c:pt idx="311">
                  <c:v>216130</c:v>
                </c:pt>
                <c:pt idx="312">
                  <c:v>217940</c:v>
                </c:pt>
                <c:pt idx="313">
                  <c:v>219630</c:v>
                </c:pt>
                <c:pt idx="314">
                  <c:v>213960</c:v>
                </c:pt>
                <c:pt idx="315">
                  <c:v>213330</c:v>
                </c:pt>
                <c:pt idx="316">
                  <c:v>218030</c:v>
                </c:pt>
                <c:pt idx="317">
                  <c:v>219070</c:v>
                </c:pt>
                <c:pt idx="318">
                  <c:v>218470</c:v>
                </c:pt>
                <c:pt idx="319">
                  <c:v>218290</c:v>
                </c:pt>
                <c:pt idx="320">
                  <c:v>219310</c:v>
                </c:pt>
                <c:pt idx="321">
                  <c:v>221630</c:v>
                </c:pt>
                <c:pt idx="322">
                  <c:v>222310</c:v>
                </c:pt>
                <c:pt idx="323">
                  <c:v>225350</c:v>
                </c:pt>
                <c:pt idx="324">
                  <c:v>226470</c:v>
                </c:pt>
                <c:pt idx="325">
                  <c:v>225450</c:v>
                </c:pt>
                <c:pt idx="326">
                  <c:v>230570</c:v>
                </c:pt>
                <c:pt idx="327">
                  <c:v>230540</c:v>
                </c:pt>
                <c:pt idx="328">
                  <c:v>230580</c:v>
                </c:pt>
                <c:pt idx="329">
                  <c:v>229220</c:v>
                </c:pt>
                <c:pt idx="330">
                  <c:v>229370</c:v>
                </c:pt>
                <c:pt idx="331">
                  <c:v>228850</c:v>
                </c:pt>
                <c:pt idx="332">
                  <c:v>228390</c:v>
                </c:pt>
                <c:pt idx="333">
                  <c:v>223910</c:v>
                </c:pt>
                <c:pt idx="334">
                  <c:v>221330</c:v>
                </c:pt>
                <c:pt idx="335">
                  <c:v>229850</c:v>
                </c:pt>
                <c:pt idx="336">
                  <c:v>232490</c:v>
                </c:pt>
                <c:pt idx="337">
                  <c:v>234140</c:v>
                </c:pt>
                <c:pt idx="338">
                  <c:v>234060</c:v>
                </c:pt>
                <c:pt idx="339">
                  <c:v>234600</c:v>
                </c:pt>
                <c:pt idx="340">
                  <c:v>234130</c:v>
                </c:pt>
                <c:pt idx="341">
                  <c:v>235810</c:v>
                </c:pt>
                <c:pt idx="342">
                  <c:v>235540</c:v>
                </c:pt>
                <c:pt idx="343">
                  <c:v>228260</c:v>
                </c:pt>
                <c:pt idx="344">
                  <c:v>231330</c:v>
                </c:pt>
                <c:pt idx="345">
                  <c:v>234920</c:v>
                </c:pt>
                <c:pt idx="346">
                  <c:v>234460</c:v>
                </c:pt>
                <c:pt idx="347">
                  <c:v>236760</c:v>
                </c:pt>
                <c:pt idx="348">
                  <c:v>247990</c:v>
                </c:pt>
                <c:pt idx="349">
                  <c:v>250890</c:v>
                </c:pt>
                <c:pt idx="350">
                  <c:v>250190</c:v>
                </c:pt>
                <c:pt idx="351">
                  <c:v>247490</c:v>
                </c:pt>
                <c:pt idx="352">
                  <c:v>247460</c:v>
                </c:pt>
                <c:pt idx="353">
                  <c:v>245530</c:v>
                </c:pt>
                <c:pt idx="354">
                  <c:v>244250</c:v>
                </c:pt>
                <c:pt idx="355">
                  <c:v>243700</c:v>
                </c:pt>
                <c:pt idx="356">
                  <c:v>243370</c:v>
                </c:pt>
                <c:pt idx="357">
                  <c:v>243260</c:v>
                </c:pt>
                <c:pt idx="358">
                  <c:v>242260</c:v>
                </c:pt>
                <c:pt idx="359">
                  <c:v>248220</c:v>
                </c:pt>
                <c:pt idx="360">
                  <c:v>249830</c:v>
                </c:pt>
                <c:pt idx="361">
                  <c:v>250090</c:v>
                </c:pt>
                <c:pt idx="362">
                  <c:v>250950</c:v>
                </c:pt>
                <c:pt idx="363">
                  <c:v>251830</c:v>
                </c:pt>
                <c:pt idx="364">
                  <c:v>250100</c:v>
                </c:pt>
                <c:pt idx="365">
                  <c:v>246450</c:v>
                </c:pt>
                <c:pt idx="366">
                  <c:v>248710</c:v>
                </c:pt>
                <c:pt idx="367">
                  <c:v>246910</c:v>
                </c:pt>
                <c:pt idx="368">
                  <c:v>248210</c:v>
                </c:pt>
                <c:pt idx="369">
                  <c:v>251640</c:v>
                </c:pt>
                <c:pt idx="370">
                  <c:v>257110</c:v>
                </c:pt>
                <c:pt idx="371">
                  <c:v>255000</c:v>
                </c:pt>
                <c:pt idx="372">
                  <c:v>252280</c:v>
                </c:pt>
                <c:pt idx="373">
                  <c:v>251060</c:v>
                </c:pt>
                <c:pt idx="374">
                  <c:v>248690</c:v>
                </c:pt>
                <c:pt idx="375">
                  <c:v>247970</c:v>
                </c:pt>
                <c:pt idx="376">
                  <c:v>252260</c:v>
                </c:pt>
                <c:pt idx="377">
                  <c:v>260310</c:v>
                </c:pt>
                <c:pt idx="378">
                  <c:v>258340</c:v>
                </c:pt>
                <c:pt idx="379">
                  <c:v>258430</c:v>
                </c:pt>
                <c:pt idx="380">
                  <c:v>252810</c:v>
                </c:pt>
                <c:pt idx="381">
                  <c:v>253350</c:v>
                </c:pt>
                <c:pt idx="382">
                  <c:v>265090</c:v>
                </c:pt>
                <c:pt idx="383">
                  <c:v>269440</c:v>
                </c:pt>
                <c:pt idx="384">
                  <c:v>271410</c:v>
                </c:pt>
                <c:pt idx="385">
                  <c:v>272610</c:v>
                </c:pt>
                <c:pt idx="386">
                  <c:v>276080</c:v>
                </c:pt>
                <c:pt idx="387">
                  <c:v>270070</c:v>
                </c:pt>
                <c:pt idx="388">
                  <c:v>272270</c:v>
                </c:pt>
                <c:pt idx="389">
                  <c:v>276320</c:v>
                </c:pt>
                <c:pt idx="390">
                  <c:v>281420</c:v>
                </c:pt>
                <c:pt idx="391">
                  <c:v>278470</c:v>
                </c:pt>
                <c:pt idx="392">
                  <c:v>279460</c:v>
                </c:pt>
                <c:pt idx="393">
                  <c:v>281790</c:v>
                </c:pt>
                <c:pt idx="394">
                  <c:v>277740</c:v>
                </c:pt>
                <c:pt idx="395">
                  <c:v>277580</c:v>
                </c:pt>
                <c:pt idx="396">
                  <c:v>278180</c:v>
                </c:pt>
                <c:pt idx="397">
                  <c:v>280220</c:v>
                </c:pt>
                <c:pt idx="398">
                  <c:v>276990</c:v>
                </c:pt>
                <c:pt idx="399">
                  <c:v>276600</c:v>
                </c:pt>
                <c:pt idx="400">
                  <c:v>274980</c:v>
                </c:pt>
                <c:pt idx="401">
                  <c:v>275180</c:v>
                </c:pt>
                <c:pt idx="402">
                  <c:v>274970</c:v>
                </c:pt>
                <c:pt idx="403">
                  <c:v>274610</c:v>
                </c:pt>
                <c:pt idx="404">
                  <c:v>274350</c:v>
                </c:pt>
                <c:pt idx="405">
                  <c:v>266650</c:v>
                </c:pt>
                <c:pt idx="406">
                  <c:v>267110</c:v>
                </c:pt>
                <c:pt idx="407">
                  <c:v>267270</c:v>
                </c:pt>
                <c:pt idx="408">
                  <c:v>268070</c:v>
                </c:pt>
                <c:pt idx="409">
                  <c:v>268890</c:v>
                </c:pt>
                <c:pt idx="410">
                  <c:v>269720</c:v>
                </c:pt>
                <c:pt idx="411">
                  <c:v>270040</c:v>
                </c:pt>
                <c:pt idx="412">
                  <c:v>272140</c:v>
                </c:pt>
                <c:pt idx="413">
                  <c:v>272760</c:v>
                </c:pt>
                <c:pt idx="414">
                  <c:v>272030</c:v>
                </c:pt>
                <c:pt idx="415">
                  <c:v>273800</c:v>
                </c:pt>
                <c:pt idx="416">
                  <c:v>275660</c:v>
                </c:pt>
                <c:pt idx="417">
                  <c:v>277750</c:v>
                </c:pt>
                <c:pt idx="418">
                  <c:v>277610</c:v>
                </c:pt>
                <c:pt idx="419">
                  <c:v>278540</c:v>
                </c:pt>
                <c:pt idx="420">
                  <c:v>280620</c:v>
                </c:pt>
                <c:pt idx="421">
                  <c:v>280990</c:v>
                </c:pt>
                <c:pt idx="422">
                  <c:v>283650</c:v>
                </c:pt>
                <c:pt idx="423">
                  <c:v>287980</c:v>
                </c:pt>
                <c:pt idx="424">
                  <c:v>287170</c:v>
                </c:pt>
                <c:pt idx="425">
                  <c:v>282950</c:v>
                </c:pt>
                <c:pt idx="426">
                  <c:v>274100</c:v>
                </c:pt>
                <c:pt idx="427">
                  <c:v>272310</c:v>
                </c:pt>
                <c:pt idx="428">
                  <c:v>271020</c:v>
                </c:pt>
                <c:pt idx="429">
                  <c:v>274580</c:v>
                </c:pt>
                <c:pt idx="430">
                  <c:v>271230</c:v>
                </c:pt>
                <c:pt idx="431">
                  <c:v>272440</c:v>
                </c:pt>
                <c:pt idx="432">
                  <c:v>274030</c:v>
                </c:pt>
                <c:pt idx="433">
                  <c:v>274090</c:v>
                </c:pt>
                <c:pt idx="434">
                  <c:v>274850</c:v>
                </c:pt>
                <c:pt idx="435">
                  <c:v>276770</c:v>
                </c:pt>
                <c:pt idx="436">
                  <c:v>278650</c:v>
                </c:pt>
                <c:pt idx="437">
                  <c:v>278760</c:v>
                </c:pt>
                <c:pt idx="438">
                  <c:v>275820</c:v>
                </c:pt>
                <c:pt idx="439">
                  <c:v>281860</c:v>
                </c:pt>
                <c:pt idx="440">
                  <c:v>274890</c:v>
                </c:pt>
                <c:pt idx="441">
                  <c:v>285280</c:v>
                </c:pt>
                <c:pt idx="442">
                  <c:v>291680</c:v>
                </c:pt>
                <c:pt idx="443">
                  <c:v>280930</c:v>
                </c:pt>
                <c:pt idx="444">
                  <c:v>277140</c:v>
                </c:pt>
                <c:pt idx="445">
                  <c:v>276890</c:v>
                </c:pt>
                <c:pt idx="446">
                  <c:v>277190</c:v>
                </c:pt>
                <c:pt idx="447">
                  <c:v>274430</c:v>
                </c:pt>
                <c:pt idx="448">
                  <c:v>274120</c:v>
                </c:pt>
                <c:pt idx="449">
                  <c:v>273960</c:v>
                </c:pt>
                <c:pt idx="450">
                  <c:v>272660</c:v>
                </c:pt>
                <c:pt idx="451">
                  <c:v>272170</c:v>
                </c:pt>
                <c:pt idx="452">
                  <c:v>272290</c:v>
                </c:pt>
                <c:pt idx="453">
                  <c:v>271850</c:v>
                </c:pt>
                <c:pt idx="454">
                  <c:v>271340</c:v>
                </c:pt>
                <c:pt idx="455">
                  <c:v>271120</c:v>
                </c:pt>
                <c:pt idx="456">
                  <c:v>269970</c:v>
                </c:pt>
                <c:pt idx="457">
                  <c:v>284820</c:v>
                </c:pt>
                <c:pt idx="458">
                  <c:v>282250</c:v>
                </c:pt>
                <c:pt idx="459">
                  <c:v>274640</c:v>
                </c:pt>
                <c:pt idx="460">
                  <c:v>271700</c:v>
                </c:pt>
                <c:pt idx="461">
                  <c:v>269920</c:v>
                </c:pt>
                <c:pt idx="462">
                  <c:v>270900</c:v>
                </c:pt>
                <c:pt idx="463">
                  <c:v>271760</c:v>
                </c:pt>
                <c:pt idx="464">
                  <c:v>270740</c:v>
                </c:pt>
                <c:pt idx="465">
                  <c:v>269470</c:v>
                </c:pt>
                <c:pt idx="466">
                  <c:v>269100</c:v>
                </c:pt>
                <c:pt idx="467">
                  <c:v>267610</c:v>
                </c:pt>
                <c:pt idx="468">
                  <c:v>266080</c:v>
                </c:pt>
                <c:pt idx="469">
                  <c:v>264870</c:v>
                </c:pt>
                <c:pt idx="470">
                  <c:v>268780</c:v>
                </c:pt>
                <c:pt idx="471">
                  <c:v>268030</c:v>
                </c:pt>
                <c:pt idx="472">
                  <c:v>262450</c:v>
                </c:pt>
                <c:pt idx="473">
                  <c:v>264000</c:v>
                </c:pt>
                <c:pt idx="474">
                  <c:v>261670</c:v>
                </c:pt>
                <c:pt idx="475">
                  <c:v>260300</c:v>
                </c:pt>
                <c:pt idx="476">
                  <c:v>259140</c:v>
                </c:pt>
                <c:pt idx="477">
                  <c:v>262660</c:v>
                </c:pt>
                <c:pt idx="478">
                  <c:v>261680</c:v>
                </c:pt>
                <c:pt idx="479">
                  <c:v>264440</c:v>
                </c:pt>
                <c:pt idx="480">
                  <c:v>262740</c:v>
                </c:pt>
                <c:pt idx="481">
                  <c:v>263190</c:v>
                </c:pt>
                <c:pt idx="482">
                  <c:v>261020</c:v>
                </c:pt>
                <c:pt idx="483">
                  <c:v>261090</c:v>
                </c:pt>
                <c:pt idx="484">
                  <c:v>258190</c:v>
                </c:pt>
                <c:pt idx="485">
                  <c:v>259400</c:v>
                </c:pt>
                <c:pt idx="486">
                  <c:v>254770</c:v>
                </c:pt>
                <c:pt idx="487">
                  <c:v>257690</c:v>
                </c:pt>
                <c:pt idx="488">
                  <c:v>260940</c:v>
                </c:pt>
                <c:pt idx="489">
                  <c:v>251090</c:v>
                </c:pt>
                <c:pt idx="490">
                  <c:v>253230</c:v>
                </c:pt>
                <c:pt idx="491">
                  <c:v>254830</c:v>
                </c:pt>
                <c:pt idx="492">
                  <c:v>260440</c:v>
                </c:pt>
                <c:pt idx="493">
                  <c:v>255040</c:v>
                </c:pt>
                <c:pt idx="494">
                  <c:v>256960</c:v>
                </c:pt>
                <c:pt idx="495">
                  <c:v>264070</c:v>
                </c:pt>
                <c:pt idx="496">
                  <c:v>261070</c:v>
                </c:pt>
                <c:pt idx="497">
                  <c:v>258300</c:v>
                </c:pt>
                <c:pt idx="498">
                  <c:v>259660</c:v>
                </c:pt>
                <c:pt idx="499">
                  <c:v>256110</c:v>
                </c:pt>
                <c:pt idx="500">
                  <c:v>256420</c:v>
                </c:pt>
                <c:pt idx="501">
                  <c:v>263980</c:v>
                </c:pt>
                <c:pt idx="502">
                  <c:v>264040</c:v>
                </c:pt>
                <c:pt idx="503">
                  <c:v>262850</c:v>
                </c:pt>
                <c:pt idx="504">
                  <c:v>262790</c:v>
                </c:pt>
                <c:pt idx="505">
                  <c:v>262710</c:v>
                </c:pt>
                <c:pt idx="506">
                  <c:v>262730</c:v>
                </c:pt>
                <c:pt idx="507">
                  <c:v>261780</c:v>
                </c:pt>
                <c:pt idx="508">
                  <c:v>267140</c:v>
                </c:pt>
                <c:pt idx="509">
                  <c:v>268820</c:v>
                </c:pt>
                <c:pt idx="510">
                  <c:v>265280</c:v>
                </c:pt>
                <c:pt idx="511">
                  <c:v>263800</c:v>
                </c:pt>
                <c:pt idx="512">
                  <c:v>267290</c:v>
                </c:pt>
                <c:pt idx="513">
                  <c:v>268190</c:v>
                </c:pt>
                <c:pt idx="514">
                  <c:v>266670</c:v>
                </c:pt>
                <c:pt idx="515">
                  <c:v>259240</c:v>
                </c:pt>
                <c:pt idx="516">
                  <c:v>261180</c:v>
                </c:pt>
                <c:pt idx="517">
                  <c:v>263420</c:v>
                </c:pt>
                <c:pt idx="518">
                  <c:v>272690</c:v>
                </c:pt>
                <c:pt idx="519">
                  <c:v>273100</c:v>
                </c:pt>
                <c:pt idx="520">
                  <c:v>273390</c:v>
                </c:pt>
                <c:pt idx="521">
                  <c:v>273960</c:v>
                </c:pt>
                <c:pt idx="522">
                  <c:v>276360</c:v>
                </c:pt>
                <c:pt idx="523">
                  <c:v>278250</c:v>
                </c:pt>
                <c:pt idx="524">
                  <c:v>277390</c:v>
                </c:pt>
                <c:pt idx="525">
                  <c:v>277370</c:v>
                </c:pt>
                <c:pt idx="526">
                  <c:v>275430</c:v>
                </c:pt>
                <c:pt idx="527">
                  <c:v>276510</c:v>
                </c:pt>
                <c:pt idx="528">
                  <c:v>280670</c:v>
                </c:pt>
                <c:pt idx="529">
                  <c:v>279800</c:v>
                </c:pt>
                <c:pt idx="530">
                  <c:v>278420</c:v>
                </c:pt>
                <c:pt idx="531">
                  <c:v>280360</c:v>
                </c:pt>
                <c:pt idx="532">
                  <c:v>284820</c:v>
                </c:pt>
                <c:pt idx="533">
                  <c:v>283220</c:v>
                </c:pt>
                <c:pt idx="534">
                  <c:v>284970</c:v>
                </c:pt>
                <c:pt idx="535">
                  <c:v>284620</c:v>
                </c:pt>
                <c:pt idx="536">
                  <c:v>284190</c:v>
                </c:pt>
                <c:pt idx="537">
                  <c:v>287630</c:v>
                </c:pt>
                <c:pt idx="538">
                  <c:v>289820</c:v>
                </c:pt>
                <c:pt idx="539">
                  <c:v>291500</c:v>
                </c:pt>
                <c:pt idx="540">
                  <c:v>287820</c:v>
                </c:pt>
                <c:pt idx="541">
                  <c:v>286140</c:v>
                </c:pt>
                <c:pt idx="542">
                  <c:v>281880</c:v>
                </c:pt>
                <c:pt idx="543">
                  <c:v>286530</c:v>
                </c:pt>
                <c:pt idx="544">
                  <c:v>293190</c:v>
                </c:pt>
                <c:pt idx="545">
                  <c:v>281070</c:v>
                </c:pt>
                <c:pt idx="546">
                  <c:v>271150</c:v>
                </c:pt>
                <c:pt idx="547">
                  <c:v>260870</c:v>
                </c:pt>
                <c:pt idx="548">
                  <c:v>262090</c:v>
                </c:pt>
                <c:pt idx="549">
                  <c:v>258810</c:v>
                </c:pt>
                <c:pt idx="550">
                  <c:v>260480</c:v>
                </c:pt>
                <c:pt idx="551">
                  <c:v>257330</c:v>
                </c:pt>
                <c:pt idx="552">
                  <c:v>264890</c:v>
                </c:pt>
                <c:pt idx="553">
                  <c:v>251510</c:v>
                </c:pt>
                <c:pt idx="554">
                  <c:v>252880</c:v>
                </c:pt>
                <c:pt idx="555">
                  <c:v>273420</c:v>
                </c:pt>
                <c:pt idx="556">
                  <c:v>269600</c:v>
                </c:pt>
                <c:pt idx="557">
                  <c:v>283740</c:v>
                </c:pt>
                <c:pt idx="558">
                  <c:v>281920</c:v>
                </c:pt>
                <c:pt idx="559">
                  <c:v>288550</c:v>
                </c:pt>
                <c:pt idx="560">
                  <c:v>283130</c:v>
                </c:pt>
                <c:pt idx="561">
                  <c:v>286860</c:v>
                </c:pt>
                <c:pt idx="562">
                  <c:v>325550</c:v>
                </c:pt>
                <c:pt idx="563">
                  <c:v>322140</c:v>
                </c:pt>
                <c:pt idx="564">
                  <c:v>321980</c:v>
                </c:pt>
                <c:pt idx="565">
                  <c:v>322790</c:v>
                </c:pt>
                <c:pt idx="566">
                  <c:v>322710</c:v>
                </c:pt>
                <c:pt idx="567">
                  <c:v>317620</c:v>
                </c:pt>
                <c:pt idx="568">
                  <c:v>316420</c:v>
                </c:pt>
                <c:pt idx="569">
                  <c:v>312650</c:v>
                </c:pt>
                <c:pt idx="570">
                  <c:v>316010</c:v>
                </c:pt>
                <c:pt idx="571">
                  <c:v>313920</c:v>
                </c:pt>
                <c:pt idx="572">
                  <c:v>316210</c:v>
                </c:pt>
                <c:pt idx="573">
                  <c:v>316830</c:v>
                </c:pt>
                <c:pt idx="574">
                  <c:v>318110</c:v>
                </c:pt>
                <c:pt idx="575">
                  <c:v>319430</c:v>
                </c:pt>
                <c:pt idx="576">
                  <c:v>316960</c:v>
                </c:pt>
                <c:pt idx="577">
                  <c:v>316240</c:v>
                </c:pt>
                <c:pt idx="578">
                  <c:v>314860</c:v>
                </c:pt>
                <c:pt idx="579">
                  <c:v>316330</c:v>
                </c:pt>
                <c:pt idx="580">
                  <c:v>313620</c:v>
                </c:pt>
                <c:pt idx="581">
                  <c:v>313650</c:v>
                </c:pt>
                <c:pt idx="582">
                  <c:v>312740</c:v>
                </c:pt>
                <c:pt idx="583">
                  <c:v>312880</c:v>
                </c:pt>
                <c:pt idx="584">
                  <c:v>312840</c:v>
                </c:pt>
                <c:pt idx="585">
                  <c:v>312860</c:v>
                </c:pt>
                <c:pt idx="586">
                  <c:v>310080</c:v>
                </c:pt>
                <c:pt idx="587">
                  <c:v>304530</c:v>
                </c:pt>
                <c:pt idx="588">
                  <c:v>305810</c:v>
                </c:pt>
                <c:pt idx="589">
                  <c:v>307330</c:v>
                </c:pt>
                <c:pt idx="590">
                  <c:v>309030</c:v>
                </c:pt>
                <c:pt idx="591">
                  <c:v>312420</c:v>
                </c:pt>
                <c:pt idx="592">
                  <c:v>310520</c:v>
                </c:pt>
                <c:pt idx="593">
                  <c:v>310030</c:v>
                </c:pt>
                <c:pt idx="594">
                  <c:v>309980</c:v>
                </c:pt>
                <c:pt idx="595">
                  <c:v>310500</c:v>
                </c:pt>
                <c:pt idx="596">
                  <c:v>315520</c:v>
                </c:pt>
                <c:pt idx="597">
                  <c:v>315560</c:v>
                </c:pt>
                <c:pt idx="598">
                  <c:v>315820</c:v>
                </c:pt>
                <c:pt idx="599">
                  <c:v>316200</c:v>
                </c:pt>
                <c:pt idx="600">
                  <c:v>316190</c:v>
                </c:pt>
                <c:pt idx="601">
                  <c:v>314330</c:v>
                </c:pt>
                <c:pt idx="602">
                  <c:v>314800</c:v>
                </c:pt>
                <c:pt idx="603">
                  <c:v>315280</c:v>
                </c:pt>
                <c:pt idx="604">
                  <c:v>314950</c:v>
                </c:pt>
                <c:pt idx="605">
                  <c:v>316610</c:v>
                </c:pt>
                <c:pt idx="606">
                  <c:v>316100</c:v>
                </c:pt>
                <c:pt idx="607">
                  <c:v>316180</c:v>
                </c:pt>
                <c:pt idx="608">
                  <c:v>315750</c:v>
                </c:pt>
                <c:pt idx="609">
                  <c:v>315850</c:v>
                </c:pt>
                <c:pt idx="610">
                  <c:v>315520</c:v>
                </c:pt>
                <c:pt idx="611">
                  <c:v>315300</c:v>
                </c:pt>
                <c:pt idx="612">
                  <c:v>314650</c:v>
                </c:pt>
                <c:pt idx="613">
                  <c:v>314770</c:v>
                </c:pt>
                <c:pt idx="614">
                  <c:v>315060</c:v>
                </c:pt>
                <c:pt idx="615">
                  <c:v>318890</c:v>
                </c:pt>
                <c:pt idx="616">
                  <c:v>318690</c:v>
                </c:pt>
                <c:pt idx="617">
                  <c:v>318250</c:v>
                </c:pt>
                <c:pt idx="618">
                  <c:v>317680</c:v>
                </c:pt>
                <c:pt idx="619">
                  <c:v>313240</c:v>
                </c:pt>
                <c:pt idx="620">
                  <c:v>315010</c:v>
                </c:pt>
                <c:pt idx="621">
                  <c:v>316140</c:v>
                </c:pt>
                <c:pt idx="622">
                  <c:v>316960</c:v>
                </c:pt>
                <c:pt idx="623">
                  <c:v>317770</c:v>
                </c:pt>
                <c:pt idx="624">
                  <c:v>318160</c:v>
                </c:pt>
                <c:pt idx="625">
                  <c:v>319450</c:v>
                </c:pt>
                <c:pt idx="626">
                  <c:v>319320</c:v>
                </c:pt>
                <c:pt idx="627">
                  <c:v>318190</c:v>
                </c:pt>
                <c:pt idx="628">
                  <c:v>317920</c:v>
                </c:pt>
                <c:pt idx="629">
                  <c:v>319860</c:v>
                </c:pt>
                <c:pt idx="630">
                  <c:v>319920</c:v>
                </c:pt>
                <c:pt idx="631">
                  <c:v>320380</c:v>
                </c:pt>
                <c:pt idx="632">
                  <c:v>323290</c:v>
                </c:pt>
                <c:pt idx="633">
                  <c:v>319190</c:v>
                </c:pt>
                <c:pt idx="634">
                  <c:v>319960</c:v>
                </c:pt>
                <c:pt idx="635">
                  <c:v>317260</c:v>
                </c:pt>
                <c:pt idx="636">
                  <c:v>320170</c:v>
                </c:pt>
                <c:pt idx="637">
                  <c:v>320730</c:v>
                </c:pt>
                <c:pt idx="638">
                  <c:v>321660</c:v>
                </c:pt>
                <c:pt idx="639">
                  <c:v>322070</c:v>
                </c:pt>
                <c:pt idx="640">
                  <c:v>321160</c:v>
                </c:pt>
                <c:pt idx="641">
                  <c:v>321000</c:v>
                </c:pt>
                <c:pt idx="642">
                  <c:v>322150</c:v>
                </c:pt>
                <c:pt idx="643">
                  <c:v>322620</c:v>
                </c:pt>
                <c:pt idx="644">
                  <c:v>322170</c:v>
                </c:pt>
                <c:pt idx="645">
                  <c:v>326900</c:v>
                </c:pt>
                <c:pt idx="646">
                  <c:v>326610</c:v>
                </c:pt>
                <c:pt idx="647">
                  <c:v>325500</c:v>
                </c:pt>
                <c:pt idx="648">
                  <c:v>325500</c:v>
                </c:pt>
                <c:pt idx="649">
                  <c:v>325390</c:v>
                </c:pt>
                <c:pt idx="650">
                  <c:v>328020</c:v>
                </c:pt>
                <c:pt idx="651">
                  <c:v>329360</c:v>
                </c:pt>
                <c:pt idx="652">
                  <c:v>329250</c:v>
                </c:pt>
                <c:pt idx="653">
                  <c:v>328680</c:v>
                </c:pt>
                <c:pt idx="654">
                  <c:v>328570</c:v>
                </c:pt>
                <c:pt idx="655">
                  <c:v>340150</c:v>
                </c:pt>
                <c:pt idx="656">
                  <c:v>340330</c:v>
                </c:pt>
                <c:pt idx="657">
                  <c:v>337790</c:v>
                </c:pt>
                <c:pt idx="658">
                  <c:v>335380</c:v>
                </c:pt>
                <c:pt idx="659">
                  <c:v>335300</c:v>
                </c:pt>
                <c:pt idx="660">
                  <c:v>335860</c:v>
                </c:pt>
                <c:pt idx="661">
                  <c:v>335860</c:v>
                </c:pt>
                <c:pt idx="662">
                  <c:v>335480</c:v>
                </c:pt>
                <c:pt idx="663">
                  <c:v>334550</c:v>
                </c:pt>
                <c:pt idx="664">
                  <c:v>334890</c:v>
                </c:pt>
                <c:pt idx="665">
                  <c:v>336150</c:v>
                </c:pt>
                <c:pt idx="666">
                  <c:v>335920</c:v>
                </c:pt>
                <c:pt idx="667">
                  <c:v>338890</c:v>
                </c:pt>
                <c:pt idx="668">
                  <c:v>338250</c:v>
                </c:pt>
                <c:pt idx="669">
                  <c:v>338600</c:v>
                </c:pt>
                <c:pt idx="670">
                  <c:v>334250</c:v>
                </c:pt>
                <c:pt idx="671">
                  <c:v>327270</c:v>
                </c:pt>
                <c:pt idx="672">
                  <c:v>322960</c:v>
                </c:pt>
                <c:pt idx="673">
                  <c:v>324020</c:v>
                </c:pt>
                <c:pt idx="674">
                  <c:v>322600</c:v>
                </c:pt>
                <c:pt idx="675">
                  <c:v>325830</c:v>
                </c:pt>
                <c:pt idx="676">
                  <c:v>325130</c:v>
                </c:pt>
                <c:pt idx="677">
                  <c:v>325270</c:v>
                </c:pt>
                <c:pt idx="678">
                  <c:v>325090</c:v>
                </c:pt>
                <c:pt idx="679">
                  <c:v>323560</c:v>
                </c:pt>
                <c:pt idx="680">
                  <c:v>320020</c:v>
                </c:pt>
                <c:pt idx="681">
                  <c:v>315520</c:v>
                </c:pt>
                <c:pt idx="682">
                  <c:v>313220</c:v>
                </c:pt>
                <c:pt idx="683">
                  <c:v>313940</c:v>
                </c:pt>
                <c:pt idx="684">
                  <c:v>319610</c:v>
                </c:pt>
                <c:pt idx="685">
                  <c:v>318150</c:v>
                </c:pt>
                <c:pt idx="686">
                  <c:v>316850</c:v>
                </c:pt>
                <c:pt idx="687">
                  <c:v>320790</c:v>
                </c:pt>
                <c:pt idx="688">
                  <c:v>318580</c:v>
                </c:pt>
                <c:pt idx="689">
                  <c:v>318610</c:v>
                </c:pt>
                <c:pt idx="690">
                  <c:v>307950</c:v>
                </c:pt>
                <c:pt idx="691">
                  <c:v>307680</c:v>
                </c:pt>
                <c:pt idx="692">
                  <c:v>302500</c:v>
                </c:pt>
                <c:pt idx="693">
                  <c:v>302640</c:v>
                </c:pt>
                <c:pt idx="694">
                  <c:v>311880</c:v>
                </c:pt>
                <c:pt idx="695">
                  <c:v>309790</c:v>
                </c:pt>
                <c:pt idx="696">
                  <c:v>309740</c:v>
                </c:pt>
                <c:pt idx="697">
                  <c:v>309910</c:v>
                </c:pt>
                <c:pt idx="698">
                  <c:v>311580</c:v>
                </c:pt>
                <c:pt idx="699">
                  <c:v>312140</c:v>
                </c:pt>
                <c:pt idx="700">
                  <c:v>309410</c:v>
                </c:pt>
                <c:pt idx="701">
                  <c:v>308880</c:v>
                </c:pt>
                <c:pt idx="702">
                  <c:v>313020</c:v>
                </c:pt>
                <c:pt idx="703">
                  <c:v>312890</c:v>
                </c:pt>
                <c:pt idx="704">
                  <c:v>309860</c:v>
                </c:pt>
                <c:pt idx="705">
                  <c:v>310150</c:v>
                </c:pt>
                <c:pt idx="706">
                  <c:v>311170</c:v>
                </c:pt>
                <c:pt idx="707">
                  <c:v>304580</c:v>
                </c:pt>
                <c:pt idx="708">
                  <c:v>302840</c:v>
                </c:pt>
                <c:pt idx="709">
                  <c:v>297650</c:v>
                </c:pt>
                <c:pt idx="710">
                  <c:v>293900</c:v>
                </c:pt>
                <c:pt idx="711">
                  <c:v>299380</c:v>
                </c:pt>
                <c:pt idx="712">
                  <c:v>298020</c:v>
                </c:pt>
                <c:pt idx="713">
                  <c:v>297130</c:v>
                </c:pt>
                <c:pt idx="714">
                  <c:v>296630</c:v>
                </c:pt>
                <c:pt idx="715">
                  <c:v>292130</c:v>
                </c:pt>
                <c:pt idx="716">
                  <c:v>292450</c:v>
                </c:pt>
                <c:pt idx="717">
                  <c:v>293590</c:v>
                </c:pt>
                <c:pt idx="718">
                  <c:v>295430</c:v>
                </c:pt>
                <c:pt idx="719">
                  <c:v>290820</c:v>
                </c:pt>
                <c:pt idx="720">
                  <c:v>290940</c:v>
                </c:pt>
                <c:pt idx="721">
                  <c:v>295700</c:v>
                </c:pt>
                <c:pt idx="722">
                  <c:v>296890</c:v>
                </c:pt>
                <c:pt idx="723">
                  <c:v>296120</c:v>
                </c:pt>
                <c:pt idx="724">
                  <c:v>292330</c:v>
                </c:pt>
                <c:pt idx="725">
                  <c:v>290400</c:v>
                </c:pt>
                <c:pt idx="726">
                  <c:v>292060</c:v>
                </c:pt>
                <c:pt idx="727">
                  <c:v>291990</c:v>
                </c:pt>
                <c:pt idx="728">
                  <c:v>290300</c:v>
                </c:pt>
                <c:pt idx="729">
                  <c:v>289560</c:v>
                </c:pt>
                <c:pt idx="730">
                  <c:v>288100</c:v>
                </c:pt>
                <c:pt idx="731">
                  <c:v>288460</c:v>
                </c:pt>
                <c:pt idx="732">
                  <c:v>293880</c:v>
                </c:pt>
                <c:pt idx="733">
                  <c:v>293850</c:v>
                </c:pt>
                <c:pt idx="734">
                  <c:v>295440</c:v>
                </c:pt>
                <c:pt idx="735">
                  <c:v>299940</c:v>
                </c:pt>
                <c:pt idx="736">
                  <c:v>298380</c:v>
                </c:pt>
                <c:pt idx="737">
                  <c:v>295580</c:v>
                </c:pt>
                <c:pt idx="738">
                  <c:v>296600</c:v>
                </c:pt>
                <c:pt idx="739">
                  <c:v>306850</c:v>
                </c:pt>
                <c:pt idx="740">
                  <c:v>305560</c:v>
                </c:pt>
                <c:pt idx="741">
                  <c:v>306590</c:v>
                </c:pt>
                <c:pt idx="742">
                  <c:v>328690</c:v>
                </c:pt>
                <c:pt idx="743">
                  <c:v>329510</c:v>
                </c:pt>
                <c:pt idx="744">
                  <c:v>331710</c:v>
                </c:pt>
                <c:pt idx="745">
                  <c:v>332430</c:v>
                </c:pt>
                <c:pt idx="746">
                  <c:v>332060</c:v>
                </c:pt>
                <c:pt idx="747">
                  <c:v>331880</c:v>
                </c:pt>
                <c:pt idx="748">
                  <c:v>331970</c:v>
                </c:pt>
                <c:pt idx="749">
                  <c:v>329830</c:v>
                </c:pt>
                <c:pt idx="750">
                  <c:v>329360</c:v>
                </c:pt>
                <c:pt idx="751">
                  <c:v>329950</c:v>
                </c:pt>
                <c:pt idx="752">
                  <c:v>331020</c:v>
                </c:pt>
                <c:pt idx="753">
                  <c:v>331130</c:v>
                </c:pt>
                <c:pt idx="754">
                  <c:v>335870</c:v>
                </c:pt>
                <c:pt idx="755">
                  <c:v>336070</c:v>
                </c:pt>
                <c:pt idx="756">
                  <c:v>337680</c:v>
                </c:pt>
                <c:pt idx="757">
                  <c:v>336240</c:v>
                </c:pt>
                <c:pt idx="758">
                  <c:v>338660</c:v>
                </c:pt>
                <c:pt idx="759">
                  <c:v>338730</c:v>
                </c:pt>
                <c:pt idx="760">
                  <c:v>340120</c:v>
                </c:pt>
                <c:pt idx="761">
                  <c:v>340060</c:v>
                </c:pt>
                <c:pt idx="762">
                  <c:v>339870</c:v>
                </c:pt>
                <c:pt idx="763">
                  <c:v>341240</c:v>
                </c:pt>
                <c:pt idx="764">
                  <c:v>341540</c:v>
                </c:pt>
                <c:pt idx="765">
                  <c:v>342230</c:v>
                </c:pt>
                <c:pt idx="766">
                  <c:v>342010</c:v>
                </c:pt>
                <c:pt idx="767">
                  <c:v>338130</c:v>
                </c:pt>
                <c:pt idx="768">
                  <c:v>339760</c:v>
                </c:pt>
                <c:pt idx="769">
                  <c:v>340600</c:v>
                </c:pt>
                <c:pt idx="770">
                  <c:v>340570</c:v>
                </c:pt>
                <c:pt idx="771">
                  <c:v>341750</c:v>
                </c:pt>
                <c:pt idx="772">
                  <c:v>342020</c:v>
                </c:pt>
                <c:pt idx="773">
                  <c:v>331580</c:v>
                </c:pt>
                <c:pt idx="774">
                  <c:v>332120</c:v>
                </c:pt>
                <c:pt idx="775">
                  <c:v>331720</c:v>
                </c:pt>
                <c:pt idx="776">
                  <c:v>331490</c:v>
                </c:pt>
                <c:pt idx="777">
                  <c:v>328560</c:v>
                </c:pt>
                <c:pt idx="778">
                  <c:v>326950</c:v>
                </c:pt>
                <c:pt idx="779">
                  <c:v>323940</c:v>
                </c:pt>
                <c:pt idx="780">
                  <c:v>322530</c:v>
                </c:pt>
                <c:pt idx="781">
                  <c:v>322050</c:v>
                </c:pt>
                <c:pt idx="782">
                  <c:v>320980</c:v>
                </c:pt>
                <c:pt idx="783">
                  <c:v>321540</c:v>
                </c:pt>
                <c:pt idx="784">
                  <c:v>321500</c:v>
                </c:pt>
                <c:pt idx="785">
                  <c:v>320680</c:v>
                </c:pt>
                <c:pt idx="786">
                  <c:v>321890</c:v>
                </c:pt>
                <c:pt idx="787">
                  <c:v>324290</c:v>
                </c:pt>
                <c:pt idx="788">
                  <c:v>325020</c:v>
                </c:pt>
                <c:pt idx="789">
                  <c:v>324780</c:v>
                </c:pt>
                <c:pt idx="790">
                  <c:v>325030</c:v>
                </c:pt>
                <c:pt idx="791">
                  <c:v>324570</c:v>
                </c:pt>
                <c:pt idx="792">
                  <c:v>322760</c:v>
                </c:pt>
                <c:pt idx="793">
                  <c:v>331540</c:v>
                </c:pt>
                <c:pt idx="794">
                  <c:v>332750</c:v>
                </c:pt>
                <c:pt idx="795">
                  <c:v>334230</c:v>
                </c:pt>
                <c:pt idx="796">
                  <c:v>335410</c:v>
                </c:pt>
                <c:pt idx="797">
                  <c:v>334100</c:v>
                </c:pt>
                <c:pt idx="798">
                  <c:v>333810</c:v>
                </c:pt>
                <c:pt idx="799">
                  <c:v>329850</c:v>
                </c:pt>
                <c:pt idx="800">
                  <c:v>333220</c:v>
                </c:pt>
                <c:pt idx="801">
                  <c:v>340380</c:v>
                </c:pt>
                <c:pt idx="802">
                  <c:v>339880</c:v>
                </c:pt>
                <c:pt idx="803">
                  <c:v>340130</c:v>
                </c:pt>
                <c:pt idx="804">
                  <c:v>340110</c:v>
                </c:pt>
                <c:pt idx="805">
                  <c:v>341060</c:v>
                </c:pt>
                <c:pt idx="806">
                  <c:v>340500</c:v>
                </c:pt>
                <c:pt idx="807">
                  <c:v>345260</c:v>
                </c:pt>
                <c:pt idx="808">
                  <c:v>344710</c:v>
                </c:pt>
                <c:pt idx="809">
                  <c:v>349210</c:v>
                </c:pt>
                <c:pt idx="810">
                  <c:v>347750</c:v>
                </c:pt>
                <c:pt idx="811">
                  <c:v>346970</c:v>
                </c:pt>
                <c:pt idx="812">
                  <c:v>348300</c:v>
                </c:pt>
                <c:pt idx="813">
                  <c:v>351990</c:v>
                </c:pt>
                <c:pt idx="814">
                  <c:v>352040</c:v>
                </c:pt>
                <c:pt idx="815">
                  <c:v>352070</c:v>
                </c:pt>
                <c:pt idx="816">
                  <c:v>351780</c:v>
                </c:pt>
                <c:pt idx="817">
                  <c:v>351500</c:v>
                </c:pt>
                <c:pt idx="818">
                  <c:v>354400</c:v>
                </c:pt>
                <c:pt idx="819">
                  <c:v>354900</c:v>
                </c:pt>
                <c:pt idx="820">
                  <c:v>354000</c:v>
                </c:pt>
                <c:pt idx="821">
                  <c:v>353330</c:v>
                </c:pt>
                <c:pt idx="822">
                  <c:v>353700</c:v>
                </c:pt>
                <c:pt idx="823">
                  <c:v>353750</c:v>
                </c:pt>
                <c:pt idx="824">
                  <c:v>352970</c:v>
                </c:pt>
                <c:pt idx="825">
                  <c:v>353520</c:v>
                </c:pt>
                <c:pt idx="826">
                  <c:v>354280</c:v>
                </c:pt>
                <c:pt idx="827">
                  <c:v>354250</c:v>
                </c:pt>
                <c:pt idx="828">
                  <c:v>353990</c:v>
                </c:pt>
                <c:pt idx="829">
                  <c:v>354100</c:v>
                </c:pt>
                <c:pt idx="830">
                  <c:v>353200</c:v>
                </c:pt>
                <c:pt idx="831">
                  <c:v>351570</c:v>
                </c:pt>
                <c:pt idx="832">
                  <c:v>346020</c:v>
                </c:pt>
                <c:pt idx="833">
                  <c:v>348720</c:v>
                </c:pt>
                <c:pt idx="834">
                  <c:v>346650</c:v>
                </c:pt>
                <c:pt idx="835">
                  <c:v>346370</c:v>
                </c:pt>
                <c:pt idx="836">
                  <c:v>347230</c:v>
                </c:pt>
                <c:pt idx="837">
                  <c:v>345910</c:v>
                </c:pt>
                <c:pt idx="838">
                  <c:v>346620</c:v>
                </c:pt>
                <c:pt idx="839">
                  <c:v>346690</c:v>
                </c:pt>
                <c:pt idx="840">
                  <c:v>347150</c:v>
                </c:pt>
                <c:pt idx="841">
                  <c:v>347210</c:v>
                </c:pt>
                <c:pt idx="842">
                  <c:v>337920</c:v>
                </c:pt>
                <c:pt idx="843">
                  <c:v>335670</c:v>
                </c:pt>
                <c:pt idx="844">
                  <c:v>333920</c:v>
                </c:pt>
                <c:pt idx="845">
                  <c:v>340010</c:v>
                </c:pt>
                <c:pt idx="846">
                  <c:v>332170</c:v>
                </c:pt>
                <c:pt idx="847">
                  <c:v>337980</c:v>
                </c:pt>
                <c:pt idx="848">
                  <c:v>334730</c:v>
                </c:pt>
                <c:pt idx="849">
                  <c:v>338130</c:v>
                </c:pt>
                <c:pt idx="850">
                  <c:v>339210</c:v>
                </c:pt>
                <c:pt idx="851">
                  <c:v>333830</c:v>
                </c:pt>
                <c:pt idx="852">
                  <c:v>333930</c:v>
                </c:pt>
                <c:pt idx="853">
                  <c:v>334420</c:v>
                </c:pt>
                <c:pt idx="854">
                  <c:v>334480</c:v>
                </c:pt>
                <c:pt idx="855">
                  <c:v>335210</c:v>
                </c:pt>
                <c:pt idx="856">
                  <c:v>333840</c:v>
                </c:pt>
                <c:pt idx="857">
                  <c:v>330500</c:v>
                </c:pt>
                <c:pt idx="858">
                  <c:v>329060</c:v>
                </c:pt>
                <c:pt idx="859">
                  <c:v>329990</c:v>
                </c:pt>
                <c:pt idx="860">
                  <c:v>331090</c:v>
                </c:pt>
                <c:pt idx="861">
                  <c:v>333630</c:v>
                </c:pt>
                <c:pt idx="862">
                  <c:v>332480</c:v>
                </c:pt>
                <c:pt idx="863">
                  <c:v>332480</c:v>
                </c:pt>
                <c:pt idx="864">
                  <c:v>332740</c:v>
                </c:pt>
                <c:pt idx="865">
                  <c:v>331820</c:v>
                </c:pt>
                <c:pt idx="866">
                  <c:v>331470</c:v>
                </c:pt>
                <c:pt idx="867">
                  <c:v>328540</c:v>
                </c:pt>
                <c:pt idx="868">
                  <c:v>328370</c:v>
                </c:pt>
                <c:pt idx="869">
                  <c:v>331980</c:v>
                </c:pt>
                <c:pt idx="870">
                  <c:v>333790</c:v>
                </c:pt>
                <c:pt idx="871">
                  <c:v>338770</c:v>
                </c:pt>
                <c:pt idx="872">
                  <c:v>344080</c:v>
                </c:pt>
                <c:pt idx="873">
                  <c:v>347070</c:v>
                </c:pt>
                <c:pt idx="874">
                  <c:v>344470</c:v>
                </c:pt>
                <c:pt idx="875">
                  <c:v>343970</c:v>
                </c:pt>
                <c:pt idx="876">
                  <c:v>342260</c:v>
                </c:pt>
                <c:pt idx="877">
                  <c:v>342810</c:v>
                </c:pt>
                <c:pt idx="878">
                  <c:v>343640</c:v>
                </c:pt>
                <c:pt idx="879">
                  <c:v>348100</c:v>
                </c:pt>
                <c:pt idx="880">
                  <c:v>349630</c:v>
                </c:pt>
                <c:pt idx="881">
                  <c:v>348680</c:v>
                </c:pt>
                <c:pt idx="882">
                  <c:v>352430</c:v>
                </c:pt>
                <c:pt idx="883">
                  <c:v>352640</c:v>
                </c:pt>
                <c:pt idx="884">
                  <c:v>351730</c:v>
                </c:pt>
                <c:pt idx="885">
                  <c:v>351630</c:v>
                </c:pt>
                <c:pt idx="886">
                  <c:v>347070</c:v>
                </c:pt>
                <c:pt idx="887">
                  <c:v>337740</c:v>
                </c:pt>
                <c:pt idx="888">
                  <c:v>338990</c:v>
                </c:pt>
                <c:pt idx="889">
                  <c:v>340270</c:v>
                </c:pt>
                <c:pt idx="890">
                  <c:v>338810</c:v>
                </c:pt>
                <c:pt idx="891">
                  <c:v>336280</c:v>
                </c:pt>
                <c:pt idx="892">
                  <c:v>337090</c:v>
                </c:pt>
                <c:pt idx="893">
                  <c:v>332320</c:v>
                </c:pt>
                <c:pt idx="894">
                  <c:v>330990</c:v>
                </c:pt>
                <c:pt idx="895">
                  <c:v>333740</c:v>
                </c:pt>
                <c:pt idx="896">
                  <c:v>328890</c:v>
                </c:pt>
                <c:pt idx="897">
                  <c:v>329430</c:v>
                </c:pt>
                <c:pt idx="898">
                  <c:v>335120</c:v>
                </c:pt>
                <c:pt idx="899">
                  <c:v>337910</c:v>
                </c:pt>
                <c:pt idx="900">
                  <c:v>338300</c:v>
                </c:pt>
                <c:pt idx="901">
                  <c:v>334740</c:v>
                </c:pt>
                <c:pt idx="902">
                  <c:v>334680</c:v>
                </c:pt>
                <c:pt idx="903">
                  <c:v>340440</c:v>
                </c:pt>
                <c:pt idx="904">
                  <c:v>342540</c:v>
                </c:pt>
                <c:pt idx="905">
                  <c:v>341260</c:v>
                </c:pt>
                <c:pt idx="906">
                  <c:v>340440</c:v>
                </c:pt>
                <c:pt idx="907">
                  <c:v>345650</c:v>
                </c:pt>
                <c:pt idx="908">
                  <c:v>346790</c:v>
                </c:pt>
                <c:pt idx="909">
                  <c:v>347830</c:v>
                </c:pt>
                <c:pt idx="910">
                  <c:v>345750</c:v>
                </c:pt>
                <c:pt idx="911">
                  <c:v>345460</c:v>
                </c:pt>
                <c:pt idx="912">
                  <c:v>345030</c:v>
                </c:pt>
                <c:pt idx="913">
                  <c:v>345030</c:v>
                </c:pt>
                <c:pt idx="914">
                  <c:v>344980</c:v>
                </c:pt>
                <c:pt idx="915">
                  <c:v>344210</c:v>
                </c:pt>
                <c:pt idx="916">
                  <c:v>344100</c:v>
                </c:pt>
                <c:pt idx="917">
                  <c:v>340400</c:v>
                </c:pt>
                <c:pt idx="918">
                  <c:v>334070</c:v>
                </c:pt>
                <c:pt idx="919">
                  <c:v>333930</c:v>
                </c:pt>
                <c:pt idx="920">
                  <c:v>334080</c:v>
                </c:pt>
                <c:pt idx="921">
                  <c:v>339480</c:v>
                </c:pt>
                <c:pt idx="922">
                  <c:v>337730</c:v>
                </c:pt>
                <c:pt idx="923">
                  <c:v>336850</c:v>
                </c:pt>
                <c:pt idx="924">
                  <c:v>336530</c:v>
                </c:pt>
                <c:pt idx="925">
                  <c:v>334220</c:v>
                </c:pt>
                <c:pt idx="926">
                  <c:v>336010</c:v>
                </c:pt>
                <c:pt idx="927">
                  <c:v>336460</c:v>
                </c:pt>
                <c:pt idx="928">
                  <c:v>341670</c:v>
                </c:pt>
                <c:pt idx="929">
                  <c:v>341620</c:v>
                </c:pt>
                <c:pt idx="930">
                  <c:v>341880</c:v>
                </c:pt>
                <c:pt idx="931">
                  <c:v>340580</c:v>
                </c:pt>
                <c:pt idx="932">
                  <c:v>340210</c:v>
                </c:pt>
                <c:pt idx="933">
                  <c:v>338070</c:v>
                </c:pt>
                <c:pt idx="934">
                  <c:v>335880</c:v>
                </c:pt>
                <c:pt idx="935">
                  <c:v>335770</c:v>
                </c:pt>
                <c:pt idx="936">
                  <c:v>333930</c:v>
                </c:pt>
                <c:pt idx="937">
                  <c:v>336260</c:v>
                </c:pt>
                <c:pt idx="938">
                  <c:v>342490</c:v>
                </c:pt>
                <c:pt idx="939">
                  <c:v>340120</c:v>
                </c:pt>
                <c:pt idx="940">
                  <c:v>339610</c:v>
                </c:pt>
                <c:pt idx="941">
                  <c:v>339550</c:v>
                </c:pt>
                <c:pt idx="942">
                  <c:v>339270</c:v>
                </c:pt>
                <c:pt idx="943">
                  <c:v>338900</c:v>
                </c:pt>
                <c:pt idx="944">
                  <c:v>341090</c:v>
                </c:pt>
                <c:pt idx="945">
                  <c:v>339580</c:v>
                </c:pt>
                <c:pt idx="946">
                  <c:v>341070</c:v>
                </c:pt>
                <c:pt idx="947">
                  <c:v>341060</c:v>
                </c:pt>
                <c:pt idx="948">
                  <c:v>342730</c:v>
                </c:pt>
                <c:pt idx="949">
                  <c:v>339740</c:v>
                </c:pt>
                <c:pt idx="950">
                  <c:v>328900</c:v>
                </c:pt>
                <c:pt idx="951">
                  <c:v>331270</c:v>
                </c:pt>
                <c:pt idx="952">
                  <c:v>331400</c:v>
                </c:pt>
                <c:pt idx="953">
                  <c:v>348980</c:v>
                </c:pt>
                <c:pt idx="954">
                  <c:v>352720</c:v>
                </c:pt>
                <c:pt idx="955">
                  <c:v>355490</c:v>
                </c:pt>
                <c:pt idx="956">
                  <c:v>354030</c:v>
                </c:pt>
                <c:pt idx="957">
                  <c:v>354170</c:v>
                </c:pt>
                <c:pt idx="958">
                  <c:v>354820</c:v>
                </c:pt>
                <c:pt idx="959">
                  <c:v>356740</c:v>
                </c:pt>
                <c:pt idx="960">
                  <c:v>351000</c:v>
                </c:pt>
                <c:pt idx="961">
                  <c:v>347820</c:v>
                </c:pt>
                <c:pt idx="962">
                  <c:v>346000</c:v>
                </c:pt>
                <c:pt idx="963">
                  <c:v>345710</c:v>
                </c:pt>
                <c:pt idx="964">
                  <c:v>347030</c:v>
                </c:pt>
                <c:pt idx="965">
                  <c:v>348120</c:v>
                </c:pt>
                <c:pt idx="966">
                  <c:v>350050</c:v>
                </c:pt>
                <c:pt idx="967">
                  <c:v>349840</c:v>
                </c:pt>
                <c:pt idx="968">
                  <c:v>351280</c:v>
                </c:pt>
                <c:pt idx="969">
                  <c:v>351590</c:v>
                </c:pt>
                <c:pt idx="970">
                  <c:v>351320</c:v>
                </c:pt>
                <c:pt idx="971">
                  <c:v>351270</c:v>
                </c:pt>
                <c:pt idx="972">
                  <c:v>351170</c:v>
                </c:pt>
                <c:pt idx="973">
                  <c:v>351010</c:v>
                </c:pt>
                <c:pt idx="974">
                  <c:v>350300</c:v>
                </c:pt>
                <c:pt idx="975">
                  <c:v>350090</c:v>
                </c:pt>
                <c:pt idx="976">
                  <c:v>349720</c:v>
                </c:pt>
                <c:pt idx="977">
                  <c:v>349610</c:v>
                </c:pt>
                <c:pt idx="978">
                  <c:v>355230</c:v>
                </c:pt>
                <c:pt idx="979">
                  <c:v>354450</c:v>
                </c:pt>
                <c:pt idx="980">
                  <c:v>354580</c:v>
                </c:pt>
                <c:pt idx="981">
                  <c:v>355810</c:v>
                </c:pt>
                <c:pt idx="982">
                  <c:v>354310</c:v>
                </c:pt>
                <c:pt idx="983">
                  <c:v>353710</c:v>
                </c:pt>
                <c:pt idx="984">
                  <c:v>354360</c:v>
                </c:pt>
                <c:pt idx="985">
                  <c:v>351990</c:v>
                </c:pt>
                <c:pt idx="986">
                  <c:v>355400</c:v>
                </c:pt>
                <c:pt idx="987">
                  <c:v>348420</c:v>
                </c:pt>
                <c:pt idx="988">
                  <c:v>348550</c:v>
                </c:pt>
                <c:pt idx="989">
                  <c:v>343510</c:v>
                </c:pt>
                <c:pt idx="990">
                  <c:v>348430</c:v>
                </c:pt>
                <c:pt idx="991">
                  <c:v>345530</c:v>
                </c:pt>
                <c:pt idx="992">
                  <c:v>352010</c:v>
                </c:pt>
                <c:pt idx="993">
                  <c:v>348230</c:v>
                </c:pt>
                <c:pt idx="994">
                  <c:v>350140</c:v>
                </c:pt>
                <c:pt idx="995">
                  <c:v>345760</c:v>
                </c:pt>
                <c:pt idx="996">
                  <c:v>345390</c:v>
                </c:pt>
                <c:pt idx="997">
                  <c:v>343850</c:v>
                </c:pt>
                <c:pt idx="998">
                  <c:v>345900</c:v>
                </c:pt>
                <c:pt idx="999">
                  <c:v>351330</c:v>
                </c:pt>
                <c:pt idx="1000">
                  <c:v>349720</c:v>
                </c:pt>
                <c:pt idx="1001">
                  <c:v>351790</c:v>
                </c:pt>
                <c:pt idx="1002">
                  <c:v>349660</c:v>
                </c:pt>
                <c:pt idx="1003">
                  <c:v>349970</c:v>
                </c:pt>
                <c:pt idx="1004">
                  <c:v>352210</c:v>
                </c:pt>
                <c:pt idx="1005">
                  <c:v>352070</c:v>
                </c:pt>
                <c:pt idx="1006">
                  <c:v>350510</c:v>
                </c:pt>
                <c:pt idx="1007">
                  <c:v>352150</c:v>
                </c:pt>
                <c:pt idx="1008">
                  <c:v>348720</c:v>
                </c:pt>
                <c:pt idx="1009">
                  <c:v>348120</c:v>
                </c:pt>
                <c:pt idx="1010">
                  <c:v>352000</c:v>
                </c:pt>
                <c:pt idx="1011">
                  <c:v>352640</c:v>
                </c:pt>
                <c:pt idx="1012">
                  <c:v>353180</c:v>
                </c:pt>
                <c:pt idx="1013">
                  <c:v>350460</c:v>
                </c:pt>
                <c:pt idx="1014">
                  <c:v>352390</c:v>
                </c:pt>
                <c:pt idx="1015">
                  <c:v>357510</c:v>
                </c:pt>
                <c:pt idx="1016">
                  <c:v>358370</c:v>
                </c:pt>
                <c:pt idx="1017">
                  <c:v>356970</c:v>
                </c:pt>
                <c:pt idx="1018">
                  <c:v>357580</c:v>
                </c:pt>
                <c:pt idx="1019">
                  <c:v>357230</c:v>
                </c:pt>
                <c:pt idx="1020">
                  <c:v>355920</c:v>
                </c:pt>
                <c:pt idx="1021">
                  <c:v>352650</c:v>
                </c:pt>
                <c:pt idx="1022">
                  <c:v>357420</c:v>
                </c:pt>
                <c:pt idx="1023">
                  <c:v>356910</c:v>
                </c:pt>
                <c:pt idx="1024">
                  <c:v>350700</c:v>
                </c:pt>
                <c:pt idx="1025">
                  <c:v>350600</c:v>
                </c:pt>
                <c:pt idx="1026">
                  <c:v>347870</c:v>
                </c:pt>
                <c:pt idx="1027">
                  <c:v>347950</c:v>
                </c:pt>
                <c:pt idx="1028">
                  <c:v>349380</c:v>
                </c:pt>
                <c:pt idx="1029">
                  <c:v>346840</c:v>
                </c:pt>
                <c:pt idx="1030">
                  <c:v>345280</c:v>
                </c:pt>
                <c:pt idx="1031">
                  <c:v>344450</c:v>
                </c:pt>
                <c:pt idx="1032">
                  <c:v>342680</c:v>
                </c:pt>
                <c:pt idx="1033">
                  <c:v>343990</c:v>
                </c:pt>
                <c:pt idx="1034">
                  <c:v>344720</c:v>
                </c:pt>
                <c:pt idx="1035">
                  <c:v>342840</c:v>
                </c:pt>
                <c:pt idx="1036">
                  <c:v>344890</c:v>
                </c:pt>
                <c:pt idx="1037">
                  <c:v>339440</c:v>
                </c:pt>
                <c:pt idx="1038">
                  <c:v>339310</c:v>
                </c:pt>
                <c:pt idx="1039">
                  <c:v>335050</c:v>
                </c:pt>
                <c:pt idx="1040">
                  <c:v>334650</c:v>
                </c:pt>
                <c:pt idx="1041">
                  <c:v>331800</c:v>
                </c:pt>
                <c:pt idx="1042">
                  <c:v>325990</c:v>
                </c:pt>
                <c:pt idx="1043">
                  <c:v>323140</c:v>
                </c:pt>
                <c:pt idx="1044">
                  <c:v>321120</c:v>
                </c:pt>
                <c:pt idx="1045">
                  <c:v>321820</c:v>
                </c:pt>
                <c:pt idx="1046">
                  <c:v>324300</c:v>
                </c:pt>
                <c:pt idx="1047">
                  <c:v>321280</c:v>
                </c:pt>
                <c:pt idx="1048">
                  <c:v>322390</c:v>
                </c:pt>
                <c:pt idx="1049">
                  <c:v>319630</c:v>
                </c:pt>
                <c:pt idx="1050">
                  <c:v>319250</c:v>
                </c:pt>
                <c:pt idx="1051">
                  <c:v>318320</c:v>
                </c:pt>
                <c:pt idx="1052">
                  <c:v>317960</c:v>
                </c:pt>
                <c:pt idx="1053">
                  <c:v>320040</c:v>
                </c:pt>
                <c:pt idx="1054">
                  <c:v>329940</c:v>
                </c:pt>
                <c:pt idx="1055">
                  <c:v>332050</c:v>
                </c:pt>
                <c:pt idx="1056">
                  <c:v>333010</c:v>
                </c:pt>
                <c:pt idx="1057">
                  <c:v>333760</c:v>
                </c:pt>
                <c:pt idx="1058">
                  <c:v>336180</c:v>
                </c:pt>
                <c:pt idx="1059">
                  <c:v>336640</c:v>
                </c:pt>
                <c:pt idx="1060">
                  <c:v>335560</c:v>
                </c:pt>
                <c:pt idx="1061">
                  <c:v>335230</c:v>
                </c:pt>
                <c:pt idx="1062">
                  <c:v>335390</c:v>
                </c:pt>
                <c:pt idx="1063">
                  <c:v>334660</c:v>
                </c:pt>
                <c:pt idx="1064">
                  <c:v>335060</c:v>
                </c:pt>
                <c:pt idx="1065">
                  <c:v>335000</c:v>
                </c:pt>
                <c:pt idx="1066">
                  <c:v>335940</c:v>
                </c:pt>
                <c:pt idx="1067">
                  <c:v>334880</c:v>
                </c:pt>
                <c:pt idx="1068">
                  <c:v>332790</c:v>
                </c:pt>
                <c:pt idx="1069">
                  <c:v>332330</c:v>
                </c:pt>
                <c:pt idx="1070">
                  <c:v>330440</c:v>
                </c:pt>
                <c:pt idx="1071">
                  <c:v>331890</c:v>
                </c:pt>
                <c:pt idx="1072">
                  <c:v>335610</c:v>
                </c:pt>
                <c:pt idx="1073">
                  <c:v>340380</c:v>
                </c:pt>
                <c:pt idx="1074">
                  <c:v>348030</c:v>
                </c:pt>
                <c:pt idx="1075">
                  <c:v>356010</c:v>
                </c:pt>
                <c:pt idx="1076">
                  <c:v>364260</c:v>
                </c:pt>
                <c:pt idx="1077">
                  <c:v>363950</c:v>
                </c:pt>
                <c:pt idx="1078">
                  <c:v>365190</c:v>
                </c:pt>
                <c:pt idx="1079">
                  <c:v>360360</c:v>
                </c:pt>
                <c:pt idx="1080">
                  <c:v>356120</c:v>
                </c:pt>
                <c:pt idx="1081">
                  <c:v>363120</c:v>
                </c:pt>
                <c:pt idx="1082">
                  <c:v>358510</c:v>
                </c:pt>
                <c:pt idx="1083">
                  <c:v>362050</c:v>
                </c:pt>
                <c:pt idx="1084">
                  <c:v>360100</c:v>
                </c:pt>
                <c:pt idx="1085">
                  <c:v>364360</c:v>
                </c:pt>
                <c:pt idx="1086">
                  <c:v>363450</c:v>
                </c:pt>
                <c:pt idx="1087">
                  <c:v>363910</c:v>
                </c:pt>
                <c:pt idx="1088">
                  <c:v>363380</c:v>
                </c:pt>
                <c:pt idx="1089">
                  <c:v>369100</c:v>
                </c:pt>
                <c:pt idx="1090">
                  <c:v>369350</c:v>
                </c:pt>
                <c:pt idx="1091">
                  <c:v>368050</c:v>
                </c:pt>
                <c:pt idx="1092">
                  <c:v>363110</c:v>
                </c:pt>
                <c:pt idx="1093">
                  <c:v>363810</c:v>
                </c:pt>
                <c:pt idx="1094">
                  <c:v>366960</c:v>
                </c:pt>
                <c:pt idx="1095">
                  <c:v>369350</c:v>
                </c:pt>
                <c:pt idx="1096">
                  <c:v>370210</c:v>
                </c:pt>
                <c:pt idx="1097">
                  <c:v>367350</c:v>
                </c:pt>
                <c:pt idx="1098">
                  <c:v>365080</c:v>
                </c:pt>
                <c:pt idx="1099">
                  <c:v>365220</c:v>
                </c:pt>
                <c:pt idx="1100">
                  <c:v>362250</c:v>
                </c:pt>
                <c:pt idx="1101">
                  <c:v>362400</c:v>
                </c:pt>
                <c:pt idx="1102">
                  <c:v>367050</c:v>
                </c:pt>
                <c:pt idx="1103">
                  <c:v>365870</c:v>
                </c:pt>
                <c:pt idx="1104">
                  <c:v>365080</c:v>
                </c:pt>
                <c:pt idx="1105">
                  <c:v>368090</c:v>
                </c:pt>
                <c:pt idx="1106">
                  <c:v>368830</c:v>
                </c:pt>
                <c:pt idx="1107">
                  <c:v>371540</c:v>
                </c:pt>
                <c:pt idx="1108">
                  <c:v>369090</c:v>
                </c:pt>
                <c:pt idx="1109">
                  <c:v>367400</c:v>
                </c:pt>
                <c:pt idx="1110">
                  <c:v>369500</c:v>
                </c:pt>
                <c:pt idx="1111">
                  <c:v>365780</c:v>
                </c:pt>
                <c:pt idx="1112">
                  <c:v>363530</c:v>
                </c:pt>
                <c:pt idx="1113">
                  <c:v>366700</c:v>
                </c:pt>
                <c:pt idx="1114">
                  <c:v>369970</c:v>
                </c:pt>
                <c:pt idx="1115">
                  <c:v>372560</c:v>
                </c:pt>
                <c:pt idx="1116">
                  <c:v>371070</c:v>
                </c:pt>
                <c:pt idx="1117">
                  <c:v>371530</c:v>
                </c:pt>
                <c:pt idx="1118">
                  <c:v>370910</c:v>
                </c:pt>
                <c:pt idx="1119">
                  <c:v>370600</c:v>
                </c:pt>
                <c:pt idx="1120">
                  <c:v>370720</c:v>
                </c:pt>
                <c:pt idx="1121">
                  <c:v>371590</c:v>
                </c:pt>
                <c:pt idx="1122">
                  <c:v>371200</c:v>
                </c:pt>
                <c:pt idx="1123">
                  <c:v>371130</c:v>
                </c:pt>
                <c:pt idx="1124">
                  <c:v>369640</c:v>
                </c:pt>
                <c:pt idx="1125">
                  <c:v>372340</c:v>
                </c:pt>
                <c:pt idx="1126">
                  <c:v>371310</c:v>
                </c:pt>
                <c:pt idx="1127">
                  <c:v>371990</c:v>
                </c:pt>
                <c:pt idx="1128">
                  <c:v>370200</c:v>
                </c:pt>
                <c:pt idx="1129">
                  <c:v>369560</c:v>
                </c:pt>
                <c:pt idx="1130">
                  <c:v>370020</c:v>
                </c:pt>
                <c:pt idx="1131">
                  <c:v>367230</c:v>
                </c:pt>
                <c:pt idx="1132">
                  <c:v>362750</c:v>
                </c:pt>
                <c:pt idx="1133">
                  <c:v>370690</c:v>
                </c:pt>
                <c:pt idx="1134">
                  <c:v>370480</c:v>
                </c:pt>
                <c:pt idx="1135">
                  <c:v>371020</c:v>
                </c:pt>
                <c:pt idx="1136">
                  <c:v>366080</c:v>
                </c:pt>
                <c:pt idx="1137">
                  <c:v>366600</c:v>
                </c:pt>
                <c:pt idx="1138">
                  <c:v>364400</c:v>
                </c:pt>
                <c:pt idx="1139">
                  <c:v>364240</c:v>
                </c:pt>
                <c:pt idx="1140">
                  <c:v>368420</c:v>
                </c:pt>
                <c:pt idx="1141">
                  <c:v>366740</c:v>
                </c:pt>
                <c:pt idx="1142">
                  <c:v>366360</c:v>
                </c:pt>
                <c:pt idx="1143">
                  <c:v>366620</c:v>
                </c:pt>
                <c:pt idx="1144">
                  <c:v>368550</c:v>
                </c:pt>
                <c:pt idx="1145">
                  <c:v>368460</c:v>
                </c:pt>
                <c:pt idx="1146">
                  <c:v>368290</c:v>
                </c:pt>
                <c:pt idx="1147">
                  <c:v>367560</c:v>
                </c:pt>
                <c:pt idx="1148">
                  <c:v>367820</c:v>
                </c:pt>
                <c:pt idx="1149">
                  <c:v>366350</c:v>
                </c:pt>
                <c:pt idx="1150">
                  <c:v>366120</c:v>
                </c:pt>
                <c:pt idx="1151">
                  <c:v>363700</c:v>
                </c:pt>
                <c:pt idx="1152">
                  <c:v>363200</c:v>
                </c:pt>
                <c:pt idx="1153">
                  <c:v>363830</c:v>
                </c:pt>
                <c:pt idx="1154">
                  <c:v>363000</c:v>
                </c:pt>
                <c:pt idx="1155">
                  <c:v>362440</c:v>
                </c:pt>
                <c:pt idx="1156">
                  <c:v>358710</c:v>
                </c:pt>
                <c:pt idx="1157">
                  <c:v>364860</c:v>
                </c:pt>
                <c:pt idx="1158">
                  <c:v>366550</c:v>
                </c:pt>
                <c:pt idx="1159">
                  <c:v>367130</c:v>
                </c:pt>
                <c:pt idx="1160">
                  <c:v>367920</c:v>
                </c:pt>
                <c:pt idx="1161">
                  <c:v>367280</c:v>
                </c:pt>
                <c:pt idx="1162">
                  <c:v>367050</c:v>
                </c:pt>
                <c:pt idx="1163">
                  <c:v>368230</c:v>
                </c:pt>
                <c:pt idx="1164">
                  <c:v>368360</c:v>
                </c:pt>
                <c:pt idx="1165">
                  <c:v>369040</c:v>
                </c:pt>
                <c:pt idx="1166">
                  <c:v>369880</c:v>
                </c:pt>
                <c:pt idx="1167">
                  <c:v>368970</c:v>
                </c:pt>
                <c:pt idx="1168">
                  <c:v>372190</c:v>
                </c:pt>
                <c:pt idx="1169">
                  <c:v>367350</c:v>
                </c:pt>
                <c:pt idx="1170">
                  <c:v>367230</c:v>
                </c:pt>
                <c:pt idx="1171">
                  <c:v>364550</c:v>
                </c:pt>
                <c:pt idx="1172">
                  <c:v>365260</c:v>
                </c:pt>
                <c:pt idx="1173">
                  <c:v>367310</c:v>
                </c:pt>
                <c:pt idx="1174">
                  <c:v>369200</c:v>
                </c:pt>
                <c:pt idx="1175">
                  <c:v>372500</c:v>
                </c:pt>
                <c:pt idx="1176">
                  <c:v>373000</c:v>
                </c:pt>
                <c:pt idx="1177">
                  <c:v>373100</c:v>
                </c:pt>
                <c:pt idx="1178">
                  <c:v>373290</c:v>
                </c:pt>
                <c:pt idx="1179">
                  <c:v>373830</c:v>
                </c:pt>
                <c:pt idx="1180">
                  <c:v>372660</c:v>
                </c:pt>
                <c:pt idx="1181">
                  <c:v>374070</c:v>
                </c:pt>
                <c:pt idx="1182">
                  <c:v>373410</c:v>
                </c:pt>
                <c:pt idx="1183">
                  <c:v>372460</c:v>
                </c:pt>
                <c:pt idx="1184">
                  <c:v>372530</c:v>
                </c:pt>
                <c:pt idx="1185">
                  <c:v>376160</c:v>
                </c:pt>
                <c:pt idx="1186">
                  <c:v>376420</c:v>
                </c:pt>
                <c:pt idx="1187">
                  <c:v>380040</c:v>
                </c:pt>
                <c:pt idx="1188">
                  <c:v>381480</c:v>
                </c:pt>
                <c:pt idx="1189">
                  <c:v>381610</c:v>
                </c:pt>
                <c:pt idx="1190">
                  <c:v>381570</c:v>
                </c:pt>
                <c:pt idx="1191">
                  <c:v>381270</c:v>
                </c:pt>
                <c:pt idx="1192">
                  <c:v>381430</c:v>
                </c:pt>
                <c:pt idx="1193">
                  <c:v>383930</c:v>
                </c:pt>
                <c:pt idx="1194">
                  <c:v>387100</c:v>
                </c:pt>
                <c:pt idx="1195">
                  <c:v>386570</c:v>
                </c:pt>
                <c:pt idx="1196">
                  <c:v>386340</c:v>
                </c:pt>
                <c:pt idx="1197">
                  <c:v>385620</c:v>
                </c:pt>
                <c:pt idx="1198">
                  <c:v>384150</c:v>
                </c:pt>
                <c:pt idx="1199">
                  <c:v>382490</c:v>
                </c:pt>
                <c:pt idx="1200">
                  <c:v>382680</c:v>
                </c:pt>
                <c:pt idx="1201">
                  <c:v>383730</c:v>
                </c:pt>
                <c:pt idx="1202">
                  <c:v>383070</c:v>
                </c:pt>
                <c:pt idx="1203">
                  <c:v>383850</c:v>
                </c:pt>
                <c:pt idx="1204">
                  <c:v>381720</c:v>
                </c:pt>
                <c:pt idx="1205">
                  <c:v>381540</c:v>
                </c:pt>
                <c:pt idx="1206">
                  <c:v>381640</c:v>
                </c:pt>
                <c:pt idx="1207">
                  <c:v>381120</c:v>
                </c:pt>
                <c:pt idx="1208">
                  <c:v>381000</c:v>
                </c:pt>
                <c:pt idx="1209">
                  <c:v>380320</c:v>
                </c:pt>
                <c:pt idx="1210">
                  <c:v>379810</c:v>
                </c:pt>
                <c:pt idx="1211">
                  <c:v>381730</c:v>
                </c:pt>
                <c:pt idx="1212">
                  <c:v>396650</c:v>
                </c:pt>
                <c:pt idx="1213">
                  <c:v>396710</c:v>
                </c:pt>
                <c:pt idx="1214">
                  <c:v>396840</c:v>
                </c:pt>
                <c:pt idx="1215">
                  <c:v>396790</c:v>
                </c:pt>
                <c:pt idx="1216">
                  <c:v>398560</c:v>
                </c:pt>
                <c:pt idx="1217">
                  <c:v>400680</c:v>
                </c:pt>
                <c:pt idx="1218">
                  <c:v>401340</c:v>
                </c:pt>
                <c:pt idx="1219">
                  <c:v>396760</c:v>
                </c:pt>
                <c:pt idx="1220">
                  <c:v>396740</c:v>
                </c:pt>
                <c:pt idx="1221">
                  <c:v>406540</c:v>
                </c:pt>
                <c:pt idx="1222">
                  <c:v>406060</c:v>
                </c:pt>
                <c:pt idx="1223">
                  <c:v>403180</c:v>
                </c:pt>
                <c:pt idx="1224">
                  <c:v>401890</c:v>
                </c:pt>
                <c:pt idx="1225">
                  <c:v>399300</c:v>
                </c:pt>
                <c:pt idx="1226">
                  <c:v>393820</c:v>
                </c:pt>
                <c:pt idx="1227">
                  <c:v>393340</c:v>
                </c:pt>
                <c:pt idx="1228">
                  <c:v>400620</c:v>
                </c:pt>
                <c:pt idx="1229">
                  <c:v>401160</c:v>
                </c:pt>
                <c:pt idx="1230">
                  <c:v>400810</c:v>
                </c:pt>
                <c:pt idx="1231">
                  <c:v>400450</c:v>
                </c:pt>
                <c:pt idx="1232">
                  <c:v>395150</c:v>
                </c:pt>
                <c:pt idx="1233">
                  <c:v>395160</c:v>
                </c:pt>
                <c:pt idx="1234">
                  <c:v>396140</c:v>
                </c:pt>
                <c:pt idx="1235">
                  <c:v>402050</c:v>
                </c:pt>
                <c:pt idx="1236">
                  <c:v>402260</c:v>
                </c:pt>
                <c:pt idx="1237">
                  <c:v>405100</c:v>
                </c:pt>
                <c:pt idx="1238">
                  <c:v>403170</c:v>
                </c:pt>
                <c:pt idx="1239">
                  <c:v>405640</c:v>
                </c:pt>
                <c:pt idx="1240">
                  <c:v>399560</c:v>
                </c:pt>
                <c:pt idx="1241">
                  <c:v>399630</c:v>
                </c:pt>
                <c:pt idx="1242">
                  <c:v>399520</c:v>
                </c:pt>
                <c:pt idx="1243">
                  <c:v>399360</c:v>
                </c:pt>
                <c:pt idx="1244">
                  <c:v>401430</c:v>
                </c:pt>
                <c:pt idx="1245">
                  <c:v>401260</c:v>
                </c:pt>
                <c:pt idx="1246">
                  <c:v>402050</c:v>
                </c:pt>
                <c:pt idx="1247">
                  <c:v>399080</c:v>
                </c:pt>
                <c:pt idx="1248">
                  <c:v>398370</c:v>
                </c:pt>
                <c:pt idx="1249">
                  <c:v>398380</c:v>
                </c:pt>
                <c:pt idx="1250">
                  <c:v>398370</c:v>
                </c:pt>
                <c:pt idx="1251">
                  <c:v>398290</c:v>
                </c:pt>
                <c:pt idx="1252">
                  <c:v>397270</c:v>
                </c:pt>
                <c:pt idx="1253">
                  <c:v>396190</c:v>
                </c:pt>
                <c:pt idx="1254">
                  <c:v>397160</c:v>
                </c:pt>
                <c:pt idx="1255">
                  <c:v>393350</c:v>
                </c:pt>
                <c:pt idx="1256">
                  <c:v>392630</c:v>
                </c:pt>
                <c:pt idx="1257">
                  <c:v>392390</c:v>
                </c:pt>
                <c:pt idx="1258">
                  <c:v>390820</c:v>
                </c:pt>
                <c:pt idx="1259">
                  <c:v>391390</c:v>
                </c:pt>
                <c:pt idx="1260">
                  <c:v>388480</c:v>
                </c:pt>
                <c:pt idx="1261">
                  <c:v>389210</c:v>
                </c:pt>
                <c:pt idx="1262">
                  <c:v>389520</c:v>
                </c:pt>
                <c:pt idx="1263">
                  <c:v>388020</c:v>
                </c:pt>
                <c:pt idx="1264">
                  <c:v>389290</c:v>
                </c:pt>
                <c:pt idx="1265">
                  <c:v>389420</c:v>
                </c:pt>
                <c:pt idx="1266">
                  <c:v>391770</c:v>
                </c:pt>
                <c:pt idx="1267">
                  <c:v>390230</c:v>
                </c:pt>
                <c:pt idx="1268">
                  <c:v>391720</c:v>
                </c:pt>
                <c:pt idx="1269">
                  <c:v>404030</c:v>
                </c:pt>
                <c:pt idx="1270">
                  <c:v>403520</c:v>
                </c:pt>
                <c:pt idx="1271">
                  <c:v>403130</c:v>
                </c:pt>
                <c:pt idx="1272">
                  <c:v>403400</c:v>
                </c:pt>
                <c:pt idx="1273">
                  <c:v>402530</c:v>
                </c:pt>
                <c:pt idx="1274">
                  <c:v>401810</c:v>
                </c:pt>
                <c:pt idx="1275">
                  <c:v>412400</c:v>
                </c:pt>
                <c:pt idx="1276">
                  <c:v>426260</c:v>
                </c:pt>
                <c:pt idx="1277">
                  <c:v>435310</c:v>
                </c:pt>
                <c:pt idx="1278">
                  <c:v>444960</c:v>
                </c:pt>
                <c:pt idx="1279">
                  <c:v>449730</c:v>
                </c:pt>
                <c:pt idx="1280">
                  <c:v>450030</c:v>
                </c:pt>
                <c:pt idx="1281">
                  <c:v>447690</c:v>
                </c:pt>
                <c:pt idx="1282">
                  <c:v>447500</c:v>
                </c:pt>
                <c:pt idx="1283">
                  <c:v>445970</c:v>
                </c:pt>
                <c:pt idx="1284">
                  <c:v>445990</c:v>
                </c:pt>
                <c:pt idx="1285">
                  <c:v>446870</c:v>
                </c:pt>
                <c:pt idx="1286">
                  <c:v>448600</c:v>
                </c:pt>
                <c:pt idx="1287">
                  <c:v>448220</c:v>
                </c:pt>
                <c:pt idx="1288">
                  <c:v>448330</c:v>
                </c:pt>
                <c:pt idx="1289">
                  <c:v>447630</c:v>
                </c:pt>
                <c:pt idx="1290">
                  <c:v>447790</c:v>
                </c:pt>
                <c:pt idx="1291">
                  <c:v>447940</c:v>
                </c:pt>
                <c:pt idx="1292">
                  <c:v>447800</c:v>
                </c:pt>
                <c:pt idx="1293">
                  <c:v>448450</c:v>
                </c:pt>
                <c:pt idx="1294">
                  <c:v>448590</c:v>
                </c:pt>
                <c:pt idx="1295">
                  <c:v>446690</c:v>
                </c:pt>
                <c:pt idx="1296">
                  <c:v>444700</c:v>
                </c:pt>
                <c:pt idx="1297">
                  <c:v>444670</c:v>
                </c:pt>
                <c:pt idx="1298">
                  <c:v>445990</c:v>
                </c:pt>
                <c:pt idx="1299">
                  <c:v>445320</c:v>
                </c:pt>
                <c:pt idx="1300">
                  <c:v>445200</c:v>
                </c:pt>
                <c:pt idx="1301">
                  <c:v>445250</c:v>
                </c:pt>
                <c:pt idx="1302">
                  <c:v>444110</c:v>
                </c:pt>
                <c:pt idx="1303">
                  <c:v>444090</c:v>
                </c:pt>
                <c:pt idx="1304">
                  <c:v>444000</c:v>
                </c:pt>
                <c:pt idx="1305">
                  <c:v>443600</c:v>
                </c:pt>
                <c:pt idx="1306">
                  <c:v>443690</c:v>
                </c:pt>
                <c:pt idx="1307">
                  <c:v>447190</c:v>
                </c:pt>
                <c:pt idx="1308">
                  <c:v>447620</c:v>
                </c:pt>
                <c:pt idx="1309">
                  <c:v>448040</c:v>
                </c:pt>
                <c:pt idx="1310">
                  <c:v>448770</c:v>
                </c:pt>
                <c:pt idx="1311">
                  <c:v>447630</c:v>
                </c:pt>
                <c:pt idx="1312">
                  <c:v>448240</c:v>
                </c:pt>
                <c:pt idx="1313">
                  <c:v>452360</c:v>
                </c:pt>
                <c:pt idx="1314">
                  <c:v>455140</c:v>
                </c:pt>
                <c:pt idx="1315">
                  <c:v>458300</c:v>
                </c:pt>
                <c:pt idx="1316">
                  <c:v>462520</c:v>
                </c:pt>
                <c:pt idx="1317">
                  <c:v>467110</c:v>
                </c:pt>
                <c:pt idx="1318">
                  <c:v>465310</c:v>
                </c:pt>
                <c:pt idx="1319">
                  <c:v>464500</c:v>
                </c:pt>
                <c:pt idx="1320">
                  <c:v>467380</c:v>
                </c:pt>
                <c:pt idx="1321">
                  <c:v>470760</c:v>
                </c:pt>
                <c:pt idx="1322">
                  <c:v>470680</c:v>
                </c:pt>
                <c:pt idx="1323">
                  <c:v>471330</c:v>
                </c:pt>
                <c:pt idx="1324">
                  <c:v>471830</c:v>
                </c:pt>
                <c:pt idx="1325">
                  <c:v>470040</c:v>
                </c:pt>
                <c:pt idx="1326">
                  <c:v>470990</c:v>
                </c:pt>
                <c:pt idx="1327">
                  <c:v>480290</c:v>
                </c:pt>
                <c:pt idx="1328">
                  <c:v>479990</c:v>
                </c:pt>
                <c:pt idx="1329">
                  <c:v>481060</c:v>
                </c:pt>
                <c:pt idx="1330">
                  <c:v>475710</c:v>
                </c:pt>
                <c:pt idx="1331">
                  <c:v>476120</c:v>
                </c:pt>
                <c:pt idx="1332">
                  <c:v>472390</c:v>
                </c:pt>
                <c:pt idx="1333">
                  <c:v>471790</c:v>
                </c:pt>
                <c:pt idx="1334">
                  <c:v>476530</c:v>
                </c:pt>
                <c:pt idx="1335">
                  <c:v>477780</c:v>
                </c:pt>
                <c:pt idx="1336">
                  <c:v>483420</c:v>
                </c:pt>
                <c:pt idx="1337">
                  <c:v>482090</c:v>
                </c:pt>
                <c:pt idx="1338">
                  <c:v>483060</c:v>
                </c:pt>
                <c:pt idx="1339">
                  <c:v>483360</c:v>
                </c:pt>
                <c:pt idx="1340">
                  <c:v>481370</c:v>
                </c:pt>
                <c:pt idx="1341">
                  <c:v>478260</c:v>
                </c:pt>
                <c:pt idx="1342">
                  <c:v>479050</c:v>
                </c:pt>
                <c:pt idx="1343">
                  <c:v>479050</c:v>
                </c:pt>
                <c:pt idx="1344">
                  <c:v>477880</c:v>
                </c:pt>
                <c:pt idx="1345">
                  <c:v>477880</c:v>
                </c:pt>
                <c:pt idx="1346">
                  <c:v>479380</c:v>
                </c:pt>
                <c:pt idx="1347">
                  <c:v>475680</c:v>
                </c:pt>
                <c:pt idx="1348">
                  <c:v>473330</c:v>
                </c:pt>
                <c:pt idx="1349">
                  <c:v>480230</c:v>
                </c:pt>
                <c:pt idx="1350">
                  <c:v>478820</c:v>
                </c:pt>
                <c:pt idx="1351">
                  <c:v>478260</c:v>
                </c:pt>
                <c:pt idx="1352">
                  <c:v>478810</c:v>
                </c:pt>
                <c:pt idx="1353">
                  <c:v>478050</c:v>
                </c:pt>
                <c:pt idx="1354">
                  <c:v>478240</c:v>
                </c:pt>
                <c:pt idx="1355">
                  <c:v>477380</c:v>
                </c:pt>
                <c:pt idx="1356">
                  <c:v>477320</c:v>
                </c:pt>
                <c:pt idx="1357">
                  <c:v>477320</c:v>
                </c:pt>
                <c:pt idx="1358">
                  <c:v>477270</c:v>
                </c:pt>
                <c:pt idx="1359">
                  <c:v>477630</c:v>
                </c:pt>
                <c:pt idx="1360">
                  <c:v>477240</c:v>
                </c:pt>
                <c:pt idx="1361">
                  <c:v>479330</c:v>
                </c:pt>
                <c:pt idx="1362">
                  <c:v>482540</c:v>
                </c:pt>
                <c:pt idx="1363">
                  <c:v>480720</c:v>
                </c:pt>
                <c:pt idx="1364">
                  <c:v>480350</c:v>
                </c:pt>
                <c:pt idx="1365">
                  <c:v>482400</c:v>
                </c:pt>
                <c:pt idx="1366">
                  <c:v>475140</c:v>
                </c:pt>
                <c:pt idx="1367">
                  <c:v>478910</c:v>
                </c:pt>
                <c:pt idx="1368">
                  <c:v>479460</c:v>
                </c:pt>
                <c:pt idx="1369">
                  <c:v>481690</c:v>
                </c:pt>
                <c:pt idx="1370">
                  <c:v>481240</c:v>
                </c:pt>
                <c:pt idx="1371">
                  <c:v>481130</c:v>
                </c:pt>
                <c:pt idx="1372">
                  <c:v>479730</c:v>
                </c:pt>
                <c:pt idx="1373">
                  <c:v>479570</c:v>
                </c:pt>
                <c:pt idx="1374">
                  <c:v>480420</c:v>
                </c:pt>
                <c:pt idx="1375">
                  <c:v>478820</c:v>
                </c:pt>
                <c:pt idx="1376">
                  <c:v>479350</c:v>
                </c:pt>
                <c:pt idx="1377">
                  <c:v>478870</c:v>
                </c:pt>
                <c:pt idx="1378">
                  <c:v>480000</c:v>
                </c:pt>
                <c:pt idx="1379">
                  <c:v>487340</c:v>
                </c:pt>
                <c:pt idx="1380">
                  <c:v>487260</c:v>
                </c:pt>
                <c:pt idx="1381">
                  <c:v>487210</c:v>
                </c:pt>
                <c:pt idx="1382">
                  <c:v>486260</c:v>
                </c:pt>
                <c:pt idx="1383">
                  <c:v>486210</c:v>
                </c:pt>
                <c:pt idx="1384">
                  <c:v>486070</c:v>
                </c:pt>
                <c:pt idx="1385">
                  <c:v>486190</c:v>
                </c:pt>
                <c:pt idx="1386">
                  <c:v>488620</c:v>
                </c:pt>
                <c:pt idx="1387">
                  <c:v>486170</c:v>
                </c:pt>
                <c:pt idx="1388">
                  <c:v>484700</c:v>
                </c:pt>
                <c:pt idx="1389">
                  <c:v>483700</c:v>
                </c:pt>
                <c:pt idx="1390">
                  <c:v>485460</c:v>
                </c:pt>
                <c:pt idx="1391">
                  <c:v>492220</c:v>
                </c:pt>
                <c:pt idx="1392">
                  <c:v>494910</c:v>
                </c:pt>
                <c:pt idx="1393">
                  <c:v>493420</c:v>
                </c:pt>
                <c:pt idx="1394">
                  <c:v>498190</c:v>
                </c:pt>
                <c:pt idx="1395">
                  <c:v>505660</c:v>
                </c:pt>
                <c:pt idx="1396">
                  <c:v>506040</c:v>
                </c:pt>
                <c:pt idx="1397">
                  <c:v>505810</c:v>
                </c:pt>
                <c:pt idx="1398">
                  <c:v>505410</c:v>
                </c:pt>
                <c:pt idx="1399">
                  <c:v>506560</c:v>
                </c:pt>
                <c:pt idx="1400">
                  <c:v>505700</c:v>
                </c:pt>
                <c:pt idx="1401">
                  <c:v>505980</c:v>
                </c:pt>
                <c:pt idx="1402">
                  <c:v>506920</c:v>
                </c:pt>
                <c:pt idx="1403">
                  <c:v>503010</c:v>
                </c:pt>
                <c:pt idx="1404">
                  <c:v>501290</c:v>
                </c:pt>
                <c:pt idx="1405">
                  <c:v>503840</c:v>
                </c:pt>
                <c:pt idx="1406">
                  <c:v>502610</c:v>
                </c:pt>
                <c:pt idx="1407">
                  <c:v>502840</c:v>
                </c:pt>
                <c:pt idx="1408">
                  <c:v>503810</c:v>
                </c:pt>
                <c:pt idx="1409">
                  <c:v>505620</c:v>
                </c:pt>
                <c:pt idx="1410">
                  <c:v>505580</c:v>
                </c:pt>
                <c:pt idx="1411">
                  <c:v>502680</c:v>
                </c:pt>
                <c:pt idx="1412">
                  <c:v>502900</c:v>
                </c:pt>
                <c:pt idx="1413">
                  <c:v>503840</c:v>
                </c:pt>
                <c:pt idx="1414">
                  <c:v>498890</c:v>
                </c:pt>
                <c:pt idx="1415">
                  <c:v>498790</c:v>
                </c:pt>
                <c:pt idx="1416">
                  <c:v>498440</c:v>
                </c:pt>
                <c:pt idx="1417">
                  <c:v>502150</c:v>
                </c:pt>
                <c:pt idx="1418">
                  <c:v>502740</c:v>
                </c:pt>
                <c:pt idx="1419">
                  <c:v>503540</c:v>
                </c:pt>
                <c:pt idx="1420">
                  <c:v>504250</c:v>
                </c:pt>
                <c:pt idx="1421">
                  <c:v>504660</c:v>
                </c:pt>
                <c:pt idx="1422">
                  <c:v>504330</c:v>
                </c:pt>
                <c:pt idx="1423">
                  <c:v>502100</c:v>
                </c:pt>
                <c:pt idx="1424">
                  <c:v>502470</c:v>
                </c:pt>
                <c:pt idx="1425">
                  <c:v>505270</c:v>
                </c:pt>
                <c:pt idx="1426">
                  <c:v>502060</c:v>
                </c:pt>
                <c:pt idx="1427">
                  <c:v>500270</c:v>
                </c:pt>
                <c:pt idx="1428">
                  <c:v>500290</c:v>
                </c:pt>
                <c:pt idx="1429">
                  <c:v>493990</c:v>
                </c:pt>
                <c:pt idx="1430">
                  <c:v>491850</c:v>
                </c:pt>
                <c:pt idx="1431">
                  <c:v>494220</c:v>
                </c:pt>
                <c:pt idx="1432">
                  <c:v>491250</c:v>
                </c:pt>
                <c:pt idx="1433">
                  <c:v>492000</c:v>
                </c:pt>
                <c:pt idx="1434">
                  <c:v>497350</c:v>
                </c:pt>
                <c:pt idx="1435">
                  <c:v>496860</c:v>
                </c:pt>
                <c:pt idx="1436">
                  <c:v>496250</c:v>
                </c:pt>
                <c:pt idx="1437">
                  <c:v>496450</c:v>
                </c:pt>
                <c:pt idx="1438">
                  <c:v>498880</c:v>
                </c:pt>
                <c:pt idx="1439">
                  <c:v>500210</c:v>
                </c:pt>
                <c:pt idx="1440">
                  <c:v>498140</c:v>
                </c:pt>
                <c:pt idx="1441">
                  <c:v>502870</c:v>
                </c:pt>
                <c:pt idx="1442">
                  <c:v>502810</c:v>
                </c:pt>
                <c:pt idx="1443">
                  <c:v>501930</c:v>
                </c:pt>
                <c:pt idx="1444">
                  <c:v>500820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1445"/>
                <c:pt idx="0">
                  <c:v>50000</c:v>
                </c:pt>
                <c:pt idx="1">
                  <c:v>55500</c:v>
                </c:pt>
                <c:pt idx="2">
                  <c:v>52125</c:v>
                </c:pt>
                <c:pt idx="3">
                  <c:v>40250</c:v>
                </c:pt>
                <c:pt idx="4">
                  <c:v>40125</c:v>
                </c:pt>
                <c:pt idx="5">
                  <c:v>53125</c:v>
                </c:pt>
                <c:pt idx="6">
                  <c:v>67125</c:v>
                </c:pt>
                <c:pt idx="7">
                  <c:v>67750</c:v>
                </c:pt>
                <c:pt idx="8">
                  <c:v>62875</c:v>
                </c:pt>
                <c:pt idx="9">
                  <c:v>50750</c:v>
                </c:pt>
                <c:pt idx="10">
                  <c:v>35750</c:v>
                </c:pt>
                <c:pt idx="11">
                  <c:v>25375</c:v>
                </c:pt>
                <c:pt idx="12">
                  <c:v>21625</c:v>
                </c:pt>
                <c:pt idx="13">
                  <c:v>24625</c:v>
                </c:pt>
                <c:pt idx="14">
                  <c:v>25500</c:v>
                </c:pt>
                <c:pt idx="15">
                  <c:v>11750</c:v>
                </c:pt>
                <c:pt idx="16">
                  <c:v>13375</c:v>
                </c:pt>
                <c:pt idx="17">
                  <c:v>11375</c:v>
                </c:pt>
                <c:pt idx="18">
                  <c:v>4000</c:v>
                </c:pt>
                <c:pt idx="19">
                  <c:v>13375</c:v>
                </c:pt>
                <c:pt idx="20">
                  <c:v>21250</c:v>
                </c:pt>
                <c:pt idx="21">
                  <c:v>-18250</c:v>
                </c:pt>
                <c:pt idx="22">
                  <c:v>-2375</c:v>
                </c:pt>
                <c:pt idx="23">
                  <c:v>14000</c:v>
                </c:pt>
                <c:pt idx="24">
                  <c:v>-875</c:v>
                </c:pt>
                <c:pt idx="25">
                  <c:v>-2250</c:v>
                </c:pt>
                <c:pt idx="26">
                  <c:v>5750</c:v>
                </c:pt>
                <c:pt idx="27">
                  <c:v>11375</c:v>
                </c:pt>
                <c:pt idx="28">
                  <c:v>28000</c:v>
                </c:pt>
                <c:pt idx="29">
                  <c:v>38875</c:v>
                </c:pt>
                <c:pt idx="30">
                  <c:v>39125</c:v>
                </c:pt>
                <c:pt idx="31">
                  <c:v>41250</c:v>
                </c:pt>
                <c:pt idx="32">
                  <c:v>42250</c:v>
                </c:pt>
                <c:pt idx="33">
                  <c:v>46000</c:v>
                </c:pt>
                <c:pt idx="34">
                  <c:v>40875</c:v>
                </c:pt>
                <c:pt idx="35">
                  <c:v>35000</c:v>
                </c:pt>
                <c:pt idx="36">
                  <c:v>37500</c:v>
                </c:pt>
                <c:pt idx="37">
                  <c:v>34375</c:v>
                </c:pt>
                <c:pt idx="38">
                  <c:v>38750</c:v>
                </c:pt>
                <c:pt idx="39">
                  <c:v>39750</c:v>
                </c:pt>
                <c:pt idx="40">
                  <c:v>36375</c:v>
                </c:pt>
                <c:pt idx="41">
                  <c:v>26750</c:v>
                </c:pt>
                <c:pt idx="42">
                  <c:v>34750</c:v>
                </c:pt>
                <c:pt idx="43">
                  <c:v>48500</c:v>
                </c:pt>
                <c:pt idx="44">
                  <c:v>47875</c:v>
                </c:pt>
                <c:pt idx="45">
                  <c:v>39875</c:v>
                </c:pt>
                <c:pt idx="46">
                  <c:v>44000</c:v>
                </c:pt>
                <c:pt idx="47">
                  <c:v>33750</c:v>
                </c:pt>
                <c:pt idx="48">
                  <c:v>33875</c:v>
                </c:pt>
                <c:pt idx="49">
                  <c:v>34500</c:v>
                </c:pt>
                <c:pt idx="50">
                  <c:v>47250</c:v>
                </c:pt>
                <c:pt idx="51">
                  <c:v>46625</c:v>
                </c:pt>
                <c:pt idx="52">
                  <c:v>47000</c:v>
                </c:pt>
                <c:pt idx="53">
                  <c:v>51375</c:v>
                </c:pt>
                <c:pt idx="54">
                  <c:v>52250</c:v>
                </c:pt>
                <c:pt idx="55">
                  <c:v>45000</c:v>
                </c:pt>
                <c:pt idx="56">
                  <c:v>50875</c:v>
                </c:pt>
                <c:pt idx="57">
                  <c:v>53500</c:v>
                </c:pt>
                <c:pt idx="58">
                  <c:v>59250</c:v>
                </c:pt>
                <c:pt idx="59">
                  <c:v>60625</c:v>
                </c:pt>
                <c:pt idx="60">
                  <c:v>60875</c:v>
                </c:pt>
                <c:pt idx="61">
                  <c:v>70125</c:v>
                </c:pt>
                <c:pt idx="62">
                  <c:v>74125</c:v>
                </c:pt>
                <c:pt idx="63">
                  <c:v>76625</c:v>
                </c:pt>
                <c:pt idx="64">
                  <c:v>75250</c:v>
                </c:pt>
                <c:pt idx="65">
                  <c:v>63750</c:v>
                </c:pt>
                <c:pt idx="66">
                  <c:v>70250</c:v>
                </c:pt>
                <c:pt idx="67">
                  <c:v>69250</c:v>
                </c:pt>
                <c:pt idx="68">
                  <c:v>63000</c:v>
                </c:pt>
                <c:pt idx="69">
                  <c:v>56500</c:v>
                </c:pt>
                <c:pt idx="70">
                  <c:v>59500</c:v>
                </c:pt>
                <c:pt idx="71">
                  <c:v>61375</c:v>
                </c:pt>
                <c:pt idx="72">
                  <c:v>51875</c:v>
                </c:pt>
                <c:pt idx="73">
                  <c:v>51375</c:v>
                </c:pt>
                <c:pt idx="74">
                  <c:v>40125</c:v>
                </c:pt>
                <c:pt idx="75">
                  <c:v>35125</c:v>
                </c:pt>
                <c:pt idx="76">
                  <c:v>32375</c:v>
                </c:pt>
                <c:pt idx="77">
                  <c:v>34000</c:v>
                </c:pt>
                <c:pt idx="78">
                  <c:v>33500</c:v>
                </c:pt>
                <c:pt idx="79">
                  <c:v>15500</c:v>
                </c:pt>
                <c:pt idx="80">
                  <c:v>10875</c:v>
                </c:pt>
                <c:pt idx="81">
                  <c:v>13500</c:v>
                </c:pt>
                <c:pt idx="82">
                  <c:v>13500</c:v>
                </c:pt>
                <c:pt idx="83">
                  <c:v>5000</c:v>
                </c:pt>
                <c:pt idx="84">
                  <c:v>5625</c:v>
                </c:pt>
                <c:pt idx="85">
                  <c:v>-15000</c:v>
                </c:pt>
                <c:pt idx="86">
                  <c:v>-15625</c:v>
                </c:pt>
                <c:pt idx="87">
                  <c:v>-16250</c:v>
                </c:pt>
                <c:pt idx="88">
                  <c:v>-8125</c:v>
                </c:pt>
                <c:pt idx="89">
                  <c:v>-7625</c:v>
                </c:pt>
                <c:pt idx="90">
                  <c:v>-10875</c:v>
                </c:pt>
                <c:pt idx="91">
                  <c:v>11125</c:v>
                </c:pt>
                <c:pt idx="92">
                  <c:v>7250</c:v>
                </c:pt>
                <c:pt idx="93">
                  <c:v>7625</c:v>
                </c:pt>
                <c:pt idx="94">
                  <c:v>9125</c:v>
                </c:pt>
                <c:pt idx="95">
                  <c:v>9250</c:v>
                </c:pt>
                <c:pt idx="96">
                  <c:v>10625</c:v>
                </c:pt>
                <c:pt idx="97">
                  <c:v>11250</c:v>
                </c:pt>
                <c:pt idx="98">
                  <c:v>12625</c:v>
                </c:pt>
                <c:pt idx="99">
                  <c:v>15000</c:v>
                </c:pt>
                <c:pt idx="100">
                  <c:v>15875</c:v>
                </c:pt>
                <c:pt idx="101">
                  <c:v>14625</c:v>
                </c:pt>
                <c:pt idx="102">
                  <c:v>7000</c:v>
                </c:pt>
                <c:pt idx="103">
                  <c:v>14625</c:v>
                </c:pt>
                <c:pt idx="104">
                  <c:v>14375</c:v>
                </c:pt>
                <c:pt idx="105">
                  <c:v>10125</c:v>
                </c:pt>
                <c:pt idx="106">
                  <c:v>12000</c:v>
                </c:pt>
                <c:pt idx="107">
                  <c:v>10250</c:v>
                </c:pt>
                <c:pt idx="108">
                  <c:v>15000</c:v>
                </c:pt>
                <c:pt idx="109">
                  <c:v>16375</c:v>
                </c:pt>
                <c:pt idx="110">
                  <c:v>15125</c:v>
                </c:pt>
                <c:pt idx="111">
                  <c:v>19250</c:v>
                </c:pt>
                <c:pt idx="112">
                  <c:v>16625</c:v>
                </c:pt>
                <c:pt idx="113">
                  <c:v>12375</c:v>
                </c:pt>
                <c:pt idx="114">
                  <c:v>5625</c:v>
                </c:pt>
                <c:pt idx="115">
                  <c:v>9625</c:v>
                </c:pt>
                <c:pt idx="116">
                  <c:v>8625</c:v>
                </c:pt>
                <c:pt idx="117">
                  <c:v>-5375</c:v>
                </c:pt>
                <c:pt idx="118">
                  <c:v>-7875</c:v>
                </c:pt>
                <c:pt idx="119">
                  <c:v>-12375</c:v>
                </c:pt>
                <c:pt idx="120">
                  <c:v>-12500</c:v>
                </c:pt>
                <c:pt idx="121">
                  <c:v>-16250</c:v>
                </c:pt>
                <c:pt idx="122">
                  <c:v>-20125</c:v>
                </c:pt>
                <c:pt idx="123">
                  <c:v>-15500</c:v>
                </c:pt>
                <c:pt idx="124">
                  <c:v>-11750</c:v>
                </c:pt>
                <c:pt idx="125">
                  <c:v>-9750</c:v>
                </c:pt>
                <c:pt idx="126">
                  <c:v>-14000</c:v>
                </c:pt>
                <c:pt idx="127">
                  <c:v>-18500</c:v>
                </c:pt>
                <c:pt idx="128">
                  <c:v>-20500</c:v>
                </c:pt>
                <c:pt idx="129">
                  <c:v>-18750</c:v>
                </c:pt>
                <c:pt idx="130">
                  <c:v>-22000</c:v>
                </c:pt>
                <c:pt idx="131">
                  <c:v>-15750</c:v>
                </c:pt>
                <c:pt idx="132">
                  <c:v>-20875</c:v>
                </c:pt>
                <c:pt idx="133">
                  <c:v>-18375</c:v>
                </c:pt>
                <c:pt idx="134">
                  <c:v>-19750</c:v>
                </c:pt>
                <c:pt idx="135">
                  <c:v>-23875</c:v>
                </c:pt>
                <c:pt idx="136">
                  <c:v>-25500</c:v>
                </c:pt>
                <c:pt idx="137">
                  <c:v>-24375</c:v>
                </c:pt>
                <c:pt idx="138">
                  <c:v>-16000</c:v>
                </c:pt>
                <c:pt idx="139">
                  <c:v>-12375</c:v>
                </c:pt>
                <c:pt idx="140">
                  <c:v>-8250</c:v>
                </c:pt>
                <c:pt idx="141">
                  <c:v>-4500</c:v>
                </c:pt>
                <c:pt idx="142">
                  <c:v>-5125</c:v>
                </c:pt>
                <c:pt idx="143">
                  <c:v>750</c:v>
                </c:pt>
                <c:pt idx="144">
                  <c:v>6000</c:v>
                </c:pt>
                <c:pt idx="145">
                  <c:v>2875</c:v>
                </c:pt>
                <c:pt idx="146">
                  <c:v>6875</c:v>
                </c:pt>
                <c:pt idx="147">
                  <c:v>11625</c:v>
                </c:pt>
                <c:pt idx="148">
                  <c:v>12375</c:v>
                </c:pt>
                <c:pt idx="149">
                  <c:v>6625</c:v>
                </c:pt>
                <c:pt idx="150">
                  <c:v>7375</c:v>
                </c:pt>
                <c:pt idx="151">
                  <c:v>11375</c:v>
                </c:pt>
                <c:pt idx="152">
                  <c:v>11500</c:v>
                </c:pt>
                <c:pt idx="153">
                  <c:v>10125</c:v>
                </c:pt>
                <c:pt idx="154">
                  <c:v>-9875</c:v>
                </c:pt>
                <c:pt idx="155">
                  <c:v>-14750</c:v>
                </c:pt>
                <c:pt idx="156">
                  <c:v>-12000</c:v>
                </c:pt>
                <c:pt idx="157">
                  <c:v>-18375</c:v>
                </c:pt>
                <c:pt idx="158">
                  <c:v>-13500</c:v>
                </c:pt>
                <c:pt idx="159">
                  <c:v>-11625</c:v>
                </c:pt>
                <c:pt idx="160">
                  <c:v>-5750</c:v>
                </c:pt>
                <c:pt idx="161">
                  <c:v>500</c:v>
                </c:pt>
                <c:pt idx="162">
                  <c:v>1625</c:v>
                </c:pt>
                <c:pt idx="163">
                  <c:v>3750</c:v>
                </c:pt>
                <c:pt idx="164">
                  <c:v>3750</c:v>
                </c:pt>
                <c:pt idx="165">
                  <c:v>-250</c:v>
                </c:pt>
                <c:pt idx="166">
                  <c:v>2125</c:v>
                </c:pt>
                <c:pt idx="167">
                  <c:v>6125</c:v>
                </c:pt>
                <c:pt idx="168">
                  <c:v>4375</c:v>
                </c:pt>
                <c:pt idx="169">
                  <c:v>5500</c:v>
                </c:pt>
                <c:pt idx="170">
                  <c:v>6000</c:v>
                </c:pt>
                <c:pt idx="171">
                  <c:v>5250</c:v>
                </c:pt>
                <c:pt idx="172">
                  <c:v>5750</c:v>
                </c:pt>
                <c:pt idx="173">
                  <c:v>750</c:v>
                </c:pt>
                <c:pt idx="174">
                  <c:v>-875</c:v>
                </c:pt>
                <c:pt idx="175">
                  <c:v>2125</c:v>
                </c:pt>
                <c:pt idx="176">
                  <c:v>1000</c:v>
                </c:pt>
                <c:pt idx="177">
                  <c:v>-2250</c:v>
                </c:pt>
                <c:pt idx="178">
                  <c:v>1125</c:v>
                </c:pt>
                <c:pt idx="179">
                  <c:v>6000</c:v>
                </c:pt>
                <c:pt idx="180">
                  <c:v>-875</c:v>
                </c:pt>
                <c:pt idx="181">
                  <c:v>2625</c:v>
                </c:pt>
                <c:pt idx="182">
                  <c:v>3750</c:v>
                </c:pt>
                <c:pt idx="183">
                  <c:v>4875</c:v>
                </c:pt>
                <c:pt idx="184">
                  <c:v>6500</c:v>
                </c:pt>
                <c:pt idx="185">
                  <c:v>10125</c:v>
                </c:pt>
                <c:pt idx="186">
                  <c:v>13125</c:v>
                </c:pt>
                <c:pt idx="187">
                  <c:v>11125</c:v>
                </c:pt>
                <c:pt idx="188">
                  <c:v>11375</c:v>
                </c:pt>
                <c:pt idx="189">
                  <c:v>17000</c:v>
                </c:pt>
                <c:pt idx="190">
                  <c:v>15375</c:v>
                </c:pt>
                <c:pt idx="191">
                  <c:v>6750</c:v>
                </c:pt>
                <c:pt idx="192">
                  <c:v>5750</c:v>
                </c:pt>
                <c:pt idx="193">
                  <c:v>10750</c:v>
                </c:pt>
                <c:pt idx="194">
                  <c:v>17875</c:v>
                </c:pt>
                <c:pt idx="195">
                  <c:v>19375</c:v>
                </c:pt>
                <c:pt idx="196">
                  <c:v>17625</c:v>
                </c:pt>
                <c:pt idx="197">
                  <c:v>23375</c:v>
                </c:pt>
                <c:pt idx="198">
                  <c:v>24625</c:v>
                </c:pt>
                <c:pt idx="199">
                  <c:v>22875</c:v>
                </c:pt>
                <c:pt idx="200">
                  <c:v>12500</c:v>
                </c:pt>
                <c:pt idx="201">
                  <c:v>11500</c:v>
                </c:pt>
                <c:pt idx="202">
                  <c:v>11000</c:v>
                </c:pt>
                <c:pt idx="203">
                  <c:v>11125</c:v>
                </c:pt>
                <c:pt idx="204">
                  <c:v>10125</c:v>
                </c:pt>
                <c:pt idx="205">
                  <c:v>6625</c:v>
                </c:pt>
                <c:pt idx="206">
                  <c:v>625</c:v>
                </c:pt>
                <c:pt idx="207">
                  <c:v>-6000</c:v>
                </c:pt>
                <c:pt idx="208">
                  <c:v>11625</c:v>
                </c:pt>
                <c:pt idx="209">
                  <c:v>18250</c:v>
                </c:pt>
                <c:pt idx="210">
                  <c:v>21000</c:v>
                </c:pt>
                <c:pt idx="211">
                  <c:v>16625</c:v>
                </c:pt>
                <c:pt idx="212">
                  <c:v>18750</c:v>
                </c:pt>
                <c:pt idx="213">
                  <c:v>18750</c:v>
                </c:pt>
                <c:pt idx="214">
                  <c:v>15750</c:v>
                </c:pt>
                <c:pt idx="215">
                  <c:v>7875</c:v>
                </c:pt>
                <c:pt idx="216">
                  <c:v>6375</c:v>
                </c:pt>
                <c:pt idx="217">
                  <c:v>9500</c:v>
                </c:pt>
                <c:pt idx="218">
                  <c:v>2750</c:v>
                </c:pt>
                <c:pt idx="219">
                  <c:v>2625</c:v>
                </c:pt>
                <c:pt idx="220">
                  <c:v>-375</c:v>
                </c:pt>
                <c:pt idx="221">
                  <c:v>-7625</c:v>
                </c:pt>
                <c:pt idx="222">
                  <c:v>-1750</c:v>
                </c:pt>
                <c:pt idx="223">
                  <c:v>-3000</c:v>
                </c:pt>
                <c:pt idx="224">
                  <c:v>-125</c:v>
                </c:pt>
                <c:pt idx="225">
                  <c:v>250</c:v>
                </c:pt>
                <c:pt idx="226">
                  <c:v>-3625</c:v>
                </c:pt>
                <c:pt idx="227">
                  <c:v>-1750</c:v>
                </c:pt>
                <c:pt idx="228">
                  <c:v>14625</c:v>
                </c:pt>
                <c:pt idx="229">
                  <c:v>16250</c:v>
                </c:pt>
                <c:pt idx="230">
                  <c:v>21625</c:v>
                </c:pt>
                <c:pt idx="231">
                  <c:v>11000</c:v>
                </c:pt>
                <c:pt idx="232">
                  <c:v>13125</c:v>
                </c:pt>
                <c:pt idx="233">
                  <c:v>24750</c:v>
                </c:pt>
                <c:pt idx="234">
                  <c:v>19875</c:v>
                </c:pt>
                <c:pt idx="235">
                  <c:v>24125</c:v>
                </c:pt>
                <c:pt idx="236">
                  <c:v>18125</c:v>
                </c:pt>
                <c:pt idx="237">
                  <c:v>625</c:v>
                </c:pt>
                <c:pt idx="238">
                  <c:v>-6500</c:v>
                </c:pt>
                <c:pt idx="239">
                  <c:v>-6125</c:v>
                </c:pt>
                <c:pt idx="240">
                  <c:v>1125</c:v>
                </c:pt>
                <c:pt idx="241">
                  <c:v>8875</c:v>
                </c:pt>
                <c:pt idx="242">
                  <c:v>15125</c:v>
                </c:pt>
                <c:pt idx="243">
                  <c:v>19750</c:v>
                </c:pt>
                <c:pt idx="244">
                  <c:v>20375</c:v>
                </c:pt>
                <c:pt idx="245">
                  <c:v>6625</c:v>
                </c:pt>
                <c:pt idx="246">
                  <c:v>5750</c:v>
                </c:pt>
                <c:pt idx="247">
                  <c:v>-6375</c:v>
                </c:pt>
                <c:pt idx="248">
                  <c:v>-9250</c:v>
                </c:pt>
                <c:pt idx="249">
                  <c:v>-15500</c:v>
                </c:pt>
                <c:pt idx="250">
                  <c:v>-16625</c:v>
                </c:pt>
                <c:pt idx="251">
                  <c:v>-16375</c:v>
                </c:pt>
                <c:pt idx="252">
                  <c:v>-18750</c:v>
                </c:pt>
                <c:pt idx="253">
                  <c:v>-14375</c:v>
                </c:pt>
                <c:pt idx="254">
                  <c:v>-12500</c:v>
                </c:pt>
                <c:pt idx="255">
                  <c:v>-5250</c:v>
                </c:pt>
                <c:pt idx="256">
                  <c:v>500</c:v>
                </c:pt>
                <c:pt idx="257">
                  <c:v>2750</c:v>
                </c:pt>
                <c:pt idx="258">
                  <c:v>-1250</c:v>
                </c:pt>
                <c:pt idx="259">
                  <c:v>-5625</c:v>
                </c:pt>
                <c:pt idx="260">
                  <c:v>1625</c:v>
                </c:pt>
                <c:pt idx="261">
                  <c:v>3375</c:v>
                </c:pt>
                <c:pt idx="262">
                  <c:v>-6000</c:v>
                </c:pt>
                <c:pt idx="263">
                  <c:v>4125</c:v>
                </c:pt>
                <c:pt idx="264">
                  <c:v>8625</c:v>
                </c:pt>
                <c:pt idx="265">
                  <c:v>7875</c:v>
                </c:pt>
                <c:pt idx="266">
                  <c:v>-125</c:v>
                </c:pt>
                <c:pt idx="267">
                  <c:v>-125</c:v>
                </c:pt>
                <c:pt idx="268">
                  <c:v>17250</c:v>
                </c:pt>
                <c:pt idx="269">
                  <c:v>25000</c:v>
                </c:pt>
                <c:pt idx="270">
                  <c:v>28500</c:v>
                </c:pt>
                <c:pt idx="271">
                  <c:v>27000</c:v>
                </c:pt>
                <c:pt idx="272">
                  <c:v>39625</c:v>
                </c:pt>
                <c:pt idx="273">
                  <c:v>48250</c:v>
                </c:pt>
                <c:pt idx="274">
                  <c:v>62500</c:v>
                </c:pt>
                <c:pt idx="275">
                  <c:v>82750</c:v>
                </c:pt>
                <c:pt idx="276">
                  <c:v>79375</c:v>
                </c:pt>
                <c:pt idx="277">
                  <c:v>93000</c:v>
                </c:pt>
                <c:pt idx="278">
                  <c:v>86125</c:v>
                </c:pt>
                <c:pt idx="279">
                  <c:v>70375</c:v>
                </c:pt>
                <c:pt idx="280">
                  <c:v>92125</c:v>
                </c:pt>
                <c:pt idx="281">
                  <c:v>92875</c:v>
                </c:pt>
                <c:pt idx="282">
                  <c:v>110750</c:v>
                </c:pt>
                <c:pt idx="283">
                  <c:v>114750</c:v>
                </c:pt>
                <c:pt idx="284">
                  <c:v>120625</c:v>
                </c:pt>
                <c:pt idx="285">
                  <c:v>124375</c:v>
                </c:pt>
                <c:pt idx="286">
                  <c:v>134125</c:v>
                </c:pt>
                <c:pt idx="287">
                  <c:v>126625</c:v>
                </c:pt>
                <c:pt idx="288">
                  <c:v>116875</c:v>
                </c:pt>
                <c:pt idx="289">
                  <c:v>122000</c:v>
                </c:pt>
                <c:pt idx="290">
                  <c:v>114500</c:v>
                </c:pt>
                <c:pt idx="291">
                  <c:v>122625</c:v>
                </c:pt>
                <c:pt idx="292">
                  <c:v>133875</c:v>
                </c:pt>
                <c:pt idx="293">
                  <c:v>128750</c:v>
                </c:pt>
                <c:pt idx="294">
                  <c:v>116625</c:v>
                </c:pt>
                <c:pt idx="295">
                  <c:v>123125</c:v>
                </c:pt>
                <c:pt idx="296">
                  <c:v>129750</c:v>
                </c:pt>
                <c:pt idx="297">
                  <c:v>127000</c:v>
                </c:pt>
                <c:pt idx="298">
                  <c:v>122000</c:v>
                </c:pt>
                <c:pt idx="299">
                  <c:v>128500</c:v>
                </c:pt>
                <c:pt idx="300">
                  <c:v>136125</c:v>
                </c:pt>
                <c:pt idx="301">
                  <c:v>126875</c:v>
                </c:pt>
                <c:pt idx="302">
                  <c:v>118250</c:v>
                </c:pt>
                <c:pt idx="303">
                  <c:v>113250</c:v>
                </c:pt>
                <c:pt idx="304">
                  <c:v>119500</c:v>
                </c:pt>
                <c:pt idx="305">
                  <c:v>124250</c:v>
                </c:pt>
                <c:pt idx="306">
                  <c:v>123625</c:v>
                </c:pt>
                <c:pt idx="307">
                  <c:v>132125</c:v>
                </c:pt>
                <c:pt idx="308">
                  <c:v>140000</c:v>
                </c:pt>
                <c:pt idx="309">
                  <c:v>137875</c:v>
                </c:pt>
                <c:pt idx="310">
                  <c:v>128125</c:v>
                </c:pt>
                <c:pt idx="311">
                  <c:v>125625</c:v>
                </c:pt>
                <c:pt idx="312">
                  <c:v>122500</c:v>
                </c:pt>
                <c:pt idx="313">
                  <c:v>119750</c:v>
                </c:pt>
                <c:pt idx="314">
                  <c:v>129250</c:v>
                </c:pt>
                <c:pt idx="315">
                  <c:v>132250</c:v>
                </c:pt>
                <c:pt idx="316">
                  <c:v>125625</c:v>
                </c:pt>
                <c:pt idx="317">
                  <c:v>124125</c:v>
                </c:pt>
                <c:pt idx="318">
                  <c:v>120500</c:v>
                </c:pt>
                <c:pt idx="319">
                  <c:v>124125</c:v>
                </c:pt>
                <c:pt idx="320">
                  <c:v>123375</c:v>
                </c:pt>
                <c:pt idx="321">
                  <c:v>115000</c:v>
                </c:pt>
                <c:pt idx="322">
                  <c:v>116625</c:v>
                </c:pt>
                <c:pt idx="323">
                  <c:v>109625</c:v>
                </c:pt>
                <c:pt idx="324">
                  <c:v>112375</c:v>
                </c:pt>
                <c:pt idx="325">
                  <c:v>117000</c:v>
                </c:pt>
                <c:pt idx="326">
                  <c:v>102625</c:v>
                </c:pt>
                <c:pt idx="327">
                  <c:v>96625</c:v>
                </c:pt>
                <c:pt idx="328">
                  <c:v>103125</c:v>
                </c:pt>
                <c:pt idx="329">
                  <c:v>98750</c:v>
                </c:pt>
                <c:pt idx="330">
                  <c:v>100375</c:v>
                </c:pt>
                <c:pt idx="331">
                  <c:v>98375</c:v>
                </c:pt>
                <c:pt idx="332">
                  <c:v>97375</c:v>
                </c:pt>
                <c:pt idx="333">
                  <c:v>88750</c:v>
                </c:pt>
                <c:pt idx="334">
                  <c:v>83250</c:v>
                </c:pt>
                <c:pt idx="335">
                  <c:v>104375</c:v>
                </c:pt>
                <c:pt idx="336">
                  <c:v>105250</c:v>
                </c:pt>
                <c:pt idx="337">
                  <c:v>102500</c:v>
                </c:pt>
                <c:pt idx="338">
                  <c:v>105375</c:v>
                </c:pt>
                <c:pt idx="339">
                  <c:v>107625</c:v>
                </c:pt>
                <c:pt idx="340">
                  <c:v>100750</c:v>
                </c:pt>
                <c:pt idx="341">
                  <c:v>97500</c:v>
                </c:pt>
                <c:pt idx="342">
                  <c:v>94500</c:v>
                </c:pt>
                <c:pt idx="343">
                  <c:v>113750</c:v>
                </c:pt>
                <c:pt idx="344">
                  <c:v>102250</c:v>
                </c:pt>
                <c:pt idx="345">
                  <c:v>94125</c:v>
                </c:pt>
                <c:pt idx="346">
                  <c:v>94125</c:v>
                </c:pt>
                <c:pt idx="347">
                  <c:v>97750</c:v>
                </c:pt>
                <c:pt idx="348">
                  <c:v>106125</c:v>
                </c:pt>
                <c:pt idx="349">
                  <c:v>108250</c:v>
                </c:pt>
                <c:pt idx="350">
                  <c:v>107750</c:v>
                </c:pt>
                <c:pt idx="351">
                  <c:v>103125</c:v>
                </c:pt>
                <c:pt idx="352">
                  <c:v>103125</c:v>
                </c:pt>
                <c:pt idx="353">
                  <c:v>98250</c:v>
                </c:pt>
                <c:pt idx="354">
                  <c:v>95375</c:v>
                </c:pt>
                <c:pt idx="355">
                  <c:v>94750</c:v>
                </c:pt>
                <c:pt idx="356">
                  <c:v>96125</c:v>
                </c:pt>
                <c:pt idx="357">
                  <c:v>103000</c:v>
                </c:pt>
                <c:pt idx="358">
                  <c:v>103375</c:v>
                </c:pt>
                <c:pt idx="359">
                  <c:v>96875</c:v>
                </c:pt>
                <c:pt idx="360">
                  <c:v>93250</c:v>
                </c:pt>
                <c:pt idx="361">
                  <c:v>96250</c:v>
                </c:pt>
                <c:pt idx="362">
                  <c:v>97875</c:v>
                </c:pt>
                <c:pt idx="363">
                  <c:v>98375</c:v>
                </c:pt>
                <c:pt idx="364">
                  <c:v>96750</c:v>
                </c:pt>
                <c:pt idx="365">
                  <c:v>85125</c:v>
                </c:pt>
                <c:pt idx="366">
                  <c:v>90000</c:v>
                </c:pt>
                <c:pt idx="367">
                  <c:v>87500</c:v>
                </c:pt>
                <c:pt idx="368">
                  <c:v>89625</c:v>
                </c:pt>
                <c:pt idx="369">
                  <c:v>95250</c:v>
                </c:pt>
                <c:pt idx="370">
                  <c:v>98375</c:v>
                </c:pt>
                <c:pt idx="371">
                  <c:v>95875</c:v>
                </c:pt>
                <c:pt idx="372">
                  <c:v>99000</c:v>
                </c:pt>
                <c:pt idx="373">
                  <c:v>100500</c:v>
                </c:pt>
                <c:pt idx="374">
                  <c:v>102125</c:v>
                </c:pt>
                <c:pt idx="375">
                  <c:v>107375</c:v>
                </c:pt>
                <c:pt idx="376">
                  <c:v>103500</c:v>
                </c:pt>
                <c:pt idx="377">
                  <c:v>99000</c:v>
                </c:pt>
                <c:pt idx="378">
                  <c:v>100375</c:v>
                </c:pt>
                <c:pt idx="379">
                  <c:v>99000</c:v>
                </c:pt>
                <c:pt idx="380">
                  <c:v>102000</c:v>
                </c:pt>
                <c:pt idx="381">
                  <c:v>98625</c:v>
                </c:pt>
                <c:pt idx="382">
                  <c:v>93125</c:v>
                </c:pt>
                <c:pt idx="383">
                  <c:v>88750</c:v>
                </c:pt>
                <c:pt idx="384">
                  <c:v>87125</c:v>
                </c:pt>
                <c:pt idx="385">
                  <c:v>86500</c:v>
                </c:pt>
                <c:pt idx="386">
                  <c:v>83000</c:v>
                </c:pt>
                <c:pt idx="387">
                  <c:v>89125</c:v>
                </c:pt>
                <c:pt idx="388">
                  <c:v>85875</c:v>
                </c:pt>
                <c:pt idx="389">
                  <c:v>83625</c:v>
                </c:pt>
                <c:pt idx="390">
                  <c:v>76625</c:v>
                </c:pt>
                <c:pt idx="391">
                  <c:v>71750</c:v>
                </c:pt>
                <c:pt idx="392">
                  <c:v>74375</c:v>
                </c:pt>
                <c:pt idx="393">
                  <c:v>76500</c:v>
                </c:pt>
                <c:pt idx="394">
                  <c:v>71250</c:v>
                </c:pt>
                <c:pt idx="395">
                  <c:v>69625</c:v>
                </c:pt>
                <c:pt idx="396">
                  <c:v>70500</c:v>
                </c:pt>
                <c:pt idx="397">
                  <c:v>72500</c:v>
                </c:pt>
                <c:pt idx="398">
                  <c:v>69000</c:v>
                </c:pt>
                <c:pt idx="399">
                  <c:v>69500</c:v>
                </c:pt>
                <c:pt idx="400">
                  <c:v>65750</c:v>
                </c:pt>
                <c:pt idx="401">
                  <c:v>66625</c:v>
                </c:pt>
                <c:pt idx="402">
                  <c:v>70000</c:v>
                </c:pt>
                <c:pt idx="403">
                  <c:v>71250</c:v>
                </c:pt>
                <c:pt idx="404">
                  <c:v>73125</c:v>
                </c:pt>
                <c:pt idx="405">
                  <c:v>81625</c:v>
                </c:pt>
                <c:pt idx="406">
                  <c:v>85500</c:v>
                </c:pt>
                <c:pt idx="407">
                  <c:v>90000</c:v>
                </c:pt>
                <c:pt idx="408">
                  <c:v>88750</c:v>
                </c:pt>
                <c:pt idx="409">
                  <c:v>87875</c:v>
                </c:pt>
                <c:pt idx="410">
                  <c:v>88375</c:v>
                </c:pt>
                <c:pt idx="411">
                  <c:v>89375</c:v>
                </c:pt>
                <c:pt idx="412">
                  <c:v>85875</c:v>
                </c:pt>
                <c:pt idx="413">
                  <c:v>84875</c:v>
                </c:pt>
                <c:pt idx="414">
                  <c:v>84500</c:v>
                </c:pt>
                <c:pt idx="415">
                  <c:v>86000</c:v>
                </c:pt>
                <c:pt idx="416">
                  <c:v>89625</c:v>
                </c:pt>
                <c:pt idx="417">
                  <c:v>94375</c:v>
                </c:pt>
                <c:pt idx="418">
                  <c:v>94000</c:v>
                </c:pt>
                <c:pt idx="419">
                  <c:v>93250</c:v>
                </c:pt>
                <c:pt idx="420">
                  <c:v>90875</c:v>
                </c:pt>
                <c:pt idx="421">
                  <c:v>87750</c:v>
                </c:pt>
                <c:pt idx="422">
                  <c:v>85875</c:v>
                </c:pt>
                <c:pt idx="423">
                  <c:v>81375</c:v>
                </c:pt>
                <c:pt idx="424">
                  <c:v>80375</c:v>
                </c:pt>
                <c:pt idx="425">
                  <c:v>75125</c:v>
                </c:pt>
                <c:pt idx="426">
                  <c:v>71125</c:v>
                </c:pt>
                <c:pt idx="427">
                  <c:v>70625</c:v>
                </c:pt>
                <c:pt idx="428">
                  <c:v>69625</c:v>
                </c:pt>
                <c:pt idx="429">
                  <c:v>72875</c:v>
                </c:pt>
                <c:pt idx="430">
                  <c:v>70875</c:v>
                </c:pt>
                <c:pt idx="431">
                  <c:v>73750</c:v>
                </c:pt>
                <c:pt idx="432">
                  <c:v>71000</c:v>
                </c:pt>
                <c:pt idx="433">
                  <c:v>70375</c:v>
                </c:pt>
                <c:pt idx="434">
                  <c:v>71375</c:v>
                </c:pt>
                <c:pt idx="435">
                  <c:v>75625</c:v>
                </c:pt>
                <c:pt idx="436">
                  <c:v>79750</c:v>
                </c:pt>
                <c:pt idx="437">
                  <c:v>83750</c:v>
                </c:pt>
                <c:pt idx="438">
                  <c:v>87250</c:v>
                </c:pt>
                <c:pt idx="439">
                  <c:v>84000</c:v>
                </c:pt>
                <c:pt idx="440">
                  <c:v>89500</c:v>
                </c:pt>
                <c:pt idx="441">
                  <c:v>80125</c:v>
                </c:pt>
                <c:pt idx="442">
                  <c:v>77250</c:v>
                </c:pt>
                <c:pt idx="443">
                  <c:v>84250</c:v>
                </c:pt>
                <c:pt idx="444">
                  <c:v>91875</c:v>
                </c:pt>
                <c:pt idx="445">
                  <c:v>95125</c:v>
                </c:pt>
                <c:pt idx="446">
                  <c:v>92000</c:v>
                </c:pt>
                <c:pt idx="447">
                  <c:v>94875</c:v>
                </c:pt>
                <c:pt idx="448">
                  <c:v>95500</c:v>
                </c:pt>
                <c:pt idx="449">
                  <c:v>95625</c:v>
                </c:pt>
                <c:pt idx="450">
                  <c:v>100125</c:v>
                </c:pt>
                <c:pt idx="451">
                  <c:v>102750</c:v>
                </c:pt>
                <c:pt idx="452">
                  <c:v>104250</c:v>
                </c:pt>
                <c:pt idx="453">
                  <c:v>100750</c:v>
                </c:pt>
                <c:pt idx="454">
                  <c:v>102625</c:v>
                </c:pt>
                <c:pt idx="455">
                  <c:v>101375</c:v>
                </c:pt>
                <c:pt idx="456">
                  <c:v>105375</c:v>
                </c:pt>
                <c:pt idx="457">
                  <c:v>84875</c:v>
                </c:pt>
                <c:pt idx="458">
                  <c:v>84875</c:v>
                </c:pt>
                <c:pt idx="459">
                  <c:v>60375</c:v>
                </c:pt>
                <c:pt idx="460">
                  <c:v>54750</c:v>
                </c:pt>
                <c:pt idx="461">
                  <c:v>57000</c:v>
                </c:pt>
                <c:pt idx="462">
                  <c:v>53500</c:v>
                </c:pt>
                <c:pt idx="463">
                  <c:v>52000</c:v>
                </c:pt>
                <c:pt idx="464">
                  <c:v>53625</c:v>
                </c:pt>
                <c:pt idx="465">
                  <c:v>59000</c:v>
                </c:pt>
                <c:pt idx="466">
                  <c:v>59875</c:v>
                </c:pt>
                <c:pt idx="467">
                  <c:v>63875</c:v>
                </c:pt>
                <c:pt idx="468">
                  <c:v>65500</c:v>
                </c:pt>
                <c:pt idx="469">
                  <c:v>61750</c:v>
                </c:pt>
                <c:pt idx="470">
                  <c:v>67375</c:v>
                </c:pt>
                <c:pt idx="471">
                  <c:v>67000</c:v>
                </c:pt>
                <c:pt idx="472">
                  <c:v>60250</c:v>
                </c:pt>
                <c:pt idx="473">
                  <c:v>62375</c:v>
                </c:pt>
                <c:pt idx="474">
                  <c:v>59875</c:v>
                </c:pt>
                <c:pt idx="475">
                  <c:v>57500</c:v>
                </c:pt>
                <c:pt idx="476">
                  <c:v>56125</c:v>
                </c:pt>
                <c:pt idx="477">
                  <c:v>59125</c:v>
                </c:pt>
                <c:pt idx="478">
                  <c:v>59375</c:v>
                </c:pt>
                <c:pt idx="479">
                  <c:v>77875</c:v>
                </c:pt>
                <c:pt idx="480">
                  <c:v>80125</c:v>
                </c:pt>
                <c:pt idx="481">
                  <c:v>79250</c:v>
                </c:pt>
                <c:pt idx="482">
                  <c:v>86000</c:v>
                </c:pt>
                <c:pt idx="483">
                  <c:v>86875</c:v>
                </c:pt>
                <c:pt idx="484">
                  <c:v>77250</c:v>
                </c:pt>
                <c:pt idx="485">
                  <c:v>77250</c:v>
                </c:pt>
                <c:pt idx="486">
                  <c:v>74000</c:v>
                </c:pt>
                <c:pt idx="487">
                  <c:v>86250</c:v>
                </c:pt>
                <c:pt idx="488">
                  <c:v>82250</c:v>
                </c:pt>
                <c:pt idx="489">
                  <c:v>90750</c:v>
                </c:pt>
                <c:pt idx="490">
                  <c:v>88500</c:v>
                </c:pt>
                <c:pt idx="491">
                  <c:v>87625</c:v>
                </c:pt>
                <c:pt idx="492">
                  <c:v>84125</c:v>
                </c:pt>
                <c:pt idx="493">
                  <c:v>89125</c:v>
                </c:pt>
                <c:pt idx="494">
                  <c:v>86875</c:v>
                </c:pt>
                <c:pt idx="495">
                  <c:v>81375</c:v>
                </c:pt>
                <c:pt idx="496">
                  <c:v>91000</c:v>
                </c:pt>
                <c:pt idx="497">
                  <c:v>94250</c:v>
                </c:pt>
                <c:pt idx="498">
                  <c:v>92625</c:v>
                </c:pt>
                <c:pt idx="499">
                  <c:v>95625</c:v>
                </c:pt>
                <c:pt idx="500">
                  <c:v>95375</c:v>
                </c:pt>
                <c:pt idx="501">
                  <c:v>89375</c:v>
                </c:pt>
                <c:pt idx="502">
                  <c:v>94250</c:v>
                </c:pt>
                <c:pt idx="503">
                  <c:v>92375</c:v>
                </c:pt>
                <c:pt idx="504">
                  <c:v>90625</c:v>
                </c:pt>
                <c:pt idx="505">
                  <c:v>93625</c:v>
                </c:pt>
                <c:pt idx="506">
                  <c:v>93625</c:v>
                </c:pt>
                <c:pt idx="507">
                  <c:v>95750</c:v>
                </c:pt>
                <c:pt idx="508">
                  <c:v>87625</c:v>
                </c:pt>
                <c:pt idx="509">
                  <c:v>91000</c:v>
                </c:pt>
                <c:pt idx="510">
                  <c:v>87750</c:v>
                </c:pt>
                <c:pt idx="511">
                  <c:v>85125</c:v>
                </c:pt>
                <c:pt idx="512">
                  <c:v>90250</c:v>
                </c:pt>
                <c:pt idx="513">
                  <c:v>95125</c:v>
                </c:pt>
                <c:pt idx="514">
                  <c:v>98125</c:v>
                </c:pt>
                <c:pt idx="515">
                  <c:v>103625</c:v>
                </c:pt>
                <c:pt idx="516">
                  <c:v>99750</c:v>
                </c:pt>
                <c:pt idx="517">
                  <c:v>96000</c:v>
                </c:pt>
                <c:pt idx="518">
                  <c:v>89875</c:v>
                </c:pt>
                <c:pt idx="519">
                  <c:v>91375</c:v>
                </c:pt>
                <c:pt idx="520">
                  <c:v>94875</c:v>
                </c:pt>
                <c:pt idx="521">
                  <c:v>97375</c:v>
                </c:pt>
                <c:pt idx="522">
                  <c:v>95500</c:v>
                </c:pt>
                <c:pt idx="523">
                  <c:v>91125</c:v>
                </c:pt>
                <c:pt idx="524">
                  <c:v>98375</c:v>
                </c:pt>
                <c:pt idx="525">
                  <c:v>102125</c:v>
                </c:pt>
                <c:pt idx="526">
                  <c:v>106375</c:v>
                </c:pt>
                <c:pt idx="527">
                  <c:v>109875</c:v>
                </c:pt>
                <c:pt idx="528">
                  <c:v>115125</c:v>
                </c:pt>
                <c:pt idx="529">
                  <c:v>117500</c:v>
                </c:pt>
                <c:pt idx="530">
                  <c:v>122000</c:v>
                </c:pt>
                <c:pt idx="531">
                  <c:v>116125</c:v>
                </c:pt>
                <c:pt idx="532">
                  <c:v>110250</c:v>
                </c:pt>
                <c:pt idx="533">
                  <c:v>114000</c:v>
                </c:pt>
                <c:pt idx="534">
                  <c:v>111250</c:v>
                </c:pt>
                <c:pt idx="535">
                  <c:v>112125</c:v>
                </c:pt>
                <c:pt idx="536">
                  <c:v>113875</c:v>
                </c:pt>
                <c:pt idx="537">
                  <c:v>112500</c:v>
                </c:pt>
                <c:pt idx="538">
                  <c:v>103750</c:v>
                </c:pt>
                <c:pt idx="539">
                  <c:v>96125</c:v>
                </c:pt>
                <c:pt idx="540">
                  <c:v>89750</c:v>
                </c:pt>
                <c:pt idx="541">
                  <c:v>88875</c:v>
                </c:pt>
                <c:pt idx="542">
                  <c:v>86125</c:v>
                </c:pt>
                <c:pt idx="543">
                  <c:v>88125</c:v>
                </c:pt>
                <c:pt idx="544">
                  <c:v>91250</c:v>
                </c:pt>
                <c:pt idx="545">
                  <c:v>85500</c:v>
                </c:pt>
                <c:pt idx="546">
                  <c:v>80875</c:v>
                </c:pt>
                <c:pt idx="547">
                  <c:v>76125</c:v>
                </c:pt>
                <c:pt idx="548">
                  <c:v>77625</c:v>
                </c:pt>
                <c:pt idx="549">
                  <c:v>76125</c:v>
                </c:pt>
                <c:pt idx="550">
                  <c:v>77375</c:v>
                </c:pt>
                <c:pt idx="551">
                  <c:v>75625</c:v>
                </c:pt>
                <c:pt idx="552">
                  <c:v>78750</c:v>
                </c:pt>
                <c:pt idx="553">
                  <c:v>71125</c:v>
                </c:pt>
                <c:pt idx="554">
                  <c:v>73000</c:v>
                </c:pt>
                <c:pt idx="555">
                  <c:v>81125</c:v>
                </c:pt>
                <c:pt idx="556">
                  <c:v>78500</c:v>
                </c:pt>
                <c:pt idx="557">
                  <c:v>86500</c:v>
                </c:pt>
                <c:pt idx="558">
                  <c:v>85000</c:v>
                </c:pt>
                <c:pt idx="559">
                  <c:v>91125</c:v>
                </c:pt>
                <c:pt idx="560">
                  <c:v>87125</c:v>
                </c:pt>
                <c:pt idx="561">
                  <c:v>90750</c:v>
                </c:pt>
                <c:pt idx="562">
                  <c:v>102375</c:v>
                </c:pt>
                <c:pt idx="563">
                  <c:v>94125</c:v>
                </c:pt>
                <c:pt idx="564">
                  <c:v>92625</c:v>
                </c:pt>
                <c:pt idx="565">
                  <c:v>91750</c:v>
                </c:pt>
                <c:pt idx="566">
                  <c:v>86250</c:v>
                </c:pt>
                <c:pt idx="567">
                  <c:v>87125</c:v>
                </c:pt>
                <c:pt idx="568">
                  <c:v>89375</c:v>
                </c:pt>
                <c:pt idx="569">
                  <c:v>84125</c:v>
                </c:pt>
                <c:pt idx="570">
                  <c:v>88125</c:v>
                </c:pt>
                <c:pt idx="571">
                  <c:v>80250</c:v>
                </c:pt>
                <c:pt idx="572">
                  <c:v>79000</c:v>
                </c:pt>
                <c:pt idx="573">
                  <c:v>79875</c:v>
                </c:pt>
                <c:pt idx="574">
                  <c:v>75375</c:v>
                </c:pt>
                <c:pt idx="575">
                  <c:v>75250</c:v>
                </c:pt>
                <c:pt idx="576">
                  <c:v>73375</c:v>
                </c:pt>
                <c:pt idx="577">
                  <c:v>73000</c:v>
                </c:pt>
                <c:pt idx="578">
                  <c:v>72250</c:v>
                </c:pt>
                <c:pt idx="579">
                  <c:v>73750</c:v>
                </c:pt>
                <c:pt idx="580">
                  <c:v>70750</c:v>
                </c:pt>
                <c:pt idx="581">
                  <c:v>71250</c:v>
                </c:pt>
                <c:pt idx="582">
                  <c:v>69375</c:v>
                </c:pt>
                <c:pt idx="583">
                  <c:v>73375</c:v>
                </c:pt>
                <c:pt idx="584">
                  <c:v>72750</c:v>
                </c:pt>
                <c:pt idx="585">
                  <c:v>72375</c:v>
                </c:pt>
                <c:pt idx="586">
                  <c:v>67500</c:v>
                </c:pt>
                <c:pt idx="587">
                  <c:v>63875</c:v>
                </c:pt>
                <c:pt idx="588">
                  <c:v>64875</c:v>
                </c:pt>
                <c:pt idx="589">
                  <c:v>65875</c:v>
                </c:pt>
                <c:pt idx="590">
                  <c:v>67000</c:v>
                </c:pt>
                <c:pt idx="591">
                  <c:v>69125</c:v>
                </c:pt>
                <c:pt idx="592">
                  <c:v>66000</c:v>
                </c:pt>
                <c:pt idx="593">
                  <c:v>67000</c:v>
                </c:pt>
                <c:pt idx="594">
                  <c:v>64125</c:v>
                </c:pt>
                <c:pt idx="595">
                  <c:v>62375</c:v>
                </c:pt>
                <c:pt idx="596">
                  <c:v>66625</c:v>
                </c:pt>
                <c:pt idx="597">
                  <c:v>66375</c:v>
                </c:pt>
                <c:pt idx="598">
                  <c:v>66375</c:v>
                </c:pt>
                <c:pt idx="599">
                  <c:v>66750</c:v>
                </c:pt>
                <c:pt idx="600">
                  <c:v>66875</c:v>
                </c:pt>
                <c:pt idx="601">
                  <c:v>65375</c:v>
                </c:pt>
                <c:pt idx="602">
                  <c:v>66875</c:v>
                </c:pt>
                <c:pt idx="603">
                  <c:v>65125</c:v>
                </c:pt>
                <c:pt idx="604">
                  <c:v>65500</c:v>
                </c:pt>
                <c:pt idx="605">
                  <c:v>60875</c:v>
                </c:pt>
                <c:pt idx="606">
                  <c:v>60625</c:v>
                </c:pt>
                <c:pt idx="607">
                  <c:v>60625</c:v>
                </c:pt>
                <c:pt idx="608">
                  <c:v>58875</c:v>
                </c:pt>
                <c:pt idx="609">
                  <c:v>59125</c:v>
                </c:pt>
                <c:pt idx="610">
                  <c:v>58625</c:v>
                </c:pt>
                <c:pt idx="611">
                  <c:v>57625</c:v>
                </c:pt>
                <c:pt idx="612">
                  <c:v>55875</c:v>
                </c:pt>
                <c:pt idx="613">
                  <c:v>55875</c:v>
                </c:pt>
                <c:pt idx="614">
                  <c:v>57625</c:v>
                </c:pt>
                <c:pt idx="615">
                  <c:v>62250</c:v>
                </c:pt>
                <c:pt idx="616">
                  <c:v>60375</c:v>
                </c:pt>
                <c:pt idx="617">
                  <c:v>58250</c:v>
                </c:pt>
                <c:pt idx="618">
                  <c:v>57375</c:v>
                </c:pt>
                <c:pt idx="619">
                  <c:v>51875</c:v>
                </c:pt>
                <c:pt idx="620">
                  <c:v>53000</c:v>
                </c:pt>
                <c:pt idx="621">
                  <c:v>54000</c:v>
                </c:pt>
                <c:pt idx="622">
                  <c:v>56125</c:v>
                </c:pt>
                <c:pt idx="623">
                  <c:v>56125</c:v>
                </c:pt>
                <c:pt idx="624">
                  <c:v>56750</c:v>
                </c:pt>
                <c:pt idx="625">
                  <c:v>54125</c:v>
                </c:pt>
                <c:pt idx="626">
                  <c:v>54000</c:v>
                </c:pt>
                <c:pt idx="627">
                  <c:v>52750</c:v>
                </c:pt>
                <c:pt idx="628">
                  <c:v>53000</c:v>
                </c:pt>
                <c:pt idx="629">
                  <c:v>55625</c:v>
                </c:pt>
                <c:pt idx="630">
                  <c:v>57375</c:v>
                </c:pt>
                <c:pt idx="631">
                  <c:v>57125</c:v>
                </c:pt>
                <c:pt idx="632">
                  <c:v>56000</c:v>
                </c:pt>
                <c:pt idx="633">
                  <c:v>59125</c:v>
                </c:pt>
                <c:pt idx="634">
                  <c:v>58875</c:v>
                </c:pt>
                <c:pt idx="635">
                  <c:v>60875</c:v>
                </c:pt>
                <c:pt idx="636">
                  <c:v>58000</c:v>
                </c:pt>
                <c:pt idx="637">
                  <c:v>54625</c:v>
                </c:pt>
                <c:pt idx="638">
                  <c:v>54000</c:v>
                </c:pt>
                <c:pt idx="639">
                  <c:v>55000</c:v>
                </c:pt>
                <c:pt idx="640">
                  <c:v>54000</c:v>
                </c:pt>
                <c:pt idx="641">
                  <c:v>56125</c:v>
                </c:pt>
                <c:pt idx="642">
                  <c:v>57750</c:v>
                </c:pt>
                <c:pt idx="643">
                  <c:v>58625</c:v>
                </c:pt>
                <c:pt idx="644">
                  <c:v>58750</c:v>
                </c:pt>
                <c:pt idx="645">
                  <c:v>55125</c:v>
                </c:pt>
                <c:pt idx="646">
                  <c:v>55000</c:v>
                </c:pt>
                <c:pt idx="647">
                  <c:v>53250</c:v>
                </c:pt>
                <c:pt idx="648">
                  <c:v>52750</c:v>
                </c:pt>
                <c:pt idx="649">
                  <c:v>50750</c:v>
                </c:pt>
                <c:pt idx="650">
                  <c:v>53250</c:v>
                </c:pt>
                <c:pt idx="651">
                  <c:v>54750</c:v>
                </c:pt>
                <c:pt idx="652">
                  <c:v>54875</c:v>
                </c:pt>
                <c:pt idx="653">
                  <c:v>50875</c:v>
                </c:pt>
                <c:pt idx="654">
                  <c:v>47125</c:v>
                </c:pt>
                <c:pt idx="655">
                  <c:v>55750</c:v>
                </c:pt>
                <c:pt idx="656">
                  <c:v>58625</c:v>
                </c:pt>
                <c:pt idx="657">
                  <c:v>56875</c:v>
                </c:pt>
                <c:pt idx="658">
                  <c:v>54750</c:v>
                </c:pt>
                <c:pt idx="659">
                  <c:v>54750</c:v>
                </c:pt>
                <c:pt idx="660">
                  <c:v>53375</c:v>
                </c:pt>
                <c:pt idx="661">
                  <c:v>53250</c:v>
                </c:pt>
                <c:pt idx="662">
                  <c:v>54500</c:v>
                </c:pt>
                <c:pt idx="663">
                  <c:v>56125</c:v>
                </c:pt>
                <c:pt idx="664">
                  <c:v>56250</c:v>
                </c:pt>
                <c:pt idx="665">
                  <c:v>57375</c:v>
                </c:pt>
                <c:pt idx="666">
                  <c:v>57750</c:v>
                </c:pt>
                <c:pt idx="667">
                  <c:v>55375</c:v>
                </c:pt>
                <c:pt idx="668">
                  <c:v>58000</c:v>
                </c:pt>
                <c:pt idx="669">
                  <c:v>57375</c:v>
                </c:pt>
                <c:pt idx="670">
                  <c:v>59500</c:v>
                </c:pt>
                <c:pt idx="671">
                  <c:v>61875</c:v>
                </c:pt>
                <c:pt idx="672">
                  <c:v>63250</c:v>
                </c:pt>
                <c:pt idx="673">
                  <c:v>62875</c:v>
                </c:pt>
                <c:pt idx="674">
                  <c:v>63250</c:v>
                </c:pt>
                <c:pt idx="675">
                  <c:v>62000</c:v>
                </c:pt>
                <c:pt idx="676">
                  <c:v>62375</c:v>
                </c:pt>
                <c:pt idx="677">
                  <c:v>61500</c:v>
                </c:pt>
                <c:pt idx="678">
                  <c:v>61125</c:v>
                </c:pt>
                <c:pt idx="679">
                  <c:v>63500</c:v>
                </c:pt>
                <c:pt idx="680">
                  <c:v>65625</c:v>
                </c:pt>
                <c:pt idx="681">
                  <c:v>68125</c:v>
                </c:pt>
                <c:pt idx="682">
                  <c:v>69125</c:v>
                </c:pt>
                <c:pt idx="683">
                  <c:v>68875</c:v>
                </c:pt>
                <c:pt idx="684">
                  <c:v>66625</c:v>
                </c:pt>
                <c:pt idx="685">
                  <c:v>67875</c:v>
                </c:pt>
                <c:pt idx="686">
                  <c:v>70375</c:v>
                </c:pt>
                <c:pt idx="687">
                  <c:v>66875</c:v>
                </c:pt>
                <c:pt idx="688">
                  <c:v>70250</c:v>
                </c:pt>
                <c:pt idx="689">
                  <c:v>71625</c:v>
                </c:pt>
                <c:pt idx="690">
                  <c:v>78000</c:v>
                </c:pt>
                <c:pt idx="691">
                  <c:v>78500</c:v>
                </c:pt>
                <c:pt idx="692">
                  <c:v>85125</c:v>
                </c:pt>
                <c:pt idx="693">
                  <c:v>82750</c:v>
                </c:pt>
                <c:pt idx="694">
                  <c:v>77750</c:v>
                </c:pt>
                <c:pt idx="695">
                  <c:v>80250</c:v>
                </c:pt>
                <c:pt idx="696">
                  <c:v>83500</c:v>
                </c:pt>
                <c:pt idx="697">
                  <c:v>83125</c:v>
                </c:pt>
                <c:pt idx="698">
                  <c:v>81125</c:v>
                </c:pt>
                <c:pt idx="699">
                  <c:v>80125</c:v>
                </c:pt>
                <c:pt idx="700">
                  <c:v>83250</c:v>
                </c:pt>
                <c:pt idx="701">
                  <c:v>84875</c:v>
                </c:pt>
                <c:pt idx="702">
                  <c:v>79375</c:v>
                </c:pt>
                <c:pt idx="703">
                  <c:v>80125</c:v>
                </c:pt>
                <c:pt idx="704">
                  <c:v>84375</c:v>
                </c:pt>
                <c:pt idx="705">
                  <c:v>82875</c:v>
                </c:pt>
                <c:pt idx="706">
                  <c:v>81750</c:v>
                </c:pt>
                <c:pt idx="707">
                  <c:v>85750</c:v>
                </c:pt>
                <c:pt idx="708">
                  <c:v>86750</c:v>
                </c:pt>
                <c:pt idx="709">
                  <c:v>90500</c:v>
                </c:pt>
                <c:pt idx="710">
                  <c:v>93875</c:v>
                </c:pt>
                <c:pt idx="711">
                  <c:v>87125</c:v>
                </c:pt>
                <c:pt idx="712">
                  <c:v>88500</c:v>
                </c:pt>
                <c:pt idx="713">
                  <c:v>89625</c:v>
                </c:pt>
                <c:pt idx="714">
                  <c:v>89000</c:v>
                </c:pt>
                <c:pt idx="715">
                  <c:v>93375</c:v>
                </c:pt>
                <c:pt idx="716">
                  <c:v>92125</c:v>
                </c:pt>
                <c:pt idx="717">
                  <c:v>91125</c:v>
                </c:pt>
                <c:pt idx="718">
                  <c:v>89500</c:v>
                </c:pt>
                <c:pt idx="719">
                  <c:v>92000</c:v>
                </c:pt>
                <c:pt idx="720">
                  <c:v>91375</c:v>
                </c:pt>
                <c:pt idx="721">
                  <c:v>88250</c:v>
                </c:pt>
                <c:pt idx="722">
                  <c:v>86750</c:v>
                </c:pt>
                <c:pt idx="723">
                  <c:v>87375</c:v>
                </c:pt>
                <c:pt idx="724">
                  <c:v>83625</c:v>
                </c:pt>
                <c:pt idx="725">
                  <c:v>89000</c:v>
                </c:pt>
                <c:pt idx="726">
                  <c:v>91250</c:v>
                </c:pt>
                <c:pt idx="727">
                  <c:v>90625</c:v>
                </c:pt>
                <c:pt idx="728">
                  <c:v>93500</c:v>
                </c:pt>
                <c:pt idx="729">
                  <c:v>94375</c:v>
                </c:pt>
                <c:pt idx="730">
                  <c:v>97125</c:v>
                </c:pt>
                <c:pt idx="731">
                  <c:v>96500</c:v>
                </c:pt>
                <c:pt idx="732">
                  <c:v>91750</c:v>
                </c:pt>
                <c:pt idx="733">
                  <c:v>86375</c:v>
                </c:pt>
                <c:pt idx="734">
                  <c:v>91750</c:v>
                </c:pt>
                <c:pt idx="735">
                  <c:v>96625</c:v>
                </c:pt>
                <c:pt idx="736">
                  <c:v>93625</c:v>
                </c:pt>
                <c:pt idx="737">
                  <c:v>96625</c:v>
                </c:pt>
                <c:pt idx="738">
                  <c:v>93375</c:v>
                </c:pt>
                <c:pt idx="739">
                  <c:v>88875</c:v>
                </c:pt>
                <c:pt idx="740">
                  <c:v>89875</c:v>
                </c:pt>
                <c:pt idx="741">
                  <c:v>87250</c:v>
                </c:pt>
                <c:pt idx="742">
                  <c:v>81250</c:v>
                </c:pt>
                <c:pt idx="743">
                  <c:v>80250</c:v>
                </c:pt>
                <c:pt idx="744">
                  <c:v>77750</c:v>
                </c:pt>
                <c:pt idx="745">
                  <c:v>76250</c:v>
                </c:pt>
                <c:pt idx="746">
                  <c:v>76375</c:v>
                </c:pt>
                <c:pt idx="747">
                  <c:v>77000</c:v>
                </c:pt>
                <c:pt idx="748">
                  <c:v>77875</c:v>
                </c:pt>
                <c:pt idx="749">
                  <c:v>74375</c:v>
                </c:pt>
                <c:pt idx="750">
                  <c:v>75125</c:v>
                </c:pt>
                <c:pt idx="751">
                  <c:v>73500</c:v>
                </c:pt>
                <c:pt idx="752">
                  <c:v>72625</c:v>
                </c:pt>
                <c:pt idx="753">
                  <c:v>72625</c:v>
                </c:pt>
                <c:pt idx="754">
                  <c:v>67875</c:v>
                </c:pt>
                <c:pt idx="755">
                  <c:v>67375</c:v>
                </c:pt>
                <c:pt idx="756">
                  <c:v>64375</c:v>
                </c:pt>
                <c:pt idx="757">
                  <c:v>67625</c:v>
                </c:pt>
                <c:pt idx="758">
                  <c:v>62875</c:v>
                </c:pt>
                <c:pt idx="759">
                  <c:v>62375</c:v>
                </c:pt>
                <c:pt idx="760">
                  <c:v>59250</c:v>
                </c:pt>
                <c:pt idx="761">
                  <c:v>60375</c:v>
                </c:pt>
                <c:pt idx="762">
                  <c:v>61625</c:v>
                </c:pt>
                <c:pt idx="763">
                  <c:v>59875</c:v>
                </c:pt>
                <c:pt idx="764">
                  <c:v>58625</c:v>
                </c:pt>
                <c:pt idx="765">
                  <c:v>60375</c:v>
                </c:pt>
                <c:pt idx="766">
                  <c:v>64125</c:v>
                </c:pt>
                <c:pt idx="767">
                  <c:v>65250</c:v>
                </c:pt>
                <c:pt idx="768">
                  <c:v>61875</c:v>
                </c:pt>
                <c:pt idx="769">
                  <c:v>60500</c:v>
                </c:pt>
                <c:pt idx="770">
                  <c:v>59375</c:v>
                </c:pt>
                <c:pt idx="771">
                  <c:v>61500</c:v>
                </c:pt>
                <c:pt idx="772">
                  <c:v>59875</c:v>
                </c:pt>
                <c:pt idx="773">
                  <c:v>51625</c:v>
                </c:pt>
                <c:pt idx="774">
                  <c:v>50000</c:v>
                </c:pt>
                <c:pt idx="775">
                  <c:v>48250</c:v>
                </c:pt>
                <c:pt idx="776">
                  <c:v>47750</c:v>
                </c:pt>
                <c:pt idx="777">
                  <c:v>43750</c:v>
                </c:pt>
                <c:pt idx="778">
                  <c:v>43500</c:v>
                </c:pt>
                <c:pt idx="779">
                  <c:v>41375</c:v>
                </c:pt>
                <c:pt idx="780">
                  <c:v>39750</c:v>
                </c:pt>
                <c:pt idx="781">
                  <c:v>36750</c:v>
                </c:pt>
                <c:pt idx="782">
                  <c:v>40500</c:v>
                </c:pt>
                <c:pt idx="783">
                  <c:v>37375</c:v>
                </c:pt>
                <c:pt idx="784">
                  <c:v>38000</c:v>
                </c:pt>
                <c:pt idx="785">
                  <c:v>39750</c:v>
                </c:pt>
                <c:pt idx="786">
                  <c:v>36000</c:v>
                </c:pt>
                <c:pt idx="787">
                  <c:v>32500</c:v>
                </c:pt>
                <c:pt idx="788">
                  <c:v>30500</c:v>
                </c:pt>
                <c:pt idx="789">
                  <c:v>31000</c:v>
                </c:pt>
                <c:pt idx="790">
                  <c:v>30250</c:v>
                </c:pt>
                <c:pt idx="791">
                  <c:v>31125</c:v>
                </c:pt>
                <c:pt idx="792">
                  <c:v>34000</c:v>
                </c:pt>
                <c:pt idx="793">
                  <c:v>30500</c:v>
                </c:pt>
                <c:pt idx="794">
                  <c:v>30250</c:v>
                </c:pt>
                <c:pt idx="795">
                  <c:v>28875</c:v>
                </c:pt>
                <c:pt idx="796">
                  <c:v>27000</c:v>
                </c:pt>
                <c:pt idx="797">
                  <c:v>29625</c:v>
                </c:pt>
                <c:pt idx="798">
                  <c:v>27375</c:v>
                </c:pt>
                <c:pt idx="799">
                  <c:v>30875</c:v>
                </c:pt>
                <c:pt idx="800">
                  <c:v>28875</c:v>
                </c:pt>
                <c:pt idx="801">
                  <c:v>26000</c:v>
                </c:pt>
                <c:pt idx="802">
                  <c:v>27750</c:v>
                </c:pt>
                <c:pt idx="803">
                  <c:v>29500</c:v>
                </c:pt>
                <c:pt idx="804">
                  <c:v>29125</c:v>
                </c:pt>
                <c:pt idx="805">
                  <c:v>31000</c:v>
                </c:pt>
                <c:pt idx="806">
                  <c:v>32875</c:v>
                </c:pt>
                <c:pt idx="807">
                  <c:v>30625</c:v>
                </c:pt>
                <c:pt idx="808">
                  <c:v>30750</c:v>
                </c:pt>
                <c:pt idx="809">
                  <c:v>29250</c:v>
                </c:pt>
                <c:pt idx="810">
                  <c:v>31500</c:v>
                </c:pt>
                <c:pt idx="811">
                  <c:v>33125</c:v>
                </c:pt>
                <c:pt idx="812">
                  <c:v>30125</c:v>
                </c:pt>
                <c:pt idx="813">
                  <c:v>27375</c:v>
                </c:pt>
                <c:pt idx="814">
                  <c:v>27375</c:v>
                </c:pt>
                <c:pt idx="815">
                  <c:v>30125</c:v>
                </c:pt>
                <c:pt idx="816">
                  <c:v>28375</c:v>
                </c:pt>
                <c:pt idx="817">
                  <c:v>27875</c:v>
                </c:pt>
                <c:pt idx="818">
                  <c:v>21250</c:v>
                </c:pt>
                <c:pt idx="819">
                  <c:v>18000</c:v>
                </c:pt>
                <c:pt idx="820">
                  <c:v>22625</c:v>
                </c:pt>
                <c:pt idx="821">
                  <c:v>19250</c:v>
                </c:pt>
                <c:pt idx="822">
                  <c:v>18000</c:v>
                </c:pt>
                <c:pt idx="823">
                  <c:v>19875</c:v>
                </c:pt>
                <c:pt idx="824">
                  <c:v>16125</c:v>
                </c:pt>
                <c:pt idx="825">
                  <c:v>15750</c:v>
                </c:pt>
                <c:pt idx="826">
                  <c:v>18000</c:v>
                </c:pt>
                <c:pt idx="827">
                  <c:v>18875</c:v>
                </c:pt>
                <c:pt idx="828">
                  <c:v>17250</c:v>
                </c:pt>
                <c:pt idx="829">
                  <c:v>15875</c:v>
                </c:pt>
                <c:pt idx="830">
                  <c:v>12875</c:v>
                </c:pt>
                <c:pt idx="831">
                  <c:v>11750</c:v>
                </c:pt>
                <c:pt idx="832">
                  <c:v>9375</c:v>
                </c:pt>
                <c:pt idx="833">
                  <c:v>11250</c:v>
                </c:pt>
                <c:pt idx="834">
                  <c:v>9500</c:v>
                </c:pt>
                <c:pt idx="835">
                  <c:v>8250</c:v>
                </c:pt>
                <c:pt idx="836">
                  <c:v>9250</c:v>
                </c:pt>
                <c:pt idx="837">
                  <c:v>7375</c:v>
                </c:pt>
                <c:pt idx="838">
                  <c:v>7125</c:v>
                </c:pt>
                <c:pt idx="839">
                  <c:v>7250</c:v>
                </c:pt>
                <c:pt idx="840">
                  <c:v>8000</c:v>
                </c:pt>
                <c:pt idx="841">
                  <c:v>12500</c:v>
                </c:pt>
                <c:pt idx="842">
                  <c:v>16250</c:v>
                </c:pt>
                <c:pt idx="843">
                  <c:v>17625</c:v>
                </c:pt>
                <c:pt idx="844">
                  <c:v>19250</c:v>
                </c:pt>
                <c:pt idx="845">
                  <c:v>12875</c:v>
                </c:pt>
                <c:pt idx="846">
                  <c:v>23875</c:v>
                </c:pt>
                <c:pt idx="847">
                  <c:v>20750</c:v>
                </c:pt>
                <c:pt idx="848">
                  <c:v>22125</c:v>
                </c:pt>
                <c:pt idx="849">
                  <c:v>20375</c:v>
                </c:pt>
                <c:pt idx="850">
                  <c:v>20125</c:v>
                </c:pt>
                <c:pt idx="851">
                  <c:v>24875</c:v>
                </c:pt>
                <c:pt idx="852">
                  <c:v>23250</c:v>
                </c:pt>
                <c:pt idx="853">
                  <c:v>26125</c:v>
                </c:pt>
                <c:pt idx="854">
                  <c:v>23125</c:v>
                </c:pt>
                <c:pt idx="855">
                  <c:v>26875</c:v>
                </c:pt>
                <c:pt idx="856">
                  <c:v>28625</c:v>
                </c:pt>
                <c:pt idx="857">
                  <c:v>32875</c:v>
                </c:pt>
                <c:pt idx="858">
                  <c:v>34375</c:v>
                </c:pt>
                <c:pt idx="859">
                  <c:v>32875</c:v>
                </c:pt>
                <c:pt idx="860">
                  <c:v>32250</c:v>
                </c:pt>
                <c:pt idx="861">
                  <c:v>29375</c:v>
                </c:pt>
                <c:pt idx="862">
                  <c:v>31125</c:v>
                </c:pt>
                <c:pt idx="863">
                  <c:v>32375</c:v>
                </c:pt>
                <c:pt idx="864">
                  <c:v>30625</c:v>
                </c:pt>
                <c:pt idx="865">
                  <c:v>31875</c:v>
                </c:pt>
                <c:pt idx="866">
                  <c:v>35500</c:v>
                </c:pt>
                <c:pt idx="867">
                  <c:v>38125</c:v>
                </c:pt>
                <c:pt idx="868">
                  <c:v>38125</c:v>
                </c:pt>
                <c:pt idx="869">
                  <c:v>35125</c:v>
                </c:pt>
                <c:pt idx="870">
                  <c:v>33250</c:v>
                </c:pt>
                <c:pt idx="871">
                  <c:v>28375</c:v>
                </c:pt>
                <c:pt idx="872">
                  <c:v>33000</c:v>
                </c:pt>
                <c:pt idx="873">
                  <c:v>35000</c:v>
                </c:pt>
                <c:pt idx="874">
                  <c:v>29875</c:v>
                </c:pt>
                <c:pt idx="875">
                  <c:v>32750</c:v>
                </c:pt>
                <c:pt idx="876">
                  <c:v>35750</c:v>
                </c:pt>
                <c:pt idx="877">
                  <c:v>34500</c:v>
                </c:pt>
                <c:pt idx="878">
                  <c:v>33750</c:v>
                </c:pt>
                <c:pt idx="879">
                  <c:v>31000</c:v>
                </c:pt>
                <c:pt idx="880">
                  <c:v>30000</c:v>
                </c:pt>
                <c:pt idx="881">
                  <c:v>34375</c:v>
                </c:pt>
                <c:pt idx="882">
                  <c:v>37500</c:v>
                </c:pt>
                <c:pt idx="883">
                  <c:v>36375</c:v>
                </c:pt>
                <c:pt idx="884">
                  <c:v>37875</c:v>
                </c:pt>
                <c:pt idx="885">
                  <c:v>37000</c:v>
                </c:pt>
                <c:pt idx="886">
                  <c:v>39375</c:v>
                </c:pt>
                <c:pt idx="887">
                  <c:v>45750</c:v>
                </c:pt>
                <c:pt idx="888">
                  <c:v>45000</c:v>
                </c:pt>
                <c:pt idx="889">
                  <c:v>44250</c:v>
                </c:pt>
                <c:pt idx="890">
                  <c:v>44875</c:v>
                </c:pt>
                <c:pt idx="891">
                  <c:v>46375</c:v>
                </c:pt>
                <c:pt idx="892">
                  <c:v>45375</c:v>
                </c:pt>
                <c:pt idx="893">
                  <c:v>47000</c:v>
                </c:pt>
                <c:pt idx="894">
                  <c:v>47750</c:v>
                </c:pt>
                <c:pt idx="895">
                  <c:v>44875</c:v>
                </c:pt>
                <c:pt idx="896">
                  <c:v>47500</c:v>
                </c:pt>
                <c:pt idx="897">
                  <c:v>47125</c:v>
                </c:pt>
                <c:pt idx="898">
                  <c:v>44250</c:v>
                </c:pt>
                <c:pt idx="899">
                  <c:v>39250</c:v>
                </c:pt>
                <c:pt idx="900">
                  <c:v>38750</c:v>
                </c:pt>
                <c:pt idx="901">
                  <c:v>43750</c:v>
                </c:pt>
                <c:pt idx="902">
                  <c:v>43375</c:v>
                </c:pt>
                <c:pt idx="903">
                  <c:v>39250</c:v>
                </c:pt>
                <c:pt idx="904">
                  <c:v>38250</c:v>
                </c:pt>
                <c:pt idx="905">
                  <c:v>41375</c:v>
                </c:pt>
                <c:pt idx="906">
                  <c:v>42375</c:v>
                </c:pt>
                <c:pt idx="907">
                  <c:v>34125</c:v>
                </c:pt>
                <c:pt idx="908">
                  <c:v>30875</c:v>
                </c:pt>
                <c:pt idx="909">
                  <c:v>30125</c:v>
                </c:pt>
                <c:pt idx="910">
                  <c:v>34500</c:v>
                </c:pt>
                <c:pt idx="911">
                  <c:v>35750</c:v>
                </c:pt>
                <c:pt idx="912">
                  <c:v>34875</c:v>
                </c:pt>
                <c:pt idx="913">
                  <c:v>32875</c:v>
                </c:pt>
                <c:pt idx="914">
                  <c:v>33750</c:v>
                </c:pt>
                <c:pt idx="915">
                  <c:v>33250</c:v>
                </c:pt>
                <c:pt idx="916">
                  <c:v>32375</c:v>
                </c:pt>
                <c:pt idx="917">
                  <c:v>29125</c:v>
                </c:pt>
                <c:pt idx="918">
                  <c:v>26125</c:v>
                </c:pt>
                <c:pt idx="919">
                  <c:v>26000</c:v>
                </c:pt>
                <c:pt idx="920">
                  <c:v>26250</c:v>
                </c:pt>
                <c:pt idx="921">
                  <c:v>34000</c:v>
                </c:pt>
                <c:pt idx="922">
                  <c:v>31375</c:v>
                </c:pt>
                <c:pt idx="923">
                  <c:v>32875</c:v>
                </c:pt>
                <c:pt idx="924">
                  <c:v>32250</c:v>
                </c:pt>
                <c:pt idx="925">
                  <c:v>36250</c:v>
                </c:pt>
                <c:pt idx="926">
                  <c:v>34500</c:v>
                </c:pt>
                <c:pt idx="927">
                  <c:v>34500</c:v>
                </c:pt>
                <c:pt idx="928">
                  <c:v>32375</c:v>
                </c:pt>
                <c:pt idx="929">
                  <c:v>33625</c:v>
                </c:pt>
                <c:pt idx="930">
                  <c:v>35375</c:v>
                </c:pt>
                <c:pt idx="931">
                  <c:v>32750</c:v>
                </c:pt>
                <c:pt idx="932">
                  <c:v>35375</c:v>
                </c:pt>
                <c:pt idx="933">
                  <c:v>32875</c:v>
                </c:pt>
                <c:pt idx="934">
                  <c:v>30625</c:v>
                </c:pt>
                <c:pt idx="935">
                  <c:v>30250</c:v>
                </c:pt>
                <c:pt idx="936">
                  <c:v>27375</c:v>
                </c:pt>
                <c:pt idx="937">
                  <c:v>30750</c:v>
                </c:pt>
                <c:pt idx="938">
                  <c:v>34375</c:v>
                </c:pt>
                <c:pt idx="939">
                  <c:v>30250</c:v>
                </c:pt>
                <c:pt idx="940">
                  <c:v>31500</c:v>
                </c:pt>
                <c:pt idx="941">
                  <c:v>31250</c:v>
                </c:pt>
                <c:pt idx="942">
                  <c:v>32500</c:v>
                </c:pt>
                <c:pt idx="943">
                  <c:v>29500</c:v>
                </c:pt>
                <c:pt idx="944">
                  <c:v>33000</c:v>
                </c:pt>
                <c:pt idx="945">
                  <c:v>31000</c:v>
                </c:pt>
                <c:pt idx="946">
                  <c:v>33250</c:v>
                </c:pt>
                <c:pt idx="947">
                  <c:v>32250</c:v>
                </c:pt>
                <c:pt idx="948">
                  <c:v>28125</c:v>
                </c:pt>
                <c:pt idx="949">
                  <c:v>26875</c:v>
                </c:pt>
                <c:pt idx="950">
                  <c:v>22875</c:v>
                </c:pt>
                <c:pt idx="951">
                  <c:v>23875</c:v>
                </c:pt>
                <c:pt idx="952">
                  <c:v>23875</c:v>
                </c:pt>
                <c:pt idx="953">
                  <c:v>30625</c:v>
                </c:pt>
                <c:pt idx="954">
                  <c:v>33000</c:v>
                </c:pt>
                <c:pt idx="955">
                  <c:v>34000</c:v>
                </c:pt>
                <c:pt idx="956">
                  <c:v>35250</c:v>
                </c:pt>
                <c:pt idx="957">
                  <c:v>33125</c:v>
                </c:pt>
                <c:pt idx="958">
                  <c:v>33000</c:v>
                </c:pt>
                <c:pt idx="959">
                  <c:v>34500</c:v>
                </c:pt>
                <c:pt idx="960">
                  <c:v>26000</c:v>
                </c:pt>
                <c:pt idx="961">
                  <c:v>28250</c:v>
                </c:pt>
                <c:pt idx="962">
                  <c:v>31125</c:v>
                </c:pt>
                <c:pt idx="963">
                  <c:v>31125</c:v>
                </c:pt>
                <c:pt idx="964">
                  <c:v>30250</c:v>
                </c:pt>
                <c:pt idx="965">
                  <c:v>29000</c:v>
                </c:pt>
                <c:pt idx="966">
                  <c:v>26625</c:v>
                </c:pt>
                <c:pt idx="967">
                  <c:v>26875</c:v>
                </c:pt>
                <c:pt idx="968">
                  <c:v>25625</c:v>
                </c:pt>
                <c:pt idx="969">
                  <c:v>23500</c:v>
                </c:pt>
                <c:pt idx="970">
                  <c:v>24750</c:v>
                </c:pt>
                <c:pt idx="971">
                  <c:v>25250</c:v>
                </c:pt>
                <c:pt idx="972">
                  <c:v>26375</c:v>
                </c:pt>
                <c:pt idx="973">
                  <c:v>26875</c:v>
                </c:pt>
                <c:pt idx="974">
                  <c:v>27000</c:v>
                </c:pt>
                <c:pt idx="975">
                  <c:v>24125</c:v>
                </c:pt>
                <c:pt idx="976">
                  <c:v>23875</c:v>
                </c:pt>
                <c:pt idx="977">
                  <c:v>25250</c:v>
                </c:pt>
                <c:pt idx="978">
                  <c:v>20375</c:v>
                </c:pt>
                <c:pt idx="979">
                  <c:v>18500</c:v>
                </c:pt>
                <c:pt idx="980">
                  <c:v>18875</c:v>
                </c:pt>
                <c:pt idx="981">
                  <c:v>19250</c:v>
                </c:pt>
                <c:pt idx="982">
                  <c:v>18250</c:v>
                </c:pt>
                <c:pt idx="983">
                  <c:v>17000</c:v>
                </c:pt>
                <c:pt idx="984">
                  <c:v>17750</c:v>
                </c:pt>
                <c:pt idx="985">
                  <c:v>17125</c:v>
                </c:pt>
                <c:pt idx="986">
                  <c:v>20500</c:v>
                </c:pt>
                <c:pt idx="987">
                  <c:v>16750</c:v>
                </c:pt>
                <c:pt idx="988">
                  <c:v>16000</c:v>
                </c:pt>
                <c:pt idx="989">
                  <c:v>16375</c:v>
                </c:pt>
                <c:pt idx="990">
                  <c:v>17000</c:v>
                </c:pt>
                <c:pt idx="991">
                  <c:v>16125</c:v>
                </c:pt>
                <c:pt idx="992">
                  <c:v>19375</c:v>
                </c:pt>
                <c:pt idx="993">
                  <c:v>17875</c:v>
                </c:pt>
                <c:pt idx="994">
                  <c:v>20625</c:v>
                </c:pt>
                <c:pt idx="995">
                  <c:v>16500</c:v>
                </c:pt>
                <c:pt idx="996">
                  <c:v>15500</c:v>
                </c:pt>
                <c:pt idx="997">
                  <c:v>18000</c:v>
                </c:pt>
                <c:pt idx="998">
                  <c:v>16000</c:v>
                </c:pt>
                <c:pt idx="999">
                  <c:v>12625</c:v>
                </c:pt>
                <c:pt idx="1000">
                  <c:v>10625</c:v>
                </c:pt>
                <c:pt idx="1001">
                  <c:v>12500</c:v>
                </c:pt>
                <c:pt idx="1002">
                  <c:v>10875</c:v>
                </c:pt>
                <c:pt idx="1003">
                  <c:v>11625</c:v>
                </c:pt>
                <c:pt idx="1004">
                  <c:v>15250</c:v>
                </c:pt>
                <c:pt idx="1005">
                  <c:v>14375</c:v>
                </c:pt>
                <c:pt idx="1006">
                  <c:v>17375</c:v>
                </c:pt>
                <c:pt idx="1007">
                  <c:v>15750</c:v>
                </c:pt>
                <c:pt idx="1008">
                  <c:v>17875</c:v>
                </c:pt>
                <c:pt idx="1009">
                  <c:v>18250</c:v>
                </c:pt>
                <c:pt idx="1010">
                  <c:v>15250</c:v>
                </c:pt>
                <c:pt idx="1011">
                  <c:v>13250</c:v>
                </c:pt>
                <c:pt idx="1012">
                  <c:v>12250</c:v>
                </c:pt>
                <c:pt idx="1013">
                  <c:v>9500</c:v>
                </c:pt>
                <c:pt idx="1014">
                  <c:v>11375</c:v>
                </c:pt>
                <c:pt idx="1015">
                  <c:v>14625</c:v>
                </c:pt>
                <c:pt idx="1016">
                  <c:v>15125</c:v>
                </c:pt>
                <c:pt idx="1017">
                  <c:v>12875</c:v>
                </c:pt>
                <c:pt idx="1018">
                  <c:v>14750</c:v>
                </c:pt>
                <c:pt idx="1019">
                  <c:v>19000</c:v>
                </c:pt>
                <c:pt idx="1020">
                  <c:v>19375</c:v>
                </c:pt>
                <c:pt idx="1021">
                  <c:v>23250</c:v>
                </c:pt>
                <c:pt idx="1022">
                  <c:v>28250</c:v>
                </c:pt>
                <c:pt idx="1023">
                  <c:v>28250</c:v>
                </c:pt>
                <c:pt idx="1024">
                  <c:v>40500</c:v>
                </c:pt>
                <c:pt idx="1025">
                  <c:v>39250</c:v>
                </c:pt>
                <c:pt idx="1026">
                  <c:v>45500</c:v>
                </c:pt>
                <c:pt idx="1027">
                  <c:v>44750</c:v>
                </c:pt>
                <c:pt idx="1028">
                  <c:v>43625</c:v>
                </c:pt>
                <c:pt idx="1029">
                  <c:v>43875</c:v>
                </c:pt>
                <c:pt idx="1030">
                  <c:v>47250</c:v>
                </c:pt>
                <c:pt idx="1031">
                  <c:v>49625</c:v>
                </c:pt>
                <c:pt idx="1032">
                  <c:v>52500</c:v>
                </c:pt>
                <c:pt idx="1033">
                  <c:v>47625</c:v>
                </c:pt>
                <c:pt idx="1034">
                  <c:v>45625</c:v>
                </c:pt>
                <c:pt idx="1035">
                  <c:v>47250</c:v>
                </c:pt>
                <c:pt idx="1036">
                  <c:v>41875</c:v>
                </c:pt>
                <c:pt idx="1037">
                  <c:v>35000</c:v>
                </c:pt>
                <c:pt idx="1038">
                  <c:v>35625</c:v>
                </c:pt>
                <c:pt idx="1039">
                  <c:v>33000</c:v>
                </c:pt>
                <c:pt idx="1040">
                  <c:v>32375</c:v>
                </c:pt>
                <c:pt idx="1041">
                  <c:v>29250</c:v>
                </c:pt>
                <c:pt idx="1042">
                  <c:v>20375</c:v>
                </c:pt>
                <c:pt idx="1043">
                  <c:v>17375</c:v>
                </c:pt>
                <c:pt idx="1044">
                  <c:v>16375</c:v>
                </c:pt>
                <c:pt idx="1045">
                  <c:v>17375</c:v>
                </c:pt>
                <c:pt idx="1046">
                  <c:v>19125</c:v>
                </c:pt>
                <c:pt idx="1047">
                  <c:v>16125</c:v>
                </c:pt>
                <c:pt idx="1048">
                  <c:v>15375</c:v>
                </c:pt>
                <c:pt idx="1049">
                  <c:v>17875</c:v>
                </c:pt>
                <c:pt idx="1050">
                  <c:v>17500</c:v>
                </c:pt>
                <c:pt idx="1051">
                  <c:v>18250</c:v>
                </c:pt>
                <c:pt idx="1052">
                  <c:v>25125</c:v>
                </c:pt>
                <c:pt idx="1053">
                  <c:v>22000</c:v>
                </c:pt>
                <c:pt idx="1054">
                  <c:v>10500</c:v>
                </c:pt>
                <c:pt idx="1055">
                  <c:v>12625</c:v>
                </c:pt>
                <c:pt idx="1056">
                  <c:v>13250</c:v>
                </c:pt>
                <c:pt idx="1057">
                  <c:v>13750</c:v>
                </c:pt>
                <c:pt idx="1058">
                  <c:v>14875</c:v>
                </c:pt>
                <c:pt idx="1059">
                  <c:v>15500</c:v>
                </c:pt>
                <c:pt idx="1060">
                  <c:v>17125</c:v>
                </c:pt>
                <c:pt idx="1061">
                  <c:v>14250</c:v>
                </c:pt>
                <c:pt idx="1062">
                  <c:v>15750</c:v>
                </c:pt>
                <c:pt idx="1063">
                  <c:v>14125</c:v>
                </c:pt>
                <c:pt idx="1064">
                  <c:v>12875</c:v>
                </c:pt>
                <c:pt idx="1065">
                  <c:v>13000</c:v>
                </c:pt>
                <c:pt idx="1066">
                  <c:v>13500</c:v>
                </c:pt>
                <c:pt idx="1067">
                  <c:v>12875</c:v>
                </c:pt>
                <c:pt idx="1068">
                  <c:v>10000</c:v>
                </c:pt>
                <c:pt idx="1069">
                  <c:v>7875</c:v>
                </c:pt>
                <c:pt idx="1070">
                  <c:v>5500</c:v>
                </c:pt>
                <c:pt idx="1071">
                  <c:v>6250</c:v>
                </c:pt>
                <c:pt idx="1072">
                  <c:v>8125</c:v>
                </c:pt>
                <c:pt idx="1073">
                  <c:v>10000</c:v>
                </c:pt>
                <c:pt idx="1074">
                  <c:v>12500</c:v>
                </c:pt>
                <c:pt idx="1075">
                  <c:v>17500</c:v>
                </c:pt>
                <c:pt idx="1076">
                  <c:v>22125</c:v>
                </c:pt>
                <c:pt idx="1077">
                  <c:v>21125</c:v>
                </c:pt>
                <c:pt idx="1078">
                  <c:v>18625</c:v>
                </c:pt>
                <c:pt idx="1079">
                  <c:v>16375</c:v>
                </c:pt>
                <c:pt idx="1080">
                  <c:v>14625</c:v>
                </c:pt>
                <c:pt idx="1081">
                  <c:v>17625</c:v>
                </c:pt>
                <c:pt idx="1082">
                  <c:v>15500</c:v>
                </c:pt>
                <c:pt idx="1083">
                  <c:v>16750</c:v>
                </c:pt>
                <c:pt idx="1084">
                  <c:v>15875</c:v>
                </c:pt>
                <c:pt idx="1085">
                  <c:v>19625</c:v>
                </c:pt>
                <c:pt idx="1086">
                  <c:v>18625</c:v>
                </c:pt>
                <c:pt idx="1087">
                  <c:v>19875</c:v>
                </c:pt>
                <c:pt idx="1088">
                  <c:v>18250</c:v>
                </c:pt>
                <c:pt idx="1089">
                  <c:v>20625</c:v>
                </c:pt>
                <c:pt idx="1090">
                  <c:v>20625</c:v>
                </c:pt>
                <c:pt idx="1091">
                  <c:v>22000</c:v>
                </c:pt>
                <c:pt idx="1092">
                  <c:v>24375</c:v>
                </c:pt>
                <c:pt idx="1093">
                  <c:v>23500</c:v>
                </c:pt>
                <c:pt idx="1094">
                  <c:v>21500</c:v>
                </c:pt>
                <c:pt idx="1095">
                  <c:v>18250</c:v>
                </c:pt>
                <c:pt idx="1096">
                  <c:v>17625</c:v>
                </c:pt>
                <c:pt idx="1097">
                  <c:v>15125</c:v>
                </c:pt>
                <c:pt idx="1098">
                  <c:v>13375</c:v>
                </c:pt>
                <c:pt idx="1099">
                  <c:v>13625</c:v>
                </c:pt>
                <c:pt idx="1100">
                  <c:v>12375</c:v>
                </c:pt>
                <c:pt idx="1101">
                  <c:v>13125</c:v>
                </c:pt>
                <c:pt idx="1102">
                  <c:v>15750</c:v>
                </c:pt>
                <c:pt idx="1103">
                  <c:v>15125</c:v>
                </c:pt>
                <c:pt idx="1104">
                  <c:v>14625</c:v>
                </c:pt>
                <c:pt idx="1105">
                  <c:v>17625</c:v>
                </c:pt>
                <c:pt idx="1106">
                  <c:v>16250</c:v>
                </c:pt>
                <c:pt idx="1107">
                  <c:v>13625</c:v>
                </c:pt>
                <c:pt idx="1108">
                  <c:v>15250</c:v>
                </c:pt>
                <c:pt idx="1109">
                  <c:v>16625</c:v>
                </c:pt>
                <c:pt idx="1110">
                  <c:v>13875</c:v>
                </c:pt>
                <c:pt idx="1111">
                  <c:v>15375</c:v>
                </c:pt>
                <c:pt idx="1112">
                  <c:v>17250</c:v>
                </c:pt>
                <c:pt idx="1113">
                  <c:v>13375</c:v>
                </c:pt>
                <c:pt idx="1114">
                  <c:v>12250</c:v>
                </c:pt>
                <c:pt idx="1115">
                  <c:v>10000</c:v>
                </c:pt>
                <c:pt idx="1116">
                  <c:v>4750</c:v>
                </c:pt>
                <c:pt idx="1117">
                  <c:v>6250</c:v>
                </c:pt>
                <c:pt idx="1118">
                  <c:v>5125</c:v>
                </c:pt>
                <c:pt idx="1119">
                  <c:v>5000</c:v>
                </c:pt>
                <c:pt idx="1120">
                  <c:v>5625</c:v>
                </c:pt>
                <c:pt idx="1121">
                  <c:v>6375</c:v>
                </c:pt>
                <c:pt idx="1122">
                  <c:v>7750</c:v>
                </c:pt>
                <c:pt idx="1123">
                  <c:v>7375</c:v>
                </c:pt>
                <c:pt idx="1124">
                  <c:v>8875</c:v>
                </c:pt>
                <c:pt idx="1125">
                  <c:v>7875</c:v>
                </c:pt>
                <c:pt idx="1126">
                  <c:v>7875</c:v>
                </c:pt>
                <c:pt idx="1127">
                  <c:v>5375</c:v>
                </c:pt>
                <c:pt idx="1128">
                  <c:v>7625</c:v>
                </c:pt>
                <c:pt idx="1129">
                  <c:v>9125</c:v>
                </c:pt>
                <c:pt idx="1130">
                  <c:v>7750</c:v>
                </c:pt>
                <c:pt idx="1131">
                  <c:v>10875</c:v>
                </c:pt>
                <c:pt idx="1132">
                  <c:v>13250</c:v>
                </c:pt>
                <c:pt idx="1133">
                  <c:v>10375</c:v>
                </c:pt>
                <c:pt idx="1134">
                  <c:v>10625</c:v>
                </c:pt>
                <c:pt idx="1135">
                  <c:v>11125</c:v>
                </c:pt>
                <c:pt idx="1136">
                  <c:v>14250</c:v>
                </c:pt>
                <c:pt idx="1137">
                  <c:v>12625</c:v>
                </c:pt>
                <c:pt idx="1138">
                  <c:v>13375</c:v>
                </c:pt>
                <c:pt idx="1139">
                  <c:v>13500</c:v>
                </c:pt>
                <c:pt idx="1140">
                  <c:v>9125</c:v>
                </c:pt>
                <c:pt idx="1141">
                  <c:v>10750</c:v>
                </c:pt>
                <c:pt idx="1142">
                  <c:v>11375</c:v>
                </c:pt>
                <c:pt idx="1143">
                  <c:v>9875</c:v>
                </c:pt>
                <c:pt idx="1144">
                  <c:v>7375</c:v>
                </c:pt>
                <c:pt idx="1145">
                  <c:v>6875</c:v>
                </c:pt>
                <c:pt idx="1146">
                  <c:v>6375</c:v>
                </c:pt>
                <c:pt idx="1147">
                  <c:v>4500</c:v>
                </c:pt>
                <c:pt idx="1148">
                  <c:v>5000</c:v>
                </c:pt>
                <c:pt idx="1149">
                  <c:v>3750</c:v>
                </c:pt>
                <c:pt idx="1150">
                  <c:v>3375</c:v>
                </c:pt>
                <c:pt idx="1151">
                  <c:v>0</c:v>
                </c:pt>
                <c:pt idx="1152">
                  <c:v>750</c:v>
                </c:pt>
                <c:pt idx="1153">
                  <c:v>1250</c:v>
                </c:pt>
                <c:pt idx="1154">
                  <c:v>375</c:v>
                </c:pt>
                <c:pt idx="1155">
                  <c:v>2375</c:v>
                </c:pt>
                <c:pt idx="1156">
                  <c:v>-375</c:v>
                </c:pt>
                <c:pt idx="1157">
                  <c:v>3125</c:v>
                </c:pt>
                <c:pt idx="1158">
                  <c:v>3500</c:v>
                </c:pt>
                <c:pt idx="1159">
                  <c:v>3500</c:v>
                </c:pt>
                <c:pt idx="1160">
                  <c:v>5250</c:v>
                </c:pt>
                <c:pt idx="1161">
                  <c:v>8375</c:v>
                </c:pt>
                <c:pt idx="1162">
                  <c:v>8125</c:v>
                </c:pt>
                <c:pt idx="1163">
                  <c:v>7875</c:v>
                </c:pt>
                <c:pt idx="1164">
                  <c:v>9000</c:v>
                </c:pt>
                <c:pt idx="1165">
                  <c:v>8875</c:v>
                </c:pt>
                <c:pt idx="1166">
                  <c:v>8625</c:v>
                </c:pt>
                <c:pt idx="1167">
                  <c:v>9125</c:v>
                </c:pt>
                <c:pt idx="1168">
                  <c:v>7125</c:v>
                </c:pt>
                <c:pt idx="1169">
                  <c:v>9500</c:v>
                </c:pt>
                <c:pt idx="1170">
                  <c:v>9250</c:v>
                </c:pt>
                <c:pt idx="1171">
                  <c:v>10000</c:v>
                </c:pt>
                <c:pt idx="1172">
                  <c:v>9375</c:v>
                </c:pt>
                <c:pt idx="1173">
                  <c:v>8500</c:v>
                </c:pt>
                <c:pt idx="1174">
                  <c:v>7250</c:v>
                </c:pt>
                <c:pt idx="1175">
                  <c:v>4875</c:v>
                </c:pt>
                <c:pt idx="1176">
                  <c:v>4375</c:v>
                </c:pt>
                <c:pt idx="1177">
                  <c:v>4250</c:v>
                </c:pt>
                <c:pt idx="1178">
                  <c:v>4000</c:v>
                </c:pt>
                <c:pt idx="1179">
                  <c:v>3375</c:v>
                </c:pt>
                <c:pt idx="1180">
                  <c:v>4625</c:v>
                </c:pt>
                <c:pt idx="1181">
                  <c:v>7500</c:v>
                </c:pt>
                <c:pt idx="1182">
                  <c:v>7125</c:v>
                </c:pt>
                <c:pt idx="1183">
                  <c:v>6875</c:v>
                </c:pt>
                <c:pt idx="1184">
                  <c:v>7875</c:v>
                </c:pt>
                <c:pt idx="1185">
                  <c:v>5000</c:v>
                </c:pt>
                <c:pt idx="1186">
                  <c:v>4125</c:v>
                </c:pt>
                <c:pt idx="1187">
                  <c:v>2000</c:v>
                </c:pt>
                <c:pt idx="1188">
                  <c:v>1000</c:v>
                </c:pt>
                <c:pt idx="1189">
                  <c:v>750</c:v>
                </c:pt>
                <c:pt idx="1190">
                  <c:v>1500</c:v>
                </c:pt>
                <c:pt idx="1191">
                  <c:v>1125</c:v>
                </c:pt>
                <c:pt idx="1192">
                  <c:v>500</c:v>
                </c:pt>
                <c:pt idx="1193">
                  <c:v>1250</c:v>
                </c:pt>
                <c:pt idx="1194">
                  <c:v>2000</c:v>
                </c:pt>
                <c:pt idx="1195">
                  <c:v>3000</c:v>
                </c:pt>
                <c:pt idx="1196">
                  <c:v>3750</c:v>
                </c:pt>
                <c:pt idx="1197">
                  <c:v>5125</c:v>
                </c:pt>
                <c:pt idx="1198">
                  <c:v>6875</c:v>
                </c:pt>
                <c:pt idx="1199">
                  <c:v>9500</c:v>
                </c:pt>
                <c:pt idx="1200">
                  <c:v>9375</c:v>
                </c:pt>
                <c:pt idx="1201">
                  <c:v>8875</c:v>
                </c:pt>
                <c:pt idx="1202">
                  <c:v>9125</c:v>
                </c:pt>
                <c:pt idx="1203">
                  <c:v>8375</c:v>
                </c:pt>
                <c:pt idx="1204">
                  <c:v>9750</c:v>
                </c:pt>
                <c:pt idx="1205">
                  <c:v>9875</c:v>
                </c:pt>
                <c:pt idx="1206">
                  <c:v>9125</c:v>
                </c:pt>
                <c:pt idx="1207">
                  <c:v>9875</c:v>
                </c:pt>
                <c:pt idx="1208">
                  <c:v>10000</c:v>
                </c:pt>
                <c:pt idx="1209">
                  <c:v>10750</c:v>
                </c:pt>
                <c:pt idx="1210">
                  <c:v>11125</c:v>
                </c:pt>
                <c:pt idx="1211">
                  <c:v>9750</c:v>
                </c:pt>
                <c:pt idx="1212">
                  <c:v>-750</c:v>
                </c:pt>
                <c:pt idx="1213">
                  <c:v>750</c:v>
                </c:pt>
                <c:pt idx="1214">
                  <c:v>2375</c:v>
                </c:pt>
                <c:pt idx="1215">
                  <c:v>2875</c:v>
                </c:pt>
                <c:pt idx="1216">
                  <c:v>4125</c:v>
                </c:pt>
                <c:pt idx="1217">
                  <c:v>5750</c:v>
                </c:pt>
                <c:pt idx="1218">
                  <c:v>6000</c:v>
                </c:pt>
                <c:pt idx="1219">
                  <c:v>3375</c:v>
                </c:pt>
                <c:pt idx="1220">
                  <c:v>4750</c:v>
                </c:pt>
                <c:pt idx="1221">
                  <c:v>12000</c:v>
                </c:pt>
                <c:pt idx="1222">
                  <c:v>12000</c:v>
                </c:pt>
                <c:pt idx="1223">
                  <c:v>15000</c:v>
                </c:pt>
                <c:pt idx="1224">
                  <c:v>15625</c:v>
                </c:pt>
                <c:pt idx="1225">
                  <c:v>17375</c:v>
                </c:pt>
                <c:pt idx="1226">
                  <c:v>20625</c:v>
                </c:pt>
                <c:pt idx="1227">
                  <c:v>20125</c:v>
                </c:pt>
                <c:pt idx="1228">
                  <c:v>11875</c:v>
                </c:pt>
                <c:pt idx="1229">
                  <c:v>15375</c:v>
                </c:pt>
                <c:pt idx="1230">
                  <c:v>15250</c:v>
                </c:pt>
                <c:pt idx="1231">
                  <c:v>14250</c:v>
                </c:pt>
                <c:pt idx="1232">
                  <c:v>18500</c:v>
                </c:pt>
                <c:pt idx="1233">
                  <c:v>19500</c:v>
                </c:pt>
                <c:pt idx="1234">
                  <c:v>18625</c:v>
                </c:pt>
                <c:pt idx="1235">
                  <c:v>13500</c:v>
                </c:pt>
                <c:pt idx="1236">
                  <c:v>12375</c:v>
                </c:pt>
                <c:pt idx="1237">
                  <c:v>10625</c:v>
                </c:pt>
                <c:pt idx="1238">
                  <c:v>12750</c:v>
                </c:pt>
                <c:pt idx="1239">
                  <c:v>9875</c:v>
                </c:pt>
                <c:pt idx="1240">
                  <c:v>14125</c:v>
                </c:pt>
                <c:pt idx="1241">
                  <c:v>11125</c:v>
                </c:pt>
                <c:pt idx="1242">
                  <c:v>16750</c:v>
                </c:pt>
                <c:pt idx="1243">
                  <c:v>18250</c:v>
                </c:pt>
                <c:pt idx="1244">
                  <c:v>19125</c:v>
                </c:pt>
                <c:pt idx="1245">
                  <c:v>21500</c:v>
                </c:pt>
                <c:pt idx="1246">
                  <c:v>22750</c:v>
                </c:pt>
                <c:pt idx="1247">
                  <c:v>17625</c:v>
                </c:pt>
                <c:pt idx="1248">
                  <c:v>19500</c:v>
                </c:pt>
                <c:pt idx="1249">
                  <c:v>21625</c:v>
                </c:pt>
                <c:pt idx="1250">
                  <c:v>23250</c:v>
                </c:pt>
                <c:pt idx="1251">
                  <c:v>25125</c:v>
                </c:pt>
                <c:pt idx="1252">
                  <c:v>27000</c:v>
                </c:pt>
                <c:pt idx="1253">
                  <c:v>29125</c:v>
                </c:pt>
                <c:pt idx="1254">
                  <c:v>26000</c:v>
                </c:pt>
                <c:pt idx="1255">
                  <c:v>29375</c:v>
                </c:pt>
                <c:pt idx="1256">
                  <c:v>31500</c:v>
                </c:pt>
                <c:pt idx="1257">
                  <c:v>31875</c:v>
                </c:pt>
                <c:pt idx="1258">
                  <c:v>36750</c:v>
                </c:pt>
                <c:pt idx="1259">
                  <c:v>36625</c:v>
                </c:pt>
                <c:pt idx="1260">
                  <c:v>39375</c:v>
                </c:pt>
                <c:pt idx="1261">
                  <c:v>36125</c:v>
                </c:pt>
                <c:pt idx="1262">
                  <c:v>34375</c:v>
                </c:pt>
                <c:pt idx="1263">
                  <c:v>37750</c:v>
                </c:pt>
                <c:pt idx="1264">
                  <c:v>40000</c:v>
                </c:pt>
                <c:pt idx="1265">
                  <c:v>38625</c:v>
                </c:pt>
                <c:pt idx="1266">
                  <c:v>35500</c:v>
                </c:pt>
                <c:pt idx="1267">
                  <c:v>40250</c:v>
                </c:pt>
                <c:pt idx="1268">
                  <c:v>34625</c:v>
                </c:pt>
                <c:pt idx="1269">
                  <c:v>21875</c:v>
                </c:pt>
                <c:pt idx="1270">
                  <c:v>21750</c:v>
                </c:pt>
                <c:pt idx="1271">
                  <c:v>17125</c:v>
                </c:pt>
                <c:pt idx="1272">
                  <c:v>14125</c:v>
                </c:pt>
                <c:pt idx="1273">
                  <c:v>15500</c:v>
                </c:pt>
                <c:pt idx="1274">
                  <c:v>16000</c:v>
                </c:pt>
                <c:pt idx="1275">
                  <c:v>10125</c:v>
                </c:pt>
                <c:pt idx="1276">
                  <c:v>3000</c:v>
                </c:pt>
                <c:pt idx="1277">
                  <c:v>-250</c:v>
                </c:pt>
                <c:pt idx="1278">
                  <c:v>-6000</c:v>
                </c:pt>
                <c:pt idx="1279">
                  <c:v>-7750</c:v>
                </c:pt>
                <c:pt idx="1280">
                  <c:v>-9000</c:v>
                </c:pt>
                <c:pt idx="1281">
                  <c:v>-2375</c:v>
                </c:pt>
                <c:pt idx="1282">
                  <c:v>-5125</c:v>
                </c:pt>
                <c:pt idx="1283">
                  <c:v>-1625</c:v>
                </c:pt>
                <c:pt idx="1284">
                  <c:v>3250</c:v>
                </c:pt>
                <c:pt idx="1285">
                  <c:v>1375</c:v>
                </c:pt>
                <c:pt idx="1286">
                  <c:v>-1250</c:v>
                </c:pt>
                <c:pt idx="1287">
                  <c:v>-125</c:v>
                </c:pt>
                <c:pt idx="1288">
                  <c:v>-6000</c:v>
                </c:pt>
                <c:pt idx="1289">
                  <c:v>-10000</c:v>
                </c:pt>
                <c:pt idx="1290">
                  <c:v>-10250</c:v>
                </c:pt>
                <c:pt idx="1291">
                  <c:v>-10125</c:v>
                </c:pt>
                <c:pt idx="1292">
                  <c:v>-10875</c:v>
                </c:pt>
                <c:pt idx="1293">
                  <c:v>-12000</c:v>
                </c:pt>
                <c:pt idx="1294">
                  <c:v>-9750</c:v>
                </c:pt>
                <c:pt idx="1295">
                  <c:v>-12875</c:v>
                </c:pt>
                <c:pt idx="1296">
                  <c:v>-11000</c:v>
                </c:pt>
                <c:pt idx="1297">
                  <c:v>-13625</c:v>
                </c:pt>
                <c:pt idx="1298">
                  <c:v>-17000</c:v>
                </c:pt>
                <c:pt idx="1299">
                  <c:v>-15250</c:v>
                </c:pt>
                <c:pt idx="1300">
                  <c:v>-16500</c:v>
                </c:pt>
                <c:pt idx="1301">
                  <c:v>-16375</c:v>
                </c:pt>
                <c:pt idx="1302">
                  <c:v>-15375</c:v>
                </c:pt>
                <c:pt idx="1303">
                  <c:v>-15625</c:v>
                </c:pt>
                <c:pt idx="1304">
                  <c:v>-15375</c:v>
                </c:pt>
                <c:pt idx="1305">
                  <c:v>-17000</c:v>
                </c:pt>
                <c:pt idx="1306">
                  <c:v>-18375</c:v>
                </c:pt>
                <c:pt idx="1307">
                  <c:v>-14125</c:v>
                </c:pt>
                <c:pt idx="1308">
                  <c:v>-13750</c:v>
                </c:pt>
                <c:pt idx="1309">
                  <c:v>-13500</c:v>
                </c:pt>
                <c:pt idx="1310">
                  <c:v>-12375</c:v>
                </c:pt>
                <c:pt idx="1311">
                  <c:v>-10500</c:v>
                </c:pt>
                <c:pt idx="1312">
                  <c:v>-11125</c:v>
                </c:pt>
                <c:pt idx="1313">
                  <c:v>-13125</c:v>
                </c:pt>
                <c:pt idx="1314">
                  <c:v>-14250</c:v>
                </c:pt>
                <c:pt idx="1315">
                  <c:v>-16000</c:v>
                </c:pt>
                <c:pt idx="1316">
                  <c:v>-18750</c:v>
                </c:pt>
                <c:pt idx="1317">
                  <c:v>-22000</c:v>
                </c:pt>
                <c:pt idx="1318">
                  <c:v>-24875</c:v>
                </c:pt>
                <c:pt idx="1319">
                  <c:v>-26250</c:v>
                </c:pt>
                <c:pt idx="1320">
                  <c:v>-23125</c:v>
                </c:pt>
                <c:pt idx="1321">
                  <c:v>-19625</c:v>
                </c:pt>
                <c:pt idx="1322">
                  <c:v>-19750</c:v>
                </c:pt>
                <c:pt idx="1323">
                  <c:v>-17500</c:v>
                </c:pt>
                <c:pt idx="1324">
                  <c:v>-14625</c:v>
                </c:pt>
                <c:pt idx="1325">
                  <c:v>-12750</c:v>
                </c:pt>
                <c:pt idx="1326">
                  <c:v>-14000</c:v>
                </c:pt>
                <c:pt idx="1327">
                  <c:v>-18750</c:v>
                </c:pt>
                <c:pt idx="1328">
                  <c:v>-18500</c:v>
                </c:pt>
                <c:pt idx="1329">
                  <c:v>-19375</c:v>
                </c:pt>
                <c:pt idx="1330">
                  <c:v>-15375</c:v>
                </c:pt>
                <c:pt idx="1331">
                  <c:v>-16500</c:v>
                </c:pt>
                <c:pt idx="1332">
                  <c:v>-13750</c:v>
                </c:pt>
                <c:pt idx="1333">
                  <c:v>-13750</c:v>
                </c:pt>
                <c:pt idx="1334">
                  <c:v>-16125</c:v>
                </c:pt>
                <c:pt idx="1335">
                  <c:v>-16375</c:v>
                </c:pt>
                <c:pt idx="1336">
                  <c:v>-19250</c:v>
                </c:pt>
                <c:pt idx="1337">
                  <c:v>-18250</c:v>
                </c:pt>
                <c:pt idx="1338">
                  <c:v>-19250</c:v>
                </c:pt>
                <c:pt idx="1339">
                  <c:v>-19250</c:v>
                </c:pt>
                <c:pt idx="1340">
                  <c:v>-16875</c:v>
                </c:pt>
                <c:pt idx="1341">
                  <c:v>-11250</c:v>
                </c:pt>
                <c:pt idx="1342">
                  <c:v>-9875</c:v>
                </c:pt>
                <c:pt idx="1343">
                  <c:v>-9750</c:v>
                </c:pt>
                <c:pt idx="1344">
                  <c:v>-13625</c:v>
                </c:pt>
                <c:pt idx="1345">
                  <c:v>-13000</c:v>
                </c:pt>
                <c:pt idx="1346">
                  <c:v>-11125</c:v>
                </c:pt>
                <c:pt idx="1347">
                  <c:v>-14750</c:v>
                </c:pt>
                <c:pt idx="1348">
                  <c:v>-10375</c:v>
                </c:pt>
                <c:pt idx="1349">
                  <c:v>-5375</c:v>
                </c:pt>
                <c:pt idx="1350">
                  <c:v>-7875</c:v>
                </c:pt>
                <c:pt idx="1351">
                  <c:v>-7250</c:v>
                </c:pt>
                <c:pt idx="1352">
                  <c:v>-5625</c:v>
                </c:pt>
                <c:pt idx="1353">
                  <c:v>-8125</c:v>
                </c:pt>
                <c:pt idx="1354">
                  <c:v>-8125</c:v>
                </c:pt>
                <c:pt idx="1355">
                  <c:v>-9875</c:v>
                </c:pt>
                <c:pt idx="1356">
                  <c:v>-9625</c:v>
                </c:pt>
                <c:pt idx="1357">
                  <c:v>-6875</c:v>
                </c:pt>
                <c:pt idx="1358">
                  <c:v>-5625</c:v>
                </c:pt>
                <c:pt idx="1359">
                  <c:v>-6375</c:v>
                </c:pt>
                <c:pt idx="1360">
                  <c:v>-6000</c:v>
                </c:pt>
                <c:pt idx="1361">
                  <c:v>-9625</c:v>
                </c:pt>
                <c:pt idx="1362">
                  <c:v>-11625</c:v>
                </c:pt>
                <c:pt idx="1363">
                  <c:v>-10500</c:v>
                </c:pt>
                <c:pt idx="1364">
                  <c:v>-10250</c:v>
                </c:pt>
                <c:pt idx="1365">
                  <c:v>-11250</c:v>
                </c:pt>
                <c:pt idx="1366">
                  <c:v>-7625</c:v>
                </c:pt>
                <c:pt idx="1367">
                  <c:v>-13000</c:v>
                </c:pt>
                <c:pt idx="1368">
                  <c:v>-13250</c:v>
                </c:pt>
                <c:pt idx="1369">
                  <c:v>-15125</c:v>
                </c:pt>
                <c:pt idx="1370">
                  <c:v>-13375</c:v>
                </c:pt>
                <c:pt idx="1371">
                  <c:v>-14375</c:v>
                </c:pt>
                <c:pt idx="1372">
                  <c:v>-13000</c:v>
                </c:pt>
                <c:pt idx="1373">
                  <c:v>-11625</c:v>
                </c:pt>
                <c:pt idx="1374">
                  <c:v>-9375</c:v>
                </c:pt>
                <c:pt idx="1375">
                  <c:v>-8750</c:v>
                </c:pt>
                <c:pt idx="1376">
                  <c:v>-9125</c:v>
                </c:pt>
                <c:pt idx="1377">
                  <c:v>-8750</c:v>
                </c:pt>
                <c:pt idx="1378">
                  <c:v>-9625</c:v>
                </c:pt>
                <c:pt idx="1379">
                  <c:v>-15000</c:v>
                </c:pt>
                <c:pt idx="1380">
                  <c:v>-15000</c:v>
                </c:pt>
                <c:pt idx="1381">
                  <c:v>-18375</c:v>
                </c:pt>
                <c:pt idx="1382">
                  <c:v>-15625</c:v>
                </c:pt>
                <c:pt idx="1383">
                  <c:v>-9875</c:v>
                </c:pt>
                <c:pt idx="1384">
                  <c:v>-9875</c:v>
                </c:pt>
                <c:pt idx="1385">
                  <c:v>-9000</c:v>
                </c:pt>
                <c:pt idx="1386">
                  <c:v>-10000</c:v>
                </c:pt>
                <c:pt idx="1387">
                  <c:v>-9250</c:v>
                </c:pt>
                <c:pt idx="1388">
                  <c:v>-7375</c:v>
                </c:pt>
                <c:pt idx="1389">
                  <c:v>-5875</c:v>
                </c:pt>
                <c:pt idx="1390">
                  <c:v>-6500</c:v>
                </c:pt>
                <c:pt idx="1391">
                  <c:v>-8375</c:v>
                </c:pt>
                <c:pt idx="1392">
                  <c:v>-9000</c:v>
                </c:pt>
                <c:pt idx="1393">
                  <c:v>-8125</c:v>
                </c:pt>
                <c:pt idx="1394">
                  <c:v>-9875</c:v>
                </c:pt>
                <c:pt idx="1395">
                  <c:v>-13000</c:v>
                </c:pt>
                <c:pt idx="1396">
                  <c:v>-13500</c:v>
                </c:pt>
                <c:pt idx="1397">
                  <c:v>-13250</c:v>
                </c:pt>
                <c:pt idx="1398">
                  <c:v>-9625</c:v>
                </c:pt>
                <c:pt idx="1399">
                  <c:v>-12875</c:v>
                </c:pt>
                <c:pt idx="1400">
                  <c:v>-11875</c:v>
                </c:pt>
                <c:pt idx="1401">
                  <c:v>-11250</c:v>
                </c:pt>
                <c:pt idx="1402">
                  <c:v>-8875</c:v>
                </c:pt>
                <c:pt idx="1403">
                  <c:v>-7000</c:v>
                </c:pt>
                <c:pt idx="1404">
                  <c:v>-5875</c:v>
                </c:pt>
                <c:pt idx="1405">
                  <c:v>-7875</c:v>
                </c:pt>
                <c:pt idx="1406">
                  <c:v>-6875</c:v>
                </c:pt>
                <c:pt idx="1407">
                  <c:v>-7500</c:v>
                </c:pt>
                <c:pt idx="1408">
                  <c:v>-8125</c:v>
                </c:pt>
                <c:pt idx="1409">
                  <c:v>-9250</c:v>
                </c:pt>
                <c:pt idx="1410">
                  <c:v>-8125</c:v>
                </c:pt>
                <c:pt idx="1411">
                  <c:v>-7375</c:v>
                </c:pt>
                <c:pt idx="1412">
                  <c:v>-3375</c:v>
                </c:pt>
                <c:pt idx="1413">
                  <c:v>-4625</c:v>
                </c:pt>
                <c:pt idx="1414">
                  <c:v>-2125</c:v>
                </c:pt>
                <c:pt idx="1415">
                  <c:v>-2125</c:v>
                </c:pt>
                <c:pt idx="1416">
                  <c:v>-1875</c:v>
                </c:pt>
                <c:pt idx="1417">
                  <c:v>-4875</c:v>
                </c:pt>
                <c:pt idx="1418">
                  <c:v>-5125</c:v>
                </c:pt>
                <c:pt idx="1419">
                  <c:v>-5875</c:v>
                </c:pt>
                <c:pt idx="1420">
                  <c:v>-7250</c:v>
                </c:pt>
                <c:pt idx="1421">
                  <c:v>-7625</c:v>
                </c:pt>
                <c:pt idx="1422">
                  <c:v>-7000</c:v>
                </c:pt>
                <c:pt idx="1423">
                  <c:v>-2875</c:v>
                </c:pt>
                <c:pt idx="1424">
                  <c:v>-3375</c:v>
                </c:pt>
                <c:pt idx="1425">
                  <c:v>-4625</c:v>
                </c:pt>
                <c:pt idx="1426">
                  <c:v>-3000</c:v>
                </c:pt>
                <c:pt idx="1427">
                  <c:v>-1750</c:v>
                </c:pt>
                <c:pt idx="1428">
                  <c:v>-1750</c:v>
                </c:pt>
                <c:pt idx="1429">
                  <c:v>500</c:v>
                </c:pt>
                <c:pt idx="1430">
                  <c:v>1375</c:v>
                </c:pt>
                <c:pt idx="1431">
                  <c:v>250</c:v>
                </c:pt>
                <c:pt idx="1432">
                  <c:v>2375</c:v>
                </c:pt>
                <c:pt idx="1433">
                  <c:v>1125</c:v>
                </c:pt>
                <c:pt idx="1434">
                  <c:v>-2000</c:v>
                </c:pt>
                <c:pt idx="1435">
                  <c:v>-1750</c:v>
                </c:pt>
                <c:pt idx="1436">
                  <c:v>-1750</c:v>
                </c:pt>
                <c:pt idx="1437">
                  <c:v>-3875</c:v>
                </c:pt>
                <c:pt idx="1438">
                  <c:v>-5250</c:v>
                </c:pt>
                <c:pt idx="1439">
                  <c:v>-6500</c:v>
                </c:pt>
                <c:pt idx="1440">
                  <c:v>-3250</c:v>
                </c:pt>
                <c:pt idx="1441">
                  <c:v>625</c:v>
                </c:pt>
                <c:pt idx="1442">
                  <c:v>1125</c:v>
                </c:pt>
                <c:pt idx="1443">
                  <c:v>500</c:v>
                </c:pt>
                <c:pt idx="1444">
                  <c:v>-625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1445"/>
                <c:pt idx="0">
                  <c:v>50000</c:v>
                </c:pt>
                <c:pt idx="1">
                  <c:v>44500</c:v>
                </c:pt>
                <c:pt idx="2">
                  <c:v>47875</c:v>
                </c:pt>
                <c:pt idx="3">
                  <c:v>59750</c:v>
                </c:pt>
                <c:pt idx="4">
                  <c:v>59875</c:v>
                </c:pt>
                <c:pt idx="5">
                  <c:v>46875</c:v>
                </c:pt>
                <c:pt idx="6">
                  <c:v>32875</c:v>
                </c:pt>
                <c:pt idx="7">
                  <c:v>32250</c:v>
                </c:pt>
                <c:pt idx="8">
                  <c:v>37125</c:v>
                </c:pt>
                <c:pt idx="9">
                  <c:v>49250</c:v>
                </c:pt>
                <c:pt idx="10">
                  <c:v>64250</c:v>
                </c:pt>
                <c:pt idx="11">
                  <c:v>74625</c:v>
                </c:pt>
                <c:pt idx="12">
                  <c:v>78375</c:v>
                </c:pt>
                <c:pt idx="13">
                  <c:v>75375</c:v>
                </c:pt>
                <c:pt idx="14">
                  <c:v>74500</c:v>
                </c:pt>
                <c:pt idx="15">
                  <c:v>88250</c:v>
                </c:pt>
                <c:pt idx="16">
                  <c:v>86625</c:v>
                </c:pt>
                <c:pt idx="17">
                  <c:v>88625</c:v>
                </c:pt>
                <c:pt idx="18">
                  <c:v>96000</c:v>
                </c:pt>
                <c:pt idx="19">
                  <c:v>86625</c:v>
                </c:pt>
                <c:pt idx="20">
                  <c:v>78750</c:v>
                </c:pt>
                <c:pt idx="21">
                  <c:v>118250</c:v>
                </c:pt>
                <c:pt idx="22">
                  <c:v>102375</c:v>
                </c:pt>
                <c:pt idx="23">
                  <c:v>86000</c:v>
                </c:pt>
                <c:pt idx="24">
                  <c:v>100875</c:v>
                </c:pt>
                <c:pt idx="25">
                  <c:v>102250</c:v>
                </c:pt>
                <c:pt idx="26">
                  <c:v>94250</c:v>
                </c:pt>
                <c:pt idx="27">
                  <c:v>88625</c:v>
                </c:pt>
                <c:pt idx="28">
                  <c:v>72000</c:v>
                </c:pt>
                <c:pt idx="29">
                  <c:v>61125</c:v>
                </c:pt>
                <c:pt idx="30">
                  <c:v>60875</c:v>
                </c:pt>
                <c:pt idx="31">
                  <c:v>58750</c:v>
                </c:pt>
                <c:pt idx="32">
                  <c:v>57750</c:v>
                </c:pt>
                <c:pt idx="33">
                  <c:v>54000</c:v>
                </c:pt>
                <c:pt idx="34">
                  <c:v>59125</c:v>
                </c:pt>
                <c:pt idx="35">
                  <c:v>65000</c:v>
                </c:pt>
                <c:pt idx="36">
                  <c:v>62500</c:v>
                </c:pt>
                <c:pt idx="37">
                  <c:v>65625</c:v>
                </c:pt>
                <c:pt idx="38">
                  <c:v>61250</c:v>
                </c:pt>
                <c:pt idx="39">
                  <c:v>60250</c:v>
                </c:pt>
                <c:pt idx="40">
                  <c:v>63625</c:v>
                </c:pt>
                <c:pt idx="41">
                  <c:v>73250</c:v>
                </c:pt>
                <c:pt idx="42">
                  <c:v>65250</c:v>
                </c:pt>
                <c:pt idx="43">
                  <c:v>51500</c:v>
                </c:pt>
                <c:pt idx="44">
                  <c:v>52125</c:v>
                </c:pt>
                <c:pt idx="45">
                  <c:v>60125</c:v>
                </c:pt>
                <c:pt idx="46">
                  <c:v>56000</c:v>
                </c:pt>
                <c:pt idx="47">
                  <c:v>66250</c:v>
                </c:pt>
                <c:pt idx="48">
                  <c:v>66125</c:v>
                </c:pt>
                <c:pt idx="49">
                  <c:v>65500</c:v>
                </c:pt>
                <c:pt idx="50">
                  <c:v>52750</c:v>
                </c:pt>
                <c:pt idx="51">
                  <c:v>53375</c:v>
                </c:pt>
                <c:pt idx="52">
                  <c:v>53000</c:v>
                </c:pt>
                <c:pt idx="53">
                  <c:v>48625</c:v>
                </c:pt>
                <c:pt idx="54">
                  <c:v>47750</c:v>
                </c:pt>
                <c:pt idx="55">
                  <c:v>55000</c:v>
                </c:pt>
                <c:pt idx="56">
                  <c:v>49125</c:v>
                </c:pt>
                <c:pt idx="57">
                  <c:v>46500</c:v>
                </c:pt>
                <c:pt idx="58">
                  <c:v>40750</c:v>
                </c:pt>
                <c:pt idx="59">
                  <c:v>39375</c:v>
                </c:pt>
                <c:pt idx="60">
                  <c:v>39125</c:v>
                </c:pt>
                <c:pt idx="61">
                  <c:v>29875</c:v>
                </c:pt>
                <c:pt idx="62">
                  <c:v>25875</c:v>
                </c:pt>
                <c:pt idx="63">
                  <c:v>23375</c:v>
                </c:pt>
                <c:pt idx="64">
                  <c:v>24750</c:v>
                </c:pt>
                <c:pt idx="65">
                  <c:v>36250</c:v>
                </c:pt>
                <c:pt idx="66">
                  <c:v>29750</c:v>
                </c:pt>
                <c:pt idx="67">
                  <c:v>30750</c:v>
                </c:pt>
                <c:pt idx="68">
                  <c:v>37000</c:v>
                </c:pt>
                <c:pt idx="69">
                  <c:v>43500</c:v>
                </c:pt>
                <c:pt idx="70">
                  <c:v>40500</c:v>
                </c:pt>
                <c:pt idx="71">
                  <c:v>38625</c:v>
                </c:pt>
                <c:pt idx="72">
                  <c:v>48125</c:v>
                </c:pt>
                <c:pt idx="73">
                  <c:v>48625</c:v>
                </c:pt>
                <c:pt idx="74">
                  <c:v>59875</c:v>
                </c:pt>
                <c:pt idx="75">
                  <c:v>64875</c:v>
                </c:pt>
                <c:pt idx="76">
                  <c:v>67625</c:v>
                </c:pt>
                <c:pt idx="77">
                  <c:v>66000</c:v>
                </c:pt>
                <c:pt idx="78">
                  <c:v>66500</c:v>
                </c:pt>
                <c:pt idx="79">
                  <c:v>84500</c:v>
                </c:pt>
                <c:pt idx="80">
                  <c:v>89125</c:v>
                </c:pt>
                <c:pt idx="81">
                  <c:v>86500</c:v>
                </c:pt>
                <c:pt idx="82">
                  <c:v>86500</c:v>
                </c:pt>
                <c:pt idx="83">
                  <c:v>95000</c:v>
                </c:pt>
                <c:pt idx="84">
                  <c:v>94375</c:v>
                </c:pt>
                <c:pt idx="85">
                  <c:v>115000</c:v>
                </c:pt>
                <c:pt idx="86">
                  <c:v>115625</c:v>
                </c:pt>
                <c:pt idx="87">
                  <c:v>116250</c:v>
                </c:pt>
                <c:pt idx="88">
                  <c:v>108125</c:v>
                </c:pt>
                <c:pt idx="89">
                  <c:v>107625</c:v>
                </c:pt>
                <c:pt idx="90">
                  <c:v>110875</c:v>
                </c:pt>
                <c:pt idx="91">
                  <c:v>88875</c:v>
                </c:pt>
                <c:pt idx="92">
                  <c:v>92750</c:v>
                </c:pt>
                <c:pt idx="93">
                  <c:v>92375</c:v>
                </c:pt>
                <c:pt idx="94">
                  <c:v>90875</c:v>
                </c:pt>
                <c:pt idx="95">
                  <c:v>90750</c:v>
                </c:pt>
                <c:pt idx="96">
                  <c:v>89375</c:v>
                </c:pt>
                <c:pt idx="97">
                  <c:v>88750</c:v>
                </c:pt>
                <c:pt idx="98">
                  <c:v>87375</c:v>
                </c:pt>
                <c:pt idx="99">
                  <c:v>85000</c:v>
                </c:pt>
                <c:pt idx="100">
                  <c:v>84125</c:v>
                </c:pt>
                <c:pt idx="101">
                  <c:v>85375</c:v>
                </c:pt>
                <c:pt idx="102">
                  <c:v>93000</c:v>
                </c:pt>
                <c:pt idx="103">
                  <c:v>85375</c:v>
                </c:pt>
                <c:pt idx="104">
                  <c:v>85625</c:v>
                </c:pt>
                <c:pt idx="105">
                  <c:v>89875</c:v>
                </c:pt>
                <c:pt idx="106">
                  <c:v>88000</c:v>
                </c:pt>
                <c:pt idx="107">
                  <c:v>89750</c:v>
                </c:pt>
                <c:pt idx="108">
                  <c:v>85000</c:v>
                </c:pt>
                <c:pt idx="109">
                  <c:v>83625</c:v>
                </c:pt>
                <c:pt idx="110">
                  <c:v>84875</c:v>
                </c:pt>
                <c:pt idx="111">
                  <c:v>80750</c:v>
                </c:pt>
                <c:pt idx="112">
                  <c:v>83375</c:v>
                </c:pt>
                <c:pt idx="113">
                  <c:v>87625</c:v>
                </c:pt>
                <c:pt idx="114">
                  <c:v>94375</c:v>
                </c:pt>
                <c:pt idx="115">
                  <c:v>90375</c:v>
                </c:pt>
                <c:pt idx="116">
                  <c:v>91375</c:v>
                </c:pt>
                <c:pt idx="117">
                  <c:v>105375</c:v>
                </c:pt>
                <c:pt idx="118">
                  <c:v>107875</c:v>
                </c:pt>
                <c:pt idx="119">
                  <c:v>112375</c:v>
                </c:pt>
                <c:pt idx="120">
                  <c:v>112500</c:v>
                </c:pt>
                <c:pt idx="121">
                  <c:v>116250</c:v>
                </c:pt>
                <c:pt idx="122">
                  <c:v>120125</c:v>
                </c:pt>
                <c:pt idx="123">
                  <c:v>115500</c:v>
                </c:pt>
                <c:pt idx="124">
                  <c:v>111750</c:v>
                </c:pt>
                <c:pt idx="125">
                  <c:v>109750</c:v>
                </c:pt>
                <c:pt idx="126">
                  <c:v>114000</c:v>
                </c:pt>
                <c:pt idx="127">
                  <c:v>118500</c:v>
                </c:pt>
                <c:pt idx="128">
                  <c:v>120500</c:v>
                </c:pt>
                <c:pt idx="129">
                  <c:v>118750</c:v>
                </c:pt>
                <c:pt idx="130">
                  <c:v>122000</c:v>
                </c:pt>
                <c:pt idx="131">
                  <c:v>115750</c:v>
                </c:pt>
                <c:pt idx="132">
                  <c:v>120875</c:v>
                </c:pt>
                <c:pt idx="133">
                  <c:v>118375</c:v>
                </c:pt>
                <c:pt idx="134">
                  <c:v>119750</c:v>
                </c:pt>
                <c:pt idx="135">
                  <c:v>123875</c:v>
                </c:pt>
                <c:pt idx="136">
                  <c:v>125500</c:v>
                </c:pt>
                <c:pt idx="137">
                  <c:v>124375</c:v>
                </c:pt>
                <c:pt idx="138">
                  <c:v>116000</c:v>
                </c:pt>
                <c:pt idx="139">
                  <c:v>112375</c:v>
                </c:pt>
                <c:pt idx="140">
                  <c:v>108250</c:v>
                </c:pt>
                <c:pt idx="141">
                  <c:v>104500</c:v>
                </c:pt>
                <c:pt idx="142">
                  <c:v>105125</c:v>
                </c:pt>
                <c:pt idx="143">
                  <c:v>99250</c:v>
                </c:pt>
                <c:pt idx="144">
                  <c:v>94000</c:v>
                </c:pt>
                <c:pt idx="145">
                  <c:v>97125</c:v>
                </c:pt>
                <c:pt idx="146">
                  <c:v>93125</c:v>
                </c:pt>
                <c:pt idx="147">
                  <c:v>88375</c:v>
                </c:pt>
                <c:pt idx="148">
                  <c:v>87625</c:v>
                </c:pt>
                <c:pt idx="149">
                  <c:v>93375</c:v>
                </c:pt>
                <c:pt idx="150">
                  <c:v>92625</c:v>
                </c:pt>
                <c:pt idx="151">
                  <c:v>88625</c:v>
                </c:pt>
                <c:pt idx="152">
                  <c:v>88500</c:v>
                </c:pt>
                <c:pt idx="153">
                  <c:v>89875</c:v>
                </c:pt>
                <c:pt idx="154">
                  <c:v>109875</c:v>
                </c:pt>
                <c:pt idx="155">
                  <c:v>114750</c:v>
                </c:pt>
                <c:pt idx="156">
                  <c:v>112000</c:v>
                </c:pt>
                <c:pt idx="157">
                  <c:v>118375</c:v>
                </c:pt>
                <c:pt idx="158">
                  <c:v>113500</c:v>
                </c:pt>
                <c:pt idx="159">
                  <c:v>111625</c:v>
                </c:pt>
                <c:pt idx="160">
                  <c:v>105750</c:v>
                </c:pt>
                <c:pt idx="161">
                  <c:v>99500</c:v>
                </c:pt>
                <c:pt idx="162">
                  <c:v>98375</c:v>
                </c:pt>
                <c:pt idx="163">
                  <c:v>96250</c:v>
                </c:pt>
                <c:pt idx="164">
                  <c:v>96250</c:v>
                </c:pt>
                <c:pt idx="165">
                  <c:v>100250</c:v>
                </c:pt>
                <c:pt idx="166">
                  <c:v>97875</c:v>
                </c:pt>
                <c:pt idx="167">
                  <c:v>93875</c:v>
                </c:pt>
                <c:pt idx="168">
                  <c:v>95625</c:v>
                </c:pt>
                <c:pt idx="169">
                  <c:v>94500</c:v>
                </c:pt>
                <c:pt idx="170">
                  <c:v>94000</c:v>
                </c:pt>
                <c:pt idx="171">
                  <c:v>94750</c:v>
                </c:pt>
                <c:pt idx="172">
                  <c:v>94250</c:v>
                </c:pt>
                <c:pt idx="173">
                  <c:v>99250</c:v>
                </c:pt>
                <c:pt idx="174">
                  <c:v>100875</c:v>
                </c:pt>
                <c:pt idx="175">
                  <c:v>97875</c:v>
                </c:pt>
                <c:pt idx="176">
                  <c:v>99000</c:v>
                </c:pt>
                <c:pt idx="177">
                  <c:v>102250</c:v>
                </c:pt>
                <c:pt idx="178">
                  <c:v>98875</c:v>
                </c:pt>
                <c:pt idx="179">
                  <c:v>94000</c:v>
                </c:pt>
                <c:pt idx="180">
                  <c:v>100875</c:v>
                </c:pt>
                <c:pt idx="181">
                  <c:v>97375</c:v>
                </c:pt>
                <c:pt idx="182">
                  <c:v>96250</c:v>
                </c:pt>
                <c:pt idx="183">
                  <c:v>95125</c:v>
                </c:pt>
                <c:pt idx="184">
                  <c:v>93500</c:v>
                </c:pt>
                <c:pt idx="185">
                  <c:v>89875</c:v>
                </c:pt>
                <c:pt idx="186">
                  <c:v>86875</c:v>
                </c:pt>
                <c:pt idx="187">
                  <c:v>88875</c:v>
                </c:pt>
                <c:pt idx="188">
                  <c:v>88625</c:v>
                </c:pt>
                <c:pt idx="189">
                  <c:v>83000</c:v>
                </c:pt>
                <c:pt idx="190">
                  <c:v>84625</c:v>
                </c:pt>
                <c:pt idx="191">
                  <c:v>93250</c:v>
                </c:pt>
                <c:pt idx="192">
                  <c:v>94250</c:v>
                </c:pt>
                <c:pt idx="193">
                  <c:v>89250</c:v>
                </c:pt>
                <c:pt idx="194">
                  <c:v>82125</c:v>
                </c:pt>
                <c:pt idx="195">
                  <c:v>80625</c:v>
                </c:pt>
                <c:pt idx="196">
                  <c:v>82375</c:v>
                </c:pt>
                <c:pt idx="197">
                  <c:v>76625</c:v>
                </c:pt>
                <c:pt idx="198">
                  <c:v>75375</c:v>
                </c:pt>
                <c:pt idx="199">
                  <c:v>77125</c:v>
                </c:pt>
                <c:pt idx="200">
                  <c:v>87500</c:v>
                </c:pt>
                <c:pt idx="201">
                  <c:v>88500</c:v>
                </c:pt>
                <c:pt idx="202">
                  <c:v>89000</c:v>
                </c:pt>
                <c:pt idx="203">
                  <c:v>88875</c:v>
                </c:pt>
                <c:pt idx="204">
                  <c:v>89875</c:v>
                </c:pt>
                <c:pt idx="205">
                  <c:v>93375</c:v>
                </c:pt>
                <c:pt idx="206">
                  <c:v>99375</c:v>
                </c:pt>
                <c:pt idx="207">
                  <c:v>106000</c:v>
                </c:pt>
                <c:pt idx="208">
                  <c:v>88375</c:v>
                </c:pt>
                <c:pt idx="209">
                  <c:v>81750</c:v>
                </c:pt>
                <c:pt idx="210">
                  <c:v>79000</c:v>
                </c:pt>
                <c:pt idx="211">
                  <c:v>83375</c:v>
                </c:pt>
                <c:pt idx="212">
                  <c:v>81250</c:v>
                </c:pt>
                <c:pt idx="213">
                  <c:v>81250</c:v>
                </c:pt>
                <c:pt idx="214">
                  <c:v>84250</c:v>
                </c:pt>
                <c:pt idx="215">
                  <c:v>92125</c:v>
                </c:pt>
                <c:pt idx="216">
                  <c:v>93625</c:v>
                </c:pt>
                <c:pt idx="217">
                  <c:v>90500</c:v>
                </c:pt>
                <c:pt idx="218">
                  <c:v>97250</c:v>
                </c:pt>
                <c:pt idx="219">
                  <c:v>97375</c:v>
                </c:pt>
                <c:pt idx="220">
                  <c:v>100375</c:v>
                </c:pt>
                <c:pt idx="221">
                  <c:v>107625</c:v>
                </c:pt>
                <c:pt idx="222">
                  <c:v>101750</c:v>
                </c:pt>
                <c:pt idx="223">
                  <c:v>103000</c:v>
                </c:pt>
                <c:pt idx="224">
                  <c:v>100125</c:v>
                </c:pt>
                <c:pt idx="225">
                  <c:v>99750</c:v>
                </c:pt>
                <c:pt idx="226">
                  <c:v>103625</c:v>
                </c:pt>
                <c:pt idx="227">
                  <c:v>101750</c:v>
                </c:pt>
                <c:pt idx="228">
                  <c:v>85375</c:v>
                </c:pt>
                <c:pt idx="229">
                  <c:v>83750</c:v>
                </c:pt>
                <c:pt idx="230">
                  <c:v>78375</c:v>
                </c:pt>
                <c:pt idx="231">
                  <c:v>89000</c:v>
                </c:pt>
                <c:pt idx="232">
                  <c:v>86875</c:v>
                </c:pt>
                <c:pt idx="233">
                  <c:v>75250</c:v>
                </c:pt>
                <c:pt idx="234">
                  <c:v>80125</c:v>
                </c:pt>
                <c:pt idx="235">
                  <c:v>75875</c:v>
                </c:pt>
                <c:pt idx="236">
                  <c:v>81875</c:v>
                </c:pt>
                <c:pt idx="237">
                  <c:v>99375</c:v>
                </c:pt>
                <c:pt idx="238">
                  <c:v>106500</c:v>
                </c:pt>
                <c:pt idx="239">
                  <c:v>106125</c:v>
                </c:pt>
                <c:pt idx="240">
                  <c:v>98875</c:v>
                </c:pt>
                <c:pt idx="241">
                  <c:v>91125</c:v>
                </c:pt>
                <c:pt idx="242">
                  <c:v>84875</c:v>
                </c:pt>
                <c:pt idx="243">
                  <c:v>80250</c:v>
                </c:pt>
                <c:pt idx="244">
                  <c:v>79625</c:v>
                </c:pt>
                <c:pt idx="245">
                  <c:v>93375</c:v>
                </c:pt>
                <c:pt idx="246">
                  <c:v>94250</c:v>
                </c:pt>
                <c:pt idx="247">
                  <c:v>106375</c:v>
                </c:pt>
                <c:pt idx="248">
                  <c:v>109250</c:v>
                </c:pt>
                <c:pt idx="249">
                  <c:v>115500</c:v>
                </c:pt>
                <c:pt idx="250">
                  <c:v>116625</c:v>
                </c:pt>
                <c:pt idx="251">
                  <c:v>116375</c:v>
                </c:pt>
                <c:pt idx="252">
                  <c:v>118750</c:v>
                </c:pt>
                <c:pt idx="253">
                  <c:v>114375</c:v>
                </c:pt>
                <c:pt idx="254">
                  <c:v>112500</c:v>
                </c:pt>
                <c:pt idx="255">
                  <c:v>105250</c:v>
                </c:pt>
                <c:pt idx="256">
                  <c:v>99500</c:v>
                </c:pt>
                <c:pt idx="257">
                  <c:v>97250</c:v>
                </c:pt>
                <c:pt idx="258">
                  <c:v>101250</c:v>
                </c:pt>
                <c:pt idx="259">
                  <c:v>105625</c:v>
                </c:pt>
                <c:pt idx="260">
                  <c:v>98375</c:v>
                </c:pt>
                <c:pt idx="261">
                  <c:v>96625</c:v>
                </c:pt>
                <c:pt idx="262">
                  <c:v>106000</c:v>
                </c:pt>
                <c:pt idx="263">
                  <c:v>95875</c:v>
                </c:pt>
                <c:pt idx="264">
                  <c:v>91375</c:v>
                </c:pt>
                <c:pt idx="265">
                  <c:v>92125</c:v>
                </c:pt>
                <c:pt idx="266">
                  <c:v>100125</c:v>
                </c:pt>
                <c:pt idx="267">
                  <c:v>100125</c:v>
                </c:pt>
                <c:pt idx="268">
                  <c:v>82750</c:v>
                </c:pt>
                <c:pt idx="269">
                  <c:v>75000</c:v>
                </c:pt>
                <c:pt idx="270">
                  <c:v>71500</c:v>
                </c:pt>
                <c:pt idx="271">
                  <c:v>73000</c:v>
                </c:pt>
                <c:pt idx="272">
                  <c:v>60375</c:v>
                </c:pt>
                <c:pt idx="273">
                  <c:v>51750</c:v>
                </c:pt>
                <c:pt idx="274">
                  <c:v>37500</c:v>
                </c:pt>
                <c:pt idx="275">
                  <c:v>17250</c:v>
                </c:pt>
                <c:pt idx="276">
                  <c:v>20625</c:v>
                </c:pt>
                <c:pt idx="277">
                  <c:v>7000</c:v>
                </c:pt>
                <c:pt idx="278">
                  <c:v>13875</c:v>
                </c:pt>
                <c:pt idx="279">
                  <c:v>29625</c:v>
                </c:pt>
                <c:pt idx="280">
                  <c:v>7875</c:v>
                </c:pt>
                <c:pt idx="281">
                  <c:v>7125</c:v>
                </c:pt>
                <c:pt idx="282">
                  <c:v>-10750</c:v>
                </c:pt>
                <c:pt idx="283">
                  <c:v>-14750</c:v>
                </c:pt>
                <c:pt idx="284">
                  <c:v>-20625</c:v>
                </c:pt>
                <c:pt idx="285">
                  <c:v>-24375</c:v>
                </c:pt>
                <c:pt idx="286">
                  <c:v>-34125</c:v>
                </c:pt>
                <c:pt idx="287">
                  <c:v>-26625</c:v>
                </c:pt>
                <c:pt idx="288">
                  <c:v>-16875</c:v>
                </c:pt>
                <c:pt idx="289">
                  <c:v>-22000</c:v>
                </c:pt>
                <c:pt idx="290">
                  <c:v>-14500</c:v>
                </c:pt>
                <c:pt idx="291">
                  <c:v>-22625</c:v>
                </c:pt>
                <c:pt idx="292">
                  <c:v>-33875</c:v>
                </c:pt>
                <c:pt idx="293">
                  <c:v>-28750</c:v>
                </c:pt>
                <c:pt idx="294">
                  <c:v>-16625</c:v>
                </c:pt>
                <c:pt idx="295">
                  <c:v>-23125</c:v>
                </c:pt>
                <c:pt idx="296">
                  <c:v>-29750</c:v>
                </c:pt>
                <c:pt idx="297">
                  <c:v>-27000</c:v>
                </c:pt>
                <c:pt idx="298">
                  <c:v>-22000</c:v>
                </c:pt>
                <c:pt idx="299">
                  <c:v>-28500</c:v>
                </c:pt>
                <c:pt idx="300">
                  <c:v>-36125</c:v>
                </c:pt>
                <c:pt idx="301">
                  <c:v>-26875</c:v>
                </c:pt>
                <c:pt idx="302">
                  <c:v>-18250</c:v>
                </c:pt>
                <c:pt idx="303">
                  <c:v>-13250</c:v>
                </c:pt>
                <c:pt idx="304">
                  <c:v>-19500</c:v>
                </c:pt>
                <c:pt idx="305">
                  <c:v>-24250</c:v>
                </c:pt>
                <c:pt idx="306">
                  <c:v>-23625</c:v>
                </c:pt>
                <c:pt idx="307">
                  <c:v>-32125</c:v>
                </c:pt>
                <c:pt idx="308">
                  <c:v>-40000</c:v>
                </c:pt>
                <c:pt idx="309">
                  <c:v>-37875</c:v>
                </c:pt>
                <c:pt idx="310">
                  <c:v>-28125</c:v>
                </c:pt>
                <c:pt idx="311">
                  <c:v>-25625</c:v>
                </c:pt>
                <c:pt idx="312">
                  <c:v>-22500</c:v>
                </c:pt>
                <c:pt idx="313">
                  <c:v>-19750</c:v>
                </c:pt>
                <c:pt idx="314">
                  <c:v>-29250</c:v>
                </c:pt>
                <c:pt idx="315">
                  <c:v>-32250</c:v>
                </c:pt>
                <c:pt idx="316">
                  <c:v>-25625</c:v>
                </c:pt>
                <c:pt idx="317">
                  <c:v>-24125</c:v>
                </c:pt>
                <c:pt idx="318">
                  <c:v>-20500</c:v>
                </c:pt>
                <c:pt idx="319">
                  <c:v>-24125</c:v>
                </c:pt>
                <c:pt idx="320">
                  <c:v>-23375</c:v>
                </c:pt>
                <c:pt idx="321">
                  <c:v>-15000</c:v>
                </c:pt>
                <c:pt idx="322">
                  <c:v>-16625</c:v>
                </c:pt>
                <c:pt idx="323">
                  <c:v>-9625</c:v>
                </c:pt>
                <c:pt idx="324">
                  <c:v>-12375</c:v>
                </c:pt>
                <c:pt idx="325">
                  <c:v>-17000</c:v>
                </c:pt>
                <c:pt idx="326">
                  <c:v>-2625</c:v>
                </c:pt>
                <c:pt idx="327">
                  <c:v>3375</c:v>
                </c:pt>
                <c:pt idx="328">
                  <c:v>-3125</c:v>
                </c:pt>
                <c:pt idx="329">
                  <c:v>1250</c:v>
                </c:pt>
                <c:pt idx="330">
                  <c:v>-375</c:v>
                </c:pt>
                <c:pt idx="331">
                  <c:v>1625</c:v>
                </c:pt>
                <c:pt idx="332">
                  <c:v>2625</c:v>
                </c:pt>
                <c:pt idx="333">
                  <c:v>11250</c:v>
                </c:pt>
                <c:pt idx="334">
                  <c:v>16750</c:v>
                </c:pt>
                <c:pt idx="335">
                  <c:v>-4375</c:v>
                </c:pt>
                <c:pt idx="336">
                  <c:v>-5250</c:v>
                </c:pt>
                <c:pt idx="337">
                  <c:v>-2500</c:v>
                </c:pt>
                <c:pt idx="338">
                  <c:v>-5375</c:v>
                </c:pt>
                <c:pt idx="339">
                  <c:v>-7625</c:v>
                </c:pt>
                <c:pt idx="340">
                  <c:v>-750</c:v>
                </c:pt>
                <c:pt idx="341">
                  <c:v>2500</c:v>
                </c:pt>
                <c:pt idx="342">
                  <c:v>5500</c:v>
                </c:pt>
                <c:pt idx="343">
                  <c:v>-13750</c:v>
                </c:pt>
                <c:pt idx="344">
                  <c:v>-2250</c:v>
                </c:pt>
                <c:pt idx="345">
                  <c:v>5875</c:v>
                </c:pt>
                <c:pt idx="346">
                  <c:v>5875</c:v>
                </c:pt>
                <c:pt idx="347">
                  <c:v>2250</c:v>
                </c:pt>
                <c:pt idx="348">
                  <c:v>-6125</c:v>
                </c:pt>
                <c:pt idx="349">
                  <c:v>-8250</c:v>
                </c:pt>
                <c:pt idx="350">
                  <c:v>-7750</c:v>
                </c:pt>
                <c:pt idx="351">
                  <c:v>-3125</c:v>
                </c:pt>
                <c:pt idx="352">
                  <c:v>-3125</c:v>
                </c:pt>
                <c:pt idx="353">
                  <c:v>1750</c:v>
                </c:pt>
                <c:pt idx="354">
                  <c:v>4625</c:v>
                </c:pt>
                <c:pt idx="355">
                  <c:v>5250</c:v>
                </c:pt>
                <c:pt idx="356">
                  <c:v>3875</c:v>
                </c:pt>
                <c:pt idx="357">
                  <c:v>-3000</c:v>
                </c:pt>
                <c:pt idx="358">
                  <c:v>-3375</c:v>
                </c:pt>
                <c:pt idx="359">
                  <c:v>3125</c:v>
                </c:pt>
                <c:pt idx="360">
                  <c:v>6750</c:v>
                </c:pt>
                <c:pt idx="361">
                  <c:v>3750</c:v>
                </c:pt>
                <c:pt idx="362">
                  <c:v>2125</c:v>
                </c:pt>
                <c:pt idx="363">
                  <c:v>1625</c:v>
                </c:pt>
                <c:pt idx="364">
                  <c:v>3250</c:v>
                </c:pt>
                <c:pt idx="365">
                  <c:v>14875</c:v>
                </c:pt>
                <c:pt idx="366">
                  <c:v>10000</c:v>
                </c:pt>
                <c:pt idx="367">
                  <c:v>12500</c:v>
                </c:pt>
                <c:pt idx="368">
                  <c:v>10375</c:v>
                </c:pt>
                <c:pt idx="369">
                  <c:v>4750</c:v>
                </c:pt>
                <c:pt idx="370">
                  <c:v>1625</c:v>
                </c:pt>
                <c:pt idx="371">
                  <c:v>4125</c:v>
                </c:pt>
                <c:pt idx="372">
                  <c:v>1000</c:v>
                </c:pt>
                <c:pt idx="373">
                  <c:v>-500</c:v>
                </c:pt>
                <c:pt idx="374">
                  <c:v>-2125</c:v>
                </c:pt>
                <c:pt idx="375">
                  <c:v>-7375</c:v>
                </c:pt>
                <c:pt idx="376">
                  <c:v>-3500</c:v>
                </c:pt>
                <c:pt idx="377">
                  <c:v>1000</c:v>
                </c:pt>
                <c:pt idx="378">
                  <c:v>-375</c:v>
                </c:pt>
                <c:pt idx="379">
                  <c:v>1000</c:v>
                </c:pt>
                <c:pt idx="380">
                  <c:v>-2000</c:v>
                </c:pt>
                <c:pt idx="381">
                  <c:v>1375</c:v>
                </c:pt>
                <c:pt idx="382">
                  <c:v>6875</c:v>
                </c:pt>
                <c:pt idx="383">
                  <c:v>11250</c:v>
                </c:pt>
                <c:pt idx="384">
                  <c:v>12875</c:v>
                </c:pt>
                <c:pt idx="385">
                  <c:v>13500</c:v>
                </c:pt>
                <c:pt idx="386">
                  <c:v>17000</c:v>
                </c:pt>
                <c:pt idx="387">
                  <c:v>10875</c:v>
                </c:pt>
                <c:pt idx="388">
                  <c:v>14125</c:v>
                </c:pt>
                <c:pt idx="389">
                  <c:v>16375</c:v>
                </c:pt>
                <c:pt idx="390">
                  <c:v>23375</c:v>
                </c:pt>
                <c:pt idx="391">
                  <c:v>28250</c:v>
                </c:pt>
                <c:pt idx="392">
                  <c:v>25625</c:v>
                </c:pt>
                <c:pt idx="393">
                  <c:v>23500</c:v>
                </c:pt>
                <c:pt idx="394">
                  <c:v>28750</c:v>
                </c:pt>
                <c:pt idx="395">
                  <c:v>30375</c:v>
                </c:pt>
                <c:pt idx="396">
                  <c:v>29500</c:v>
                </c:pt>
                <c:pt idx="397">
                  <c:v>27500</c:v>
                </c:pt>
                <c:pt idx="398">
                  <c:v>31000</c:v>
                </c:pt>
                <c:pt idx="399">
                  <c:v>30500</c:v>
                </c:pt>
                <c:pt idx="400">
                  <c:v>34250</c:v>
                </c:pt>
                <c:pt idx="401">
                  <c:v>33375</c:v>
                </c:pt>
                <c:pt idx="402">
                  <c:v>30000</c:v>
                </c:pt>
                <c:pt idx="403">
                  <c:v>28750</c:v>
                </c:pt>
                <c:pt idx="404">
                  <c:v>26875</c:v>
                </c:pt>
                <c:pt idx="405">
                  <c:v>18375</c:v>
                </c:pt>
                <c:pt idx="406">
                  <c:v>14500</c:v>
                </c:pt>
                <c:pt idx="407">
                  <c:v>10000</c:v>
                </c:pt>
                <c:pt idx="408">
                  <c:v>11250</c:v>
                </c:pt>
                <c:pt idx="409">
                  <c:v>12125</c:v>
                </c:pt>
                <c:pt idx="410">
                  <c:v>11625</c:v>
                </c:pt>
                <c:pt idx="411">
                  <c:v>10625</c:v>
                </c:pt>
                <c:pt idx="412">
                  <c:v>14125</c:v>
                </c:pt>
                <c:pt idx="413">
                  <c:v>15125</c:v>
                </c:pt>
                <c:pt idx="414">
                  <c:v>15500</c:v>
                </c:pt>
                <c:pt idx="415">
                  <c:v>14000</c:v>
                </c:pt>
                <c:pt idx="416">
                  <c:v>10375</c:v>
                </c:pt>
                <c:pt idx="417">
                  <c:v>5625</c:v>
                </c:pt>
                <c:pt idx="418">
                  <c:v>6000</c:v>
                </c:pt>
                <c:pt idx="419">
                  <c:v>6750</c:v>
                </c:pt>
                <c:pt idx="420">
                  <c:v>9125</c:v>
                </c:pt>
                <c:pt idx="421">
                  <c:v>12250</c:v>
                </c:pt>
                <c:pt idx="422">
                  <c:v>14125</c:v>
                </c:pt>
                <c:pt idx="423">
                  <c:v>18625</c:v>
                </c:pt>
                <c:pt idx="424">
                  <c:v>19625</c:v>
                </c:pt>
                <c:pt idx="425">
                  <c:v>24875</c:v>
                </c:pt>
                <c:pt idx="426">
                  <c:v>28875</c:v>
                </c:pt>
                <c:pt idx="427">
                  <c:v>29375</c:v>
                </c:pt>
                <c:pt idx="428">
                  <c:v>30375</c:v>
                </c:pt>
                <c:pt idx="429">
                  <c:v>27125</c:v>
                </c:pt>
                <c:pt idx="430">
                  <c:v>29125</c:v>
                </c:pt>
                <c:pt idx="431">
                  <c:v>26250</c:v>
                </c:pt>
                <c:pt idx="432">
                  <c:v>29000</c:v>
                </c:pt>
                <c:pt idx="433">
                  <c:v>29625</c:v>
                </c:pt>
                <c:pt idx="434">
                  <c:v>28625</c:v>
                </c:pt>
                <c:pt idx="435">
                  <c:v>24375</c:v>
                </c:pt>
                <c:pt idx="436">
                  <c:v>20250</c:v>
                </c:pt>
                <c:pt idx="437">
                  <c:v>16250</c:v>
                </c:pt>
                <c:pt idx="438">
                  <c:v>12750</c:v>
                </c:pt>
                <c:pt idx="439">
                  <c:v>16000</c:v>
                </c:pt>
                <c:pt idx="440">
                  <c:v>10500</c:v>
                </c:pt>
                <c:pt idx="441">
                  <c:v>19875</c:v>
                </c:pt>
                <c:pt idx="442">
                  <c:v>22750</c:v>
                </c:pt>
                <c:pt idx="443">
                  <c:v>15750</c:v>
                </c:pt>
                <c:pt idx="444">
                  <c:v>8125</c:v>
                </c:pt>
                <c:pt idx="445">
                  <c:v>4875</c:v>
                </c:pt>
                <c:pt idx="446">
                  <c:v>8000</c:v>
                </c:pt>
                <c:pt idx="447">
                  <c:v>5125</c:v>
                </c:pt>
                <c:pt idx="448">
                  <c:v>4500</c:v>
                </c:pt>
                <c:pt idx="449">
                  <c:v>4375</c:v>
                </c:pt>
                <c:pt idx="450">
                  <c:v>-125</c:v>
                </c:pt>
                <c:pt idx="451">
                  <c:v>-2750</c:v>
                </c:pt>
                <c:pt idx="452">
                  <c:v>-4250</c:v>
                </c:pt>
                <c:pt idx="453">
                  <c:v>-750</c:v>
                </c:pt>
                <c:pt idx="454">
                  <c:v>-2625</c:v>
                </c:pt>
                <c:pt idx="455">
                  <c:v>-1375</c:v>
                </c:pt>
                <c:pt idx="456">
                  <c:v>-5375</c:v>
                </c:pt>
                <c:pt idx="457">
                  <c:v>15125</c:v>
                </c:pt>
                <c:pt idx="458">
                  <c:v>15125</c:v>
                </c:pt>
                <c:pt idx="459">
                  <c:v>39625</c:v>
                </c:pt>
                <c:pt idx="460">
                  <c:v>45250</c:v>
                </c:pt>
                <c:pt idx="461">
                  <c:v>43000</c:v>
                </c:pt>
                <c:pt idx="462">
                  <c:v>46500</c:v>
                </c:pt>
                <c:pt idx="463">
                  <c:v>48000</c:v>
                </c:pt>
                <c:pt idx="464">
                  <c:v>46375</c:v>
                </c:pt>
                <c:pt idx="465">
                  <c:v>41000</c:v>
                </c:pt>
                <c:pt idx="466">
                  <c:v>40125</c:v>
                </c:pt>
                <c:pt idx="467">
                  <c:v>36125</c:v>
                </c:pt>
                <c:pt idx="468">
                  <c:v>34500</c:v>
                </c:pt>
                <c:pt idx="469">
                  <c:v>38250</c:v>
                </c:pt>
                <c:pt idx="470">
                  <c:v>32625</c:v>
                </c:pt>
                <c:pt idx="471">
                  <c:v>33000</c:v>
                </c:pt>
                <c:pt idx="472">
                  <c:v>39750</c:v>
                </c:pt>
                <c:pt idx="473">
                  <c:v>37625</c:v>
                </c:pt>
                <c:pt idx="474">
                  <c:v>40125</c:v>
                </c:pt>
                <c:pt idx="475">
                  <c:v>42500</c:v>
                </c:pt>
                <c:pt idx="476">
                  <c:v>43875</c:v>
                </c:pt>
                <c:pt idx="477">
                  <c:v>40875</c:v>
                </c:pt>
                <c:pt idx="478">
                  <c:v>40625</c:v>
                </c:pt>
                <c:pt idx="479">
                  <c:v>22125</c:v>
                </c:pt>
                <c:pt idx="480">
                  <c:v>19875</c:v>
                </c:pt>
                <c:pt idx="481">
                  <c:v>20750</c:v>
                </c:pt>
                <c:pt idx="482">
                  <c:v>14000</c:v>
                </c:pt>
                <c:pt idx="483">
                  <c:v>13125</c:v>
                </c:pt>
                <c:pt idx="484">
                  <c:v>22750</c:v>
                </c:pt>
                <c:pt idx="485">
                  <c:v>22750</c:v>
                </c:pt>
                <c:pt idx="486">
                  <c:v>26000</c:v>
                </c:pt>
                <c:pt idx="487">
                  <c:v>13750</c:v>
                </c:pt>
                <c:pt idx="488">
                  <c:v>17750</c:v>
                </c:pt>
                <c:pt idx="489">
                  <c:v>9250</c:v>
                </c:pt>
                <c:pt idx="490">
                  <c:v>11500</c:v>
                </c:pt>
                <c:pt idx="491">
                  <c:v>12375</c:v>
                </c:pt>
                <c:pt idx="492">
                  <c:v>15875</c:v>
                </c:pt>
                <c:pt idx="493">
                  <c:v>10875</c:v>
                </c:pt>
                <c:pt idx="494">
                  <c:v>13125</c:v>
                </c:pt>
                <c:pt idx="495">
                  <c:v>18625</c:v>
                </c:pt>
                <c:pt idx="496">
                  <c:v>9000</c:v>
                </c:pt>
                <c:pt idx="497">
                  <c:v>5750</c:v>
                </c:pt>
                <c:pt idx="498">
                  <c:v>7375</c:v>
                </c:pt>
                <c:pt idx="499">
                  <c:v>4375</c:v>
                </c:pt>
                <c:pt idx="500">
                  <c:v>4625</c:v>
                </c:pt>
                <c:pt idx="501">
                  <c:v>10625</c:v>
                </c:pt>
                <c:pt idx="502">
                  <c:v>5750</c:v>
                </c:pt>
                <c:pt idx="503">
                  <c:v>7625</c:v>
                </c:pt>
                <c:pt idx="504">
                  <c:v>9375</c:v>
                </c:pt>
                <c:pt idx="505">
                  <c:v>6375</c:v>
                </c:pt>
                <c:pt idx="506">
                  <c:v>6375</c:v>
                </c:pt>
                <c:pt idx="507">
                  <c:v>4250</c:v>
                </c:pt>
                <c:pt idx="508">
                  <c:v>12375</c:v>
                </c:pt>
                <c:pt idx="509">
                  <c:v>9000</c:v>
                </c:pt>
                <c:pt idx="510">
                  <c:v>12250</c:v>
                </c:pt>
                <c:pt idx="511">
                  <c:v>14875</c:v>
                </c:pt>
                <c:pt idx="512">
                  <c:v>9750</c:v>
                </c:pt>
                <c:pt idx="513">
                  <c:v>4875</c:v>
                </c:pt>
                <c:pt idx="514">
                  <c:v>1875</c:v>
                </c:pt>
                <c:pt idx="515">
                  <c:v>-3625</c:v>
                </c:pt>
                <c:pt idx="516">
                  <c:v>250</c:v>
                </c:pt>
                <c:pt idx="517">
                  <c:v>4000</c:v>
                </c:pt>
                <c:pt idx="518">
                  <c:v>10125</c:v>
                </c:pt>
                <c:pt idx="519">
                  <c:v>8625</c:v>
                </c:pt>
                <c:pt idx="520">
                  <c:v>5125</c:v>
                </c:pt>
                <c:pt idx="521">
                  <c:v>2625</c:v>
                </c:pt>
                <c:pt idx="522">
                  <c:v>4500</c:v>
                </c:pt>
                <c:pt idx="523">
                  <c:v>8875</c:v>
                </c:pt>
                <c:pt idx="524">
                  <c:v>1625</c:v>
                </c:pt>
                <c:pt idx="525">
                  <c:v>-2125</c:v>
                </c:pt>
                <c:pt idx="526">
                  <c:v>-6375</c:v>
                </c:pt>
                <c:pt idx="527">
                  <c:v>-9875</c:v>
                </c:pt>
                <c:pt idx="528">
                  <c:v>-15125</c:v>
                </c:pt>
                <c:pt idx="529">
                  <c:v>-17500</c:v>
                </c:pt>
                <c:pt idx="530">
                  <c:v>-22000</c:v>
                </c:pt>
                <c:pt idx="531">
                  <c:v>-16125</c:v>
                </c:pt>
                <c:pt idx="532">
                  <c:v>-10250</c:v>
                </c:pt>
                <c:pt idx="533">
                  <c:v>-14000</c:v>
                </c:pt>
                <c:pt idx="534">
                  <c:v>-11250</c:v>
                </c:pt>
                <c:pt idx="535">
                  <c:v>-12125</c:v>
                </c:pt>
                <c:pt idx="536">
                  <c:v>-13875</c:v>
                </c:pt>
                <c:pt idx="537">
                  <c:v>-12500</c:v>
                </c:pt>
                <c:pt idx="538">
                  <c:v>-3750</c:v>
                </c:pt>
                <c:pt idx="539">
                  <c:v>3875</c:v>
                </c:pt>
                <c:pt idx="540">
                  <c:v>10250</c:v>
                </c:pt>
                <c:pt idx="541">
                  <c:v>11125</c:v>
                </c:pt>
                <c:pt idx="542">
                  <c:v>13875</c:v>
                </c:pt>
                <c:pt idx="543">
                  <c:v>11875</c:v>
                </c:pt>
                <c:pt idx="544">
                  <c:v>8750</c:v>
                </c:pt>
                <c:pt idx="545">
                  <c:v>14500</c:v>
                </c:pt>
                <c:pt idx="546">
                  <c:v>19125</c:v>
                </c:pt>
                <c:pt idx="547">
                  <c:v>23875</c:v>
                </c:pt>
                <c:pt idx="548">
                  <c:v>22375</c:v>
                </c:pt>
                <c:pt idx="549">
                  <c:v>23875</c:v>
                </c:pt>
                <c:pt idx="550">
                  <c:v>22625</c:v>
                </c:pt>
                <c:pt idx="551">
                  <c:v>24375</c:v>
                </c:pt>
                <c:pt idx="552">
                  <c:v>21250</c:v>
                </c:pt>
                <c:pt idx="553">
                  <c:v>28875</c:v>
                </c:pt>
                <c:pt idx="554">
                  <c:v>27000</c:v>
                </c:pt>
                <c:pt idx="555">
                  <c:v>18875</c:v>
                </c:pt>
                <c:pt idx="556">
                  <c:v>21500</c:v>
                </c:pt>
                <c:pt idx="557">
                  <c:v>13500</c:v>
                </c:pt>
                <c:pt idx="558">
                  <c:v>15000</c:v>
                </c:pt>
                <c:pt idx="559">
                  <c:v>8875</c:v>
                </c:pt>
                <c:pt idx="560">
                  <c:v>12875</c:v>
                </c:pt>
                <c:pt idx="561">
                  <c:v>9250</c:v>
                </c:pt>
                <c:pt idx="562">
                  <c:v>-2375</c:v>
                </c:pt>
                <c:pt idx="563">
                  <c:v>5875</c:v>
                </c:pt>
                <c:pt idx="564">
                  <c:v>7375</c:v>
                </c:pt>
                <c:pt idx="565">
                  <c:v>8250</c:v>
                </c:pt>
                <c:pt idx="566">
                  <c:v>13750</c:v>
                </c:pt>
                <c:pt idx="567">
                  <c:v>12875</c:v>
                </c:pt>
                <c:pt idx="568">
                  <c:v>10625</c:v>
                </c:pt>
                <c:pt idx="569">
                  <c:v>15875</c:v>
                </c:pt>
                <c:pt idx="570">
                  <c:v>11875</c:v>
                </c:pt>
                <c:pt idx="571">
                  <c:v>19750</c:v>
                </c:pt>
                <c:pt idx="572">
                  <c:v>21000</c:v>
                </c:pt>
                <c:pt idx="573">
                  <c:v>20125</c:v>
                </c:pt>
                <c:pt idx="574">
                  <c:v>24625</c:v>
                </c:pt>
                <c:pt idx="575">
                  <c:v>24750</c:v>
                </c:pt>
                <c:pt idx="576">
                  <c:v>26625</c:v>
                </c:pt>
                <c:pt idx="577">
                  <c:v>27000</c:v>
                </c:pt>
                <c:pt idx="578">
                  <c:v>27750</c:v>
                </c:pt>
                <c:pt idx="579">
                  <c:v>26250</c:v>
                </c:pt>
                <c:pt idx="580">
                  <c:v>29250</c:v>
                </c:pt>
                <c:pt idx="581">
                  <c:v>28750</c:v>
                </c:pt>
                <c:pt idx="582">
                  <c:v>30625</c:v>
                </c:pt>
                <c:pt idx="583">
                  <c:v>26625</c:v>
                </c:pt>
                <c:pt idx="584">
                  <c:v>27250</c:v>
                </c:pt>
                <c:pt idx="585">
                  <c:v>27625</c:v>
                </c:pt>
                <c:pt idx="586">
                  <c:v>32500</c:v>
                </c:pt>
                <c:pt idx="587">
                  <c:v>36125</c:v>
                </c:pt>
                <c:pt idx="588">
                  <c:v>35125</c:v>
                </c:pt>
                <c:pt idx="589">
                  <c:v>34125</c:v>
                </c:pt>
                <c:pt idx="590">
                  <c:v>33000</c:v>
                </c:pt>
                <c:pt idx="591">
                  <c:v>30875</c:v>
                </c:pt>
                <c:pt idx="592">
                  <c:v>34000</c:v>
                </c:pt>
                <c:pt idx="593">
                  <c:v>33000</c:v>
                </c:pt>
                <c:pt idx="594">
                  <c:v>35875</c:v>
                </c:pt>
                <c:pt idx="595">
                  <c:v>37625</c:v>
                </c:pt>
                <c:pt idx="596">
                  <c:v>33375</c:v>
                </c:pt>
                <c:pt idx="597">
                  <c:v>33625</c:v>
                </c:pt>
                <c:pt idx="598">
                  <c:v>33625</c:v>
                </c:pt>
                <c:pt idx="599">
                  <c:v>33250</c:v>
                </c:pt>
                <c:pt idx="600">
                  <c:v>33125</c:v>
                </c:pt>
                <c:pt idx="601">
                  <c:v>34625</c:v>
                </c:pt>
                <c:pt idx="602">
                  <c:v>33125</c:v>
                </c:pt>
                <c:pt idx="603">
                  <c:v>34875</c:v>
                </c:pt>
                <c:pt idx="604">
                  <c:v>34500</c:v>
                </c:pt>
                <c:pt idx="605">
                  <c:v>39125</c:v>
                </c:pt>
                <c:pt idx="606">
                  <c:v>39375</c:v>
                </c:pt>
                <c:pt idx="607">
                  <c:v>39375</c:v>
                </c:pt>
                <c:pt idx="608">
                  <c:v>41125</c:v>
                </c:pt>
                <c:pt idx="609">
                  <c:v>40875</c:v>
                </c:pt>
                <c:pt idx="610">
                  <c:v>41375</c:v>
                </c:pt>
                <c:pt idx="611">
                  <c:v>42375</c:v>
                </c:pt>
                <c:pt idx="612">
                  <c:v>44125</c:v>
                </c:pt>
                <c:pt idx="613">
                  <c:v>44125</c:v>
                </c:pt>
                <c:pt idx="614">
                  <c:v>42375</c:v>
                </c:pt>
                <c:pt idx="615">
                  <c:v>37750</c:v>
                </c:pt>
                <c:pt idx="616">
                  <c:v>39625</c:v>
                </c:pt>
                <c:pt idx="617">
                  <c:v>41750</c:v>
                </c:pt>
                <c:pt idx="618">
                  <c:v>42625</c:v>
                </c:pt>
                <c:pt idx="619">
                  <c:v>48125</c:v>
                </c:pt>
                <c:pt idx="620">
                  <c:v>47000</c:v>
                </c:pt>
                <c:pt idx="621">
                  <c:v>46000</c:v>
                </c:pt>
                <c:pt idx="622">
                  <c:v>43875</c:v>
                </c:pt>
                <c:pt idx="623">
                  <c:v>43875</c:v>
                </c:pt>
                <c:pt idx="624">
                  <c:v>43250</c:v>
                </c:pt>
                <c:pt idx="625">
                  <c:v>45875</c:v>
                </c:pt>
                <c:pt idx="626">
                  <c:v>46000</c:v>
                </c:pt>
                <c:pt idx="627">
                  <c:v>47250</c:v>
                </c:pt>
                <c:pt idx="628">
                  <c:v>47000</c:v>
                </c:pt>
                <c:pt idx="629">
                  <c:v>44375</c:v>
                </c:pt>
                <c:pt idx="630">
                  <c:v>42625</c:v>
                </c:pt>
                <c:pt idx="631">
                  <c:v>42875</c:v>
                </c:pt>
                <c:pt idx="632">
                  <c:v>44000</c:v>
                </c:pt>
                <c:pt idx="633">
                  <c:v>40875</c:v>
                </c:pt>
                <c:pt idx="634">
                  <c:v>41125</c:v>
                </c:pt>
                <c:pt idx="635">
                  <c:v>39125</c:v>
                </c:pt>
                <c:pt idx="636">
                  <c:v>42000</c:v>
                </c:pt>
                <c:pt idx="637">
                  <c:v>45375</c:v>
                </c:pt>
                <c:pt idx="638">
                  <c:v>46000</c:v>
                </c:pt>
                <c:pt idx="639">
                  <c:v>45000</c:v>
                </c:pt>
                <c:pt idx="640">
                  <c:v>46000</c:v>
                </c:pt>
                <c:pt idx="641">
                  <c:v>43875</c:v>
                </c:pt>
                <c:pt idx="642">
                  <c:v>42250</c:v>
                </c:pt>
                <c:pt idx="643">
                  <c:v>41375</c:v>
                </c:pt>
                <c:pt idx="644">
                  <c:v>41250</c:v>
                </c:pt>
                <c:pt idx="645">
                  <c:v>44875</c:v>
                </c:pt>
                <c:pt idx="646">
                  <c:v>45000</c:v>
                </c:pt>
                <c:pt idx="647">
                  <c:v>46750</c:v>
                </c:pt>
                <c:pt idx="648">
                  <c:v>47250</c:v>
                </c:pt>
                <c:pt idx="649">
                  <c:v>49250</c:v>
                </c:pt>
                <c:pt idx="650">
                  <c:v>46750</c:v>
                </c:pt>
                <c:pt idx="651">
                  <c:v>45250</c:v>
                </c:pt>
                <c:pt idx="652">
                  <c:v>45125</c:v>
                </c:pt>
                <c:pt idx="653">
                  <c:v>49125</c:v>
                </c:pt>
                <c:pt idx="654">
                  <c:v>52875</c:v>
                </c:pt>
                <c:pt idx="655">
                  <c:v>44250</c:v>
                </c:pt>
                <c:pt idx="656">
                  <c:v>41375</c:v>
                </c:pt>
                <c:pt idx="657">
                  <c:v>43125</c:v>
                </c:pt>
                <c:pt idx="658">
                  <c:v>45250</c:v>
                </c:pt>
                <c:pt idx="659">
                  <c:v>45250</c:v>
                </c:pt>
                <c:pt idx="660">
                  <c:v>46625</c:v>
                </c:pt>
                <c:pt idx="661">
                  <c:v>46750</c:v>
                </c:pt>
                <c:pt idx="662">
                  <c:v>45500</c:v>
                </c:pt>
                <c:pt idx="663">
                  <c:v>43875</c:v>
                </c:pt>
                <c:pt idx="664">
                  <c:v>43750</c:v>
                </c:pt>
                <c:pt idx="665">
                  <c:v>42625</c:v>
                </c:pt>
                <c:pt idx="666">
                  <c:v>42250</c:v>
                </c:pt>
                <c:pt idx="667">
                  <c:v>44625</c:v>
                </c:pt>
                <c:pt idx="668">
                  <c:v>42000</c:v>
                </c:pt>
                <c:pt idx="669">
                  <c:v>42625</c:v>
                </c:pt>
                <c:pt idx="670">
                  <c:v>40500</c:v>
                </c:pt>
                <c:pt idx="671">
                  <c:v>38125</c:v>
                </c:pt>
                <c:pt idx="672">
                  <c:v>36750</c:v>
                </c:pt>
                <c:pt idx="673">
                  <c:v>37125</c:v>
                </c:pt>
                <c:pt idx="674">
                  <c:v>36750</c:v>
                </c:pt>
                <c:pt idx="675">
                  <c:v>38000</c:v>
                </c:pt>
                <c:pt idx="676">
                  <c:v>37625</c:v>
                </c:pt>
                <c:pt idx="677">
                  <c:v>38500</c:v>
                </c:pt>
                <c:pt idx="678">
                  <c:v>38875</c:v>
                </c:pt>
                <c:pt idx="679">
                  <c:v>36500</c:v>
                </c:pt>
                <c:pt idx="680">
                  <c:v>34375</c:v>
                </c:pt>
                <c:pt idx="681">
                  <c:v>31875</c:v>
                </c:pt>
                <c:pt idx="682">
                  <c:v>30875</c:v>
                </c:pt>
                <c:pt idx="683">
                  <c:v>31125</c:v>
                </c:pt>
                <c:pt idx="684">
                  <c:v>33375</c:v>
                </c:pt>
                <c:pt idx="685">
                  <c:v>32125</c:v>
                </c:pt>
                <c:pt idx="686">
                  <c:v>29625</c:v>
                </c:pt>
                <c:pt idx="687">
                  <c:v>33125</c:v>
                </c:pt>
                <c:pt idx="688">
                  <c:v>29750</c:v>
                </c:pt>
                <c:pt idx="689">
                  <c:v>28375</c:v>
                </c:pt>
                <c:pt idx="690">
                  <c:v>22000</c:v>
                </c:pt>
                <c:pt idx="691">
                  <c:v>21500</c:v>
                </c:pt>
                <c:pt idx="692">
                  <c:v>14875</c:v>
                </c:pt>
                <c:pt idx="693">
                  <c:v>17250</c:v>
                </c:pt>
                <c:pt idx="694">
                  <c:v>22250</c:v>
                </c:pt>
                <c:pt idx="695">
                  <c:v>19750</c:v>
                </c:pt>
                <c:pt idx="696">
                  <c:v>16500</c:v>
                </c:pt>
                <c:pt idx="697">
                  <c:v>16875</c:v>
                </c:pt>
                <c:pt idx="698">
                  <c:v>18875</c:v>
                </c:pt>
                <c:pt idx="699">
                  <c:v>19875</c:v>
                </c:pt>
                <c:pt idx="700">
                  <c:v>16750</c:v>
                </c:pt>
                <c:pt idx="701">
                  <c:v>15125</c:v>
                </c:pt>
                <c:pt idx="702">
                  <c:v>20625</c:v>
                </c:pt>
                <c:pt idx="703">
                  <c:v>19875</c:v>
                </c:pt>
                <c:pt idx="704">
                  <c:v>15625</c:v>
                </c:pt>
                <c:pt idx="705">
                  <c:v>17125</c:v>
                </c:pt>
                <c:pt idx="706">
                  <c:v>18250</c:v>
                </c:pt>
                <c:pt idx="707">
                  <c:v>14250</c:v>
                </c:pt>
                <c:pt idx="708">
                  <c:v>13250</c:v>
                </c:pt>
                <c:pt idx="709">
                  <c:v>9500</c:v>
                </c:pt>
                <c:pt idx="710">
                  <c:v>6125</c:v>
                </c:pt>
                <c:pt idx="711">
                  <c:v>12875</c:v>
                </c:pt>
                <c:pt idx="712">
                  <c:v>11500</c:v>
                </c:pt>
                <c:pt idx="713">
                  <c:v>10375</c:v>
                </c:pt>
                <c:pt idx="714">
                  <c:v>11000</c:v>
                </c:pt>
                <c:pt idx="715">
                  <c:v>6625</c:v>
                </c:pt>
                <c:pt idx="716">
                  <c:v>7875</c:v>
                </c:pt>
                <c:pt idx="717">
                  <c:v>8875</c:v>
                </c:pt>
                <c:pt idx="718">
                  <c:v>10500</c:v>
                </c:pt>
                <c:pt idx="719">
                  <c:v>8000</c:v>
                </c:pt>
                <c:pt idx="720">
                  <c:v>8625</c:v>
                </c:pt>
                <c:pt idx="721">
                  <c:v>11750</c:v>
                </c:pt>
                <c:pt idx="722">
                  <c:v>13250</c:v>
                </c:pt>
                <c:pt idx="723">
                  <c:v>12625</c:v>
                </c:pt>
                <c:pt idx="724">
                  <c:v>16375</c:v>
                </c:pt>
                <c:pt idx="725">
                  <c:v>11000</c:v>
                </c:pt>
                <c:pt idx="726">
                  <c:v>8750</c:v>
                </c:pt>
                <c:pt idx="727">
                  <c:v>9375</c:v>
                </c:pt>
                <c:pt idx="728">
                  <c:v>6500</c:v>
                </c:pt>
                <c:pt idx="729">
                  <c:v>5625</c:v>
                </c:pt>
                <c:pt idx="730">
                  <c:v>2875</c:v>
                </c:pt>
                <c:pt idx="731">
                  <c:v>3500</c:v>
                </c:pt>
                <c:pt idx="732">
                  <c:v>8250</c:v>
                </c:pt>
                <c:pt idx="733">
                  <c:v>13625</c:v>
                </c:pt>
                <c:pt idx="734">
                  <c:v>8250</c:v>
                </c:pt>
                <c:pt idx="735">
                  <c:v>3375</c:v>
                </c:pt>
                <c:pt idx="736">
                  <c:v>6375</c:v>
                </c:pt>
                <c:pt idx="737">
                  <c:v>3375</c:v>
                </c:pt>
                <c:pt idx="738">
                  <c:v>6625</c:v>
                </c:pt>
                <c:pt idx="739">
                  <c:v>11125</c:v>
                </c:pt>
                <c:pt idx="740">
                  <c:v>10125</c:v>
                </c:pt>
                <c:pt idx="741">
                  <c:v>12750</c:v>
                </c:pt>
                <c:pt idx="742">
                  <c:v>18750</c:v>
                </c:pt>
                <c:pt idx="743">
                  <c:v>19750</c:v>
                </c:pt>
                <c:pt idx="744">
                  <c:v>22250</c:v>
                </c:pt>
                <c:pt idx="745">
                  <c:v>23750</c:v>
                </c:pt>
                <c:pt idx="746">
                  <c:v>23625</c:v>
                </c:pt>
                <c:pt idx="747">
                  <c:v>23000</c:v>
                </c:pt>
                <c:pt idx="748">
                  <c:v>22125</c:v>
                </c:pt>
                <c:pt idx="749">
                  <c:v>25625</c:v>
                </c:pt>
                <c:pt idx="750">
                  <c:v>24875</c:v>
                </c:pt>
                <c:pt idx="751">
                  <c:v>26500</c:v>
                </c:pt>
                <c:pt idx="752">
                  <c:v>27375</c:v>
                </c:pt>
                <c:pt idx="753">
                  <c:v>27375</c:v>
                </c:pt>
                <c:pt idx="754">
                  <c:v>32125</c:v>
                </c:pt>
                <c:pt idx="755">
                  <c:v>32625</c:v>
                </c:pt>
                <c:pt idx="756">
                  <c:v>35625</c:v>
                </c:pt>
                <c:pt idx="757">
                  <c:v>32375</c:v>
                </c:pt>
                <c:pt idx="758">
                  <c:v>37125</c:v>
                </c:pt>
                <c:pt idx="759">
                  <c:v>37625</c:v>
                </c:pt>
                <c:pt idx="760">
                  <c:v>40750</c:v>
                </c:pt>
                <c:pt idx="761">
                  <c:v>39625</c:v>
                </c:pt>
                <c:pt idx="762">
                  <c:v>38375</c:v>
                </c:pt>
                <c:pt idx="763">
                  <c:v>40125</c:v>
                </c:pt>
                <c:pt idx="764">
                  <c:v>41375</c:v>
                </c:pt>
                <c:pt idx="765">
                  <c:v>39625</c:v>
                </c:pt>
                <c:pt idx="766">
                  <c:v>35875</c:v>
                </c:pt>
                <c:pt idx="767">
                  <c:v>34750</c:v>
                </c:pt>
                <c:pt idx="768">
                  <c:v>38125</c:v>
                </c:pt>
                <c:pt idx="769">
                  <c:v>39500</c:v>
                </c:pt>
                <c:pt idx="770">
                  <c:v>40625</c:v>
                </c:pt>
                <c:pt idx="771">
                  <c:v>38500</c:v>
                </c:pt>
                <c:pt idx="772">
                  <c:v>40125</c:v>
                </c:pt>
                <c:pt idx="773">
                  <c:v>48375</c:v>
                </c:pt>
                <c:pt idx="774">
                  <c:v>50000</c:v>
                </c:pt>
                <c:pt idx="775">
                  <c:v>51750</c:v>
                </c:pt>
                <c:pt idx="776">
                  <c:v>52250</c:v>
                </c:pt>
                <c:pt idx="777">
                  <c:v>56250</c:v>
                </c:pt>
                <c:pt idx="778">
                  <c:v>56500</c:v>
                </c:pt>
                <c:pt idx="779">
                  <c:v>58625</c:v>
                </c:pt>
                <c:pt idx="780">
                  <c:v>60250</c:v>
                </c:pt>
                <c:pt idx="781">
                  <c:v>63250</c:v>
                </c:pt>
                <c:pt idx="782">
                  <c:v>59500</c:v>
                </c:pt>
                <c:pt idx="783">
                  <c:v>62625</c:v>
                </c:pt>
                <c:pt idx="784">
                  <c:v>62000</c:v>
                </c:pt>
                <c:pt idx="785">
                  <c:v>60250</c:v>
                </c:pt>
                <c:pt idx="786">
                  <c:v>64000</c:v>
                </c:pt>
                <c:pt idx="787">
                  <c:v>67500</c:v>
                </c:pt>
                <c:pt idx="788">
                  <c:v>69500</c:v>
                </c:pt>
                <c:pt idx="789">
                  <c:v>69000</c:v>
                </c:pt>
                <c:pt idx="790">
                  <c:v>69750</c:v>
                </c:pt>
                <c:pt idx="791">
                  <c:v>68875</c:v>
                </c:pt>
                <c:pt idx="792">
                  <c:v>66000</c:v>
                </c:pt>
                <c:pt idx="793">
                  <c:v>69500</c:v>
                </c:pt>
                <c:pt idx="794">
                  <c:v>69750</c:v>
                </c:pt>
                <c:pt idx="795">
                  <c:v>71125</c:v>
                </c:pt>
                <c:pt idx="796">
                  <c:v>73000</c:v>
                </c:pt>
                <c:pt idx="797">
                  <c:v>70375</c:v>
                </c:pt>
                <c:pt idx="798">
                  <c:v>72625</c:v>
                </c:pt>
                <c:pt idx="799">
                  <c:v>69125</c:v>
                </c:pt>
                <c:pt idx="800">
                  <c:v>71125</c:v>
                </c:pt>
                <c:pt idx="801">
                  <c:v>74000</c:v>
                </c:pt>
                <c:pt idx="802">
                  <c:v>72250</c:v>
                </c:pt>
                <c:pt idx="803">
                  <c:v>70500</c:v>
                </c:pt>
                <c:pt idx="804">
                  <c:v>70875</c:v>
                </c:pt>
                <c:pt idx="805">
                  <c:v>69000</c:v>
                </c:pt>
                <c:pt idx="806">
                  <c:v>67125</c:v>
                </c:pt>
                <c:pt idx="807">
                  <c:v>69375</c:v>
                </c:pt>
                <c:pt idx="808">
                  <c:v>69250</c:v>
                </c:pt>
                <c:pt idx="809">
                  <c:v>70750</c:v>
                </c:pt>
                <c:pt idx="810">
                  <c:v>68500</c:v>
                </c:pt>
                <c:pt idx="811">
                  <c:v>66875</c:v>
                </c:pt>
                <c:pt idx="812">
                  <c:v>69875</c:v>
                </c:pt>
                <c:pt idx="813">
                  <c:v>72625</c:v>
                </c:pt>
                <c:pt idx="814">
                  <c:v>72625</c:v>
                </c:pt>
                <c:pt idx="815">
                  <c:v>69875</c:v>
                </c:pt>
                <c:pt idx="816">
                  <c:v>71625</c:v>
                </c:pt>
                <c:pt idx="817">
                  <c:v>72125</c:v>
                </c:pt>
                <c:pt idx="818">
                  <c:v>78750</c:v>
                </c:pt>
                <c:pt idx="819">
                  <c:v>82000</c:v>
                </c:pt>
                <c:pt idx="820">
                  <c:v>77375</c:v>
                </c:pt>
                <c:pt idx="821">
                  <c:v>80750</c:v>
                </c:pt>
                <c:pt idx="822">
                  <c:v>82000</c:v>
                </c:pt>
                <c:pt idx="823">
                  <c:v>80125</c:v>
                </c:pt>
                <c:pt idx="824">
                  <c:v>83875</c:v>
                </c:pt>
                <c:pt idx="825">
                  <c:v>84250</c:v>
                </c:pt>
                <c:pt idx="826">
                  <c:v>82000</c:v>
                </c:pt>
                <c:pt idx="827">
                  <c:v>81125</c:v>
                </c:pt>
                <c:pt idx="828">
                  <c:v>82750</c:v>
                </c:pt>
                <c:pt idx="829">
                  <c:v>84125</c:v>
                </c:pt>
                <c:pt idx="830">
                  <c:v>87125</c:v>
                </c:pt>
                <c:pt idx="831">
                  <c:v>88250</c:v>
                </c:pt>
                <c:pt idx="832">
                  <c:v>90625</c:v>
                </c:pt>
                <c:pt idx="833">
                  <c:v>88750</c:v>
                </c:pt>
                <c:pt idx="834">
                  <c:v>90500</c:v>
                </c:pt>
                <c:pt idx="835">
                  <c:v>91750</c:v>
                </c:pt>
                <c:pt idx="836">
                  <c:v>90750</c:v>
                </c:pt>
                <c:pt idx="837">
                  <c:v>92625</c:v>
                </c:pt>
                <c:pt idx="838">
                  <c:v>92875</c:v>
                </c:pt>
                <c:pt idx="839">
                  <c:v>92750</c:v>
                </c:pt>
                <c:pt idx="840">
                  <c:v>92000</c:v>
                </c:pt>
                <c:pt idx="841">
                  <c:v>87500</c:v>
                </c:pt>
                <c:pt idx="842">
                  <c:v>83750</c:v>
                </c:pt>
                <c:pt idx="843">
                  <c:v>82375</c:v>
                </c:pt>
                <c:pt idx="844">
                  <c:v>80750</c:v>
                </c:pt>
                <c:pt idx="845">
                  <c:v>87125</c:v>
                </c:pt>
                <c:pt idx="846">
                  <c:v>76125</c:v>
                </c:pt>
                <c:pt idx="847">
                  <c:v>79250</c:v>
                </c:pt>
                <c:pt idx="848">
                  <c:v>77875</c:v>
                </c:pt>
                <c:pt idx="849">
                  <c:v>79625</c:v>
                </c:pt>
                <c:pt idx="850">
                  <c:v>79875</c:v>
                </c:pt>
                <c:pt idx="851">
                  <c:v>75125</c:v>
                </c:pt>
                <c:pt idx="852">
                  <c:v>76750</c:v>
                </c:pt>
                <c:pt idx="853">
                  <c:v>73875</c:v>
                </c:pt>
                <c:pt idx="854">
                  <c:v>76875</c:v>
                </c:pt>
                <c:pt idx="855">
                  <c:v>73125</c:v>
                </c:pt>
                <c:pt idx="856">
                  <c:v>71375</c:v>
                </c:pt>
                <c:pt idx="857">
                  <c:v>67125</c:v>
                </c:pt>
                <c:pt idx="858">
                  <c:v>65625</c:v>
                </c:pt>
                <c:pt idx="859">
                  <c:v>67125</c:v>
                </c:pt>
                <c:pt idx="860">
                  <c:v>67750</c:v>
                </c:pt>
                <c:pt idx="861">
                  <c:v>70625</c:v>
                </c:pt>
                <c:pt idx="862">
                  <c:v>68875</c:v>
                </c:pt>
                <c:pt idx="863">
                  <c:v>67625</c:v>
                </c:pt>
                <c:pt idx="864">
                  <c:v>69375</c:v>
                </c:pt>
                <c:pt idx="865">
                  <c:v>68125</c:v>
                </c:pt>
                <c:pt idx="866">
                  <c:v>64500</c:v>
                </c:pt>
                <c:pt idx="867">
                  <c:v>61875</c:v>
                </c:pt>
                <c:pt idx="868">
                  <c:v>61875</c:v>
                </c:pt>
                <c:pt idx="869">
                  <c:v>64875</c:v>
                </c:pt>
                <c:pt idx="870">
                  <c:v>66750</c:v>
                </c:pt>
                <c:pt idx="871">
                  <c:v>71625</c:v>
                </c:pt>
                <c:pt idx="872">
                  <c:v>67000</c:v>
                </c:pt>
                <c:pt idx="873">
                  <c:v>65000</c:v>
                </c:pt>
                <c:pt idx="874">
                  <c:v>70125</c:v>
                </c:pt>
                <c:pt idx="875">
                  <c:v>67250</c:v>
                </c:pt>
                <c:pt idx="876">
                  <c:v>64250</c:v>
                </c:pt>
                <c:pt idx="877">
                  <c:v>65500</c:v>
                </c:pt>
                <c:pt idx="878">
                  <c:v>66250</c:v>
                </c:pt>
                <c:pt idx="879">
                  <c:v>69000</c:v>
                </c:pt>
                <c:pt idx="880">
                  <c:v>70000</c:v>
                </c:pt>
                <c:pt idx="881">
                  <c:v>65625</c:v>
                </c:pt>
                <c:pt idx="882">
                  <c:v>62500</c:v>
                </c:pt>
                <c:pt idx="883">
                  <c:v>63625</c:v>
                </c:pt>
                <c:pt idx="884">
                  <c:v>62125</c:v>
                </c:pt>
                <c:pt idx="885">
                  <c:v>63000</c:v>
                </c:pt>
                <c:pt idx="886">
                  <c:v>60625</c:v>
                </c:pt>
                <c:pt idx="887">
                  <c:v>54250</c:v>
                </c:pt>
                <c:pt idx="888">
                  <c:v>55000</c:v>
                </c:pt>
                <c:pt idx="889">
                  <c:v>55750</c:v>
                </c:pt>
                <c:pt idx="890">
                  <c:v>55125</c:v>
                </c:pt>
                <c:pt idx="891">
                  <c:v>53625</c:v>
                </c:pt>
                <c:pt idx="892">
                  <c:v>54625</c:v>
                </c:pt>
                <c:pt idx="893">
                  <c:v>53000</c:v>
                </c:pt>
                <c:pt idx="894">
                  <c:v>52250</c:v>
                </c:pt>
                <c:pt idx="895">
                  <c:v>55125</c:v>
                </c:pt>
                <c:pt idx="896">
                  <c:v>52500</c:v>
                </c:pt>
                <c:pt idx="897">
                  <c:v>52875</c:v>
                </c:pt>
                <c:pt idx="898">
                  <c:v>55750</c:v>
                </c:pt>
                <c:pt idx="899">
                  <c:v>60750</c:v>
                </c:pt>
                <c:pt idx="900">
                  <c:v>61250</c:v>
                </c:pt>
                <c:pt idx="901">
                  <c:v>56250</c:v>
                </c:pt>
                <c:pt idx="902">
                  <c:v>56625</c:v>
                </c:pt>
                <c:pt idx="903">
                  <c:v>60750</c:v>
                </c:pt>
                <c:pt idx="904">
                  <c:v>61750</c:v>
                </c:pt>
                <c:pt idx="905">
                  <c:v>58625</c:v>
                </c:pt>
                <c:pt idx="906">
                  <c:v>57625</c:v>
                </c:pt>
                <c:pt idx="907">
                  <c:v>65875</c:v>
                </c:pt>
                <c:pt idx="908">
                  <c:v>69125</c:v>
                </c:pt>
                <c:pt idx="909">
                  <c:v>69875</c:v>
                </c:pt>
                <c:pt idx="910">
                  <c:v>65500</c:v>
                </c:pt>
                <c:pt idx="911">
                  <c:v>64250</c:v>
                </c:pt>
                <c:pt idx="912">
                  <c:v>65125</c:v>
                </c:pt>
                <c:pt idx="913">
                  <c:v>67125</c:v>
                </c:pt>
                <c:pt idx="914">
                  <c:v>66250</c:v>
                </c:pt>
                <c:pt idx="915">
                  <c:v>66750</c:v>
                </c:pt>
                <c:pt idx="916">
                  <c:v>67625</c:v>
                </c:pt>
                <c:pt idx="917">
                  <c:v>70875</c:v>
                </c:pt>
                <c:pt idx="918">
                  <c:v>73875</c:v>
                </c:pt>
                <c:pt idx="919">
                  <c:v>74000</c:v>
                </c:pt>
                <c:pt idx="920">
                  <c:v>73750</c:v>
                </c:pt>
                <c:pt idx="921">
                  <c:v>66000</c:v>
                </c:pt>
                <c:pt idx="922">
                  <c:v>68625</c:v>
                </c:pt>
                <c:pt idx="923">
                  <c:v>67125</c:v>
                </c:pt>
                <c:pt idx="924">
                  <c:v>67750</c:v>
                </c:pt>
                <c:pt idx="925">
                  <c:v>63750</c:v>
                </c:pt>
                <c:pt idx="926">
                  <c:v>65500</c:v>
                </c:pt>
                <c:pt idx="927">
                  <c:v>65500</c:v>
                </c:pt>
                <c:pt idx="928">
                  <c:v>67625</c:v>
                </c:pt>
                <c:pt idx="929">
                  <c:v>66375</c:v>
                </c:pt>
                <c:pt idx="930">
                  <c:v>64625</c:v>
                </c:pt>
                <c:pt idx="931">
                  <c:v>67250</c:v>
                </c:pt>
                <c:pt idx="932">
                  <c:v>64625</c:v>
                </c:pt>
                <c:pt idx="933">
                  <c:v>67125</c:v>
                </c:pt>
                <c:pt idx="934">
                  <c:v>69375</c:v>
                </c:pt>
                <c:pt idx="935">
                  <c:v>69750</c:v>
                </c:pt>
                <c:pt idx="936">
                  <c:v>72625</c:v>
                </c:pt>
                <c:pt idx="937">
                  <c:v>69250</c:v>
                </c:pt>
                <c:pt idx="938">
                  <c:v>65625</c:v>
                </c:pt>
                <c:pt idx="939">
                  <c:v>69750</c:v>
                </c:pt>
                <c:pt idx="940">
                  <c:v>68500</c:v>
                </c:pt>
                <c:pt idx="941">
                  <c:v>68750</c:v>
                </c:pt>
                <c:pt idx="942">
                  <c:v>67500</c:v>
                </c:pt>
                <c:pt idx="943">
                  <c:v>70500</c:v>
                </c:pt>
                <c:pt idx="944">
                  <c:v>67000</c:v>
                </c:pt>
                <c:pt idx="945">
                  <c:v>69000</c:v>
                </c:pt>
                <c:pt idx="946">
                  <c:v>66750</c:v>
                </c:pt>
                <c:pt idx="947">
                  <c:v>67750</c:v>
                </c:pt>
                <c:pt idx="948">
                  <c:v>71875</c:v>
                </c:pt>
                <c:pt idx="949">
                  <c:v>73125</c:v>
                </c:pt>
                <c:pt idx="950">
                  <c:v>77125</c:v>
                </c:pt>
                <c:pt idx="951">
                  <c:v>76125</c:v>
                </c:pt>
                <c:pt idx="952">
                  <c:v>76125</c:v>
                </c:pt>
                <c:pt idx="953">
                  <c:v>69375</c:v>
                </c:pt>
                <c:pt idx="954">
                  <c:v>67000</c:v>
                </c:pt>
                <c:pt idx="955">
                  <c:v>66000</c:v>
                </c:pt>
                <c:pt idx="956">
                  <c:v>64750</c:v>
                </c:pt>
                <c:pt idx="957">
                  <c:v>66875</c:v>
                </c:pt>
                <c:pt idx="958">
                  <c:v>67000</c:v>
                </c:pt>
                <c:pt idx="959">
                  <c:v>65500</c:v>
                </c:pt>
                <c:pt idx="960">
                  <c:v>74000</c:v>
                </c:pt>
                <c:pt idx="961">
                  <c:v>71750</c:v>
                </c:pt>
                <c:pt idx="962">
                  <c:v>68875</c:v>
                </c:pt>
                <c:pt idx="963">
                  <c:v>68875</c:v>
                </c:pt>
                <c:pt idx="964">
                  <c:v>69750</c:v>
                </c:pt>
                <c:pt idx="965">
                  <c:v>71000</c:v>
                </c:pt>
                <c:pt idx="966">
                  <c:v>73375</c:v>
                </c:pt>
                <c:pt idx="967">
                  <c:v>73125</c:v>
                </c:pt>
                <c:pt idx="968">
                  <c:v>74375</c:v>
                </c:pt>
                <c:pt idx="969">
                  <c:v>76500</c:v>
                </c:pt>
                <c:pt idx="970">
                  <c:v>75250</c:v>
                </c:pt>
                <c:pt idx="971">
                  <c:v>74750</c:v>
                </c:pt>
                <c:pt idx="972">
                  <c:v>73625</c:v>
                </c:pt>
                <c:pt idx="973">
                  <c:v>73125</c:v>
                </c:pt>
                <c:pt idx="974">
                  <c:v>73000</c:v>
                </c:pt>
                <c:pt idx="975">
                  <c:v>75875</c:v>
                </c:pt>
                <c:pt idx="976">
                  <c:v>76125</c:v>
                </c:pt>
                <c:pt idx="977">
                  <c:v>74750</c:v>
                </c:pt>
                <c:pt idx="978">
                  <c:v>79625</c:v>
                </c:pt>
                <c:pt idx="979">
                  <c:v>81500</c:v>
                </c:pt>
                <c:pt idx="980">
                  <c:v>81125</c:v>
                </c:pt>
                <c:pt idx="981">
                  <c:v>80750</c:v>
                </c:pt>
                <c:pt idx="982">
                  <c:v>81750</c:v>
                </c:pt>
                <c:pt idx="983">
                  <c:v>83000</c:v>
                </c:pt>
                <c:pt idx="984">
                  <c:v>82250</c:v>
                </c:pt>
                <c:pt idx="985">
                  <c:v>82875</c:v>
                </c:pt>
                <c:pt idx="986">
                  <c:v>79500</c:v>
                </c:pt>
                <c:pt idx="987">
                  <c:v>83250</c:v>
                </c:pt>
                <c:pt idx="988">
                  <c:v>84000</c:v>
                </c:pt>
                <c:pt idx="989">
                  <c:v>83625</c:v>
                </c:pt>
                <c:pt idx="990">
                  <c:v>83000</c:v>
                </c:pt>
                <c:pt idx="991">
                  <c:v>83875</c:v>
                </c:pt>
                <c:pt idx="992">
                  <c:v>80625</c:v>
                </c:pt>
                <c:pt idx="993">
                  <c:v>82125</c:v>
                </c:pt>
                <c:pt idx="994">
                  <c:v>79375</c:v>
                </c:pt>
                <c:pt idx="995">
                  <c:v>83500</c:v>
                </c:pt>
                <c:pt idx="996">
                  <c:v>84500</c:v>
                </c:pt>
                <c:pt idx="997">
                  <c:v>82000</c:v>
                </c:pt>
                <c:pt idx="998">
                  <c:v>84000</c:v>
                </c:pt>
                <c:pt idx="999">
                  <c:v>87375</c:v>
                </c:pt>
                <c:pt idx="1000">
                  <c:v>89375</c:v>
                </c:pt>
                <c:pt idx="1001">
                  <c:v>87500</c:v>
                </c:pt>
                <c:pt idx="1002">
                  <c:v>89125</c:v>
                </c:pt>
                <c:pt idx="1003">
                  <c:v>88375</c:v>
                </c:pt>
                <c:pt idx="1004">
                  <c:v>84750</c:v>
                </c:pt>
                <c:pt idx="1005">
                  <c:v>85625</c:v>
                </c:pt>
                <c:pt idx="1006">
                  <c:v>82625</c:v>
                </c:pt>
                <c:pt idx="1007">
                  <c:v>84250</c:v>
                </c:pt>
                <c:pt idx="1008">
                  <c:v>82125</c:v>
                </c:pt>
                <c:pt idx="1009">
                  <c:v>81750</c:v>
                </c:pt>
                <c:pt idx="1010">
                  <c:v>84750</c:v>
                </c:pt>
                <c:pt idx="1011">
                  <c:v>86750</c:v>
                </c:pt>
                <c:pt idx="1012">
                  <c:v>87750</c:v>
                </c:pt>
                <c:pt idx="1013">
                  <c:v>90500</c:v>
                </c:pt>
                <c:pt idx="1014">
                  <c:v>88625</c:v>
                </c:pt>
                <c:pt idx="1015">
                  <c:v>85375</c:v>
                </c:pt>
                <c:pt idx="1016">
                  <c:v>84875</c:v>
                </c:pt>
                <c:pt idx="1017">
                  <c:v>87125</c:v>
                </c:pt>
                <c:pt idx="1018">
                  <c:v>85250</c:v>
                </c:pt>
                <c:pt idx="1019">
                  <c:v>81000</c:v>
                </c:pt>
                <c:pt idx="1020">
                  <c:v>80625</c:v>
                </c:pt>
                <c:pt idx="1021">
                  <c:v>76750</c:v>
                </c:pt>
                <c:pt idx="1022">
                  <c:v>71750</c:v>
                </c:pt>
                <c:pt idx="1023">
                  <c:v>71750</c:v>
                </c:pt>
                <c:pt idx="1024">
                  <c:v>59500</c:v>
                </c:pt>
                <c:pt idx="1025">
                  <c:v>60750</c:v>
                </c:pt>
                <c:pt idx="1026">
                  <c:v>54500</c:v>
                </c:pt>
                <c:pt idx="1027">
                  <c:v>55250</c:v>
                </c:pt>
                <c:pt idx="1028">
                  <c:v>56375</c:v>
                </c:pt>
                <c:pt idx="1029">
                  <c:v>56125</c:v>
                </c:pt>
                <c:pt idx="1030">
                  <c:v>52750</c:v>
                </c:pt>
                <c:pt idx="1031">
                  <c:v>50375</c:v>
                </c:pt>
                <c:pt idx="1032">
                  <c:v>47500</c:v>
                </c:pt>
                <c:pt idx="1033">
                  <c:v>52375</c:v>
                </c:pt>
                <c:pt idx="1034">
                  <c:v>54375</c:v>
                </c:pt>
                <c:pt idx="1035">
                  <c:v>52750</c:v>
                </c:pt>
                <c:pt idx="1036">
                  <c:v>58125</c:v>
                </c:pt>
                <c:pt idx="1037">
                  <c:v>65000</c:v>
                </c:pt>
                <c:pt idx="1038">
                  <c:v>64375</c:v>
                </c:pt>
                <c:pt idx="1039">
                  <c:v>67000</c:v>
                </c:pt>
                <c:pt idx="1040">
                  <c:v>67625</c:v>
                </c:pt>
                <c:pt idx="1041">
                  <c:v>70750</c:v>
                </c:pt>
                <c:pt idx="1042">
                  <c:v>79625</c:v>
                </c:pt>
                <c:pt idx="1043">
                  <c:v>82625</c:v>
                </c:pt>
                <c:pt idx="1044">
                  <c:v>83625</c:v>
                </c:pt>
                <c:pt idx="1045">
                  <c:v>82625</c:v>
                </c:pt>
                <c:pt idx="1046">
                  <c:v>80875</c:v>
                </c:pt>
                <c:pt idx="1047">
                  <c:v>83875</c:v>
                </c:pt>
                <c:pt idx="1048">
                  <c:v>84625</c:v>
                </c:pt>
                <c:pt idx="1049">
                  <c:v>82125</c:v>
                </c:pt>
                <c:pt idx="1050">
                  <c:v>82500</c:v>
                </c:pt>
                <c:pt idx="1051">
                  <c:v>81750</c:v>
                </c:pt>
                <c:pt idx="1052">
                  <c:v>74875</c:v>
                </c:pt>
                <c:pt idx="1053">
                  <c:v>78000</c:v>
                </c:pt>
                <c:pt idx="1054">
                  <c:v>89500</c:v>
                </c:pt>
                <c:pt idx="1055">
                  <c:v>87375</c:v>
                </c:pt>
                <c:pt idx="1056">
                  <c:v>86750</c:v>
                </c:pt>
                <c:pt idx="1057">
                  <c:v>86250</c:v>
                </c:pt>
                <c:pt idx="1058">
                  <c:v>85125</c:v>
                </c:pt>
                <c:pt idx="1059">
                  <c:v>84500</c:v>
                </c:pt>
                <c:pt idx="1060">
                  <c:v>82875</c:v>
                </c:pt>
                <c:pt idx="1061">
                  <c:v>85750</c:v>
                </c:pt>
                <c:pt idx="1062">
                  <c:v>84250</c:v>
                </c:pt>
                <c:pt idx="1063">
                  <c:v>85875</c:v>
                </c:pt>
                <c:pt idx="1064">
                  <c:v>87125</c:v>
                </c:pt>
                <c:pt idx="1065">
                  <c:v>87000</c:v>
                </c:pt>
                <c:pt idx="1066">
                  <c:v>86500</c:v>
                </c:pt>
                <c:pt idx="1067">
                  <c:v>87125</c:v>
                </c:pt>
                <c:pt idx="1068">
                  <c:v>90000</c:v>
                </c:pt>
                <c:pt idx="1069">
                  <c:v>92125</c:v>
                </c:pt>
                <c:pt idx="1070">
                  <c:v>94500</c:v>
                </c:pt>
                <c:pt idx="1071">
                  <c:v>93750</c:v>
                </c:pt>
                <c:pt idx="1072">
                  <c:v>91875</c:v>
                </c:pt>
                <c:pt idx="1073">
                  <c:v>90000</c:v>
                </c:pt>
                <c:pt idx="1074">
                  <c:v>87500</c:v>
                </c:pt>
                <c:pt idx="1075">
                  <c:v>82500</c:v>
                </c:pt>
                <c:pt idx="1076">
                  <c:v>77875</c:v>
                </c:pt>
                <c:pt idx="1077">
                  <c:v>78875</c:v>
                </c:pt>
                <c:pt idx="1078">
                  <c:v>81375</c:v>
                </c:pt>
                <c:pt idx="1079">
                  <c:v>83625</c:v>
                </c:pt>
                <c:pt idx="1080">
                  <c:v>85375</c:v>
                </c:pt>
                <c:pt idx="1081">
                  <c:v>82375</c:v>
                </c:pt>
                <c:pt idx="1082">
                  <c:v>84500</c:v>
                </c:pt>
                <c:pt idx="1083">
                  <c:v>83250</c:v>
                </c:pt>
                <c:pt idx="1084">
                  <c:v>84125</c:v>
                </c:pt>
                <c:pt idx="1085">
                  <c:v>80375</c:v>
                </c:pt>
                <c:pt idx="1086">
                  <c:v>81375</c:v>
                </c:pt>
                <c:pt idx="1087">
                  <c:v>80125</c:v>
                </c:pt>
                <c:pt idx="1088">
                  <c:v>81750</c:v>
                </c:pt>
                <c:pt idx="1089">
                  <c:v>79375</c:v>
                </c:pt>
                <c:pt idx="1090">
                  <c:v>79375</c:v>
                </c:pt>
                <c:pt idx="1091">
                  <c:v>78000</c:v>
                </c:pt>
                <c:pt idx="1092">
                  <c:v>75625</c:v>
                </c:pt>
                <c:pt idx="1093">
                  <c:v>76500</c:v>
                </c:pt>
                <c:pt idx="1094">
                  <c:v>78500</c:v>
                </c:pt>
                <c:pt idx="1095">
                  <c:v>81750</c:v>
                </c:pt>
                <c:pt idx="1096">
                  <c:v>82375</c:v>
                </c:pt>
                <c:pt idx="1097">
                  <c:v>84875</c:v>
                </c:pt>
                <c:pt idx="1098">
                  <c:v>86625</c:v>
                </c:pt>
                <c:pt idx="1099">
                  <c:v>86375</c:v>
                </c:pt>
                <c:pt idx="1100">
                  <c:v>87625</c:v>
                </c:pt>
                <c:pt idx="1101">
                  <c:v>86875</c:v>
                </c:pt>
                <c:pt idx="1102">
                  <c:v>84250</c:v>
                </c:pt>
                <c:pt idx="1103">
                  <c:v>84875</c:v>
                </c:pt>
                <c:pt idx="1104">
                  <c:v>85375</c:v>
                </c:pt>
                <c:pt idx="1105">
                  <c:v>82375</c:v>
                </c:pt>
                <c:pt idx="1106">
                  <c:v>83750</c:v>
                </c:pt>
                <c:pt idx="1107">
                  <c:v>86375</c:v>
                </c:pt>
                <c:pt idx="1108">
                  <c:v>84750</c:v>
                </c:pt>
                <c:pt idx="1109">
                  <c:v>83375</c:v>
                </c:pt>
                <c:pt idx="1110">
                  <c:v>86125</c:v>
                </c:pt>
                <c:pt idx="1111">
                  <c:v>84625</c:v>
                </c:pt>
                <c:pt idx="1112">
                  <c:v>82750</c:v>
                </c:pt>
                <c:pt idx="1113">
                  <c:v>86625</c:v>
                </c:pt>
                <c:pt idx="1114">
                  <c:v>87750</c:v>
                </c:pt>
                <c:pt idx="1115">
                  <c:v>90000</c:v>
                </c:pt>
                <c:pt idx="1116">
                  <c:v>95250</c:v>
                </c:pt>
                <c:pt idx="1117">
                  <c:v>93750</c:v>
                </c:pt>
                <c:pt idx="1118">
                  <c:v>94875</c:v>
                </c:pt>
                <c:pt idx="1119">
                  <c:v>95000</c:v>
                </c:pt>
                <c:pt idx="1120">
                  <c:v>94375</c:v>
                </c:pt>
                <c:pt idx="1121">
                  <c:v>93625</c:v>
                </c:pt>
                <c:pt idx="1122">
                  <c:v>92250</c:v>
                </c:pt>
                <c:pt idx="1123">
                  <c:v>92625</c:v>
                </c:pt>
                <c:pt idx="1124">
                  <c:v>91125</c:v>
                </c:pt>
                <c:pt idx="1125">
                  <c:v>92125</c:v>
                </c:pt>
                <c:pt idx="1126">
                  <c:v>92125</c:v>
                </c:pt>
                <c:pt idx="1127">
                  <c:v>94625</c:v>
                </c:pt>
                <c:pt idx="1128">
                  <c:v>92375</c:v>
                </c:pt>
                <c:pt idx="1129">
                  <c:v>90875</c:v>
                </c:pt>
                <c:pt idx="1130">
                  <c:v>92250</c:v>
                </c:pt>
                <c:pt idx="1131">
                  <c:v>89125</c:v>
                </c:pt>
                <c:pt idx="1132">
                  <c:v>86750</c:v>
                </c:pt>
                <c:pt idx="1133">
                  <c:v>89625</c:v>
                </c:pt>
                <c:pt idx="1134">
                  <c:v>89375</c:v>
                </c:pt>
                <c:pt idx="1135">
                  <c:v>88875</c:v>
                </c:pt>
                <c:pt idx="1136">
                  <c:v>85750</c:v>
                </c:pt>
                <c:pt idx="1137">
                  <c:v>87375</c:v>
                </c:pt>
                <c:pt idx="1138">
                  <c:v>86625</c:v>
                </c:pt>
                <c:pt idx="1139">
                  <c:v>86500</c:v>
                </c:pt>
                <c:pt idx="1140">
                  <c:v>90875</c:v>
                </c:pt>
                <c:pt idx="1141">
                  <c:v>89250</c:v>
                </c:pt>
                <c:pt idx="1142">
                  <c:v>88625</c:v>
                </c:pt>
                <c:pt idx="1143">
                  <c:v>90125</c:v>
                </c:pt>
                <c:pt idx="1144">
                  <c:v>92625</c:v>
                </c:pt>
                <c:pt idx="1145">
                  <c:v>93125</c:v>
                </c:pt>
                <c:pt idx="1146">
                  <c:v>93625</c:v>
                </c:pt>
                <c:pt idx="1147">
                  <c:v>95500</c:v>
                </c:pt>
                <c:pt idx="1148">
                  <c:v>95000</c:v>
                </c:pt>
                <c:pt idx="1149">
                  <c:v>96250</c:v>
                </c:pt>
                <c:pt idx="1150">
                  <c:v>96625</c:v>
                </c:pt>
                <c:pt idx="1151">
                  <c:v>100000</c:v>
                </c:pt>
                <c:pt idx="1152">
                  <c:v>99250</c:v>
                </c:pt>
                <c:pt idx="1153">
                  <c:v>98750</c:v>
                </c:pt>
                <c:pt idx="1154">
                  <c:v>99625</c:v>
                </c:pt>
                <c:pt idx="1155">
                  <c:v>97625</c:v>
                </c:pt>
                <c:pt idx="1156">
                  <c:v>100375</c:v>
                </c:pt>
                <c:pt idx="1157">
                  <c:v>96875</c:v>
                </c:pt>
                <c:pt idx="1158">
                  <c:v>96500</c:v>
                </c:pt>
                <c:pt idx="1159">
                  <c:v>96500</c:v>
                </c:pt>
                <c:pt idx="1160">
                  <c:v>94750</c:v>
                </c:pt>
                <c:pt idx="1161">
                  <c:v>91625</c:v>
                </c:pt>
                <c:pt idx="1162">
                  <c:v>91875</c:v>
                </c:pt>
                <c:pt idx="1163">
                  <c:v>92125</c:v>
                </c:pt>
                <c:pt idx="1164">
                  <c:v>91000</c:v>
                </c:pt>
                <c:pt idx="1165">
                  <c:v>91125</c:v>
                </c:pt>
                <c:pt idx="1166">
                  <c:v>91375</c:v>
                </c:pt>
                <c:pt idx="1167">
                  <c:v>90875</c:v>
                </c:pt>
                <c:pt idx="1168">
                  <c:v>92875</c:v>
                </c:pt>
                <c:pt idx="1169">
                  <c:v>90500</c:v>
                </c:pt>
                <c:pt idx="1170">
                  <c:v>90750</c:v>
                </c:pt>
                <c:pt idx="1171">
                  <c:v>90000</c:v>
                </c:pt>
                <c:pt idx="1172">
                  <c:v>90625</c:v>
                </c:pt>
                <c:pt idx="1173">
                  <c:v>91500</c:v>
                </c:pt>
                <c:pt idx="1174">
                  <c:v>92750</c:v>
                </c:pt>
                <c:pt idx="1175">
                  <c:v>95125</c:v>
                </c:pt>
                <c:pt idx="1176">
                  <c:v>95625</c:v>
                </c:pt>
                <c:pt idx="1177">
                  <c:v>95750</c:v>
                </c:pt>
                <c:pt idx="1178">
                  <c:v>96000</c:v>
                </c:pt>
                <c:pt idx="1179">
                  <c:v>96625</c:v>
                </c:pt>
                <c:pt idx="1180">
                  <c:v>95375</c:v>
                </c:pt>
                <c:pt idx="1181">
                  <c:v>92500</c:v>
                </c:pt>
                <c:pt idx="1182">
                  <c:v>92875</c:v>
                </c:pt>
                <c:pt idx="1183">
                  <c:v>93125</c:v>
                </c:pt>
                <c:pt idx="1184">
                  <c:v>92125</c:v>
                </c:pt>
                <c:pt idx="1185">
                  <c:v>95000</c:v>
                </c:pt>
                <c:pt idx="1186">
                  <c:v>95875</c:v>
                </c:pt>
                <c:pt idx="1187">
                  <c:v>98000</c:v>
                </c:pt>
                <c:pt idx="1188">
                  <c:v>99000</c:v>
                </c:pt>
                <c:pt idx="1189">
                  <c:v>99250</c:v>
                </c:pt>
                <c:pt idx="1190">
                  <c:v>98500</c:v>
                </c:pt>
                <c:pt idx="1191">
                  <c:v>98875</c:v>
                </c:pt>
                <c:pt idx="1192">
                  <c:v>99500</c:v>
                </c:pt>
                <c:pt idx="1193">
                  <c:v>98750</c:v>
                </c:pt>
                <c:pt idx="1194">
                  <c:v>98000</c:v>
                </c:pt>
                <c:pt idx="1195">
                  <c:v>97000</c:v>
                </c:pt>
                <c:pt idx="1196">
                  <c:v>96250</c:v>
                </c:pt>
                <c:pt idx="1197">
                  <c:v>94875</c:v>
                </c:pt>
                <c:pt idx="1198">
                  <c:v>93125</c:v>
                </c:pt>
                <c:pt idx="1199">
                  <c:v>90500</c:v>
                </c:pt>
                <c:pt idx="1200">
                  <c:v>90625</c:v>
                </c:pt>
                <c:pt idx="1201">
                  <c:v>91125</c:v>
                </c:pt>
                <c:pt idx="1202">
                  <c:v>90875</c:v>
                </c:pt>
                <c:pt idx="1203">
                  <c:v>91625</c:v>
                </c:pt>
                <c:pt idx="1204">
                  <c:v>90250</c:v>
                </c:pt>
                <c:pt idx="1205">
                  <c:v>90125</c:v>
                </c:pt>
                <c:pt idx="1206">
                  <c:v>90875</c:v>
                </c:pt>
                <c:pt idx="1207">
                  <c:v>90125</c:v>
                </c:pt>
                <c:pt idx="1208">
                  <c:v>90000</c:v>
                </c:pt>
                <c:pt idx="1209">
                  <c:v>89250</c:v>
                </c:pt>
                <c:pt idx="1210">
                  <c:v>88875</c:v>
                </c:pt>
                <c:pt idx="1211">
                  <c:v>90250</c:v>
                </c:pt>
                <c:pt idx="1212">
                  <c:v>100750</c:v>
                </c:pt>
                <c:pt idx="1213">
                  <c:v>99250</c:v>
                </c:pt>
                <c:pt idx="1214">
                  <c:v>97625</c:v>
                </c:pt>
                <c:pt idx="1215">
                  <c:v>97125</c:v>
                </c:pt>
                <c:pt idx="1216">
                  <c:v>95875</c:v>
                </c:pt>
                <c:pt idx="1217">
                  <c:v>94250</c:v>
                </c:pt>
                <c:pt idx="1218">
                  <c:v>94000</c:v>
                </c:pt>
                <c:pt idx="1219">
                  <c:v>96625</c:v>
                </c:pt>
                <c:pt idx="1220">
                  <c:v>95250</c:v>
                </c:pt>
                <c:pt idx="1221">
                  <c:v>88000</c:v>
                </c:pt>
                <c:pt idx="1222">
                  <c:v>88000</c:v>
                </c:pt>
                <c:pt idx="1223">
                  <c:v>85000</c:v>
                </c:pt>
                <c:pt idx="1224">
                  <c:v>84375</c:v>
                </c:pt>
                <c:pt idx="1225">
                  <c:v>82625</c:v>
                </c:pt>
                <c:pt idx="1226">
                  <c:v>79375</c:v>
                </c:pt>
                <c:pt idx="1227">
                  <c:v>79875</c:v>
                </c:pt>
                <c:pt idx="1228">
                  <c:v>88125</c:v>
                </c:pt>
                <c:pt idx="1229">
                  <c:v>84625</c:v>
                </c:pt>
                <c:pt idx="1230">
                  <c:v>84750</c:v>
                </c:pt>
                <c:pt idx="1231">
                  <c:v>85750</c:v>
                </c:pt>
                <c:pt idx="1232">
                  <c:v>81500</c:v>
                </c:pt>
                <c:pt idx="1233">
                  <c:v>80500</c:v>
                </c:pt>
                <c:pt idx="1234">
                  <c:v>81375</c:v>
                </c:pt>
                <c:pt idx="1235">
                  <c:v>86500</c:v>
                </c:pt>
                <c:pt idx="1236">
                  <c:v>87625</c:v>
                </c:pt>
                <c:pt idx="1237">
                  <c:v>89375</c:v>
                </c:pt>
                <c:pt idx="1238">
                  <c:v>87250</c:v>
                </c:pt>
                <c:pt idx="1239">
                  <c:v>90125</c:v>
                </c:pt>
                <c:pt idx="1240">
                  <c:v>85875</c:v>
                </c:pt>
                <c:pt idx="1241">
                  <c:v>88875</c:v>
                </c:pt>
                <c:pt idx="1242">
                  <c:v>83250</c:v>
                </c:pt>
                <c:pt idx="1243">
                  <c:v>81750</c:v>
                </c:pt>
                <c:pt idx="1244">
                  <c:v>80875</c:v>
                </c:pt>
                <c:pt idx="1245">
                  <c:v>78500</c:v>
                </c:pt>
                <c:pt idx="1246">
                  <c:v>77250</c:v>
                </c:pt>
                <c:pt idx="1247">
                  <c:v>82375</c:v>
                </c:pt>
                <c:pt idx="1248">
                  <c:v>80500</c:v>
                </c:pt>
                <c:pt idx="1249">
                  <c:v>78375</c:v>
                </c:pt>
                <c:pt idx="1250">
                  <c:v>76750</c:v>
                </c:pt>
                <c:pt idx="1251">
                  <c:v>74875</c:v>
                </c:pt>
                <c:pt idx="1252">
                  <c:v>73000</c:v>
                </c:pt>
                <c:pt idx="1253">
                  <c:v>70875</c:v>
                </c:pt>
                <c:pt idx="1254">
                  <c:v>74000</c:v>
                </c:pt>
                <c:pt idx="1255">
                  <c:v>70625</c:v>
                </c:pt>
                <c:pt idx="1256">
                  <c:v>68500</c:v>
                </c:pt>
                <c:pt idx="1257">
                  <c:v>68125</c:v>
                </c:pt>
                <c:pt idx="1258">
                  <c:v>63250</c:v>
                </c:pt>
                <c:pt idx="1259">
                  <c:v>63375</c:v>
                </c:pt>
                <c:pt idx="1260">
                  <c:v>60625</c:v>
                </c:pt>
                <c:pt idx="1261">
                  <c:v>63875</c:v>
                </c:pt>
                <c:pt idx="1262">
                  <c:v>65625</c:v>
                </c:pt>
                <c:pt idx="1263">
                  <c:v>62250</c:v>
                </c:pt>
                <c:pt idx="1264">
                  <c:v>60000</c:v>
                </c:pt>
                <c:pt idx="1265">
                  <c:v>61375</c:v>
                </c:pt>
                <c:pt idx="1266">
                  <c:v>64500</c:v>
                </c:pt>
                <c:pt idx="1267">
                  <c:v>59750</c:v>
                </c:pt>
                <c:pt idx="1268">
                  <c:v>65375</c:v>
                </c:pt>
                <c:pt idx="1269">
                  <c:v>78125</c:v>
                </c:pt>
                <c:pt idx="1270">
                  <c:v>78250</c:v>
                </c:pt>
                <c:pt idx="1271">
                  <c:v>82875</c:v>
                </c:pt>
                <c:pt idx="1272">
                  <c:v>85875</c:v>
                </c:pt>
                <c:pt idx="1273">
                  <c:v>84500</c:v>
                </c:pt>
                <c:pt idx="1274">
                  <c:v>84000</c:v>
                </c:pt>
                <c:pt idx="1275">
                  <c:v>89875</c:v>
                </c:pt>
                <c:pt idx="1276">
                  <c:v>97000</c:v>
                </c:pt>
                <c:pt idx="1277">
                  <c:v>100250</c:v>
                </c:pt>
                <c:pt idx="1278">
                  <c:v>106000</c:v>
                </c:pt>
                <c:pt idx="1279">
                  <c:v>107750</c:v>
                </c:pt>
                <c:pt idx="1280">
                  <c:v>109000</c:v>
                </c:pt>
                <c:pt idx="1281">
                  <c:v>102375</c:v>
                </c:pt>
                <c:pt idx="1282">
                  <c:v>105125</c:v>
                </c:pt>
                <c:pt idx="1283">
                  <c:v>101625</c:v>
                </c:pt>
                <c:pt idx="1284">
                  <c:v>96750</c:v>
                </c:pt>
                <c:pt idx="1285">
                  <c:v>98625</c:v>
                </c:pt>
                <c:pt idx="1286">
                  <c:v>101250</c:v>
                </c:pt>
                <c:pt idx="1287">
                  <c:v>100125</c:v>
                </c:pt>
                <c:pt idx="1288">
                  <c:v>106000</c:v>
                </c:pt>
                <c:pt idx="1289">
                  <c:v>110000</c:v>
                </c:pt>
                <c:pt idx="1290">
                  <c:v>110250</c:v>
                </c:pt>
                <c:pt idx="1291">
                  <c:v>110125</c:v>
                </c:pt>
                <c:pt idx="1292">
                  <c:v>110875</c:v>
                </c:pt>
                <c:pt idx="1293">
                  <c:v>112000</c:v>
                </c:pt>
                <c:pt idx="1294">
                  <c:v>109750</c:v>
                </c:pt>
                <c:pt idx="1295">
                  <c:v>112875</c:v>
                </c:pt>
                <c:pt idx="1296">
                  <c:v>111000</c:v>
                </c:pt>
                <c:pt idx="1297">
                  <c:v>113625</c:v>
                </c:pt>
                <c:pt idx="1298">
                  <c:v>117000</c:v>
                </c:pt>
                <c:pt idx="1299">
                  <c:v>115250</c:v>
                </c:pt>
                <c:pt idx="1300">
                  <c:v>116500</c:v>
                </c:pt>
                <c:pt idx="1301">
                  <c:v>116375</c:v>
                </c:pt>
                <c:pt idx="1302">
                  <c:v>115375</c:v>
                </c:pt>
                <c:pt idx="1303">
                  <c:v>115625</c:v>
                </c:pt>
                <c:pt idx="1304">
                  <c:v>115375</c:v>
                </c:pt>
                <c:pt idx="1305">
                  <c:v>117000</c:v>
                </c:pt>
                <c:pt idx="1306">
                  <c:v>118375</c:v>
                </c:pt>
                <c:pt idx="1307">
                  <c:v>114125</c:v>
                </c:pt>
                <c:pt idx="1308">
                  <c:v>113750</c:v>
                </c:pt>
                <c:pt idx="1309">
                  <c:v>113500</c:v>
                </c:pt>
                <c:pt idx="1310">
                  <c:v>112375</c:v>
                </c:pt>
                <c:pt idx="1311">
                  <c:v>110500</c:v>
                </c:pt>
                <c:pt idx="1312">
                  <c:v>111125</c:v>
                </c:pt>
                <c:pt idx="1313">
                  <c:v>113125</c:v>
                </c:pt>
                <c:pt idx="1314">
                  <c:v>114250</c:v>
                </c:pt>
                <c:pt idx="1315">
                  <c:v>116000</c:v>
                </c:pt>
                <c:pt idx="1316">
                  <c:v>118750</c:v>
                </c:pt>
                <c:pt idx="1317">
                  <c:v>122000</c:v>
                </c:pt>
                <c:pt idx="1318">
                  <c:v>124875</c:v>
                </c:pt>
                <c:pt idx="1319">
                  <c:v>126250</c:v>
                </c:pt>
                <c:pt idx="1320">
                  <c:v>123125</c:v>
                </c:pt>
                <c:pt idx="1321">
                  <c:v>119625</c:v>
                </c:pt>
                <c:pt idx="1322">
                  <c:v>119750</c:v>
                </c:pt>
                <c:pt idx="1323">
                  <c:v>117500</c:v>
                </c:pt>
                <c:pt idx="1324">
                  <c:v>114625</c:v>
                </c:pt>
                <c:pt idx="1325">
                  <c:v>112750</c:v>
                </c:pt>
                <c:pt idx="1326">
                  <c:v>114000</c:v>
                </c:pt>
                <c:pt idx="1327">
                  <c:v>118750</c:v>
                </c:pt>
                <c:pt idx="1328">
                  <c:v>118500</c:v>
                </c:pt>
                <c:pt idx="1329">
                  <c:v>119375</c:v>
                </c:pt>
                <c:pt idx="1330">
                  <c:v>115375</c:v>
                </c:pt>
                <c:pt idx="1331">
                  <c:v>116500</c:v>
                </c:pt>
                <c:pt idx="1332">
                  <c:v>113750</c:v>
                </c:pt>
                <c:pt idx="1333">
                  <c:v>113750</c:v>
                </c:pt>
                <c:pt idx="1334">
                  <c:v>116125</c:v>
                </c:pt>
                <c:pt idx="1335">
                  <c:v>116375</c:v>
                </c:pt>
                <c:pt idx="1336">
                  <c:v>119250</c:v>
                </c:pt>
                <c:pt idx="1337">
                  <c:v>118250</c:v>
                </c:pt>
                <c:pt idx="1338">
                  <c:v>119250</c:v>
                </c:pt>
                <c:pt idx="1339">
                  <c:v>119250</c:v>
                </c:pt>
                <c:pt idx="1340">
                  <c:v>116875</c:v>
                </c:pt>
                <c:pt idx="1341">
                  <c:v>111250</c:v>
                </c:pt>
                <c:pt idx="1342">
                  <c:v>109875</c:v>
                </c:pt>
                <c:pt idx="1343">
                  <c:v>109750</c:v>
                </c:pt>
                <c:pt idx="1344">
                  <c:v>113625</c:v>
                </c:pt>
                <c:pt idx="1345">
                  <c:v>113000</c:v>
                </c:pt>
                <c:pt idx="1346">
                  <c:v>111125</c:v>
                </c:pt>
                <c:pt idx="1347">
                  <c:v>114750</c:v>
                </c:pt>
                <c:pt idx="1348">
                  <c:v>110375</c:v>
                </c:pt>
                <c:pt idx="1349">
                  <c:v>105375</c:v>
                </c:pt>
                <c:pt idx="1350">
                  <c:v>107875</c:v>
                </c:pt>
                <c:pt idx="1351">
                  <c:v>107250</c:v>
                </c:pt>
                <c:pt idx="1352">
                  <c:v>105625</c:v>
                </c:pt>
                <c:pt idx="1353">
                  <c:v>108125</c:v>
                </c:pt>
                <c:pt idx="1354">
                  <c:v>108125</c:v>
                </c:pt>
                <c:pt idx="1355">
                  <c:v>109875</c:v>
                </c:pt>
                <c:pt idx="1356">
                  <c:v>109625</c:v>
                </c:pt>
                <c:pt idx="1357">
                  <c:v>106875</c:v>
                </c:pt>
                <c:pt idx="1358">
                  <c:v>105625</c:v>
                </c:pt>
                <c:pt idx="1359">
                  <c:v>106375</c:v>
                </c:pt>
                <c:pt idx="1360">
                  <c:v>106000</c:v>
                </c:pt>
                <c:pt idx="1361">
                  <c:v>109625</c:v>
                </c:pt>
                <c:pt idx="1362">
                  <c:v>111625</c:v>
                </c:pt>
                <c:pt idx="1363">
                  <c:v>110500</c:v>
                </c:pt>
                <c:pt idx="1364">
                  <c:v>110250</c:v>
                </c:pt>
                <c:pt idx="1365">
                  <c:v>111250</c:v>
                </c:pt>
                <c:pt idx="1366">
                  <c:v>107625</c:v>
                </c:pt>
                <c:pt idx="1367">
                  <c:v>113000</c:v>
                </c:pt>
                <c:pt idx="1368">
                  <c:v>113250</c:v>
                </c:pt>
                <c:pt idx="1369">
                  <c:v>115125</c:v>
                </c:pt>
                <c:pt idx="1370">
                  <c:v>113375</c:v>
                </c:pt>
                <c:pt idx="1371">
                  <c:v>114375</c:v>
                </c:pt>
                <c:pt idx="1372">
                  <c:v>113000</c:v>
                </c:pt>
                <c:pt idx="1373">
                  <c:v>111625</c:v>
                </c:pt>
                <c:pt idx="1374">
                  <c:v>109375</c:v>
                </c:pt>
                <c:pt idx="1375">
                  <c:v>108750</c:v>
                </c:pt>
                <c:pt idx="1376">
                  <c:v>109125</c:v>
                </c:pt>
                <c:pt idx="1377">
                  <c:v>108750</c:v>
                </c:pt>
                <c:pt idx="1378">
                  <c:v>109625</c:v>
                </c:pt>
                <c:pt idx="1379">
                  <c:v>115000</c:v>
                </c:pt>
                <c:pt idx="1380">
                  <c:v>115000</c:v>
                </c:pt>
                <c:pt idx="1381">
                  <c:v>118375</c:v>
                </c:pt>
                <c:pt idx="1382">
                  <c:v>115625</c:v>
                </c:pt>
                <c:pt idx="1383">
                  <c:v>109875</c:v>
                </c:pt>
                <c:pt idx="1384">
                  <c:v>109875</c:v>
                </c:pt>
                <c:pt idx="1385">
                  <c:v>109000</c:v>
                </c:pt>
                <c:pt idx="1386">
                  <c:v>110000</c:v>
                </c:pt>
                <c:pt idx="1387">
                  <c:v>109250</c:v>
                </c:pt>
                <c:pt idx="1388">
                  <c:v>107375</c:v>
                </c:pt>
                <c:pt idx="1389">
                  <c:v>105875</c:v>
                </c:pt>
                <c:pt idx="1390">
                  <c:v>106500</c:v>
                </c:pt>
                <c:pt idx="1391">
                  <c:v>108375</c:v>
                </c:pt>
                <c:pt idx="1392">
                  <c:v>109000</c:v>
                </c:pt>
                <c:pt idx="1393">
                  <c:v>108125</c:v>
                </c:pt>
                <c:pt idx="1394">
                  <c:v>109875</c:v>
                </c:pt>
                <c:pt idx="1395">
                  <c:v>113000</c:v>
                </c:pt>
                <c:pt idx="1396">
                  <c:v>113500</c:v>
                </c:pt>
                <c:pt idx="1397">
                  <c:v>113250</c:v>
                </c:pt>
                <c:pt idx="1398">
                  <c:v>109625</c:v>
                </c:pt>
                <c:pt idx="1399">
                  <c:v>112875</c:v>
                </c:pt>
                <c:pt idx="1400">
                  <c:v>111875</c:v>
                </c:pt>
                <c:pt idx="1401">
                  <c:v>111250</c:v>
                </c:pt>
                <c:pt idx="1402">
                  <c:v>108875</c:v>
                </c:pt>
                <c:pt idx="1403">
                  <c:v>107000</c:v>
                </c:pt>
                <c:pt idx="1404">
                  <c:v>105875</c:v>
                </c:pt>
                <c:pt idx="1405">
                  <c:v>107875</c:v>
                </c:pt>
                <c:pt idx="1406">
                  <c:v>106875</c:v>
                </c:pt>
                <c:pt idx="1407">
                  <c:v>107500</c:v>
                </c:pt>
                <c:pt idx="1408">
                  <c:v>108125</c:v>
                </c:pt>
                <c:pt idx="1409">
                  <c:v>109250</c:v>
                </c:pt>
                <c:pt idx="1410">
                  <c:v>108125</c:v>
                </c:pt>
                <c:pt idx="1411">
                  <c:v>107375</c:v>
                </c:pt>
                <c:pt idx="1412">
                  <c:v>103375</c:v>
                </c:pt>
                <c:pt idx="1413">
                  <c:v>104625</c:v>
                </c:pt>
                <c:pt idx="1414">
                  <c:v>102125</c:v>
                </c:pt>
                <c:pt idx="1415">
                  <c:v>102125</c:v>
                </c:pt>
                <c:pt idx="1416">
                  <c:v>101875</c:v>
                </c:pt>
                <c:pt idx="1417">
                  <c:v>104875</c:v>
                </c:pt>
                <c:pt idx="1418">
                  <c:v>105125</c:v>
                </c:pt>
                <c:pt idx="1419">
                  <c:v>105875</c:v>
                </c:pt>
                <c:pt idx="1420">
                  <c:v>107250</c:v>
                </c:pt>
                <c:pt idx="1421">
                  <c:v>107625</c:v>
                </c:pt>
                <c:pt idx="1422">
                  <c:v>107000</c:v>
                </c:pt>
                <c:pt idx="1423">
                  <c:v>102875</c:v>
                </c:pt>
                <c:pt idx="1424">
                  <c:v>103375</c:v>
                </c:pt>
                <c:pt idx="1425">
                  <c:v>104625</c:v>
                </c:pt>
                <c:pt idx="1426">
                  <c:v>103000</c:v>
                </c:pt>
                <c:pt idx="1427">
                  <c:v>101750</c:v>
                </c:pt>
                <c:pt idx="1428">
                  <c:v>101750</c:v>
                </c:pt>
                <c:pt idx="1429">
                  <c:v>99500</c:v>
                </c:pt>
                <c:pt idx="1430">
                  <c:v>98625</c:v>
                </c:pt>
                <c:pt idx="1431">
                  <c:v>99750</c:v>
                </c:pt>
                <c:pt idx="1432">
                  <c:v>97625</c:v>
                </c:pt>
                <c:pt idx="1433">
                  <c:v>98875</c:v>
                </c:pt>
                <c:pt idx="1434">
                  <c:v>102000</c:v>
                </c:pt>
                <c:pt idx="1435">
                  <c:v>101750</c:v>
                </c:pt>
                <c:pt idx="1436">
                  <c:v>101750</c:v>
                </c:pt>
                <c:pt idx="1437">
                  <c:v>103875</c:v>
                </c:pt>
                <c:pt idx="1438">
                  <c:v>105250</c:v>
                </c:pt>
                <c:pt idx="1439">
                  <c:v>106500</c:v>
                </c:pt>
                <c:pt idx="1440">
                  <c:v>103250</c:v>
                </c:pt>
                <c:pt idx="1441">
                  <c:v>99375</c:v>
                </c:pt>
                <c:pt idx="1442">
                  <c:v>98875</c:v>
                </c:pt>
                <c:pt idx="1443">
                  <c:v>99500</c:v>
                </c:pt>
                <c:pt idx="1444">
                  <c:v>100625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1445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49940</c:v>
                </c:pt>
                <c:pt idx="9">
                  <c:v>45970</c:v>
                </c:pt>
                <c:pt idx="10">
                  <c:v>38570</c:v>
                </c:pt>
                <c:pt idx="11">
                  <c:v>33640</c:v>
                </c:pt>
                <c:pt idx="12">
                  <c:v>32100</c:v>
                </c:pt>
                <c:pt idx="13">
                  <c:v>30980</c:v>
                </c:pt>
                <c:pt idx="14">
                  <c:v>31350</c:v>
                </c:pt>
                <c:pt idx="15">
                  <c:v>27340</c:v>
                </c:pt>
                <c:pt idx="16">
                  <c:v>27730</c:v>
                </c:pt>
                <c:pt idx="17">
                  <c:v>29240</c:v>
                </c:pt>
                <c:pt idx="18">
                  <c:v>30830</c:v>
                </c:pt>
                <c:pt idx="19">
                  <c:v>25640</c:v>
                </c:pt>
                <c:pt idx="20">
                  <c:v>24420</c:v>
                </c:pt>
                <c:pt idx="21">
                  <c:v>32620</c:v>
                </c:pt>
                <c:pt idx="22">
                  <c:v>46230</c:v>
                </c:pt>
                <c:pt idx="23">
                  <c:v>39670</c:v>
                </c:pt>
                <c:pt idx="24">
                  <c:v>39710</c:v>
                </c:pt>
                <c:pt idx="25">
                  <c:v>40400</c:v>
                </c:pt>
                <c:pt idx="26">
                  <c:v>41520</c:v>
                </c:pt>
                <c:pt idx="27">
                  <c:v>42360</c:v>
                </c:pt>
                <c:pt idx="28">
                  <c:v>39570</c:v>
                </c:pt>
                <c:pt idx="29">
                  <c:v>30470</c:v>
                </c:pt>
                <c:pt idx="30">
                  <c:v>29490</c:v>
                </c:pt>
                <c:pt idx="31">
                  <c:v>27510</c:v>
                </c:pt>
                <c:pt idx="32">
                  <c:v>25650</c:v>
                </c:pt>
                <c:pt idx="33">
                  <c:v>25250</c:v>
                </c:pt>
                <c:pt idx="34">
                  <c:v>27820</c:v>
                </c:pt>
                <c:pt idx="35">
                  <c:v>29020</c:v>
                </c:pt>
                <c:pt idx="36">
                  <c:v>27960</c:v>
                </c:pt>
                <c:pt idx="37">
                  <c:v>28820</c:v>
                </c:pt>
                <c:pt idx="38">
                  <c:v>26580</c:v>
                </c:pt>
                <c:pt idx="39">
                  <c:v>26440</c:v>
                </c:pt>
                <c:pt idx="40">
                  <c:v>27430</c:v>
                </c:pt>
                <c:pt idx="41">
                  <c:v>33710</c:v>
                </c:pt>
                <c:pt idx="42">
                  <c:v>31980</c:v>
                </c:pt>
                <c:pt idx="43">
                  <c:v>32090</c:v>
                </c:pt>
                <c:pt idx="44">
                  <c:v>31640</c:v>
                </c:pt>
                <c:pt idx="45">
                  <c:v>32220</c:v>
                </c:pt>
                <c:pt idx="46">
                  <c:v>30680</c:v>
                </c:pt>
                <c:pt idx="47">
                  <c:v>30560</c:v>
                </c:pt>
                <c:pt idx="48">
                  <c:v>30020</c:v>
                </c:pt>
                <c:pt idx="49">
                  <c:v>29840</c:v>
                </c:pt>
                <c:pt idx="50">
                  <c:v>25640</c:v>
                </c:pt>
                <c:pt idx="51">
                  <c:v>25580</c:v>
                </c:pt>
                <c:pt idx="52">
                  <c:v>25820</c:v>
                </c:pt>
                <c:pt idx="53">
                  <c:v>23010</c:v>
                </c:pt>
                <c:pt idx="54">
                  <c:v>22200</c:v>
                </c:pt>
                <c:pt idx="55">
                  <c:v>26680</c:v>
                </c:pt>
                <c:pt idx="56">
                  <c:v>18840</c:v>
                </c:pt>
                <c:pt idx="57">
                  <c:v>16510</c:v>
                </c:pt>
                <c:pt idx="58">
                  <c:v>8480</c:v>
                </c:pt>
                <c:pt idx="59">
                  <c:v>5490</c:v>
                </c:pt>
                <c:pt idx="60">
                  <c:v>5960</c:v>
                </c:pt>
                <c:pt idx="61">
                  <c:v>-1670</c:v>
                </c:pt>
                <c:pt idx="62">
                  <c:v>-2830</c:v>
                </c:pt>
                <c:pt idx="63">
                  <c:v>-2330</c:v>
                </c:pt>
                <c:pt idx="64">
                  <c:v>-3000</c:v>
                </c:pt>
                <c:pt idx="65">
                  <c:v>-2360</c:v>
                </c:pt>
                <c:pt idx="66">
                  <c:v>-2540</c:v>
                </c:pt>
                <c:pt idx="67">
                  <c:v>-3150</c:v>
                </c:pt>
                <c:pt idx="68">
                  <c:v>-1500</c:v>
                </c:pt>
                <c:pt idx="69">
                  <c:v>-5420</c:v>
                </c:pt>
                <c:pt idx="70">
                  <c:v>-3480</c:v>
                </c:pt>
                <c:pt idx="71">
                  <c:v>-50</c:v>
                </c:pt>
                <c:pt idx="72">
                  <c:v>2880</c:v>
                </c:pt>
                <c:pt idx="73">
                  <c:v>4370</c:v>
                </c:pt>
                <c:pt idx="74">
                  <c:v>20850</c:v>
                </c:pt>
                <c:pt idx="75">
                  <c:v>21430</c:v>
                </c:pt>
                <c:pt idx="76">
                  <c:v>18910</c:v>
                </c:pt>
                <c:pt idx="77">
                  <c:v>19860</c:v>
                </c:pt>
                <c:pt idx="78">
                  <c:v>19760</c:v>
                </c:pt>
                <c:pt idx="79">
                  <c:v>48330</c:v>
                </c:pt>
                <c:pt idx="80">
                  <c:v>51190</c:v>
                </c:pt>
                <c:pt idx="81">
                  <c:v>47080</c:v>
                </c:pt>
                <c:pt idx="82">
                  <c:v>46720</c:v>
                </c:pt>
                <c:pt idx="83">
                  <c:v>57160</c:v>
                </c:pt>
                <c:pt idx="84">
                  <c:v>56560</c:v>
                </c:pt>
                <c:pt idx="85">
                  <c:v>63890</c:v>
                </c:pt>
                <c:pt idx="86">
                  <c:v>65230</c:v>
                </c:pt>
                <c:pt idx="87">
                  <c:v>65160</c:v>
                </c:pt>
                <c:pt idx="88">
                  <c:v>63230</c:v>
                </c:pt>
                <c:pt idx="89">
                  <c:v>63270</c:v>
                </c:pt>
                <c:pt idx="90">
                  <c:v>65060</c:v>
                </c:pt>
                <c:pt idx="91">
                  <c:v>54810</c:v>
                </c:pt>
                <c:pt idx="92">
                  <c:v>56050</c:v>
                </c:pt>
                <c:pt idx="93">
                  <c:v>61210</c:v>
                </c:pt>
                <c:pt idx="94">
                  <c:v>61390</c:v>
                </c:pt>
                <c:pt idx="95">
                  <c:v>62850</c:v>
                </c:pt>
                <c:pt idx="96">
                  <c:v>64510</c:v>
                </c:pt>
                <c:pt idx="97">
                  <c:v>66260</c:v>
                </c:pt>
                <c:pt idx="98">
                  <c:v>67280</c:v>
                </c:pt>
                <c:pt idx="99">
                  <c:v>68560</c:v>
                </c:pt>
                <c:pt idx="100">
                  <c:v>68610</c:v>
                </c:pt>
                <c:pt idx="101">
                  <c:v>68640</c:v>
                </c:pt>
                <c:pt idx="102">
                  <c:v>67360</c:v>
                </c:pt>
                <c:pt idx="103">
                  <c:v>71240</c:v>
                </c:pt>
                <c:pt idx="104">
                  <c:v>71830</c:v>
                </c:pt>
                <c:pt idx="105">
                  <c:v>73590</c:v>
                </c:pt>
                <c:pt idx="106">
                  <c:v>72070</c:v>
                </c:pt>
                <c:pt idx="107">
                  <c:v>72560</c:v>
                </c:pt>
                <c:pt idx="108">
                  <c:v>69620</c:v>
                </c:pt>
                <c:pt idx="109">
                  <c:v>69570</c:v>
                </c:pt>
                <c:pt idx="110">
                  <c:v>69940</c:v>
                </c:pt>
                <c:pt idx="111">
                  <c:v>66920</c:v>
                </c:pt>
                <c:pt idx="112">
                  <c:v>67740</c:v>
                </c:pt>
                <c:pt idx="113">
                  <c:v>72240</c:v>
                </c:pt>
                <c:pt idx="114">
                  <c:v>80040</c:v>
                </c:pt>
                <c:pt idx="115">
                  <c:v>79360</c:v>
                </c:pt>
                <c:pt idx="116">
                  <c:v>80710</c:v>
                </c:pt>
                <c:pt idx="117">
                  <c:v>80210</c:v>
                </c:pt>
                <c:pt idx="118">
                  <c:v>79590</c:v>
                </c:pt>
                <c:pt idx="119">
                  <c:v>80250</c:v>
                </c:pt>
                <c:pt idx="120">
                  <c:v>80870</c:v>
                </c:pt>
                <c:pt idx="121">
                  <c:v>82640</c:v>
                </c:pt>
                <c:pt idx="122">
                  <c:v>91690</c:v>
                </c:pt>
                <c:pt idx="123">
                  <c:v>83600</c:v>
                </c:pt>
                <c:pt idx="124">
                  <c:v>78250</c:v>
                </c:pt>
                <c:pt idx="125">
                  <c:v>76890</c:v>
                </c:pt>
                <c:pt idx="126">
                  <c:v>82640</c:v>
                </c:pt>
                <c:pt idx="127">
                  <c:v>91220</c:v>
                </c:pt>
                <c:pt idx="128">
                  <c:v>94300</c:v>
                </c:pt>
                <c:pt idx="129">
                  <c:v>90930</c:v>
                </c:pt>
                <c:pt idx="130">
                  <c:v>93540</c:v>
                </c:pt>
                <c:pt idx="131">
                  <c:v>90960</c:v>
                </c:pt>
                <c:pt idx="132">
                  <c:v>88500</c:v>
                </c:pt>
                <c:pt idx="133">
                  <c:v>90920</c:v>
                </c:pt>
                <c:pt idx="134">
                  <c:v>91710</c:v>
                </c:pt>
                <c:pt idx="135">
                  <c:v>90380</c:v>
                </c:pt>
                <c:pt idx="136">
                  <c:v>89140</c:v>
                </c:pt>
                <c:pt idx="137">
                  <c:v>90060</c:v>
                </c:pt>
                <c:pt idx="138">
                  <c:v>95900</c:v>
                </c:pt>
                <c:pt idx="139">
                  <c:v>97100</c:v>
                </c:pt>
                <c:pt idx="140">
                  <c:v>96120</c:v>
                </c:pt>
                <c:pt idx="141">
                  <c:v>98990</c:v>
                </c:pt>
                <c:pt idx="142">
                  <c:v>98070</c:v>
                </c:pt>
                <c:pt idx="143">
                  <c:v>102960</c:v>
                </c:pt>
                <c:pt idx="144">
                  <c:v>101760</c:v>
                </c:pt>
                <c:pt idx="145">
                  <c:v>100880</c:v>
                </c:pt>
                <c:pt idx="146">
                  <c:v>99320</c:v>
                </c:pt>
                <c:pt idx="147">
                  <c:v>99120</c:v>
                </c:pt>
                <c:pt idx="148">
                  <c:v>99070</c:v>
                </c:pt>
                <c:pt idx="149">
                  <c:v>98070</c:v>
                </c:pt>
                <c:pt idx="150">
                  <c:v>98420</c:v>
                </c:pt>
                <c:pt idx="151">
                  <c:v>98050</c:v>
                </c:pt>
                <c:pt idx="152">
                  <c:v>98480</c:v>
                </c:pt>
                <c:pt idx="153">
                  <c:v>98180</c:v>
                </c:pt>
                <c:pt idx="154">
                  <c:v>99570</c:v>
                </c:pt>
                <c:pt idx="155">
                  <c:v>101620</c:v>
                </c:pt>
                <c:pt idx="156">
                  <c:v>102560</c:v>
                </c:pt>
                <c:pt idx="157">
                  <c:v>98240</c:v>
                </c:pt>
                <c:pt idx="158">
                  <c:v>97020</c:v>
                </c:pt>
                <c:pt idx="159">
                  <c:v>97020</c:v>
                </c:pt>
                <c:pt idx="160">
                  <c:v>97020</c:v>
                </c:pt>
                <c:pt idx="161">
                  <c:v>97020</c:v>
                </c:pt>
                <c:pt idx="162">
                  <c:v>97020</c:v>
                </c:pt>
                <c:pt idx="163">
                  <c:v>96970</c:v>
                </c:pt>
                <c:pt idx="164">
                  <c:v>96950</c:v>
                </c:pt>
                <c:pt idx="165">
                  <c:v>98590</c:v>
                </c:pt>
                <c:pt idx="166">
                  <c:v>97730</c:v>
                </c:pt>
                <c:pt idx="167">
                  <c:v>97840</c:v>
                </c:pt>
                <c:pt idx="168">
                  <c:v>98400</c:v>
                </c:pt>
                <c:pt idx="169">
                  <c:v>97710</c:v>
                </c:pt>
                <c:pt idx="170">
                  <c:v>97490</c:v>
                </c:pt>
                <c:pt idx="171">
                  <c:v>97440</c:v>
                </c:pt>
                <c:pt idx="172">
                  <c:v>97350</c:v>
                </c:pt>
                <c:pt idx="173">
                  <c:v>97240</c:v>
                </c:pt>
                <c:pt idx="174">
                  <c:v>98360</c:v>
                </c:pt>
                <c:pt idx="175">
                  <c:v>99360</c:v>
                </c:pt>
                <c:pt idx="176">
                  <c:v>100000</c:v>
                </c:pt>
                <c:pt idx="177">
                  <c:v>103840</c:v>
                </c:pt>
                <c:pt idx="178">
                  <c:v>103170</c:v>
                </c:pt>
                <c:pt idx="179">
                  <c:v>100370</c:v>
                </c:pt>
                <c:pt idx="180">
                  <c:v>103100</c:v>
                </c:pt>
                <c:pt idx="181">
                  <c:v>103400</c:v>
                </c:pt>
                <c:pt idx="182">
                  <c:v>103890</c:v>
                </c:pt>
                <c:pt idx="183">
                  <c:v>104350</c:v>
                </c:pt>
                <c:pt idx="184">
                  <c:v>105560</c:v>
                </c:pt>
                <c:pt idx="185">
                  <c:v>106910</c:v>
                </c:pt>
                <c:pt idx="186">
                  <c:v>105910</c:v>
                </c:pt>
                <c:pt idx="187">
                  <c:v>111330</c:v>
                </c:pt>
                <c:pt idx="188">
                  <c:v>115870</c:v>
                </c:pt>
                <c:pt idx="189">
                  <c:v>105320</c:v>
                </c:pt>
                <c:pt idx="190">
                  <c:v>107770</c:v>
                </c:pt>
                <c:pt idx="191">
                  <c:v>121010</c:v>
                </c:pt>
                <c:pt idx="192">
                  <c:v>123140</c:v>
                </c:pt>
                <c:pt idx="193">
                  <c:v>125210</c:v>
                </c:pt>
                <c:pt idx="194">
                  <c:v>132280</c:v>
                </c:pt>
                <c:pt idx="195">
                  <c:v>134290</c:v>
                </c:pt>
                <c:pt idx="196">
                  <c:v>136050</c:v>
                </c:pt>
                <c:pt idx="197">
                  <c:v>122270</c:v>
                </c:pt>
                <c:pt idx="198">
                  <c:v>117270</c:v>
                </c:pt>
                <c:pt idx="199">
                  <c:v>121540</c:v>
                </c:pt>
                <c:pt idx="200">
                  <c:v>157150</c:v>
                </c:pt>
                <c:pt idx="201">
                  <c:v>160310</c:v>
                </c:pt>
                <c:pt idx="202">
                  <c:v>161310</c:v>
                </c:pt>
                <c:pt idx="203">
                  <c:v>161270</c:v>
                </c:pt>
                <c:pt idx="204">
                  <c:v>163550</c:v>
                </c:pt>
                <c:pt idx="205">
                  <c:v>168700</c:v>
                </c:pt>
                <c:pt idx="206">
                  <c:v>175050</c:v>
                </c:pt>
                <c:pt idx="207">
                  <c:v>181560</c:v>
                </c:pt>
                <c:pt idx="208">
                  <c:v>176550</c:v>
                </c:pt>
                <c:pt idx="209">
                  <c:v>169210</c:v>
                </c:pt>
                <c:pt idx="210">
                  <c:v>163450</c:v>
                </c:pt>
                <c:pt idx="211">
                  <c:v>169520</c:v>
                </c:pt>
                <c:pt idx="212">
                  <c:v>164990</c:v>
                </c:pt>
                <c:pt idx="213">
                  <c:v>164100</c:v>
                </c:pt>
                <c:pt idx="214">
                  <c:v>169860</c:v>
                </c:pt>
                <c:pt idx="215">
                  <c:v>180640</c:v>
                </c:pt>
                <c:pt idx="216">
                  <c:v>182650</c:v>
                </c:pt>
                <c:pt idx="217">
                  <c:v>182630</c:v>
                </c:pt>
                <c:pt idx="218">
                  <c:v>188970</c:v>
                </c:pt>
                <c:pt idx="219">
                  <c:v>189380</c:v>
                </c:pt>
                <c:pt idx="220">
                  <c:v>186600</c:v>
                </c:pt>
                <c:pt idx="221">
                  <c:v>174000</c:v>
                </c:pt>
                <c:pt idx="222">
                  <c:v>181830</c:v>
                </c:pt>
                <c:pt idx="223">
                  <c:v>178450</c:v>
                </c:pt>
                <c:pt idx="224">
                  <c:v>185480</c:v>
                </c:pt>
                <c:pt idx="225">
                  <c:v>187210</c:v>
                </c:pt>
                <c:pt idx="226">
                  <c:v>182360</c:v>
                </c:pt>
                <c:pt idx="227">
                  <c:v>181610</c:v>
                </c:pt>
                <c:pt idx="228">
                  <c:v>195170</c:v>
                </c:pt>
                <c:pt idx="229">
                  <c:v>192710</c:v>
                </c:pt>
                <c:pt idx="230">
                  <c:v>189460</c:v>
                </c:pt>
                <c:pt idx="231">
                  <c:v>203310</c:v>
                </c:pt>
                <c:pt idx="232">
                  <c:v>204620</c:v>
                </c:pt>
                <c:pt idx="233">
                  <c:v>200510</c:v>
                </c:pt>
                <c:pt idx="234">
                  <c:v>204200</c:v>
                </c:pt>
                <c:pt idx="235">
                  <c:v>196520</c:v>
                </c:pt>
                <c:pt idx="236">
                  <c:v>200800</c:v>
                </c:pt>
                <c:pt idx="237">
                  <c:v>218880</c:v>
                </c:pt>
                <c:pt idx="238">
                  <c:v>208220</c:v>
                </c:pt>
                <c:pt idx="239">
                  <c:v>213410</c:v>
                </c:pt>
                <c:pt idx="240">
                  <c:v>231970</c:v>
                </c:pt>
                <c:pt idx="241">
                  <c:v>249420</c:v>
                </c:pt>
                <c:pt idx="242">
                  <c:v>243170</c:v>
                </c:pt>
                <c:pt idx="243">
                  <c:v>232740</c:v>
                </c:pt>
                <c:pt idx="244">
                  <c:v>229130</c:v>
                </c:pt>
                <c:pt idx="245">
                  <c:v>263360</c:v>
                </c:pt>
                <c:pt idx="246">
                  <c:v>263720</c:v>
                </c:pt>
                <c:pt idx="247">
                  <c:v>255090</c:v>
                </c:pt>
                <c:pt idx="248">
                  <c:v>251580</c:v>
                </c:pt>
                <c:pt idx="249">
                  <c:v>246150</c:v>
                </c:pt>
                <c:pt idx="250">
                  <c:v>244700</c:v>
                </c:pt>
                <c:pt idx="251">
                  <c:v>244420</c:v>
                </c:pt>
                <c:pt idx="252">
                  <c:v>242040</c:v>
                </c:pt>
                <c:pt idx="253">
                  <c:v>242960</c:v>
                </c:pt>
                <c:pt idx="254">
                  <c:v>243930</c:v>
                </c:pt>
                <c:pt idx="255">
                  <c:v>254480</c:v>
                </c:pt>
                <c:pt idx="256">
                  <c:v>262410</c:v>
                </c:pt>
                <c:pt idx="257">
                  <c:v>265860</c:v>
                </c:pt>
                <c:pt idx="258">
                  <c:v>261810</c:v>
                </c:pt>
                <c:pt idx="259">
                  <c:v>256890</c:v>
                </c:pt>
                <c:pt idx="260">
                  <c:v>270850</c:v>
                </c:pt>
                <c:pt idx="261">
                  <c:v>275070</c:v>
                </c:pt>
                <c:pt idx="262">
                  <c:v>252610</c:v>
                </c:pt>
                <c:pt idx="263">
                  <c:v>268080</c:v>
                </c:pt>
                <c:pt idx="264">
                  <c:v>272330</c:v>
                </c:pt>
                <c:pt idx="265">
                  <c:v>274380</c:v>
                </c:pt>
                <c:pt idx="266">
                  <c:v>271510</c:v>
                </c:pt>
                <c:pt idx="267">
                  <c:v>270010</c:v>
                </c:pt>
                <c:pt idx="268">
                  <c:v>295840</c:v>
                </c:pt>
                <c:pt idx="269">
                  <c:v>277820</c:v>
                </c:pt>
                <c:pt idx="270">
                  <c:v>262940</c:v>
                </c:pt>
                <c:pt idx="271">
                  <c:v>264920</c:v>
                </c:pt>
                <c:pt idx="272">
                  <c:v>259230</c:v>
                </c:pt>
                <c:pt idx="273">
                  <c:v>251010</c:v>
                </c:pt>
                <c:pt idx="274">
                  <c:v>243090</c:v>
                </c:pt>
                <c:pt idx="275">
                  <c:v>237080</c:v>
                </c:pt>
                <c:pt idx="276">
                  <c:v>237260</c:v>
                </c:pt>
                <c:pt idx="277">
                  <c:v>234150</c:v>
                </c:pt>
                <c:pt idx="278">
                  <c:v>234480</c:v>
                </c:pt>
                <c:pt idx="279">
                  <c:v>235490</c:v>
                </c:pt>
                <c:pt idx="280">
                  <c:v>233130</c:v>
                </c:pt>
                <c:pt idx="281">
                  <c:v>232970</c:v>
                </c:pt>
                <c:pt idx="282">
                  <c:v>214930</c:v>
                </c:pt>
                <c:pt idx="283">
                  <c:v>210670</c:v>
                </c:pt>
                <c:pt idx="284">
                  <c:v>203750</c:v>
                </c:pt>
                <c:pt idx="285">
                  <c:v>199030</c:v>
                </c:pt>
                <c:pt idx="286">
                  <c:v>188430</c:v>
                </c:pt>
                <c:pt idx="287">
                  <c:v>192150</c:v>
                </c:pt>
                <c:pt idx="288">
                  <c:v>192160</c:v>
                </c:pt>
                <c:pt idx="289">
                  <c:v>191720</c:v>
                </c:pt>
                <c:pt idx="290">
                  <c:v>195780</c:v>
                </c:pt>
                <c:pt idx="291">
                  <c:v>192250</c:v>
                </c:pt>
                <c:pt idx="292">
                  <c:v>189700</c:v>
                </c:pt>
                <c:pt idx="293">
                  <c:v>190650</c:v>
                </c:pt>
                <c:pt idx="294">
                  <c:v>196160</c:v>
                </c:pt>
                <c:pt idx="295">
                  <c:v>193200</c:v>
                </c:pt>
                <c:pt idx="296">
                  <c:v>191460</c:v>
                </c:pt>
                <c:pt idx="297">
                  <c:v>191300</c:v>
                </c:pt>
                <c:pt idx="298">
                  <c:v>193930</c:v>
                </c:pt>
                <c:pt idx="299">
                  <c:v>190200</c:v>
                </c:pt>
                <c:pt idx="300">
                  <c:v>188110</c:v>
                </c:pt>
                <c:pt idx="301">
                  <c:v>192590</c:v>
                </c:pt>
                <c:pt idx="302">
                  <c:v>205170</c:v>
                </c:pt>
                <c:pt idx="303">
                  <c:v>209350</c:v>
                </c:pt>
                <c:pt idx="304">
                  <c:v>207470</c:v>
                </c:pt>
                <c:pt idx="305">
                  <c:v>207470</c:v>
                </c:pt>
                <c:pt idx="306">
                  <c:v>207420</c:v>
                </c:pt>
                <c:pt idx="307">
                  <c:v>202020</c:v>
                </c:pt>
                <c:pt idx="308">
                  <c:v>207640</c:v>
                </c:pt>
                <c:pt idx="309">
                  <c:v>208460</c:v>
                </c:pt>
                <c:pt idx="310">
                  <c:v>213000</c:v>
                </c:pt>
                <c:pt idx="311">
                  <c:v>216130</c:v>
                </c:pt>
                <c:pt idx="312">
                  <c:v>217940</c:v>
                </c:pt>
                <c:pt idx="313">
                  <c:v>219630</c:v>
                </c:pt>
                <c:pt idx="314">
                  <c:v>213960</c:v>
                </c:pt>
                <c:pt idx="315">
                  <c:v>213330</c:v>
                </c:pt>
                <c:pt idx="316">
                  <c:v>218030</c:v>
                </c:pt>
                <c:pt idx="317">
                  <c:v>219070</c:v>
                </c:pt>
                <c:pt idx="318">
                  <c:v>218470</c:v>
                </c:pt>
                <c:pt idx="319">
                  <c:v>218290</c:v>
                </c:pt>
                <c:pt idx="320">
                  <c:v>219310</c:v>
                </c:pt>
                <c:pt idx="321">
                  <c:v>221630</c:v>
                </c:pt>
                <c:pt idx="322">
                  <c:v>222310</c:v>
                </c:pt>
                <c:pt idx="323">
                  <c:v>225350</c:v>
                </c:pt>
                <c:pt idx="324">
                  <c:v>226470</c:v>
                </c:pt>
                <c:pt idx="325">
                  <c:v>225450</c:v>
                </c:pt>
                <c:pt idx="326">
                  <c:v>230570</c:v>
                </c:pt>
                <c:pt idx="327">
                  <c:v>230540</c:v>
                </c:pt>
                <c:pt idx="328">
                  <c:v>230580</c:v>
                </c:pt>
                <c:pt idx="329">
                  <c:v>229220</c:v>
                </c:pt>
                <c:pt idx="330">
                  <c:v>229370</c:v>
                </c:pt>
                <c:pt idx="331">
                  <c:v>228850</c:v>
                </c:pt>
                <c:pt idx="332">
                  <c:v>228390</c:v>
                </c:pt>
                <c:pt idx="333">
                  <c:v>223910</c:v>
                </c:pt>
                <c:pt idx="334">
                  <c:v>221330</c:v>
                </c:pt>
                <c:pt idx="335">
                  <c:v>229850</c:v>
                </c:pt>
                <c:pt idx="336">
                  <c:v>232490</c:v>
                </c:pt>
                <c:pt idx="337">
                  <c:v>234140</c:v>
                </c:pt>
                <c:pt idx="338">
                  <c:v>234060</c:v>
                </c:pt>
                <c:pt idx="339">
                  <c:v>234600</c:v>
                </c:pt>
                <c:pt idx="340">
                  <c:v>234130</c:v>
                </c:pt>
                <c:pt idx="341">
                  <c:v>235810</c:v>
                </c:pt>
                <c:pt idx="342">
                  <c:v>235540</c:v>
                </c:pt>
                <c:pt idx="343">
                  <c:v>228260</c:v>
                </c:pt>
                <c:pt idx="344">
                  <c:v>231330</c:v>
                </c:pt>
                <c:pt idx="345">
                  <c:v>234920</c:v>
                </c:pt>
                <c:pt idx="346">
                  <c:v>234460</c:v>
                </c:pt>
                <c:pt idx="347">
                  <c:v>236760</c:v>
                </c:pt>
                <c:pt idx="348">
                  <c:v>247990</c:v>
                </c:pt>
                <c:pt idx="349">
                  <c:v>250890</c:v>
                </c:pt>
                <c:pt idx="350">
                  <c:v>250190</c:v>
                </c:pt>
                <c:pt idx="351">
                  <c:v>247490</c:v>
                </c:pt>
                <c:pt idx="352">
                  <c:v>247460</c:v>
                </c:pt>
                <c:pt idx="353">
                  <c:v>245530</c:v>
                </c:pt>
                <c:pt idx="354">
                  <c:v>244250</c:v>
                </c:pt>
                <c:pt idx="355">
                  <c:v>243700</c:v>
                </c:pt>
                <c:pt idx="356">
                  <c:v>243370</c:v>
                </c:pt>
                <c:pt idx="357">
                  <c:v>243260</c:v>
                </c:pt>
                <c:pt idx="358">
                  <c:v>242260</c:v>
                </c:pt>
                <c:pt idx="359">
                  <c:v>248220</c:v>
                </c:pt>
                <c:pt idx="360">
                  <c:v>249830</c:v>
                </c:pt>
                <c:pt idx="361">
                  <c:v>250090</c:v>
                </c:pt>
                <c:pt idx="362">
                  <c:v>250950</c:v>
                </c:pt>
                <c:pt idx="363">
                  <c:v>251830</c:v>
                </c:pt>
                <c:pt idx="364">
                  <c:v>250100</c:v>
                </c:pt>
                <c:pt idx="365">
                  <c:v>246450</c:v>
                </c:pt>
                <c:pt idx="366">
                  <c:v>248710</c:v>
                </c:pt>
                <c:pt idx="367">
                  <c:v>246910</c:v>
                </c:pt>
                <c:pt idx="368">
                  <c:v>248210</c:v>
                </c:pt>
                <c:pt idx="369">
                  <c:v>251640</c:v>
                </c:pt>
                <c:pt idx="370">
                  <c:v>257110</c:v>
                </c:pt>
                <c:pt idx="371">
                  <c:v>255000</c:v>
                </c:pt>
                <c:pt idx="372">
                  <c:v>252280</c:v>
                </c:pt>
                <c:pt idx="373">
                  <c:v>251060</c:v>
                </c:pt>
                <c:pt idx="374">
                  <c:v>248690</c:v>
                </c:pt>
                <c:pt idx="375">
                  <c:v>247970</c:v>
                </c:pt>
                <c:pt idx="376">
                  <c:v>252260</c:v>
                </c:pt>
                <c:pt idx="377">
                  <c:v>260310</c:v>
                </c:pt>
                <c:pt idx="378">
                  <c:v>258340</c:v>
                </c:pt>
                <c:pt idx="379">
                  <c:v>258430</c:v>
                </c:pt>
                <c:pt idx="380">
                  <c:v>252810</c:v>
                </c:pt>
                <c:pt idx="381">
                  <c:v>253350</c:v>
                </c:pt>
                <c:pt idx="382">
                  <c:v>265090</c:v>
                </c:pt>
                <c:pt idx="383">
                  <c:v>269440</c:v>
                </c:pt>
                <c:pt idx="384">
                  <c:v>271410</c:v>
                </c:pt>
                <c:pt idx="385">
                  <c:v>272610</c:v>
                </c:pt>
                <c:pt idx="386">
                  <c:v>276080</c:v>
                </c:pt>
                <c:pt idx="387">
                  <c:v>270070</c:v>
                </c:pt>
                <c:pt idx="388">
                  <c:v>272270</c:v>
                </c:pt>
                <c:pt idx="389">
                  <c:v>276320</c:v>
                </c:pt>
                <c:pt idx="390">
                  <c:v>281420</c:v>
                </c:pt>
                <c:pt idx="391">
                  <c:v>278470</c:v>
                </c:pt>
                <c:pt idx="392">
                  <c:v>279460</c:v>
                </c:pt>
                <c:pt idx="393">
                  <c:v>281790</c:v>
                </c:pt>
                <c:pt idx="394">
                  <c:v>277740</c:v>
                </c:pt>
                <c:pt idx="395">
                  <c:v>277580</c:v>
                </c:pt>
                <c:pt idx="396">
                  <c:v>278180</c:v>
                </c:pt>
                <c:pt idx="397">
                  <c:v>280220</c:v>
                </c:pt>
                <c:pt idx="398">
                  <c:v>276990</c:v>
                </c:pt>
                <c:pt idx="399">
                  <c:v>276600</c:v>
                </c:pt>
                <c:pt idx="400">
                  <c:v>274980</c:v>
                </c:pt>
                <c:pt idx="401">
                  <c:v>275180</c:v>
                </c:pt>
                <c:pt idx="402">
                  <c:v>274970</c:v>
                </c:pt>
                <c:pt idx="403">
                  <c:v>274610</c:v>
                </c:pt>
                <c:pt idx="404">
                  <c:v>274350</c:v>
                </c:pt>
                <c:pt idx="405">
                  <c:v>266650</c:v>
                </c:pt>
                <c:pt idx="406">
                  <c:v>267110</c:v>
                </c:pt>
                <c:pt idx="407">
                  <c:v>267270</c:v>
                </c:pt>
                <c:pt idx="408">
                  <c:v>268070</c:v>
                </c:pt>
                <c:pt idx="409">
                  <c:v>268890</c:v>
                </c:pt>
                <c:pt idx="410">
                  <c:v>269720</c:v>
                </c:pt>
                <c:pt idx="411">
                  <c:v>270040</c:v>
                </c:pt>
                <c:pt idx="412">
                  <c:v>272140</c:v>
                </c:pt>
                <c:pt idx="413">
                  <c:v>272760</c:v>
                </c:pt>
                <c:pt idx="414">
                  <c:v>272030</c:v>
                </c:pt>
                <c:pt idx="415">
                  <c:v>273800</c:v>
                </c:pt>
                <c:pt idx="416">
                  <c:v>275660</c:v>
                </c:pt>
                <c:pt idx="417">
                  <c:v>277750</c:v>
                </c:pt>
                <c:pt idx="418">
                  <c:v>277610</c:v>
                </c:pt>
                <c:pt idx="419">
                  <c:v>278540</c:v>
                </c:pt>
                <c:pt idx="420">
                  <c:v>280620</c:v>
                </c:pt>
                <c:pt idx="421">
                  <c:v>280990</c:v>
                </c:pt>
                <c:pt idx="422">
                  <c:v>283650</c:v>
                </c:pt>
                <c:pt idx="423">
                  <c:v>287980</c:v>
                </c:pt>
                <c:pt idx="424">
                  <c:v>287170</c:v>
                </c:pt>
                <c:pt idx="425">
                  <c:v>282950</c:v>
                </c:pt>
                <c:pt idx="426">
                  <c:v>274100</c:v>
                </c:pt>
                <c:pt idx="427">
                  <c:v>272310</c:v>
                </c:pt>
                <c:pt idx="428">
                  <c:v>271020</c:v>
                </c:pt>
                <c:pt idx="429">
                  <c:v>274580</c:v>
                </c:pt>
                <c:pt idx="430">
                  <c:v>271230</c:v>
                </c:pt>
                <c:pt idx="431">
                  <c:v>272440</c:v>
                </c:pt>
                <c:pt idx="432">
                  <c:v>274030</c:v>
                </c:pt>
                <c:pt idx="433">
                  <c:v>274090</c:v>
                </c:pt>
                <c:pt idx="434">
                  <c:v>274850</c:v>
                </c:pt>
                <c:pt idx="435">
                  <c:v>276770</c:v>
                </c:pt>
                <c:pt idx="436">
                  <c:v>278650</c:v>
                </c:pt>
                <c:pt idx="437">
                  <c:v>278760</c:v>
                </c:pt>
                <c:pt idx="438">
                  <c:v>275820</c:v>
                </c:pt>
                <c:pt idx="439">
                  <c:v>281860</c:v>
                </c:pt>
                <c:pt idx="440">
                  <c:v>274890</c:v>
                </c:pt>
                <c:pt idx="441">
                  <c:v>285280</c:v>
                </c:pt>
                <c:pt idx="442">
                  <c:v>291680</c:v>
                </c:pt>
                <c:pt idx="443">
                  <c:v>280930</c:v>
                </c:pt>
                <c:pt idx="444">
                  <c:v>277140</c:v>
                </c:pt>
                <c:pt idx="445">
                  <c:v>276890</c:v>
                </c:pt>
                <c:pt idx="446">
                  <c:v>277190</c:v>
                </c:pt>
                <c:pt idx="447">
                  <c:v>274430</c:v>
                </c:pt>
                <c:pt idx="448">
                  <c:v>274120</c:v>
                </c:pt>
                <c:pt idx="449">
                  <c:v>273960</c:v>
                </c:pt>
                <c:pt idx="450">
                  <c:v>272660</c:v>
                </c:pt>
                <c:pt idx="451">
                  <c:v>272170</c:v>
                </c:pt>
                <c:pt idx="452">
                  <c:v>272290</c:v>
                </c:pt>
                <c:pt idx="453">
                  <c:v>271850</c:v>
                </c:pt>
                <c:pt idx="454">
                  <c:v>271340</c:v>
                </c:pt>
                <c:pt idx="455">
                  <c:v>271120</c:v>
                </c:pt>
                <c:pt idx="456">
                  <c:v>269970</c:v>
                </c:pt>
                <c:pt idx="457">
                  <c:v>284820</c:v>
                </c:pt>
                <c:pt idx="458">
                  <c:v>282250</c:v>
                </c:pt>
                <c:pt idx="459">
                  <c:v>274640</c:v>
                </c:pt>
                <c:pt idx="460">
                  <c:v>271700</c:v>
                </c:pt>
                <c:pt idx="461">
                  <c:v>269920</c:v>
                </c:pt>
                <c:pt idx="462">
                  <c:v>270900</c:v>
                </c:pt>
                <c:pt idx="463">
                  <c:v>271760</c:v>
                </c:pt>
                <c:pt idx="464">
                  <c:v>270740</c:v>
                </c:pt>
                <c:pt idx="465">
                  <c:v>269470</c:v>
                </c:pt>
                <c:pt idx="466">
                  <c:v>269100</c:v>
                </c:pt>
                <c:pt idx="467">
                  <c:v>267610</c:v>
                </c:pt>
                <c:pt idx="468">
                  <c:v>266080</c:v>
                </c:pt>
                <c:pt idx="469">
                  <c:v>264870</c:v>
                </c:pt>
                <c:pt idx="470">
                  <c:v>268780</c:v>
                </c:pt>
                <c:pt idx="471">
                  <c:v>268030</c:v>
                </c:pt>
                <c:pt idx="472">
                  <c:v>262450</c:v>
                </c:pt>
                <c:pt idx="473">
                  <c:v>264000</c:v>
                </c:pt>
                <c:pt idx="474">
                  <c:v>261670</c:v>
                </c:pt>
                <c:pt idx="475">
                  <c:v>260300</c:v>
                </c:pt>
                <c:pt idx="476">
                  <c:v>259140</c:v>
                </c:pt>
                <c:pt idx="477">
                  <c:v>262660</c:v>
                </c:pt>
                <c:pt idx="478">
                  <c:v>261680</c:v>
                </c:pt>
                <c:pt idx="479">
                  <c:v>264440</c:v>
                </c:pt>
                <c:pt idx="480">
                  <c:v>262740</c:v>
                </c:pt>
                <c:pt idx="481">
                  <c:v>263190</c:v>
                </c:pt>
                <c:pt idx="482">
                  <c:v>261020</c:v>
                </c:pt>
                <c:pt idx="483">
                  <c:v>261090</c:v>
                </c:pt>
                <c:pt idx="484">
                  <c:v>258190</c:v>
                </c:pt>
                <c:pt idx="485">
                  <c:v>259400</c:v>
                </c:pt>
                <c:pt idx="486">
                  <c:v>254770</c:v>
                </c:pt>
                <c:pt idx="487">
                  <c:v>257690</c:v>
                </c:pt>
                <c:pt idx="488">
                  <c:v>260940</c:v>
                </c:pt>
                <c:pt idx="489">
                  <c:v>251090</c:v>
                </c:pt>
                <c:pt idx="490">
                  <c:v>253230</c:v>
                </c:pt>
                <c:pt idx="491">
                  <c:v>254830</c:v>
                </c:pt>
                <c:pt idx="492">
                  <c:v>260440</c:v>
                </c:pt>
                <c:pt idx="493">
                  <c:v>255040</c:v>
                </c:pt>
                <c:pt idx="494">
                  <c:v>256960</c:v>
                </c:pt>
                <c:pt idx="495">
                  <c:v>264070</c:v>
                </c:pt>
                <c:pt idx="496">
                  <c:v>261070</c:v>
                </c:pt>
                <c:pt idx="497">
                  <c:v>258300</c:v>
                </c:pt>
                <c:pt idx="498">
                  <c:v>259660</c:v>
                </c:pt>
                <c:pt idx="499">
                  <c:v>256110</c:v>
                </c:pt>
                <c:pt idx="500">
                  <c:v>256420</c:v>
                </c:pt>
                <c:pt idx="501">
                  <c:v>263980</c:v>
                </c:pt>
                <c:pt idx="502">
                  <c:v>264040</c:v>
                </c:pt>
                <c:pt idx="503">
                  <c:v>262850</c:v>
                </c:pt>
                <c:pt idx="504">
                  <c:v>262790</c:v>
                </c:pt>
                <c:pt idx="505">
                  <c:v>262710</c:v>
                </c:pt>
                <c:pt idx="506">
                  <c:v>262730</c:v>
                </c:pt>
                <c:pt idx="507">
                  <c:v>261780</c:v>
                </c:pt>
                <c:pt idx="508">
                  <c:v>267140</c:v>
                </c:pt>
                <c:pt idx="509">
                  <c:v>268820</c:v>
                </c:pt>
                <c:pt idx="510">
                  <c:v>265280</c:v>
                </c:pt>
                <c:pt idx="511">
                  <c:v>263800</c:v>
                </c:pt>
                <c:pt idx="512">
                  <c:v>267290</c:v>
                </c:pt>
                <c:pt idx="513">
                  <c:v>268190</c:v>
                </c:pt>
                <c:pt idx="514">
                  <c:v>266670</c:v>
                </c:pt>
                <c:pt idx="515">
                  <c:v>259240</c:v>
                </c:pt>
                <c:pt idx="516">
                  <c:v>261180</c:v>
                </c:pt>
                <c:pt idx="517">
                  <c:v>263420</c:v>
                </c:pt>
                <c:pt idx="518">
                  <c:v>272690</c:v>
                </c:pt>
                <c:pt idx="519">
                  <c:v>273100</c:v>
                </c:pt>
                <c:pt idx="520">
                  <c:v>273390</c:v>
                </c:pt>
                <c:pt idx="521">
                  <c:v>273960</c:v>
                </c:pt>
                <c:pt idx="522">
                  <c:v>276360</c:v>
                </c:pt>
                <c:pt idx="523">
                  <c:v>278250</c:v>
                </c:pt>
                <c:pt idx="524">
                  <c:v>277390</c:v>
                </c:pt>
                <c:pt idx="525">
                  <c:v>277370</c:v>
                </c:pt>
                <c:pt idx="526">
                  <c:v>275430</c:v>
                </c:pt>
                <c:pt idx="527">
                  <c:v>276510</c:v>
                </c:pt>
                <c:pt idx="528">
                  <c:v>280670</c:v>
                </c:pt>
                <c:pt idx="529">
                  <c:v>279800</c:v>
                </c:pt>
                <c:pt idx="530">
                  <c:v>278420</c:v>
                </c:pt>
                <c:pt idx="531">
                  <c:v>280360</c:v>
                </c:pt>
                <c:pt idx="532">
                  <c:v>284820</c:v>
                </c:pt>
                <c:pt idx="533">
                  <c:v>283220</c:v>
                </c:pt>
                <c:pt idx="534">
                  <c:v>284970</c:v>
                </c:pt>
                <c:pt idx="535">
                  <c:v>284620</c:v>
                </c:pt>
                <c:pt idx="536">
                  <c:v>284190</c:v>
                </c:pt>
                <c:pt idx="537">
                  <c:v>287630</c:v>
                </c:pt>
                <c:pt idx="538">
                  <c:v>289820</c:v>
                </c:pt>
                <c:pt idx="539">
                  <c:v>291500</c:v>
                </c:pt>
                <c:pt idx="540">
                  <c:v>287820</c:v>
                </c:pt>
                <c:pt idx="541">
                  <c:v>286140</c:v>
                </c:pt>
                <c:pt idx="542">
                  <c:v>281880</c:v>
                </c:pt>
                <c:pt idx="543">
                  <c:v>286530</c:v>
                </c:pt>
                <c:pt idx="544">
                  <c:v>293190</c:v>
                </c:pt>
                <c:pt idx="545">
                  <c:v>281070</c:v>
                </c:pt>
                <c:pt idx="546">
                  <c:v>271150</c:v>
                </c:pt>
                <c:pt idx="547">
                  <c:v>260870</c:v>
                </c:pt>
                <c:pt idx="548">
                  <c:v>262090</c:v>
                </c:pt>
                <c:pt idx="549">
                  <c:v>258810</c:v>
                </c:pt>
                <c:pt idx="550">
                  <c:v>260480</c:v>
                </c:pt>
                <c:pt idx="551">
                  <c:v>257330</c:v>
                </c:pt>
                <c:pt idx="552">
                  <c:v>264890</c:v>
                </c:pt>
                <c:pt idx="553">
                  <c:v>251510</c:v>
                </c:pt>
                <c:pt idx="554">
                  <c:v>252880</c:v>
                </c:pt>
                <c:pt idx="555">
                  <c:v>273420</c:v>
                </c:pt>
                <c:pt idx="556">
                  <c:v>269600</c:v>
                </c:pt>
                <c:pt idx="557">
                  <c:v>283740</c:v>
                </c:pt>
                <c:pt idx="558">
                  <c:v>281920</c:v>
                </c:pt>
                <c:pt idx="559">
                  <c:v>288550</c:v>
                </c:pt>
                <c:pt idx="560">
                  <c:v>283130</c:v>
                </c:pt>
                <c:pt idx="561">
                  <c:v>286860</c:v>
                </c:pt>
                <c:pt idx="562">
                  <c:v>325550</c:v>
                </c:pt>
                <c:pt idx="563">
                  <c:v>322140</c:v>
                </c:pt>
                <c:pt idx="564">
                  <c:v>321980</c:v>
                </c:pt>
                <c:pt idx="565">
                  <c:v>322790</c:v>
                </c:pt>
                <c:pt idx="566">
                  <c:v>322710</c:v>
                </c:pt>
                <c:pt idx="567">
                  <c:v>317620</c:v>
                </c:pt>
                <c:pt idx="568">
                  <c:v>316420</c:v>
                </c:pt>
                <c:pt idx="569">
                  <c:v>312650</c:v>
                </c:pt>
                <c:pt idx="570">
                  <c:v>316010</c:v>
                </c:pt>
                <c:pt idx="571">
                  <c:v>313920</c:v>
                </c:pt>
                <c:pt idx="572">
                  <c:v>316210</c:v>
                </c:pt>
                <c:pt idx="573">
                  <c:v>316830</c:v>
                </c:pt>
                <c:pt idx="574">
                  <c:v>318110</c:v>
                </c:pt>
                <c:pt idx="575">
                  <c:v>319430</c:v>
                </c:pt>
                <c:pt idx="576">
                  <c:v>316960</c:v>
                </c:pt>
                <c:pt idx="577">
                  <c:v>316240</c:v>
                </c:pt>
                <c:pt idx="578">
                  <c:v>314860</c:v>
                </c:pt>
                <c:pt idx="579">
                  <c:v>316330</c:v>
                </c:pt>
                <c:pt idx="580">
                  <c:v>313620</c:v>
                </c:pt>
                <c:pt idx="581">
                  <c:v>313650</c:v>
                </c:pt>
                <c:pt idx="582">
                  <c:v>312740</c:v>
                </c:pt>
                <c:pt idx="583">
                  <c:v>312880</c:v>
                </c:pt>
                <c:pt idx="584">
                  <c:v>312840</c:v>
                </c:pt>
                <c:pt idx="585">
                  <c:v>312860</c:v>
                </c:pt>
                <c:pt idx="586">
                  <c:v>310080</c:v>
                </c:pt>
                <c:pt idx="587">
                  <c:v>304530</c:v>
                </c:pt>
                <c:pt idx="588">
                  <c:v>305810</c:v>
                </c:pt>
                <c:pt idx="589">
                  <c:v>307330</c:v>
                </c:pt>
                <c:pt idx="590">
                  <c:v>309030</c:v>
                </c:pt>
                <c:pt idx="591">
                  <c:v>312420</c:v>
                </c:pt>
                <c:pt idx="592">
                  <c:v>310520</c:v>
                </c:pt>
                <c:pt idx="593">
                  <c:v>310030</c:v>
                </c:pt>
                <c:pt idx="594">
                  <c:v>309980</c:v>
                </c:pt>
                <c:pt idx="595">
                  <c:v>310500</c:v>
                </c:pt>
                <c:pt idx="596">
                  <c:v>315520</c:v>
                </c:pt>
                <c:pt idx="597">
                  <c:v>315560</c:v>
                </c:pt>
                <c:pt idx="598">
                  <c:v>315820</c:v>
                </c:pt>
                <c:pt idx="599">
                  <c:v>316200</c:v>
                </c:pt>
                <c:pt idx="600">
                  <c:v>316190</c:v>
                </c:pt>
                <c:pt idx="601">
                  <c:v>314330</c:v>
                </c:pt>
                <c:pt idx="602">
                  <c:v>314800</c:v>
                </c:pt>
                <c:pt idx="603">
                  <c:v>315280</c:v>
                </c:pt>
                <c:pt idx="604">
                  <c:v>314950</c:v>
                </c:pt>
                <c:pt idx="605">
                  <c:v>316610</c:v>
                </c:pt>
                <c:pt idx="606">
                  <c:v>316100</c:v>
                </c:pt>
                <c:pt idx="607">
                  <c:v>316180</c:v>
                </c:pt>
                <c:pt idx="608">
                  <c:v>315750</c:v>
                </c:pt>
                <c:pt idx="609">
                  <c:v>315850</c:v>
                </c:pt>
                <c:pt idx="610">
                  <c:v>315520</c:v>
                </c:pt>
                <c:pt idx="611">
                  <c:v>315300</c:v>
                </c:pt>
                <c:pt idx="612">
                  <c:v>314650</c:v>
                </c:pt>
                <c:pt idx="613">
                  <c:v>314770</c:v>
                </c:pt>
                <c:pt idx="614">
                  <c:v>315060</c:v>
                </c:pt>
                <c:pt idx="615">
                  <c:v>318890</c:v>
                </c:pt>
                <c:pt idx="616">
                  <c:v>318690</c:v>
                </c:pt>
                <c:pt idx="617">
                  <c:v>318250</c:v>
                </c:pt>
                <c:pt idx="618">
                  <c:v>317680</c:v>
                </c:pt>
                <c:pt idx="619">
                  <c:v>313240</c:v>
                </c:pt>
                <c:pt idx="620">
                  <c:v>315010</c:v>
                </c:pt>
                <c:pt idx="621">
                  <c:v>316140</c:v>
                </c:pt>
                <c:pt idx="622">
                  <c:v>316960</c:v>
                </c:pt>
                <c:pt idx="623">
                  <c:v>317770</c:v>
                </c:pt>
                <c:pt idx="624">
                  <c:v>318160</c:v>
                </c:pt>
                <c:pt idx="625">
                  <c:v>319450</c:v>
                </c:pt>
                <c:pt idx="626">
                  <c:v>319320</c:v>
                </c:pt>
                <c:pt idx="627">
                  <c:v>318190</c:v>
                </c:pt>
                <c:pt idx="628">
                  <c:v>317920</c:v>
                </c:pt>
                <c:pt idx="629">
                  <c:v>319860</c:v>
                </c:pt>
                <c:pt idx="630">
                  <c:v>319920</c:v>
                </c:pt>
                <c:pt idx="631">
                  <c:v>320380</c:v>
                </c:pt>
                <c:pt idx="632">
                  <c:v>323290</c:v>
                </c:pt>
                <c:pt idx="633">
                  <c:v>319190</c:v>
                </c:pt>
                <c:pt idx="634">
                  <c:v>319960</c:v>
                </c:pt>
                <c:pt idx="635">
                  <c:v>317260</c:v>
                </c:pt>
                <c:pt idx="636">
                  <c:v>320170</c:v>
                </c:pt>
                <c:pt idx="637">
                  <c:v>320730</c:v>
                </c:pt>
                <c:pt idx="638">
                  <c:v>321660</c:v>
                </c:pt>
                <c:pt idx="639">
                  <c:v>322070</c:v>
                </c:pt>
                <c:pt idx="640">
                  <c:v>321160</c:v>
                </c:pt>
                <c:pt idx="641">
                  <c:v>321000</c:v>
                </c:pt>
                <c:pt idx="642">
                  <c:v>322150</c:v>
                </c:pt>
                <c:pt idx="643">
                  <c:v>322620</c:v>
                </c:pt>
                <c:pt idx="644">
                  <c:v>322170</c:v>
                </c:pt>
                <c:pt idx="645">
                  <c:v>326900</c:v>
                </c:pt>
                <c:pt idx="646">
                  <c:v>326610</c:v>
                </c:pt>
                <c:pt idx="647">
                  <c:v>325500</c:v>
                </c:pt>
                <c:pt idx="648">
                  <c:v>325500</c:v>
                </c:pt>
                <c:pt idx="649">
                  <c:v>325390</c:v>
                </c:pt>
                <c:pt idx="650">
                  <c:v>328020</c:v>
                </c:pt>
                <c:pt idx="651">
                  <c:v>329360</c:v>
                </c:pt>
                <c:pt idx="652">
                  <c:v>329250</c:v>
                </c:pt>
                <c:pt idx="653">
                  <c:v>328680</c:v>
                </c:pt>
                <c:pt idx="654">
                  <c:v>328570</c:v>
                </c:pt>
                <c:pt idx="655">
                  <c:v>340150</c:v>
                </c:pt>
                <c:pt idx="656">
                  <c:v>340330</c:v>
                </c:pt>
                <c:pt idx="657">
                  <c:v>337790</c:v>
                </c:pt>
                <c:pt idx="658">
                  <c:v>335380</c:v>
                </c:pt>
                <c:pt idx="659">
                  <c:v>335300</c:v>
                </c:pt>
                <c:pt idx="660">
                  <c:v>335860</c:v>
                </c:pt>
                <c:pt idx="661">
                  <c:v>335860</c:v>
                </c:pt>
                <c:pt idx="662">
                  <c:v>335480</c:v>
                </c:pt>
                <c:pt idx="663">
                  <c:v>334550</c:v>
                </c:pt>
                <c:pt idx="664">
                  <c:v>334890</c:v>
                </c:pt>
                <c:pt idx="665">
                  <c:v>336150</c:v>
                </c:pt>
                <c:pt idx="666">
                  <c:v>335920</c:v>
                </c:pt>
                <c:pt idx="667">
                  <c:v>338890</c:v>
                </c:pt>
                <c:pt idx="668">
                  <c:v>338250</c:v>
                </c:pt>
                <c:pt idx="669">
                  <c:v>338600</c:v>
                </c:pt>
                <c:pt idx="670">
                  <c:v>334250</c:v>
                </c:pt>
                <c:pt idx="671">
                  <c:v>327270</c:v>
                </c:pt>
                <c:pt idx="672">
                  <c:v>322960</c:v>
                </c:pt>
                <c:pt idx="673">
                  <c:v>324020</c:v>
                </c:pt>
                <c:pt idx="674">
                  <c:v>322600</c:v>
                </c:pt>
                <c:pt idx="675">
                  <c:v>325830</c:v>
                </c:pt>
                <c:pt idx="676">
                  <c:v>325130</c:v>
                </c:pt>
                <c:pt idx="677">
                  <c:v>325270</c:v>
                </c:pt>
                <c:pt idx="678">
                  <c:v>325090</c:v>
                </c:pt>
                <c:pt idx="679">
                  <c:v>323560</c:v>
                </c:pt>
                <c:pt idx="680">
                  <c:v>320020</c:v>
                </c:pt>
                <c:pt idx="681">
                  <c:v>315520</c:v>
                </c:pt>
                <c:pt idx="682">
                  <c:v>313220</c:v>
                </c:pt>
                <c:pt idx="683">
                  <c:v>313940</c:v>
                </c:pt>
                <c:pt idx="684">
                  <c:v>319610</c:v>
                </c:pt>
                <c:pt idx="685">
                  <c:v>318150</c:v>
                </c:pt>
                <c:pt idx="686">
                  <c:v>316850</c:v>
                </c:pt>
                <c:pt idx="687">
                  <c:v>320790</c:v>
                </c:pt>
                <c:pt idx="688">
                  <c:v>318580</c:v>
                </c:pt>
                <c:pt idx="689">
                  <c:v>318610</c:v>
                </c:pt>
                <c:pt idx="690">
                  <c:v>307950</c:v>
                </c:pt>
                <c:pt idx="691">
                  <c:v>307680</c:v>
                </c:pt>
                <c:pt idx="692">
                  <c:v>302500</c:v>
                </c:pt>
                <c:pt idx="693">
                  <c:v>302640</c:v>
                </c:pt>
                <c:pt idx="694">
                  <c:v>311880</c:v>
                </c:pt>
                <c:pt idx="695">
                  <c:v>309790</c:v>
                </c:pt>
                <c:pt idx="696">
                  <c:v>309740</c:v>
                </c:pt>
                <c:pt idx="697">
                  <c:v>309910</c:v>
                </c:pt>
                <c:pt idx="698">
                  <c:v>311580</c:v>
                </c:pt>
                <c:pt idx="699">
                  <c:v>312140</c:v>
                </c:pt>
                <c:pt idx="700">
                  <c:v>309410</c:v>
                </c:pt>
                <c:pt idx="701">
                  <c:v>308880</c:v>
                </c:pt>
                <c:pt idx="702">
                  <c:v>313020</c:v>
                </c:pt>
                <c:pt idx="703">
                  <c:v>312890</c:v>
                </c:pt>
                <c:pt idx="704">
                  <c:v>309860</c:v>
                </c:pt>
                <c:pt idx="705">
                  <c:v>310150</c:v>
                </c:pt>
                <c:pt idx="706">
                  <c:v>311170</c:v>
                </c:pt>
                <c:pt idx="707">
                  <c:v>304580</c:v>
                </c:pt>
                <c:pt idx="708">
                  <c:v>302840</c:v>
                </c:pt>
                <c:pt idx="709">
                  <c:v>297650</c:v>
                </c:pt>
                <c:pt idx="710">
                  <c:v>293900</c:v>
                </c:pt>
                <c:pt idx="711">
                  <c:v>299380</c:v>
                </c:pt>
                <c:pt idx="712">
                  <c:v>298020</c:v>
                </c:pt>
                <c:pt idx="713">
                  <c:v>297130</c:v>
                </c:pt>
                <c:pt idx="714">
                  <c:v>296630</c:v>
                </c:pt>
                <c:pt idx="715">
                  <c:v>292130</c:v>
                </c:pt>
                <c:pt idx="716">
                  <c:v>292450</c:v>
                </c:pt>
                <c:pt idx="717">
                  <c:v>293590</c:v>
                </c:pt>
                <c:pt idx="718">
                  <c:v>295430</c:v>
                </c:pt>
                <c:pt idx="719">
                  <c:v>290820</c:v>
                </c:pt>
                <c:pt idx="720">
                  <c:v>290940</c:v>
                </c:pt>
                <c:pt idx="721">
                  <c:v>295700</c:v>
                </c:pt>
                <c:pt idx="722">
                  <c:v>296890</c:v>
                </c:pt>
                <c:pt idx="723">
                  <c:v>296120</c:v>
                </c:pt>
                <c:pt idx="724">
                  <c:v>292330</c:v>
                </c:pt>
                <c:pt idx="725">
                  <c:v>290400</c:v>
                </c:pt>
                <c:pt idx="726">
                  <c:v>292060</c:v>
                </c:pt>
                <c:pt idx="727">
                  <c:v>291990</c:v>
                </c:pt>
                <c:pt idx="728">
                  <c:v>290300</c:v>
                </c:pt>
                <c:pt idx="729">
                  <c:v>289560</c:v>
                </c:pt>
                <c:pt idx="730">
                  <c:v>288100</c:v>
                </c:pt>
                <c:pt idx="731">
                  <c:v>288460</c:v>
                </c:pt>
                <c:pt idx="732">
                  <c:v>293880</c:v>
                </c:pt>
                <c:pt idx="733">
                  <c:v>293850</c:v>
                </c:pt>
                <c:pt idx="734">
                  <c:v>295440</c:v>
                </c:pt>
                <c:pt idx="735">
                  <c:v>299940</c:v>
                </c:pt>
                <c:pt idx="736">
                  <c:v>298380</c:v>
                </c:pt>
                <c:pt idx="737">
                  <c:v>295580</c:v>
                </c:pt>
                <c:pt idx="738">
                  <c:v>296600</c:v>
                </c:pt>
                <c:pt idx="739">
                  <c:v>306850</c:v>
                </c:pt>
                <c:pt idx="740">
                  <c:v>305560</c:v>
                </c:pt>
                <c:pt idx="741">
                  <c:v>306590</c:v>
                </c:pt>
                <c:pt idx="742">
                  <c:v>328690</c:v>
                </c:pt>
                <c:pt idx="743">
                  <c:v>329510</c:v>
                </c:pt>
                <c:pt idx="744">
                  <c:v>331710</c:v>
                </c:pt>
                <c:pt idx="745">
                  <c:v>332430</c:v>
                </c:pt>
                <c:pt idx="746">
                  <c:v>332060</c:v>
                </c:pt>
                <c:pt idx="747">
                  <c:v>331880</c:v>
                </c:pt>
                <c:pt idx="748">
                  <c:v>331970</c:v>
                </c:pt>
                <c:pt idx="749">
                  <c:v>329830</c:v>
                </c:pt>
                <c:pt idx="750">
                  <c:v>329360</c:v>
                </c:pt>
                <c:pt idx="751">
                  <c:v>329950</c:v>
                </c:pt>
                <c:pt idx="752">
                  <c:v>331020</c:v>
                </c:pt>
                <c:pt idx="753">
                  <c:v>331130</c:v>
                </c:pt>
                <c:pt idx="754">
                  <c:v>335870</c:v>
                </c:pt>
                <c:pt idx="755">
                  <c:v>336070</c:v>
                </c:pt>
                <c:pt idx="756">
                  <c:v>337680</c:v>
                </c:pt>
                <c:pt idx="757">
                  <c:v>336240</c:v>
                </c:pt>
                <c:pt idx="758">
                  <c:v>338660</c:v>
                </c:pt>
                <c:pt idx="759">
                  <c:v>338730</c:v>
                </c:pt>
                <c:pt idx="760">
                  <c:v>340120</c:v>
                </c:pt>
                <c:pt idx="761">
                  <c:v>340060</c:v>
                </c:pt>
                <c:pt idx="762">
                  <c:v>339870</c:v>
                </c:pt>
                <c:pt idx="763">
                  <c:v>341240</c:v>
                </c:pt>
                <c:pt idx="764">
                  <c:v>341540</c:v>
                </c:pt>
                <c:pt idx="765">
                  <c:v>342230</c:v>
                </c:pt>
                <c:pt idx="766">
                  <c:v>342010</c:v>
                </c:pt>
                <c:pt idx="767">
                  <c:v>338130</c:v>
                </c:pt>
                <c:pt idx="768">
                  <c:v>339760</c:v>
                </c:pt>
                <c:pt idx="769">
                  <c:v>340600</c:v>
                </c:pt>
                <c:pt idx="770">
                  <c:v>340570</c:v>
                </c:pt>
                <c:pt idx="771">
                  <c:v>341750</c:v>
                </c:pt>
                <c:pt idx="772">
                  <c:v>342020</c:v>
                </c:pt>
                <c:pt idx="773">
                  <c:v>331580</c:v>
                </c:pt>
                <c:pt idx="774">
                  <c:v>332120</c:v>
                </c:pt>
                <c:pt idx="775">
                  <c:v>331720</c:v>
                </c:pt>
                <c:pt idx="776">
                  <c:v>331490</c:v>
                </c:pt>
                <c:pt idx="777">
                  <c:v>328560</c:v>
                </c:pt>
                <c:pt idx="778">
                  <c:v>326950</c:v>
                </c:pt>
                <c:pt idx="779">
                  <c:v>323940</c:v>
                </c:pt>
                <c:pt idx="780">
                  <c:v>322530</c:v>
                </c:pt>
                <c:pt idx="781">
                  <c:v>322050</c:v>
                </c:pt>
                <c:pt idx="782">
                  <c:v>320980</c:v>
                </c:pt>
                <c:pt idx="783">
                  <c:v>321540</c:v>
                </c:pt>
                <c:pt idx="784">
                  <c:v>321500</c:v>
                </c:pt>
                <c:pt idx="785">
                  <c:v>320680</c:v>
                </c:pt>
                <c:pt idx="786">
                  <c:v>321890</c:v>
                </c:pt>
                <c:pt idx="787">
                  <c:v>324290</c:v>
                </c:pt>
                <c:pt idx="788">
                  <c:v>325020</c:v>
                </c:pt>
                <c:pt idx="789">
                  <c:v>324780</c:v>
                </c:pt>
                <c:pt idx="790">
                  <c:v>325030</c:v>
                </c:pt>
                <c:pt idx="791">
                  <c:v>324570</c:v>
                </c:pt>
                <c:pt idx="792">
                  <c:v>322760</c:v>
                </c:pt>
                <c:pt idx="793">
                  <c:v>331540</c:v>
                </c:pt>
                <c:pt idx="794">
                  <c:v>332750</c:v>
                </c:pt>
                <c:pt idx="795">
                  <c:v>334230</c:v>
                </c:pt>
                <c:pt idx="796">
                  <c:v>335410</c:v>
                </c:pt>
                <c:pt idx="797">
                  <c:v>334100</c:v>
                </c:pt>
                <c:pt idx="798">
                  <c:v>333810</c:v>
                </c:pt>
                <c:pt idx="799">
                  <c:v>329850</c:v>
                </c:pt>
                <c:pt idx="800">
                  <c:v>333220</c:v>
                </c:pt>
                <c:pt idx="801">
                  <c:v>340380</c:v>
                </c:pt>
                <c:pt idx="802">
                  <c:v>339880</c:v>
                </c:pt>
                <c:pt idx="803">
                  <c:v>340130</c:v>
                </c:pt>
                <c:pt idx="804">
                  <c:v>340110</c:v>
                </c:pt>
                <c:pt idx="805">
                  <c:v>341060</c:v>
                </c:pt>
                <c:pt idx="806">
                  <c:v>340500</c:v>
                </c:pt>
                <c:pt idx="807">
                  <c:v>345260</c:v>
                </c:pt>
                <c:pt idx="808">
                  <c:v>344710</c:v>
                </c:pt>
                <c:pt idx="809">
                  <c:v>349210</c:v>
                </c:pt>
                <c:pt idx="810">
                  <c:v>347750</c:v>
                </c:pt>
                <c:pt idx="811">
                  <c:v>346970</c:v>
                </c:pt>
                <c:pt idx="812">
                  <c:v>348300</c:v>
                </c:pt>
                <c:pt idx="813">
                  <c:v>351990</c:v>
                </c:pt>
                <c:pt idx="814">
                  <c:v>352040</c:v>
                </c:pt>
                <c:pt idx="815">
                  <c:v>352070</c:v>
                </c:pt>
                <c:pt idx="816">
                  <c:v>351780</c:v>
                </c:pt>
                <c:pt idx="817">
                  <c:v>351500</c:v>
                </c:pt>
                <c:pt idx="818">
                  <c:v>354400</c:v>
                </c:pt>
                <c:pt idx="819">
                  <c:v>354900</c:v>
                </c:pt>
                <c:pt idx="820">
                  <c:v>354000</c:v>
                </c:pt>
                <c:pt idx="821">
                  <c:v>353330</c:v>
                </c:pt>
                <c:pt idx="822">
                  <c:v>353700</c:v>
                </c:pt>
                <c:pt idx="823">
                  <c:v>353750</c:v>
                </c:pt>
                <c:pt idx="824">
                  <c:v>352970</c:v>
                </c:pt>
                <c:pt idx="825">
                  <c:v>353520</c:v>
                </c:pt>
                <c:pt idx="826">
                  <c:v>354280</c:v>
                </c:pt>
                <c:pt idx="827">
                  <c:v>354250</c:v>
                </c:pt>
                <c:pt idx="828">
                  <c:v>353990</c:v>
                </c:pt>
                <c:pt idx="829">
                  <c:v>354100</c:v>
                </c:pt>
                <c:pt idx="830">
                  <c:v>353200</c:v>
                </c:pt>
                <c:pt idx="831">
                  <c:v>351570</c:v>
                </c:pt>
                <c:pt idx="832">
                  <c:v>346020</c:v>
                </c:pt>
                <c:pt idx="833">
                  <c:v>348720</c:v>
                </c:pt>
                <c:pt idx="834">
                  <c:v>346650</c:v>
                </c:pt>
                <c:pt idx="835">
                  <c:v>346370</c:v>
                </c:pt>
                <c:pt idx="836">
                  <c:v>347230</c:v>
                </c:pt>
                <c:pt idx="837">
                  <c:v>345910</c:v>
                </c:pt>
                <c:pt idx="838">
                  <c:v>346620</c:v>
                </c:pt>
                <c:pt idx="839">
                  <c:v>346690</c:v>
                </c:pt>
                <c:pt idx="840">
                  <c:v>347150</c:v>
                </c:pt>
                <c:pt idx="841">
                  <c:v>347210</c:v>
                </c:pt>
                <c:pt idx="842">
                  <c:v>337920</c:v>
                </c:pt>
                <c:pt idx="843">
                  <c:v>335670</c:v>
                </c:pt>
                <c:pt idx="844">
                  <c:v>333920</c:v>
                </c:pt>
                <c:pt idx="845">
                  <c:v>340010</c:v>
                </c:pt>
                <c:pt idx="846">
                  <c:v>332170</c:v>
                </c:pt>
                <c:pt idx="847">
                  <c:v>337980</c:v>
                </c:pt>
                <c:pt idx="848">
                  <c:v>334730</c:v>
                </c:pt>
                <c:pt idx="849">
                  <c:v>338130</c:v>
                </c:pt>
                <c:pt idx="850">
                  <c:v>339210</c:v>
                </c:pt>
                <c:pt idx="851">
                  <c:v>333830</c:v>
                </c:pt>
                <c:pt idx="852">
                  <c:v>333930</c:v>
                </c:pt>
                <c:pt idx="853">
                  <c:v>334420</c:v>
                </c:pt>
                <c:pt idx="854">
                  <c:v>334480</c:v>
                </c:pt>
                <c:pt idx="855">
                  <c:v>335210</c:v>
                </c:pt>
                <c:pt idx="856">
                  <c:v>333840</c:v>
                </c:pt>
                <c:pt idx="857">
                  <c:v>330500</c:v>
                </c:pt>
                <c:pt idx="858">
                  <c:v>329060</c:v>
                </c:pt>
                <c:pt idx="859">
                  <c:v>329990</c:v>
                </c:pt>
                <c:pt idx="860">
                  <c:v>331090</c:v>
                </c:pt>
                <c:pt idx="861">
                  <c:v>333630</c:v>
                </c:pt>
                <c:pt idx="862">
                  <c:v>332480</c:v>
                </c:pt>
                <c:pt idx="863">
                  <c:v>332480</c:v>
                </c:pt>
                <c:pt idx="864">
                  <c:v>332740</c:v>
                </c:pt>
                <c:pt idx="865">
                  <c:v>331820</c:v>
                </c:pt>
                <c:pt idx="866">
                  <c:v>331470</c:v>
                </c:pt>
                <c:pt idx="867">
                  <c:v>328540</c:v>
                </c:pt>
                <c:pt idx="868">
                  <c:v>328370</c:v>
                </c:pt>
                <c:pt idx="869">
                  <c:v>331980</c:v>
                </c:pt>
                <c:pt idx="870">
                  <c:v>333790</c:v>
                </c:pt>
                <c:pt idx="871">
                  <c:v>338770</c:v>
                </c:pt>
                <c:pt idx="872">
                  <c:v>344080</c:v>
                </c:pt>
                <c:pt idx="873">
                  <c:v>347070</c:v>
                </c:pt>
                <c:pt idx="874">
                  <c:v>344470</c:v>
                </c:pt>
                <c:pt idx="875">
                  <c:v>343970</c:v>
                </c:pt>
                <c:pt idx="876">
                  <c:v>342260</c:v>
                </c:pt>
                <c:pt idx="877">
                  <c:v>342810</c:v>
                </c:pt>
                <c:pt idx="878">
                  <c:v>343640</c:v>
                </c:pt>
                <c:pt idx="879">
                  <c:v>348100</c:v>
                </c:pt>
                <c:pt idx="880">
                  <c:v>349630</c:v>
                </c:pt>
                <c:pt idx="881">
                  <c:v>348680</c:v>
                </c:pt>
                <c:pt idx="882">
                  <c:v>352430</c:v>
                </c:pt>
                <c:pt idx="883">
                  <c:v>352640</c:v>
                </c:pt>
                <c:pt idx="884">
                  <c:v>351730</c:v>
                </c:pt>
                <c:pt idx="885">
                  <c:v>351630</c:v>
                </c:pt>
                <c:pt idx="886">
                  <c:v>347070</c:v>
                </c:pt>
                <c:pt idx="887">
                  <c:v>337740</c:v>
                </c:pt>
                <c:pt idx="888">
                  <c:v>338990</c:v>
                </c:pt>
                <c:pt idx="889">
                  <c:v>340270</c:v>
                </c:pt>
                <c:pt idx="890">
                  <c:v>338810</c:v>
                </c:pt>
                <c:pt idx="891">
                  <c:v>336280</c:v>
                </c:pt>
                <c:pt idx="892">
                  <c:v>337090</c:v>
                </c:pt>
                <c:pt idx="893">
                  <c:v>332320</c:v>
                </c:pt>
                <c:pt idx="894">
                  <c:v>330990</c:v>
                </c:pt>
                <c:pt idx="895">
                  <c:v>333740</c:v>
                </c:pt>
                <c:pt idx="896">
                  <c:v>328890</c:v>
                </c:pt>
                <c:pt idx="897">
                  <c:v>329430</c:v>
                </c:pt>
                <c:pt idx="898">
                  <c:v>335120</c:v>
                </c:pt>
                <c:pt idx="899">
                  <c:v>337910</c:v>
                </c:pt>
                <c:pt idx="900">
                  <c:v>338300</c:v>
                </c:pt>
                <c:pt idx="901">
                  <c:v>334740</c:v>
                </c:pt>
                <c:pt idx="902">
                  <c:v>334680</c:v>
                </c:pt>
                <c:pt idx="903">
                  <c:v>340440</c:v>
                </c:pt>
                <c:pt idx="904">
                  <c:v>342540</c:v>
                </c:pt>
                <c:pt idx="905">
                  <c:v>341260</c:v>
                </c:pt>
                <c:pt idx="906">
                  <c:v>340440</c:v>
                </c:pt>
                <c:pt idx="907">
                  <c:v>345650</c:v>
                </c:pt>
                <c:pt idx="908">
                  <c:v>346790</c:v>
                </c:pt>
                <c:pt idx="909">
                  <c:v>347830</c:v>
                </c:pt>
                <c:pt idx="910">
                  <c:v>345750</c:v>
                </c:pt>
                <c:pt idx="911">
                  <c:v>345460</c:v>
                </c:pt>
                <c:pt idx="912">
                  <c:v>345030</c:v>
                </c:pt>
                <c:pt idx="913">
                  <c:v>345030</c:v>
                </c:pt>
                <c:pt idx="914">
                  <c:v>344980</c:v>
                </c:pt>
                <c:pt idx="915">
                  <c:v>344210</c:v>
                </c:pt>
                <c:pt idx="916">
                  <c:v>344100</c:v>
                </c:pt>
                <c:pt idx="917">
                  <c:v>340400</c:v>
                </c:pt>
                <c:pt idx="918">
                  <c:v>334070</c:v>
                </c:pt>
                <c:pt idx="919">
                  <c:v>333930</c:v>
                </c:pt>
                <c:pt idx="920">
                  <c:v>334080</c:v>
                </c:pt>
                <c:pt idx="921">
                  <c:v>339480</c:v>
                </c:pt>
                <c:pt idx="922">
                  <c:v>337730</c:v>
                </c:pt>
                <c:pt idx="923">
                  <c:v>336850</c:v>
                </c:pt>
                <c:pt idx="924">
                  <c:v>336530</c:v>
                </c:pt>
                <c:pt idx="925">
                  <c:v>334220</c:v>
                </c:pt>
                <c:pt idx="926">
                  <c:v>336010</c:v>
                </c:pt>
                <c:pt idx="927">
                  <c:v>336460</c:v>
                </c:pt>
                <c:pt idx="928">
                  <c:v>341670</c:v>
                </c:pt>
                <c:pt idx="929">
                  <c:v>341620</c:v>
                </c:pt>
                <c:pt idx="930">
                  <c:v>341880</c:v>
                </c:pt>
                <c:pt idx="931">
                  <c:v>340580</c:v>
                </c:pt>
                <c:pt idx="932">
                  <c:v>340210</c:v>
                </c:pt>
                <c:pt idx="933">
                  <c:v>338070</c:v>
                </c:pt>
                <c:pt idx="934">
                  <c:v>335880</c:v>
                </c:pt>
                <c:pt idx="935">
                  <c:v>335770</c:v>
                </c:pt>
                <c:pt idx="936">
                  <c:v>333930</c:v>
                </c:pt>
                <c:pt idx="937">
                  <c:v>336260</c:v>
                </c:pt>
                <c:pt idx="938">
                  <c:v>342490</c:v>
                </c:pt>
                <c:pt idx="939">
                  <c:v>340120</c:v>
                </c:pt>
                <c:pt idx="940">
                  <c:v>339610</c:v>
                </c:pt>
                <c:pt idx="941">
                  <c:v>339550</c:v>
                </c:pt>
                <c:pt idx="942">
                  <c:v>339270</c:v>
                </c:pt>
                <c:pt idx="943">
                  <c:v>338900</c:v>
                </c:pt>
                <c:pt idx="944">
                  <c:v>341090</c:v>
                </c:pt>
                <c:pt idx="945">
                  <c:v>339580</c:v>
                </c:pt>
                <c:pt idx="946">
                  <c:v>341070</c:v>
                </c:pt>
                <c:pt idx="947">
                  <c:v>341060</c:v>
                </c:pt>
                <c:pt idx="948">
                  <c:v>342730</c:v>
                </c:pt>
                <c:pt idx="949">
                  <c:v>339740</c:v>
                </c:pt>
                <c:pt idx="950">
                  <c:v>328900</c:v>
                </c:pt>
                <c:pt idx="951">
                  <c:v>331270</c:v>
                </c:pt>
                <c:pt idx="952">
                  <c:v>331400</c:v>
                </c:pt>
                <c:pt idx="953">
                  <c:v>348980</c:v>
                </c:pt>
                <c:pt idx="954">
                  <c:v>352720</c:v>
                </c:pt>
                <c:pt idx="955">
                  <c:v>355490</c:v>
                </c:pt>
                <c:pt idx="956">
                  <c:v>354030</c:v>
                </c:pt>
                <c:pt idx="957">
                  <c:v>354170</c:v>
                </c:pt>
                <c:pt idx="958">
                  <c:v>354820</c:v>
                </c:pt>
                <c:pt idx="959">
                  <c:v>356740</c:v>
                </c:pt>
                <c:pt idx="960">
                  <c:v>351000</c:v>
                </c:pt>
                <c:pt idx="961">
                  <c:v>347820</c:v>
                </c:pt>
                <c:pt idx="962">
                  <c:v>346000</c:v>
                </c:pt>
                <c:pt idx="963">
                  <c:v>345710</c:v>
                </c:pt>
                <c:pt idx="964">
                  <c:v>347030</c:v>
                </c:pt>
                <c:pt idx="965">
                  <c:v>348120</c:v>
                </c:pt>
                <c:pt idx="966">
                  <c:v>350050</c:v>
                </c:pt>
                <c:pt idx="967">
                  <c:v>349840</c:v>
                </c:pt>
                <c:pt idx="968">
                  <c:v>351280</c:v>
                </c:pt>
                <c:pt idx="969">
                  <c:v>351590</c:v>
                </c:pt>
                <c:pt idx="970">
                  <c:v>351320</c:v>
                </c:pt>
                <c:pt idx="971">
                  <c:v>351270</c:v>
                </c:pt>
                <c:pt idx="972">
                  <c:v>351170</c:v>
                </c:pt>
                <c:pt idx="973">
                  <c:v>351010</c:v>
                </c:pt>
                <c:pt idx="974">
                  <c:v>350300</c:v>
                </c:pt>
                <c:pt idx="975">
                  <c:v>350090</c:v>
                </c:pt>
                <c:pt idx="976">
                  <c:v>349720</c:v>
                </c:pt>
                <c:pt idx="977">
                  <c:v>349610</c:v>
                </c:pt>
                <c:pt idx="978">
                  <c:v>355230</c:v>
                </c:pt>
                <c:pt idx="979">
                  <c:v>354450</c:v>
                </c:pt>
                <c:pt idx="980">
                  <c:v>354580</c:v>
                </c:pt>
                <c:pt idx="981">
                  <c:v>355810</c:v>
                </c:pt>
                <c:pt idx="982">
                  <c:v>354310</c:v>
                </c:pt>
                <c:pt idx="983">
                  <c:v>353710</c:v>
                </c:pt>
                <c:pt idx="984">
                  <c:v>354360</c:v>
                </c:pt>
                <c:pt idx="985">
                  <c:v>351990</c:v>
                </c:pt>
                <c:pt idx="986">
                  <c:v>355400</c:v>
                </c:pt>
                <c:pt idx="987">
                  <c:v>348420</c:v>
                </c:pt>
                <c:pt idx="988">
                  <c:v>348550</c:v>
                </c:pt>
                <c:pt idx="989">
                  <c:v>343510</c:v>
                </c:pt>
                <c:pt idx="990">
                  <c:v>348430</c:v>
                </c:pt>
                <c:pt idx="991">
                  <c:v>345530</c:v>
                </c:pt>
                <c:pt idx="992">
                  <c:v>352010</c:v>
                </c:pt>
                <c:pt idx="993">
                  <c:v>348230</c:v>
                </c:pt>
                <c:pt idx="994">
                  <c:v>350140</c:v>
                </c:pt>
                <c:pt idx="995">
                  <c:v>345760</c:v>
                </c:pt>
                <c:pt idx="996">
                  <c:v>345390</c:v>
                </c:pt>
                <c:pt idx="997">
                  <c:v>343850</c:v>
                </c:pt>
                <c:pt idx="998">
                  <c:v>345900</c:v>
                </c:pt>
                <c:pt idx="999">
                  <c:v>351330</c:v>
                </c:pt>
                <c:pt idx="1000">
                  <c:v>349720</c:v>
                </c:pt>
                <c:pt idx="1001">
                  <c:v>351790</c:v>
                </c:pt>
                <c:pt idx="1002">
                  <c:v>349660</c:v>
                </c:pt>
                <c:pt idx="1003">
                  <c:v>349970</c:v>
                </c:pt>
                <c:pt idx="1004">
                  <c:v>352210</c:v>
                </c:pt>
                <c:pt idx="1005">
                  <c:v>352070</c:v>
                </c:pt>
                <c:pt idx="1006">
                  <c:v>350510</c:v>
                </c:pt>
                <c:pt idx="1007">
                  <c:v>352150</c:v>
                </c:pt>
                <c:pt idx="1008">
                  <c:v>348720</c:v>
                </c:pt>
                <c:pt idx="1009">
                  <c:v>348120</c:v>
                </c:pt>
                <c:pt idx="1010">
                  <c:v>352000</c:v>
                </c:pt>
                <c:pt idx="1011">
                  <c:v>352640</c:v>
                </c:pt>
                <c:pt idx="1012">
                  <c:v>353180</c:v>
                </c:pt>
                <c:pt idx="1013">
                  <c:v>350460</c:v>
                </c:pt>
                <c:pt idx="1014">
                  <c:v>352390</c:v>
                </c:pt>
                <c:pt idx="1015">
                  <c:v>357510</c:v>
                </c:pt>
                <c:pt idx="1016">
                  <c:v>358370</c:v>
                </c:pt>
                <c:pt idx="1017">
                  <c:v>356970</c:v>
                </c:pt>
                <c:pt idx="1018">
                  <c:v>357580</c:v>
                </c:pt>
                <c:pt idx="1019">
                  <c:v>357230</c:v>
                </c:pt>
                <c:pt idx="1020">
                  <c:v>355920</c:v>
                </c:pt>
                <c:pt idx="1021">
                  <c:v>352650</c:v>
                </c:pt>
                <c:pt idx="1022">
                  <c:v>357420</c:v>
                </c:pt>
                <c:pt idx="1023">
                  <c:v>356910</c:v>
                </c:pt>
                <c:pt idx="1024">
                  <c:v>350700</c:v>
                </c:pt>
                <c:pt idx="1025">
                  <c:v>350600</c:v>
                </c:pt>
                <c:pt idx="1026">
                  <c:v>347870</c:v>
                </c:pt>
                <c:pt idx="1027">
                  <c:v>347950</c:v>
                </c:pt>
                <c:pt idx="1028">
                  <c:v>349380</c:v>
                </c:pt>
                <c:pt idx="1029">
                  <c:v>346840</c:v>
                </c:pt>
                <c:pt idx="1030">
                  <c:v>345280</c:v>
                </c:pt>
                <c:pt idx="1031">
                  <c:v>344450</c:v>
                </c:pt>
                <c:pt idx="1032">
                  <c:v>342680</c:v>
                </c:pt>
                <c:pt idx="1033">
                  <c:v>343990</c:v>
                </c:pt>
                <c:pt idx="1034">
                  <c:v>344720</c:v>
                </c:pt>
                <c:pt idx="1035">
                  <c:v>342840</c:v>
                </c:pt>
                <c:pt idx="1036">
                  <c:v>344890</c:v>
                </c:pt>
                <c:pt idx="1037">
                  <c:v>339440</c:v>
                </c:pt>
                <c:pt idx="1038">
                  <c:v>339310</c:v>
                </c:pt>
                <c:pt idx="1039">
                  <c:v>335050</c:v>
                </c:pt>
                <c:pt idx="1040">
                  <c:v>334650</c:v>
                </c:pt>
                <c:pt idx="1041">
                  <c:v>331800</c:v>
                </c:pt>
                <c:pt idx="1042">
                  <c:v>325990</c:v>
                </c:pt>
                <c:pt idx="1043">
                  <c:v>323140</c:v>
                </c:pt>
                <c:pt idx="1044">
                  <c:v>321120</c:v>
                </c:pt>
                <c:pt idx="1045">
                  <c:v>321820</c:v>
                </c:pt>
                <c:pt idx="1046">
                  <c:v>324300</c:v>
                </c:pt>
                <c:pt idx="1047">
                  <c:v>321280</c:v>
                </c:pt>
                <c:pt idx="1048">
                  <c:v>322390</c:v>
                </c:pt>
                <c:pt idx="1049">
                  <c:v>319630</c:v>
                </c:pt>
                <c:pt idx="1050">
                  <c:v>319250</c:v>
                </c:pt>
                <c:pt idx="1051">
                  <c:v>318320</c:v>
                </c:pt>
                <c:pt idx="1052">
                  <c:v>317960</c:v>
                </c:pt>
                <c:pt idx="1053">
                  <c:v>320040</c:v>
                </c:pt>
                <c:pt idx="1054">
                  <c:v>329940</c:v>
                </c:pt>
                <c:pt idx="1055">
                  <c:v>332050</c:v>
                </c:pt>
                <c:pt idx="1056">
                  <c:v>333010</c:v>
                </c:pt>
                <c:pt idx="1057">
                  <c:v>333760</c:v>
                </c:pt>
                <c:pt idx="1058">
                  <c:v>336180</c:v>
                </c:pt>
                <c:pt idx="1059">
                  <c:v>336640</c:v>
                </c:pt>
                <c:pt idx="1060">
                  <c:v>335560</c:v>
                </c:pt>
                <c:pt idx="1061">
                  <c:v>335230</c:v>
                </c:pt>
                <c:pt idx="1062">
                  <c:v>335390</c:v>
                </c:pt>
                <c:pt idx="1063">
                  <c:v>334660</c:v>
                </c:pt>
                <c:pt idx="1064">
                  <c:v>335060</c:v>
                </c:pt>
                <c:pt idx="1065">
                  <c:v>335000</c:v>
                </c:pt>
                <c:pt idx="1066">
                  <c:v>335940</c:v>
                </c:pt>
                <c:pt idx="1067">
                  <c:v>334880</c:v>
                </c:pt>
                <c:pt idx="1068">
                  <c:v>332790</c:v>
                </c:pt>
                <c:pt idx="1069">
                  <c:v>332330</c:v>
                </c:pt>
                <c:pt idx="1070">
                  <c:v>330440</c:v>
                </c:pt>
                <c:pt idx="1071">
                  <c:v>331890</c:v>
                </c:pt>
                <c:pt idx="1072">
                  <c:v>335610</c:v>
                </c:pt>
                <c:pt idx="1073">
                  <c:v>340380</c:v>
                </c:pt>
                <c:pt idx="1074">
                  <c:v>348030</c:v>
                </c:pt>
                <c:pt idx="1075">
                  <c:v>356010</c:v>
                </c:pt>
                <c:pt idx="1076">
                  <c:v>364260</c:v>
                </c:pt>
                <c:pt idx="1077">
                  <c:v>363950</c:v>
                </c:pt>
                <c:pt idx="1078">
                  <c:v>365190</c:v>
                </c:pt>
                <c:pt idx="1079">
                  <c:v>360360</c:v>
                </c:pt>
                <c:pt idx="1080">
                  <c:v>356120</c:v>
                </c:pt>
                <c:pt idx="1081">
                  <c:v>363120</c:v>
                </c:pt>
                <c:pt idx="1082">
                  <c:v>358510</c:v>
                </c:pt>
                <c:pt idx="1083">
                  <c:v>362050</c:v>
                </c:pt>
                <c:pt idx="1084">
                  <c:v>360100</c:v>
                </c:pt>
                <c:pt idx="1085">
                  <c:v>364360</c:v>
                </c:pt>
                <c:pt idx="1086">
                  <c:v>363450</c:v>
                </c:pt>
                <c:pt idx="1087">
                  <c:v>363910</c:v>
                </c:pt>
                <c:pt idx="1088">
                  <c:v>363380</c:v>
                </c:pt>
                <c:pt idx="1089">
                  <c:v>369100</c:v>
                </c:pt>
                <c:pt idx="1090">
                  <c:v>369350</c:v>
                </c:pt>
                <c:pt idx="1091">
                  <c:v>368050</c:v>
                </c:pt>
                <c:pt idx="1092">
                  <c:v>363110</c:v>
                </c:pt>
                <c:pt idx="1093">
                  <c:v>363810</c:v>
                </c:pt>
                <c:pt idx="1094">
                  <c:v>366960</c:v>
                </c:pt>
                <c:pt idx="1095">
                  <c:v>369350</c:v>
                </c:pt>
                <c:pt idx="1096">
                  <c:v>370210</c:v>
                </c:pt>
                <c:pt idx="1097">
                  <c:v>367350</c:v>
                </c:pt>
                <c:pt idx="1098">
                  <c:v>365080</c:v>
                </c:pt>
                <c:pt idx="1099">
                  <c:v>365220</c:v>
                </c:pt>
                <c:pt idx="1100">
                  <c:v>362250</c:v>
                </c:pt>
                <c:pt idx="1101">
                  <c:v>362400</c:v>
                </c:pt>
                <c:pt idx="1102">
                  <c:v>367050</c:v>
                </c:pt>
                <c:pt idx="1103">
                  <c:v>365870</c:v>
                </c:pt>
                <c:pt idx="1104">
                  <c:v>365080</c:v>
                </c:pt>
                <c:pt idx="1105">
                  <c:v>368090</c:v>
                </c:pt>
                <c:pt idx="1106">
                  <c:v>368830</c:v>
                </c:pt>
                <c:pt idx="1107">
                  <c:v>371540</c:v>
                </c:pt>
                <c:pt idx="1108">
                  <c:v>369090</c:v>
                </c:pt>
                <c:pt idx="1109">
                  <c:v>367400</c:v>
                </c:pt>
                <c:pt idx="1110">
                  <c:v>369500</c:v>
                </c:pt>
                <c:pt idx="1111">
                  <c:v>365780</c:v>
                </c:pt>
                <c:pt idx="1112">
                  <c:v>363530</c:v>
                </c:pt>
                <c:pt idx="1113">
                  <c:v>366700</c:v>
                </c:pt>
                <c:pt idx="1114">
                  <c:v>369970</c:v>
                </c:pt>
                <c:pt idx="1115">
                  <c:v>372560</c:v>
                </c:pt>
                <c:pt idx="1116">
                  <c:v>371070</c:v>
                </c:pt>
                <c:pt idx="1117">
                  <c:v>371530</c:v>
                </c:pt>
                <c:pt idx="1118">
                  <c:v>370910</c:v>
                </c:pt>
                <c:pt idx="1119">
                  <c:v>370600</c:v>
                </c:pt>
                <c:pt idx="1120">
                  <c:v>370720</c:v>
                </c:pt>
                <c:pt idx="1121">
                  <c:v>371590</c:v>
                </c:pt>
                <c:pt idx="1122">
                  <c:v>371200</c:v>
                </c:pt>
                <c:pt idx="1123">
                  <c:v>371130</c:v>
                </c:pt>
                <c:pt idx="1124">
                  <c:v>369640</c:v>
                </c:pt>
                <c:pt idx="1125">
                  <c:v>372340</c:v>
                </c:pt>
                <c:pt idx="1126">
                  <c:v>371310</c:v>
                </c:pt>
                <c:pt idx="1127">
                  <c:v>371990</c:v>
                </c:pt>
                <c:pt idx="1128">
                  <c:v>370200</c:v>
                </c:pt>
                <c:pt idx="1129">
                  <c:v>369560</c:v>
                </c:pt>
                <c:pt idx="1130">
                  <c:v>370020</c:v>
                </c:pt>
                <c:pt idx="1131">
                  <c:v>367230</c:v>
                </c:pt>
                <c:pt idx="1132">
                  <c:v>362750</c:v>
                </c:pt>
                <c:pt idx="1133">
                  <c:v>370690</c:v>
                </c:pt>
                <c:pt idx="1134">
                  <c:v>370480</c:v>
                </c:pt>
                <c:pt idx="1135">
                  <c:v>371020</c:v>
                </c:pt>
                <c:pt idx="1136">
                  <c:v>366080</c:v>
                </c:pt>
                <c:pt idx="1137">
                  <c:v>366600</c:v>
                </c:pt>
                <c:pt idx="1138">
                  <c:v>364400</c:v>
                </c:pt>
                <c:pt idx="1139">
                  <c:v>364240</c:v>
                </c:pt>
                <c:pt idx="1140">
                  <c:v>368420</c:v>
                </c:pt>
                <c:pt idx="1141">
                  <c:v>366740</c:v>
                </c:pt>
                <c:pt idx="1142">
                  <c:v>366360</c:v>
                </c:pt>
                <c:pt idx="1143">
                  <c:v>366620</c:v>
                </c:pt>
                <c:pt idx="1144">
                  <c:v>368550</c:v>
                </c:pt>
                <c:pt idx="1145">
                  <c:v>368460</c:v>
                </c:pt>
                <c:pt idx="1146">
                  <c:v>368290</c:v>
                </c:pt>
                <c:pt idx="1147">
                  <c:v>367560</c:v>
                </c:pt>
                <c:pt idx="1148">
                  <c:v>367820</c:v>
                </c:pt>
                <c:pt idx="1149">
                  <c:v>366350</c:v>
                </c:pt>
                <c:pt idx="1150">
                  <c:v>366120</c:v>
                </c:pt>
                <c:pt idx="1151">
                  <c:v>363700</c:v>
                </c:pt>
                <c:pt idx="1152">
                  <c:v>363200</c:v>
                </c:pt>
                <c:pt idx="1153">
                  <c:v>363830</c:v>
                </c:pt>
                <c:pt idx="1154">
                  <c:v>363000</c:v>
                </c:pt>
                <c:pt idx="1155">
                  <c:v>362440</c:v>
                </c:pt>
                <c:pt idx="1156">
                  <c:v>358710</c:v>
                </c:pt>
                <c:pt idx="1157">
                  <c:v>364860</c:v>
                </c:pt>
                <c:pt idx="1158">
                  <c:v>366550</c:v>
                </c:pt>
                <c:pt idx="1159">
                  <c:v>367130</c:v>
                </c:pt>
                <c:pt idx="1160">
                  <c:v>367920</c:v>
                </c:pt>
                <c:pt idx="1161">
                  <c:v>367280</c:v>
                </c:pt>
                <c:pt idx="1162">
                  <c:v>367050</c:v>
                </c:pt>
                <c:pt idx="1163">
                  <c:v>368230</c:v>
                </c:pt>
                <c:pt idx="1164">
                  <c:v>368360</c:v>
                </c:pt>
                <c:pt idx="1165">
                  <c:v>369040</c:v>
                </c:pt>
                <c:pt idx="1166">
                  <c:v>369880</c:v>
                </c:pt>
                <c:pt idx="1167">
                  <c:v>368970</c:v>
                </c:pt>
                <c:pt idx="1168">
                  <c:v>372190</c:v>
                </c:pt>
                <c:pt idx="1169">
                  <c:v>367350</c:v>
                </c:pt>
                <c:pt idx="1170">
                  <c:v>367230</c:v>
                </c:pt>
                <c:pt idx="1171">
                  <c:v>364550</c:v>
                </c:pt>
                <c:pt idx="1172">
                  <c:v>365260</c:v>
                </c:pt>
                <c:pt idx="1173">
                  <c:v>367310</c:v>
                </c:pt>
                <c:pt idx="1174">
                  <c:v>369200</c:v>
                </c:pt>
                <c:pt idx="1175">
                  <c:v>372500</c:v>
                </c:pt>
                <c:pt idx="1176">
                  <c:v>373000</c:v>
                </c:pt>
                <c:pt idx="1177">
                  <c:v>373100</c:v>
                </c:pt>
                <c:pt idx="1178">
                  <c:v>373290</c:v>
                </c:pt>
                <c:pt idx="1179">
                  <c:v>373830</c:v>
                </c:pt>
                <c:pt idx="1180">
                  <c:v>372660</c:v>
                </c:pt>
                <c:pt idx="1181">
                  <c:v>374070</c:v>
                </c:pt>
                <c:pt idx="1182">
                  <c:v>373410</c:v>
                </c:pt>
                <c:pt idx="1183">
                  <c:v>372460</c:v>
                </c:pt>
                <c:pt idx="1184">
                  <c:v>372530</c:v>
                </c:pt>
                <c:pt idx="1185">
                  <c:v>376160</c:v>
                </c:pt>
                <c:pt idx="1186">
                  <c:v>376420</c:v>
                </c:pt>
                <c:pt idx="1187">
                  <c:v>380040</c:v>
                </c:pt>
                <c:pt idx="1188">
                  <c:v>381480</c:v>
                </c:pt>
                <c:pt idx="1189">
                  <c:v>381610</c:v>
                </c:pt>
                <c:pt idx="1190">
                  <c:v>381570</c:v>
                </c:pt>
                <c:pt idx="1191">
                  <c:v>381270</c:v>
                </c:pt>
                <c:pt idx="1192">
                  <c:v>381430</c:v>
                </c:pt>
                <c:pt idx="1193">
                  <c:v>383930</c:v>
                </c:pt>
                <c:pt idx="1194">
                  <c:v>387100</c:v>
                </c:pt>
                <c:pt idx="1195">
                  <c:v>386570</c:v>
                </c:pt>
                <c:pt idx="1196">
                  <c:v>386340</c:v>
                </c:pt>
                <c:pt idx="1197">
                  <c:v>385620</c:v>
                </c:pt>
                <c:pt idx="1198">
                  <c:v>384150</c:v>
                </c:pt>
                <c:pt idx="1199">
                  <c:v>382490</c:v>
                </c:pt>
                <c:pt idx="1200">
                  <c:v>382680</c:v>
                </c:pt>
                <c:pt idx="1201">
                  <c:v>383730</c:v>
                </c:pt>
                <c:pt idx="1202">
                  <c:v>383070</c:v>
                </c:pt>
                <c:pt idx="1203">
                  <c:v>383850</c:v>
                </c:pt>
                <c:pt idx="1204">
                  <c:v>381720</c:v>
                </c:pt>
                <c:pt idx="1205">
                  <c:v>381540</c:v>
                </c:pt>
                <c:pt idx="1206">
                  <c:v>381640</c:v>
                </c:pt>
                <c:pt idx="1207">
                  <c:v>381120</c:v>
                </c:pt>
                <c:pt idx="1208">
                  <c:v>381000</c:v>
                </c:pt>
                <c:pt idx="1209">
                  <c:v>380320</c:v>
                </c:pt>
                <c:pt idx="1210">
                  <c:v>379810</c:v>
                </c:pt>
                <c:pt idx="1211">
                  <c:v>381730</c:v>
                </c:pt>
                <c:pt idx="1212">
                  <c:v>396650</c:v>
                </c:pt>
                <c:pt idx="1213">
                  <c:v>396710</c:v>
                </c:pt>
                <c:pt idx="1214">
                  <c:v>396840</c:v>
                </c:pt>
                <c:pt idx="1215">
                  <c:v>396790</c:v>
                </c:pt>
                <c:pt idx="1216">
                  <c:v>398560</c:v>
                </c:pt>
                <c:pt idx="1217">
                  <c:v>400680</c:v>
                </c:pt>
                <c:pt idx="1218">
                  <c:v>401340</c:v>
                </c:pt>
                <c:pt idx="1219">
                  <c:v>396760</c:v>
                </c:pt>
                <c:pt idx="1220">
                  <c:v>396740</c:v>
                </c:pt>
                <c:pt idx="1221">
                  <c:v>406540</c:v>
                </c:pt>
                <c:pt idx="1222">
                  <c:v>406060</c:v>
                </c:pt>
                <c:pt idx="1223">
                  <c:v>403180</c:v>
                </c:pt>
                <c:pt idx="1224">
                  <c:v>401890</c:v>
                </c:pt>
                <c:pt idx="1225">
                  <c:v>399300</c:v>
                </c:pt>
                <c:pt idx="1226">
                  <c:v>393820</c:v>
                </c:pt>
                <c:pt idx="1227">
                  <c:v>393340</c:v>
                </c:pt>
                <c:pt idx="1228">
                  <c:v>400620</c:v>
                </c:pt>
                <c:pt idx="1229">
                  <c:v>401160</c:v>
                </c:pt>
                <c:pt idx="1230">
                  <c:v>400810</c:v>
                </c:pt>
                <c:pt idx="1231">
                  <c:v>400450</c:v>
                </c:pt>
                <c:pt idx="1232">
                  <c:v>395150</c:v>
                </c:pt>
                <c:pt idx="1233">
                  <c:v>395160</c:v>
                </c:pt>
                <c:pt idx="1234">
                  <c:v>396140</c:v>
                </c:pt>
                <c:pt idx="1235">
                  <c:v>402050</c:v>
                </c:pt>
                <c:pt idx="1236">
                  <c:v>402260</c:v>
                </c:pt>
                <c:pt idx="1237">
                  <c:v>405100</c:v>
                </c:pt>
                <c:pt idx="1238">
                  <c:v>403170</c:v>
                </c:pt>
                <c:pt idx="1239">
                  <c:v>405640</c:v>
                </c:pt>
                <c:pt idx="1240">
                  <c:v>399560</c:v>
                </c:pt>
                <c:pt idx="1241">
                  <c:v>399630</c:v>
                </c:pt>
                <c:pt idx="1242">
                  <c:v>399520</c:v>
                </c:pt>
                <c:pt idx="1243">
                  <c:v>399360</c:v>
                </c:pt>
                <c:pt idx="1244">
                  <c:v>401430</c:v>
                </c:pt>
                <c:pt idx="1245">
                  <c:v>401260</c:v>
                </c:pt>
                <c:pt idx="1246">
                  <c:v>402050</c:v>
                </c:pt>
                <c:pt idx="1247">
                  <c:v>399080</c:v>
                </c:pt>
                <c:pt idx="1248">
                  <c:v>398370</c:v>
                </c:pt>
                <c:pt idx="1249">
                  <c:v>398380</c:v>
                </c:pt>
                <c:pt idx="1250">
                  <c:v>398370</c:v>
                </c:pt>
                <c:pt idx="1251">
                  <c:v>398290</c:v>
                </c:pt>
                <c:pt idx="1252">
                  <c:v>397270</c:v>
                </c:pt>
                <c:pt idx="1253">
                  <c:v>396190</c:v>
                </c:pt>
                <c:pt idx="1254">
                  <c:v>397160</c:v>
                </c:pt>
                <c:pt idx="1255">
                  <c:v>393350</c:v>
                </c:pt>
                <c:pt idx="1256">
                  <c:v>392630</c:v>
                </c:pt>
                <c:pt idx="1257">
                  <c:v>392390</c:v>
                </c:pt>
                <c:pt idx="1258">
                  <c:v>390820</c:v>
                </c:pt>
                <c:pt idx="1259">
                  <c:v>391390</c:v>
                </c:pt>
                <c:pt idx="1260">
                  <c:v>388480</c:v>
                </c:pt>
                <c:pt idx="1261">
                  <c:v>389210</c:v>
                </c:pt>
                <c:pt idx="1262">
                  <c:v>389520</c:v>
                </c:pt>
                <c:pt idx="1263">
                  <c:v>388020</c:v>
                </c:pt>
                <c:pt idx="1264">
                  <c:v>389290</c:v>
                </c:pt>
                <c:pt idx="1265">
                  <c:v>389420</c:v>
                </c:pt>
                <c:pt idx="1266">
                  <c:v>391770</c:v>
                </c:pt>
                <c:pt idx="1267">
                  <c:v>390230</c:v>
                </c:pt>
                <c:pt idx="1268">
                  <c:v>391720</c:v>
                </c:pt>
                <c:pt idx="1269">
                  <c:v>404030</c:v>
                </c:pt>
                <c:pt idx="1270">
                  <c:v>403520</c:v>
                </c:pt>
                <c:pt idx="1271">
                  <c:v>403130</c:v>
                </c:pt>
                <c:pt idx="1272">
                  <c:v>403400</c:v>
                </c:pt>
                <c:pt idx="1273">
                  <c:v>402530</c:v>
                </c:pt>
                <c:pt idx="1274">
                  <c:v>401810</c:v>
                </c:pt>
                <c:pt idx="1275">
                  <c:v>412400</c:v>
                </c:pt>
                <c:pt idx="1276">
                  <c:v>426260</c:v>
                </c:pt>
                <c:pt idx="1277">
                  <c:v>435310</c:v>
                </c:pt>
                <c:pt idx="1278">
                  <c:v>444960</c:v>
                </c:pt>
                <c:pt idx="1279">
                  <c:v>449730</c:v>
                </c:pt>
                <c:pt idx="1280">
                  <c:v>450030</c:v>
                </c:pt>
                <c:pt idx="1281">
                  <c:v>447690</c:v>
                </c:pt>
                <c:pt idx="1282">
                  <c:v>447500</c:v>
                </c:pt>
                <c:pt idx="1283">
                  <c:v>445970</c:v>
                </c:pt>
                <c:pt idx="1284">
                  <c:v>445990</c:v>
                </c:pt>
                <c:pt idx="1285">
                  <c:v>446870</c:v>
                </c:pt>
                <c:pt idx="1286">
                  <c:v>448600</c:v>
                </c:pt>
                <c:pt idx="1287">
                  <c:v>448220</c:v>
                </c:pt>
                <c:pt idx="1288">
                  <c:v>448330</c:v>
                </c:pt>
                <c:pt idx="1289">
                  <c:v>447630</c:v>
                </c:pt>
                <c:pt idx="1290">
                  <c:v>447790</c:v>
                </c:pt>
                <c:pt idx="1291">
                  <c:v>447940</c:v>
                </c:pt>
                <c:pt idx="1292">
                  <c:v>447800</c:v>
                </c:pt>
                <c:pt idx="1293">
                  <c:v>448450</c:v>
                </c:pt>
                <c:pt idx="1294">
                  <c:v>448590</c:v>
                </c:pt>
                <c:pt idx="1295">
                  <c:v>446690</c:v>
                </c:pt>
                <c:pt idx="1296">
                  <c:v>444700</c:v>
                </c:pt>
                <c:pt idx="1297">
                  <c:v>444670</c:v>
                </c:pt>
                <c:pt idx="1298">
                  <c:v>445990</c:v>
                </c:pt>
                <c:pt idx="1299">
                  <c:v>445320</c:v>
                </c:pt>
                <c:pt idx="1300">
                  <c:v>445200</c:v>
                </c:pt>
                <c:pt idx="1301">
                  <c:v>445250</c:v>
                </c:pt>
                <c:pt idx="1302">
                  <c:v>444110</c:v>
                </c:pt>
                <c:pt idx="1303">
                  <c:v>444090</c:v>
                </c:pt>
                <c:pt idx="1304">
                  <c:v>444000</c:v>
                </c:pt>
                <c:pt idx="1305">
                  <c:v>443600</c:v>
                </c:pt>
                <c:pt idx="1306">
                  <c:v>443690</c:v>
                </c:pt>
                <c:pt idx="1307">
                  <c:v>447190</c:v>
                </c:pt>
                <c:pt idx="1308">
                  <c:v>447620</c:v>
                </c:pt>
                <c:pt idx="1309">
                  <c:v>448040</c:v>
                </c:pt>
                <c:pt idx="1310">
                  <c:v>448770</c:v>
                </c:pt>
                <c:pt idx="1311">
                  <c:v>447630</c:v>
                </c:pt>
                <c:pt idx="1312">
                  <c:v>448240</c:v>
                </c:pt>
                <c:pt idx="1313">
                  <c:v>452360</c:v>
                </c:pt>
                <c:pt idx="1314">
                  <c:v>455140</c:v>
                </c:pt>
                <c:pt idx="1315">
                  <c:v>458300</c:v>
                </c:pt>
                <c:pt idx="1316">
                  <c:v>462520</c:v>
                </c:pt>
                <c:pt idx="1317">
                  <c:v>467110</c:v>
                </c:pt>
                <c:pt idx="1318">
                  <c:v>465310</c:v>
                </c:pt>
                <c:pt idx="1319">
                  <c:v>464500</c:v>
                </c:pt>
                <c:pt idx="1320">
                  <c:v>467380</c:v>
                </c:pt>
                <c:pt idx="1321">
                  <c:v>470760</c:v>
                </c:pt>
                <c:pt idx="1322">
                  <c:v>470680</c:v>
                </c:pt>
                <c:pt idx="1323">
                  <c:v>471330</c:v>
                </c:pt>
                <c:pt idx="1324">
                  <c:v>471830</c:v>
                </c:pt>
                <c:pt idx="1325">
                  <c:v>470040</c:v>
                </c:pt>
                <c:pt idx="1326">
                  <c:v>470990</c:v>
                </c:pt>
                <c:pt idx="1327">
                  <c:v>480290</c:v>
                </c:pt>
                <c:pt idx="1328">
                  <c:v>479990</c:v>
                </c:pt>
                <c:pt idx="1329">
                  <c:v>481060</c:v>
                </c:pt>
                <c:pt idx="1330">
                  <c:v>475710</c:v>
                </c:pt>
                <c:pt idx="1331">
                  <c:v>476120</c:v>
                </c:pt>
                <c:pt idx="1332">
                  <c:v>472390</c:v>
                </c:pt>
                <c:pt idx="1333">
                  <c:v>471790</c:v>
                </c:pt>
                <c:pt idx="1334">
                  <c:v>476530</c:v>
                </c:pt>
                <c:pt idx="1335">
                  <c:v>477780</c:v>
                </c:pt>
                <c:pt idx="1336">
                  <c:v>483420</c:v>
                </c:pt>
                <c:pt idx="1337">
                  <c:v>482090</c:v>
                </c:pt>
                <c:pt idx="1338">
                  <c:v>483060</c:v>
                </c:pt>
                <c:pt idx="1339">
                  <c:v>483360</c:v>
                </c:pt>
                <c:pt idx="1340">
                  <c:v>481370</c:v>
                </c:pt>
                <c:pt idx="1341">
                  <c:v>478260</c:v>
                </c:pt>
                <c:pt idx="1342">
                  <c:v>479050</c:v>
                </c:pt>
                <c:pt idx="1343">
                  <c:v>479050</c:v>
                </c:pt>
                <c:pt idx="1344">
                  <c:v>477880</c:v>
                </c:pt>
                <c:pt idx="1345">
                  <c:v>477880</c:v>
                </c:pt>
                <c:pt idx="1346">
                  <c:v>479380</c:v>
                </c:pt>
                <c:pt idx="1347">
                  <c:v>475680</c:v>
                </c:pt>
                <c:pt idx="1348">
                  <c:v>473330</c:v>
                </c:pt>
                <c:pt idx="1349">
                  <c:v>480230</c:v>
                </c:pt>
                <c:pt idx="1350">
                  <c:v>478820</c:v>
                </c:pt>
                <c:pt idx="1351">
                  <c:v>478260</c:v>
                </c:pt>
                <c:pt idx="1352">
                  <c:v>478810</c:v>
                </c:pt>
                <c:pt idx="1353">
                  <c:v>478050</c:v>
                </c:pt>
                <c:pt idx="1354">
                  <c:v>478240</c:v>
                </c:pt>
                <c:pt idx="1355">
                  <c:v>477380</c:v>
                </c:pt>
                <c:pt idx="1356">
                  <c:v>477320</c:v>
                </c:pt>
                <c:pt idx="1357">
                  <c:v>477320</c:v>
                </c:pt>
                <c:pt idx="1358">
                  <c:v>477270</c:v>
                </c:pt>
                <c:pt idx="1359">
                  <c:v>477630</c:v>
                </c:pt>
                <c:pt idx="1360">
                  <c:v>477240</c:v>
                </c:pt>
                <c:pt idx="1361">
                  <c:v>479330</c:v>
                </c:pt>
                <c:pt idx="1362">
                  <c:v>482540</c:v>
                </c:pt>
                <c:pt idx="1363">
                  <c:v>480720</c:v>
                </c:pt>
                <c:pt idx="1364">
                  <c:v>480350</c:v>
                </c:pt>
                <c:pt idx="1365">
                  <c:v>482400</c:v>
                </c:pt>
                <c:pt idx="1366">
                  <c:v>475140</c:v>
                </c:pt>
                <c:pt idx="1367">
                  <c:v>478910</c:v>
                </c:pt>
                <c:pt idx="1368">
                  <c:v>479460</c:v>
                </c:pt>
                <c:pt idx="1369">
                  <c:v>481690</c:v>
                </c:pt>
                <c:pt idx="1370">
                  <c:v>481240</c:v>
                </c:pt>
                <c:pt idx="1371">
                  <c:v>481130</c:v>
                </c:pt>
                <c:pt idx="1372">
                  <c:v>479730</c:v>
                </c:pt>
                <c:pt idx="1373">
                  <c:v>479570</c:v>
                </c:pt>
                <c:pt idx="1374">
                  <c:v>480420</c:v>
                </c:pt>
                <c:pt idx="1375">
                  <c:v>478820</c:v>
                </c:pt>
                <c:pt idx="1376">
                  <c:v>479350</c:v>
                </c:pt>
                <c:pt idx="1377">
                  <c:v>478870</c:v>
                </c:pt>
                <c:pt idx="1378">
                  <c:v>480000</c:v>
                </c:pt>
                <c:pt idx="1379">
                  <c:v>487340</c:v>
                </c:pt>
                <c:pt idx="1380">
                  <c:v>487260</c:v>
                </c:pt>
                <c:pt idx="1381">
                  <c:v>487210</c:v>
                </c:pt>
                <c:pt idx="1382">
                  <c:v>486260</c:v>
                </c:pt>
                <c:pt idx="1383">
                  <c:v>486210</c:v>
                </c:pt>
                <c:pt idx="1384">
                  <c:v>486070</c:v>
                </c:pt>
                <c:pt idx="1385">
                  <c:v>486190</c:v>
                </c:pt>
                <c:pt idx="1386">
                  <c:v>488620</c:v>
                </c:pt>
                <c:pt idx="1387">
                  <c:v>486170</c:v>
                </c:pt>
                <c:pt idx="1388">
                  <c:v>484700</c:v>
                </c:pt>
                <c:pt idx="1389">
                  <c:v>483700</c:v>
                </c:pt>
                <c:pt idx="1390">
                  <c:v>485460</c:v>
                </c:pt>
                <c:pt idx="1391">
                  <c:v>492220</c:v>
                </c:pt>
                <c:pt idx="1392">
                  <c:v>494910</c:v>
                </c:pt>
                <c:pt idx="1393">
                  <c:v>493420</c:v>
                </c:pt>
                <c:pt idx="1394">
                  <c:v>498190</c:v>
                </c:pt>
                <c:pt idx="1395">
                  <c:v>505660</c:v>
                </c:pt>
                <c:pt idx="1396">
                  <c:v>506040</c:v>
                </c:pt>
                <c:pt idx="1397">
                  <c:v>505810</c:v>
                </c:pt>
                <c:pt idx="1398">
                  <c:v>505410</c:v>
                </c:pt>
                <c:pt idx="1399">
                  <c:v>506560</c:v>
                </c:pt>
                <c:pt idx="1400">
                  <c:v>505700</c:v>
                </c:pt>
                <c:pt idx="1401">
                  <c:v>505980</c:v>
                </c:pt>
                <c:pt idx="1402">
                  <c:v>506920</c:v>
                </c:pt>
                <c:pt idx="1403">
                  <c:v>503010</c:v>
                </c:pt>
                <c:pt idx="1404">
                  <c:v>501290</c:v>
                </c:pt>
                <c:pt idx="1405">
                  <c:v>503840</c:v>
                </c:pt>
                <c:pt idx="1406">
                  <c:v>502610</c:v>
                </c:pt>
                <c:pt idx="1407">
                  <c:v>502840</c:v>
                </c:pt>
                <c:pt idx="1408">
                  <c:v>503810</c:v>
                </c:pt>
                <c:pt idx="1409">
                  <c:v>505620</c:v>
                </c:pt>
                <c:pt idx="1410">
                  <c:v>505580</c:v>
                </c:pt>
                <c:pt idx="1411">
                  <c:v>502680</c:v>
                </c:pt>
                <c:pt idx="1412">
                  <c:v>502900</c:v>
                </c:pt>
                <c:pt idx="1413">
                  <c:v>503840</c:v>
                </c:pt>
                <c:pt idx="1414">
                  <c:v>498890</c:v>
                </c:pt>
                <c:pt idx="1415">
                  <c:v>498790</c:v>
                </c:pt>
                <c:pt idx="1416">
                  <c:v>498440</c:v>
                </c:pt>
                <c:pt idx="1417">
                  <c:v>502150</c:v>
                </c:pt>
                <c:pt idx="1418">
                  <c:v>502740</c:v>
                </c:pt>
                <c:pt idx="1419">
                  <c:v>503540</c:v>
                </c:pt>
                <c:pt idx="1420">
                  <c:v>504250</c:v>
                </c:pt>
                <c:pt idx="1421">
                  <c:v>504660</c:v>
                </c:pt>
                <c:pt idx="1422">
                  <c:v>504330</c:v>
                </c:pt>
                <c:pt idx="1423">
                  <c:v>502100</c:v>
                </c:pt>
                <c:pt idx="1424">
                  <c:v>502470</c:v>
                </c:pt>
                <c:pt idx="1425">
                  <c:v>505270</c:v>
                </c:pt>
                <c:pt idx="1426">
                  <c:v>502060</c:v>
                </c:pt>
                <c:pt idx="1427">
                  <c:v>500270</c:v>
                </c:pt>
                <c:pt idx="1428">
                  <c:v>500290</c:v>
                </c:pt>
                <c:pt idx="1429">
                  <c:v>493990</c:v>
                </c:pt>
                <c:pt idx="1430">
                  <c:v>491850</c:v>
                </c:pt>
                <c:pt idx="1431">
                  <c:v>494220</c:v>
                </c:pt>
                <c:pt idx="1432">
                  <c:v>491250</c:v>
                </c:pt>
                <c:pt idx="1433">
                  <c:v>492000</c:v>
                </c:pt>
                <c:pt idx="1434">
                  <c:v>497350</c:v>
                </c:pt>
                <c:pt idx="1435">
                  <c:v>496860</c:v>
                </c:pt>
                <c:pt idx="1436">
                  <c:v>496250</c:v>
                </c:pt>
                <c:pt idx="1437">
                  <c:v>496450</c:v>
                </c:pt>
                <c:pt idx="1438">
                  <c:v>498880</c:v>
                </c:pt>
                <c:pt idx="1439">
                  <c:v>500210</c:v>
                </c:pt>
                <c:pt idx="1440">
                  <c:v>498140</c:v>
                </c:pt>
                <c:pt idx="1441">
                  <c:v>502870</c:v>
                </c:pt>
                <c:pt idx="1442">
                  <c:v>502810</c:v>
                </c:pt>
                <c:pt idx="1443">
                  <c:v>501930</c:v>
                </c:pt>
                <c:pt idx="1444">
                  <c:v>500820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1445"/>
                <c:pt idx="0">
                  <c:v>50000</c:v>
                </c:pt>
                <c:pt idx="1">
                  <c:v>55500</c:v>
                </c:pt>
                <c:pt idx="2">
                  <c:v>52125</c:v>
                </c:pt>
                <c:pt idx="3">
                  <c:v>40250</c:v>
                </c:pt>
                <c:pt idx="4">
                  <c:v>40125</c:v>
                </c:pt>
                <c:pt idx="5">
                  <c:v>53125</c:v>
                </c:pt>
                <c:pt idx="6">
                  <c:v>67125</c:v>
                </c:pt>
                <c:pt idx="7">
                  <c:v>67750</c:v>
                </c:pt>
                <c:pt idx="8">
                  <c:v>62875</c:v>
                </c:pt>
                <c:pt idx="9">
                  <c:v>50750</c:v>
                </c:pt>
                <c:pt idx="10">
                  <c:v>35750</c:v>
                </c:pt>
                <c:pt idx="11">
                  <c:v>25375</c:v>
                </c:pt>
                <c:pt idx="12">
                  <c:v>21625</c:v>
                </c:pt>
                <c:pt idx="13">
                  <c:v>24625</c:v>
                </c:pt>
                <c:pt idx="14">
                  <c:v>25500</c:v>
                </c:pt>
                <c:pt idx="15">
                  <c:v>11750</c:v>
                </c:pt>
                <c:pt idx="16">
                  <c:v>13375</c:v>
                </c:pt>
                <c:pt idx="17">
                  <c:v>11375</c:v>
                </c:pt>
                <c:pt idx="18">
                  <c:v>4000</c:v>
                </c:pt>
                <c:pt idx="19">
                  <c:v>13375</c:v>
                </c:pt>
                <c:pt idx="20">
                  <c:v>21250</c:v>
                </c:pt>
                <c:pt idx="21">
                  <c:v>-18250</c:v>
                </c:pt>
                <c:pt idx="22">
                  <c:v>-2375</c:v>
                </c:pt>
                <c:pt idx="23">
                  <c:v>14000</c:v>
                </c:pt>
                <c:pt idx="24">
                  <c:v>-875</c:v>
                </c:pt>
                <c:pt idx="25">
                  <c:v>-2250</c:v>
                </c:pt>
                <c:pt idx="26">
                  <c:v>5750</c:v>
                </c:pt>
                <c:pt idx="27">
                  <c:v>11375</c:v>
                </c:pt>
                <c:pt idx="28">
                  <c:v>28000</c:v>
                </c:pt>
                <c:pt idx="29">
                  <c:v>38875</c:v>
                </c:pt>
                <c:pt idx="30">
                  <c:v>39125</c:v>
                </c:pt>
                <c:pt idx="31">
                  <c:v>41250</c:v>
                </c:pt>
                <c:pt idx="32">
                  <c:v>42250</c:v>
                </c:pt>
                <c:pt idx="33">
                  <c:v>46000</c:v>
                </c:pt>
                <c:pt idx="34">
                  <c:v>40875</c:v>
                </c:pt>
                <c:pt idx="35">
                  <c:v>35000</c:v>
                </c:pt>
                <c:pt idx="36">
                  <c:v>37500</c:v>
                </c:pt>
                <c:pt idx="37">
                  <c:v>34375</c:v>
                </c:pt>
                <c:pt idx="38">
                  <c:v>38750</c:v>
                </c:pt>
                <c:pt idx="39">
                  <c:v>39750</c:v>
                </c:pt>
                <c:pt idx="40">
                  <c:v>36375</c:v>
                </c:pt>
                <c:pt idx="41">
                  <c:v>26750</c:v>
                </c:pt>
                <c:pt idx="42">
                  <c:v>34750</c:v>
                </c:pt>
                <c:pt idx="43">
                  <c:v>48500</c:v>
                </c:pt>
                <c:pt idx="44">
                  <c:v>47875</c:v>
                </c:pt>
                <c:pt idx="45">
                  <c:v>39875</c:v>
                </c:pt>
                <c:pt idx="46">
                  <c:v>44000</c:v>
                </c:pt>
                <c:pt idx="47">
                  <c:v>33750</c:v>
                </c:pt>
                <c:pt idx="48">
                  <c:v>33875</c:v>
                </c:pt>
                <c:pt idx="49">
                  <c:v>34500</c:v>
                </c:pt>
                <c:pt idx="50">
                  <c:v>47250</c:v>
                </c:pt>
                <c:pt idx="51">
                  <c:v>46625</c:v>
                </c:pt>
                <c:pt idx="52">
                  <c:v>47000</c:v>
                </c:pt>
                <c:pt idx="53">
                  <c:v>51375</c:v>
                </c:pt>
                <c:pt idx="54">
                  <c:v>52250</c:v>
                </c:pt>
                <c:pt idx="55">
                  <c:v>45000</c:v>
                </c:pt>
                <c:pt idx="56">
                  <c:v>50875</c:v>
                </c:pt>
                <c:pt idx="57">
                  <c:v>53500</c:v>
                </c:pt>
                <c:pt idx="58">
                  <c:v>59250</c:v>
                </c:pt>
                <c:pt idx="59">
                  <c:v>60625</c:v>
                </c:pt>
                <c:pt idx="60">
                  <c:v>60875</c:v>
                </c:pt>
                <c:pt idx="61">
                  <c:v>70125</c:v>
                </c:pt>
                <c:pt idx="62">
                  <c:v>74125</c:v>
                </c:pt>
                <c:pt idx="63">
                  <c:v>76625</c:v>
                </c:pt>
                <c:pt idx="64">
                  <c:v>75250</c:v>
                </c:pt>
                <c:pt idx="65">
                  <c:v>63750</c:v>
                </c:pt>
                <c:pt idx="66">
                  <c:v>70250</c:v>
                </c:pt>
                <c:pt idx="67">
                  <c:v>69250</c:v>
                </c:pt>
                <c:pt idx="68">
                  <c:v>63000</c:v>
                </c:pt>
                <c:pt idx="69">
                  <c:v>56500</c:v>
                </c:pt>
                <c:pt idx="70">
                  <c:v>59500</c:v>
                </c:pt>
                <c:pt idx="71">
                  <c:v>61375</c:v>
                </c:pt>
                <c:pt idx="72">
                  <c:v>51875</c:v>
                </c:pt>
                <c:pt idx="73">
                  <c:v>51375</c:v>
                </c:pt>
                <c:pt idx="74">
                  <c:v>40125</c:v>
                </c:pt>
                <c:pt idx="75">
                  <c:v>35125</c:v>
                </c:pt>
                <c:pt idx="76">
                  <c:v>32375</c:v>
                </c:pt>
                <c:pt idx="77">
                  <c:v>34000</c:v>
                </c:pt>
                <c:pt idx="78">
                  <c:v>33500</c:v>
                </c:pt>
                <c:pt idx="79">
                  <c:v>15500</c:v>
                </c:pt>
                <c:pt idx="80">
                  <c:v>10875</c:v>
                </c:pt>
                <c:pt idx="81">
                  <c:v>13500</c:v>
                </c:pt>
                <c:pt idx="82">
                  <c:v>13500</c:v>
                </c:pt>
                <c:pt idx="83">
                  <c:v>5000</c:v>
                </c:pt>
                <c:pt idx="84">
                  <c:v>5625</c:v>
                </c:pt>
                <c:pt idx="85">
                  <c:v>-15000</c:v>
                </c:pt>
                <c:pt idx="86">
                  <c:v>-15625</c:v>
                </c:pt>
                <c:pt idx="87">
                  <c:v>-16250</c:v>
                </c:pt>
                <c:pt idx="88">
                  <c:v>-8125</c:v>
                </c:pt>
                <c:pt idx="89">
                  <c:v>-7625</c:v>
                </c:pt>
                <c:pt idx="90">
                  <c:v>-10875</c:v>
                </c:pt>
                <c:pt idx="91">
                  <c:v>11125</c:v>
                </c:pt>
                <c:pt idx="92">
                  <c:v>7250</c:v>
                </c:pt>
                <c:pt idx="93">
                  <c:v>7625</c:v>
                </c:pt>
                <c:pt idx="94">
                  <c:v>9125</c:v>
                </c:pt>
                <c:pt idx="95">
                  <c:v>9250</c:v>
                </c:pt>
                <c:pt idx="96">
                  <c:v>10625</c:v>
                </c:pt>
                <c:pt idx="97">
                  <c:v>11250</c:v>
                </c:pt>
                <c:pt idx="98">
                  <c:v>12625</c:v>
                </c:pt>
                <c:pt idx="99">
                  <c:v>15000</c:v>
                </c:pt>
                <c:pt idx="100">
                  <c:v>15875</c:v>
                </c:pt>
                <c:pt idx="101">
                  <c:v>14625</c:v>
                </c:pt>
                <c:pt idx="102">
                  <c:v>7000</c:v>
                </c:pt>
                <c:pt idx="103">
                  <c:v>14625</c:v>
                </c:pt>
                <c:pt idx="104">
                  <c:v>14375</c:v>
                </c:pt>
                <c:pt idx="105">
                  <c:v>10125</c:v>
                </c:pt>
                <c:pt idx="106">
                  <c:v>12000</c:v>
                </c:pt>
                <c:pt idx="107">
                  <c:v>10250</c:v>
                </c:pt>
                <c:pt idx="108">
                  <c:v>15000</c:v>
                </c:pt>
                <c:pt idx="109">
                  <c:v>16375</c:v>
                </c:pt>
                <c:pt idx="110">
                  <c:v>15125</c:v>
                </c:pt>
                <c:pt idx="111">
                  <c:v>19250</c:v>
                </c:pt>
                <c:pt idx="112">
                  <c:v>16625</c:v>
                </c:pt>
                <c:pt idx="113">
                  <c:v>12375</c:v>
                </c:pt>
                <c:pt idx="114">
                  <c:v>5625</c:v>
                </c:pt>
                <c:pt idx="115">
                  <c:v>9625</c:v>
                </c:pt>
                <c:pt idx="116">
                  <c:v>8625</c:v>
                </c:pt>
                <c:pt idx="117">
                  <c:v>-5375</c:v>
                </c:pt>
                <c:pt idx="118">
                  <c:v>-7875</c:v>
                </c:pt>
                <c:pt idx="119">
                  <c:v>-12375</c:v>
                </c:pt>
                <c:pt idx="120">
                  <c:v>-12500</c:v>
                </c:pt>
                <c:pt idx="121">
                  <c:v>-16250</c:v>
                </c:pt>
                <c:pt idx="122">
                  <c:v>-20125</c:v>
                </c:pt>
                <c:pt idx="123">
                  <c:v>-15500</c:v>
                </c:pt>
                <c:pt idx="124">
                  <c:v>-11750</c:v>
                </c:pt>
                <c:pt idx="125">
                  <c:v>-9750</c:v>
                </c:pt>
                <c:pt idx="126">
                  <c:v>-14000</c:v>
                </c:pt>
                <c:pt idx="127">
                  <c:v>-18500</c:v>
                </c:pt>
                <c:pt idx="128">
                  <c:v>-20500</c:v>
                </c:pt>
                <c:pt idx="129">
                  <c:v>-18750</c:v>
                </c:pt>
                <c:pt idx="130">
                  <c:v>-22000</c:v>
                </c:pt>
                <c:pt idx="131">
                  <c:v>-15750</c:v>
                </c:pt>
                <c:pt idx="132">
                  <c:v>-20875</c:v>
                </c:pt>
                <c:pt idx="133">
                  <c:v>-18375</c:v>
                </c:pt>
                <c:pt idx="134">
                  <c:v>-19750</c:v>
                </c:pt>
                <c:pt idx="135">
                  <c:v>-23875</c:v>
                </c:pt>
                <c:pt idx="136">
                  <c:v>-25500</c:v>
                </c:pt>
                <c:pt idx="137">
                  <c:v>-24375</c:v>
                </c:pt>
                <c:pt idx="138">
                  <c:v>-16000</c:v>
                </c:pt>
                <c:pt idx="139">
                  <c:v>-12375</c:v>
                </c:pt>
                <c:pt idx="140">
                  <c:v>-8250</c:v>
                </c:pt>
                <c:pt idx="141">
                  <c:v>-4500</c:v>
                </c:pt>
                <c:pt idx="142">
                  <c:v>-5125</c:v>
                </c:pt>
                <c:pt idx="143">
                  <c:v>750</c:v>
                </c:pt>
                <c:pt idx="144">
                  <c:v>6000</c:v>
                </c:pt>
                <c:pt idx="145">
                  <c:v>2875</c:v>
                </c:pt>
                <c:pt idx="146">
                  <c:v>6875</c:v>
                </c:pt>
                <c:pt idx="147">
                  <c:v>11625</c:v>
                </c:pt>
                <c:pt idx="148">
                  <c:v>12375</c:v>
                </c:pt>
                <c:pt idx="149">
                  <c:v>6625</c:v>
                </c:pt>
                <c:pt idx="150">
                  <c:v>7375</c:v>
                </c:pt>
                <c:pt idx="151">
                  <c:v>11375</c:v>
                </c:pt>
                <c:pt idx="152">
                  <c:v>11500</c:v>
                </c:pt>
                <c:pt idx="153">
                  <c:v>10125</c:v>
                </c:pt>
                <c:pt idx="154">
                  <c:v>-9875</c:v>
                </c:pt>
                <c:pt idx="155">
                  <c:v>-14750</c:v>
                </c:pt>
                <c:pt idx="156">
                  <c:v>-12000</c:v>
                </c:pt>
                <c:pt idx="157">
                  <c:v>-18375</c:v>
                </c:pt>
                <c:pt idx="158">
                  <c:v>-13500</c:v>
                </c:pt>
                <c:pt idx="159">
                  <c:v>-11625</c:v>
                </c:pt>
                <c:pt idx="160">
                  <c:v>-5750</c:v>
                </c:pt>
                <c:pt idx="161">
                  <c:v>500</c:v>
                </c:pt>
                <c:pt idx="162">
                  <c:v>1625</c:v>
                </c:pt>
                <c:pt idx="163">
                  <c:v>3750</c:v>
                </c:pt>
                <c:pt idx="164">
                  <c:v>3750</c:v>
                </c:pt>
                <c:pt idx="165">
                  <c:v>-250</c:v>
                </c:pt>
                <c:pt idx="166">
                  <c:v>2125</c:v>
                </c:pt>
                <c:pt idx="167">
                  <c:v>6125</c:v>
                </c:pt>
                <c:pt idx="168">
                  <c:v>4375</c:v>
                </c:pt>
                <c:pt idx="169">
                  <c:v>5500</c:v>
                </c:pt>
                <c:pt idx="170">
                  <c:v>6000</c:v>
                </c:pt>
                <c:pt idx="171">
                  <c:v>5250</c:v>
                </c:pt>
                <c:pt idx="172">
                  <c:v>5750</c:v>
                </c:pt>
                <c:pt idx="173">
                  <c:v>750</c:v>
                </c:pt>
                <c:pt idx="174">
                  <c:v>-875</c:v>
                </c:pt>
                <c:pt idx="175">
                  <c:v>2125</c:v>
                </c:pt>
                <c:pt idx="176">
                  <c:v>1000</c:v>
                </c:pt>
                <c:pt idx="177">
                  <c:v>-2250</c:v>
                </c:pt>
                <c:pt idx="178">
                  <c:v>1125</c:v>
                </c:pt>
                <c:pt idx="179">
                  <c:v>6000</c:v>
                </c:pt>
                <c:pt idx="180">
                  <c:v>-875</c:v>
                </c:pt>
                <c:pt idx="181">
                  <c:v>2625</c:v>
                </c:pt>
                <c:pt idx="182">
                  <c:v>3750</c:v>
                </c:pt>
                <c:pt idx="183">
                  <c:v>4875</c:v>
                </c:pt>
                <c:pt idx="184">
                  <c:v>6500</c:v>
                </c:pt>
                <c:pt idx="185">
                  <c:v>10125</c:v>
                </c:pt>
                <c:pt idx="186">
                  <c:v>13125</c:v>
                </c:pt>
                <c:pt idx="187">
                  <c:v>11125</c:v>
                </c:pt>
                <c:pt idx="188">
                  <c:v>11375</c:v>
                </c:pt>
                <c:pt idx="189">
                  <c:v>17000</c:v>
                </c:pt>
                <c:pt idx="190">
                  <c:v>15375</c:v>
                </c:pt>
                <c:pt idx="191">
                  <c:v>6750</c:v>
                </c:pt>
                <c:pt idx="192">
                  <c:v>5750</c:v>
                </c:pt>
                <c:pt idx="193">
                  <c:v>10750</c:v>
                </c:pt>
                <c:pt idx="194">
                  <c:v>17875</c:v>
                </c:pt>
                <c:pt idx="195">
                  <c:v>19375</c:v>
                </c:pt>
                <c:pt idx="196">
                  <c:v>17625</c:v>
                </c:pt>
                <c:pt idx="197">
                  <c:v>23375</c:v>
                </c:pt>
                <c:pt idx="198">
                  <c:v>24625</c:v>
                </c:pt>
                <c:pt idx="199">
                  <c:v>22875</c:v>
                </c:pt>
                <c:pt idx="200">
                  <c:v>12500</c:v>
                </c:pt>
                <c:pt idx="201">
                  <c:v>11500</c:v>
                </c:pt>
                <c:pt idx="202">
                  <c:v>11000</c:v>
                </c:pt>
                <c:pt idx="203">
                  <c:v>11125</c:v>
                </c:pt>
                <c:pt idx="204">
                  <c:v>10125</c:v>
                </c:pt>
                <c:pt idx="205">
                  <c:v>6625</c:v>
                </c:pt>
                <c:pt idx="206">
                  <c:v>625</c:v>
                </c:pt>
                <c:pt idx="207">
                  <c:v>-6000</c:v>
                </c:pt>
                <c:pt idx="208">
                  <c:v>11625</c:v>
                </c:pt>
                <c:pt idx="209">
                  <c:v>18250</c:v>
                </c:pt>
                <c:pt idx="210">
                  <c:v>21000</c:v>
                </c:pt>
                <c:pt idx="211">
                  <c:v>16625</c:v>
                </c:pt>
                <c:pt idx="212">
                  <c:v>18750</c:v>
                </c:pt>
                <c:pt idx="213">
                  <c:v>18750</c:v>
                </c:pt>
                <c:pt idx="214">
                  <c:v>15750</c:v>
                </c:pt>
                <c:pt idx="215">
                  <c:v>7875</c:v>
                </c:pt>
                <c:pt idx="216">
                  <c:v>6375</c:v>
                </c:pt>
                <c:pt idx="217">
                  <c:v>9500</c:v>
                </c:pt>
                <c:pt idx="218">
                  <c:v>2750</c:v>
                </c:pt>
                <c:pt idx="219">
                  <c:v>2625</c:v>
                </c:pt>
                <c:pt idx="220">
                  <c:v>-375</c:v>
                </c:pt>
                <c:pt idx="221">
                  <c:v>-7625</c:v>
                </c:pt>
                <c:pt idx="222">
                  <c:v>-1750</c:v>
                </c:pt>
                <c:pt idx="223">
                  <c:v>-3000</c:v>
                </c:pt>
                <c:pt idx="224">
                  <c:v>-125</c:v>
                </c:pt>
                <c:pt idx="225">
                  <c:v>250</c:v>
                </c:pt>
                <c:pt idx="226">
                  <c:v>-3625</c:v>
                </c:pt>
                <c:pt idx="227">
                  <c:v>-1750</c:v>
                </c:pt>
                <c:pt idx="228">
                  <c:v>14625</c:v>
                </c:pt>
                <c:pt idx="229">
                  <c:v>16250</c:v>
                </c:pt>
                <c:pt idx="230">
                  <c:v>21625</c:v>
                </c:pt>
                <c:pt idx="231">
                  <c:v>11000</c:v>
                </c:pt>
                <c:pt idx="232">
                  <c:v>13125</c:v>
                </c:pt>
                <c:pt idx="233">
                  <c:v>24750</c:v>
                </c:pt>
                <c:pt idx="234">
                  <c:v>19875</c:v>
                </c:pt>
                <c:pt idx="235">
                  <c:v>24125</c:v>
                </c:pt>
                <c:pt idx="236">
                  <c:v>18125</c:v>
                </c:pt>
                <c:pt idx="237">
                  <c:v>625</c:v>
                </c:pt>
                <c:pt idx="238">
                  <c:v>-6500</c:v>
                </c:pt>
                <c:pt idx="239">
                  <c:v>-6125</c:v>
                </c:pt>
                <c:pt idx="240">
                  <c:v>1125</c:v>
                </c:pt>
                <c:pt idx="241">
                  <c:v>8875</c:v>
                </c:pt>
                <c:pt idx="242">
                  <c:v>15125</c:v>
                </c:pt>
                <c:pt idx="243">
                  <c:v>19750</c:v>
                </c:pt>
                <c:pt idx="244">
                  <c:v>20375</c:v>
                </c:pt>
                <c:pt idx="245">
                  <c:v>6625</c:v>
                </c:pt>
                <c:pt idx="246">
                  <c:v>5750</c:v>
                </c:pt>
                <c:pt idx="247">
                  <c:v>-6375</c:v>
                </c:pt>
                <c:pt idx="248">
                  <c:v>-9250</c:v>
                </c:pt>
                <c:pt idx="249">
                  <c:v>-15500</c:v>
                </c:pt>
                <c:pt idx="250">
                  <c:v>-16625</c:v>
                </c:pt>
                <c:pt idx="251">
                  <c:v>-16375</c:v>
                </c:pt>
                <c:pt idx="252">
                  <c:v>-18750</c:v>
                </c:pt>
                <c:pt idx="253">
                  <c:v>-14375</c:v>
                </c:pt>
                <c:pt idx="254">
                  <c:v>-12500</c:v>
                </c:pt>
                <c:pt idx="255">
                  <c:v>-5250</c:v>
                </c:pt>
                <c:pt idx="256">
                  <c:v>500</c:v>
                </c:pt>
                <c:pt idx="257">
                  <c:v>2750</c:v>
                </c:pt>
                <c:pt idx="258">
                  <c:v>-1250</c:v>
                </c:pt>
                <c:pt idx="259">
                  <c:v>-5625</c:v>
                </c:pt>
                <c:pt idx="260">
                  <c:v>1625</c:v>
                </c:pt>
                <c:pt idx="261">
                  <c:v>3375</c:v>
                </c:pt>
                <c:pt idx="262">
                  <c:v>-6000</c:v>
                </c:pt>
                <c:pt idx="263">
                  <c:v>4125</c:v>
                </c:pt>
                <c:pt idx="264">
                  <c:v>8625</c:v>
                </c:pt>
                <c:pt idx="265">
                  <c:v>7875</c:v>
                </c:pt>
                <c:pt idx="266">
                  <c:v>-125</c:v>
                </c:pt>
                <c:pt idx="267">
                  <c:v>-125</c:v>
                </c:pt>
                <c:pt idx="268">
                  <c:v>17250</c:v>
                </c:pt>
                <c:pt idx="269">
                  <c:v>25000</c:v>
                </c:pt>
                <c:pt idx="270">
                  <c:v>28500</c:v>
                </c:pt>
                <c:pt idx="271">
                  <c:v>27000</c:v>
                </c:pt>
                <c:pt idx="272">
                  <c:v>39625</c:v>
                </c:pt>
                <c:pt idx="273">
                  <c:v>48250</c:v>
                </c:pt>
                <c:pt idx="274">
                  <c:v>62500</c:v>
                </c:pt>
                <c:pt idx="275">
                  <c:v>82750</c:v>
                </c:pt>
                <c:pt idx="276">
                  <c:v>79375</c:v>
                </c:pt>
                <c:pt idx="277">
                  <c:v>93000</c:v>
                </c:pt>
                <c:pt idx="278">
                  <c:v>86125</c:v>
                </c:pt>
                <c:pt idx="279">
                  <c:v>70375</c:v>
                </c:pt>
                <c:pt idx="280">
                  <c:v>92125</c:v>
                </c:pt>
                <c:pt idx="281">
                  <c:v>92875</c:v>
                </c:pt>
                <c:pt idx="282">
                  <c:v>110750</c:v>
                </c:pt>
                <c:pt idx="283">
                  <c:v>114750</c:v>
                </c:pt>
                <c:pt idx="284">
                  <c:v>120625</c:v>
                </c:pt>
                <c:pt idx="285">
                  <c:v>124375</c:v>
                </c:pt>
                <c:pt idx="286">
                  <c:v>134125</c:v>
                </c:pt>
                <c:pt idx="287">
                  <c:v>126625</c:v>
                </c:pt>
                <c:pt idx="288">
                  <c:v>116875</c:v>
                </c:pt>
                <c:pt idx="289">
                  <c:v>122000</c:v>
                </c:pt>
                <c:pt idx="290">
                  <c:v>114500</c:v>
                </c:pt>
                <c:pt idx="291">
                  <c:v>122625</c:v>
                </c:pt>
                <c:pt idx="292">
                  <c:v>133875</c:v>
                </c:pt>
                <c:pt idx="293">
                  <c:v>128750</c:v>
                </c:pt>
                <c:pt idx="294">
                  <c:v>116625</c:v>
                </c:pt>
                <c:pt idx="295">
                  <c:v>123125</c:v>
                </c:pt>
                <c:pt idx="296">
                  <c:v>129750</c:v>
                </c:pt>
                <c:pt idx="297">
                  <c:v>127000</c:v>
                </c:pt>
                <c:pt idx="298">
                  <c:v>122000</c:v>
                </c:pt>
                <c:pt idx="299">
                  <c:v>128500</c:v>
                </c:pt>
                <c:pt idx="300">
                  <c:v>136125</c:v>
                </c:pt>
                <c:pt idx="301">
                  <c:v>126875</c:v>
                </c:pt>
                <c:pt idx="302">
                  <c:v>118250</c:v>
                </c:pt>
                <c:pt idx="303">
                  <c:v>113250</c:v>
                </c:pt>
                <c:pt idx="304">
                  <c:v>119500</c:v>
                </c:pt>
                <c:pt idx="305">
                  <c:v>124250</c:v>
                </c:pt>
                <c:pt idx="306">
                  <c:v>123625</c:v>
                </c:pt>
                <c:pt idx="307">
                  <c:v>132125</c:v>
                </c:pt>
                <c:pt idx="308">
                  <c:v>140000</c:v>
                </c:pt>
                <c:pt idx="309">
                  <c:v>137875</c:v>
                </c:pt>
                <c:pt idx="310">
                  <c:v>128125</c:v>
                </c:pt>
                <c:pt idx="311">
                  <c:v>125625</c:v>
                </c:pt>
                <c:pt idx="312">
                  <c:v>122500</c:v>
                </c:pt>
                <c:pt idx="313">
                  <c:v>119750</c:v>
                </c:pt>
                <c:pt idx="314">
                  <c:v>129250</c:v>
                </c:pt>
                <c:pt idx="315">
                  <c:v>132250</c:v>
                </c:pt>
                <c:pt idx="316">
                  <c:v>125625</c:v>
                </c:pt>
                <c:pt idx="317">
                  <c:v>124125</c:v>
                </c:pt>
                <c:pt idx="318">
                  <c:v>120500</c:v>
                </c:pt>
                <c:pt idx="319">
                  <c:v>124125</c:v>
                </c:pt>
                <c:pt idx="320">
                  <c:v>123375</c:v>
                </c:pt>
                <c:pt idx="321">
                  <c:v>115000</c:v>
                </c:pt>
                <c:pt idx="322">
                  <c:v>116625</c:v>
                </c:pt>
                <c:pt idx="323">
                  <c:v>109625</c:v>
                </c:pt>
                <c:pt idx="324">
                  <c:v>112375</c:v>
                </c:pt>
                <c:pt idx="325">
                  <c:v>117000</c:v>
                </c:pt>
                <c:pt idx="326">
                  <c:v>102625</c:v>
                </c:pt>
                <c:pt idx="327">
                  <c:v>96625</c:v>
                </c:pt>
                <c:pt idx="328">
                  <c:v>103125</c:v>
                </c:pt>
                <c:pt idx="329">
                  <c:v>98750</c:v>
                </c:pt>
                <c:pt idx="330">
                  <c:v>100375</c:v>
                </c:pt>
                <c:pt idx="331">
                  <c:v>98375</c:v>
                </c:pt>
                <c:pt idx="332">
                  <c:v>97375</c:v>
                </c:pt>
                <c:pt idx="333">
                  <c:v>88750</c:v>
                </c:pt>
                <c:pt idx="334">
                  <c:v>83250</c:v>
                </c:pt>
                <c:pt idx="335">
                  <c:v>104375</c:v>
                </c:pt>
                <c:pt idx="336">
                  <c:v>105250</c:v>
                </c:pt>
                <c:pt idx="337">
                  <c:v>102500</c:v>
                </c:pt>
                <c:pt idx="338">
                  <c:v>105375</c:v>
                </c:pt>
                <c:pt idx="339">
                  <c:v>107625</c:v>
                </c:pt>
                <c:pt idx="340">
                  <c:v>100750</c:v>
                </c:pt>
                <c:pt idx="341">
                  <c:v>97500</c:v>
                </c:pt>
                <c:pt idx="342">
                  <c:v>94500</c:v>
                </c:pt>
                <c:pt idx="343">
                  <c:v>113750</c:v>
                </c:pt>
                <c:pt idx="344">
                  <c:v>102250</c:v>
                </c:pt>
                <c:pt idx="345">
                  <c:v>94125</c:v>
                </c:pt>
                <c:pt idx="346">
                  <c:v>94125</c:v>
                </c:pt>
                <c:pt idx="347">
                  <c:v>97750</c:v>
                </c:pt>
                <c:pt idx="348">
                  <c:v>106125</c:v>
                </c:pt>
                <c:pt idx="349">
                  <c:v>108250</c:v>
                </c:pt>
                <c:pt idx="350">
                  <c:v>107750</c:v>
                </c:pt>
                <c:pt idx="351">
                  <c:v>103125</c:v>
                </c:pt>
                <c:pt idx="352">
                  <c:v>103125</c:v>
                </c:pt>
                <c:pt idx="353">
                  <c:v>98250</c:v>
                </c:pt>
                <c:pt idx="354">
                  <c:v>95375</c:v>
                </c:pt>
                <c:pt idx="355">
                  <c:v>94750</c:v>
                </c:pt>
                <c:pt idx="356">
                  <c:v>96125</c:v>
                </c:pt>
                <c:pt idx="357">
                  <c:v>103000</c:v>
                </c:pt>
                <c:pt idx="358">
                  <c:v>103375</c:v>
                </c:pt>
                <c:pt idx="359">
                  <c:v>96875</c:v>
                </c:pt>
                <c:pt idx="360">
                  <c:v>93250</c:v>
                </c:pt>
                <c:pt idx="361">
                  <c:v>96250</c:v>
                </c:pt>
                <c:pt idx="362">
                  <c:v>97875</c:v>
                </c:pt>
                <c:pt idx="363">
                  <c:v>98375</c:v>
                </c:pt>
                <c:pt idx="364">
                  <c:v>96750</c:v>
                </c:pt>
                <c:pt idx="365">
                  <c:v>85125</c:v>
                </c:pt>
                <c:pt idx="366">
                  <c:v>90000</c:v>
                </c:pt>
                <c:pt idx="367">
                  <c:v>87500</c:v>
                </c:pt>
                <c:pt idx="368">
                  <c:v>89625</c:v>
                </c:pt>
                <c:pt idx="369">
                  <c:v>95250</c:v>
                </c:pt>
                <c:pt idx="370">
                  <c:v>98375</c:v>
                </c:pt>
                <c:pt idx="371">
                  <c:v>95875</c:v>
                </c:pt>
                <c:pt idx="372">
                  <c:v>99000</c:v>
                </c:pt>
                <c:pt idx="373">
                  <c:v>100500</c:v>
                </c:pt>
                <c:pt idx="374">
                  <c:v>102125</c:v>
                </c:pt>
                <c:pt idx="375">
                  <c:v>107375</c:v>
                </c:pt>
                <c:pt idx="376">
                  <c:v>103500</c:v>
                </c:pt>
                <c:pt idx="377">
                  <c:v>99000</c:v>
                </c:pt>
                <c:pt idx="378">
                  <c:v>100375</c:v>
                </c:pt>
                <c:pt idx="379">
                  <c:v>99000</c:v>
                </c:pt>
                <c:pt idx="380">
                  <c:v>102000</c:v>
                </c:pt>
                <c:pt idx="381">
                  <c:v>98625</c:v>
                </c:pt>
                <c:pt idx="382">
                  <c:v>93125</c:v>
                </c:pt>
                <c:pt idx="383">
                  <c:v>88750</c:v>
                </c:pt>
                <c:pt idx="384">
                  <c:v>87125</c:v>
                </c:pt>
                <c:pt idx="385">
                  <c:v>86500</c:v>
                </c:pt>
                <c:pt idx="386">
                  <c:v>83000</c:v>
                </c:pt>
                <c:pt idx="387">
                  <c:v>89125</c:v>
                </c:pt>
                <c:pt idx="388">
                  <c:v>85875</c:v>
                </c:pt>
                <c:pt idx="389">
                  <c:v>83625</c:v>
                </c:pt>
                <c:pt idx="390">
                  <c:v>76625</c:v>
                </c:pt>
                <c:pt idx="391">
                  <c:v>71750</c:v>
                </c:pt>
                <c:pt idx="392">
                  <c:v>74375</c:v>
                </c:pt>
                <c:pt idx="393">
                  <c:v>76500</c:v>
                </c:pt>
                <c:pt idx="394">
                  <c:v>71250</c:v>
                </c:pt>
                <c:pt idx="395">
                  <c:v>69625</c:v>
                </c:pt>
                <c:pt idx="396">
                  <c:v>70500</c:v>
                </c:pt>
                <c:pt idx="397">
                  <c:v>72500</c:v>
                </c:pt>
                <c:pt idx="398">
                  <c:v>69000</c:v>
                </c:pt>
                <c:pt idx="399">
                  <c:v>69500</c:v>
                </c:pt>
                <c:pt idx="400">
                  <c:v>65750</c:v>
                </c:pt>
                <c:pt idx="401">
                  <c:v>66625</c:v>
                </c:pt>
                <c:pt idx="402">
                  <c:v>70000</c:v>
                </c:pt>
                <c:pt idx="403">
                  <c:v>71250</c:v>
                </c:pt>
                <c:pt idx="404">
                  <c:v>73125</c:v>
                </c:pt>
                <c:pt idx="405">
                  <c:v>81625</c:v>
                </c:pt>
                <c:pt idx="406">
                  <c:v>85500</c:v>
                </c:pt>
                <c:pt idx="407">
                  <c:v>90000</c:v>
                </c:pt>
                <c:pt idx="408">
                  <c:v>88750</c:v>
                </c:pt>
                <c:pt idx="409">
                  <c:v>87875</c:v>
                </c:pt>
                <c:pt idx="410">
                  <c:v>88375</c:v>
                </c:pt>
                <c:pt idx="411">
                  <c:v>89375</c:v>
                </c:pt>
                <c:pt idx="412">
                  <c:v>85875</c:v>
                </c:pt>
                <c:pt idx="413">
                  <c:v>84875</c:v>
                </c:pt>
                <c:pt idx="414">
                  <c:v>84500</c:v>
                </c:pt>
                <c:pt idx="415">
                  <c:v>86000</c:v>
                </c:pt>
                <c:pt idx="416">
                  <c:v>89625</c:v>
                </c:pt>
                <c:pt idx="417">
                  <c:v>94375</c:v>
                </c:pt>
                <c:pt idx="418">
                  <c:v>94000</c:v>
                </c:pt>
                <c:pt idx="419">
                  <c:v>93250</c:v>
                </c:pt>
                <c:pt idx="420">
                  <c:v>90875</c:v>
                </c:pt>
                <c:pt idx="421">
                  <c:v>87750</c:v>
                </c:pt>
                <c:pt idx="422">
                  <c:v>85875</c:v>
                </c:pt>
                <c:pt idx="423">
                  <c:v>81375</c:v>
                </c:pt>
                <c:pt idx="424">
                  <c:v>80375</c:v>
                </c:pt>
                <c:pt idx="425">
                  <c:v>75125</c:v>
                </c:pt>
                <c:pt idx="426">
                  <c:v>71125</c:v>
                </c:pt>
                <c:pt idx="427">
                  <c:v>70625</c:v>
                </c:pt>
                <c:pt idx="428">
                  <c:v>69625</c:v>
                </c:pt>
                <c:pt idx="429">
                  <c:v>72875</c:v>
                </c:pt>
                <c:pt idx="430">
                  <c:v>70875</c:v>
                </c:pt>
                <c:pt idx="431">
                  <c:v>73750</c:v>
                </c:pt>
                <c:pt idx="432">
                  <c:v>71000</c:v>
                </c:pt>
                <c:pt idx="433">
                  <c:v>70375</c:v>
                </c:pt>
                <c:pt idx="434">
                  <c:v>71375</c:v>
                </c:pt>
                <c:pt idx="435">
                  <c:v>75625</c:v>
                </c:pt>
                <c:pt idx="436">
                  <c:v>79750</c:v>
                </c:pt>
                <c:pt idx="437">
                  <c:v>83750</c:v>
                </c:pt>
                <c:pt idx="438">
                  <c:v>87250</c:v>
                </c:pt>
                <c:pt idx="439">
                  <c:v>84000</c:v>
                </c:pt>
                <c:pt idx="440">
                  <c:v>89500</c:v>
                </c:pt>
                <c:pt idx="441">
                  <c:v>80125</c:v>
                </c:pt>
                <c:pt idx="442">
                  <c:v>77250</c:v>
                </c:pt>
                <c:pt idx="443">
                  <c:v>84250</c:v>
                </c:pt>
                <c:pt idx="444">
                  <c:v>91875</c:v>
                </c:pt>
                <c:pt idx="445">
                  <c:v>95125</c:v>
                </c:pt>
                <c:pt idx="446">
                  <c:v>92000</c:v>
                </c:pt>
                <c:pt idx="447">
                  <c:v>94875</c:v>
                </c:pt>
                <c:pt idx="448">
                  <c:v>95500</c:v>
                </c:pt>
                <c:pt idx="449">
                  <c:v>95625</c:v>
                </c:pt>
                <c:pt idx="450">
                  <c:v>100125</c:v>
                </c:pt>
                <c:pt idx="451">
                  <c:v>102750</c:v>
                </c:pt>
                <c:pt idx="452">
                  <c:v>104250</c:v>
                </c:pt>
                <c:pt idx="453">
                  <c:v>100750</c:v>
                </c:pt>
                <c:pt idx="454">
                  <c:v>102625</c:v>
                </c:pt>
                <c:pt idx="455">
                  <c:v>101375</c:v>
                </c:pt>
                <c:pt idx="456">
                  <c:v>105375</c:v>
                </c:pt>
                <c:pt idx="457">
                  <c:v>84875</c:v>
                </c:pt>
                <c:pt idx="458">
                  <c:v>84875</c:v>
                </c:pt>
                <c:pt idx="459">
                  <c:v>60375</c:v>
                </c:pt>
                <c:pt idx="460">
                  <c:v>54750</c:v>
                </c:pt>
                <c:pt idx="461">
                  <c:v>57000</c:v>
                </c:pt>
                <c:pt idx="462">
                  <c:v>53500</c:v>
                </c:pt>
                <c:pt idx="463">
                  <c:v>52000</c:v>
                </c:pt>
                <c:pt idx="464">
                  <c:v>53625</c:v>
                </c:pt>
                <c:pt idx="465">
                  <c:v>59000</c:v>
                </c:pt>
                <c:pt idx="466">
                  <c:v>59875</c:v>
                </c:pt>
                <c:pt idx="467">
                  <c:v>63875</c:v>
                </c:pt>
                <c:pt idx="468">
                  <c:v>65500</c:v>
                </c:pt>
                <c:pt idx="469">
                  <c:v>61750</c:v>
                </c:pt>
                <c:pt idx="470">
                  <c:v>67375</c:v>
                </c:pt>
                <c:pt idx="471">
                  <c:v>67000</c:v>
                </c:pt>
                <c:pt idx="472">
                  <c:v>60250</c:v>
                </c:pt>
                <c:pt idx="473">
                  <c:v>62375</c:v>
                </c:pt>
                <c:pt idx="474">
                  <c:v>59875</c:v>
                </c:pt>
                <c:pt idx="475">
                  <c:v>57500</c:v>
                </c:pt>
                <c:pt idx="476">
                  <c:v>56125</c:v>
                </c:pt>
                <c:pt idx="477">
                  <c:v>59125</c:v>
                </c:pt>
                <c:pt idx="478">
                  <c:v>59375</c:v>
                </c:pt>
                <c:pt idx="479">
                  <c:v>77875</c:v>
                </c:pt>
                <c:pt idx="480">
                  <c:v>80125</c:v>
                </c:pt>
                <c:pt idx="481">
                  <c:v>79250</c:v>
                </c:pt>
                <c:pt idx="482">
                  <c:v>86000</c:v>
                </c:pt>
                <c:pt idx="483">
                  <c:v>86875</c:v>
                </c:pt>
                <c:pt idx="484">
                  <c:v>77250</c:v>
                </c:pt>
                <c:pt idx="485">
                  <c:v>77250</c:v>
                </c:pt>
                <c:pt idx="486">
                  <c:v>74000</c:v>
                </c:pt>
                <c:pt idx="487">
                  <c:v>86250</c:v>
                </c:pt>
                <c:pt idx="488">
                  <c:v>82250</c:v>
                </c:pt>
                <c:pt idx="489">
                  <c:v>90750</c:v>
                </c:pt>
                <c:pt idx="490">
                  <c:v>88500</c:v>
                </c:pt>
                <c:pt idx="491">
                  <c:v>87625</c:v>
                </c:pt>
                <c:pt idx="492">
                  <c:v>84125</c:v>
                </c:pt>
                <c:pt idx="493">
                  <c:v>89125</c:v>
                </c:pt>
                <c:pt idx="494">
                  <c:v>86875</c:v>
                </c:pt>
                <c:pt idx="495">
                  <c:v>81375</c:v>
                </c:pt>
                <c:pt idx="496">
                  <c:v>91000</c:v>
                </c:pt>
                <c:pt idx="497">
                  <c:v>94250</c:v>
                </c:pt>
                <c:pt idx="498">
                  <c:v>92625</c:v>
                </c:pt>
                <c:pt idx="499">
                  <c:v>95625</c:v>
                </c:pt>
                <c:pt idx="500">
                  <c:v>95375</c:v>
                </c:pt>
                <c:pt idx="501">
                  <c:v>89375</c:v>
                </c:pt>
                <c:pt idx="502">
                  <c:v>94250</c:v>
                </c:pt>
                <c:pt idx="503">
                  <c:v>92375</c:v>
                </c:pt>
                <c:pt idx="504">
                  <c:v>90625</c:v>
                </c:pt>
                <c:pt idx="505">
                  <c:v>93625</c:v>
                </c:pt>
                <c:pt idx="506">
                  <c:v>93625</c:v>
                </c:pt>
                <c:pt idx="507">
                  <c:v>95750</c:v>
                </c:pt>
                <c:pt idx="508">
                  <c:v>87625</c:v>
                </c:pt>
                <c:pt idx="509">
                  <c:v>91000</c:v>
                </c:pt>
                <c:pt idx="510">
                  <c:v>87750</c:v>
                </c:pt>
                <c:pt idx="511">
                  <c:v>85125</c:v>
                </c:pt>
                <c:pt idx="512">
                  <c:v>90250</c:v>
                </c:pt>
                <c:pt idx="513">
                  <c:v>95125</c:v>
                </c:pt>
                <c:pt idx="514">
                  <c:v>98125</c:v>
                </c:pt>
                <c:pt idx="515">
                  <c:v>103625</c:v>
                </c:pt>
                <c:pt idx="516">
                  <c:v>99750</c:v>
                </c:pt>
                <c:pt idx="517">
                  <c:v>96000</c:v>
                </c:pt>
                <c:pt idx="518">
                  <c:v>89875</c:v>
                </c:pt>
                <c:pt idx="519">
                  <c:v>91375</c:v>
                </c:pt>
                <c:pt idx="520">
                  <c:v>94875</c:v>
                </c:pt>
                <c:pt idx="521">
                  <c:v>97375</c:v>
                </c:pt>
                <c:pt idx="522">
                  <c:v>95500</c:v>
                </c:pt>
                <c:pt idx="523">
                  <c:v>91125</c:v>
                </c:pt>
                <c:pt idx="524">
                  <c:v>98375</c:v>
                </c:pt>
                <c:pt idx="525">
                  <c:v>102125</c:v>
                </c:pt>
                <c:pt idx="526">
                  <c:v>106375</c:v>
                </c:pt>
                <c:pt idx="527">
                  <c:v>109875</c:v>
                </c:pt>
                <c:pt idx="528">
                  <c:v>115125</c:v>
                </c:pt>
                <c:pt idx="529">
                  <c:v>117500</c:v>
                </c:pt>
                <c:pt idx="530">
                  <c:v>122000</c:v>
                </c:pt>
                <c:pt idx="531">
                  <c:v>116125</c:v>
                </c:pt>
                <c:pt idx="532">
                  <c:v>110250</c:v>
                </c:pt>
                <c:pt idx="533">
                  <c:v>114000</c:v>
                </c:pt>
                <c:pt idx="534">
                  <c:v>111250</c:v>
                </c:pt>
                <c:pt idx="535">
                  <c:v>112125</c:v>
                </c:pt>
                <c:pt idx="536">
                  <c:v>113875</c:v>
                </c:pt>
                <c:pt idx="537">
                  <c:v>112500</c:v>
                </c:pt>
                <c:pt idx="538">
                  <c:v>103750</c:v>
                </c:pt>
                <c:pt idx="539">
                  <c:v>96125</c:v>
                </c:pt>
                <c:pt idx="540">
                  <c:v>89750</c:v>
                </c:pt>
                <c:pt idx="541">
                  <c:v>88875</c:v>
                </c:pt>
                <c:pt idx="542">
                  <c:v>86125</c:v>
                </c:pt>
                <c:pt idx="543">
                  <c:v>88125</c:v>
                </c:pt>
                <c:pt idx="544">
                  <c:v>91250</c:v>
                </c:pt>
                <c:pt idx="545">
                  <c:v>85500</c:v>
                </c:pt>
                <c:pt idx="546">
                  <c:v>80875</c:v>
                </c:pt>
                <c:pt idx="547">
                  <c:v>76125</c:v>
                </c:pt>
                <c:pt idx="548">
                  <c:v>77625</c:v>
                </c:pt>
                <c:pt idx="549">
                  <c:v>76125</c:v>
                </c:pt>
                <c:pt idx="550">
                  <c:v>77375</c:v>
                </c:pt>
                <c:pt idx="551">
                  <c:v>75625</c:v>
                </c:pt>
                <c:pt idx="552">
                  <c:v>78750</c:v>
                </c:pt>
                <c:pt idx="553">
                  <c:v>71125</c:v>
                </c:pt>
                <c:pt idx="554">
                  <c:v>73000</c:v>
                </c:pt>
                <c:pt idx="555">
                  <c:v>81125</c:v>
                </c:pt>
                <c:pt idx="556">
                  <c:v>78500</c:v>
                </c:pt>
                <c:pt idx="557">
                  <c:v>86500</c:v>
                </c:pt>
                <c:pt idx="558">
                  <c:v>85000</c:v>
                </c:pt>
                <c:pt idx="559">
                  <c:v>91125</c:v>
                </c:pt>
                <c:pt idx="560">
                  <c:v>87125</c:v>
                </c:pt>
                <c:pt idx="561">
                  <c:v>90750</c:v>
                </c:pt>
                <c:pt idx="562">
                  <c:v>102375</c:v>
                </c:pt>
                <c:pt idx="563">
                  <c:v>94125</c:v>
                </c:pt>
                <c:pt idx="564">
                  <c:v>92625</c:v>
                </c:pt>
                <c:pt idx="565">
                  <c:v>91750</c:v>
                </c:pt>
                <c:pt idx="566">
                  <c:v>86250</c:v>
                </c:pt>
                <c:pt idx="567">
                  <c:v>87125</c:v>
                </c:pt>
                <c:pt idx="568">
                  <c:v>89375</c:v>
                </c:pt>
                <c:pt idx="569">
                  <c:v>84125</c:v>
                </c:pt>
                <c:pt idx="570">
                  <c:v>88125</c:v>
                </c:pt>
                <c:pt idx="571">
                  <c:v>80250</c:v>
                </c:pt>
                <c:pt idx="572">
                  <c:v>79000</c:v>
                </c:pt>
                <c:pt idx="573">
                  <c:v>79875</c:v>
                </c:pt>
                <c:pt idx="574">
                  <c:v>75375</c:v>
                </c:pt>
                <c:pt idx="575">
                  <c:v>75250</c:v>
                </c:pt>
                <c:pt idx="576">
                  <c:v>73375</c:v>
                </c:pt>
                <c:pt idx="577">
                  <c:v>73000</c:v>
                </c:pt>
                <c:pt idx="578">
                  <c:v>72250</c:v>
                </c:pt>
                <c:pt idx="579">
                  <c:v>73750</c:v>
                </c:pt>
                <c:pt idx="580">
                  <c:v>70750</c:v>
                </c:pt>
                <c:pt idx="581">
                  <c:v>71250</c:v>
                </c:pt>
                <c:pt idx="582">
                  <c:v>69375</c:v>
                </c:pt>
                <c:pt idx="583">
                  <c:v>73375</c:v>
                </c:pt>
                <c:pt idx="584">
                  <c:v>72750</c:v>
                </c:pt>
                <c:pt idx="585">
                  <c:v>72375</c:v>
                </c:pt>
                <c:pt idx="586">
                  <c:v>67500</c:v>
                </c:pt>
                <c:pt idx="587">
                  <c:v>63875</c:v>
                </c:pt>
                <c:pt idx="588">
                  <c:v>64875</c:v>
                </c:pt>
                <c:pt idx="589">
                  <c:v>65875</c:v>
                </c:pt>
                <c:pt idx="590">
                  <c:v>67000</c:v>
                </c:pt>
                <c:pt idx="591">
                  <c:v>69125</c:v>
                </c:pt>
                <c:pt idx="592">
                  <c:v>66000</c:v>
                </c:pt>
                <c:pt idx="593">
                  <c:v>67000</c:v>
                </c:pt>
                <c:pt idx="594">
                  <c:v>64125</c:v>
                </c:pt>
                <c:pt idx="595">
                  <c:v>62375</c:v>
                </c:pt>
                <c:pt idx="596">
                  <c:v>66625</c:v>
                </c:pt>
                <c:pt idx="597">
                  <c:v>66375</c:v>
                </c:pt>
                <c:pt idx="598">
                  <c:v>66375</c:v>
                </c:pt>
                <c:pt idx="599">
                  <c:v>66750</c:v>
                </c:pt>
                <c:pt idx="600">
                  <c:v>66875</c:v>
                </c:pt>
                <c:pt idx="601">
                  <c:v>65375</c:v>
                </c:pt>
                <c:pt idx="602">
                  <c:v>66875</c:v>
                </c:pt>
                <c:pt idx="603">
                  <c:v>65125</c:v>
                </c:pt>
                <c:pt idx="604">
                  <c:v>65500</c:v>
                </c:pt>
                <c:pt idx="605">
                  <c:v>60875</c:v>
                </c:pt>
                <c:pt idx="606">
                  <c:v>60625</c:v>
                </c:pt>
                <c:pt idx="607">
                  <c:v>60625</c:v>
                </c:pt>
                <c:pt idx="608">
                  <c:v>58875</c:v>
                </c:pt>
                <c:pt idx="609">
                  <c:v>59125</c:v>
                </c:pt>
                <c:pt idx="610">
                  <c:v>58625</c:v>
                </c:pt>
                <c:pt idx="611">
                  <c:v>57625</c:v>
                </c:pt>
                <c:pt idx="612">
                  <c:v>55875</c:v>
                </c:pt>
                <c:pt idx="613">
                  <c:v>55875</c:v>
                </c:pt>
                <c:pt idx="614">
                  <c:v>57625</c:v>
                </c:pt>
                <c:pt idx="615">
                  <c:v>62250</c:v>
                </c:pt>
                <c:pt idx="616">
                  <c:v>60375</c:v>
                </c:pt>
                <c:pt idx="617">
                  <c:v>58250</c:v>
                </c:pt>
                <c:pt idx="618">
                  <c:v>57375</c:v>
                </c:pt>
                <c:pt idx="619">
                  <c:v>51875</c:v>
                </c:pt>
                <c:pt idx="620">
                  <c:v>53000</c:v>
                </c:pt>
                <c:pt idx="621">
                  <c:v>54000</c:v>
                </c:pt>
                <c:pt idx="622">
                  <c:v>56125</c:v>
                </c:pt>
                <c:pt idx="623">
                  <c:v>56125</c:v>
                </c:pt>
                <c:pt idx="624">
                  <c:v>56750</c:v>
                </c:pt>
                <c:pt idx="625">
                  <c:v>54125</c:v>
                </c:pt>
                <c:pt idx="626">
                  <c:v>54000</c:v>
                </c:pt>
                <c:pt idx="627">
                  <c:v>52750</c:v>
                </c:pt>
                <c:pt idx="628">
                  <c:v>53000</c:v>
                </c:pt>
                <c:pt idx="629">
                  <c:v>55625</c:v>
                </c:pt>
                <c:pt idx="630">
                  <c:v>57375</c:v>
                </c:pt>
                <c:pt idx="631">
                  <c:v>57125</c:v>
                </c:pt>
                <c:pt idx="632">
                  <c:v>56000</c:v>
                </c:pt>
                <c:pt idx="633">
                  <c:v>59125</c:v>
                </c:pt>
                <c:pt idx="634">
                  <c:v>58875</c:v>
                </c:pt>
                <c:pt idx="635">
                  <c:v>60875</c:v>
                </c:pt>
                <c:pt idx="636">
                  <c:v>58000</c:v>
                </c:pt>
                <c:pt idx="637">
                  <c:v>54625</c:v>
                </c:pt>
                <c:pt idx="638">
                  <c:v>54000</c:v>
                </c:pt>
                <c:pt idx="639">
                  <c:v>55000</c:v>
                </c:pt>
                <c:pt idx="640">
                  <c:v>54000</c:v>
                </c:pt>
                <c:pt idx="641">
                  <c:v>56125</c:v>
                </c:pt>
                <c:pt idx="642">
                  <c:v>57750</c:v>
                </c:pt>
                <c:pt idx="643">
                  <c:v>58625</c:v>
                </c:pt>
                <c:pt idx="644">
                  <c:v>58750</c:v>
                </c:pt>
                <c:pt idx="645">
                  <c:v>55125</c:v>
                </c:pt>
                <c:pt idx="646">
                  <c:v>55000</c:v>
                </c:pt>
                <c:pt idx="647">
                  <c:v>53250</c:v>
                </c:pt>
                <c:pt idx="648">
                  <c:v>52750</c:v>
                </c:pt>
                <c:pt idx="649">
                  <c:v>50750</c:v>
                </c:pt>
                <c:pt idx="650">
                  <c:v>53250</c:v>
                </c:pt>
                <c:pt idx="651">
                  <c:v>54750</c:v>
                </c:pt>
                <c:pt idx="652">
                  <c:v>54875</c:v>
                </c:pt>
                <c:pt idx="653">
                  <c:v>50875</c:v>
                </c:pt>
                <c:pt idx="654">
                  <c:v>47125</c:v>
                </c:pt>
                <c:pt idx="655">
                  <c:v>55750</c:v>
                </c:pt>
                <c:pt idx="656">
                  <c:v>58625</c:v>
                </c:pt>
                <c:pt idx="657">
                  <c:v>56875</c:v>
                </c:pt>
                <c:pt idx="658">
                  <c:v>54750</c:v>
                </c:pt>
                <c:pt idx="659">
                  <c:v>54750</c:v>
                </c:pt>
                <c:pt idx="660">
                  <c:v>53375</c:v>
                </c:pt>
                <c:pt idx="661">
                  <c:v>53250</c:v>
                </c:pt>
                <c:pt idx="662">
                  <c:v>54500</c:v>
                </c:pt>
                <c:pt idx="663">
                  <c:v>56125</c:v>
                </c:pt>
                <c:pt idx="664">
                  <c:v>56250</c:v>
                </c:pt>
                <c:pt idx="665">
                  <c:v>57375</c:v>
                </c:pt>
                <c:pt idx="666">
                  <c:v>57750</c:v>
                </c:pt>
                <c:pt idx="667">
                  <c:v>55375</c:v>
                </c:pt>
                <c:pt idx="668">
                  <c:v>58000</c:v>
                </c:pt>
                <c:pt idx="669">
                  <c:v>57375</c:v>
                </c:pt>
                <c:pt idx="670">
                  <c:v>59500</c:v>
                </c:pt>
                <c:pt idx="671">
                  <c:v>61875</c:v>
                </c:pt>
                <c:pt idx="672">
                  <c:v>63250</c:v>
                </c:pt>
                <c:pt idx="673">
                  <c:v>62875</c:v>
                </c:pt>
                <c:pt idx="674">
                  <c:v>63250</c:v>
                </c:pt>
                <c:pt idx="675">
                  <c:v>62000</c:v>
                </c:pt>
                <c:pt idx="676">
                  <c:v>62375</c:v>
                </c:pt>
                <c:pt idx="677">
                  <c:v>61500</c:v>
                </c:pt>
                <c:pt idx="678">
                  <c:v>61125</c:v>
                </c:pt>
                <c:pt idx="679">
                  <c:v>63500</c:v>
                </c:pt>
                <c:pt idx="680">
                  <c:v>65625</c:v>
                </c:pt>
                <c:pt idx="681">
                  <c:v>68125</c:v>
                </c:pt>
                <c:pt idx="682">
                  <c:v>69125</c:v>
                </c:pt>
                <c:pt idx="683">
                  <c:v>68875</c:v>
                </c:pt>
                <c:pt idx="684">
                  <c:v>66625</c:v>
                </c:pt>
                <c:pt idx="685">
                  <c:v>67875</c:v>
                </c:pt>
                <c:pt idx="686">
                  <c:v>70375</c:v>
                </c:pt>
                <c:pt idx="687">
                  <c:v>66875</c:v>
                </c:pt>
                <c:pt idx="688">
                  <c:v>70250</c:v>
                </c:pt>
                <c:pt idx="689">
                  <c:v>71625</c:v>
                </c:pt>
                <c:pt idx="690">
                  <c:v>78000</c:v>
                </c:pt>
                <c:pt idx="691">
                  <c:v>78500</c:v>
                </c:pt>
                <c:pt idx="692">
                  <c:v>85125</c:v>
                </c:pt>
                <c:pt idx="693">
                  <c:v>82750</c:v>
                </c:pt>
                <c:pt idx="694">
                  <c:v>77750</c:v>
                </c:pt>
                <c:pt idx="695">
                  <c:v>80250</c:v>
                </c:pt>
                <c:pt idx="696">
                  <c:v>83500</c:v>
                </c:pt>
                <c:pt idx="697">
                  <c:v>83125</c:v>
                </c:pt>
                <c:pt idx="698">
                  <c:v>81125</c:v>
                </c:pt>
                <c:pt idx="699">
                  <c:v>80125</c:v>
                </c:pt>
                <c:pt idx="700">
                  <c:v>83250</c:v>
                </c:pt>
                <c:pt idx="701">
                  <c:v>84875</c:v>
                </c:pt>
                <c:pt idx="702">
                  <c:v>79375</c:v>
                </c:pt>
                <c:pt idx="703">
                  <c:v>80125</c:v>
                </c:pt>
                <c:pt idx="704">
                  <c:v>84375</c:v>
                </c:pt>
                <c:pt idx="705">
                  <c:v>82875</c:v>
                </c:pt>
                <c:pt idx="706">
                  <c:v>81750</c:v>
                </c:pt>
                <c:pt idx="707">
                  <c:v>85750</c:v>
                </c:pt>
                <c:pt idx="708">
                  <c:v>86750</c:v>
                </c:pt>
                <c:pt idx="709">
                  <c:v>90500</c:v>
                </c:pt>
                <c:pt idx="710">
                  <c:v>93875</c:v>
                </c:pt>
                <c:pt idx="711">
                  <c:v>87125</c:v>
                </c:pt>
                <c:pt idx="712">
                  <c:v>88500</c:v>
                </c:pt>
                <c:pt idx="713">
                  <c:v>89625</c:v>
                </c:pt>
                <c:pt idx="714">
                  <c:v>89000</c:v>
                </c:pt>
                <c:pt idx="715">
                  <c:v>93375</c:v>
                </c:pt>
                <c:pt idx="716">
                  <c:v>92125</c:v>
                </c:pt>
                <c:pt idx="717">
                  <c:v>91125</c:v>
                </c:pt>
                <c:pt idx="718">
                  <c:v>89500</c:v>
                </c:pt>
                <c:pt idx="719">
                  <c:v>92000</c:v>
                </c:pt>
                <c:pt idx="720">
                  <c:v>91375</c:v>
                </c:pt>
                <c:pt idx="721">
                  <c:v>88250</c:v>
                </c:pt>
                <c:pt idx="722">
                  <c:v>86750</c:v>
                </c:pt>
                <c:pt idx="723">
                  <c:v>87375</c:v>
                </c:pt>
                <c:pt idx="724">
                  <c:v>83625</c:v>
                </c:pt>
                <c:pt idx="725">
                  <c:v>89000</c:v>
                </c:pt>
                <c:pt idx="726">
                  <c:v>91250</c:v>
                </c:pt>
                <c:pt idx="727">
                  <c:v>90625</c:v>
                </c:pt>
                <c:pt idx="728">
                  <c:v>93500</c:v>
                </c:pt>
                <c:pt idx="729">
                  <c:v>94375</c:v>
                </c:pt>
                <c:pt idx="730">
                  <c:v>97125</c:v>
                </c:pt>
                <c:pt idx="731">
                  <c:v>96500</c:v>
                </c:pt>
                <c:pt idx="732">
                  <c:v>91750</c:v>
                </c:pt>
                <c:pt idx="733">
                  <c:v>86375</c:v>
                </c:pt>
                <c:pt idx="734">
                  <c:v>91750</c:v>
                </c:pt>
                <c:pt idx="735">
                  <c:v>96625</c:v>
                </c:pt>
                <c:pt idx="736">
                  <c:v>93625</c:v>
                </c:pt>
                <c:pt idx="737">
                  <c:v>96625</c:v>
                </c:pt>
                <c:pt idx="738">
                  <c:v>93375</c:v>
                </c:pt>
                <c:pt idx="739">
                  <c:v>88875</c:v>
                </c:pt>
                <c:pt idx="740">
                  <c:v>89875</c:v>
                </c:pt>
                <c:pt idx="741">
                  <c:v>87250</c:v>
                </c:pt>
                <c:pt idx="742">
                  <c:v>81250</c:v>
                </c:pt>
                <c:pt idx="743">
                  <c:v>80250</c:v>
                </c:pt>
                <c:pt idx="744">
                  <c:v>77750</c:v>
                </c:pt>
                <c:pt idx="745">
                  <c:v>76250</c:v>
                </c:pt>
                <c:pt idx="746">
                  <c:v>76375</c:v>
                </c:pt>
                <c:pt idx="747">
                  <c:v>77000</c:v>
                </c:pt>
                <c:pt idx="748">
                  <c:v>77875</c:v>
                </c:pt>
                <c:pt idx="749">
                  <c:v>74375</c:v>
                </c:pt>
                <c:pt idx="750">
                  <c:v>75125</c:v>
                </c:pt>
                <c:pt idx="751">
                  <c:v>73500</c:v>
                </c:pt>
                <c:pt idx="752">
                  <c:v>72625</c:v>
                </c:pt>
                <c:pt idx="753">
                  <c:v>72625</c:v>
                </c:pt>
                <c:pt idx="754">
                  <c:v>67875</c:v>
                </c:pt>
                <c:pt idx="755">
                  <c:v>67375</c:v>
                </c:pt>
                <c:pt idx="756">
                  <c:v>64375</c:v>
                </c:pt>
                <c:pt idx="757">
                  <c:v>67625</c:v>
                </c:pt>
                <c:pt idx="758">
                  <c:v>62875</c:v>
                </c:pt>
                <c:pt idx="759">
                  <c:v>62375</c:v>
                </c:pt>
                <c:pt idx="760">
                  <c:v>59250</c:v>
                </c:pt>
                <c:pt idx="761">
                  <c:v>60375</c:v>
                </c:pt>
                <c:pt idx="762">
                  <c:v>61625</c:v>
                </c:pt>
                <c:pt idx="763">
                  <c:v>59875</c:v>
                </c:pt>
                <c:pt idx="764">
                  <c:v>58625</c:v>
                </c:pt>
                <c:pt idx="765">
                  <c:v>60375</c:v>
                </c:pt>
                <c:pt idx="766">
                  <c:v>64125</c:v>
                </c:pt>
                <c:pt idx="767">
                  <c:v>65250</c:v>
                </c:pt>
                <c:pt idx="768">
                  <c:v>61875</c:v>
                </c:pt>
                <c:pt idx="769">
                  <c:v>60500</c:v>
                </c:pt>
                <c:pt idx="770">
                  <c:v>59375</c:v>
                </c:pt>
                <c:pt idx="771">
                  <c:v>61500</c:v>
                </c:pt>
                <c:pt idx="772">
                  <c:v>59875</c:v>
                </c:pt>
                <c:pt idx="773">
                  <c:v>51625</c:v>
                </c:pt>
                <c:pt idx="774">
                  <c:v>50000</c:v>
                </c:pt>
                <c:pt idx="775">
                  <c:v>48250</c:v>
                </c:pt>
                <c:pt idx="776">
                  <c:v>47750</c:v>
                </c:pt>
                <c:pt idx="777">
                  <c:v>43750</c:v>
                </c:pt>
                <c:pt idx="778">
                  <c:v>43500</c:v>
                </c:pt>
                <c:pt idx="779">
                  <c:v>41375</c:v>
                </c:pt>
                <c:pt idx="780">
                  <c:v>39750</c:v>
                </c:pt>
                <c:pt idx="781">
                  <c:v>36750</c:v>
                </c:pt>
                <c:pt idx="782">
                  <c:v>40500</c:v>
                </c:pt>
                <c:pt idx="783">
                  <c:v>37375</c:v>
                </c:pt>
                <c:pt idx="784">
                  <c:v>38000</c:v>
                </c:pt>
                <c:pt idx="785">
                  <c:v>39750</c:v>
                </c:pt>
                <c:pt idx="786">
                  <c:v>36000</c:v>
                </c:pt>
                <c:pt idx="787">
                  <c:v>32500</c:v>
                </c:pt>
                <c:pt idx="788">
                  <c:v>30500</c:v>
                </c:pt>
                <c:pt idx="789">
                  <c:v>31000</c:v>
                </c:pt>
                <c:pt idx="790">
                  <c:v>30250</c:v>
                </c:pt>
                <c:pt idx="791">
                  <c:v>31125</c:v>
                </c:pt>
                <c:pt idx="792">
                  <c:v>34000</c:v>
                </c:pt>
                <c:pt idx="793">
                  <c:v>30500</c:v>
                </c:pt>
                <c:pt idx="794">
                  <c:v>30250</c:v>
                </c:pt>
                <c:pt idx="795">
                  <c:v>28875</c:v>
                </c:pt>
                <c:pt idx="796">
                  <c:v>27000</c:v>
                </c:pt>
                <c:pt idx="797">
                  <c:v>29625</c:v>
                </c:pt>
                <c:pt idx="798">
                  <c:v>27375</c:v>
                </c:pt>
                <c:pt idx="799">
                  <c:v>30875</c:v>
                </c:pt>
                <c:pt idx="800">
                  <c:v>28875</c:v>
                </c:pt>
                <c:pt idx="801">
                  <c:v>26000</c:v>
                </c:pt>
                <c:pt idx="802">
                  <c:v>27750</c:v>
                </c:pt>
                <c:pt idx="803">
                  <c:v>29500</c:v>
                </c:pt>
                <c:pt idx="804">
                  <c:v>29125</c:v>
                </c:pt>
                <c:pt idx="805">
                  <c:v>31000</c:v>
                </c:pt>
                <c:pt idx="806">
                  <c:v>32875</c:v>
                </c:pt>
                <c:pt idx="807">
                  <c:v>30625</c:v>
                </c:pt>
                <c:pt idx="808">
                  <c:v>30750</c:v>
                </c:pt>
                <c:pt idx="809">
                  <c:v>29250</c:v>
                </c:pt>
                <c:pt idx="810">
                  <c:v>31500</c:v>
                </c:pt>
                <c:pt idx="811">
                  <c:v>33125</c:v>
                </c:pt>
                <c:pt idx="812">
                  <c:v>30125</c:v>
                </c:pt>
                <c:pt idx="813">
                  <c:v>27375</c:v>
                </c:pt>
                <c:pt idx="814">
                  <c:v>27375</c:v>
                </c:pt>
                <c:pt idx="815">
                  <c:v>30125</c:v>
                </c:pt>
                <c:pt idx="816">
                  <c:v>28375</c:v>
                </c:pt>
                <c:pt idx="817">
                  <c:v>27875</c:v>
                </c:pt>
                <c:pt idx="818">
                  <c:v>21250</c:v>
                </c:pt>
                <c:pt idx="819">
                  <c:v>18000</c:v>
                </c:pt>
                <c:pt idx="820">
                  <c:v>22625</c:v>
                </c:pt>
                <c:pt idx="821">
                  <c:v>19250</c:v>
                </c:pt>
                <c:pt idx="822">
                  <c:v>18000</c:v>
                </c:pt>
                <c:pt idx="823">
                  <c:v>19875</c:v>
                </c:pt>
                <c:pt idx="824">
                  <c:v>16125</c:v>
                </c:pt>
                <c:pt idx="825">
                  <c:v>15750</c:v>
                </c:pt>
                <c:pt idx="826">
                  <c:v>18000</c:v>
                </c:pt>
                <c:pt idx="827">
                  <c:v>18875</c:v>
                </c:pt>
                <c:pt idx="828">
                  <c:v>17250</c:v>
                </c:pt>
                <c:pt idx="829">
                  <c:v>15875</c:v>
                </c:pt>
                <c:pt idx="830">
                  <c:v>12875</c:v>
                </c:pt>
                <c:pt idx="831">
                  <c:v>11750</c:v>
                </c:pt>
                <c:pt idx="832">
                  <c:v>9375</c:v>
                </c:pt>
                <c:pt idx="833">
                  <c:v>11250</c:v>
                </c:pt>
                <c:pt idx="834">
                  <c:v>9500</c:v>
                </c:pt>
                <c:pt idx="835">
                  <c:v>8250</c:v>
                </c:pt>
                <c:pt idx="836">
                  <c:v>9250</c:v>
                </c:pt>
                <c:pt idx="837">
                  <c:v>7375</c:v>
                </c:pt>
                <c:pt idx="838">
                  <c:v>7125</c:v>
                </c:pt>
                <c:pt idx="839">
                  <c:v>7250</c:v>
                </c:pt>
                <c:pt idx="840">
                  <c:v>8000</c:v>
                </c:pt>
                <c:pt idx="841">
                  <c:v>12500</c:v>
                </c:pt>
                <c:pt idx="842">
                  <c:v>16250</c:v>
                </c:pt>
                <c:pt idx="843">
                  <c:v>17625</c:v>
                </c:pt>
                <c:pt idx="844">
                  <c:v>19250</c:v>
                </c:pt>
                <c:pt idx="845">
                  <c:v>12875</c:v>
                </c:pt>
                <c:pt idx="846">
                  <c:v>23875</c:v>
                </c:pt>
                <c:pt idx="847">
                  <c:v>20750</c:v>
                </c:pt>
                <c:pt idx="848">
                  <c:v>22125</c:v>
                </c:pt>
                <c:pt idx="849">
                  <c:v>20375</c:v>
                </c:pt>
                <c:pt idx="850">
                  <c:v>20125</c:v>
                </c:pt>
                <c:pt idx="851">
                  <c:v>24875</c:v>
                </c:pt>
                <c:pt idx="852">
                  <c:v>23250</c:v>
                </c:pt>
                <c:pt idx="853">
                  <c:v>26125</c:v>
                </c:pt>
                <c:pt idx="854">
                  <c:v>23125</c:v>
                </c:pt>
                <c:pt idx="855">
                  <c:v>26875</c:v>
                </c:pt>
                <c:pt idx="856">
                  <c:v>28625</c:v>
                </c:pt>
                <c:pt idx="857">
                  <c:v>32875</c:v>
                </c:pt>
                <c:pt idx="858">
                  <c:v>34375</c:v>
                </c:pt>
                <c:pt idx="859">
                  <c:v>32875</c:v>
                </c:pt>
                <c:pt idx="860">
                  <c:v>32250</c:v>
                </c:pt>
                <c:pt idx="861">
                  <c:v>29375</c:v>
                </c:pt>
                <c:pt idx="862">
                  <c:v>31125</c:v>
                </c:pt>
                <c:pt idx="863">
                  <c:v>32375</c:v>
                </c:pt>
                <c:pt idx="864">
                  <c:v>30625</c:v>
                </c:pt>
                <c:pt idx="865">
                  <c:v>31875</c:v>
                </c:pt>
                <c:pt idx="866">
                  <c:v>35500</c:v>
                </c:pt>
                <c:pt idx="867">
                  <c:v>38125</c:v>
                </c:pt>
                <c:pt idx="868">
                  <c:v>38125</c:v>
                </c:pt>
                <c:pt idx="869">
                  <c:v>35125</c:v>
                </c:pt>
                <c:pt idx="870">
                  <c:v>33250</c:v>
                </c:pt>
                <c:pt idx="871">
                  <c:v>28375</c:v>
                </c:pt>
                <c:pt idx="872">
                  <c:v>33000</c:v>
                </c:pt>
                <c:pt idx="873">
                  <c:v>35000</c:v>
                </c:pt>
                <c:pt idx="874">
                  <c:v>29875</c:v>
                </c:pt>
                <c:pt idx="875">
                  <c:v>32750</c:v>
                </c:pt>
                <c:pt idx="876">
                  <c:v>35750</c:v>
                </c:pt>
                <c:pt idx="877">
                  <c:v>34500</c:v>
                </c:pt>
                <c:pt idx="878">
                  <c:v>33750</c:v>
                </c:pt>
                <c:pt idx="879">
                  <c:v>31000</c:v>
                </c:pt>
                <c:pt idx="880">
                  <c:v>30000</c:v>
                </c:pt>
                <c:pt idx="881">
                  <c:v>34375</c:v>
                </c:pt>
                <c:pt idx="882">
                  <c:v>37500</c:v>
                </c:pt>
                <c:pt idx="883">
                  <c:v>36375</c:v>
                </c:pt>
                <c:pt idx="884">
                  <c:v>37875</c:v>
                </c:pt>
                <c:pt idx="885">
                  <c:v>37000</c:v>
                </c:pt>
                <c:pt idx="886">
                  <c:v>39375</c:v>
                </c:pt>
                <c:pt idx="887">
                  <c:v>45750</c:v>
                </c:pt>
                <c:pt idx="888">
                  <c:v>45000</c:v>
                </c:pt>
                <c:pt idx="889">
                  <c:v>44250</c:v>
                </c:pt>
                <c:pt idx="890">
                  <c:v>44875</c:v>
                </c:pt>
                <c:pt idx="891">
                  <c:v>46375</c:v>
                </c:pt>
                <c:pt idx="892">
                  <c:v>45375</c:v>
                </c:pt>
                <c:pt idx="893">
                  <c:v>47000</c:v>
                </c:pt>
                <c:pt idx="894">
                  <c:v>47750</c:v>
                </c:pt>
                <c:pt idx="895">
                  <c:v>44875</c:v>
                </c:pt>
                <c:pt idx="896">
                  <c:v>47500</c:v>
                </c:pt>
                <c:pt idx="897">
                  <c:v>47125</c:v>
                </c:pt>
                <c:pt idx="898">
                  <c:v>44250</c:v>
                </c:pt>
                <c:pt idx="899">
                  <c:v>39250</c:v>
                </c:pt>
                <c:pt idx="900">
                  <c:v>38750</c:v>
                </c:pt>
                <c:pt idx="901">
                  <c:v>43750</c:v>
                </c:pt>
                <c:pt idx="902">
                  <c:v>43375</c:v>
                </c:pt>
                <c:pt idx="903">
                  <c:v>39250</c:v>
                </c:pt>
                <c:pt idx="904">
                  <c:v>38250</c:v>
                </c:pt>
                <c:pt idx="905">
                  <c:v>41375</c:v>
                </c:pt>
                <c:pt idx="906">
                  <c:v>42375</c:v>
                </c:pt>
                <c:pt idx="907">
                  <c:v>34125</c:v>
                </c:pt>
                <c:pt idx="908">
                  <c:v>30875</c:v>
                </c:pt>
                <c:pt idx="909">
                  <c:v>30125</c:v>
                </c:pt>
                <c:pt idx="910">
                  <c:v>34500</c:v>
                </c:pt>
                <c:pt idx="911">
                  <c:v>35750</c:v>
                </c:pt>
                <c:pt idx="912">
                  <c:v>34875</c:v>
                </c:pt>
                <c:pt idx="913">
                  <c:v>32875</c:v>
                </c:pt>
                <c:pt idx="914">
                  <c:v>33750</c:v>
                </c:pt>
                <c:pt idx="915">
                  <c:v>33250</c:v>
                </c:pt>
                <c:pt idx="916">
                  <c:v>32375</c:v>
                </c:pt>
                <c:pt idx="917">
                  <c:v>29125</c:v>
                </c:pt>
                <c:pt idx="918">
                  <c:v>26125</c:v>
                </c:pt>
                <c:pt idx="919">
                  <c:v>26000</c:v>
                </c:pt>
                <c:pt idx="920">
                  <c:v>26250</c:v>
                </c:pt>
                <c:pt idx="921">
                  <c:v>34000</c:v>
                </c:pt>
                <c:pt idx="922">
                  <c:v>31375</c:v>
                </c:pt>
                <c:pt idx="923">
                  <c:v>32875</c:v>
                </c:pt>
                <c:pt idx="924">
                  <c:v>32250</c:v>
                </c:pt>
                <c:pt idx="925">
                  <c:v>36250</c:v>
                </c:pt>
                <c:pt idx="926">
                  <c:v>34500</c:v>
                </c:pt>
                <c:pt idx="927">
                  <c:v>34500</c:v>
                </c:pt>
                <c:pt idx="928">
                  <c:v>32375</c:v>
                </c:pt>
                <c:pt idx="929">
                  <c:v>33625</c:v>
                </c:pt>
                <c:pt idx="930">
                  <c:v>35375</c:v>
                </c:pt>
                <c:pt idx="931">
                  <c:v>32750</c:v>
                </c:pt>
                <c:pt idx="932">
                  <c:v>35375</c:v>
                </c:pt>
                <c:pt idx="933">
                  <c:v>32875</c:v>
                </c:pt>
                <c:pt idx="934">
                  <c:v>30625</c:v>
                </c:pt>
                <c:pt idx="935">
                  <c:v>30250</c:v>
                </c:pt>
                <c:pt idx="936">
                  <c:v>27375</c:v>
                </c:pt>
                <c:pt idx="937">
                  <c:v>30750</c:v>
                </c:pt>
                <c:pt idx="938">
                  <c:v>34375</c:v>
                </c:pt>
                <c:pt idx="939">
                  <c:v>30250</c:v>
                </c:pt>
                <c:pt idx="940">
                  <c:v>31500</c:v>
                </c:pt>
                <c:pt idx="941">
                  <c:v>31250</c:v>
                </c:pt>
                <c:pt idx="942">
                  <c:v>32500</c:v>
                </c:pt>
                <c:pt idx="943">
                  <c:v>29500</c:v>
                </c:pt>
                <c:pt idx="944">
                  <c:v>33000</c:v>
                </c:pt>
                <c:pt idx="945">
                  <c:v>31000</c:v>
                </c:pt>
                <c:pt idx="946">
                  <c:v>33250</c:v>
                </c:pt>
                <c:pt idx="947">
                  <c:v>32250</c:v>
                </c:pt>
                <c:pt idx="948">
                  <c:v>28125</c:v>
                </c:pt>
                <c:pt idx="949">
                  <c:v>26875</c:v>
                </c:pt>
                <c:pt idx="950">
                  <c:v>22875</c:v>
                </c:pt>
                <c:pt idx="951">
                  <c:v>23875</c:v>
                </c:pt>
                <c:pt idx="952">
                  <c:v>23875</c:v>
                </c:pt>
                <c:pt idx="953">
                  <c:v>30625</c:v>
                </c:pt>
                <c:pt idx="954">
                  <c:v>33000</c:v>
                </c:pt>
                <c:pt idx="955">
                  <c:v>34000</c:v>
                </c:pt>
                <c:pt idx="956">
                  <c:v>35250</c:v>
                </c:pt>
                <c:pt idx="957">
                  <c:v>33125</c:v>
                </c:pt>
                <c:pt idx="958">
                  <c:v>33000</c:v>
                </c:pt>
                <c:pt idx="959">
                  <c:v>34500</c:v>
                </c:pt>
                <c:pt idx="960">
                  <c:v>26000</c:v>
                </c:pt>
                <c:pt idx="961">
                  <c:v>28250</c:v>
                </c:pt>
                <c:pt idx="962">
                  <c:v>31125</c:v>
                </c:pt>
                <c:pt idx="963">
                  <c:v>31125</c:v>
                </c:pt>
                <c:pt idx="964">
                  <c:v>30250</c:v>
                </c:pt>
                <c:pt idx="965">
                  <c:v>29000</c:v>
                </c:pt>
                <c:pt idx="966">
                  <c:v>26625</c:v>
                </c:pt>
                <c:pt idx="967">
                  <c:v>26875</c:v>
                </c:pt>
                <c:pt idx="968">
                  <c:v>25625</c:v>
                </c:pt>
                <c:pt idx="969">
                  <c:v>23500</c:v>
                </c:pt>
                <c:pt idx="970">
                  <c:v>24750</c:v>
                </c:pt>
                <c:pt idx="971">
                  <c:v>25250</c:v>
                </c:pt>
                <c:pt idx="972">
                  <c:v>26375</c:v>
                </c:pt>
                <c:pt idx="973">
                  <c:v>26875</c:v>
                </c:pt>
                <c:pt idx="974">
                  <c:v>27000</c:v>
                </c:pt>
                <c:pt idx="975">
                  <c:v>24125</c:v>
                </c:pt>
                <c:pt idx="976">
                  <c:v>23875</c:v>
                </c:pt>
                <c:pt idx="977">
                  <c:v>25250</c:v>
                </c:pt>
                <c:pt idx="978">
                  <c:v>20375</c:v>
                </c:pt>
                <c:pt idx="979">
                  <c:v>18500</c:v>
                </c:pt>
                <c:pt idx="980">
                  <c:v>18875</c:v>
                </c:pt>
                <c:pt idx="981">
                  <c:v>19250</c:v>
                </c:pt>
                <c:pt idx="982">
                  <c:v>18250</c:v>
                </c:pt>
                <c:pt idx="983">
                  <c:v>17000</c:v>
                </c:pt>
                <c:pt idx="984">
                  <c:v>17750</c:v>
                </c:pt>
                <c:pt idx="985">
                  <c:v>17125</c:v>
                </c:pt>
                <c:pt idx="986">
                  <c:v>20500</c:v>
                </c:pt>
                <c:pt idx="987">
                  <c:v>16750</c:v>
                </c:pt>
                <c:pt idx="988">
                  <c:v>16000</c:v>
                </c:pt>
                <c:pt idx="989">
                  <c:v>16375</c:v>
                </c:pt>
                <c:pt idx="990">
                  <c:v>17000</c:v>
                </c:pt>
                <c:pt idx="991">
                  <c:v>16125</c:v>
                </c:pt>
                <c:pt idx="992">
                  <c:v>19375</c:v>
                </c:pt>
                <c:pt idx="993">
                  <c:v>17875</c:v>
                </c:pt>
                <c:pt idx="994">
                  <c:v>20625</c:v>
                </c:pt>
                <c:pt idx="995">
                  <c:v>16500</c:v>
                </c:pt>
                <c:pt idx="996">
                  <c:v>15500</c:v>
                </c:pt>
                <c:pt idx="997">
                  <c:v>18000</c:v>
                </c:pt>
                <c:pt idx="998">
                  <c:v>16000</c:v>
                </c:pt>
                <c:pt idx="999">
                  <c:v>12625</c:v>
                </c:pt>
                <c:pt idx="1000">
                  <c:v>10625</c:v>
                </c:pt>
                <c:pt idx="1001">
                  <c:v>12500</c:v>
                </c:pt>
                <c:pt idx="1002">
                  <c:v>10875</c:v>
                </c:pt>
                <c:pt idx="1003">
                  <c:v>11625</c:v>
                </c:pt>
                <c:pt idx="1004">
                  <c:v>15250</c:v>
                </c:pt>
                <c:pt idx="1005">
                  <c:v>14375</c:v>
                </c:pt>
                <c:pt idx="1006">
                  <c:v>17375</c:v>
                </c:pt>
                <c:pt idx="1007">
                  <c:v>15750</c:v>
                </c:pt>
                <c:pt idx="1008">
                  <c:v>17875</c:v>
                </c:pt>
                <c:pt idx="1009">
                  <c:v>18250</c:v>
                </c:pt>
                <c:pt idx="1010">
                  <c:v>15250</c:v>
                </c:pt>
                <c:pt idx="1011">
                  <c:v>13250</c:v>
                </c:pt>
                <c:pt idx="1012">
                  <c:v>12250</c:v>
                </c:pt>
                <c:pt idx="1013">
                  <c:v>9500</c:v>
                </c:pt>
                <c:pt idx="1014">
                  <c:v>11375</c:v>
                </c:pt>
                <c:pt idx="1015">
                  <c:v>14625</c:v>
                </c:pt>
                <c:pt idx="1016">
                  <c:v>15125</c:v>
                </c:pt>
                <c:pt idx="1017">
                  <c:v>12875</c:v>
                </c:pt>
                <c:pt idx="1018">
                  <c:v>14750</c:v>
                </c:pt>
                <c:pt idx="1019">
                  <c:v>19000</c:v>
                </c:pt>
                <c:pt idx="1020">
                  <c:v>19375</c:v>
                </c:pt>
                <c:pt idx="1021">
                  <c:v>23250</c:v>
                </c:pt>
                <c:pt idx="1022">
                  <c:v>28250</c:v>
                </c:pt>
                <c:pt idx="1023">
                  <c:v>28250</c:v>
                </c:pt>
                <c:pt idx="1024">
                  <c:v>40500</c:v>
                </c:pt>
                <c:pt idx="1025">
                  <c:v>39250</c:v>
                </c:pt>
                <c:pt idx="1026">
                  <c:v>45500</c:v>
                </c:pt>
                <c:pt idx="1027">
                  <c:v>44750</c:v>
                </c:pt>
                <c:pt idx="1028">
                  <c:v>43625</c:v>
                </c:pt>
                <c:pt idx="1029">
                  <c:v>43875</c:v>
                </c:pt>
                <c:pt idx="1030">
                  <c:v>47250</c:v>
                </c:pt>
                <c:pt idx="1031">
                  <c:v>49625</c:v>
                </c:pt>
                <c:pt idx="1032">
                  <c:v>52500</c:v>
                </c:pt>
                <c:pt idx="1033">
                  <c:v>47625</c:v>
                </c:pt>
                <c:pt idx="1034">
                  <c:v>45625</c:v>
                </c:pt>
                <c:pt idx="1035">
                  <c:v>47250</c:v>
                </c:pt>
                <c:pt idx="1036">
                  <c:v>41875</c:v>
                </c:pt>
                <c:pt idx="1037">
                  <c:v>35000</c:v>
                </c:pt>
                <c:pt idx="1038">
                  <c:v>35625</c:v>
                </c:pt>
                <c:pt idx="1039">
                  <c:v>33000</c:v>
                </c:pt>
                <c:pt idx="1040">
                  <c:v>32375</c:v>
                </c:pt>
                <c:pt idx="1041">
                  <c:v>29250</c:v>
                </c:pt>
                <c:pt idx="1042">
                  <c:v>20375</c:v>
                </c:pt>
                <c:pt idx="1043">
                  <c:v>17375</c:v>
                </c:pt>
                <c:pt idx="1044">
                  <c:v>16375</c:v>
                </c:pt>
                <c:pt idx="1045">
                  <c:v>17375</c:v>
                </c:pt>
                <c:pt idx="1046">
                  <c:v>19125</c:v>
                </c:pt>
                <c:pt idx="1047">
                  <c:v>16125</c:v>
                </c:pt>
                <c:pt idx="1048">
                  <c:v>15375</c:v>
                </c:pt>
                <c:pt idx="1049">
                  <c:v>17875</c:v>
                </c:pt>
                <c:pt idx="1050">
                  <c:v>17500</c:v>
                </c:pt>
                <c:pt idx="1051">
                  <c:v>18250</c:v>
                </c:pt>
                <c:pt idx="1052">
                  <c:v>25125</c:v>
                </c:pt>
                <c:pt idx="1053">
                  <c:v>22000</c:v>
                </c:pt>
                <c:pt idx="1054">
                  <c:v>10500</c:v>
                </c:pt>
                <c:pt idx="1055">
                  <c:v>12625</c:v>
                </c:pt>
                <c:pt idx="1056">
                  <c:v>13250</c:v>
                </c:pt>
                <c:pt idx="1057">
                  <c:v>13750</c:v>
                </c:pt>
                <c:pt idx="1058">
                  <c:v>14875</c:v>
                </c:pt>
                <c:pt idx="1059">
                  <c:v>15500</c:v>
                </c:pt>
                <c:pt idx="1060">
                  <c:v>17125</c:v>
                </c:pt>
                <c:pt idx="1061">
                  <c:v>14250</c:v>
                </c:pt>
                <c:pt idx="1062">
                  <c:v>15750</c:v>
                </c:pt>
                <c:pt idx="1063">
                  <c:v>14125</c:v>
                </c:pt>
                <c:pt idx="1064">
                  <c:v>12875</c:v>
                </c:pt>
                <c:pt idx="1065">
                  <c:v>13000</c:v>
                </c:pt>
                <c:pt idx="1066">
                  <c:v>13500</c:v>
                </c:pt>
                <c:pt idx="1067">
                  <c:v>12875</c:v>
                </c:pt>
                <c:pt idx="1068">
                  <c:v>10000</c:v>
                </c:pt>
                <c:pt idx="1069">
                  <c:v>7875</c:v>
                </c:pt>
                <c:pt idx="1070">
                  <c:v>5500</c:v>
                </c:pt>
                <c:pt idx="1071">
                  <c:v>6250</c:v>
                </c:pt>
                <c:pt idx="1072">
                  <c:v>8125</c:v>
                </c:pt>
                <c:pt idx="1073">
                  <c:v>10000</c:v>
                </c:pt>
                <c:pt idx="1074">
                  <c:v>12500</c:v>
                </c:pt>
                <c:pt idx="1075">
                  <c:v>17500</c:v>
                </c:pt>
                <c:pt idx="1076">
                  <c:v>22125</c:v>
                </c:pt>
                <c:pt idx="1077">
                  <c:v>21125</c:v>
                </c:pt>
                <c:pt idx="1078">
                  <c:v>18625</c:v>
                </c:pt>
                <c:pt idx="1079">
                  <c:v>16375</c:v>
                </c:pt>
                <c:pt idx="1080">
                  <c:v>14625</c:v>
                </c:pt>
                <c:pt idx="1081">
                  <c:v>17625</c:v>
                </c:pt>
                <c:pt idx="1082">
                  <c:v>15500</c:v>
                </c:pt>
                <c:pt idx="1083">
                  <c:v>16750</c:v>
                </c:pt>
                <c:pt idx="1084">
                  <c:v>15875</c:v>
                </c:pt>
                <c:pt idx="1085">
                  <c:v>19625</c:v>
                </c:pt>
                <c:pt idx="1086">
                  <c:v>18625</c:v>
                </c:pt>
                <c:pt idx="1087">
                  <c:v>19875</c:v>
                </c:pt>
                <c:pt idx="1088">
                  <c:v>18250</c:v>
                </c:pt>
                <c:pt idx="1089">
                  <c:v>20625</c:v>
                </c:pt>
                <c:pt idx="1090">
                  <c:v>20625</c:v>
                </c:pt>
                <c:pt idx="1091">
                  <c:v>22000</c:v>
                </c:pt>
                <c:pt idx="1092">
                  <c:v>24375</c:v>
                </c:pt>
                <c:pt idx="1093">
                  <c:v>23500</c:v>
                </c:pt>
                <c:pt idx="1094">
                  <c:v>21500</c:v>
                </c:pt>
                <c:pt idx="1095">
                  <c:v>18250</c:v>
                </c:pt>
                <c:pt idx="1096">
                  <c:v>17625</c:v>
                </c:pt>
                <c:pt idx="1097">
                  <c:v>15125</c:v>
                </c:pt>
                <c:pt idx="1098">
                  <c:v>13375</c:v>
                </c:pt>
                <c:pt idx="1099">
                  <c:v>13625</c:v>
                </c:pt>
                <c:pt idx="1100">
                  <c:v>12375</c:v>
                </c:pt>
                <c:pt idx="1101">
                  <c:v>13125</c:v>
                </c:pt>
                <c:pt idx="1102">
                  <c:v>15750</c:v>
                </c:pt>
                <c:pt idx="1103">
                  <c:v>15125</c:v>
                </c:pt>
                <c:pt idx="1104">
                  <c:v>14625</c:v>
                </c:pt>
                <c:pt idx="1105">
                  <c:v>17625</c:v>
                </c:pt>
                <c:pt idx="1106">
                  <c:v>16250</c:v>
                </c:pt>
                <c:pt idx="1107">
                  <c:v>13625</c:v>
                </c:pt>
                <c:pt idx="1108">
                  <c:v>15250</c:v>
                </c:pt>
                <c:pt idx="1109">
                  <c:v>16625</c:v>
                </c:pt>
                <c:pt idx="1110">
                  <c:v>13875</c:v>
                </c:pt>
                <c:pt idx="1111">
                  <c:v>15375</c:v>
                </c:pt>
                <c:pt idx="1112">
                  <c:v>17250</c:v>
                </c:pt>
                <c:pt idx="1113">
                  <c:v>13375</c:v>
                </c:pt>
                <c:pt idx="1114">
                  <c:v>12250</c:v>
                </c:pt>
                <c:pt idx="1115">
                  <c:v>10000</c:v>
                </c:pt>
                <c:pt idx="1116">
                  <c:v>4750</c:v>
                </c:pt>
                <c:pt idx="1117">
                  <c:v>6250</c:v>
                </c:pt>
                <c:pt idx="1118">
                  <c:v>5125</c:v>
                </c:pt>
                <c:pt idx="1119">
                  <c:v>5000</c:v>
                </c:pt>
                <c:pt idx="1120">
                  <c:v>5625</c:v>
                </c:pt>
                <c:pt idx="1121">
                  <c:v>6375</c:v>
                </c:pt>
                <c:pt idx="1122">
                  <c:v>7750</c:v>
                </c:pt>
                <c:pt idx="1123">
                  <c:v>7375</c:v>
                </c:pt>
                <c:pt idx="1124">
                  <c:v>8875</c:v>
                </c:pt>
                <c:pt idx="1125">
                  <c:v>7875</c:v>
                </c:pt>
                <c:pt idx="1126">
                  <c:v>7875</c:v>
                </c:pt>
                <c:pt idx="1127">
                  <c:v>5375</c:v>
                </c:pt>
                <c:pt idx="1128">
                  <c:v>7625</c:v>
                </c:pt>
                <c:pt idx="1129">
                  <c:v>9125</c:v>
                </c:pt>
                <c:pt idx="1130">
                  <c:v>7750</c:v>
                </c:pt>
                <c:pt idx="1131">
                  <c:v>10875</c:v>
                </c:pt>
                <c:pt idx="1132">
                  <c:v>13250</c:v>
                </c:pt>
                <c:pt idx="1133">
                  <c:v>10375</c:v>
                </c:pt>
                <c:pt idx="1134">
                  <c:v>10625</c:v>
                </c:pt>
                <c:pt idx="1135">
                  <c:v>11125</c:v>
                </c:pt>
                <c:pt idx="1136">
                  <c:v>14250</c:v>
                </c:pt>
                <c:pt idx="1137">
                  <c:v>12625</c:v>
                </c:pt>
                <c:pt idx="1138">
                  <c:v>13375</c:v>
                </c:pt>
                <c:pt idx="1139">
                  <c:v>13500</c:v>
                </c:pt>
                <c:pt idx="1140">
                  <c:v>9125</c:v>
                </c:pt>
                <c:pt idx="1141">
                  <c:v>10750</c:v>
                </c:pt>
                <c:pt idx="1142">
                  <c:v>11375</c:v>
                </c:pt>
                <c:pt idx="1143">
                  <c:v>9875</c:v>
                </c:pt>
                <c:pt idx="1144">
                  <c:v>7375</c:v>
                </c:pt>
                <c:pt idx="1145">
                  <c:v>6875</c:v>
                </c:pt>
                <c:pt idx="1146">
                  <c:v>6375</c:v>
                </c:pt>
                <c:pt idx="1147">
                  <c:v>4500</c:v>
                </c:pt>
                <c:pt idx="1148">
                  <c:v>5000</c:v>
                </c:pt>
                <c:pt idx="1149">
                  <c:v>3750</c:v>
                </c:pt>
                <c:pt idx="1150">
                  <c:v>3375</c:v>
                </c:pt>
                <c:pt idx="1151">
                  <c:v>0</c:v>
                </c:pt>
                <c:pt idx="1152">
                  <c:v>750</c:v>
                </c:pt>
                <c:pt idx="1153">
                  <c:v>1250</c:v>
                </c:pt>
                <c:pt idx="1154">
                  <c:v>375</c:v>
                </c:pt>
                <c:pt idx="1155">
                  <c:v>2375</c:v>
                </c:pt>
                <c:pt idx="1156">
                  <c:v>-375</c:v>
                </c:pt>
                <c:pt idx="1157">
                  <c:v>3125</c:v>
                </c:pt>
                <c:pt idx="1158">
                  <c:v>3500</c:v>
                </c:pt>
                <c:pt idx="1159">
                  <c:v>3500</c:v>
                </c:pt>
                <c:pt idx="1160">
                  <c:v>5250</c:v>
                </c:pt>
                <c:pt idx="1161">
                  <c:v>8375</c:v>
                </c:pt>
                <c:pt idx="1162">
                  <c:v>8125</c:v>
                </c:pt>
                <c:pt idx="1163">
                  <c:v>7875</c:v>
                </c:pt>
                <c:pt idx="1164">
                  <c:v>9000</c:v>
                </c:pt>
                <c:pt idx="1165">
                  <c:v>8875</c:v>
                </c:pt>
                <c:pt idx="1166">
                  <c:v>8625</c:v>
                </c:pt>
                <c:pt idx="1167">
                  <c:v>9125</c:v>
                </c:pt>
                <c:pt idx="1168">
                  <c:v>7125</c:v>
                </c:pt>
                <c:pt idx="1169">
                  <c:v>9500</c:v>
                </c:pt>
                <c:pt idx="1170">
                  <c:v>9250</c:v>
                </c:pt>
                <c:pt idx="1171">
                  <c:v>10000</c:v>
                </c:pt>
                <c:pt idx="1172">
                  <c:v>9375</c:v>
                </c:pt>
                <c:pt idx="1173">
                  <c:v>8500</c:v>
                </c:pt>
                <c:pt idx="1174">
                  <c:v>7250</c:v>
                </c:pt>
                <c:pt idx="1175">
                  <c:v>4875</c:v>
                </c:pt>
                <c:pt idx="1176">
                  <c:v>4375</c:v>
                </c:pt>
                <c:pt idx="1177">
                  <c:v>4250</c:v>
                </c:pt>
                <c:pt idx="1178">
                  <c:v>4000</c:v>
                </c:pt>
                <c:pt idx="1179">
                  <c:v>3375</c:v>
                </c:pt>
                <c:pt idx="1180">
                  <c:v>4625</c:v>
                </c:pt>
                <c:pt idx="1181">
                  <c:v>7500</c:v>
                </c:pt>
                <c:pt idx="1182">
                  <c:v>7125</c:v>
                </c:pt>
                <c:pt idx="1183">
                  <c:v>6875</c:v>
                </c:pt>
                <c:pt idx="1184">
                  <c:v>7875</c:v>
                </c:pt>
                <c:pt idx="1185">
                  <c:v>5000</c:v>
                </c:pt>
                <c:pt idx="1186">
                  <c:v>4125</c:v>
                </c:pt>
                <c:pt idx="1187">
                  <c:v>2000</c:v>
                </c:pt>
                <c:pt idx="1188">
                  <c:v>1000</c:v>
                </c:pt>
                <c:pt idx="1189">
                  <c:v>750</c:v>
                </c:pt>
                <c:pt idx="1190">
                  <c:v>1500</c:v>
                </c:pt>
                <c:pt idx="1191">
                  <c:v>1125</c:v>
                </c:pt>
                <c:pt idx="1192">
                  <c:v>500</c:v>
                </c:pt>
                <c:pt idx="1193">
                  <c:v>1250</c:v>
                </c:pt>
                <c:pt idx="1194">
                  <c:v>2000</c:v>
                </c:pt>
                <c:pt idx="1195">
                  <c:v>3000</c:v>
                </c:pt>
                <c:pt idx="1196">
                  <c:v>3750</c:v>
                </c:pt>
                <c:pt idx="1197">
                  <c:v>5125</c:v>
                </c:pt>
                <c:pt idx="1198">
                  <c:v>6875</c:v>
                </c:pt>
                <c:pt idx="1199">
                  <c:v>9500</c:v>
                </c:pt>
                <c:pt idx="1200">
                  <c:v>9375</c:v>
                </c:pt>
                <c:pt idx="1201">
                  <c:v>8875</c:v>
                </c:pt>
                <c:pt idx="1202">
                  <c:v>9125</c:v>
                </c:pt>
                <c:pt idx="1203">
                  <c:v>8375</c:v>
                </c:pt>
                <c:pt idx="1204">
                  <c:v>9750</c:v>
                </c:pt>
                <c:pt idx="1205">
                  <c:v>9875</c:v>
                </c:pt>
                <c:pt idx="1206">
                  <c:v>9125</c:v>
                </c:pt>
                <c:pt idx="1207">
                  <c:v>9875</c:v>
                </c:pt>
                <c:pt idx="1208">
                  <c:v>10000</c:v>
                </c:pt>
                <c:pt idx="1209">
                  <c:v>10750</c:v>
                </c:pt>
                <c:pt idx="1210">
                  <c:v>11125</c:v>
                </c:pt>
                <c:pt idx="1211">
                  <c:v>9750</c:v>
                </c:pt>
                <c:pt idx="1212">
                  <c:v>-750</c:v>
                </c:pt>
                <c:pt idx="1213">
                  <c:v>750</c:v>
                </c:pt>
                <c:pt idx="1214">
                  <c:v>2375</c:v>
                </c:pt>
                <c:pt idx="1215">
                  <c:v>2875</c:v>
                </c:pt>
                <c:pt idx="1216">
                  <c:v>4125</c:v>
                </c:pt>
                <c:pt idx="1217">
                  <c:v>5750</c:v>
                </c:pt>
                <c:pt idx="1218">
                  <c:v>6000</c:v>
                </c:pt>
                <c:pt idx="1219">
                  <c:v>3375</c:v>
                </c:pt>
                <c:pt idx="1220">
                  <c:v>4750</c:v>
                </c:pt>
                <c:pt idx="1221">
                  <c:v>12000</c:v>
                </c:pt>
                <c:pt idx="1222">
                  <c:v>12000</c:v>
                </c:pt>
                <c:pt idx="1223">
                  <c:v>15000</c:v>
                </c:pt>
                <c:pt idx="1224">
                  <c:v>15625</c:v>
                </c:pt>
                <c:pt idx="1225">
                  <c:v>17375</c:v>
                </c:pt>
                <c:pt idx="1226">
                  <c:v>20625</c:v>
                </c:pt>
                <c:pt idx="1227">
                  <c:v>20125</c:v>
                </c:pt>
                <c:pt idx="1228">
                  <c:v>11875</c:v>
                </c:pt>
                <c:pt idx="1229">
                  <c:v>15375</c:v>
                </c:pt>
                <c:pt idx="1230">
                  <c:v>15250</c:v>
                </c:pt>
                <c:pt idx="1231">
                  <c:v>14250</c:v>
                </c:pt>
                <c:pt idx="1232">
                  <c:v>18500</c:v>
                </c:pt>
                <c:pt idx="1233">
                  <c:v>19500</c:v>
                </c:pt>
                <c:pt idx="1234">
                  <c:v>18625</c:v>
                </c:pt>
                <c:pt idx="1235">
                  <c:v>13500</c:v>
                </c:pt>
                <c:pt idx="1236">
                  <c:v>12375</c:v>
                </c:pt>
                <c:pt idx="1237">
                  <c:v>10625</c:v>
                </c:pt>
                <c:pt idx="1238">
                  <c:v>12750</c:v>
                </c:pt>
                <c:pt idx="1239">
                  <c:v>9875</c:v>
                </c:pt>
                <c:pt idx="1240">
                  <c:v>14125</c:v>
                </c:pt>
                <c:pt idx="1241">
                  <c:v>11125</c:v>
                </c:pt>
                <c:pt idx="1242">
                  <c:v>16750</c:v>
                </c:pt>
                <c:pt idx="1243">
                  <c:v>18250</c:v>
                </c:pt>
                <c:pt idx="1244">
                  <c:v>19125</c:v>
                </c:pt>
                <c:pt idx="1245">
                  <c:v>21500</c:v>
                </c:pt>
                <c:pt idx="1246">
                  <c:v>22750</c:v>
                </c:pt>
                <c:pt idx="1247">
                  <c:v>17625</c:v>
                </c:pt>
                <c:pt idx="1248">
                  <c:v>19500</c:v>
                </c:pt>
                <c:pt idx="1249">
                  <c:v>21625</c:v>
                </c:pt>
                <c:pt idx="1250">
                  <c:v>23250</c:v>
                </c:pt>
                <c:pt idx="1251">
                  <c:v>25125</c:v>
                </c:pt>
                <c:pt idx="1252">
                  <c:v>27000</c:v>
                </c:pt>
                <c:pt idx="1253">
                  <c:v>29125</c:v>
                </c:pt>
                <c:pt idx="1254">
                  <c:v>26000</c:v>
                </c:pt>
                <c:pt idx="1255">
                  <c:v>29375</c:v>
                </c:pt>
                <c:pt idx="1256">
                  <c:v>31500</c:v>
                </c:pt>
                <c:pt idx="1257">
                  <c:v>31875</c:v>
                </c:pt>
                <c:pt idx="1258">
                  <c:v>36750</c:v>
                </c:pt>
                <c:pt idx="1259">
                  <c:v>36625</c:v>
                </c:pt>
                <c:pt idx="1260">
                  <c:v>39375</c:v>
                </c:pt>
                <c:pt idx="1261">
                  <c:v>36125</c:v>
                </c:pt>
                <c:pt idx="1262">
                  <c:v>34375</c:v>
                </c:pt>
                <c:pt idx="1263">
                  <c:v>37750</c:v>
                </c:pt>
                <c:pt idx="1264">
                  <c:v>40000</c:v>
                </c:pt>
                <c:pt idx="1265">
                  <c:v>38625</c:v>
                </c:pt>
                <c:pt idx="1266">
                  <c:v>35500</c:v>
                </c:pt>
                <c:pt idx="1267">
                  <c:v>40250</c:v>
                </c:pt>
                <c:pt idx="1268">
                  <c:v>34625</c:v>
                </c:pt>
                <c:pt idx="1269">
                  <c:v>21875</c:v>
                </c:pt>
                <c:pt idx="1270">
                  <c:v>21750</c:v>
                </c:pt>
                <c:pt idx="1271">
                  <c:v>17125</c:v>
                </c:pt>
                <c:pt idx="1272">
                  <c:v>14125</c:v>
                </c:pt>
                <c:pt idx="1273">
                  <c:v>15500</c:v>
                </c:pt>
                <c:pt idx="1274">
                  <c:v>16000</c:v>
                </c:pt>
                <c:pt idx="1275">
                  <c:v>10125</c:v>
                </c:pt>
                <c:pt idx="1276">
                  <c:v>3000</c:v>
                </c:pt>
                <c:pt idx="1277">
                  <c:v>-250</c:v>
                </c:pt>
                <c:pt idx="1278">
                  <c:v>-6000</c:v>
                </c:pt>
                <c:pt idx="1279">
                  <c:v>-7750</c:v>
                </c:pt>
                <c:pt idx="1280">
                  <c:v>-9000</c:v>
                </c:pt>
                <c:pt idx="1281">
                  <c:v>-2375</c:v>
                </c:pt>
                <c:pt idx="1282">
                  <c:v>-5125</c:v>
                </c:pt>
                <c:pt idx="1283">
                  <c:v>-1625</c:v>
                </c:pt>
                <c:pt idx="1284">
                  <c:v>3250</c:v>
                </c:pt>
                <c:pt idx="1285">
                  <c:v>1375</c:v>
                </c:pt>
                <c:pt idx="1286">
                  <c:v>-1250</c:v>
                </c:pt>
                <c:pt idx="1287">
                  <c:v>-125</c:v>
                </c:pt>
                <c:pt idx="1288">
                  <c:v>-6000</c:v>
                </c:pt>
                <c:pt idx="1289">
                  <c:v>-10000</c:v>
                </c:pt>
                <c:pt idx="1290">
                  <c:v>-10250</c:v>
                </c:pt>
                <c:pt idx="1291">
                  <c:v>-10125</c:v>
                </c:pt>
                <c:pt idx="1292">
                  <c:v>-10875</c:v>
                </c:pt>
                <c:pt idx="1293">
                  <c:v>-12000</c:v>
                </c:pt>
                <c:pt idx="1294">
                  <c:v>-9750</c:v>
                </c:pt>
                <c:pt idx="1295">
                  <c:v>-12875</c:v>
                </c:pt>
                <c:pt idx="1296">
                  <c:v>-11000</c:v>
                </c:pt>
                <c:pt idx="1297">
                  <c:v>-13625</c:v>
                </c:pt>
                <c:pt idx="1298">
                  <c:v>-17000</c:v>
                </c:pt>
                <c:pt idx="1299">
                  <c:v>-15250</c:v>
                </c:pt>
                <c:pt idx="1300">
                  <c:v>-16500</c:v>
                </c:pt>
                <c:pt idx="1301">
                  <c:v>-16375</c:v>
                </c:pt>
                <c:pt idx="1302">
                  <c:v>-15375</c:v>
                </c:pt>
                <c:pt idx="1303">
                  <c:v>-15625</c:v>
                </c:pt>
                <c:pt idx="1304">
                  <c:v>-15375</c:v>
                </c:pt>
                <c:pt idx="1305">
                  <c:v>-17000</c:v>
                </c:pt>
                <c:pt idx="1306">
                  <c:v>-18375</c:v>
                </c:pt>
                <c:pt idx="1307">
                  <c:v>-14125</c:v>
                </c:pt>
                <c:pt idx="1308">
                  <c:v>-13750</c:v>
                </c:pt>
                <c:pt idx="1309">
                  <c:v>-13500</c:v>
                </c:pt>
                <c:pt idx="1310">
                  <c:v>-12375</c:v>
                </c:pt>
                <c:pt idx="1311">
                  <c:v>-10500</c:v>
                </c:pt>
                <c:pt idx="1312">
                  <c:v>-11125</c:v>
                </c:pt>
                <c:pt idx="1313">
                  <c:v>-13125</c:v>
                </c:pt>
                <c:pt idx="1314">
                  <c:v>-14250</c:v>
                </c:pt>
                <c:pt idx="1315">
                  <c:v>-16000</c:v>
                </c:pt>
                <c:pt idx="1316">
                  <c:v>-18750</c:v>
                </c:pt>
                <c:pt idx="1317">
                  <c:v>-22000</c:v>
                </c:pt>
                <c:pt idx="1318">
                  <c:v>-24875</c:v>
                </c:pt>
                <c:pt idx="1319">
                  <c:v>-26250</c:v>
                </c:pt>
                <c:pt idx="1320">
                  <c:v>-23125</c:v>
                </c:pt>
                <c:pt idx="1321">
                  <c:v>-19625</c:v>
                </c:pt>
                <c:pt idx="1322">
                  <c:v>-19750</c:v>
                </c:pt>
                <c:pt idx="1323">
                  <c:v>-17500</c:v>
                </c:pt>
                <c:pt idx="1324">
                  <c:v>-14625</c:v>
                </c:pt>
                <c:pt idx="1325">
                  <c:v>-12750</c:v>
                </c:pt>
                <c:pt idx="1326">
                  <c:v>-14000</c:v>
                </c:pt>
                <c:pt idx="1327">
                  <c:v>-18750</c:v>
                </c:pt>
                <c:pt idx="1328">
                  <c:v>-18500</c:v>
                </c:pt>
                <c:pt idx="1329">
                  <c:v>-19375</c:v>
                </c:pt>
                <c:pt idx="1330">
                  <c:v>-15375</c:v>
                </c:pt>
                <c:pt idx="1331">
                  <c:v>-16500</c:v>
                </c:pt>
                <c:pt idx="1332">
                  <c:v>-13750</c:v>
                </c:pt>
                <c:pt idx="1333">
                  <c:v>-13750</c:v>
                </c:pt>
                <c:pt idx="1334">
                  <c:v>-16125</c:v>
                </c:pt>
                <c:pt idx="1335">
                  <c:v>-16375</c:v>
                </c:pt>
                <c:pt idx="1336">
                  <c:v>-19250</c:v>
                </c:pt>
                <c:pt idx="1337">
                  <c:v>-18250</c:v>
                </c:pt>
                <c:pt idx="1338">
                  <c:v>-19250</c:v>
                </c:pt>
                <c:pt idx="1339">
                  <c:v>-19250</c:v>
                </c:pt>
                <c:pt idx="1340">
                  <c:v>-16875</c:v>
                </c:pt>
                <c:pt idx="1341">
                  <c:v>-11250</c:v>
                </c:pt>
                <c:pt idx="1342">
                  <c:v>-9875</c:v>
                </c:pt>
                <c:pt idx="1343">
                  <c:v>-9750</c:v>
                </c:pt>
                <c:pt idx="1344">
                  <c:v>-13625</c:v>
                </c:pt>
                <c:pt idx="1345">
                  <c:v>-13000</c:v>
                </c:pt>
                <c:pt idx="1346">
                  <c:v>-11125</c:v>
                </c:pt>
                <c:pt idx="1347">
                  <c:v>-14750</c:v>
                </c:pt>
                <c:pt idx="1348">
                  <c:v>-10375</c:v>
                </c:pt>
                <c:pt idx="1349">
                  <c:v>-5375</c:v>
                </c:pt>
                <c:pt idx="1350">
                  <c:v>-7875</c:v>
                </c:pt>
                <c:pt idx="1351">
                  <c:v>-7250</c:v>
                </c:pt>
                <c:pt idx="1352">
                  <c:v>-5625</c:v>
                </c:pt>
                <c:pt idx="1353">
                  <c:v>-8125</c:v>
                </c:pt>
                <c:pt idx="1354">
                  <c:v>-8125</c:v>
                </c:pt>
                <c:pt idx="1355">
                  <c:v>-9875</c:v>
                </c:pt>
                <c:pt idx="1356">
                  <c:v>-9625</c:v>
                </c:pt>
                <c:pt idx="1357">
                  <c:v>-6875</c:v>
                </c:pt>
                <c:pt idx="1358">
                  <c:v>-5625</c:v>
                </c:pt>
                <c:pt idx="1359">
                  <c:v>-6375</c:v>
                </c:pt>
                <c:pt idx="1360">
                  <c:v>-6000</c:v>
                </c:pt>
                <c:pt idx="1361">
                  <c:v>-9625</c:v>
                </c:pt>
                <c:pt idx="1362">
                  <c:v>-11625</c:v>
                </c:pt>
                <c:pt idx="1363">
                  <c:v>-10500</c:v>
                </c:pt>
                <c:pt idx="1364">
                  <c:v>-10250</c:v>
                </c:pt>
                <c:pt idx="1365">
                  <c:v>-11250</c:v>
                </c:pt>
                <c:pt idx="1366">
                  <c:v>-7625</c:v>
                </c:pt>
                <c:pt idx="1367">
                  <c:v>-13000</c:v>
                </c:pt>
                <c:pt idx="1368">
                  <c:v>-13250</c:v>
                </c:pt>
                <c:pt idx="1369">
                  <c:v>-15125</c:v>
                </c:pt>
                <c:pt idx="1370">
                  <c:v>-13375</c:v>
                </c:pt>
                <c:pt idx="1371">
                  <c:v>-14375</c:v>
                </c:pt>
                <c:pt idx="1372">
                  <c:v>-13000</c:v>
                </c:pt>
                <c:pt idx="1373">
                  <c:v>-11625</c:v>
                </c:pt>
                <c:pt idx="1374">
                  <c:v>-9375</c:v>
                </c:pt>
                <c:pt idx="1375">
                  <c:v>-8750</c:v>
                </c:pt>
                <c:pt idx="1376">
                  <c:v>-9125</c:v>
                </c:pt>
                <c:pt idx="1377">
                  <c:v>-8750</c:v>
                </c:pt>
                <c:pt idx="1378">
                  <c:v>-9625</c:v>
                </c:pt>
                <c:pt idx="1379">
                  <c:v>-15000</c:v>
                </c:pt>
                <c:pt idx="1380">
                  <c:v>-15000</c:v>
                </c:pt>
                <c:pt idx="1381">
                  <c:v>-18375</c:v>
                </c:pt>
                <c:pt idx="1382">
                  <c:v>-15625</c:v>
                </c:pt>
                <c:pt idx="1383">
                  <c:v>-9875</c:v>
                </c:pt>
                <c:pt idx="1384">
                  <c:v>-9875</c:v>
                </c:pt>
                <c:pt idx="1385">
                  <c:v>-9000</c:v>
                </c:pt>
                <c:pt idx="1386">
                  <c:v>-10000</c:v>
                </c:pt>
                <c:pt idx="1387">
                  <c:v>-9250</c:v>
                </c:pt>
                <c:pt idx="1388">
                  <c:v>-7375</c:v>
                </c:pt>
                <c:pt idx="1389">
                  <c:v>-5875</c:v>
                </c:pt>
                <c:pt idx="1390">
                  <c:v>-6500</c:v>
                </c:pt>
                <c:pt idx="1391">
                  <c:v>-8375</c:v>
                </c:pt>
                <c:pt idx="1392">
                  <c:v>-9000</c:v>
                </c:pt>
                <c:pt idx="1393">
                  <c:v>-8125</c:v>
                </c:pt>
                <c:pt idx="1394">
                  <c:v>-9875</c:v>
                </c:pt>
                <c:pt idx="1395">
                  <c:v>-13000</c:v>
                </c:pt>
                <c:pt idx="1396">
                  <c:v>-13500</c:v>
                </c:pt>
                <c:pt idx="1397">
                  <c:v>-13250</c:v>
                </c:pt>
                <c:pt idx="1398">
                  <c:v>-9625</c:v>
                </c:pt>
                <c:pt idx="1399">
                  <c:v>-12875</c:v>
                </c:pt>
                <c:pt idx="1400">
                  <c:v>-11875</c:v>
                </c:pt>
                <c:pt idx="1401">
                  <c:v>-11250</c:v>
                </c:pt>
                <c:pt idx="1402">
                  <c:v>-8875</c:v>
                </c:pt>
                <c:pt idx="1403">
                  <c:v>-7000</c:v>
                </c:pt>
                <c:pt idx="1404">
                  <c:v>-5875</c:v>
                </c:pt>
                <c:pt idx="1405">
                  <c:v>-7875</c:v>
                </c:pt>
                <c:pt idx="1406">
                  <c:v>-6875</c:v>
                </c:pt>
                <c:pt idx="1407">
                  <c:v>-7500</c:v>
                </c:pt>
                <c:pt idx="1408">
                  <c:v>-8125</c:v>
                </c:pt>
                <c:pt idx="1409">
                  <c:v>-9250</c:v>
                </c:pt>
                <c:pt idx="1410">
                  <c:v>-8125</c:v>
                </c:pt>
                <c:pt idx="1411">
                  <c:v>-7375</c:v>
                </c:pt>
                <c:pt idx="1412">
                  <c:v>-3375</c:v>
                </c:pt>
                <c:pt idx="1413">
                  <c:v>-4625</c:v>
                </c:pt>
                <c:pt idx="1414">
                  <c:v>-2125</c:v>
                </c:pt>
                <c:pt idx="1415">
                  <c:v>-2125</c:v>
                </c:pt>
                <c:pt idx="1416">
                  <c:v>-1875</c:v>
                </c:pt>
                <c:pt idx="1417">
                  <c:v>-4875</c:v>
                </c:pt>
                <c:pt idx="1418">
                  <c:v>-5125</c:v>
                </c:pt>
                <c:pt idx="1419">
                  <c:v>-5875</c:v>
                </c:pt>
                <c:pt idx="1420">
                  <c:v>-7250</c:v>
                </c:pt>
                <c:pt idx="1421">
                  <c:v>-7625</c:v>
                </c:pt>
                <c:pt idx="1422">
                  <c:v>-7000</c:v>
                </c:pt>
                <c:pt idx="1423">
                  <c:v>-2875</c:v>
                </c:pt>
                <c:pt idx="1424">
                  <c:v>-3375</c:v>
                </c:pt>
                <c:pt idx="1425">
                  <c:v>-4625</c:v>
                </c:pt>
                <c:pt idx="1426">
                  <c:v>-3000</c:v>
                </c:pt>
                <c:pt idx="1427">
                  <c:v>-1750</c:v>
                </c:pt>
                <c:pt idx="1428">
                  <c:v>-1750</c:v>
                </c:pt>
                <c:pt idx="1429">
                  <c:v>500</c:v>
                </c:pt>
                <c:pt idx="1430">
                  <c:v>1375</c:v>
                </c:pt>
                <c:pt idx="1431">
                  <c:v>250</c:v>
                </c:pt>
                <c:pt idx="1432">
                  <c:v>2375</c:v>
                </c:pt>
                <c:pt idx="1433">
                  <c:v>1125</c:v>
                </c:pt>
                <c:pt idx="1434">
                  <c:v>-2000</c:v>
                </c:pt>
                <c:pt idx="1435">
                  <c:v>-1750</c:v>
                </c:pt>
                <c:pt idx="1436">
                  <c:v>-1750</c:v>
                </c:pt>
                <c:pt idx="1437">
                  <c:v>-3875</c:v>
                </c:pt>
                <c:pt idx="1438">
                  <c:v>-5250</c:v>
                </c:pt>
                <c:pt idx="1439">
                  <c:v>-6500</c:v>
                </c:pt>
                <c:pt idx="1440">
                  <c:v>-3250</c:v>
                </c:pt>
                <c:pt idx="1441">
                  <c:v>625</c:v>
                </c:pt>
                <c:pt idx="1442">
                  <c:v>1125</c:v>
                </c:pt>
                <c:pt idx="1443">
                  <c:v>500</c:v>
                </c:pt>
                <c:pt idx="1444">
                  <c:v>-625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1445"/>
                <c:pt idx="0">
                  <c:v>50000</c:v>
                </c:pt>
                <c:pt idx="1">
                  <c:v>44500</c:v>
                </c:pt>
                <c:pt idx="2">
                  <c:v>47875</c:v>
                </c:pt>
                <c:pt idx="3">
                  <c:v>59750</c:v>
                </c:pt>
                <c:pt idx="4">
                  <c:v>59875</c:v>
                </c:pt>
                <c:pt idx="5">
                  <c:v>46875</c:v>
                </c:pt>
                <c:pt idx="6">
                  <c:v>32875</c:v>
                </c:pt>
                <c:pt idx="7">
                  <c:v>32250</c:v>
                </c:pt>
                <c:pt idx="8">
                  <c:v>37125</c:v>
                </c:pt>
                <c:pt idx="9">
                  <c:v>49250</c:v>
                </c:pt>
                <c:pt idx="10">
                  <c:v>64250</c:v>
                </c:pt>
                <c:pt idx="11">
                  <c:v>74625</c:v>
                </c:pt>
                <c:pt idx="12">
                  <c:v>78375</c:v>
                </c:pt>
                <c:pt idx="13">
                  <c:v>75375</c:v>
                </c:pt>
                <c:pt idx="14">
                  <c:v>74500</c:v>
                </c:pt>
                <c:pt idx="15">
                  <c:v>88250</c:v>
                </c:pt>
                <c:pt idx="16">
                  <c:v>86625</c:v>
                </c:pt>
                <c:pt idx="17">
                  <c:v>88625</c:v>
                </c:pt>
                <c:pt idx="18">
                  <c:v>96000</c:v>
                </c:pt>
                <c:pt idx="19">
                  <c:v>86625</c:v>
                </c:pt>
                <c:pt idx="20">
                  <c:v>78750</c:v>
                </c:pt>
                <c:pt idx="21">
                  <c:v>118250</c:v>
                </c:pt>
                <c:pt idx="22">
                  <c:v>102375</c:v>
                </c:pt>
                <c:pt idx="23">
                  <c:v>86000</c:v>
                </c:pt>
                <c:pt idx="24">
                  <c:v>100875</c:v>
                </c:pt>
                <c:pt idx="25">
                  <c:v>102250</c:v>
                </c:pt>
                <c:pt idx="26">
                  <c:v>94250</c:v>
                </c:pt>
                <c:pt idx="27">
                  <c:v>88625</c:v>
                </c:pt>
                <c:pt idx="28">
                  <c:v>72000</c:v>
                </c:pt>
                <c:pt idx="29">
                  <c:v>61125</c:v>
                </c:pt>
                <c:pt idx="30">
                  <c:v>60875</c:v>
                </c:pt>
                <c:pt idx="31">
                  <c:v>58750</c:v>
                </c:pt>
                <c:pt idx="32">
                  <c:v>57750</c:v>
                </c:pt>
                <c:pt idx="33">
                  <c:v>54000</c:v>
                </c:pt>
                <c:pt idx="34">
                  <c:v>59125</c:v>
                </c:pt>
                <c:pt idx="35">
                  <c:v>65000</c:v>
                </c:pt>
                <c:pt idx="36">
                  <c:v>62500</c:v>
                </c:pt>
                <c:pt idx="37">
                  <c:v>65625</c:v>
                </c:pt>
                <c:pt idx="38">
                  <c:v>61250</c:v>
                </c:pt>
                <c:pt idx="39">
                  <c:v>60250</c:v>
                </c:pt>
                <c:pt idx="40">
                  <c:v>63625</c:v>
                </c:pt>
                <c:pt idx="41">
                  <c:v>73250</c:v>
                </c:pt>
                <c:pt idx="42">
                  <c:v>65250</c:v>
                </c:pt>
                <c:pt idx="43">
                  <c:v>51500</c:v>
                </c:pt>
                <c:pt idx="44">
                  <c:v>52125</c:v>
                </c:pt>
                <c:pt idx="45">
                  <c:v>60125</c:v>
                </c:pt>
                <c:pt idx="46">
                  <c:v>56000</c:v>
                </c:pt>
                <c:pt idx="47">
                  <c:v>66250</c:v>
                </c:pt>
                <c:pt idx="48">
                  <c:v>66125</c:v>
                </c:pt>
                <c:pt idx="49">
                  <c:v>65500</c:v>
                </c:pt>
                <c:pt idx="50">
                  <c:v>52750</c:v>
                </c:pt>
                <c:pt idx="51">
                  <c:v>53375</c:v>
                </c:pt>
                <c:pt idx="52">
                  <c:v>53000</c:v>
                </c:pt>
                <c:pt idx="53">
                  <c:v>48625</c:v>
                </c:pt>
                <c:pt idx="54">
                  <c:v>47750</c:v>
                </c:pt>
                <c:pt idx="55">
                  <c:v>55000</c:v>
                </c:pt>
                <c:pt idx="56">
                  <c:v>49125</c:v>
                </c:pt>
                <c:pt idx="57">
                  <c:v>46500</c:v>
                </c:pt>
                <c:pt idx="58">
                  <c:v>40750</c:v>
                </c:pt>
                <c:pt idx="59">
                  <c:v>39375</c:v>
                </c:pt>
                <c:pt idx="60">
                  <c:v>39125</c:v>
                </c:pt>
                <c:pt idx="61">
                  <c:v>29875</c:v>
                </c:pt>
                <c:pt idx="62">
                  <c:v>25875</c:v>
                </c:pt>
                <c:pt idx="63">
                  <c:v>23375</c:v>
                </c:pt>
                <c:pt idx="64">
                  <c:v>24750</c:v>
                </c:pt>
                <c:pt idx="65">
                  <c:v>36250</c:v>
                </c:pt>
                <c:pt idx="66">
                  <c:v>29750</c:v>
                </c:pt>
                <c:pt idx="67">
                  <c:v>30750</c:v>
                </c:pt>
                <c:pt idx="68">
                  <c:v>37000</c:v>
                </c:pt>
                <c:pt idx="69">
                  <c:v>43500</c:v>
                </c:pt>
                <c:pt idx="70">
                  <c:v>40500</c:v>
                </c:pt>
                <c:pt idx="71">
                  <c:v>38625</c:v>
                </c:pt>
                <c:pt idx="72">
                  <c:v>48125</c:v>
                </c:pt>
                <c:pt idx="73">
                  <c:v>48625</c:v>
                </c:pt>
                <c:pt idx="74">
                  <c:v>59875</c:v>
                </c:pt>
                <c:pt idx="75">
                  <c:v>64875</c:v>
                </c:pt>
                <c:pt idx="76">
                  <c:v>67625</c:v>
                </c:pt>
                <c:pt idx="77">
                  <c:v>66000</c:v>
                </c:pt>
                <c:pt idx="78">
                  <c:v>66500</c:v>
                </c:pt>
                <c:pt idx="79">
                  <c:v>84500</c:v>
                </c:pt>
                <c:pt idx="80">
                  <c:v>89125</c:v>
                </c:pt>
                <c:pt idx="81">
                  <c:v>86500</c:v>
                </c:pt>
                <c:pt idx="82">
                  <c:v>86500</c:v>
                </c:pt>
                <c:pt idx="83">
                  <c:v>95000</c:v>
                </c:pt>
                <c:pt idx="84">
                  <c:v>94375</c:v>
                </c:pt>
                <c:pt idx="85">
                  <c:v>115000</c:v>
                </c:pt>
                <c:pt idx="86">
                  <c:v>115625</c:v>
                </c:pt>
                <c:pt idx="87">
                  <c:v>116250</c:v>
                </c:pt>
                <c:pt idx="88">
                  <c:v>108125</c:v>
                </c:pt>
                <c:pt idx="89">
                  <c:v>107625</c:v>
                </c:pt>
                <c:pt idx="90">
                  <c:v>110875</c:v>
                </c:pt>
                <c:pt idx="91">
                  <c:v>88875</c:v>
                </c:pt>
                <c:pt idx="92">
                  <c:v>92750</c:v>
                </c:pt>
                <c:pt idx="93">
                  <c:v>92375</c:v>
                </c:pt>
                <c:pt idx="94">
                  <c:v>90875</c:v>
                </c:pt>
                <c:pt idx="95">
                  <c:v>90750</c:v>
                </c:pt>
                <c:pt idx="96">
                  <c:v>89375</c:v>
                </c:pt>
                <c:pt idx="97">
                  <c:v>88750</c:v>
                </c:pt>
                <c:pt idx="98">
                  <c:v>87375</c:v>
                </c:pt>
                <c:pt idx="99">
                  <c:v>85000</c:v>
                </c:pt>
                <c:pt idx="100">
                  <c:v>84125</c:v>
                </c:pt>
                <c:pt idx="101">
                  <c:v>85375</c:v>
                </c:pt>
                <c:pt idx="102">
                  <c:v>93000</c:v>
                </c:pt>
                <c:pt idx="103">
                  <c:v>85375</c:v>
                </c:pt>
                <c:pt idx="104">
                  <c:v>85625</c:v>
                </c:pt>
                <c:pt idx="105">
                  <c:v>89875</c:v>
                </c:pt>
                <c:pt idx="106">
                  <c:v>88000</c:v>
                </c:pt>
                <c:pt idx="107">
                  <c:v>89750</c:v>
                </c:pt>
                <c:pt idx="108">
                  <c:v>85000</c:v>
                </c:pt>
                <c:pt idx="109">
                  <c:v>83625</c:v>
                </c:pt>
                <c:pt idx="110">
                  <c:v>84875</c:v>
                </c:pt>
                <c:pt idx="111">
                  <c:v>80750</c:v>
                </c:pt>
                <c:pt idx="112">
                  <c:v>83375</c:v>
                </c:pt>
                <c:pt idx="113">
                  <c:v>87625</c:v>
                </c:pt>
                <c:pt idx="114">
                  <c:v>94375</c:v>
                </c:pt>
                <c:pt idx="115">
                  <c:v>90375</c:v>
                </c:pt>
                <c:pt idx="116">
                  <c:v>91375</c:v>
                </c:pt>
                <c:pt idx="117">
                  <c:v>105375</c:v>
                </c:pt>
                <c:pt idx="118">
                  <c:v>107875</c:v>
                </c:pt>
                <c:pt idx="119">
                  <c:v>112375</c:v>
                </c:pt>
                <c:pt idx="120">
                  <c:v>112500</c:v>
                </c:pt>
                <c:pt idx="121">
                  <c:v>116250</c:v>
                </c:pt>
                <c:pt idx="122">
                  <c:v>120125</c:v>
                </c:pt>
                <c:pt idx="123">
                  <c:v>115500</c:v>
                </c:pt>
                <c:pt idx="124">
                  <c:v>111750</c:v>
                </c:pt>
                <c:pt idx="125">
                  <c:v>109750</c:v>
                </c:pt>
                <c:pt idx="126">
                  <c:v>114000</c:v>
                </c:pt>
                <c:pt idx="127">
                  <c:v>118500</c:v>
                </c:pt>
                <c:pt idx="128">
                  <c:v>120500</c:v>
                </c:pt>
                <c:pt idx="129">
                  <c:v>118750</c:v>
                </c:pt>
                <c:pt idx="130">
                  <c:v>122000</c:v>
                </c:pt>
                <c:pt idx="131">
                  <c:v>115750</c:v>
                </c:pt>
                <c:pt idx="132">
                  <c:v>120875</c:v>
                </c:pt>
                <c:pt idx="133">
                  <c:v>118375</c:v>
                </c:pt>
                <c:pt idx="134">
                  <c:v>119750</c:v>
                </c:pt>
                <c:pt idx="135">
                  <c:v>123875</c:v>
                </c:pt>
                <c:pt idx="136">
                  <c:v>125500</c:v>
                </c:pt>
                <c:pt idx="137">
                  <c:v>124375</c:v>
                </c:pt>
                <c:pt idx="138">
                  <c:v>116000</c:v>
                </c:pt>
                <c:pt idx="139">
                  <c:v>112375</c:v>
                </c:pt>
                <c:pt idx="140">
                  <c:v>108250</c:v>
                </c:pt>
                <c:pt idx="141">
                  <c:v>104500</c:v>
                </c:pt>
                <c:pt idx="142">
                  <c:v>105125</c:v>
                </c:pt>
                <c:pt idx="143">
                  <c:v>99250</c:v>
                </c:pt>
                <c:pt idx="144">
                  <c:v>94000</c:v>
                </c:pt>
                <c:pt idx="145">
                  <c:v>97125</c:v>
                </c:pt>
                <c:pt idx="146">
                  <c:v>93125</c:v>
                </c:pt>
                <c:pt idx="147">
                  <c:v>88375</c:v>
                </c:pt>
                <c:pt idx="148">
                  <c:v>87625</c:v>
                </c:pt>
                <c:pt idx="149">
                  <c:v>93375</c:v>
                </c:pt>
                <c:pt idx="150">
                  <c:v>92625</c:v>
                </c:pt>
                <c:pt idx="151">
                  <c:v>88625</c:v>
                </c:pt>
                <c:pt idx="152">
                  <c:v>88500</c:v>
                </c:pt>
                <c:pt idx="153">
                  <c:v>89875</c:v>
                </c:pt>
                <c:pt idx="154">
                  <c:v>109875</c:v>
                </c:pt>
                <c:pt idx="155">
                  <c:v>114750</c:v>
                </c:pt>
                <c:pt idx="156">
                  <c:v>112000</c:v>
                </c:pt>
                <c:pt idx="157">
                  <c:v>118375</c:v>
                </c:pt>
                <c:pt idx="158">
                  <c:v>113500</c:v>
                </c:pt>
                <c:pt idx="159">
                  <c:v>111625</c:v>
                </c:pt>
                <c:pt idx="160">
                  <c:v>105750</c:v>
                </c:pt>
                <c:pt idx="161">
                  <c:v>99500</c:v>
                </c:pt>
                <c:pt idx="162">
                  <c:v>98375</c:v>
                </c:pt>
                <c:pt idx="163">
                  <c:v>96250</c:v>
                </c:pt>
                <c:pt idx="164">
                  <c:v>96250</c:v>
                </c:pt>
                <c:pt idx="165">
                  <c:v>100250</c:v>
                </c:pt>
                <c:pt idx="166">
                  <c:v>97875</c:v>
                </c:pt>
                <c:pt idx="167">
                  <c:v>93875</c:v>
                </c:pt>
                <c:pt idx="168">
                  <c:v>95625</c:v>
                </c:pt>
                <c:pt idx="169">
                  <c:v>94500</c:v>
                </c:pt>
                <c:pt idx="170">
                  <c:v>94000</c:v>
                </c:pt>
                <c:pt idx="171">
                  <c:v>94750</c:v>
                </c:pt>
                <c:pt idx="172">
                  <c:v>94250</c:v>
                </c:pt>
                <c:pt idx="173">
                  <c:v>99250</c:v>
                </c:pt>
                <c:pt idx="174">
                  <c:v>100875</c:v>
                </c:pt>
                <c:pt idx="175">
                  <c:v>97875</c:v>
                </c:pt>
                <c:pt idx="176">
                  <c:v>99000</c:v>
                </c:pt>
                <c:pt idx="177">
                  <c:v>102250</c:v>
                </c:pt>
                <c:pt idx="178">
                  <c:v>98875</c:v>
                </c:pt>
                <c:pt idx="179">
                  <c:v>94000</c:v>
                </c:pt>
                <c:pt idx="180">
                  <c:v>100875</c:v>
                </c:pt>
                <c:pt idx="181">
                  <c:v>97375</c:v>
                </c:pt>
                <c:pt idx="182">
                  <c:v>96250</c:v>
                </c:pt>
                <c:pt idx="183">
                  <c:v>95125</c:v>
                </c:pt>
                <c:pt idx="184">
                  <c:v>93500</c:v>
                </c:pt>
                <c:pt idx="185">
                  <c:v>89875</c:v>
                </c:pt>
                <c:pt idx="186">
                  <c:v>86875</c:v>
                </c:pt>
                <c:pt idx="187">
                  <c:v>88875</c:v>
                </c:pt>
                <c:pt idx="188">
                  <c:v>88625</c:v>
                </c:pt>
                <c:pt idx="189">
                  <c:v>83000</c:v>
                </c:pt>
                <c:pt idx="190">
                  <c:v>84625</c:v>
                </c:pt>
                <c:pt idx="191">
                  <c:v>93250</c:v>
                </c:pt>
                <c:pt idx="192">
                  <c:v>94250</c:v>
                </c:pt>
                <c:pt idx="193">
                  <c:v>89250</c:v>
                </c:pt>
                <c:pt idx="194">
                  <c:v>82125</c:v>
                </c:pt>
                <c:pt idx="195">
                  <c:v>80625</c:v>
                </c:pt>
                <c:pt idx="196">
                  <c:v>82375</c:v>
                </c:pt>
                <c:pt idx="197">
                  <c:v>76625</c:v>
                </c:pt>
                <c:pt idx="198">
                  <c:v>75375</c:v>
                </c:pt>
                <c:pt idx="199">
                  <c:v>77125</c:v>
                </c:pt>
                <c:pt idx="200">
                  <c:v>87500</c:v>
                </c:pt>
                <c:pt idx="201">
                  <c:v>88500</c:v>
                </c:pt>
                <c:pt idx="202">
                  <c:v>89000</c:v>
                </c:pt>
                <c:pt idx="203">
                  <c:v>88875</c:v>
                </c:pt>
                <c:pt idx="204">
                  <c:v>89875</c:v>
                </c:pt>
                <c:pt idx="205">
                  <c:v>93375</c:v>
                </c:pt>
                <c:pt idx="206">
                  <c:v>99375</c:v>
                </c:pt>
                <c:pt idx="207">
                  <c:v>106000</c:v>
                </c:pt>
                <c:pt idx="208">
                  <c:v>88375</c:v>
                </c:pt>
                <c:pt idx="209">
                  <c:v>81750</c:v>
                </c:pt>
                <c:pt idx="210">
                  <c:v>79000</c:v>
                </c:pt>
                <c:pt idx="211">
                  <c:v>83375</c:v>
                </c:pt>
                <c:pt idx="212">
                  <c:v>81250</c:v>
                </c:pt>
                <c:pt idx="213">
                  <c:v>81250</c:v>
                </c:pt>
                <c:pt idx="214">
                  <c:v>84250</c:v>
                </c:pt>
                <c:pt idx="215">
                  <c:v>92125</c:v>
                </c:pt>
                <c:pt idx="216">
                  <c:v>93625</c:v>
                </c:pt>
                <c:pt idx="217">
                  <c:v>90500</c:v>
                </c:pt>
                <c:pt idx="218">
                  <c:v>97250</c:v>
                </c:pt>
                <c:pt idx="219">
                  <c:v>97375</c:v>
                </c:pt>
                <c:pt idx="220">
                  <c:v>100375</c:v>
                </c:pt>
                <c:pt idx="221">
                  <c:v>107625</c:v>
                </c:pt>
                <c:pt idx="222">
                  <c:v>101750</c:v>
                </c:pt>
                <c:pt idx="223">
                  <c:v>103000</c:v>
                </c:pt>
                <c:pt idx="224">
                  <c:v>100125</c:v>
                </c:pt>
                <c:pt idx="225">
                  <c:v>99750</c:v>
                </c:pt>
                <c:pt idx="226">
                  <c:v>103625</c:v>
                </c:pt>
                <c:pt idx="227">
                  <c:v>101750</c:v>
                </c:pt>
                <c:pt idx="228">
                  <c:v>85375</c:v>
                </c:pt>
                <c:pt idx="229">
                  <c:v>83750</c:v>
                </c:pt>
                <c:pt idx="230">
                  <c:v>78375</c:v>
                </c:pt>
                <c:pt idx="231">
                  <c:v>89000</c:v>
                </c:pt>
                <c:pt idx="232">
                  <c:v>86875</c:v>
                </c:pt>
                <c:pt idx="233">
                  <c:v>75250</c:v>
                </c:pt>
                <c:pt idx="234">
                  <c:v>80125</c:v>
                </c:pt>
                <c:pt idx="235">
                  <c:v>75875</c:v>
                </c:pt>
                <c:pt idx="236">
                  <c:v>81875</c:v>
                </c:pt>
                <c:pt idx="237">
                  <c:v>99375</c:v>
                </c:pt>
                <c:pt idx="238">
                  <c:v>106500</c:v>
                </c:pt>
                <c:pt idx="239">
                  <c:v>106125</c:v>
                </c:pt>
                <c:pt idx="240">
                  <c:v>98875</c:v>
                </c:pt>
                <c:pt idx="241">
                  <c:v>91125</c:v>
                </c:pt>
                <c:pt idx="242">
                  <c:v>84875</c:v>
                </c:pt>
                <c:pt idx="243">
                  <c:v>80250</c:v>
                </c:pt>
                <c:pt idx="244">
                  <c:v>79625</c:v>
                </c:pt>
                <c:pt idx="245">
                  <c:v>93375</c:v>
                </c:pt>
                <c:pt idx="246">
                  <c:v>94250</c:v>
                </c:pt>
                <c:pt idx="247">
                  <c:v>106375</c:v>
                </c:pt>
                <c:pt idx="248">
                  <c:v>109250</c:v>
                </c:pt>
                <c:pt idx="249">
                  <c:v>115500</c:v>
                </c:pt>
                <c:pt idx="250">
                  <c:v>116625</c:v>
                </c:pt>
                <c:pt idx="251">
                  <c:v>116375</c:v>
                </c:pt>
                <c:pt idx="252">
                  <c:v>118750</c:v>
                </c:pt>
                <c:pt idx="253">
                  <c:v>114375</c:v>
                </c:pt>
                <c:pt idx="254">
                  <c:v>112500</c:v>
                </c:pt>
                <c:pt idx="255">
                  <c:v>105250</c:v>
                </c:pt>
                <c:pt idx="256">
                  <c:v>99500</c:v>
                </c:pt>
                <c:pt idx="257">
                  <c:v>97250</c:v>
                </c:pt>
                <c:pt idx="258">
                  <c:v>101250</c:v>
                </c:pt>
                <c:pt idx="259">
                  <c:v>105625</c:v>
                </c:pt>
                <c:pt idx="260">
                  <c:v>98375</c:v>
                </c:pt>
                <c:pt idx="261">
                  <c:v>96625</c:v>
                </c:pt>
                <c:pt idx="262">
                  <c:v>106000</c:v>
                </c:pt>
                <c:pt idx="263">
                  <c:v>95875</c:v>
                </c:pt>
                <c:pt idx="264">
                  <c:v>91375</c:v>
                </c:pt>
                <c:pt idx="265">
                  <c:v>92125</c:v>
                </c:pt>
                <c:pt idx="266">
                  <c:v>100125</c:v>
                </c:pt>
                <c:pt idx="267">
                  <c:v>100125</c:v>
                </c:pt>
                <c:pt idx="268">
                  <c:v>82750</c:v>
                </c:pt>
                <c:pt idx="269">
                  <c:v>75000</c:v>
                </c:pt>
                <c:pt idx="270">
                  <c:v>71500</c:v>
                </c:pt>
                <c:pt idx="271">
                  <c:v>73000</c:v>
                </c:pt>
                <c:pt idx="272">
                  <c:v>60375</c:v>
                </c:pt>
                <c:pt idx="273">
                  <c:v>51750</c:v>
                </c:pt>
                <c:pt idx="274">
                  <c:v>37500</c:v>
                </c:pt>
                <c:pt idx="275">
                  <c:v>17250</c:v>
                </c:pt>
                <c:pt idx="276">
                  <c:v>20625</c:v>
                </c:pt>
                <c:pt idx="277">
                  <c:v>7000</c:v>
                </c:pt>
                <c:pt idx="278">
                  <c:v>13875</c:v>
                </c:pt>
                <c:pt idx="279">
                  <c:v>29625</c:v>
                </c:pt>
                <c:pt idx="280">
                  <c:v>7875</c:v>
                </c:pt>
                <c:pt idx="281">
                  <c:v>7125</c:v>
                </c:pt>
                <c:pt idx="282">
                  <c:v>-10750</c:v>
                </c:pt>
                <c:pt idx="283">
                  <c:v>-14750</c:v>
                </c:pt>
                <c:pt idx="284">
                  <c:v>-20625</c:v>
                </c:pt>
                <c:pt idx="285">
                  <c:v>-24375</c:v>
                </c:pt>
                <c:pt idx="286">
                  <c:v>-34125</c:v>
                </c:pt>
                <c:pt idx="287">
                  <c:v>-26625</c:v>
                </c:pt>
                <c:pt idx="288">
                  <c:v>-16875</c:v>
                </c:pt>
                <c:pt idx="289">
                  <c:v>-22000</c:v>
                </c:pt>
                <c:pt idx="290">
                  <c:v>-14500</c:v>
                </c:pt>
                <c:pt idx="291">
                  <c:v>-22625</c:v>
                </c:pt>
                <c:pt idx="292">
                  <c:v>-33875</c:v>
                </c:pt>
                <c:pt idx="293">
                  <c:v>-28750</c:v>
                </c:pt>
                <c:pt idx="294">
                  <c:v>-16625</c:v>
                </c:pt>
                <c:pt idx="295">
                  <c:v>-23125</c:v>
                </c:pt>
                <c:pt idx="296">
                  <c:v>-29750</c:v>
                </c:pt>
                <c:pt idx="297">
                  <c:v>-27000</c:v>
                </c:pt>
                <c:pt idx="298">
                  <c:v>-22000</c:v>
                </c:pt>
                <c:pt idx="299">
                  <c:v>-28500</c:v>
                </c:pt>
                <c:pt idx="300">
                  <c:v>-36125</c:v>
                </c:pt>
                <c:pt idx="301">
                  <c:v>-26875</c:v>
                </c:pt>
                <c:pt idx="302">
                  <c:v>-18250</c:v>
                </c:pt>
                <c:pt idx="303">
                  <c:v>-13250</c:v>
                </c:pt>
                <c:pt idx="304">
                  <c:v>-19500</c:v>
                </c:pt>
                <c:pt idx="305">
                  <c:v>-24250</c:v>
                </c:pt>
                <c:pt idx="306">
                  <c:v>-23625</c:v>
                </c:pt>
                <c:pt idx="307">
                  <c:v>-32125</c:v>
                </c:pt>
                <c:pt idx="308">
                  <c:v>-40000</c:v>
                </c:pt>
                <c:pt idx="309">
                  <c:v>-37875</c:v>
                </c:pt>
                <c:pt idx="310">
                  <c:v>-28125</c:v>
                </c:pt>
                <c:pt idx="311">
                  <c:v>-25625</c:v>
                </c:pt>
                <c:pt idx="312">
                  <c:v>-22500</c:v>
                </c:pt>
                <c:pt idx="313">
                  <c:v>-19750</c:v>
                </c:pt>
                <c:pt idx="314">
                  <c:v>-29250</c:v>
                </c:pt>
                <c:pt idx="315">
                  <c:v>-32250</c:v>
                </c:pt>
                <c:pt idx="316">
                  <c:v>-25625</c:v>
                </c:pt>
                <c:pt idx="317">
                  <c:v>-24125</c:v>
                </c:pt>
                <c:pt idx="318">
                  <c:v>-20500</c:v>
                </c:pt>
                <c:pt idx="319">
                  <c:v>-24125</c:v>
                </c:pt>
                <c:pt idx="320">
                  <c:v>-23375</c:v>
                </c:pt>
                <c:pt idx="321">
                  <c:v>-15000</c:v>
                </c:pt>
                <c:pt idx="322">
                  <c:v>-16625</c:v>
                </c:pt>
                <c:pt idx="323">
                  <c:v>-9625</c:v>
                </c:pt>
                <c:pt idx="324">
                  <c:v>-12375</c:v>
                </c:pt>
                <c:pt idx="325">
                  <c:v>-17000</c:v>
                </c:pt>
                <c:pt idx="326">
                  <c:v>-2625</c:v>
                </c:pt>
                <c:pt idx="327">
                  <c:v>3375</c:v>
                </c:pt>
                <c:pt idx="328">
                  <c:v>-3125</c:v>
                </c:pt>
                <c:pt idx="329">
                  <c:v>1250</c:v>
                </c:pt>
                <c:pt idx="330">
                  <c:v>-375</c:v>
                </c:pt>
                <c:pt idx="331">
                  <c:v>1625</c:v>
                </c:pt>
                <c:pt idx="332">
                  <c:v>2625</c:v>
                </c:pt>
                <c:pt idx="333">
                  <c:v>11250</c:v>
                </c:pt>
                <c:pt idx="334">
                  <c:v>16750</c:v>
                </c:pt>
                <c:pt idx="335">
                  <c:v>-4375</c:v>
                </c:pt>
                <c:pt idx="336">
                  <c:v>-5250</c:v>
                </c:pt>
                <c:pt idx="337">
                  <c:v>-2500</c:v>
                </c:pt>
                <c:pt idx="338">
                  <c:v>-5375</c:v>
                </c:pt>
                <c:pt idx="339">
                  <c:v>-7625</c:v>
                </c:pt>
                <c:pt idx="340">
                  <c:v>-750</c:v>
                </c:pt>
                <c:pt idx="341">
                  <c:v>2500</c:v>
                </c:pt>
                <c:pt idx="342">
                  <c:v>5500</c:v>
                </c:pt>
                <c:pt idx="343">
                  <c:v>-13750</c:v>
                </c:pt>
                <c:pt idx="344">
                  <c:v>-2250</c:v>
                </c:pt>
                <c:pt idx="345">
                  <c:v>5875</c:v>
                </c:pt>
                <c:pt idx="346">
                  <c:v>5875</c:v>
                </c:pt>
                <c:pt idx="347">
                  <c:v>2250</c:v>
                </c:pt>
                <c:pt idx="348">
                  <c:v>-6125</c:v>
                </c:pt>
                <c:pt idx="349">
                  <c:v>-8250</c:v>
                </c:pt>
                <c:pt idx="350">
                  <c:v>-7750</c:v>
                </c:pt>
                <c:pt idx="351">
                  <c:v>-3125</c:v>
                </c:pt>
                <c:pt idx="352">
                  <c:v>-3125</c:v>
                </c:pt>
                <c:pt idx="353">
                  <c:v>1750</c:v>
                </c:pt>
                <c:pt idx="354">
                  <c:v>4625</c:v>
                </c:pt>
                <c:pt idx="355">
                  <c:v>5250</c:v>
                </c:pt>
                <c:pt idx="356">
                  <c:v>3875</c:v>
                </c:pt>
                <c:pt idx="357">
                  <c:v>-3000</c:v>
                </c:pt>
                <c:pt idx="358">
                  <c:v>-3375</c:v>
                </c:pt>
                <c:pt idx="359">
                  <c:v>3125</c:v>
                </c:pt>
                <c:pt idx="360">
                  <c:v>6750</c:v>
                </c:pt>
                <c:pt idx="361">
                  <c:v>3750</c:v>
                </c:pt>
                <c:pt idx="362">
                  <c:v>2125</c:v>
                </c:pt>
                <c:pt idx="363">
                  <c:v>1625</c:v>
                </c:pt>
                <c:pt idx="364">
                  <c:v>3250</c:v>
                </c:pt>
                <c:pt idx="365">
                  <c:v>14875</c:v>
                </c:pt>
                <c:pt idx="366">
                  <c:v>10000</c:v>
                </c:pt>
                <c:pt idx="367">
                  <c:v>12500</c:v>
                </c:pt>
                <c:pt idx="368">
                  <c:v>10375</c:v>
                </c:pt>
                <c:pt idx="369">
                  <c:v>4750</c:v>
                </c:pt>
                <c:pt idx="370">
                  <c:v>1625</c:v>
                </c:pt>
                <c:pt idx="371">
                  <c:v>4125</c:v>
                </c:pt>
                <c:pt idx="372">
                  <c:v>1000</c:v>
                </c:pt>
                <c:pt idx="373">
                  <c:v>-500</c:v>
                </c:pt>
                <c:pt idx="374">
                  <c:v>-2125</c:v>
                </c:pt>
                <c:pt idx="375">
                  <c:v>-7375</c:v>
                </c:pt>
                <c:pt idx="376">
                  <c:v>-3500</c:v>
                </c:pt>
                <c:pt idx="377">
                  <c:v>1000</c:v>
                </c:pt>
                <c:pt idx="378">
                  <c:v>-375</c:v>
                </c:pt>
                <c:pt idx="379">
                  <c:v>1000</c:v>
                </c:pt>
                <c:pt idx="380">
                  <c:v>-2000</c:v>
                </c:pt>
                <c:pt idx="381">
                  <c:v>1375</c:v>
                </c:pt>
                <c:pt idx="382">
                  <c:v>6875</c:v>
                </c:pt>
                <c:pt idx="383">
                  <c:v>11250</c:v>
                </c:pt>
                <c:pt idx="384">
                  <c:v>12875</c:v>
                </c:pt>
                <c:pt idx="385">
                  <c:v>13500</c:v>
                </c:pt>
                <c:pt idx="386">
                  <c:v>17000</c:v>
                </c:pt>
                <c:pt idx="387">
                  <c:v>10875</c:v>
                </c:pt>
                <c:pt idx="388">
                  <c:v>14125</c:v>
                </c:pt>
                <c:pt idx="389">
                  <c:v>16375</c:v>
                </c:pt>
                <c:pt idx="390">
                  <c:v>23375</c:v>
                </c:pt>
                <c:pt idx="391">
                  <c:v>28250</c:v>
                </c:pt>
                <c:pt idx="392">
                  <c:v>25625</c:v>
                </c:pt>
                <c:pt idx="393">
                  <c:v>23500</c:v>
                </c:pt>
                <c:pt idx="394">
                  <c:v>28750</c:v>
                </c:pt>
                <c:pt idx="395">
                  <c:v>30375</c:v>
                </c:pt>
                <c:pt idx="396">
                  <c:v>29500</c:v>
                </c:pt>
                <c:pt idx="397">
                  <c:v>27500</c:v>
                </c:pt>
                <c:pt idx="398">
                  <c:v>31000</c:v>
                </c:pt>
                <c:pt idx="399">
                  <c:v>30500</c:v>
                </c:pt>
                <c:pt idx="400">
                  <c:v>34250</c:v>
                </c:pt>
                <c:pt idx="401">
                  <c:v>33375</c:v>
                </c:pt>
                <c:pt idx="402">
                  <c:v>30000</c:v>
                </c:pt>
                <c:pt idx="403">
                  <c:v>28750</c:v>
                </c:pt>
                <c:pt idx="404">
                  <c:v>26875</c:v>
                </c:pt>
                <c:pt idx="405">
                  <c:v>18375</c:v>
                </c:pt>
                <c:pt idx="406">
                  <c:v>14500</c:v>
                </c:pt>
                <c:pt idx="407">
                  <c:v>10000</c:v>
                </c:pt>
                <c:pt idx="408">
                  <c:v>11250</c:v>
                </c:pt>
                <c:pt idx="409">
                  <c:v>12125</c:v>
                </c:pt>
                <c:pt idx="410">
                  <c:v>11625</c:v>
                </c:pt>
                <c:pt idx="411">
                  <c:v>10625</c:v>
                </c:pt>
                <c:pt idx="412">
                  <c:v>14125</c:v>
                </c:pt>
                <c:pt idx="413">
                  <c:v>15125</c:v>
                </c:pt>
                <c:pt idx="414">
                  <c:v>15500</c:v>
                </c:pt>
                <c:pt idx="415">
                  <c:v>14000</c:v>
                </c:pt>
                <c:pt idx="416">
                  <c:v>10375</c:v>
                </c:pt>
                <c:pt idx="417">
                  <c:v>5625</c:v>
                </c:pt>
                <c:pt idx="418">
                  <c:v>6000</c:v>
                </c:pt>
                <c:pt idx="419">
                  <c:v>6750</c:v>
                </c:pt>
                <c:pt idx="420">
                  <c:v>9125</c:v>
                </c:pt>
                <c:pt idx="421">
                  <c:v>12250</c:v>
                </c:pt>
                <c:pt idx="422">
                  <c:v>14125</c:v>
                </c:pt>
                <c:pt idx="423">
                  <c:v>18625</c:v>
                </c:pt>
                <c:pt idx="424">
                  <c:v>19625</c:v>
                </c:pt>
                <c:pt idx="425">
                  <c:v>24875</c:v>
                </c:pt>
                <c:pt idx="426">
                  <c:v>28875</c:v>
                </c:pt>
                <c:pt idx="427">
                  <c:v>29375</c:v>
                </c:pt>
                <c:pt idx="428">
                  <c:v>30375</c:v>
                </c:pt>
                <c:pt idx="429">
                  <c:v>27125</c:v>
                </c:pt>
                <c:pt idx="430">
                  <c:v>29125</c:v>
                </c:pt>
                <c:pt idx="431">
                  <c:v>26250</c:v>
                </c:pt>
                <c:pt idx="432">
                  <c:v>29000</c:v>
                </c:pt>
                <c:pt idx="433">
                  <c:v>29625</c:v>
                </c:pt>
                <c:pt idx="434">
                  <c:v>28625</c:v>
                </c:pt>
                <c:pt idx="435">
                  <c:v>24375</c:v>
                </c:pt>
                <c:pt idx="436">
                  <c:v>20250</c:v>
                </c:pt>
                <c:pt idx="437">
                  <c:v>16250</c:v>
                </c:pt>
                <c:pt idx="438">
                  <c:v>12750</c:v>
                </c:pt>
                <c:pt idx="439">
                  <c:v>16000</c:v>
                </c:pt>
                <c:pt idx="440">
                  <c:v>10500</c:v>
                </c:pt>
                <c:pt idx="441">
                  <c:v>19875</c:v>
                </c:pt>
                <c:pt idx="442">
                  <c:v>22750</c:v>
                </c:pt>
                <c:pt idx="443">
                  <c:v>15750</c:v>
                </c:pt>
                <c:pt idx="444">
                  <c:v>8125</c:v>
                </c:pt>
                <c:pt idx="445">
                  <c:v>4875</c:v>
                </c:pt>
                <c:pt idx="446">
                  <c:v>8000</c:v>
                </c:pt>
                <c:pt idx="447">
                  <c:v>5125</c:v>
                </c:pt>
                <c:pt idx="448">
                  <c:v>4500</c:v>
                </c:pt>
                <c:pt idx="449">
                  <c:v>4375</c:v>
                </c:pt>
                <c:pt idx="450">
                  <c:v>-125</c:v>
                </c:pt>
                <c:pt idx="451">
                  <c:v>-2750</c:v>
                </c:pt>
                <c:pt idx="452">
                  <c:v>-4250</c:v>
                </c:pt>
                <c:pt idx="453">
                  <c:v>-750</c:v>
                </c:pt>
                <c:pt idx="454">
                  <c:v>-2625</c:v>
                </c:pt>
                <c:pt idx="455">
                  <c:v>-1375</c:v>
                </c:pt>
                <c:pt idx="456">
                  <c:v>-5375</c:v>
                </c:pt>
                <c:pt idx="457">
                  <c:v>15125</c:v>
                </c:pt>
                <c:pt idx="458">
                  <c:v>15125</c:v>
                </c:pt>
                <c:pt idx="459">
                  <c:v>39625</c:v>
                </c:pt>
                <c:pt idx="460">
                  <c:v>45250</c:v>
                </c:pt>
                <c:pt idx="461">
                  <c:v>43000</c:v>
                </c:pt>
                <c:pt idx="462">
                  <c:v>46500</c:v>
                </c:pt>
                <c:pt idx="463">
                  <c:v>48000</c:v>
                </c:pt>
                <c:pt idx="464">
                  <c:v>46375</c:v>
                </c:pt>
                <c:pt idx="465">
                  <c:v>41000</c:v>
                </c:pt>
                <c:pt idx="466">
                  <c:v>40125</c:v>
                </c:pt>
                <c:pt idx="467">
                  <c:v>36125</c:v>
                </c:pt>
                <c:pt idx="468">
                  <c:v>34500</c:v>
                </c:pt>
                <c:pt idx="469">
                  <c:v>38250</c:v>
                </c:pt>
                <c:pt idx="470">
                  <c:v>32625</c:v>
                </c:pt>
                <c:pt idx="471">
                  <c:v>33000</c:v>
                </c:pt>
                <c:pt idx="472">
                  <c:v>39750</c:v>
                </c:pt>
                <c:pt idx="473">
                  <c:v>37625</c:v>
                </c:pt>
                <c:pt idx="474">
                  <c:v>40125</c:v>
                </c:pt>
                <c:pt idx="475">
                  <c:v>42500</c:v>
                </c:pt>
                <c:pt idx="476">
                  <c:v>43875</c:v>
                </c:pt>
                <c:pt idx="477">
                  <c:v>40875</c:v>
                </c:pt>
                <c:pt idx="478">
                  <c:v>40625</c:v>
                </c:pt>
                <c:pt idx="479">
                  <c:v>22125</c:v>
                </c:pt>
                <c:pt idx="480">
                  <c:v>19875</c:v>
                </c:pt>
                <c:pt idx="481">
                  <c:v>20750</c:v>
                </c:pt>
                <c:pt idx="482">
                  <c:v>14000</c:v>
                </c:pt>
                <c:pt idx="483">
                  <c:v>13125</c:v>
                </c:pt>
                <c:pt idx="484">
                  <c:v>22750</c:v>
                </c:pt>
                <c:pt idx="485">
                  <c:v>22750</c:v>
                </c:pt>
                <c:pt idx="486">
                  <c:v>26000</c:v>
                </c:pt>
                <c:pt idx="487">
                  <c:v>13750</c:v>
                </c:pt>
                <c:pt idx="488">
                  <c:v>17750</c:v>
                </c:pt>
                <c:pt idx="489">
                  <c:v>9250</c:v>
                </c:pt>
                <c:pt idx="490">
                  <c:v>11500</c:v>
                </c:pt>
                <c:pt idx="491">
                  <c:v>12375</c:v>
                </c:pt>
                <c:pt idx="492">
                  <c:v>15875</c:v>
                </c:pt>
                <c:pt idx="493">
                  <c:v>10875</c:v>
                </c:pt>
                <c:pt idx="494">
                  <c:v>13125</c:v>
                </c:pt>
                <c:pt idx="495">
                  <c:v>18625</c:v>
                </c:pt>
                <c:pt idx="496">
                  <c:v>9000</c:v>
                </c:pt>
                <c:pt idx="497">
                  <c:v>5750</c:v>
                </c:pt>
                <c:pt idx="498">
                  <c:v>7375</c:v>
                </c:pt>
                <c:pt idx="499">
                  <c:v>4375</c:v>
                </c:pt>
                <c:pt idx="500">
                  <c:v>4625</c:v>
                </c:pt>
                <c:pt idx="501">
                  <c:v>10625</c:v>
                </c:pt>
                <c:pt idx="502">
                  <c:v>5750</c:v>
                </c:pt>
                <c:pt idx="503">
                  <c:v>7625</c:v>
                </c:pt>
                <c:pt idx="504">
                  <c:v>9375</c:v>
                </c:pt>
                <c:pt idx="505">
                  <c:v>6375</c:v>
                </c:pt>
                <c:pt idx="506">
                  <c:v>6375</c:v>
                </c:pt>
                <c:pt idx="507">
                  <c:v>4250</c:v>
                </c:pt>
                <c:pt idx="508">
                  <c:v>12375</c:v>
                </c:pt>
                <c:pt idx="509">
                  <c:v>9000</c:v>
                </c:pt>
                <c:pt idx="510">
                  <c:v>12250</c:v>
                </c:pt>
                <c:pt idx="511">
                  <c:v>14875</c:v>
                </c:pt>
                <c:pt idx="512">
                  <c:v>9750</c:v>
                </c:pt>
                <c:pt idx="513">
                  <c:v>4875</c:v>
                </c:pt>
                <c:pt idx="514">
                  <c:v>1875</c:v>
                </c:pt>
                <c:pt idx="515">
                  <c:v>-3625</c:v>
                </c:pt>
                <c:pt idx="516">
                  <c:v>250</c:v>
                </c:pt>
                <c:pt idx="517">
                  <c:v>4000</c:v>
                </c:pt>
                <c:pt idx="518">
                  <c:v>10125</c:v>
                </c:pt>
                <c:pt idx="519">
                  <c:v>8625</c:v>
                </c:pt>
                <c:pt idx="520">
                  <c:v>5125</c:v>
                </c:pt>
                <c:pt idx="521">
                  <c:v>2625</c:v>
                </c:pt>
                <c:pt idx="522">
                  <c:v>4500</c:v>
                </c:pt>
                <c:pt idx="523">
                  <c:v>8875</c:v>
                </c:pt>
                <c:pt idx="524">
                  <c:v>1625</c:v>
                </c:pt>
                <c:pt idx="525">
                  <c:v>-2125</c:v>
                </c:pt>
                <c:pt idx="526">
                  <c:v>-6375</c:v>
                </c:pt>
                <c:pt idx="527">
                  <c:v>-9875</c:v>
                </c:pt>
                <c:pt idx="528">
                  <c:v>-15125</c:v>
                </c:pt>
                <c:pt idx="529">
                  <c:v>-17500</c:v>
                </c:pt>
                <c:pt idx="530">
                  <c:v>-22000</c:v>
                </c:pt>
                <c:pt idx="531">
                  <c:v>-16125</c:v>
                </c:pt>
                <c:pt idx="532">
                  <c:v>-10250</c:v>
                </c:pt>
                <c:pt idx="533">
                  <c:v>-14000</c:v>
                </c:pt>
                <c:pt idx="534">
                  <c:v>-11250</c:v>
                </c:pt>
                <c:pt idx="535">
                  <c:v>-12125</c:v>
                </c:pt>
                <c:pt idx="536">
                  <c:v>-13875</c:v>
                </c:pt>
                <c:pt idx="537">
                  <c:v>-12500</c:v>
                </c:pt>
                <c:pt idx="538">
                  <c:v>-3750</c:v>
                </c:pt>
                <c:pt idx="539">
                  <c:v>3875</c:v>
                </c:pt>
                <c:pt idx="540">
                  <c:v>10250</c:v>
                </c:pt>
                <c:pt idx="541">
                  <c:v>11125</c:v>
                </c:pt>
                <c:pt idx="542">
                  <c:v>13875</c:v>
                </c:pt>
                <c:pt idx="543">
                  <c:v>11875</c:v>
                </c:pt>
                <c:pt idx="544">
                  <c:v>8750</c:v>
                </c:pt>
                <c:pt idx="545">
                  <c:v>14500</c:v>
                </c:pt>
                <c:pt idx="546">
                  <c:v>19125</c:v>
                </c:pt>
                <c:pt idx="547">
                  <c:v>23875</c:v>
                </c:pt>
                <c:pt idx="548">
                  <c:v>22375</c:v>
                </c:pt>
                <c:pt idx="549">
                  <c:v>23875</c:v>
                </c:pt>
                <c:pt idx="550">
                  <c:v>22625</c:v>
                </c:pt>
                <c:pt idx="551">
                  <c:v>24375</c:v>
                </c:pt>
                <c:pt idx="552">
                  <c:v>21250</c:v>
                </c:pt>
                <c:pt idx="553">
                  <c:v>28875</c:v>
                </c:pt>
                <c:pt idx="554">
                  <c:v>27000</c:v>
                </c:pt>
                <c:pt idx="555">
                  <c:v>18875</c:v>
                </c:pt>
                <c:pt idx="556">
                  <c:v>21500</c:v>
                </c:pt>
                <c:pt idx="557">
                  <c:v>13500</c:v>
                </c:pt>
                <c:pt idx="558">
                  <c:v>15000</c:v>
                </c:pt>
                <c:pt idx="559">
                  <c:v>8875</c:v>
                </c:pt>
                <c:pt idx="560">
                  <c:v>12875</c:v>
                </c:pt>
                <c:pt idx="561">
                  <c:v>9250</c:v>
                </c:pt>
                <c:pt idx="562">
                  <c:v>-2375</c:v>
                </c:pt>
                <c:pt idx="563">
                  <c:v>5875</c:v>
                </c:pt>
                <c:pt idx="564">
                  <c:v>7375</c:v>
                </c:pt>
                <c:pt idx="565">
                  <c:v>8250</c:v>
                </c:pt>
                <c:pt idx="566">
                  <c:v>13750</c:v>
                </c:pt>
                <c:pt idx="567">
                  <c:v>12875</c:v>
                </c:pt>
                <c:pt idx="568">
                  <c:v>10625</c:v>
                </c:pt>
                <c:pt idx="569">
                  <c:v>15875</c:v>
                </c:pt>
                <c:pt idx="570">
                  <c:v>11875</c:v>
                </c:pt>
                <c:pt idx="571">
                  <c:v>19750</c:v>
                </c:pt>
                <c:pt idx="572">
                  <c:v>21000</c:v>
                </c:pt>
                <c:pt idx="573">
                  <c:v>20125</c:v>
                </c:pt>
                <c:pt idx="574">
                  <c:v>24625</c:v>
                </c:pt>
                <c:pt idx="575">
                  <c:v>24750</c:v>
                </c:pt>
                <c:pt idx="576">
                  <c:v>26625</c:v>
                </c:pt>
                <c:pt idx="577">
                  <c:v>27000</c:v>
                </c:pt>
                <c:pt idx="578">
                  <c:v>27750</c:v>
                </c:pt>
                <c:pt idx="579">
                  <c:v>26250</c:v>
                </c:pt>
                <c:pt idx="580">
                  <c:v>29250</c:v>
                </c:pt>
                <c:pt idx="581">
                  <c:v>28750</c:v>
                </c:pt>
                <c:pt idx="582">
                  <c:v>30625</c:v>
                </c:pt>
                <c:pt idx="583">
                  <c:v>26625</c:v>
                </c:pt>
                <c:pt idx="584">
                  <c:v>27250</c:v>
                </c:pt>
                <c:pt idx="585">
                  <c:v>27625</c:v>
                </c:pt>
                <c:pt idx="586">
                  <c:v>32500</c:v>
                </c:pt>
                <c:pt idx="587">
                  <c:v>36125</c:v>
                </c:pt>
                <c:pt idx="588">
                  <c:v>35125</c:v>
                </c:pt>
                <c:pt idx="589">
                  <c:v>34125</c:v>
                </c:pt>
                <c:pt idx="590">
                  <c:v>33000</c:v>
                </c:pt>
                <c:pt idx="591">
                  <c:v>30875</c:v>
                </c:pt>
                <c:pt idx="592">
                  <c:v>34000</c:v>
                </c:pt>
                <c:pt idx="593">
                  <c:v>33000</c:v>
                </c:pt>
                <c:pt idx="594">
                  <c:v>35875</c:v>
                </c:pt>
                <c:pt idx="595">
                  <c:v>37625</c:v>
                </c:pt>
                <c:pt idx="596">
                  <c:v>33375</c:v>
                </c:pt>
                <c:pt idx="597">
                  <c:v>33625</c:v>
                </c:pt>
                <c:pt idx="598">
                  <c:v>33625</c:v>
                </c:pt>
                <c:pt idx="599">
                  <c:v>33250</c:v>
                </c:pt>
                <c:pt idx="600">
                  <c:v>33125</c:v>
                </c:pt>
                <c:pt idx="601">
                  <c:v>34625</c:v>
                </c:pt>
                <c:pt idx="602">
                  <c:v>33125</c:v>
                </c:pt>
                <c:pt idx="603">
                  <c:v>34875</c:v>
                </c:pt>
                <c:pt idx="604">
                  <c:v>34500</c:v>
                </c:pt>
                <c:pt idx="605">
                  <c:v>39125</c:v>
                </c:pt>
                <c:pt idx="606">
                  <c:v>39375</c:v>
                </c:pt>
                <c:pt idx="607">
                  <c:v>39375</c:v>
                </c:pt>
                <c:pt idx="608">
                  <c:v>41125</c:v>
                </c:pt>
                <c:pt idx="609">
                  <c:v>40875</c:v>
                </c:pt>
                <c:pt idx="610">
                  <c:v>41375</c:v>
                </c:pt>
                <c:pt idx="611">
                  <c:v>42375</c:v>
                </c:pt>
                <c:pt idx="612">
                  <c:v>44125</c:v>
                </c:pt>
                <c:pt idx="613">
                  <c:v>44125</c:v>
                </c:pt>
                <c:pt idx="614">
                  <c:v>42375</c:v>
                </c:pt>
                <c:pt idx="615">
                  <c:v>37750</c:v>
                </c:pt>
                <c:pt idx="616">
                  <c:v>39625</c:v>
                </c:pt>
                <c:pt idx="617">
                  <c:v>41750</c:v>
                </c:pt>
                <c:pt idx="618">
                  <c:v>42625</c:v>
                </c:pt>
                <c:pt idx="619">
                  <c:v>48125</c:v>
                </c:pt>
                <c:pt idx="620">
                  <c:v>47000</c:v>
                </c:pt>
                <c:pt idx="621">
                  <c:v>46000</c:v>
                </c:pt>
                <c:pt idx="622">
                  <c:v>43875</c:v>
                </c:pt>
                <c:pt idx="623">
                  <c:v>43875</c:v>
                </c:pt>
                <c:pt idx="624">
                  <c:v>43250</c:v>
                </c:pt>
                <c:pt idx="625">
                  <c:v>45875</c:v>
                </c:pt>
                <c:pt idx="626">
                  <c:v>46000</c:v>
                </c:pt>
                <c:pt idx="627">
                  <c:v>47250</c:v>
                </c:pt>
                <c:pt idx="628">
                  <c:v>47000</c:v>
                </c:pt>
                <c:pt idx="629">
                  <c:v>44375</c:v>
                </c:pt>
                <c:pt idx="630">
                  <c:v>42625</c:v>
                </c:pt>
                <c:pt idx="631">
                  <c:v>42875</c:v>
                </c:pt>
                <c:pt idx="632">
                  <c:v>44000</c:v>
                </c:pt>
                <c:pt idx="633">
                  <c:v>40875</c:v>
                </c:pt>
                <c:pt idx="634">
                  <c:v>41125</c:v>
                </c:pt>
                <c:pt idx="635">
                  <c:v>39125</c:v>
                </c:pt>
                <c:pt idx="636">
                  <c:v>42000</c:v>
                </c:pt>
                <c:pt idx="637">
                  <c:v>45375</c:v>
                </c:pt>
                <c:pt idx="638">
                  <c:v>46000</c:v>
                </c:pt>
                <c:pt idx="639">
                  <c:v>45000</c:v>
                </c:pt>
                <c:pt idx="640">
                  <c:v>46000</c:v>
                </c:pt>
                <c:pt idx="641">
                  <c:v>43875</c:v>
                </c:pt>
                <c:pt idx="642">
                  <c:v>42250</c:v>
                </c:pt>
                <c:pt idx="643">
                  <c:v>41375</c:v>
                </c:pt>
                <c:pt idx="644">
                  <c:v>41250</c:v>
                </c:pt>
                <c:pt idx="645">
                  <c:v>44875</c:v>
                </c:pt>
                <c:pt idx="646">
                  <c:v>45000</c:v>
                </c:pt>
                <c:pt idx="647">
                  <c:v>46750</c:v>
                </c:pt>
                <c:pt idx="648">
                  <c:v>47250</c:v>
                </c:pt>
                <c:pt idx="649">
                  <c:v>49250</c:v>
                </c:pt>
                <c:pt idx="650">
                  <c:v>46750</c:v>
                </c:pt>
                <c:pt idx="651">
                  <c:v>45250</c:v>
                </c:pt>
                <c:pt idx="652">
                  <c:v>45125</c:v>
                </c:pt>
                <c:pt idx="653">
                  <c:v>49125</c:v>
                </c:pt>
                <c:pt idx="654">
                  <c:v>52875</c:v>
                </c:pt>
                <c:pt idx="655">
                  <c:v>44250</c:v>
                </c:pt>
                <c:pt idx="656">
                  <c:v>41375</c:v>
                </c:pt>
                <c:pt idx="657">
                  <c:v>43125</c:v>
                </c:pt>
                <c:pt idx="658">
                  <c:v>45250</c:v>
                </c:pt>
                <c:pt idx="659">
                  <c:v>45250</c:v>
                </c:pt>
                <c:pt idx="660">
                  <c:v>46625</c:v>
                </c:pt>
                <c:pt idx="661">
                  <c:v>46750</c:v>
                </c:pt>
                <c:pt idx="662">
                  <c:v>45500</c:v>
                </c:pt>
                <c:pt idx="663">
                  <c:v>43875</c:v>
                </c:pt>
                <c:pt idx="664">
                  <c:v>43750</c:v>
                </c:pt>
                <c:pt idx="665">
                  <c:v>42625</c:v>
                </c:pt>
                <c:pt idx="666">
                  <c:v>42250</c:v>
                </c:pt>
                <c:pt idx="667">
                  <c:v>44625</c:v>
                </c:pt>
                <c:pt idx="668">
                  <c:v>42000</c:v>
                </c:pt>
                <c:pt idx="669">
                  <c:v>42625</c:v>
                </c:pt>
                <c:pt idx="670">
                  <c:v>40500</c:v>
                </c:pt>
                <c:pt idx="671">
                  <c:v>38125</c:v>
                </c:pt>
                <c:pt idx="672">
                  <c:v>36750</c:v>
                </c:pt>
                <c:pt idx="673">
                  <c:v>37125</c:v>
                </c:pt>
                <c:pt idx="674">
                  <c:v>36750</c:v>
                </c:pt>
                <c:pt idx="675">
                  <c:v>38000</c:v>
                </c:pt>
                <c:pt idx="676">
                  <c:v>37625</c:v>
                </c:pt>
                <c:pt idx="677">
                  <c:v>38500</c:v>
                </c:pt>
                <c:pt idx="678">
                  <c:v>38875</c:v>
                </c:pt>
                <c:pt idx="679">
                  <c:v>36500</c:v>
                </c:pt>
                <c:pt idx="680">
                  <c:v>34375</c:v>
                </c:pt>
                <c:pt idx="681">
                  <c:v>31875</c:v>
                </c:pt>
                <c:pt idx="682">
                  <c:v>30875</c:v>
                </c:pt>
                <c:pt idx="683">
                  <c:v>31125</c:v>
                </c:pt>
                <c:pt idx="684">
                  <c:v>33375</c:v>
                </c:pt>
                <c:pt idx="685">
                  <c:v>32125</c:v>
                </c:pt>
                <c:pt idx="686">
                  <c:v>29625</c:v>
                </c:pt>
                <c:pt idx="687">
                  <c:v>33125</c:v>
                </c:pt>
                <c:pt idx="688">
                  <c:v>29750</c:v>
                </c:pt>
                <c:pt idx="689">
                  <c:v>28375</c:v>
                </c:pt>
                <c:pt idx="690">
                  <c:v>22000</c:v>
                </c:pt>
                <c:pt idx="691">
                  <c:v>21500</c:v>
                </c:pt>
                <c:pt idx="692">
                  <c:v>14875</c:v>
                </c:pt>
                <c:pt idx="693">
                  <c:v>17250</c:v>
                </c:pt>
                <c:pt idx="694">
                  <c:v>22250</c:v>
                </c:pt>
                <c:pt idx="695">
                  <c:v>19750</c:v>
                </c:pt>
                <c:pt idx="696">
                  <c:v>16500</c:v>
                </c:pt>
                <c:pt idx="697">
                  <c:v>16875</c:v>
                </c:pt>
                <c:pt idx="698">
                  <c:v>18875</c:v>
                </c:pt>
                <c:pt idx="699">
                  <c:v>19875</c:v>
                </c:pt>
                <c:pt idx="700">
                  <c:v>16750</c:v>
                </c:pt>
                <c:pt idx="701">
                  <c:v>15125</c:v>
                </c:pt>
                <c:pt idx="702">
                  <c:v>20625</c:v>
                </c:pt>
                <c:pt idx="703">
                  <c:v>19875</c:v>
                </c:pt>
                <c:pt idx="704">
                  <c:v>15625</c:v>
                </c:pt>
                <c:pt idx="705">
                  <c:v>17125</c:v>
                </c:pt>
                <c:pt idx="706">
                  <c:v>18250</c:v>
                </c:pt>
                <c:pt idx="707">
                  <c:v>14250</c:v>
                </c:pt>
                <c:pt idx="708">
                  <c:v>13250</c:v>
                </c:pt>
                <c:pt idx="709">
                  <c:v>9500</c:v>
                </c:pt>
                <c:pt idx="710">
                  <c:v>6125</c:v>
                </c:pt>
                <c:pt idx="711">
                  <c:v>12875</c:v>
                </c:pt>
                <c:pt idx="712">
                  <c:v>11500</c:v>
                </c:pt>
                <c:pt idx="713">
                  <c:v>10375</c:v>
                </c:pt>
                <c:pt idx="714">
                  <c:v>11000</c:v>
                </c:pt>
                <c:pt idx="715">
                  <c:v>6625</c:v>
                </c:pt>
                <c:pt idx="716">
                  <c:v>7875</c:v>
                </c:pt>
                <c:pt idx="717">
                  <c:v>8875</c:v>
                </c:pt>
                <c:pt idx="718">
                  <c:v>10500</c:v>
                </c:pt>
                <c:pt idx="719">
                  <c:v>8000</c:v>
                </c:pt>
                <c:pt idx="720">
                  <c:v>8625</c:v>
                </c:pt>
                <c:pt idx="721">
                  <c:v>11750</c:v>
                </c:pt>
                <c:pt idx="722">
                  <c:v>13250</c:v>
                </c:pt>
                <c:pt idx="723">
                  <c:v>12625</c:v>
                </c:pt>
                <c:pt idx="724">
                  <c:v>16375</c:v>
                </c:pt>
                <c:pt idx="725">
                  <c:v>11000</c:v>
                </c:pt>
                <c:pt idx="726">
                  <c:v>8750</c:v>
                </c:pt>
                <c:pt idx="727">
                  <c:v>9375</c:v>
                </c:pt>
                <c:pt idx="728">
                  <c:v>6500</c:v>
                </c:pt>
                <c:pt idx="729">
                  <c:v>5625</c:v>
                </c:pt>
                <c:pt idx="730">
                  <c:v>2875</c:v>
                </c:pt>
                <c:pt idx="731">
                  <c:v>3500</c:v>
                </c:pt>
                <c:pt idx="732">
                  <c:v>8250</c:v>
                </c:pt>
                <c:pt idx="733">
                  <c:v>13625</c:v>
                </c:pt>
                <c:pt idx="734">
                  <c:v>8250</c:v>
                </c:pt>
                <c:pt idx="735">
                  <c:v>3375</c:v>
                </c:pt>
                <c:pt idx="736">
                  <c:v>6375</c:v>
                </c:pt>
                <c:pt idx="737">
                  <c:v>3375</c:v>
                </c:pt>
                <c:pt idx="738">
                  <c:v>6625</c:v>
                </c:pt>
                <c:pt idx="739">
                  <c:v>11125</c:v>
                </c:pt>
                <c:pt idx="740">
                  <c:v>10125</c:v>
                </c:pt>
                <c:pt idx="741">
                  <c:v>12750</c:v>
                </c:pt>
                <c:pt idx="742">
                  <c:v>18750</c:v>
                </c:pt>
                <c:pt idx="743">
                  <c:v>19750</c:v>
                </c:pt>
                <c:pt idx="744">
                  <c:v>22250</c:v>
                </c:pt>
                <c:pt idx="745">
                  <c:v>23750</c:v>
                </c:pt>
                <c:pt idx="746">
                  <c:v>23625</c:v>
                </c:pt>
                <c:pt idx="747">
                  <c:v>23000</c:v>
                </c:pt>
                <c:pt idx="748">
                  <c:v>22125</c:v>
                </c:pt>
                <c:pt idx="749">
                  <c:v>25625</c:v>
                </c:pt>
                <c:pt idx="750">
                  <c:v>24875</c:v>
                </c:pt>
                <c:pt idx="751">
                  <c:v>26500</c:v>
                </c:pt>
                <c:pt idx="752">
                  <c:v>27375</c:v>
                </c:pt>
                <c:pt idx="753">
                  <c:v>27375</c:v>
                </c:pt>
                <c:pt idx="754">
                  <c:v>32125</c:v>
                </c:pt>
                <c:pt idx="755">
                  <c:v>32625</c:v>
                </c:pt>
                <c:pt idx="756">
                  <c:v>35625</c:v>
                </c:pt>
                <c:pt idx="757">
                  <c:v>32375</c:v>
                </c:pt>
                <c:pt idx="758">
                  <c:v>37125</c:v>
                </c:pt>
                <c:pt idx="759">
                  <c:v>37625</c:v>
                </c:pt>
                <c:pt idx="760">
                  <c:v>40750</c:v>
                </c:pt>
                <c:pt idx="761">
                  <c:v>39625</c:v>
                </c:pt>
                <c:pt idx="762">
                  <c:v>38375</c:v>
                </c:pt>
                <c:pt idx="763">
                  <c:v>40125</c:v>
                </c:pt>
                <c:pt idx="764">
                  <c:v>41375</c:v>
                </c:pt>
                <c:pt idx="765">
                  <c:v>39625</c:v>
                </c:pt>
                <c:pt idx="766">
                  <c:v>35875</c:v>
                </c:pt>
                <c:pt idx="767">
                  <c:v>34750</c:v>
                </c:pt>
                <c:pt idx="768">
                  <c:v>38125</c:v>
                </c:pt>
                <c:pt idx="769">
                  <c:v>39500</c:v>
                </c:pt>
                <c:pt idx="770">
                  <c:v>40625</c:v>
                </c:pt>
                <c:pt idx="771">
                  <c:v>38500</c:v>
                </c:pt>
                <c:pt idx="772">
                  <c:v>40125</c:v>
                </c:pt>
                <c:pt idx="773">
                  <c:v>48375</c:v>
                </c:pt>
                <c:pt idx="774">
                  <c:v>50000</c:v>
                </c:pt>
                <c:pt idx="775">
                  <c:v>51750</c:v>
                </c:pt>
                <c:pt idx="776">
                  <c:v>52250</c:v>
                </c:pt>
                <c:pt idx="777">
                  <c:v>56250</c:v>
                </c:pt>
                <c:pt idx="778">
                  <c:v>56500</c:v>
                </c:pt>
                <c:pt idx="779">
                  <c:v>58625</c:v>
                </c:pt>
                <c:pt idx="780">
                  <c:v>60250</c:v>
                </c:pt>
                <c:pt idx="781">
                  <c:v>63250</c:v>
                </c:pt>
                <c:pt idx="782">
                  <c:v>59500</c:v>
                </c:pt>
                <c:pt idx="783">
                  <c:v>62625</c:v>
                </c:pt>
                <c:pt idx="784">
                  <c:v>62000</c:v>
                </c:pt>
                <c:pt idx="785">
                  <c:v>60250</c:v>
                </c:pt>
                <c:pt idx="786">
                  <c:v>64000</c:v>
                </c:pt>
                <c:pt idx="787">
                  <c:v>67500</c:v>
                </c:pt>
                <c:pt idx="788">
                  <c:v>69500</c:v>
                </c:pt>
                <c:pt idx="789">
                  <c:v>69000</c:v>
                </c:pt>
                <c:pt idx="790">
                  <c:v>69750</c:v>
                </c:pt>
                <c:pt idx="791">
                  <c:v>68875</c:v>
                </c:pt>
                <c:pt idx="792">
                  <c:v>66000</c:v>
                </c:pt>
                <c:pt idx="793">
                  <c:v>69500</c:v>
                </c:pt>
                <c:pt idx="794">
                  <c:v>69750</c:v>
                </c:pt>
                <c:pt idx="795">
                  <c:v>71125</c:v>
                </c:pt>
                <c:pt idx="796">
                  <c:v>73000</c:v>
                </c:pt>
                <c:pt idx="797">
                  <c:v>70375</c:v>
                </c:pt>
                <c:pt idx="798">
                  <c:v>72625</c:v>
                </c:pt>
                <c:pt idx="799">
                  <c:v>69125</c:v>
                </c:pt>
                <c:pt idx="800">
                  <c:v>71125</c:v>
                </c:pt>
                <c:pt idx="801">
                  <c:v>74000</c:v>
                </c:pt>
                <c:pt idx="802">
                  <c:v>72250</c:v>
                </c:pt>
                <c:pt idx="803">
                  <c:v>70500</c:v>
                </c:pt>
                <c:pt idx="804">
                  <c:v>70875</c:v>
                </c:pt>
                <c:pt idx="805">
                  <c:v>69000</c:v>
                </c:pt>
                <c:pt idx="806">
                  <c:v>67125</c:v>
                </c:pt>
                <c:pt idx="807">
                  <c:v>69375</c:v>
                </c:pt>
                <c:pt idx="808">
                  <c:v>69250</c:v>
                </c:pt>
                <c:pt idx="809">
                  <c:v>70750</c:v>
                </c:pt>
                <c:pt idx="810">
                  <c:v>68500</c:v>
                </c:pt>
                <c:pt idx="811">
                  <c:v>66875</c:v>
                </c:pt>
                <c:pt idx="812">
                  <c:v>69875</c:v>
                </c:pt>
                <c:pt idx="813">
                  <c:v>72625</c:v>
                </c:pt>
                <c:pt idx="814">
                  <c:v>72625</c:v>
                </c:pt>
                <c:pt idx="815">
                  <c:v>69875</c:v>
                </c:pt>
                <c:pt idx="816">
                  <c:v>71625</c:v>
                </c:pt>
                <c:pt idx="817">
                  <c:v>72125</c:v>
                </c:pt>
                <c:pt idx="818">
                  <c:v>78750</c:v>
                </c:pt>
                <c:pt idx="819">
                  <c:v>82000</c:v>
                </c:pt>
                <c:pt idx="820">
                  <c:v>77375</c:v>
                </c:pt>
                <c:pt idx="821">
                  <c:v>80750</c:v>
                </c:pt>
                <c:pt idx="822">
                  <c:v>82000</c:v>
                </c:pt>
                <c:pt idx="823">
                  <c:v>80125</c:v>
                </c:pt>
                <c:pt idx="824">
                  <c:v>83875</c:v>
                </c:pt>
                <c:pt idx="825">
                  <c:v>84250</c:v>
                </c:pt>
                <c:pt idx="826">
                  <c:v>82000</c:v>
                </c:pt>
                <c:pt idx="827">
                  <c:v>81125</c:v>
                </c:pt>
                <c:pt idx="828">
                  <c:v>82750</c:v>
                </c:pt>
                <c:pt idx="829">
                  <c:v>84125</c:v>
                </c:pt>
                <c:pt idx="830">
                  <c:v>87125</c:v>
                </c:pt>
                <c:pt idx="831">
                  <c:v>88250</c:v>
                </c:pt>
                <c:pt idx="832">
                  <c:v>90625</c:v>
                </c:pt>
                <c:pt idx="833">
                  <c:v>88750</c:v>
                </c:pt>
                <c:pt idx="834">
                  <c:v>90500</c:v>
                </c:pt>
                <c:pt idx="835">
                  <c:v>91750</c:v>
                </c:pt>
                <c:pt idx="836">
                  <c:v>90750</c:v>
                </c:pt>
                <c:pt idx="837">
                  <c:v>92625</c:v>
                </c:pt>
                <c:pt idx="838">
                  <c:v>92875</c:v>
                </c:pt>
                <c:pt idx="839">
                  <c:v>92750</c:v>
                </c:pt>
                <c:pt idx="840">
                  <c:v>92000</c:v>
                </c:pt>
                <c:pt idx="841">
                  <c:v>87500</c:v>
                </c:pt>
                <c:pt idx="842">
                  <c:v>83750</c:v>
                </c:pt>
                <c:pt idx="843">
                  <c:v>82375</c:v>
                </c:pt>
                <c:pt idx="844">
                  <c:v>80750</c:v>
                </c:pt>
                <c:pt idx="845">
                  <c:v>87125</c:v>
                </c:pt>
                <c:pt idx="846">
                  <c:v>76125</c:v>
                </c:pt>
                <c:pt idx="847">
                  <c:v>79250</c:v>
                </c:pt>
                <c:pt idx="848">
                  <c:v>77875</c:v>
                </c:pt>
                <c:pt idx="849">
                  <c:v>79625</c:v>
                </c:pt>
                <c:pt idx="850">
                  <c:v>79875</c:v>
                </c:pt>
                <c:pt idx="851">
                  <c:v>75125</c:v>
                </c:pt>
                <c:pt idx="852">
                  <c:v>76750</c:v>
                </c:pt>
                <c:pt idx="853">
                  <c:v>73875</c:v>
                </c:pt>
                <c:pt idx="854">
                  <c:v>76875</c:v>
                </c:pt>
                <c:pt idx="855">
                  <c:v>73125</c:v>
                </c:pt>
                <c:pt idx="856">
                  <c:v>71375</c:v>
                </c:pt>
                <c:pt idx="857">
                  <c:v>67125</c:v>
                </c:pt>
                <c:pt idx="858">
                  <c:v>65625</c:v>
                </c:pt>
                <c:pt idx="859">
                  <c:v>67125</c:v>
                </c:pt>
                <c:pt idx="860">
                  <c:v>67750</c:v>
                </c:pt>
                <c:pt idx="861">
                  <c:v>70625</c:v>
                </c:pt>
                <c:pt idx="862">
                  <c:v>68875</c:v>
                </c:pt>
                <c:pt idx="863">
                  <c:v>67625</c:v>
                </c:pt>
                <c:pt idx="864">
                  <c:v>69375</c:v>
                </c:pt>
                <c:pt idx="865">
                  <c:v>68125</c:v>
                </c:pt>
                <c:pt idx="866">
                  <c:v>64500</c:v>
                </c:pt>
                <c:pt idx="867">
                  <c:v>61875</c:v>
                </c:pt>
                <c:pt idx="868">
                  <c:v>61875</c:v>
                </c:pt>
                <c:pt idx="869">
                  <c:v>64875</c:v>
                </c:pt>
                <c:pt idx="870">
                  <c:v>66750</c:v>
                </c:pt>
                <c:pt idx="871">
                  <c:v>71625</c:v>
                </c:pt>
                <c:pt idx="872">
                  <c:v>67000</c:v>
                </c:pt>
                <c:pt idx="873">
                  <c:v>65000</c:v>
                </c:pt>
                <c:pt idx="874">
                  <c:v>70125</c:v>
                </c:pt>
                <c:pt idx="875">
                  <c:v>67250</c:v>
                </c:pt>
                <c:pt idx="876">
                  <c:v>64250</c:v>
                </c:pt>
                <c:pt idx="877">
                  <c:v>65500</c:v>
                </c:pt>
                <c:pt idx="878">
                  <c:v>66250</c:v>
                </c:pt>
                <c:pt idx="879">
                  <c:v>69000</c:v>
                </c:pt>
                <c:pt idx="880">
                  <c:v>70000</c:v>
                </c:pt>
                <c:pt idx="881">
                  <c:v>65625</c:v>
                </c:pt>
                <c:pt idx="882">
                  <c:v>62500</c:v>
                </c:pt>
                <c:pt idx="883">
                  <c:v>63625</c:v>
                </c:pt>
                <c:pt idx="884">
                  <c:v>62125</c:v>
                </c:pt>
                <c:pt idx="885">
                  <c:v>63000</c:v>
                </c:pt>
                <c:pt idx="886">
                  <c:v>60625</c:v>
                </c:pt>
                <c:pt idx="887">
                  <c:v>54250</c:v>
                </c:pt>
                <c:pt idx="888">
                  <c:v>55000</c:v>
                </c:pt>
                <c:pt idx="889">
                  <c:v>55750</c:v>
                </c:pt>
                <c:pt idx="890">
                  <c:v>55125</c:v>
                </c:pt>
                <c:pt idx="891">
                  <c:v>53625</c:v>
                </c:pt>
                <c:pt idx="892">
                  <c:v>54625</c:v>
                </c:pt>
                <c:pt idx="893">
                  <c:v>53000</c:v>
                </c:pt>
                <c:pt idx="894">
                  <c:v>52250</c:v>
                </c:pt>
                <c:pt idx="895">
                  <c:v>55125</c:v>
                </c:pt>
                <c:pt idx="896">
                  <c:v>52500</c:v>
                </c:pt>
                <c:pt idx="897">
                  <c:v>52875</c:v>
                </c:pt>
                <c:pt idx="898">
                  <c:v>55750</c:v>
                </c:pt>
                <c:pt idx="899">
                  <c:v>60750</c:v>
                </c:pt>
                <c:pt idx="900">
                  <c:v>61250</c:v>
                </c:pt>
                <c:pt idx="901">
                  <c:v>56250</c:v>
                </c:pt>
                <c:pt idx="902">
                  <c:v>56625</c:v>
                </c:pt>
                <c:pt idx="903">
                  <c:v>60750</c:v>
                </c:pt>
                <c:pt idx="904">
                  <c:v>61750</c:v>
                </c:pt>
                <c:pt idx="905">
                  <c:v>58625</c:v>
                </c:pt>
                <c:pt idx="906">
                  <c:v>57625</c:v>
                </c:pt>
                <c:pt idx="907">
                  <c:v>65875</c:v>
                </c:pt>
                <c:pt idx="908">
                  <c:v>69125</c:v>
                </c:pt>
                <c:pt idx="909">
                  <c:v>69875</c:v>
                </c:pt>
                <c:pt idx="910">
                  <c:v>65500</c:v>
                </c:pt>
                <c:pt idx="911">
                  <c:v>64250</c:v>
                </c:pt>
                <c:pt idx="912">
                  <c:v>65125</c:v>
                </c:pt>
                <c:pt idx="913">
                  <c:v>67125</c:v>
                </c:pt>
                <c:pt idx="914">
                  <c:v>66250</c:v>
                </c:pt>
                <c:pt idx="915">
                  <c:v>66750</c:v>
                </c:pt>
                <c:pt idx="916">
                  <c:v>67625</c:v>
                </c:pt>
                <c:pt idx="917">
                  <c:v>70875</c:v>
                </c:pt>
                <c:pt idx="918">
                  <c:v>73875</c:v>
                </c:pt>
                <c:pt idx="919">
                  <c:v>74000</c:v>
                </c:pt>
                <c:pt idx="920">
                  <c:v>73750</c:v>
                </c:pt>
                <c:pt idx="921">
                  <c:v>66000</c:v>
                </c:pt>
                <c:pt idx="922">
                  <c:v>68625</c:v>
                </c:pt>
                <c:pt idx="923">
                  <c:v>67125</c:v>
                </c:pt>
                <c:pt idx="924">
                  <c:v>67750</c:v>
                </c:pt>
                <c:pt idx="925">
                  <c:v>63750</c:v>
                </c:pt>
                <c:pt idx="926">
                  <c:v>65500</c:v>
                </c:pt>
                <c:pt idx="927">
                  <c:v>65500</c:v>
                </c:pt>
                <c:pt idx="928">
                  <c:v>67625</c:v>
                </c:pt>
                <c:pt idx="929">
                  <c:v>66375</c:v>
                </c:pt>
                <c:pt idx="930">
                  <c:v>64625</c:v>
                </c:pt>
                <c:pt idx="931">
                  <c:v>67250</c:v>
                </c:pt>
                <c:pt idx="932">
                  <c:v>64625</c:v>
                </c:pt>
                <c:pt idx="933">
                  <c:v>67125</c:v>
                </c:pt>
                <c:pt idx="934">
                  <c:v>69375</c:v>
                </c:pt>
                <c:pt idx="935">
                  <c:v>69750</c:v>
                </c:pt>
                <c:pt idx="936">
                  <c:v>72625</c:v>
                </c:pt>
                <c:pt idx="937">
                  <c:v>69250</c:v>
                </c:pt>
                <c:pt idx="938">
                  <c:v>65625</c:v>
                </c:pt>
                <c:pt idx="939">
                  <c:v>69750</c:v>
                </c:pt>
                <c:pt idx="940">
                  <c:v>68500</c:v>
                </c:pt>
                <c:pt idx="941">
                  <c:v>68750</c:v>
                </c:pt>
                <c:pt idx="942">
                  <c:v>67500</c:v>
                </c:pt>
                <c:pt idx="943">
                  <c:v>70500</c:v>
                </c:pt>
                <c:pt idx="944">
                  <c:v>67000</c:v>
                </c:pt>
                <c:pt idx="945">
                  <c:v>69000</c:v>
                </c:pt>
                <c:pt idx="946">
                  <c:v>66750</c:v>
                </c:pt>
                <c:pt idx="947">
                  <c:v>67750</c:v>
                </c:pt>
                <c:pt idx="948">
                  <c:v>71875</c:v>
                </c:pt>
                <c:pt idx="949">
                  <c:v>73125</c:v>
                </c:pt>
                <c:pt idx="950">
                  <c:v>77125</c:v>
                </c:pt>
                <c:pt idx="951">
                  <c:v>76125</c:v>
                </c:pt>
                <c:pt idx="952">
                  <c:v>76125</c:v>
                </c:pt>
                <c:pt idx="953">
                  <c:v>69375</c:v>
                </c:pt>
                <c:pt idx="954">
                  <c:v>67000</c:v>
                </c:pt>
                <c:pt idx="955">
                  <c:v>66000</c:v>
                </c:pt>
                <c:pt idx="956">
                  <c:v>64750</c:v>
                </c:pt>
                <c:pt idx="957">
                  <c:v>66875</c:v>
                </c:pt>
                <c:pt idx="958">
                  <c:v>67000</c:v>
                </c:pt>
                <c:pt idx="959">
                  <c:v>65500</c:v>
                </c:pt>
                <c:pt idx="960">
                  <c:v>74000</c:v>
                </c:pt>
                <c:pt idx="961">
                  <c:v>71750</c:v>
                </c:pt>
                <c:pt idx="962">
                  <c:v>68875</c:v>
                </c:pt>
                <c:pt idx="963">
                  <c:v>68875</c:v>
                </c:pt>
                <c:pt idx="964">
                  <c:v>69750</c:v>
                </c:pt>
                <c:pt idx="965">
                  <c:v>71000</c:v>
                </c:pt>
                <c:pt idx="966">
                  <c:v>73375</c:v>
                </c:pt>
                <c:pt idx="967">
                  <c:v>73125</c:v>
                </c:pt>
                <c:pt idx="968">
                  <c:v>74375</c:v>
                </c:pt>
                <c:pt idx="969">
                  <c:v>76500</c:v>
                </c:pt>
                <c:pt idx="970">
                  <c:v>75250</c:v>
                </c:pt>
                <c:pt idx="971">
                  <c:v>74750</c:v>
                </c:pt>
                <c:pt idx="972">
                  <c:v>73625</c:v>
                </c:pt>
                <c:pt idx="973">
                  <c:v>73125</c:v>
                </c:pt>
                <c:pt idx="974">
                  <c:v>73000</c:v>
                </c:pt>
                <c:pt idx="975">
                  <c:v>75875</c:v>
                </c:pt>
                <c:pt idx="976">
                  <c:v>76125</c:v>
                </c:pt>
                <c:pt idx="977">
                  <c:v>74750</c:v>
                </c:pt>
                <c:pt idx="978">
                  <c:v>79625</c:v>
                </c:pt>
                <c:pt idx="979">
                  <c:v>81500</c:v>
                </c:pt>
                <c:pt idx="980">
                  <c:v>81125</c:v>
                </c:pt>
                <c:pt idx="981">
                  <c:v>80750</c:v>
                </c:pt>
                <c:pt idx="982">
                  <c:v>81750</c:v>
                </c:pt>
                <c:pt idx="983">
                  <c:v>83000</c:v>
                </c:pt>
                <c:pt idx="984">
                  <c:v>82250</c:v>
                </c:pt>
                <c:pt idx="985">
                  <c:v>82875</c:v>
                </c:pt>
                <c:pt idx="986">
                  <c:v>79500</c:v>
                </c:pt>
                <c:pt idx="987">
                  <c:v>83250</c:v>
                </c:pt>
                <c:pt idx="988">
                  <c:v>84000</c:v>
                </c:pt>
                <c:pt idx="989">
                  <c:v>83625</c:v>
                </c:pt>
                <c:pt idx="990">
                  <c:v>83000</c:v>
                </c:pt>
                <c:pt idx="991">
                  <c:v>83875</c:v>
                </c:pt>
                <c:pt idx="992">
                  <c:v>80625</c:v>
                </c:pt>
                <c:pt idx="993">
                  <c:v>82125</c:v>
                </c:pt>
                <c:pt idx="994">
                  <c:v>79375</c:v>
                </c:pt>
                <c:pt idx="995">
                  <c:v>83500</c:v>
                </c:pt>
                <c:pt idx="996">
                  <c:v>84500</c:v>
                </c:pt>
                <c:pt idx="997">
                  <c:v>82000</c:v>
                </c:pt>
                <c:pt idx="998">
                  <c:v>84000</c:v>
                </c:pt>
                <c:pt idx="999">
                  <c:v>87375</c:v>
                </c:pt>
                <c:pt idx="1000">
                  <c:v>89375</c:v>
                </c:pt>
                <c:pt idx="1001">
                  <c:v>87500</c:v>
                </c:pt>
                <c:pt idx="1002">
                  <c:v>89125</c:v>
                </c:pt>
                <c:pt idx="1003">
                  <c:v>88375</c:v>
                </c:pt>
                <c:pt idx="1004">
                  <c:v>84750</c:v>
                </c:pt>
                <c:pt idx="1005">
                  <c:v>85625</c:v>
                </c:pt>
                <c:pt idx="1006">
                  <c:v>82625</c:v>
                </c:pt>
                <c:pt idx="1007">
                  <c:v>84250</c:v>
                </c:pt>
                <c:pt idx="1008">
                  <c:v>82125</c:v>
                </c:pt>
                <c:pt idx="1009">
                  <c:v>81750</c:v>
                </c:pt>
                <c:pt idx="1010">
                  <c:v>84750</c:v>
                </c:pt>
                <c:pt idx="1011">
                  <c:v>86750</c:v>
                </c:pt>
                <c:pt idx="1012">
                  <c:v>87750</c:v>
                </c:pt>
                <c:pt idx="1013">
                  <c:v>90500</c:v>
                </c:pt>
                <c:pt idx="1014">
                  <c:v>88625</c:v>
                </c:pt>
                <c:pt idx="1015">
                  <c:v>85375</c:v>
                </c:pt>
                <c:pt idx="1016">
                  <c:v>84875</c:v>
                </c:pt>
                <c:pt idx="1017">
                  <c:v>87125</c:v>
                </c:pt>
                <c:pt idx="1018">
                  <c:v>85250</c:v>
                </c:pt>
                <c:pt idx="1019">
                  <c:v>81000</c:v>
                </c:pt>
                <c:pt idx="1020">
                  <c:v>80625</c:v>
                </c:pt>
                <c:pt idx="1021">
                  <c:v>76750</c:v>
                </c:pt>
                <c:pt idx="1022">
                  <c:v>71750</c:v>
                </c:pt>
                <c:pt idx="1023">
                  <c:v>71750</c:v>
                </c:pt>
                <c:pt idx="1024">
                  <c:v>59500</c:v>
                </c:pt>
                <c:pt idx="1025">
                  <c:v>60750</c:v>
                </c:pt>
                <c:pt idx="1026">
                  <c:v>54500</c:v>
                </c:pt>
                <c:pt idx="1027">
                  <c:v>55250</c:v>
                </c:pt>
                <c:pt idx="1028">
                  <c:v>56375</c:v>
                </c:pt>
                <c:pt idx="1029">
                  <c:v>56125</c:v>
                </c:pt>
                <c:pt idx="1030">
                  <c:v>52750</c:v>
                </c:pt>
                <c:pt idx="1031">
                  <c:v>50375</c:v>
                </c:pt>
                <c:pt idx="1032">
                  <c:v>47500</c:v>
                </c:pt>
                <c:pt idx="1033">
                  <c:v>52375</c:v>
                </c:pt>
                <c:pt idx="1034">
                  <c:v>54375</c:v>
                </c:pt>
                <c:pt idx="1035">
                  <c:v>52750</c:v>
                </c:pt>
                <c:pt idx="1036">
                  <c:v>58125</c:v>
                </c:pt>
                <c:pt idx="1037">
                  <c:v>65000</c:v>
                </c:pt>
                <c:pt idx="1038">
                  <c:v>64375</c:v>
                </c:pt>
                <c:pt idx="1039">
                  <c:v>67000</c:v>
                </c:pt>
                <c:pt idx="1040">
                  <c:v>67625</c:v>
                </c:pt>
                <c:pt idx="1041">
                  <c:v>70750</c:v>
                </c:pt>
                <c:pt idx="1042">
                  <c:v>79625</c:v>
                </c:pt>
                <c:pt idx="1043">
                  <c:v>82625</c:v>
                </c:pt>
                <c:pt idx="1044">
                  <c:v>83625</c:v>
                </c:pt>
                <c:pt idx="1045">
                  <c:v>82625</c:v>
                </c:pt>
                <c:pt idx="1046">
                  <c:v>80875</c:v>
                </c:pt>
                <c:pt idx="1047">
                  <c:v>83875</c:v>
                </c:pt>
                <c:pt idx="1048">
                  <c:v>84625</c:v>
                </c:pt>
                <c:pt idx="1049">
                  <c:v>82125</c:v>
                </c:pt>
                <c:pt idx="1050">
                  <c:v>82500</c:v>
                </c:pt>
                <c:pt idx="1051">
                  <c:v>81750</c:v>
                </c:pt>
                <c:pt idx="1052">
                  <c:v>74875</c:v>
                </c:pt>
                <c:pt idx="1053">
                  <c:v>78000</c:v>
                </c:pt>
                <c:pt idx="1054">
                  <c:v>89500</c:v>
                </c:pt>
                <c:pt idx="1055">
                  <c:v>87375</c:v>
                </c:pt>
                <c:pt idx="1056">
                  <c:v>86750</c:v>
                </c:pt>
                <c:pt idx="1057">
                  <c:v>86250</c:v>
                </c:pt>
                <c:pt idx="1058">
                  <c:v>85125</c:v>
                </c:pt>
                <c:pt idx="1059">
                  <c:v>84500</c:v>
                </c:pt>
                <c:pt idx="1060">
                  <c:v>82875</c:v>
                </c:pt>
                <c:pt idx="1061">
                  <c:v>85750</c:v>
                </c:pt>
                <c:pt idx="1062">
                  <c:v>84250</c:v>
                </c:pt>
                <c:pt idx="1063">
                  <c:v>85875</c:v>
                </c:pt>
                <c:pt idx="1064">
                  <c:v>87125</c:v>
                </c:pt>
                <c:pt idx="1065">
                  <c:v>87000</c:v>
                </c:pt>
                <c:pt idx="1066">
                  <c:v>86500</c:v>
                </c:pt>
                <c:pt idx="1067">
                  <c:v>87125</c:v>
                </c:pt>
                <c:pt idx="1068">
                  <c:v>90000</c:v>
                </c:pt>
                <c:pt idx="1069">
                  <c:v>92125</c:v>
                </c:pt>
                <c:pt idx="1070">
                  <c:v>94500</c:v>
                </c:pt>
                <c:pt idx="1071">
                  <c:v>93750</c:v>
                </c:pt>
                <c:pt idx="1072">
                  <c:v>91875</c:v>
                </c:pt>
                <c:pt idx="1073">
                  <c:v>90000</c:v>
                </c:pt>
                <c:pt idx="1074">
                  <c:v>87500</c:v>
                </c:pt>
                <c:pt idx="1075">
                  <c:v>82500</c:v>
                </c:pt>
                <c:pt idx="1076">
                  <c:v>77875</c:v>
                </c:pt>
                <c:pt idx="1077">
                  <c:v>78875</c:v>
                </c:pt>
                <c:pt idx="1078">
                  <c:v>81375</c:v>
                </c:pt>
                <c:pt idx="1079">
                  <c:v>83625</c:v>
                </c:pt>
                <c:pt idx="1080">
                  <c:v>85375</c:v>
                </c:pt>
                <c:pt idx="1081">
                  <c:v>82375</c:v>
                </c:pt>
                <c:pt idx="1082">
                  <c:v>84500</c:v>
                </c:pt>
                <c:pt idx="1083">
                  <c:v>83250</c:v>
                </c:pt>
                <c:pt idx="1084">
                  <c:v>84125</c:v>
                </c:pt>
                <c:pt idx="1085">
                  <c:v>80375</c:v>
                </c:pt>
                <c:pt idx="1086">
                  <c:v>81375</c:v>
                </c:pt>
                <c:pt idx="1087">
                  <c:v>80125</c:v>
                </c:pt>
                <c:pt idx="1088">
                  <c:v>81750</c:v>
                </c:pt>
                <c:pt idx="1089">
                  <c:v>79375</c:v>
                </c:pt>
                <c:pt idx="1090">
                  <c:v>79375</c:v>
                </c:pt>
                <c:pt idx="1091">
                  <c:v>78000</c:v>
                </c:pt>
                <c:pt idx="1092">
                  <c:v>75625</c:v>
                </c:pt>
                <c:pt idx="1093">
                  <c:v>76500</c:v>
                </c:pt>
                <c:pt idx="1094">
                  <c:v>78500</c:v>
                </c:pt>
                <c:pt idx="1095">
                  <c:v>81750</c:v>
                </c:pt>
                <c:pt idx="1096">
                  <c:v>82375</c:v>
                </c:pt>
                <c:pt idx="1097">
                  <c:v>84875</c:v>
                </c:pt>
                <c:pt idx="1098">
                  <c:v>86625</c:v>
                </c:pt>
                <c:pt idx="1099">
                  <c:v>86375</c:v>
                </c:pt>
                <c:pt idx="1100">
                  <c:v>87625</c:v>
                </c:pt>
                <c:pt idx="1101">
                  <c:v>86875</c:v>
                </c:pt>
                <c:pt idx="1102">
                  <c:v>84250</c:v>
                </c:pt>
                <c:pt idx="1103">
                  <c:v>84875</c:v>
                </c:pt>
                <c:pt idx="1104">
                  <c:v>85375</c:v>
                </c:pt>
                <c:pt idx="1105">
                  <c:v>82375</c:v>
                </c:pt>
                <c:pt idx="1106">
                  <c:v>83750</c:v>
                </c:pt>
                <c:pt idx="1107">
                  <c:v>86375</c:v>
                </c:pt>
                <c:pt idx="1108">
                  <c:v>84750</c:v>
                </c:pt>
                <c:pt idx="1109">
                  <c:v>83375</c:v>
                </c:pt>
                <c:pt idx="1110">
                  <c:v>86125</c:v>
                </c:pt>
                <c:pt idx="1111">
                  <c:v>84625</c:v>
                </c:pt>
                <c:pt idx="1112">
                  <c:v>82750</c:v>
                </c:pt>
                <c:pt idx="1113">
                  <c:v>86625</c:v>
                </c:pt>
                <c:pt idx="1114">
                  <c:v>87750</c:v>
                </c:pt>
                <c:pt idx="1115">
                  <c:v>90000</c:v>
                </c:pt>
                <c:pt idx="1116">
                  <c:v>95250</c:v>
                </c:pt>
                <c:pt idx="1117">
                  <c:v>93750</c:v>
                </c:pt>
                <c:pt idx="1118">
                  <c:v>94875</c:v>
                </c:pt>
                <c:pt idx="1119">
                  <c:v>95000</c:v>
                </c:pt>
                <c:pt idx="1120">
                  <c:v>94375</c:v>
                </c:pt>
                <c:pt idx="1121">
                  <c:v>93625</c:v>
                </c:pt>
                <c:pt idx="1122">
                  <c:v>92250</c:v>
                </c:pt>
                <c:pt idx="1123">
                  <c:v>92625</c:v>
                </c:pt>
                <c:pt idx="1124">
                  <c:v>91125</c:v>
                </c:pt>
                <c:pt idx="1125">
                  <c:v>92125</c:v>
                </c:pt>
                <c:pt idx="1126">
                  <c:v>92125</c:v>
                </c:pt>
                <c:pt idx="1127">
                  <c:v>94625</c:v>
                </c:pt>
                <c:pt idx="1128">
                  <c:v>92375</c:v>
                </c:pt>
                <c:pt idx="1129">
                  <c:v>90875</c:v>
                </c:pt>
                <c:pt idx="1130">
                  <c:v>92250</c:v>
                </c:pt>
                <c:pt idx="1131">
                  <c:v>89125</c:v>
                </c:pt>
                <c:pt idx="1132">
                  <c:v>86750</c:v>
                </c:pt>
                <c:pt idx="1133">
                  <c:v>89625</c:v>
                </c:pt>
                <c:pt idx="1134">
                  <c:v>89375</c:v>
                </c:pt>
                <c:pt idx="1135">
                  <c:v>88875</c:v>
                </c:pt>
                <c:pt idx="1136">
                  <c:v>85750</c:v>
                </c:pt>
                <c:pt idx="1137">
                  <c:v>87375</c:v>
                </c:pt>
                <c:pt idx="1138">
                  <c:v>86625</c:v>
                </c:pt>
                <c:pt idx="1139">
                  <c:v>86500</c:v>
                </c:pt>
                <c:pt idx="1140">
                  <c:v>90875</c:v>
                </c:pt>
                <c:pt idx="1141">
                  <c:v>89250</c:v>
                </c:pt>
                <c:pt idx="1142">
                  <c:v>88625</c:v>
                </c:pt>
                <c:pt idx="1143">
                  <c:v>90125</c:v>
                </c:pt>
                <c:pt idx="1144">
                  <c:v>92625</c:v>
                </c:pt>
                <c:pt idx="1145">
                  <c:v>93125</c:v>
                </c:pt>
                <c:pt idx="1146">
                  <c:v>93625</c:v>
                </c:pt>
                <c:pt idx="1147">
                  <c:v>95500</c:v>
                </c:pt>
                <c:pt idx="1148">
                  <c:v>95000</c:v>
                </c:pt>
                <c:pt idx="1149">
                  <c:v>96250</c:v>
                </c:pt>
                <c:pt idx="1150">
                  <c:v>96625</c:v>
                </c:pt>
                <c:pt idx="1151">
                  <c:v>100000</c:v>
                </c:pt>
                <c:pt idx="1152">
                  <c:v>99250</c:v>
                </c:pt>
                <c:pt idx="1153">
                  <c:v>98750</c:v>
                </c:pt>
                <c:pt idx="1154">
                  <c:v>99625</c:v>
                </c:pt>
                <c:pt idx="1155">
                  <c:v>97625</c:v>
                </c:pt>
                <c:pt idx="1156">
                  <c:v>100375</c:v>
                </c:pt>
                <c:pt idx="1157">
                  <c:v>96875</c:v>
                </c:pt>
                <c:pt idx="1158">
                  <c:v>96500</c:v>
                </c:pt>
                <c:pt idx="1159">
                  <c:v>96500</c:v>
                </c:pt>
                <c:pt idx="1160">
                  <c:v>94750</c:v>
                </c:pt>
                <c:pt idx="1161">
                  <c:v>91625</c:v>
                </c:pt>
                <c:pt idx="1162">
                  <c:v>91875</c:v>
                </c:pt>
                <c:pt idx="1163">
                  <c:v>92125</c:v>
                </c:pt>
                <c:pt idx="1164">
                  <c:v>91000</c:v>
                </c:pt>
                <c:pt idx="1165">
                  <c:v>91125</c:v>
                </c:pt>
                <c:pt idx="1166">
                  <c:v>91375</c:v>
                </c:pt>
                <c:pt idx="1167">
                  <c:v>90875</c:v>
                </c:pt>
                <c:pt idx="1168">
                  <c:v>92875</c:v>
                </c:pt>
                <c:pt idx="1169">
                  <c:v>90500</c:v>
                </c:pt>
                <c:pt idx="1170">
                  <c:v>90750</c:v>
                </c:pt>
                <c:pt idx="1171">
                  <c:v>90000</c:v>
                </c:pt>
                <c:pt idx="1172">
                  <c:v>90625</c:v>
                </c:pt>
                <c:pt idx="1173">
                  <c:v>91500</c:v>
                </c:pt>
                <c:pt idx="1174">
                  <c:v>92750</c:v>
                </c:pt>
                <c:pt idx="1175">
                  <c:v>95125</c:v>
                </c:pt>
                <c:pt idx="1176">
                  <c:v>95625</c:v>
                </c:pt>
                <c:pt idx="1177">
                  <c:v>95750</c:v>
                </c:pt>
                <c:pt idx="1178">
                  <c:v>96000</c:v>
                </c:pt>
                <c:pt idx="1179">
                  <c:v>96625</c:v>
                </c:pt>
                <c:pt idx="1180">
                  <c:v>95375</c:v>
                </c:pt>
                <c:pt idx="1181">
                  <c:v>92500</c:v>
                </c:pt>
                <c:pt idx="1182">
                  <c:v>92875</c:v>
                </c:pt>
                <c:pt idx="1183">
                  <c:v>93125</c:v>
                </c:pt>
                <c:pt idx="1184">
                  <c:v>92125</c:v>
                </c:pt>
                <c:pt idx="1185">
                  <c:v>95000</c:v>
                </c:pt>
                <c:pt idx="1186">
                  <c:v>95875</c:v>
                </c:pt>
                <c:pt idx="1187">
                  <c:v>98000</c:v>
                </c:pt>
                <c:pt idx="1188">
                  <c:v>99000</c:v>
                </c:pt>
                <c:pt idx="1189">
                  <c:v>99250</c:v>
                </c:pt>
                <c:pt idx="1190">
                  <c:v>98500</c:v>
                </c:pt>
                <c:pt idx="1191">
                  <c:v>98875</c:v>
                </c:pt>
                <c:pt idx="1192">
                  <c:v>99500</c:v>
                </c:pt>
                <c:pt idx="1193">
                  <c:v>98750</c:v>
                </c:pt>
                <c:pt idx="1194">
                  <c:v>98000</c:v>
                </c:pt>
                <c:pt idx="1195">
                  <c:v>97000</c:v>
                </c:pt>
                <c:pt idx="1196">
                  <c:v>96250</c:v>
                </c:pt>
                <c:pt idx="1197">
                  <c:v>94875</c:v>
                </c:pt>
                <c:pt idx="1198">
                  <c:v>93125</c:v>
                </c:pt>
                <c:pt idx="1199">
                  <c:v>90500</c:v>
                </c:pt>
                <c:pt idx="1200">
                  <c:v>90625</c:v>
                </c:pt>
                <c:pt idx="1201">
                  <c:v>91125</c:v>
                </c:pt>
                <c:pt idx="1202">
                  <c:v>90875</c:v>
                </c:pt>
                <c:pt idx="1203">
                  <c:v>91625</c:v>
                </c:pt>
                <c:pt idx="1204">
                  <c:v>90250</c:v>
                </c:pt>
                <c:pt idx="1205">
                  <c:v>90125</c:v>
                </c:pt>
                <c:pt idx="1206">
                  <c:v>90875</c:v>
                </c:pt>
                <c:pt idx="1207">
                  <c:v>90125</c:v>
                </c:pt>
                <c:pt idx="1208">
                  <c:v>90000</c:v>
                </c:pt>
                <c:pt idx="1209">
                  <c:v>89250</c:v>
                </c:pt>
                <c:pt idx="1210">
                  <c:v>88875</c:v>
                </c:pt>
                <c:pt idx="1211">
                  <c:v>90250</c:v>
                </c:pt>
                <c:pt idx="1212">
                  <c:v>100750</c:v>
                </c:pt>
                <c:pt idx="1213">
                  <c:v>99250</c:v>
                </c:pt>
                <c:pt idx="1214">
                  <c:v>97625</c:v>
                </c:pt>
                <c:pt idx="1215">
                  <c:v>97125</c:v>
                </c:pt>
                <c:pt idx="1216">
                  <c:v>95875</c:v>
                </c:pt>
                <c:pt idx="1217">
                  <c:v>94250</c:v>
                </c:pt>
                <c:pt idx="1218">
                  <c:v>94000</c:v>
                </c:pt>
                <c:pt idx="1219">
                  <c:v>96625</c:v>
                </c:pt>
                <c:pt idx="1220">
                  <c:v>95250</c:v>
                </c:pt>
                <c:pt idx="1221">
                  <c:v>88000</c:v>
                </c:pt>
                <c:pt idx="1222">
                  <c:v>88000</c:v>
                </c:pt>
                <c:pt idx="1223">
                  <c:v>85000</c:v>
                </c:pt>
                <c:pt idx="1224">
                  <c:v>84375</c:v>
                </c:pt>
                <c:pt idx="1225">
                  <c:v>82625</c:v>
                </c:pt>
                <c:pt idx="1226">
                  <c:v>79375</c:v>
                </c:pt>
                <c:pt idx="1227">
                  <c:v>79875</c:v>
                </c:pt>
                <c:pt idx="1228">
                  <c:v>88125</c:v>
                </c:pt>
                <c:pt idx="1229">
                  <c:v>84625</c:v>
                </c:pt>
                <c:pt idx="1230">
                  <c:v>84750</c:v>
                </c:pt>
                <c:pt idx="1231">
                  <c:v>85750</c:v>
                </c:pt>
                <c:pt idx="1232">
                  <c:v>81500</c:v>
                </c:pt>
                <c:pt idx="1233">
                  <c:v>80500</c:v>
                </c:pt>
                <c:pt idx="1234">
                  <c:v>81375</c:v>
                </c:pt>
                <c:pt idx="1235">
                  <c:v>86500</c:v>
                </c:pt>
                <c:pt idx="1236">
                  <c:v>87625</c:v>
                </c:pt>
                <c:pt idx="1237">
                  <c:v>89375</c:v>
                </c:pt>
                <c:pt idx="1238">
                  <c:v>87250</c:v>
                </c:pt>
                <c:pt idx="1239">
                  <c:v>90125</c:v>
                </c:pt>
                <c:pt idx="1240">
                  <c:v>85875</c:v>
                </c:pt>
                <c:pt idx="1241">
                  <c:v>88875</c:v>
                </c:pt>
                <c:pt idx="1242">
                  <c:v>83250</c:v>
                </c:pt>
                <c:pt idx="1243">
                  <c:v>81750</c:v>
                </c:pt>
                <c:pt idx="1244">
                  <c:v>80875</c:v>
                </c:pt>
                <c:pt idx="1245">
                  <c:v>78500</c:v>
                </c:pt>
                <c:pt idx="1246">
                  <c:v>77250</c:v>
                </c:pt>
                <c:pt idx="1247">
                  <c:v>82375</c:v>
                </c:pt>
                <c:pt idx="1248">
                  <c:v>80500</c:v>
                </c:pt>
                <c:pt idx="1249">
                  <c:v>78375</c:v>
                </c:pt>
                <c:pt idx="1250">
                  <c:v>76750</c:v>
                </c:pt>
                <c:pt idx="1251">
                  <c:v>74875</c:v>
                </c:pt>
                <c:pt idx="1252">
                  <c:v>73000</c:v>
                </c:pt>
                <c:pt idx="1253">
                  <c:v>70875</c:v>
                </c:pt>
                <c:pt idx="1254">
                  <c:v>74000</c:v>
                </c:pt>
                <c:pt idx="1255">
                  <c:v>70625</c:v>
                </c:pt>
                <c:pt idx="1256">
                  <c:v>68500</c:v>
                </c:pt>
                <c:pt idx="1257">
                  <c:v>68125</c:v>
                </c:pt>
                <c:pt idx="1258">
                  <c:v>63250</c:v>
                </c:pt>
                <c:pt idx="1259">
                  <c:v>63375</c:v>
                </c:pt>
                <c:pt idx="1260">
                  <c:v>60625</c:v>
                </c:pt>
                <c:pt idx="1261">
                  <c:v>63875</c:v>
                </c:pt>
                <c:pt idx="1262">
                  <c:v>65625</c:v>
                </c:pt>
                <c:pt idx="1263">
                  <c:v>62250</c:v>
                </c:pt>
                <c:pt idx="1264">
                  <c:v>60000</c:v>
                </c:pt>
                <c:pt idx="1265">
                  <c:v>61375</c:v>
                </c:pt>
                <c:pt idx="1266">
                  <c:v>64500</c:v>
                </c:pt>
                <c:pt idx="1267">
                  <c:v>59750</c:v>
                </c:pt>
                <c:pt idx="1268">
                  <c:v>65375</c:v>
                </c:pt>
                <c:pt idx="1269">
                  <c:v>78125</c:v>
                </c:pt>
                <c:pt idx="1270">
                  <c:v>78250</c:v>
                </c:pt>
                <c:pt idx="1271">
                  <c:v>82875</c:v>
                </c:pt>
                <c:pt idx="1272">
                  <c:v>85875</c:v>
                </c:pt>
                <c:pt idx="1273">
                  <c:v>84500</c:v>
                </c:pt>
                <c:pt idx="1274">
                  <c:v>84000</c:v>
                </c:pt>
                <c:pt idx="1275">
                  <c:v>89875</c:v>
                </c:pt>
                <c:pt idx="1276">
                  <c:v>97000</c:v>
                </c:pt>
                <c:pt idx="1277">
                  <c:v>100250</c:v>
                </c:pt>
                <c:pt idx="1278">
                  <c:v>106000</c:v>
                </c:pt>
                <c:pt idx="1279">
                  <c:v>107750</c:v>
                </c:pt>
                <c:pt idx="1280">
                  <c:v>109000</c:v>
                </c:pt>
                <c:pt idx="1281">
                  <c:v>102375</c:v>
                </c:pt>
                <c:pt idx="1282">
                  <c:v>105125</c:v>
                </c:pt>
                <c:pt idx="1283">
                  <c:v>101625</c:v>
                </c:pt>
                <c:pt idx="1284">
                  <c:v>96750</c:v>
                </c:pt>
                <c:pt idx="1285">
                  <c:v>98625</c:v>
                </c:pt>
                <c:pt idx="1286">
                  <c:v>101250</c:v>
                </c:pt>
                <c:pt idx="1287">
                  <c:v>100125</c:v>
                </c:pt>
                <c:pt idx="1288">
                  <c:v>106000</c:v>
                </c:pt>
                <c:pt idx="1289">
                  <c:v>110000</c:v>
                </c:pt>
                <c:pt idx="1290">
                  <c:v>110250</c:v>
                </c:pt>
                <c:pt idx="1291">
                  <c:v>110125</c:v>
                </c:pt>
                <c:pt idx="1292">
                  <c:v>110875</c:v>
                </c:pt>
                <c:pt idx="1293">
                  <c:v>112000</c:v>
                </c:pt>
                <c:pt idx="1294">
                  <c:v>109750</c:v>
                </c:pt>
                <c:pt idx="1295">
                  <c:v>112875</c:v>
                </c:pt>
                <c:pt idx="1296">
                  <c:v>111000</c:v>
                </c:pt>
                <c:pt idx="1297">
                  <c:v>113625</c:v>
                </c:pt>
                <c:pt idx="1298">
                  <c:v>117000</c:v>
                </c:pt>
                <c:pt idx="1299">
                  <c:v>115250</c:v>
                </c:pt>
                <c:pt idx="1300">
                  <c:v>116500</c:v>
                </c:pt>
                <c:pt idx="1301">
                  <c:v>116375</c:v>
                </c:pt>
                <c:pt idx="1302">
                  <c:v>115375</c:v>
                </c:pt>
                <c:pt idx="1303">
                  <c:v>115625</c:v>
                </c:pt>
                <c:pt idx="1304">
                  <c:v>115375</c:v>
                </c:pt>
                <c:pt idx="1305">
                  <c:v>117000</c:v>
                </c:pt>
                <c:pt idx="1306">
                  <c:v>118375</c:v>
                </c:pt>
                <c:pt idx="1307">
                  <c:v>114125</c:v>
                </c:pt>
                <c:pt idx="1308">
                  <c:v>113750</c:v>
                </c:pt>
                <c:pt idx="1309">
                  <c:v>113500</c:v>
                </c:pt>
                <c:pt idx="1310">
                  <c:v>112375</c:v>
                </c:pt>
                <c:pt idx="1311">
                  <c:v>110500</c:v>
                </c:pt>
                <c:pt idx="1312">
                  <c:v>111125</c:v>
                </c:pt>
                <c:pt idx="1313">
                  <c:v>113125</c:v>
                </c:pt>
                <c:pt idx="1314">
                  <c:v>114250</c:v>
                </c:pt>
                <c:pt idx="1315">
                  <c:v>116000</c:v>
                </c:pt>
                <c:pt idx="1316">
                  <c:v>118750</c:v>
                </c:pt>
                <c:pt idx="1317">
                  <c:v>122000</c:v>
                </c:pt>
                <c:pt idx="1318">
                  <c:v>124875</c:v>
                </c:pt>
                <c:pt idx="1319">
                  <c:v>126250</c:v>
                </c:pt>
                <c:pt idx="1320">
                  <c:v>123125</c:v>
                </c:pt>
                <c:pt idx="1321">
                  <c:v>119625</c:v>
                </c:pt>
                <c:pt idx="1322">
                  <c:v>119750</c:v>
                </c:pt>
                <c:pt idx="1323">
                  <c:v>117500</c:v>
                </c:pt>
                <c:pt idx="1324">
                  <c:v>114625</c:v>
                </c:pt>
                <c:pt idx="1325">
                  <c:v>112750</c:v>
                </c:pt>
                <c:pt idx="1326">
                  <c:v>114000</c:v>
                </c:pt>
                <c:pt idx="1327">
                  <c:v>118750</c:v>
                </c:pt>
                <c:pt idx="1328">
                  <c:v>118500</c:v>
                </c:pt>
                <c:pt idx="1329">
                  <c:v>119375</c:v>
                </c:pt>
                <c:pt idx="1330">
                  <c:v>115375</c:v>
                </c:pt>
                <c:pt idx="1331">
                  <c:v>116500</c:v>
                </c:pt>
                <c:pt idx="1332">
                  <c:v>113750</c:v>
                </c:pt>
                <c:pt idx="1333">
                  <c:v>113750</c:v>
                </c:pt>
                <c:pt idx="1334">
                  <c:v>116125</c:v>
                </c:pt>
                <c:pt idx="1335">
                  <c:v>116375</c:v>
                </c:pt>
                <c:pt idx="1336">
                  <c:v>119250</c:v>
                </c:pt>
                <c:pt idx="1337">
                  <c:v>118250</c:v>
                </c:pt>
                <c:pt idx="1338">
                  <c:v>119250</c:v>
                </c:pt>
                <c:pt idx="1339">
                  <c:v>119250</c:v>
                </c:pt>
                <c:pt idx="1340">
                  <c:v>116875</c:v>
                </c:pt>
                <c:pt idx="1341">
                  <c:v>111250</c:v>
                </c:pt>
                <c:pt idx="1342">
                  <c:v>109875</c:v>
                </c:pt>
                <c:pt idx="1343">
                  <c:v>109750</c:v>
                </c:pt>
                <c:pt idx="1344">
                  <c:v>113625</c:v>
                </c:pt>
                <c:pt idx="1345">
                  <c:v>113000</c:v>
                </c:pt>
                <c:pt idx="1346">
                  <c:v>111125</c:v>
                </c:pt>
                <c:pt idx="1347">
                  <c:v>114750</c:v>
                </c:pt>
                <c:pt idx="1348">
                  <c:v>110375</c:v>
                </c:pt>
                <c:pt idx="1349">
                  <c:v>105375</c:v>
                </c:pt>
                <c:pt idx="1350">
                  <c:v>107875</c:v>
                </c:pt>
                <c:pt idx="1351">
                  <c:v>107250</c:v>
                </c:pt>
                <c:pt idx="1352">
                  <c:v>105625</c:v>
                </c:pt>
                <c:pt idx="1353">
                  <c:v>108125</c:v>
                </c:pt>
                <c:pt idx="1354">
                  <c:v>108125</c:v>
                </c:pt>
                <c:pt idx="1355">
                  <c:v>109875</c:v>
                </c:pt>
                <c:pt idx="1356">
                  <c:v>109625</c:v>
                </c:pt>
                <c:pt idx="1357">
                  <c:v>106875</c:v>
                </c:pt>
                <c:pt idx="1358">
                  <c:v>105625</c:v>
                </c:pt>
                <c:pt idx="1359">
                  <c:v>106375</c:v>
                </c:pt>
                <c:pt idx="1360">
                  <c:v>106000</c:v>
                </c:pt>
                <c:pt idx="1361">
                  <c:v>109625</c:v>
                </c:pt>
                <c:pt idx="1362">
                  <c:v>111625</c:v>
                </c:pt>
                <c:pt idx="1363">
                  <c:v>110500</c:v>
                </c:pt>
                <c:pt idx="1364">
                  <c:v>110250</c:v>
                </c:pt>
                <c:pt idx="1365">
                  <c:v>111250</c:v>
                </c:pt>
                <c:pt idx="1366">
                  <c:v>107625</c:v>
                </c:pt>
                <c:pt idx="1367">
                  <c:v>113000</c:v>
                </c:pt>
                <c:pt idx="1368">
                  <c:v>113250</c:v>
                </c:pt>
                <c:pt idx="1369">
                  <c:v>115125</c:v>
                </c:pt>
                <c:pt idx="1370">
                  <c:v>113375</c:v>
                </c:pt>
                <c:pt idx="1371">
                  <c:v>114375</c:v>
                </c:pt>
                <c:pt idx="1372">
                  <c:v>113000</c:v>
                </c:pt>
                <c:pt idx="1373">
                  <c:v>111625</c:v>
                </c:pt>
                <c:pt idx="1374">
                  <c:v>109375</c:v>
                </c:pt>
                <c:pt idx="1375">
                  <c:v>108750</c:v>
                </c:pt>
                <c:pt idx="1376">
                  <c:v>109125</c:v>
                </c:pt>
                <c:pt idx="1377">
                  <c:v>108750</c:v>
                </c:pt>
                <c:pt idx="1378">
                  <c:v>109625</c:v>
                </c:pt>
                <c:pt idx="1379">
                  <c:v>115000</c:v>
                </c:pt>
                <c:pt idx="1380">
                  <c:v>115000</c:v>
                </c:pt>
                <c:pt idx="1381">
                  <c:v>118375</c:v>
                </c:pt>
                <c:pt idx="1382">
                  <c:v>115625</c:v>
                </c:pt>
                <c:pt idx="1383">
                  <c:v>109875</c:v>
                </c:pt>
                <c:pt idx="1384">
                  <c:v>109875</c:v>
                </c:pt>
                <c:pt idx="1385">
                  <c:v>109000</c:v>
                </c:pt>
                <c:pt idx="1386">
                  <c:v>110000</c:v>
                </c:pt>
                <c:pt idx="1387">
                  <c:v>109250</c:v>
                </c:pt>
                <c:pt idx="1388">
                  <c:v>107375</c:v>
                </c:pt>
                <c:pt idx="1389">
                  <c:v>105875</c:v>
                </c:pt>
                <c:pt idx="1390">
                  <c:v>106500</c:v>
                </c:pt>
                <c:pt idx="1391">
                  <c:v>108375</c:v>
                </c:pt>
                <c:pt idx="1392">
                  <c:v>109000</c:v>
                </c:pt>
                <c:pt idx="1393">
                  <c:v>108125</c:v>
                </c:pt>
                <c:pt idx="1394">
                  <c:v>109875</c:v>
                </c:pt>
                <c:pt idx="1395">
                  <c:v>113000</c:v>
                </c:pt>
                <c:pt idx="1396">
                  <c:v>113500</c:v>
                </c:pt>
                <c:pt idx="1397">
                  <c:v>113250</c:v>
                </c:pt>
                <c:pt idx="1398">
                  <c:v>109625</c:v>
                </c:pt>
                <c:pt idx="1399">
                  <c:v>112875</c:v>
                </c:pt>
                <c:pt idx="1400">
                  <c:v>111875</c:v>
                </c:pt>
                <c:pt idx="1401">
                  <c:v>111250</c:v>
                </c:pt>
                <c:pt idx="1402">
                  <c:v>108875</c:v>
                </c:pt>
                <c:pt idx="1403">
                  <c:v>107000</c:v>
                </c:pt>
                <c:pt idx="1404">
                  <c:v>105875</c:v>
                </c:pt>
                <c:pt idx="1405">
                  <c:v>107875</c:v>
                </c:pt>
                <c:pt idx="1406">
                  <c:v>106875</c:v>
                </c:pt>
                <c:pt idx="1407">
                  <c:v>107500</c:v>
                </c:pt>
                <c:pt idx="1408">
                  <c:v>108125</c:v>
                </c:pt>
                <c:pt idx="1409">
                  <c:v>109250</c:v>
                </c:pt>
                <c:pt idx="1410">
                  <c:v>108125</c:v>
                </c:pt>
                <c:pt idx="1411">
                  <c:v>107375</c:v>
                </c:pt>
                <c:pt idx="1412">
                  <c:v>103375</c:v>
                </c:pt>
                <c:pt idx="1413">
                  <c:v>104625</c:v>
                </c:pt>
                <c:pt idx="1414">
                  <c:v>102125</c:v>
                </c:pt>
                <c:pt idx="1415">
                  <c:v>102125</c:v>
                </c:pt>
                <c:pt idx="1416">
                  <c:v>101875</c:v>
                </c:pt>
                <c:pt idx="1417">
                  <c:v>104875</c:v>
                </c:pt>
                <c:pt idx="1418">
                  <c:v>105125</c:v>
                </c:pt>
                <c:pt idx="1419">
                  <c:v>105875</c:v>
                </c:pt>
                <c:pt idx="1420">
                  <c:v>107250</c:v>
                </c:pt>
                <c:pt idx="1421">
                  <c:v>107625</c:v>
                </c:pt>
                <c:pt idx="1422">
                  <c:v>107000</c:v>
                </c:pt>
                <c:pt idx="1423">
                  <c:v>102875</c:v>
                </c:pt>
                <c:pt idx="1424">
                  <c:v>103375</c:v>
                </c:pt>
                <c:pt idx="1425">
                  <c:v>104625</c:v>
                </c:pt>
                <c:pt idx="1426">
                  <c:v>103000</c:v>
                </c:pt>
                <c:pt idx="1427">
                  <c:v>101750</c:v>
                </c:pt>
                <c:pt idx="1428">
                  <c:v>101750</c:v>
                </c:pt>
                <c:pt idx="1429">
                  <c:v>99500</c:v>
                </c:pt>
                <c:pt idx="1430">
                  <c:v>98625</c:v>
                </c:pt>
                <c:pt idx="1431">
                  <c:v>99750</c:v>
                </c:pt>
                <c:pt idx="1432">
                  <c:v>97625</c:v>
                </c:pt>
                <c:pt idx="1433">
                  <c:v>98875</c:v>
                </c:pt>
                <c:pt idx="1434">
                  <c:v>102000</c:v>
                </c:pt>
                <c:pt idx="1435">
                  <c:v>101750</c:v>
                </c:pt>
                <c:pt idx="1436">
                  <c:v>101750</c:v>
                </c:pt>
                <c:pt idx="1437">
                  <c:v>103875</c:v>
                </c:pt>
                <c:pt idx="1438">
                  <c:v>105250</c:v>
                </c:pt>
                <c:pt idx="1439">
                  <c:v>106500</c:v>
                </c:pt>
                <c:pt idx="1440">
                  <c:v>103250</c:v>
                </c:pt>
                <c:pt idx="1441">
                  <c:v>99375</c:v>
                </c:pt>
                <c:pt idx="1442">
                  <c:v>98875</c:v>
                </c:pt>
                <c:pt idx="1443">
                  <c:v>99500</c:v>
                </c:pt>
                <c:pt idx="1444">
                  <c:v>100625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1445"/>
                <c:pt idx="0">
                  <c:v>40695</c:v>
                </c:pt>
                <c:pt idx="1">
                  <c:v>40696</c:v>
                </c:pt>
                <c:pt idx="2">
                  <c:v>40697</c:v>
                </c:pt>
                <c:pt idx="3">
                  <c:v>40700</c:v>
                </c:pt>
                <c:pt idx="4">
                  <c:v>40701</c:v>
                </c:pt>
                <c:pt idx="5">
                  <c:v>40702</c:v>
                </c:pt>
                <c:pt idx="6">
                  <c:v>40703</c:v>
                </c:pt>
                <c:pt idx="7">
                  <c:v>40704</c:v>
                </c:pt>
                <c:pt idx="8">
                  <c:v>40707</c:v>
                </c:pt>
                <c:pt idx="9">
                  <c:v>40708</c:v>
                </c:pt>
                <c:pt idx="10">
                  <c:v>40709</c:v>
                </c:pt>
                <c:pt idx="11">
                  <c:v>40710</c:v>
                </c:pt>
                <c:pt idx="12">
                  <c:v>40711</c:v>
                </c:pt>
                <c:pt idx="13">
                  <c:v>40714</c:v>
                </c:pt>
                <c:pt idx="14">
                  <c:v>40715</c:v>
                </c:pt>
                <c:pt idx="15">
                  <c:v>40716</c:v>
                </c:pt>
                <c:pt idx="16">
                  <c:v>40717</c:v>
                </c:pt>
                <c:pt idx="17">
                  <c:v>40718</c:v>
                </c:pt>
                <c:pt idx="18">
                  <c:v>40721</c:v>
                </c:pt>
                <c:pt idx="19">
                  <c:v>40722</c:v>
                </c:pt>
                <c:pt idx="20">
                  <c:v>40723</c:v>
                </c:pt>
                <c:pt idx="21">
                  <c:v>40724</c:v>
                </c:pt>
                <c:pt idx="22">
                  <c:v>40725</c:v>
                </c:pt>
                <c:pt idx="23">
                  <c:v>40729</c:v>
                </c:pt>
                <c:pt idx="24">
                  <c:v>40730</c:v>
                </c:pt>
                <c:pt idx="25">
                  <c:v>40731</c:v>
                </c:pt>
                <c:pt idx="26">
                  <c:v>40732</c:v>
                </c:pt>
                <c:pt idx="27">
                  <c:v>40735</c:v>
                </c:pt>
                <c:pt idx="28">
                  <c:v>40736</c:v>
                </c:pt>
                <c:pt idx="29">
                  <c:v>40737</c:v>
                </c:pt>
                <c:pt idx="30">
                  <c:v>40738</c:v>
                </c:pt>
                <c:pt idx="31">
                  <c:v>40739</c:v>
                </c:pt>
                <c:pt idx="32">
                  <c:v>40742</c:v>
                </c:pt>
                <c:pt idx="33">
                  <c:v>40743</c:v>
                </c:pt>
                <c:pt idx="34">
                  <c:v>40744</c:v>
                </c:pt>
                <c:pt idx="35">
                  <c:v>40745</c:v>
                </c:pt>
                <c:pt idx="36">
                  <c:v>40746</c:v>
                </c:pt>
                <c:pt idx="37">
                  <c:v>40749</c:v>
                </c:pt>
                <c:pt idx="38">
                  <c:v>40750</c:v>
                </c:pt>
                <c:pt idx="39">
                  <c:v>40751</c:v>
                </c:pt>
                <c:pt idx="40">
                  <c:v>40752</c:v>
                </c:pt>
                <c:pt idx="41">
                  <c:v>40753</c:v>
                </c:pt>
                <c:pt idx="42">
                  <c:v>40756</c:v>
                </c:pt>
                <c:pt idx="43">
                  <c:v>40757</c:v>
                </c:pt>
                <c:pt idx="44">
                  <c:v>40758</c:v>
                </c:pt>
                <c:pt idx="45">
                  <c:v>40759</c:v>
                </c:pt>
                <c:pt idx="46">
                  <c:v>40760</c:v>
                </c:pt>
                <c:pt idx="47">
                  <c:v>40763</c:v>
                </c:pt>
                <c:pt idx="48">
                  <c:v>40764</c:v>
                </c:pt>
                <c:pt idx="49">
                  <c:v>40765</c:v>
                </c:pt>
                <c:pt idx="50">
                  <c:v>40766</c:v>
                </c:pt>
                <c:pt idx="51">
                  <c:v>40767</c:v>
                </c:pt>
                <c:pt idx="52">
                  <c:v>40770</c:v>
                </c:pt>
                <c:pt idx="53">
                  <c:v>40771</c:v>
                </c:pt>
                <c:pt idx="54">
                  <c:v>40772</c:v>
                </c:pt>
                <c:pt idx="55">
                  <c:v>40773</c:v>
                </c:pt>
                <c:pt idx="56">
                  <c:v>40774</c:v>
                </c:pt>
                <c:pt idx="57">
                  <c:v>40777</c:v>
                </c:pt>
                <c:pt idx="58">
                  <c:v>40778</c:v>
                </c:pt>
                <c:pt idx="59">
                  <c:v>40779</c:v>
                </c:pt>
                <c:pt idx="60">
                  <c:v>40780</c:v>
                </c:pt>
                <c:pt idx="61">
                  <c:v>40781</c:v>
                </c:pt>
                <c:pt idx="62">
                  <c:v>40784</c:v>
                </c:pt>
                <c:pt idx="63">
                  <c:v>40785</c:v>
                </c:pt>
                <c:pt idx="64">
                  <c:v>40786</c:v>
                </c:pt>
                <c:pt idx="65">
                  <c:v>40787</c:v>
                </c:pt>
                <c:pt idx="66">
                  <c:v>40788</c:v>
                </c:pt>
                <c:pt idx="67">
                  <c:v>40792</c:v>
                </c:pt>
                <c:pt idx="68">
                  <c:v>40793</c:v>
                </c:pt>
                <c:pt idx="69">
                  <c:v>40794</c:v>
                </c:pt>
                <c:pt idx="70">
                  <c:v>40795</c:v>
                </c:pt>
                <c:pt idx="71">
                  <c:v>40798</c:v>
                </c:pt>
                <c:pt idx="72">
                  <c:v>40799</c:v>
                </c:pt>
                <c:pt idx="73">
                  <c:v>40800</c:v>
                </c:pt>
                <c:pt idx="74">
                  <c:v>40801</c:v>
                </c:pt>
                <c:pt idx="75">
                  <c:v>40802</c:v>
                </c:pt>
                <c:pt idx="76">
                  <c:v>40805</c:v>
                </c:pt>
                <c:pt idx="77">
                  <c:v>40806</c:v>
                </c:pt>
                <c:pt idx="78">
                  <c:v>40807</c:v>
                </c:pt>
                <c:pt idx="79">
                  <c:v>40808</c:v>
                </c:pt>
                <c:pt idx="80">
                  <c:v>40809</c:v>
                </c:pt>
                <c:pt idx="81">
                  <c:v>40812</c:v>
                </c:pt>
                <c:pt idx="82">
                  <c:v>40813</c:v>
                </c:pt>
                <c:pt idx="83">
                  <c:v>40814</c:v>
                </c:pt>
                <c:pt idx="84">
                  <c:v>40815</c:v>
                </c:pt>
                <c:pt idx="85">
                  <c:v>40816</c:v>
                </c:pt>
                <c:pt idx="86">
                  <c:v>40819</c:v>
                </c:pt>
                <c:pt idx="87">
                  <c:v>40820</c:v>
                </c:pt>
                <c:pt idx="88">
                  <c:v>40821</c:v>
                </c:pt>
                <c:pt idx="89">
                  <c:v>40822</c:v>
                </c:pt>
                <c:pt idx="90">
                  <c:v>40823</c:v>
                </c:pt>
                <c:pt idx="91">
                  <c:v>40827</c:v>
                </c:pt>
                <c:pt idx="92">
                  <c:v>40828</c:v>
                </c:pt>
                <c:pt idx="93">
                  <c:v>40829</c:v>
                </c:pt>
                <c:pt idx="94">
                  <c:v>40830</c:v>
                </c:pt>
                <c:pt idx="95">
                  <c:v>40833</c:v>
                </c:pt>
                <c:pt idx="96">
                  <c:v>40834</c:v>
                </c:pt>
                <c:pt idx="97">
                  <c:v>40835</c:v>
                </c:pt>
                <c:pt idx="98">
                  <c:v>40836</c:v>
                </c:pt>
                <c:pt idx="99">
                  <c:v>40837</c:v>
                </c:pt>
                <c:pt idx="100">
                  <c:v>40840</c:v>
                </c:pt>
                <c:pt idx="101">
                  <c:v>40841</c:v>
                </c:pt>
                <c:pt idx="102">
                  <c:v>40842</c:v>
                </c:pt>
                <c:pt idx="103">
                  <c:v>40843</c:v>
                </c:pt>
                <c:pt idx="104">
                  <c:v>40844</c:v>
                </c:pt>
                <c:pt idx="105">
                  <c:v>40847</c:v>
                </c:pt>
                <c:pt idx="106">
                  <c:v>40848</c:v>
                </c:pt>
                <c:pt idx="107">
                  <c:v>40849</c:v>
                </c:pt>
                <c:pt idx="108">
                  <c:v>40850</c:v>
                </c:pt>
                <c:pt idx="109">
                  <c:v>40851</c:v>
                </c:pt>
                <c:pt idx="110">
                  <c:v>40854</c:v>
                </c:pt>
                <c:pt idx="111">
                  <c:v>40855</c:v>
                </c:pt>
                <c:pt idx="112">
                  <c:v>40856</c:v>
                </c:pt>
                <c:pt idx="113">
                  <c:v>40857</c:v>
                </c:pt>
                <c:pt idx="114">
                  <c:v>40861</c:v>
                </c:pt>
                <c:pt idx="115">
                  <c:v>40862</c:v>
                </c:pt>
                <c:pt idx="116">
                  <c:v>40863</c:v>
                </c:pt>
                <c:pt idx="117">
                  <c:v>40864</c:v>
                </c:pt>
                <c:pt idx="118">
                  <c:v>40865</c:v>
                </c:pt>
                <c:pt idx="119">
                  <c:v>40868</c:v>
                </c:pt>
                <c:pt idx="120">
                  <c:v>40869</c:v>
                </c:pt>
                <c:pt idx="121">
                  <c:v>40870</c:v>
                </c:pt>
                <c:pt idx="122">
                  <c:v>40872</c:v>
                </c:pt>
                <c:pt idx="123">
                  <c:v>40875</c:v>
                </c:pt>
                <c:pt idx="124">
                  <c:v>40876</c:v>
                </c:pt>
                <c:pt idx="125">
                  <c:v>40877</c:v>
                </c:pt>
                <c:pt idx="126">
                  <c:v>40878</c:v>
                </c:pt>
                <c:pt idx="127">
                  <c:v>40879</c:v>
                </c:pt>
                <c:pt idx="128">
                  <c:v>40882</c:v>
                </c:pt>
                <c:pt idx="129">
                  <c:v>40883</c:v>
                </c:pt>
                <c:pt idx="130">
                  <c:v>40884</c:v>
                </c:pt>
                <c:pt idx="131">
                  <c:v>40885</c:v>
                </c:pt>
                <c:pt idx="132">
                  <c:v>40886</c:v>
                </c:pt>
                <c:pt idx="133">
                  <c:v>40889</c:v>
                </c:pt>
                <c:pt idx="134">
                  <c:v>40890</c:v>
                </c:pt>
                <c:pt idx="135">
                  <c:v>40891</c:v>
                </c:pt>
                <c:pt idx="136">
                  <c:v>40892</c:v>
                </c:pt>
                <c:pt idx="137">
                  <c:v>40893</c:v>
                </c:pt>
                <c:pt idx="138">
                  <c:v>40896</c:v>
                </c:pt>
                <c:pt idx="139">
                  <c:v>40897</c:v>
                </c:pt>
                <c:pt idx="140">
                  <c:v>40898</c:v>
                </c:pt>
                <c:pt idx="141">
                  <c:v>40899</c:v>
                </c:pt>
                <c:pt idx="142">
                  <c:v>40900</c:v>
                </c:pt>
                <c:pt idx="143">
                  <c:v>40904</c:v>
                </c:pt>
                <c:pt idx="144">
                  <c:v>40905</c:v>
                </c:pt>
                <c:pt idx="145">
                  <c:v>40906</c:v>
                </c:pt>
                <c:pt idx="146">
                  <c:v>40907</c:v>
                </c:pt>
                <c:pt idx="147">
                  <c:v>40911</c:v>
                </c:pt>
                <c:pt idx="148">
                  <c:v>40912</c:v>
                </c:pt>
                <c:pt idx="149">
                  <c:v>40913</c:v>
                </c:pt>
                <c:pt idx="150">
                  <c:v>40914</c:v>
                </c:pt>
                <c:pt idx="151">
                  <c:v>40917</c:v>
                </c:pt>
                <c:pt idx="152">
                  <c:v>40918</c:v>
                </c:pt>
                <c:pt idx="153">
                  <c:v>40919</c:v>
                </c:pt>
                <c:pt idx="154">
                  <c:v>40920</c:v>
                </c:pt>
                <c:pt idx="155">
                  <c:v>40921</c:v>
                </c:pt>
                <c:pt idx="156">
                  <c:v>40925</c:v>
                </c:pt>
                <c:pt idx="157">
                  <c:v>40926</c:v>
                </c:pt>
                <c:pt idx="158">
                  <c:v>40927</c:v>
                </c:pt>
                <c:pt idx="159">
                  <c:v>40928</c:v>
                </c:pt>
                <c:pt idx="160">
                  <c:v>40931</c:v>
                </c:pt>
                <c:pt idx="161">
                  <c:v>40932</c:v>
                </c:pt>
                <c:pt idx="162">
                  <c:v>40933</c:v>
                </c:pt>
                <c:pt idx="163">
                  <c:v>40934</c:v>
                </c:pt>
                <c:pt idx="164">
                  <c:v>40935</c:v>
                </c:pt>
                <c:pt idx="165">
                  <c:v>40938</c:v>
                </c:pt>
                <c:pt idx="166">
                  <c:v>40939</c:v>
                </c:pt>
                <c:pt idx="167">
                  <c:v>40940</c:v>
                </c:pt>
                <c:pt idx="168">
                  <c:v>40941</c:v>
                </c:pt>
                <c:pt idx="169">
                  <c:v>40942</c:v>
                </c:pt>
                <c:pt idx="170">
                  <c:v>40945</c:v>
                </c:pt>
                <c:pt idx="171">
                  <c:v>40946</c:v>
                </c:pt>
                <c:pt idx="172">
                  <c:v>40947</c:v>
                </c:pt>
                <c:pt idx="173">
                  <c:v>40948</c:v>
                </c:pt>
                <c:pt idx="174">
                  <c:v>40949</c:v>
                </c:pt>
                <c:pt idx="175">
                  <c:v>40952</c:v>
                </c:pt>
                <c:pt idx="176">
                  <c:v>40953</c:v>
                </c:pt>
                <c:pt idx="177">
                  <c:v>40954</c:v>
                </c:pt>
                <c:pt idx="178">
                  <c:v>40955</c:v>
                </c:pt>
                <c:pt idx="179">
                  <c:v>40956</c:v>
                </c:pt>
                <c:pt idx="180">
                  <c:v>40960</c:v>
                </c:pt>
                <c:pt idx="181">
                  <c:v>40961</c:v>
                </c:pt>
                <c:pt idx="182">
                  <c:v>40962</c:v>
                </c:pt>
                <c:pt idx="183">
                  <c:v>40963</c:v>
                </c:pt>
                <c:pt idx="184">
                  <c:v>40966</c:v>
                </c:pt>
                <c:pt idx="185">
                  <c:v>40967</c:v>
                </c:pt>
                <c:pt idx="186">
                  <c:v>40968</c:v>
                </c:pt>
                <c:pt idx="187">
                  <c:v>40969</c:v>
                </c:pt>
                <c:pt idx="188">
                  <c:v>40970</c:v>
                </c:pt>
                <c:pt idx="189">
                  <c:v>40973</c:v>
                </c:pt>
                <c:pt idx="190">
                  <c:v>40974</c:v>
                </c:pt>
                <c:pt idx="191">
                  <c:v>40975</c:v>
                </c:pt>
                <c:pt idx="192">
                  <c:v>40976</c:v>
                </c:pt>
                <c:pt idx="193">
                  <c:v>40977</c:v>
                </c:pt>
                <c:pt idx="194">
                  <c:v>40980</c:v>
                </c:pt>
                <c:pt idx="195">
                  <c:v>40981</c:v>
                </c:pt>
                <c:pt idx="196">
                  <c:v>40982</c:v>
                </c:pt>
                <c:pt idx="197">
                  <c:v>40983</c:v>
                </c:pt>
                <c:pt idx="198">
                  <c:v>40984</c:v>
                </c:pt>
                <c:pt idx="199">
                  <c:v>40987</c:v>
                </c:pt>
                <c:pt idx="200">
                  <c:v>40988</c:v>
                </c:pt>
                <c:pt idx="201">
                  <c:v>40989</c:v>
                </c:pt>
                <c:pt idx="202">
                  <c:v>40990</c:v>
                </c:pt>
                <c:pt idx="203">
                  <c:v>40991</c:v>
                </c:pt>
                <c:pt idx="204">
                  <c:v>40994</c:v>
                </c:pt>
                <c:pt idx="205">
                  <c:v>40995</c:v>
                </c:pt>
                <c:pt idx="206">
                  <c:v>40996</c:v>
                </c:pt>
                <c:pt idx="207">
                  <c:v>40997</c:v>
                </c:pt>
                <c:pt idx="208">
                  <c:v>40998</c:v>
                </c:pt>
                <c:pt idx="209">
                  <c:v>41001</c:v>
                </c:pt>
                <c:pt idx="210">
                  <c:v>41002</c:v>
                </c:pt>
                <c:pt idx="211">
                  <c:v>41003</c:v>
                </c:pt>
                <c:pt idx="212">
                  <c:v>41004</c:v>
                </c:pt>
                <c:pt idx="213">
                  <c:v>41005</c:v>
                </c:pt>
                <c:pt idx="214">
                  <c:v>41008</c:v>
                </c:pt>
                <c:pt idx="215">
                  <c:v>41009</c:v>
                </c:pt>
                <c:pt idx="216">
                  <c:v>41010</c:v>
                </c:pt>
                <c:pt idx="217">
                  <c:v>41011</c:v>
                </c:pt>
                <c:pt idx="218">
                  <c:v>41012</c:v>
                </c:pt>
                <c:pt idx="219">
                  <c:v>41015</c:v>
                </c:pt>
                <c:pt idx="220">
                  <c:v>41016</c:v>
                </c:pt>
                <c:pt idx="221">
                  <c:v>41017</c:v>
                </c:pt>
                <c:pt idx="222">
                  <c:v>41018</c:v>
                </c:pt>
                <c:pt idx="223">
                  <c:v>41019</c:v>
                </c:pt>
                <c:pt idx="224">
                  <c:v>41022</c:v>
                </c:pt>
                <c:pt idx="225">
                  <c:v>41023</c:v>
                </c:pt>
                <c:pt idx="226">
                  <c:v>41024</c:v>
                </c:pt>
                <c:pt idx="227">
                  <c:v>41025</c:v>
                </c:pt>
                <c:pt idx="228">
                  <c:v>41026</c:v>
                </c:pt>
                <c:pt idx="229">
                  <c:v>41029</c:v>
                </c:pt>
                <c:pt idx="230">
                  <c:v>41030</c:v>
                </c:pt>
                <c:pt idx="231">
                  <c:v>41031</c:v>
                </c:pt>
                <c:pt idx="232">
                  <c:v>41032</c:v>
                </c:pt>
                <c:pt idx="233">
                  <c:v>41033</c:v>
                </c:pt>
                <c:pt idx="234">
                  <c:v>41036</c:v>
                </c:pt>
                <c:pt idx="235">
                  <c:v>41037</c:v>
                </c:pt>
                <c:pt idx="236">
                  <c:v>41038</c:v>
                </c:pt>
                <c:pt idx="237">
                  <c:v>41039</c:v>
                </c:pt>
                <c:pt idx="238">
                  <c:v>41040</c:v>
                </c:pt>
                <c:pt idx="239">
                  <c:v>41043</c:v>
                </c:pt>
                <c:pt idx="240">
                  <c:v>41044</c:v>
                </c:pt>
                <c:pt idx="241">
                  <c:v>41045</c:v>
                </c:pt>
                <c:pt idx="242">
                  <c:v>41046</c:v>
                </c:pt>
                <c:pt idx="243">
                  <c:v>41047</c:v>
                </c:pt>
                <c:pt idx="244">
                  <c:v>41050</c:v>
                </c:pt>
                <c:pt idx="245">
                  <c:v>41051</c:v>
                </c:pt>
                <c:pt idx="246">
                  <c:v>41052</c:v>
                </c:pt>
                <c:pt idx="247">
                  <c:v>41053</c:v>
                </c:pt>
                <c:pt idx="248">
                  <c:v>41054</c:v>
                </c:pt>
                <c:pt idx="249">
                  <c:v>41058</c:v>
                </c:pt>
                <c:pt idx="250">
                  <c:v>41059</c:v>
                </c:pt>
                <c:pt idx="251">
                  <c:v>41060</c:v>
                </c:pt>
                <c:pt idx="252">
                  <c:v>41061</c:v>
                </c:pt>
                <c:pt idx="253">
                  <c:v>41064</c:v>
                </c:pt>
                <c:pt idx="254">
                  <c:v>41065</c:v>
                </c:pt>
                <c:pt idx="255">
                  <c:v>41066</c:v>
                </c:pt>
                <c:pt idx="256">
                  <c:v>41067</c:v>
                </c:pt>
                <c:pt idx="257">
                  <c:v>41068</c:v>
                </c:pt>
                <c:pt idx="258">
                  <c:v>41071</c:v>
                </c:pt>
                <c:pt idx="259">
                  <c:v>41072</c:v>
                </c:pt>
                <c:pt idx="260">
                  <c:v>41073</c:v>
                </c:pt>
                <c:pt idx="261">
                  <c:v>41074</c:v>
                </c:pt>
                <c:pt idx="262">
                  <c:v>41075</c:v>
                </c:pt>
                <c:pt idx="263">
                  <c:v>41078</c:v>
                </c:pt>
                <c:pt idx="264">
                  <c:v>41079</c:v>
                </c:pt>
                <c:pt idx="265">
                  <c:v>41080</c:v>
                </c:pt>
                <c:pt idx="266">
                  <c:v>41081</c:v>
                </c:pt>
                <c:pt idx="267">
                  <c:v>41082</c:v>
                </c:pt>
                <c:pt idx="268">
                  <c:v>41085</c:v>
                </c:pt>
                <c:pt idx="269">
                  <c:v>41086</c:v>
                </c:pt>
                <c:pt idx="270">
                  <c:v>41087</c:v>
                </c:pt>
                <c:pt idx="271">
                  <c:v>41088</c:v>
                </c:pt>
                <c:pt idx="272">
                  <c:v>41089</c:v>
                </c:pt>
                <c:pt idx="273">
                  <c:v>41092</c:v>
                </c:pt>
                <c:pt idx="274">
                  <c:v>41093</c:v>
                </c:pt>
                <c:pt idx="275">
                  <c:v>41095</c:v>
                </c:pt>
                <c:pt idx="276">
                  <c:v>41096</c:v>
                </c:pt>
                <c:pt idx="277">
                  <c:v>41099</c:v>
                </c:pt>
                <c:pt idx="278">
                  <c:v>41100</c:v>
                </c:pt>
                <c:pt idx="279">
                  <c:v>41101</c:v>
                </c:pt>
                <c:pt idx="280">
                  <c:v>41102</c:v>
                </c:pt>
                <c:pt idx="281">
                  <c:v>41103</c:v>
                </c:pt>
                <c:pt idx="282">
                  <c:v>41106</c:v>
                </c:pt>
                <c:pt idx="283">
                  <c:v>41107</c:v>
                </c:pt>
                <c:pt idx="284">
                  <c:v>41108</c:v>
                </c:pt>
                <c:pt idx="285">
                  <c:v>41109</c:v>
                </c:pt>
                <c:pt idx="286">
                  <c:v>41110</c:v>
                </c:pt>
                <c:pt idx="287">
                  <c:v>41113</c:v>
                </c:pt>
                <c:pt idx="288">
                  <c:v>41114</c:v>
                </c:pt>
                <c:pt idx="289">
                  <c:v>41115</c:v>
                </c:pt>
                <c:pt idx="290">
                  <c:v>41116</c:v>
                </c:pt>
                <c:pt idx="291">
                  <c:v>41117</c:v>
                </c:pt>
                <c:pt idx="292">
                  <c:v>41120</c:v>
                </c:pt>
                <c:pt idx="293">
                  <c:v>41121</c:v>
                </c:pt>
                <c:pt idx="294">
                  <c:v>41122</c:v>
                </c:pt>
                <c:pt idx="295">
                  <c:v>41123</c:v>
                </c:pt>
                <c:pt idx="296">
                  <c:v>41124</c:v>
                </c:pt>
                <c:pt idx="297">
                  <c:v>41127</c:v>
                </c:pt>
                <c:pt idx="298">
                  <c:v>41128</c:v>
                </c:pt>
                <c:pt idx="299">
                  <c:v>41129</c:v>
                </c:pt>
                <c:pt idx="300">
                  <c:v>41130</c:v>
                </c:pt>
                <c:pt idx="301">
                  <c:v>41131</c:v>
                </c:pt>
                <c:pt idx="302">
                  <c:v>41134</c:v>
                </c:pt>
                <c:pt idx="303">
                  <c:v>41135</c:v>
                </c:pt>
                <c:pt idx="304">
                  <c:v>41136</c:v>
                </c:pt>
                <c:pt idx="305">
                  <c:v>41137</c:v>
                </c:pt>
                <c:pt idx="306">
                  <c:v>41138</c:v>
                </c:pt>
                <c:pt idx="307">
                  <c:v>41141</c:v>
                </c:pt>
                <c:pt idx="308">
                  <c:v>41142</c:v>
                </c:pt>
                <c:pt idx="309">
                  <c:v>41143</c:v>
                </c:pt>
                <c:pt idx="310">
                  <c:v>41144</c:v>
                </c:pt>
                <c:pt idx="311">
                  <c:v>41145</c:v>
                </c:pt>
                <c:pt idx="312">
                  <c:v>41148</c:v>
                </c:pt>
                <c:pt idx="313">
                  <c:v>41149</c:v>
                </c:pt>
                <c:pt idx="314">
                  <c:v>41150</c:v>
                </c:pt>
                <c:pt idx="315">
                  <c:v>41151</c:v>
                </c:pt>
                <c:pt idx="316">
                  <c:v>41152</c:v>
                </c:pt>
                <c:pt idx="317">
                  <c:v>41156</c:v>
                </c:pt>
                <c:pt idx="318">
                  <c:v>41157</c:v>
                </c:pt>
                <c:pt idx="319">
                  <c:v>41158</c:v>
                </c:pt>
                <c:pt idx="320">
                  <c:v>41159</c:v>
                </c:pt>
                <c:pt idx="321">
                  <c:v>41162</c:v>
                </c:pt>
                <c:pt idx="322">
                  <c:v>41163</c:v>
                </c:pt>
                <c:pt idx="323">
                  <c:v>41164</c:v>
                </c:pt>
                <c:pt idx="324">
                  <c:v>41165</c:v>
                </c:pt>
                <c:pt idx="325">
                  <c:v>41166</c:v>
                </c:pt>
                <c:pt idx="326">
                  <c:v>41169</c:v>
                </c:pt>
                <c:pt idx="327">
                  <c:v>41170</c:v>
                </c:pt>
                <c:pt idx="328">
                  <c:v>41171</c:v>
                </c:pt>
                <c:pt idx="329">
                  <c:v>41172</c:v>
                </c:pt>
                <c:pt idx="330">
                  <c:v>41173</c:v>
                </c:pt>
                <c:pt idx="331">
                  <c:v>41176</c:v>
                </c:pt>
                <c:pt idx="332">
                  <c:v>41177</c:v>
                </c:pt>
                <c:pt idx="333">
                  <c:v>41178</c:v>
                </c:pt>
                <c:pt idx="334">
                  <c:v>41179</c:v>
                </c:pt>
                <c:pt idx="335">
                  <c:v>41180</c:v>
                </c:pt>
                <c:pt idx="336">
                  <c:v>41183</c:v>
                </c:pt>
                <c:pt idx="337">
                  <c:v>41184</c:v>
                </c:pt>
                <c:pt idx="338">
                  <c:v>41185</c:v>
                </c:pt>
                <c:pt idx="339">
                  <c:v>41186</c:v>
                </c:pt>
                <c:pt idx="340">
                  <c:v>41187</c:v>
                </c:pt>
                <c:pt idx="341">
                  <c:v>41191</c:v>
                </c:pt>
                <c:pt idx="342">
                  <c:v>41192</c:v>
                </c:pt>
                <c:pt idx="343">
                  <c:v>41193</c:v>
                </c:pt>
                <c:pt idx="344">
                  <c:v>41194</c:v>
                </c:pt>
                <c:pt idx="345">
                  <c:v>41197</c:v>
                </c:pt>
                <c:pt idx="346">
                  <c:v>41198</c:v>
                </c:pt>
                <c:pt idx="347">
                  <c:v>41199</c:v>
                </c:pt>
                <c:pt idx="348">
                  <c:v>41200</c:v>
                </c:pt>
                <c:pt idx="349">
                  <c:v>41201</c:v>
                </c:pt>
                <c:pt idx="350">
                  <c:v>41204</c:v>
                </c:pt>
                <c:pt idx="351">
                  <c:v>41205</c:v>
                </c:pt>
                <c:pt idx="352">
                  <c:v>41206</c:v>
                </c:pt>
                <c:pt idx="353">
                  <c:v>41207</c:v>
                </c:pt>
                <c:pt idx="354">
                  <c:v>41208</c:v>
                </c:pt>
                <c:pt idx="355">
                  <c:v>41211</c:v>
                </c:pt>
                <c:pt idx="356">
                  <c:v>41212</c:v>
                </c:pt>
                <c:pt idx="357">
                  <c:v>41213</c:v>
                </c:pt>
                <c:pt idx="358">
                  <c:v>41214</c:v>
                </c:pt>
                <c:pt idx="359">
                  <c:v>41215</c:v>
                </c:pt>
                <c:pt idx="360">
                  <c:v>41218</c:v>
                </c:pt>
                <c:pt idx="361">
                  <c:v>41219</c:v>
                </c:pt>
                <c:pt idx="362">
                  <c:v>41220</c:v>
                </c:pt>
                <c:pt idx="363">
                  <c:v>41221</c:v>
                </c:pt>
                <c:pt idx="364">
                  <c:v>41222</c:v>
                </c:pt>
                <c:pt idx="365">
                  <c:v>41226</c:v>
                </c:pt>
                <c:pt idx="366">
                  <c:v>41227</c:v>
                </c:pt>
                <c:pt idx="367">
                  <c:v>41228</c:v>
                </c:pt>
                <c:pt idx="368">
                  <c:v>41229</c:v>
                </c:pt>
                <c:pt idx="369">
                  <c:v>41232</c:v>
                </c:pt>
                <c:pt idx="370">
                  <c:v>41233</c:v>
                </c:pt>
                <c:pt idx="371">
                  <c:v>41234</c:v>
                </c:pt>
                <c:pt idx="372">
                  <c:v>41236</c:v>
                </c:pt>
                <c:pt idx="373">
                  <c:v>41239</c:v>
                </c:pt>
                <c:pt idx="374">
                  <c:v>41240</c:v>
                </c:pt>
                <c:pt idx="375">
                  <c:v>41241</c:v>
                </c:pt>
                <c:pt idx="376">
                  <c:v>41242</c:v>
                </c:pt>
                <c:pt idx="377">
                  <c:v>41243</c:v>
                </c:pt>
                <c:pt idx="378">
                  <c:v>41246</c:v>
                </c:pt>
                <c:pt idx="379">
                  <c:v>41247</c:v>
                </c:pt>
                <c:pt idx="380">
                  <c:v>41248</c:v>
                </c:pt>
                <c:pt idx="381">
                  <c:v>41249</c:v>
                </c:pt>
                <c:pt idx="382">
                  <c:v>41250</c:v>
                </c:pt>
                <c:pt idx="383">
                  <c:v>41253</c:v>
                </c:pt>
                <c:pt idx="384">
                  <c:v>41254</c:v>
                </c:pt>
                <c:pt idx="385">
                  <c:v>41255</c:v>
                </c:pt>
                <c:pt idx="386">
                  <c:v>41256</c:v>
                </c:pt>
                <c:pt idx="387">
                  <c:v>41257</c:v>
                </c:pt>
                <c:pt idx="388">
                  <c:v>41260</c:v>
                </c:pt>
                <c:pt idx="389">
                  <c:v>41261</c:v>
                </c:pt>
                <c:pt idx="390">
                  <c:v>41262</c:v>
                </c:pt>
                <c:pt idx="391">
                  <c:v>41263</c:v>
                </c:pt>
                <c:pt idx="392">
                  <c:v>41264</c:v>
                </c:pt>
                <c:pt idx="393">
                  <c:v>41267</c:v>
                </c:pt>
                <c:pt idx="394">
                  <c:v>41269</c:v>
                </c:pt>
                <c:pt idx="395">
                  <c:v>41270</c:v>
                </c:pt>
                <c:pt idx="396">
                  <c:v>41271</c:v>
                </c:pt>
                <c:pt idx="397">
                  <c:v>41274</c:v>
                </c:pt>
                <c:pt idx="398">
                  <c:v>41276</c:v>
                </c:pt>
                <c:pt idx="399">
                  <c:v>41277</c:v>
                </c:pt>
                <c:pt idx="400">
                  <c:v>41278</c:v>
                </c:pt>
                <c:pt idx="401">
                  <c:v>41281</c:v>
                </c:pt>
                <c:pt idx="402">
                  <c:v>41282</c:v>
                </c:pt>
                <c:pt idx="403">
                  <c:v>41283</c:v>
                </c:pt>
                <c:pt idx="404">
                  <c:v>41284</c:v>
                </c:pt>
                <c:pt idx="405">
                  <c:v>41285</c:v>
                </c:pt>
                <c:pt idx="406">
                  <c:v>41288</c:v>
                </c:pt>
                <c:pt idx="407">
                  <c:v>41289</c:v>
                </c:pt>
                <c:pt idx="408">
                  <c:v>41290</c:v>
                </c:pt>
                <c:pt idx="409">
                  <c:v>41291</c:v>
                </c:pt>
                <c:pt idx="410">
                  <c:v>41292</c:v>
                </c:pt>
                <c:pt idx="411">
                  <c:v>41296</c:v>
                </c:pt>
                <c:pt idx="412">
                  <c:v>41297</c:v>
                </c:pt>
                <c:pt idx="413">
                  <c:v>41298</c:v>
                </c:pt>
                <c:pt idx="414">
                  <c:v>41299</c:v>
                </c:pt>
                <c:pt idx="415">
                  <c:v>41302</c:v>
                </c:pt>
                <c:pt idx="416">
                  <c:v>41303</c:v>
                </c:pt>
                <c:pt idx="417">
                  <c:v>41304</c:v>
                </c:pt>
                <c:pt idx="418">
                  <c:v>41305</c:v>
                </c:pt>
                <c:pt idx="419">
                  <c:v>41306</c:v>
                </c:pt>
                <c:pt idx="420">
                  <c:v>41309</c:v>
                </c:pt>
                <c:pt idx="421">
                  <c:v>41310</c:v>
                </c:pt>
                <c:pt idx="422">
                  <c:v>41311</c:v>
                </c:pt>
                <c:pt idx="423">
                  <c:v>41312</c:v>
                </c:pt>
                <c:pt idx="424">
                  <c:v>41313</c:v>
                </c:pt>
                <c:pt idx="425">
                  <c:v>41316</c:v>
                </c:pt>
                <c:pt idx="426">
                  <c:v>41317</c:v>
                </c:pt>
                <c:pt idx="427">
                  <c:v>41318</c:v>
                </c:pt>
                <c:pt idx="428">
                  <c:v>41319</c:v>
                </c:pt>
                <c:pt idx="429">
                  <c:v>41320</c:v>
                </c:pt>
                <c:pt idx="430">
                  <c:v>41324</c:v>
                </c:pt>
                <c:pt idx="431">
                  <c:v>41325</c:v>
                </c:pt>
                <c:pt idx="432">
                  <c:v>41326</c:v>
                </c:pt>
                <c:pt idx="433">
                  <c:v>41327</c:v>
                </c:pt>
                <c:pt idx="434">
                  <c:v>41330</c:v>
                </c:pt>
                <c:pt idx="435">
                  <c:v>41331</c:v>
                </c:pt>
                <c:pt idx="436">
                  <c:v>41332</c:v>
                </c:pt>
                <c:pt idx="437">
                  <c:v>41333</c:v>
                </c:pt>
                <c:pt idx="438">
                  <c:v>41334</c:v>
                </c:pt>
                <c:pt idx="439">
                  <c:v>41337</c:v>
                </c:pt>
                <c:pt idx="440">
                  <c:v>41338</c:v>
                </c:pt>
                <c:pt idx="441">
                  <c:v>41339</c:v>
                </c:pt>
                <c:pt idx="442">
                  <c:v>41340</c:v>
                </c:pt>
                <c:pt idx="443">
                  <c:v>41341</c:v>
                </c:pt>
                <c:pt idx="444">
                  <c:v>41344</c:v>
                </c:pt>
                <c:pt idx="445">
                  <c:v>41345</c:v>
                </c:pt>
                <c:pt idx="446">
                  <c:v>41346</c:v>
                </c:pt>
                <c:pt idx="447">
                  <c:v>41347</c:v>
                </c:pt>
                <c:pt idx="448">
                  <c:v>41348</c:v>
                </c:pt>
                <c:pt idx="449">
                  <c:v>41351</c:v>
                </c:pt>
                <c:pt idx="450">
                  <c:v>41352</c:v>
                </c:pt>
                <c:pt idx="451">
                  <c:v>41353</c:v>
                </c:pt>
                <c:pt idx="452">
                  <c:v>41354</c:v>
                </c:pt>
                <c:pt idx="453">
                  <c:v>41355</c:v>
                </c:pt>
                <c:pt idx="454">
                  <c:v>41358</c:v>
                </c:pt>
                <c:pt idx="455">
                  <c:v>41359</c:v>
                </c:pt>
                <c:pt idx="456">
                  <c:v>41360</c:v>
                </c:pt>
                <c:pt idx="457">
                  <c:v>41361</c:v>
                </c:pt>
                <c:pt idx="458">
                  <c:v>41362</c:v>
                </c:pt>
                <c:pt idx="459">
                  <c:v>41365</c:v>
                </c:pt>
                <c:pt idx="460">
                  <c:v>41366</c:v>
                </c:pt>
                <c:pt idx="461">
                  <c:v>41367</c:v>
                </c:pt>
                <c:pt idx="462">
                  <c:v>41368</c:v>
                </c:pt>
                <c:pt idx="463">
                  <c:v>41369</c:v>
                </c:pt>
                <c:pt idx="464">
                  <c:v>41372</c:v>
                </c:pt>
                <c:pt idx="465">
                  <c:v>41373</c:v>
                </c:pt>
                <c:pt idx="466">
                  <c:v>41374</c:v>
                </c:pt>
                <c:pt idx="467">
                  <c:v>41375</c:v>
                </c:pt>
                <c:pt idx="468">
                  <c:v>41376</c:v>
                </c:pt>
                <c:pt idx="469">
                  <c:v>41379</c:v>
                </c:pt>
                <c:pt idx="470">
                  <c:v>41380</c:v>
                </c:pt>
                <c:pt idx="471">
                  <c:v>41381</c:v>
                </c:pt>
                <c:pt idx="472">
                  <c:v>41382</c:v>
                </c:pt>
                <c:pt idx="473">
                  <c:v>41383</c:v>
                </c:pt>
                <c:pt idx="474">
                  <c:v>41386</c:v>
                </c:pt>
                <c:pt idx="475">
                  <c:v>41387</c:v>
                </c:pt>
                <c:pt idx="476">
                  <c:v>41388</c:v>
                </c:pt>
                <c:pt idx="477">
                  <c:v>41389</c:v>
                </c:pt>
                <c:pt idx="478">
                  <c:v>41390</c:v>
                </c:pt>
                <c:pt idx="479">
                  <c:v>41393</c:v>
                </c:pt>
                <c:pt idx="480">
                  <c:v>41394</c:v>
                </c:pt>
                <c:pt idx="481">
                  <c:v>41395</c:v>
                </c:pt>
                <c:pt idx="482">
                  <c:v>41396</c:v>
                </c:pt>
                <c:pt idx="483">
                  <c:v>41397</c:v>
                </c:pt>
                <c:pt idx="484">
                  <c:v>41400</c:v>
                </c:pt>
                <c:pt idx="485">
                  <c:v>41401</c:v>
                </c:pt>
                <c:pt idx="486">
                  <c:v>41402</c:v>
                </c:pt>
                <c:pt idx="487">
                  <c:v>41403</c:v>
                </c:pt>
                <c:pt idx="488">
                  <c:v>41404</c:v>
                </c:pt>
                <c:pt idx="489">
                  <c:v>41407</c:v>
                </c:pt>
                <c:pt idx="490">
                  <c:v>41408</c:v>
                </c:pt>
                <c:pt idx="491">
                  <c:v>41409</c:v>
                </c:pt>
                <c:pt idx="492">
                  <c:v>41410</c:v>
                </c:pt>
                <c:pt idx="493">
                  <c:v>41411</c:v>
                </c:pt>
                <c:pt idx="494">
                  <c:v>41414</c:v>
                </c:pt>
                <c:pt idx="495">
                  <c:v>41415</c:v>
                </c:pt>
                <c:pt idx="496">
                  <c:v>41416</c:v>
                </c:pt>
                <c:pt idx="497">
                  <c:v>41417</c:v>
                </c:pt>
                <c:pt idx="498">
                  <c:v>41418</c:v>
                </c:pt>
                <c:pt idx="499">
                  <c:v>41422</c:v>
                </c:pt>
                <c:pt idx="500">
                  <c:v>41423</c:v>
                </c:pt>
                <c:pt idx="501">
                  <c:v>41424</c:v>
                </c:pt>
                <c:pt idx="502">
                  <c:v>41425</c:v>
                </c:pt>
                <c:pt idx="503">
                  <c:v>41428</c:v>
                </c:pt>
                <c:pt idx="504">
                  <c:v>41429</c:v>
                </c:pt>
                <c:pt idx="505">
                  <c:v>41430</c:v>
                </c:pt>
                <c:pt idx="506">
                  <c:v>41431</c:v>
                </c:pt>
                <c:pt idx="507">
                  <c:v>41432</c:v>
                </c:pt>
                <c:pt idx="508">
                  <c:v>41435</c:v>
                </c:pt>
                <c:pt idx="509">
                  <c:v>41436</c:v>
                </c:pt>
                <c:pt idx="510">
                  <c:v>41437</c:v>
                </c:pt>
                <c:pt idx="511">
                  <c:v>41438</c:v>
                </c:pt>
                <c:pt idx="512">
                  <c:v>41439</c:v>
                </c:pt>
                <c:pt idx="513">
                  <c:v>41442</c:v>
                </c:pt>
                <c:pt idx="514">
                  <c:v>41443</c:v>
                </c:pt>
                <c:pt idx="515">
                  <c:v>41444</c:v>
                </c:pt>
                <c:pt idx="516">
                  <c:v>41445</c:v>
                </c:pt>
                <c:pt idx="517">
                  <c:v>41446</c:v>
                </c:pt>
                <c:pt idx="518">
                  <c:v>41449</c:v>
                </c:pt>
                <c:pt idx="519">
                  <c:v>41450</c:v>
                </c:pt>
                <c:pt idx="520">
                  <c:v>41451</c:v>
                </c:pt>
                <c:pt idx="521">
                  <c:v>41452</c:v>
                </c:pt>
                <c:pt idx="522">
                  <c:v>41453</c:v>
                </c:pt>
                <c:pt idx="523">
                  <c:v>41456</c:v>
                </c:pt>
                <c:pt idx="524">
                  <c:v>41457</c:v>
                </c:pt>
                <c:pt idx="525">
                  <c:v>41458</c:v>
                </c:pt>
                <c:pt idx="526">
                  <c:v>41460</c:v>
                </c:pt>
                <c:pt idx="527">
                  <c:v>41463</c:v>
                </c:pt>
                <c:pt idx="528">
                  <c:v>41464</c:v>
                </c:pt>
                <c:pt idx="529">
                  <c:v>41465</c:v>
                </c:pt>
                <c:pt idx="530">
                  <c:v>41466</c:v>
                </c:pt>
                <c:pt idx="531">
                  <c:v>41467</c:v>
                </c:pt>
                <c:pt idx="532">
                  <c:v>41470</c:v>
                </c:pt>
                <c:pt idx="533">
                  <c:v>41471</c:v>
                </c:pt>
                <c:pt idx="534">
                  <c:v>41472</c:v>
                </c:pt>
                <c:pt idx="535">
                  <c:v>41473</c:v>
                </c:pt>
                <c:pt idx="536">
                  <c:v>41474</c:v>
                </c:pt>
                <c:pt idx="537">
                  <c:v>41477</c:v>
                </c:pt>
                <c:pt idx="538">
                  <c:v>41478</c:v>
                </c:pt>
                <c:pt idx="539">
                  <c:v>41479</c:v>
                </c:pt>
                <c:pt idx="540">
                  <c:v>41480</c:v>
                </c:pt>
                <c:pt idx="541">
                  <c:v>41481</c:v>
                </c:pt>
                <c:pt idx="542">
                  <c:v>41484</c:v>
                </c:pt>
                <c:pt idx="543">
                  <c:v>41485</c:v>
                </c:pt>
                <c:pt idx="544">
                  <c:v>41486</c:v>
                </c:pt>
                <c:pt idx="545">
                  <c:v>41487</c:v>
                </c:pt>
                <c:pt idx="546">
                  <c:v>41488</c:v>
                </c:pt>
                <c:pt idx="547">
                  <c:v>41491</c:v>
                </c:pt>
                <c:pt idx="548">
                  <c:v>41492</c:v>
                </c:pt>
                <c:pt idx="549">
                  <c:v>41493</c:v>
                </c:pt>
                <c:pt idx="550">
                  <c:v>41494</c:v>
                </c:pt>
                <c:pt idx="551">
                  <c:v>41495</c:v>
                </c:pt>
                <c:pt idx="552">
                  <c:v>41498</c:v>
                </c:pt>
                <c:pt idx="553">
                  <c:v>41499</c:v>
                </c:pt>
                <c:pt idx="554">
                  <c:v>41500</c:v>
                </c:pt>
                <c:pt idx="555">
                  <c:v>41501</c:v>
                </c:pt>
                <c:pt idx="556">
                  <c:v>41502</c:v>
                </c:pt>
                <c:pt idx="557">
                  <c:v>41505</c:v>
                </c:pt>
                <c:pt idx="558">
                  <c:v>41506</c:v>
                </c:pt>
                <c:pt idx="559">
                  <c:v>41507</c:v>
                </c:pt>
                <c:pt idx="560">
                  <c:v>41508</c:v>
                </c:pt>
                <c:pt idx="561">
                  <c:v>41509</c:v>
                </c:pt>
                <c:pt idx="562">
                  <c:v>41512</c:v>
                </c:pt>
                <c:pt idx="563">
                  <c:v>41513</c:v>
                </c:pt>
                <c:pt idx="564">
                  <c:v>41514</c:v>
                </c:pt>
                <c:pt idx="565">
                  <c:v>41515</c:v>
                </c:pt>
                <c:pt idx="566">
                  <c:v>41516</c:v>
                </c:pt>
                <c:pt idx="567">
                  <c:v>41520</c:v>
                </c:pt>
                <c:pt idx="568">
                  <c:v>41521</c:v>
                </c:pt>
                <c:pt idx="569">
                  <c:v>41522</c:v>
                </c:pt>
                <c:pt idx="570">
                  <c:v>41523</c:v>
                </c:pt>
                <c:pt idx="571">
                  <c:v>41526</c:v>
                </c:pt>
                <c:pt idx="572">
                  <c:v>41527</c:v>
                </c:pt>
                <c:pt idx="573">
                  <c:v>41528</c:v>
                </c:pt>
                <c:pt idx="574">
                  <c:v>41529</c:v>
                </c:pt>
                <c:pt idx="575">
                  <c:v>41530</c:v>
                </c:pt>
                <c:pt idx="576">
                  <c:v>41533</c:v>
                </c:pt>
                <c:pt idx="577">
                  <c:v>41534</c:v>
                </c:pt>
                <c:pt idx="578">
                  <c:v>41535</c:v>
                </c:pt>
                <c:pt idx="579">
                  <c:v>41536</c:v>
                </c:pt>
                <c:pt idx="580">
                  <c:v>41537</c:v>
                </c:pt>
                <c:pt idx="581">
                  <c:v>41540</c:v>
                </c:pt>
                <c:pt idx="582">
                  <c:v>41541</c:v>
                </c:pt>
                <c:pt idx="583">
                  <c:v>41542</c:v>
                </c:pt>
                <c:pt idx="584">
                  <c:v>41543</c:v>
                </c:pt>
                <c:pt idx="585">
                  <c:v>41544</c:v>
                </c:pt>
                <c:pt idx="586">
                  <c:v>41547</c:v>
                </c:pt>
                <c:pt idx="587">
                  <c:v>41548</c:v>
                </c:pt>
                <c:pt idx="588">
                  <c:v>41549</c:v>
                </c:pt>
                <c:pt idx="589">
                  <c:v>41550</c:v>
                </c:pt>
                <c:pt idx="590">
                  <c:v>41551</c:v>
                </c:pt>
                <c:pt idx="591">
                  <c:v>41554</c:v>
                </c:pt>
                <c:pt idx="592">
                  <c:v>41555</c:v>
                </c:pt>
                <c:pt idx="593">
                  <c:v>41556</c:v>
                </c:pt>
                <c:pt idx="594">
                  <c:v>41557</c:v>
                </c:pt>
                <c:pt idx="595">
                  <c:v>41558</c:v>
                </c:pt>
                <c:pt idx="596">
                  <c:v>41562</c:v>
                </c:pt>
                <c:pt idx="597">
                  <c:v>41563</c:v>
                </c:pt>
                <c:pt idx="598">
                  <c:v>41564</c:v>
                </c:pt>
                <c:pt idx="599">
                  <c:v>41565</c:v>
                </c:pt>
                <c:pt idx="600">
                  <c:v>41568</c:v>
                </c:pt>
                <c:pt idx="601">
                  <c:v>41569</c:v>
                </c:pt>
                <c:pt idx="602">
                  <c:v>41570</c:v>
                </c:pt>
                <c:pt idx="603">
                  <c:v>41571</c:v>
                </c:pt>
                <c:pt idx="604">
                  <c:v>41572</c:v>
                </c:pt>
                <c:pt idx="605">
                  <c:v>41575</c:v>
                </c:pt>
                <c:pt idx="606">
                  <c:v>41576</c:v>
                </c:pt>
                <c:pt idx="607">
                  <c:v>41577</c:v>
                </c:pt>
                <c:pt idx="608">
                  <c:v>41578</c:v>
                </c:pt>
                <c:pt idx="609">
                  <c:v>41579</c:v>
                </c:pt>
                <c:pt idx="610">
                  <c:v>41582</c:v>
                </c:pt>
                <c:pt idx="611">
                  <c:v>41583</c:v>
                </c:pt>
                <c:pt idx="612">
                  <c:v>41584</c:v>
                </c:pt>
                <c:pt idx="613">
                  <c:v>41585</c:v>
                </c:pt>
                <c:pt idx="614">
                  <c:v>41586</c:v>
                </c:pt>
                <c:pt idx="615">
                  <c:v>41590</c:v>
                </c:pt>
                <c:pt idx="616">
                  <c:v>41591</c:v>
                </c:pt>
                <c:pt idx="617">
                  <c:v>41592</c:v>
                </c:pt>
                <c:pt idx="618">
                  <c:v>41593</c:v>
                </c:pt>
                <c:pt idx="619">
                  <c:v>41596</c:v>
                </c:pt>
                <c:pt idx="620">
                  <c:v>41597</c:v>
                </c:pt>
                <c:pt idx="621">
                  <c:v>41598</c:v>
                </c:pt>
                <c:pt idx="622">
                  <c:v>41599</c:v>
                </c:pt>
                <c:pt idx="623">
                  <c:v>41600</c:v>
                </c:pt>
                <c:pt idx="624">
                  <c:v>41603</c:v>
                </c:pt>
                <c:pt idx="625">
                  <c:v>41604</c:v>
                </c:pt>
                <c:pt idx="626">
                  <c:v>41605</c:v>
                </c:pt>
                <c:pt idx="627">
                  <c:v>41607</c:v>
                </c:pt>
                <c:pt idx="628">
                  <c:v>41610</c:v>
                </c:pt>
                <c:pt idx="629">
                  <c:v>41611</c:v>
                </c:pt>
                <c:pt idx="630">
                  <c:v>41612</c:v>
                </c:pt>
                <c:pt idx="631">
                  <c:v>41613</c:v>
                </c:pt>
                <c:pt idx="632">
                  <c:v>41614</c:v>
                </c:pt>
                <c:pt idx="633">
                  <c:v>41617</c:v>
                </c:pt>
                <c:pt idx="634">
                  <c:v>41618</c:v>
                </c:pt>
                <c:pt idx="635">
                  <c:v>41619</c:v>
                </c:pt>
                <c:pt idx="636">
                  <c:v>41620</c:v>
                </c:pt>
                <c:pt idx="637">
                  <c:v>41621</c:v>
                </c:pt>
                <c:pt idx="638">
                  <c:v>41624</c:v>
                </c:pt>
                <c:pt idx="639">
                  <c:v>41625</c:v>
                </c:pt>
                <c:pt idx="640">
                  <c:v>41626</c:v>
                </c:pt>
                <c:pt idx="641">
                  <c:v>41627</c:v>
                </c:pt>
                <c:pt idx="642">
                  <c:v>41628</c:v>
                </c:pt>
                <c:pt idx="643">
                  <c:v>41631</c:v>
                </c:pt>
                <c:pt idx="644">
                  <c:v>41632</c:v>
                </c:pt>
                <c:pt idx="645">
                  <c:v>41634</c:v>
                </c:pt>
                <c:pt idx="646">
                  <c:v>41635</c:v>
                </c:pt>
                <c:pt idx="647">
                  <c:v>41638</c:v>
                </c:pt>
                <c:pt idx="648">
                  <c:v>41639</c:v>
                </c:pt>
                <c:pt idx="649">
                  <c:v>41641</c:v>
                </c:pt>
                <c:pt idx="650">
                  <c:v>41642</c:v>
                </c:pt>
                <c:pt idx="651">
                  <c:v>41645</c:v>
                </c:pt>
                <c:pt idx="652">
                  <c:v>41646</c:v>
                </c:pt>
                <c:pt idx="653">
                  <c:v>41647</c:v>
                </c:pt>
                <c:pt idx="654">
                  <c:v>41648</c:v>
                </c:pt>
                <c:pt idx="655">
                  <c:v>41649</c:v>
                </c:pt>
                <c:pt idx="656">
                  <c:v>41652</c:v>
                </c:pt>
                <c:pt idx="657">
                  <c:v>41653</c:v>
                </c:pt>
                <c:pt idx="658">
                  <c:v>41654</c:v>
                </c:pt>
                <c:pt idx="659">
                  <c:v>41655</c:v>
                </c:pt>
                <c:pt idx="660">
                  <c:v>41656</c:v>
                </c:pt>
                <c:pt idx="661">
                  <c:v>41660</c:v>
                </c:pt>
                <c:pt idx="662">
                  <c:v>41661</c:v>
                </c:pt>
                <c:pt idx="663">
                  <c:v>41662</c:v>
                </c:pt>
                <c:pt idx="664">
                  <c:v>41663</c:v>
                </c:pt>
                <c:pt idx="665">
                  <c:v>41666</c:v>
                </c:pt>
                <c:pt idx="666">
                  <c:v>41667</c:v>
                </c:pt>
                <c:pt idx="667">
                  <c:v>41668</c:v>
                </c:pt>
                <c:pt idx="668">
                  <c:v>41669</c:v>
                </c:pt>
                <c:pt idx="669">
                  <c:v>41670</c:v>
                </c:pt>
                <c:pt idx="670">
                  <c:v>41673</c:v>
                </c:pt>
                <c:pt idx="671">
                  <c:v>41674</c:v>
                </c:pt>
                <c:pt idx="672">
                  <c:v>41675</c:v>
                </c:pt>
                <c:pt idx="673">
                  <c:v>41676</c:v>
                </c:pt>
                <c:pt idx="674">
                  <c:v>41677</c:v>
                </c:pt>
                <c:pt idx="675">
                  <c:v>41680</c:v>
                </c:pt>
                <c:pt idx="676">
                  <c:v>41681</c:v>
                </c:pt>
                <c:pt idx="677">
                  <c:v>41682</c:v>
                </c:pt>
                <c:pt idx="678">
                  <c:v>41683</c:v>
                </c:pt>
                <c:pt idx="679">
                  <c:v>41684</c:v>
                </c:pt>
                <c:pt idx="680">
                  <c:v>41688</c:v>
                </c:pt>
                <c:pt idx="681">
                  <c:v>41689</c:v>
                </c:pt>
                <c:pt idx="682">
                  <c:v>41690</c:v>
                </c:pt>
                <c:pt idx="683">
                  <c:v>41691</c:v>
                </c:pt>
                <c:pt idx="684">
                  <c:v>41694</c:v>
                </c:pt>
                <c:pt idx="685">
                  <c:v>41695</c:v>
                </c:pt>
                <c:pt idx="686">
                  <c:v>41696</c:v>
                </c:pt>
                <c:pt idx="687">
                  <c:v>41697</c:v>
                </c:pt>
                <c:pt idx="688">
                  <c:v>41698</c:v>
                </c:pt>
                <c:pt idx="689">
                  <c:v>41701</c:v>
                </c:pt>
                <c:pt idx="690">
                  <c:v>41702</c:v>
                </c:pt>
                <c:pt idx="691">
                  <c:v>41703</c:v>
                </c:pt>
                <c:pt idx="692">
                  <c:v>41704</c:v>
                </c:pt>
                <c:pt idx="693">
                  <c:v>41705</c:v>
                </c:pt>
                <c:pt idx="694">
                  <c:v>41708</c:v>
                </c:pt>
                <c:pt idx="695">
                  <c:v>41709</c:v>
                </c:pt>
                <c:pt idx="696">
                  <c:v>41710</c:v>
                </c:pt>
                <c:pt idx="697">
                  <c:v>41711</c:v>
                </c:pt>
                <c:pt idx="698">
                  <c:v>41712</c:v>
                </c:pt>
                <c:pt idx="699">
                  <c:v>41715</c:v>
                </c:pt>
                <c:pt idx="700">
                  <c:v>41716</c:v>
                </c:pt>
                <c:pt idx="701">
                  <c:v>41717</c:v>
                </c:pt>
                <c:pt idx="702">
                  <c:v>41718</c:v>
                </c:pt>
                <c:pt idx="703">
                  <c:v>41719</c:v>
                </c:pt>
                <c:pt idx="704">
                  <c:v>41722</c:v>
                </c:pt>
                <c:pt idx="705">
                  <c:v>41723</c:v>
                </c:pt>
                <c:pt idx="706">
                  <c:v>41724</c:v>
                </c:pt>
                <c:pt idx="707">
                  <c:v>41725</c:v>
                </c:pt>
                <c:pt idx="708">
                  <c:v>41726</c:v>
                </c:pt>
                <c:pt idx="709">
                  <c:v>41729</c:v>
                </c:pt>
                <c:pt idx="710">
                  <c:v>41730</c:v>
                </c:pt>
                <c:pt idx="711">
                  <c:v>41731</c:v>
                </c:pt>
                <c:pt idx="712">
                  <c:v>41732</c:v>
                </c:pt>
                <c:pt idx="713">
                  <c:v>41733</c:v>
                </c:pt>
                <c:pt idx="714">
                  <c:v>41736</c:v>
                </c:pt>
                <c:pt idx="715">
                  <c:v>41737</c:v>
                </c:pt>
                <c:pt idx="716">
                  <c:v>41738</c:v>
                </c:pt>
                <c:pt idx="717">
                  <c:v>41739</c:v>
                </c:pt>
                <c:pt idx="718">
                  <c:v>41740</c:v>
                </c:pt>
                <c:pt idx="719">
                  <c:v>41743</c:v>
                </c:pt>
                <c:pt idx="720">
                  <c:v>41744</c:v>
                </c:pt>
                <c:pt idx="721">
                  <c:v>41745</c:v>
                </c:pt>
                <c:pt idx="722">
                  <c:v>41746</c:v>
                </c:pt>
                <c:pt idx="723">
                  <c:v>41747</c:v>
                </c:pt>
                <c:pt idx="724">
                  <c:v>41750</c:v>
                </c:pt>
                <c:pt idx="725">
                  <c:v>41751</c:v>
                </c:pt>
                <c:pt idx="726">
                  <c:v>41752</c:v>
                </c:pt>
                <c:pt idx="727">
                  <c:v>41753</c:v>
                </c:pt>
                <c:pt idx="728">
                  <c:v>41754</c:v>
                </c:pt>
                <c:pt idx="729">
                  <c:v>41757</c:v>
                </c:pt>
                <c:pt idx="730">
                  <c:v>41758</c:v>
                </c:pt>
                <c:pt idx="731">
                  <c:v>41759</c:v>
                </c:pt>
                <c:pt idx="732">
                  <c:v>41760</c:v>
                </c:pt>
                <c:pt idx="733">
                  <c:v>41761</c:v>
                </c:pt>
                <c:pt idx="734">
                  <c:v>41764</c:v>
                </c:pt>
                <c:pt idx="735">
                  <c:v>41765</c:v>
                </c:pt>
                <c:pt idx="736">
                  <c:v>41766</c:v>
                </c:pt>
                <c:pt idx="737">
                  <c:v>41767</c:v>
                </c:pt>
                <c:pt idx="738">
                  <c:v>41768</c:v>
                </c:pt>
                <c:pt idx="739">
                  <c:v>41771</c:v>
                </c:pt>
                <c:pt idx="740">
                  <c:v>41772</c:v>
                </c:pt>
                <c:pt idx="741">
                  <c:v>41773</c:v>
                </c:pt>
                <c:pt idx="742">
                  <c:v>41774</c:v>
                </c:pt>
                <c:pt idx="743">
                  <c:v>41775</c:v>
                </c:pt>
                <c:pt idx="744">
                  <c:v>41778</c:v>
                </c:pt>
                <c:pt idx="745">
                  <c:v>41779</c:v>
                </c:pt>
                <c:pt idx="746">
                  <c:v>41780</c:v>
                </c:pt>
                <c:pt idx="747">
                  <c:v>41781</c:v>
                </c:pt>
                <c:pt idx="748">
                  <c:v>41782</c:v>
                </c:pt>
                <c:pt idx="749">
                  <c:v>41786</c:v>
                </c:pt>
                <c:pt idx="750">
                  <c:v>41787</c:v>
                </c:pt>
                <c:pt idx="751">
                  <c:v>41788</c:v>
                </c:pt>
                <c:pt idx="752">
                  <c:v>41789</c:v>
                </c:pt>
                <c:pt idx="753">
                  <c:v>41792</c:v>
                </c:pt>
                <c:pt idx="754">
                  <c:v>41793</c:v>
                </c:pt>
                <c:pt idx="755">
                  <c:v>41794</c:v>
                </c:pt>
                <c:pt idx="756">
                  <c:v>41795</c:v>
                </c:pt>
                <c:pt idx="757">
                  <c:v>41796</c:v>
                </c:pt>
                <c:pt idx="758">
                  <c:v>41799</c:v>
                </c:pt>
                <c:pt idx="759">
                  <c:v>41800</c:v>
                </c:pt>
                <c:pt idx="760">
                  <c:v>41801</c:v>
                </c:pt>
                <c:pt idx="761">
                  <c:v>41802</c:v>
                </c:pt>
                <c:pt idx="762">
                  <c:v>41803</c:v>
                </c:pt>
                <c:pt idx="763">
                  <c:v>41806</c:v>
                </c:pt>
                <c:pt idx="764">
                  <c:v>41807</c:v>
                </c:pt>
                <c:pt idx="765">
                  <c:v>41808</c:v>
                </c:pt>
                <c:pt idx="766">
                  <c:v>41809</c:v>
                </c:pt>
                <c:pt idx="767">
                  <c:v>41810</c:v>
                </c:pt>
                <c:pt idx="768">
                  <c:v>41813</c:v>
                </c:pt>
                <c:pt idx="769">
                  <c:v>41814</c:v>
                </c:pt>
                <c:pt idx="770">
                  <c:v>41815</c:v>
                </c:pt>
                <c:pt idx="771">
                  <c:v>41816</c:v>
                </c:pt>
                <c:pt idx="772">
                  <c:v>41817</c:v>
                </c:pt>
                <c:pt idx="773">
                  <c:v>41820</c:v>
                </c:pt>
                <c:pt idx="774">
                  <c:v>41821</c:v>
                </c:pt>
                <c:pt idx="775">
                  <c:v>41822</c:v>
                </c:pt>
                <c:pt idx="776">
                  <c:v>41823</c:v>
                </c:pt>
                <c:pt idx="777">
                  <c:v>41827</c:v>
                </c:pt>
                <c:pt idx="778">
                  <c:v>41828</c:v>
                </c:pt>
                <c:pt idx="779">
                  <c:v>41829</c:v>
                </c:pt>
                <c:pt idx="780">
                  <c:v>41830</c:v>
                </c:pt>
                <c:pt idx="781">
                  <c:v>41831</c:v>
                </c:pt>
                <c:pt idx="782">
                  <c:v>41834</c:v>
                </c:pt>
                <c:pt idx="783">
                  <c:v>41835</c:v>
                </c:pt>
                <c:pt idx="784">
                  <c:v>41836</c:v>
                </c:pt>
                <c:pt idx="785">
                  <c:v>41837</c:v>
                </c:pt>
                <c:pt idx="786">
                  <c:v>41838</c:v>
                </c:pt>
                <c:pt idx="787">
                  <c:v>41841</c:v>
                </c:pt>
                <c:pt idx="788">
                  <c:v>41842</c:v>
                </c:pt>
                <c:pt idx="789">
                  <c:v>41843</c:v>
                </c:pt>
                <c:pt idx="790">
                  <c:v>41844</c:v>
                </c:pt>
                <c:pt idx="791">
                  <c:v>41845</c:v>
                </c:pt>
                <c:pt idx="792">
                  <c:v>41848</c:v>
                </c:pt>
                <c:pt idx="793">
                  <c:v>41849</c:v>
                </c:pt>
                <c:pt idx="794">
                  <c:v>41850</c:v>
                </c:pt>
                <c:pt idx="795">
                  <c:v>41851</c:v>
                </c:pt>
                <c:pt idx="796">
                  <c:v>41852</c:v>
                </c:pt>
                <c:pt idx="797">
                  <c:v>41855</c:v>
                </c:pt>
                <c:pt idx="798">
                  <c:v>41856</c:v>
                </c:pt>
                <c:pt idx="799">
                  <c:v>41857</c:v>
                </c:pt>
                <c:pt idx="800">
                  <c:v>41858</c:v>
                </c:pt>
                <c:pt idx="801">
                  <c:v>41859</c:v>
                </c:pt>
                <c:pt idx="802">
                  <c:v>41862</c:v>
                </c:pt>
                <c:pt idx="803">
                  <c:v>41863</c:v>
                </c:pt>
                <c:pt idx="804">
                  <c:v>41864</c:v>
                </c:pt>
                <c:pt idx="805">
                  <c:v>41865</c:v>
                </c:pt>
                <c:pt idx="806">
                  <c:v>41866</c:v>
                </c:pt>
                <c:pt idx="807">
                  <c:v>41869</c:v>
                </c:pt>
                <c:pt idx="808">
                  <c:v>41870</c:v>
                </c:pt>
                <c:pt idx="809">
                  <c:v>41871</c:v>
                </c:pt>
                <c:pt idx="810">
                  <c:v>41872</c:v>
                </c:pt>
                <c:pt idx="811">
                  <c:v>41873</c:v>
                </c:pt>
                <c:pt idx="812">
                  <c:v>41876</c:v>
                </c:pt>
                <c:pt idx="813">
                  <c:v>41877</c:v>
                </c:pt>
                <c:pt idx="814">
                  <c:v>41878</c:v>
                </c:pt>
                <c:pt idx="815">
                  <c:v>41879</c:v>
                </c:pt>
                <c:pt idx="816">
                  <c:v>41880</c:v>
                </c:pt>
                <c:pt idx="817">
                  <c:v>41884</c:v>
                </c:pt>
                <c:pt idx="818">
                  <c:v>41885</c:v>
                </c:pt>
                <c:pt idx="819">
                  <c:v>41886</c:v>
                </c:pt>
                <c:pt idx="820">
                  <c:v>41887</c:v>
                </c:pt>
                <c:pt idx="821">
                  <c:v>41890</c:v>
                </c:pt>
                <c:pt idx="822">
                  <c:v>41891</c:v>
                </c:pt>
                <c:pt idx="823">
                  <c:v>41892</c:v>
                </c:pt>
                <c:pt idx="824">
                  <c:v>41893</c:v>
                </c:pt>
                <c:pt idx="825">
                  <c:v>41894</c:v>
                </c:pt>
                <c:pt idx="826">
                  <c:v>41897</c:v>
                </c:pt>
                <c:pt idx="827">
                  <c:v>41898</c:v>
                </c:pt>
                <c:pt idx="828">
                  <c:v>41899</c:v>
                </c:pt>
                <c:pt idx="829">
                  <c:v>41900</c:v>
                </c:pt>
                <c:pt idx="830">
                  <c:v>41901</c:v>
                </c:pt>
                <c:pt idx="831">
                  <c:v>41904</c:v>
                </c:pt>
                <c:pt idx="832">
                  <c:v>41905</c:v>
                </c:pt>
                <c:pt idx="833">
                  <c:v>41906</c:v>
                </c:pt>
                <c:pt idx="834">
                  <c:v>41907</c:v>
                </c:pt>
                <c:pt idx="835">
                  <c:v>41908</c:v>
                </c:pt>
                <c:pt idx="836">
                  <c:v>41911</c:v>
                </c:pt>
                <c:pt idx="837">
                  <c:v>41912</c:v>
                </c:pt>
                <c:pt idx="838">
                  <c:v>41913</c:v>
                </c:pt>
                <c:pt idx="839">
                  <c:v>41914</c:v>
                </c:pt>
                <c:pt idx="840">
                  <c:v>41915</c:v>
                </c:pt>
                <c:pt idx="841">
                  <c:v>41918</c:v>
                </c:pt>
                <c:pt idx="842">
                  <c:v>41919</c:v>
                </c:pt>
                <c:pt idx="843">
                  <c:v>41920</c:v>
                </c:pt>
                <c:pt idx="844">
                  <c:v>41921</c:v>
                </c:pt>
                <c:pt idx="845">
                  <c:v>41922</c:v>
                </c:pt>
                <c:pt idx="846">
                  <c:v>41926</c:v>
                </c:pt>
                <c:pt idx="847">
                  <c:v>41927</c:v>
                </c:pt>
                <c:pt idx="848">
                  <c:v>41928</c:v>
                </c:pt>
                <c:pt idx="849">
                  <c:v>41929</c:v>
                </c:pt>
                <c:pt idx="850">
                  <c:v>41932</c:v>
                </c:pt>
                <c:pt idx="851">
                  <c:v>41933</c:v>
                </c:pt>
                <c:pt idx="852">
                  <c:v>41934</c:v>
                </c:pt>
                <c:pt idx="853">
                  <c:v>41935</c:v>
                </c:pt>
                <c:pt idx="854">
                  <c:v>41936</c:v>
                </c:pt>
                <c:pt idx="855">
                  <c:v>41939</c:v>
                </c:pt>
                <c:pt idx="856">
                  <c:v>41940</c:v>
                </c:pt>
                <c:pt idx="857">
                  <c:v>41941</c:v>
                </c:pt>
                <c:pt idx="858">
                  <c:v>41942</c:v>
                </c:pt>
                <c:pt idx="859">
                  <c:v>41943</c:v>
                </c:pt>
                <c:pt idx="860">
                  <c:v>41946</c:v>
                </c:pt>
                <c:pt idx="861">
                  <c:v>41947</c:v>
                </c:pt>
                <c:pt idx="862">
                  <c:v>41948</c:v>
                </c:pt>
                <c:pt idx="863">
                  <c:v>41949</c:v>
                </c:pt>
                <c:pt idx="864">
                  <c:v>41950</c:v>
                </c:pt>
                <c:pt idx="865">
                  <c:v>41953</c:v>
                </c:pt>
                <c:pt idx="866">
                  <c:v>41955</c:v>
                </c:pt>
                <c:pt idx="867">
                  <c:v>41956</c:v>
                </c:pt>
                <c:pt idx="868">
                  <c:v>41957</c:v>
                </c:pt>
                <c:pt idx="869">
                  <c:v>41960</c:v>
                </c:pt>
                <c:pt idx="870">
                  <c:v>41961</c:v>
                </c:pt>
                <c:pt idx="871">
                  <c:v>41962</c:v>
                </c:pt>
                <c:pt idx="872">
                  <c:v>41963</c:v>
                </c:pt>
                <c:pt idx="873">
                  <c:v>41964</c:v>
                </c:pt>
                <c:pt idx="874">
                  <c:v>41967</c:v>
                </c:pt>
                <c:pt idx="875">
                  <c:v>41968</c:v>
                </c:pt>
                <c:pt idx="876">
                  <c:v>41969</c:v>
                </c:pt>
                <c:pt idx="877">
                  <c:v>41971</c:v>
                </c:pt>
                <c:pt idx="878">
                  <c:v>41974</c:v>
                </c:pt>
                <c:pt idx="879">
                  <c:v>41975</c:v>
                </c:pt>
                <c:pt idx="880">
                  <c:v>41976</c:v>
                </c:pt>
                <c:pt idx="881">
                  <c:v>41977</c:v>
                </c:pt>
                <c:pt idx="882">
                  <c:v>41978</c:v>
                </c:pt>
                <c:pt idx="883">
                  <c:v>41981</c:v>
                </c:pt>
                <c:pt idx="884">
                  <c:v>41982</c:v>
                </c:pt>
                <c:pt idx="885">
                  <c:v>41983</c:v>
                </c:pt>
                <c:pt idx="886">
                  <c:v>41984</c:v>
                </c:pt>
                <c:pt idx="887">
                  <c:v>41985</c:v>
                </c:pt>
                <c:pt idx="888">
                  <c:v>41988</c:v>
                </c:pt>
                <c:pt idx="889">
                  <c:v>41989</c:v>
                </c:pt>
                <c:pt idx="890">
                  <c:v>41990</c:v>
                </c:pt>
                <c:pt idx="891">
                  <c:v>41991</c:v>
                </c:pt>
                <c:pt idx="892">
                  <c:v>41992</c:v>
                </c:pt>
                <c:pt idx="893">
                  <c:v>41995</c:v>
                </c:pt>
                <c:pt idx="894">
                  <c:v>41996</c:v>
                </c:pt>
                <c:pt idx="895">
                  <c:v>41997</c:v>
                </c:pt>
                <c:pt idx="896">
                  <c:v>41999</c:v>
                </c:pt>
                <c:pt idx="897">
                  <c:v>42002</c:v>
                </c:pt>
                <c:pt idx="898">
                  <c:v>42003</c:v>
                </c:pt>
                <c:pt idx="899">
                  <c:v>42004</c:v>
                </c:pt>
                <c:pt idx="900">
                  <c:v>42006</c:v>
                </c:pt>
                <c:pt idx="901">
                  <c:v>42009</c:v>
                </c:pt>
                <c:pt idx="902">
                  <c:v>42010</c:v>
                </c:pt>
                <c:pt idx="903">
                  <c:v>42011</c:v>
                </c:pt>
                <c:pt idx="904">
                  <c:v>42012</c:v>
                </c:pt>
                <c:pt idx="905">
                  <c:v>42013</c:v>
                </c:pt>
                <c:pt idx="906">
                  <c:v>42016</c:v>
                </c:pt>
                <c:pt idx="907">
                  <c:v>42017</c:v>
                </c:pt>
                <c:pt idx="908">
                  <c:v>42018</c:v>
                </c:pt>
                <c:pt idx="909">
                  <c:v>42019</c:v>
                </c:pt>
                <c:pt idx="910">
                  <c:v>42020</c:v>
                </c:pt>
                <c:pt idx="911">
                  <c:v>42024</c:v>
                </c:pt>
                <c:pt idx="912">
                  <c:v>42025</c:v>
                </c:pt>
                <c:pt idx="913">
                  <c:v>42026</c:v>
                </c:pt>
                <c:pt idx="914">
                  <c:v>42027</c:v>
                </c:pt>
                <c:pt idx="915">
                  <c:v>42030</c:v>
                </c:pt>
                <c:pt idx="916">
                  <c:v>42031</c:v>
                </c:pt>
                <c:pt idx="917">
                  <c:v>42032</c:v>
                </c:pt>
                <c:pt idx="918">
                  <c:v>42033</c:v>
                </c:pt>
                <c:pt idx="919">
                  <c:v>42034</c:v>
                </c:pt>
                <c:pt idx="920">
                  <c:v>42037</c:v>
                </c:pt>
                <c:pt idx="921">
                  <c:v>42038</c:v>
                </c:pt>
                <c:pt idx="922">
                  <c:v>42039</c:v>
                </c:pt>
                <c:pt idx="923">
                  <c:v>42040</c:v>
                </c:pt>
                <c:pt idx="924">
                  <c:v>42041</c:v>
                </c:pt>
                <c:pt idx="925">
                  <c:v>42044</c:v>
                </c:pt>
                <c:pt idx="926">
                  <c:v>42045</c:v>
                </c:pt>
                <c:pt idx="927">
                  <c:v>42046</c:v>
                </c:pt>
                <c:pt idx="928">
                  <c:v>42047</c:v>
                </c:pt>
                <c:pt idx="929">
                  <c:v>42048</c:v>
                </c:pt>
                <c:pt idx="930">
                  <c:v>42052</c:v>
                </c:pt>
                <c:pt idx="931">
                  <c:v>42053</c:v>
                </c:pt>
                <c:pt idx="932">
                  <c:v>42054</c:v>
                </c:pt>
                <c:pt idx="933">
                  <c:v>42055</c:v>
                </c:pt>
                <c:pt idx="934">
                  <c:v>42058</c:v>
                </c:pt>
                <c:pt idx="935">
                  <c:v>42059</c:v>
                </c:pt>
                <c:pt idx="936">
                  <c:v>42060</c:v>
                </c:pt>
                <c:pt idx="937">
                  <c:v>42061</c:v>
                </c:pt>
                <c:pt idx="938">
                  <c:v>42062</c:v>
                </c:pt>
                <c:pt idx="939">
                  <c:v>42065</c:v>
                </c:pt>
                <c:pt idx="940">
                  <c:v>42066</c:v>
                </c:pt>
                <c:pt idx="941">
                  <c:v>42067</c:v>
                </c:pt>
                <c:pt idx="942">
                  <c:v>42068</c:v>
                </c:pt>
                <c:pt idx="943">
                  <c:v>42069</c:v>
                </c:pt>
                <c:pt idx="944">
                  <c:v>42072</c:v>
                </c:pt>
                <c:pt idx="945">
                  <c:v>42073</c:v>
                </c:pt>
                <c:pt idx="946">
                  <c:v>42074</c:v>
                </c:pt>
                <c:pt idx="947">
                  <c:v>42075</c:v>
                </c:pt>
                <c:pt idx="948">
                  <c:v>42076</c:v>
                </c:pt>
                <c:pt idx="949">
                  <c:v>42079</c:v>
                </c:pt>
                <c:pt idx="950">
                  <c:v>42080</c:v>
                </c:pt>
                <c:pt idx="951">
                  <c:v>42081</c:v>
                </c:pt>
                <c:pt idx="952">
                  <c:v>42082</c:v>
                </c:pt>
                <c:pt idx="953">
                  <c:v>42083</c:v>
                </c:pt>
                <c:pt idx="954">
                  <c:v>42086</c:v>
                </c:pt>
                <c:pt idx="955">
                  <c:v>42087</c:v>
                </c:pt>
                <c:pt idx="956">
                  <c:v>42088</c:v>
                </c:pt>
                <c:pt idx="957">
                  <c:v>42089</c:v>
                </c:pt>
                <c:pt idx="958">
                  <c:v>42090</c:v>
                </c:pt>
                <c:pt idx="959">
                  <c:v>42093</c:v>
                </c:pt>
                <c:pt idx="960">
                  <c:v>42094</c:v>
                </c:pt>
                <c:pt idx="961">
                  <c:v>42095</c:v>
                </c:pt>
                <c:pt idx="962">
                  <c:v>42096</c:v>
                </c:pt>
                <c:pt idx="963">
                  <c:v>42097</c:v>
                </c:pt>
                <c:pt idx="964">
                  <c:v>42100</c:v>
                </c:pt>
                <c:pt idx="965">
                  <c:v>42101</c:v>
                </c:pt>
                <c:pt idx="966">
                  <c:v>42102</c:v>
                </c:pt>
                <c:pt idx="967">
                  <c:v>42103</c:v>
                </c:pt>
                <c:pt idx="968">
                  <c:v>42104</c:v>
                </c:pt>
                <c:pt idx="969">
                  <c:v>42107</c:v>
                </c:pt>
                <c:pt idx="970">
                  <c:v>42108</c:v>
                </c:pt>
                <c:pt idx="971">
                  <c:v>42109</c:v>
                </c:pt>
                <c:pt idx="972">
                  <c:v>42110</c:v>
                </c:pt>
                <c:pt idx="973">
                  <c:v>42111</c:v>
                </c:pt>
                <c:pt idx="974">
                  <c:v>42114</c:v>
                </c:pt>
                <c:pt idx="975">
                  <c:v>42115</c:v>
                </c:pt>
                <c:pt idx="976">
                  <c:v>42116</c:v>
                </c:pt>
                <c:pt idx="977">
                  <c:v>42117</c:v>
                </c:pt>
                <c:pt idx="978">
                  <c:v>42118</c:v>
                </c:pt>
                <c:pt idx="979">
                  <c:v>42121</c:v>
                </c:pt>
                <c:pt idx="980">
                  <c:v>42122</c:v>
                </c:pt>
                <c:pt idx="981">
                  <c:v>42123</c:v>
                </c:pt>
                <c:pt idx="982">
                  <c:v>42124</c:v>
                </c:pt>
                <c:pt idx="983">
                  <c:v>42125</c:v>
                </c:pt>
                <c:pt idx="984">
                  <c:v>42128</c:v>
                </c:pt>
                <c:pt idx="985">
                  <c:v>42129</c:v>
                </c:pt>
                <c:pt idx="986">
                  <c:v>42130</c:v>
                </c:pt>
                <c:pt idx="987">
                  <c:v>42131</c:v>
                </c:pt>
                <c:pt idx="988">
                  <c:v>42132</c:v>
                </c:pt>
                <c:pt idx="989">
                  <c:v>42135</c:v>
                </c:pt>
                <c:pt idx="990">
                  <c:v>42136</c:v>
                </c:pt>
                <c:pt idx="991">
                  <c:v>42137</c:v>
                </c:pt>
                <c:pt idx="992">
                  <c:v>42138</c:v>
                </c:pt>
                <c:pt idx="993">
                  <c:v>42139</c:v>
                </c:pt>
                <c:pt idx="994">
                  <c:v>42142</c:v>
                </c:pt>
                <c:pt idx="995">
                  <c:v>42143</c:v>
                </c:pt>
                <c:pt idx="996">
                  <c:v>42144</c:v>
                </c:pt>
                <c:pt idx="997">
                  <c:v>42145</c:v>
                </c:pt>
                <c:pt idx="998">
                  <c:v>42146</c:v>
                </c:pt>
                <c:pt idx="999">
                  <c:v>42150</c:v>
                </c:pt>
                <c:pt idx="1000">
                  <c:v>42151</c:v>
                </c:pt>
                <c:pt idx="1001">
                  <c:v>42152</c:v>
                </c:pt>
                <c:pt idx="1002">
                  <c:v>42153</c:v>
                </c:pt>
                <c:pt idx="1003">
                  <c:v>42156</c:v>
                </c:pt>
                <c:pt idx="1004">
                  <c:v>42157</c:v>
                </c:pt>
                <c:pt idx="1005">
                  <c:v>42158</c:v>
                </c:pt>
                <c:pt idx="1006">
                  <c:v>42159</c:v>
                </c:pt>
                <c:pt idx="1007">
                  <c:v>42160</c:v>
                </c:pt>
                <c:pt idx="1008">
                  <c:v>42163</c:v>
                </c:pt>
                <c:pt idx="1009">
                  <c:v>42164</c:v>
                </c:pt>
                <c:pt idx="1010">
                  <c:v>42165</c:v>
                </c:pt>
                <c:pt idx="1011">
                  <c:v>42166</c:v>
                </c:pt>
                <c:pt idx="1012">
                  <c:v>42167</c:v>
                </c:pt>
                <c:pt idx="1013">
                  <c:v>42170</c:v>
                </c:pt>
                <c:pt idx="1014">
                  <c:v>42171</c:v>
                </c:pt>
                <c:pt idx="1015">
                  <c:v>42172</c:v>
                </c:pt>
                <c:pt idx="1016">
                  <c:v>42173</c:v>
                </c:pt>
                <c:pt idx="1017">
                  <c:v>42174</c:v>
                </c:pt>
                <c:pt idx="1018">
                  <c:v>42177</c:v>
                </c:pt>
                <c:pt idx="1019">
                  <c:v>42178</c:v>
                </c:pt>
                <c:pt idx="1020">
                  <c:v>42179</c:v>
                </c:pt>
                <c:pt idx="1021">
                  <c:v>42180</c:v>
                </c:pt>
                <c:pt idx="1022">
                  <c:v>42181</c:v>
                </c:pt>
                <c:pt idx="1023">
                  <c:v>42184</c:v>
                </c:pt>
                <c:pt idx="1024">
                  <c:v>42185</c:v>
                </c:pt>
                <c:pt idx="1025">
                  <c:v>42186</c:v>
                </c:pt>
                <c:pt idx="1026">
                  <c:v>42187</c:v>
                </c:pt>
                <c:pt idx="1027">
                  <c:v>42191</c:v>
                </c:pt>
                <c:pt idx="1028">
                  <c:v>42192</c:v>
                </c:pt>
                <c:pt idx="1029">
                  <c:v>42193</c:v>
                </c:pt>
                <c:pt idx="1030">
                  <c:v>42194</c:v>
                </c:pt>
                <c:pt idx="1031">
                  <c:v>42195</c:v>
                </c:pt>
                <c:pt idx="1032">
                  <c:v>42198</c:v>
                </c:pt>
                <c:pt idx="1033">
                  <c:v>42199</c:v>
                </c:pt>
                <c:pt idx="1034">
                  <c:v>42200</c:v>
                </c:pt>
                <c:pt idx="1035">
                  <c:v>42201</c:v>
                </c:pt>
                <c:pt idx="1036">
                  <c:v>42202</c:v>
                </c:pt>
                <c:pt idx="1037">
                  <c:v>42205</c:v>
                </c:pt>
                <c:pt idx="1038">
                  <c:v>42206</c:v>
                </c:pt>
                <c:pt idx="1039">
                  <c:v>42207</c:v>
                </c:pt>
                <c:pt idx="1040">
                  <c:v>42208</c:v>
                </c:pt>
                <c:pt idx="1041">
                  <c:v>42209</c:v>
                </c:pt>
                <c:pt idx="1042">
                  <c:v>42212</c:v>
                </c:pt>
                <c:pt idx="1043">
                  <c:v>42213</c:v>
                </c:pt>
                <c:pt idx="1044">
                  <c:v>42214</c:v>
                </c:pt>
                <c:pt idx="1045">
                  <c:v>42215</c:v>
                </c:pt>
                <c:pt idx="1046">
                  <c:v>42216</c:v>
                </c:pt>
                <c:pt idx="1047">
                  <c:v>42219</c:v>
                </c:pt>
                <c:pt idx="1048">
                  <c:v>42220</c:v>
                </c:pt>
                <c:pt idx="1049">
                  <c:v>42221</c:v>
                </c:pt>
                <c:pt idx="1050">
                  <c:v>42222</c:v>
                </c:pt>
                <c:pt idx="1051">
                  <c:v>42223</c:v>
                </c:pt>
                <c:pt idx="1052">
                  <c:v>42226</c:v>
                </c:pt>
                <c:pt idx="1053">
                  <c:v>42227</c:v>
                </c:pt>
                <c:pt idx="1054">
                  <c:v>42228</c:v>
                </c:pt>
                <c:pt idx="1055">
                  <c:v>42229</c:v>
                </c:pt>
                <c:pt idx="1056">
                  <c:v>42230</c:v>
                </c:pt>
                <c:pt idx="1057">
                  <c:v>42233</c:v>
                </c:pt>
                <c:pt idx="1058">
                  <c:v>42234</c:v>
                </c:pt>
                <c:pt idx="1059">
                  <c:v>42235</c:v>
                </c:pt>
                <c:pt idx="1060">
                  <c:v>42236</c:v>
                </c:pt>
                <c:pt idx="1061">
                  <c:v>42237</c:v>
                </c:pt>
                <c:pt idx="1062">
                  <c:v>42240</c:v>
                </c:pt>
                <c:pt idx="1063">
                  <c:v>42241</c:v>
                </c:pt>
                <c:pt idx="1064">
                  <c:v>42242</c:v>
                </c:pt>
                <c:pt idx="1065">
                  <c:v>42243</c:v>
                </c:pt>
                <c:pt idx="1066">
                  <c:v>42244</c:v>
                </c:pt>
                <c:pt idx="1067">
                  <c:v>42247</c:v>
                </c:pt>
                <c:pt idx="1068">
                  <c:v>42248</c:v>
                </c:pt>
                <c:pt idx="1069">
                  <c:v>42249</c:v>
                </c:pt>
                <c:pt idx="1070">
                  <c:v>42250</c:v>
                </c:pt>
                <c:pt idx="1071">
                  <c:v>42251</c:v>
                </c:pt>
                <c:pt idx="1072">
                  <c:v>42255</c:v>
                </c:pt>
                <c:pt idx="1073">
                  <c:v>42256</c:v>
                </c:pt>
                <c:pt idx="1074">
                  <c:v>42257</c:v>
                </c:pt>
                <c:pt idx="1075">
                  <c:v>42258</c:v>
                </c:pt>
                <c:pt idx="1076">
                  <c:v>42261</c:v>
                </c:pt>
                <c:pt idx="1077">
                  <c:v>42262</c:v>
                </c:pt>
                <c:pt idx="1078">
                  <c:v>42263</c:v>
                </c:pt>
                <c:pt idx="1079">
                  <c:v>42264</c:v>
                </c:pt>
                <c:pt idx="1080">
                  <c:v>42265</c:v>
                </c:pt>
                <c:pt idx="1081">
                  <c:v>42268</c:v>
                </c:pt>
                <c:pt idx="1082">
                  <c:v>42269</c:v>
                </c:pt>
                <c:pt idx="1083">
                  <c:v>42270</c:v>
                </c:pt>
                <c:pt idx="1084">
                  <c:v>42271</c:v>
                </c:pt>
                <c:pt idx="1085">
                  <c:v>42272</c:v>
                </c:pt>
                <c:pt idx="1086">
                  <c:v>42275</c:v>
                </c:pt>
                <c:pt idx="1087">
                  <c:v>42276</c:v>
                </c:pt>
                <c:pt idx="1088">
                  <c:v>42277</c:v>
                </c:pt>
                <c:pt idx="1089">
                  <c:v>42278</c:v>
                </c:pt>
                <c:pt idx="1090">
                  <c:v>42279</c:v>
                </c:pt>
                <c:pt idx="1091">
                  <c:v>42282</c:v>
                </c:pt>
                <c:pt idx="1092">
                  <c:v>42283</c:v>
                </c:pt>
                <c:pt idx="1093">
                  <c:v>42284</c:v>
                </c:pt>
                <c:pt idx="1094">
                  <c:v>42285</c:v>
                </c:pt>
                <c:pt idx="1095">
                  <c:v>42286</c:v>
                </c:pt>
                <c:pt idx="1096">
                  <c:v>42290</c:v>
                </c:pt>
                <c:pt idx="1097">
                  <c:v>42291</c:v>
                </c:pt>
                <c:pt idx="1098">
                  <c:v>42292</c:v>
                </c:pt>
                <c:pt idx="1099">
                  <c:v>42293</c:v>
                </c:pt>
                <c:pt idx="1100">
                  <c:v>42296</c:v>
                </c:pt>
                <c:pt idx="1101">
                  <c:v>42297</c:v>
                </c:pt>
                <c:pt idx="1102">
                  <c:v>42298</c:v>
                </c:pt>
                <c:pt idx="1103">
                  <c:v>42299</c:v>
                </c:pt>
                <c:pt idx="1104">
                  <c:v>42300</c:v>
                </c:pt>
                <c:pt idx="1105">
                  <c:v>42303</c:v>
                </c:pt>
                <c:pt idx="1106">
                  <c:v>42304</c:v>
                </c:pt>
                <c:pt idx="1107">
                  <c:v>42305</c:v>
                </c:pt>
                <c:pt idx="1108">
                  <c:v>42306</c:v>
                </c:pt>
                <c:pt idx="1109">
                  <c:v>42307</c:v>
                </c:pt>
                <c:pt idx="1110">
                  <c:v>42310</c:v>
                </c:pt>
                <c:pt idx="1111">
                  <c:v>42311</c:v>
                </c:pt>
                <c:pt idx="1112">
                  <c:v>42312</c:v>
                </c:pt>
                <c:pt idx="1113">
                  <c:v>42313</c:v>
                </c:pt>
                <c:pt idx="1114">
                  <c:v>42314</c:v>
                </c:pt>
                <c:pt idx="1115">
                  <c:v>42317</c:v>
                </c:pt>
                <c:pt idx="1116">
                  <c:v>42318</c:v>
                </c:pt>
                <c:pt idx="1117">
                  <c:v>42320</c:v>
                </c:pt>
                <c:pt idx="1118">
                  <c:v>42321</c:v>
                </c:pt>
                <c:pt idx="1119">
                  <c:v>42324</c:v>
                </c:pt>
                <c:pt idx="1120">
                  <c:v>42325</c:v>
                </c:pt>
                <c:pt idx="1121">
                  <c:v>42326</c:v>
                </c:pt>
                <c:pt idx="1122">
                  <c:v>42327</c:v>
                </c:pt>
                <c:pt idx="1123">
                  <c:v>42328</c:v>
                </c:pt>
                <c:pt idx="1124">
                  <c:v>42331</c:v>
                </c:pt>
                <c:pt idx="1125">
                  <c:v>42332</c:v>
                </c:pt>
                <c:pt idx="1126">
                  <c:v>42333</c:v>
                </c:pt>
                <c:pt idx="1127">
                  <c:v>42335</c:v>
                </c:pt>
                <c:pt idx="1128">
                  <c:v>42338</c:v>
                </c:pt>
                <c:pt idx="1129">
                  <c:v>42339</c:v>
                </c:pt>
                <c:pt idx="1130">
                  <c:v>42340</c:v>
                </c:pt>
                <c:pt idx="1131">
                  <c:v>42341</c:v>
                </c:pt>
                <c:pt idx="1132">
                  <c:v>42342</c:v>
                </c:pt>
                <c:pt idx="1133">
                  <c:v>42345</c:v>
                </c:pt>
                <c:pt idx="1134">
                  <c:v>42346</c:v>
                </c:pt>
                <c:pt idx="1135">
                  <c:v>42347</c:v>
                </c:pt>
                <c:pt idx="1136">
                  <c:v>42348</c:v>
                </c:pt>
                <c:pt idx="1137">
                  <c:v>42349</c:v>
                </c:pt>
                <c:pt idx="1138">
                  <c:v>42352</c:v>
                </c:pt>
                <c:pt idx="1139">
                  <c:v>42353</c:v>
                </c:pt>
                <c:pt idx="1140">
                  <c:v>42354</c:v>
                </c:pt>
                <c:pt idx="1141">
                  <c:v>42355</c:v>
                </c:pt>
                <c:pt idx="1142">
                  <c:v>42356</c:v>
                </c:pt>
                <c:pt idx="1143">
                  <c:v>42359</c:v>
                </c:pt>
                <c:pt idx="1144">
                  <c:v>42360</c:v>
                </c:pt>
                <c:pt idx="1145">
                  <c:v>42361</c:v>
                </c:pt>
                <c:pt idx="1146">
                  <c:v>42362</c:v>
                </c:pt>
                <c:pt idx="1147">
                  <c:v>42366</c:v>
                </c:pt>
                <c:pt idx="1148">
                  <c:v>42367</c:v>
                </c:pt>
                <c:pt idx="1149">
                  <c:v>42368</c:v>
                </c:pt>
                <c:pt idx="1150">
                  <c:v>42369</c:v>
                </c:pt>
                <c:pt idx="1151">
                  <c:v>42373</c:v>
                </c:pt>
                <c:pt idx="1152">
                  <c:v>42374</c:v>
                </c:pt>
                <c:pt idx="1153">
                  <c:v>42375</c:v>
                </c:pt>
                <c:pt idx="1154">
                  <c:v>42376</c:v>
                </c:pt>
                <c:pt idx="1155">
                  <c:v>42377</c:v>
                </c:pt>
                <c:pt idx="1156">
                  <c:v>42380</c:v>
                </c:pt>
                <c:pt idx="1157">
                  <c:v>42381</c:v>
                </c:pt>
                <c:pt idx="1158">
                  <c:v>42382</c:v>
                </c:pt>
                <c:pt idx="1159">
                  <c:v>42383</c:v>
                </c:pt>
                <c:pt idx="1160">
                  <c:v>42384</c:v>
                </c:pt>
                <c:pt idx="1161">
                  <c:v>42388</c:v>
                </c:pt>
                <c:pt idx="1162">
                  <c:v>42389</c:v>
                </c:pt>
                <c:pt idx="1163">
                  <c:v>42390</c:v>
                </c:pt>
                <c:pt idx="1164">
                  <c:v>42391</c:v>
                </c:pt>
                <c:pt idx="1165">
                  <c:v>42394</c:v>
                </c:pt>
                <c:pt idx="1166">
                  <c:v>42395</c:v>
                </c:pt>
                <c:pt idx="1167">
                  <c:v>42396</c:v>
                </c:pt>
                <c:pt idx="1168">
                  <c:v>42397</c:v>
                </c:pt>
                <c:pt idx="1169">
                  <c:v>42398</c:v>
                </c:pt>
                <c:pt idx="1170">
                  <c:v>42401</c:v>
                </c:pt>
                <c:pt idx="1171">
                  <c:v>42402</c:v>
                </c:pt>
                <c:pt idx="1172">
                  <c:v>42403</c:v>
                </c:pt>
                <c:pt idx="1173">
                  <c:v>42404</c:v>
                </c:pt>
                <c:pt idx="1174">
                  <c:v>42405</c:v>
                </c:pt>
                <c:pt idx="1175">
                  <c:v>42408</c:v>
                </c:pt>
                <c:pt idx="1176">
                  <c:v>42409</c:v>
                </c:pt>
                <c:pt idx="1177">
                  <c:v>42410</c:v>
                </c:pt>
                <c:pt idx="1178">
                  <c:v>42411</c:v>
                </c:pt>
                <c:pt idx="1179">
                  <c:v>42412</c:v>
                </c:pt>
                <c:pt idx="1180">
                  <c:v>42416</c:v>
                </c:pt>
                <c:pt idx="1181">
                  <c:v>42417</c:v>
                </c:pt>
                <c:pt idx="1182">
                  <c:v>42418</c:v>
                </c:pt>
                <c:pt idx="1183">
                  <c:v>42419</c:v>
                </c:pt>
                <c:pt idx="1184">
                  <c:v>42422</c:v>
                </c:pt>
                <c:pt idx="1185">
                  <c:v>42423</c:v>
                </c:pt>
                <c:pt idx="1186">
                  <c:v>42424</c:v>
                </c:pt>
                <c:pt idx="1187">
                  <c:v>42425</c:v>
                </c:pt>
                <c:pt idx="1188">
                  <c:v>42426</c:v>
                </c:pt>
                <c:pt idx="1189">
                  <c:v>42429</c:v>
                </c:pt>
                <c:pt idx="1190">
                  <c:v>42430</c:v>
                </c:pt>
                <c:pt idx="1191">
                  <c:v>42431</c:v>
                </c:pt>
                <c:pt idx="1192">
                  <c:v>42432</c:v>
                </c:pt>
                <c:pt idx="1193">
                  <c:v>42433</c:v>
                </c:pt>
                <c:pt idx="1194">
                  <c:v>42436</c:v>
                </c:pt>
                <c:pt idx="1195">
                  <c:v>42437</c:v>
                </c:pt>
                <c:pt idx="1196">
                  <c:v>42438</c:v>
                </c:pt>
                <c:pt idx="1197">
                  <c:v>42439</c:v>
                </c:pt>
                <c:pt idx="1198">
                  <c:v>42440</c:v>
                </c:pt>
                <c:pt idx="1199">
                  <c:v>42443</c:v>
                </c:pt>
                <c:pt idx="1200">
                  <c:v>42444</c:v>
                </c:pt>
                <c:pt idx="1201">
                  <c:v>42445</c:v>
                </c:pt>
                <c:pt idx="1202">
                  <c:v>42446</c:v>
                </c:pt>
                <c:pt idx="1203">
                  <c:v>42447</c:v>
                </c:pt>
                <c:pt idx="1204">
                  <c:v>42450</c:v>
                </c:pt>
                <c:pt idx="1205">
                  <c:v>42451</c:v>
                </c:pt>
                <c:pt idx="1206">
                  <c:v>42452</c:v>
                </c:pt>
                <c:pt idx="1207">
                  <c:v>42453</c:v>
                </c:pt>
                <c:pt idx="1208">
                  <c:v>42454</c:v>
                </c:pt>
                <c:pt idx="1209">
                  <c:v>42457</c:v>
                </c:pt>
                <c:pt idx="1210">
                  <c:v>42458</c:v>
                </c:pt>
                <c:pt idx="1211">
                  <c:v>42459</c:v>
                </c:pt>
                <c:pt idx="1212">
                  <c:v>42460</c:v>
                </c:pt>
                <c:pt idx="1213">
                  <c:v>42461</c:v>
                </c:pt>
                <c:pt idx="1214">
                  <c:v>42464</c:v>
                </c:pt>
                <c:pt idx="1215">
                  <c:v>42465</c:v>
                </c:pt>
                <c:pt idx="1216">
                  <c:v>42466</c:v>
                </c:pt>
                <c:pt idx="1217">
                  <c:v>42467</c:v>
                </c:pt>
                <c:pt idx="1218">
                  <c:v>42468</c:v>
                </c:pt>
                <c:pt idx="1219">
                  <c:v>42471</c:v>
                </c:pt>
                <c:pt idx="1220">
                  <c:v>42472</c:v>
                </c:pt>
                <c:pt idx="1221">
                  <c:v>42473</c:v>
                </c:pt>
                <c:pt idx="1222">
                  <c:v>42474</c:v>
                </c:pt>
                <c:pt idx="1223">
                  <c:v>42475</c:v>
                </c:pt>
                <c:pt idx="1224">
                  <c:v>42478</c:v>
                </c:pt>
                <c:pt idx="1225">
                  <c:v>42479</c:v>
                </c:pt>
                <c:pt idx="1226">
                  <c:v>42480</c:v>
                </c:pt>
                <c:pt idx="1227">
                  <c:v>42481</c:v>
                </c:pt>
                <c:pt idx="1228">
                  <c:v>42482</c:v>
                </c:pt>
                <c:pt idx="1229">
                  <c:v>42485</c:v>
                </c:pt>
                <c:pt idx="1230">
                  <c:v>42486</c:v>
                </c:pt>
                <c:pt idx="1231">
                  <c:v>42487</c:v>
                </c:pt>
                <c:pt idx="1232">
                  <c:v>42488</c:v>
                </c:pt>
                <c:pt idx="1233">
                  <c:v>42489</c:v>
                </c:pt>
                <c:pt idx="1234">
                  <c:v>42492</c:v>
                </c:pt>
                <c:pt idx="1235">
                  <c:v>42493</c:v>
                </c:pt>
                <c:pt idx="1236">
                  <c:v>42494</c:v>
                </c:pt>
                <c:pt idx="1237">
                  <c:v>42495</c:v>
                </c:pt>
                <c:pt idx="1238">
                  <c:v>42496</c:v>
                </c:pt>
                <c:pt idx="1239">
                  <c:v>42499</c:v>
                </c:pt>
                <c:pt idx="1240">
                  <c:v>42500</c:v>
                </c:pt>
                <c:pt idx="1241">
                  <c:v>42501</c:v>
                </c:pt>
                <c:pt idx="1242">
                  <c:v>42502</c:v>
                </c:pt>
                <c:pt idx="1243">
                  <c:v>42503</c:v>
                </c:pt>
                <c:pt idx="1244">
                  <c:v>42506</c:v>
                </c:pt>
                <c:pt idx="1245">
                  <c:v>42507</c:v>
                </c:pt>
                <c:pt idx="1246">
                  <c:v>42508</c:v>
                </c:pt>
                <c:pt idx="1247">
                  <c:v>42509</c:v>
                </c:pt>
                <c:pt idx="1248">
                  <c:v>42510</c:v>
                </c:pt>
                <c:pt idx="1249">
                  <c:v>42513</c:v>
                </c:pt>
                <c:pt idx="1250">
                  <c:v>42514</c:v>
                </c:pt>
                <c:pt idx="1251">
                  <c:v>42515</c:v>
                </c:pt>
                <c:pt idx="1252">
                  <c:v>42516</c:v>
                </c:pt>
                <c:pt idx="1253">
                  <c:v>42517</c:v>
                </c:pt>
                <c:pt idx="1254">
                  <c:v>42521</c:v>
                </c:pt>
                <c:pt idx="1255">
                  <c:v>42522</c:v>
                </c:pt>
                <c:pt idx="1256">
                  <c:v>42523</c:v>
                </c:pt>
                <c:pt idx="1257">
                  <c:v>42524</c:v>
                </c:pt>
                <c:pt idx="1258">
                  <c:v>42527</c:v>
                </c:pt>
                <c:pt idx="1259">
                  <c:v>42528</c:v>
                </c:pt>
                <c:pt idx="1260">
                  <c:v>42529</c:v>
                </c:pt>
                <c:pt idx="1261">
                  <c:v>42530</c:v>
                </c:pt>
                <c:pt idx="1262">
                  <c:v>42531</c:v>
                </c:pt>
                <c:pt idx="1263">
                  <c:v>42534</c:v>
                </c:pt>
                <c:pt idx="1264">
                  <c:v>42535</c:v>
                </c:pt>
                <c:pt idx="1265">
                  <c:v>42536</c:v>
                </c:pt>
                <c:pt idx="1266">
                  <c:v>42537</c:v>
                </c:pt>
                <c:pt idx="1267">
                  <c:v>42538</c:v>
                </c:pt>
                <c:pt idx="1268">
                  <c:v>42541</c:v>
                </c:pt>
                <c:pt idx="1269">
                  <c:v>42542</c:v>
                </c:pt>
                <c:pt idx="1270">
                  <c:v>42543</c:v>
                </c:pt>
                <c:pt idx="1271">
                  <c:v>42544</c:v>
                </c:pt>
                <c:pt idx="1272">
                  <c:v>42545</c:v>
                </c:pt>
                <c:pt idx="1273">
                  <c:v>42548</c:v>
                </c:pt>
                <c:pt idx="1274">
                  <c:v>42549</c:v>
                </c:pt>
                <c:pt idx="1275">
                  <c:v>42550</c:v>
                </c:pt>
                <c:pt idx="1276">
                  <c:v>42551</c:v>
                </c:pt>
                <c:pt idx="1277">
                  <c:v>42552</c:v>
                </c:pt>
                <c:pt idx="1278">
                  <c:v>42556</c:v>
                </c:pt>
                <c:pt idx="1279">
                  <c:v>42557</c:v>
                </c:pt>
                <c:pt idx="1280">
                  <c:v>42558</c:v>
                </c:pt>
                <c:pt idx="1281">
                  <c:v>42559</c:v>
                </c:pt>
                <c:pt idx="1282">
                  <c:v>42562</c:v>
                </c:pt>
                <c:pt idx="1283">
                  <c:v>42563</c:v>
                </c:pt>
                <c:pt idx="1284">
                  <c:v>42564</c:v>
                </c:pt>
                <c:pt idx="1285">
                  <c:v>42565</c:v>
                </c:pt>
                <c:pt idx="1286">
                  <c:v>42566</c:v>
                </c:pt>
                <c:pt idx="1287">
                  <c:v>42569</c:v>
                </c:pt>
                <c:pt idx="1288">
                  <c:v>42570</c:v>
                </c:pt>
                <c:pt idx="1289">
                  <c:v>42571</c:v>
                </c:pt>
                <c:pt idx="1290">
                  <c:v>42572</c:v>
                </c:pt>
                <c:pt idx="1291">
                  <c:v>42573</c:v>
                </c:pt>
                <c:pt idx="1292">
                  <c:v>42576</c:v>
                </c:pt>
                <c:pt idx="1293">
                  <c:v>42577</c:v>
                </c:pt>
                <c:pt idx="1294">
                  <c:v>42578</c:v>
                </c:pt>
                <c:pt idx="1295">
                  <c:v>42579</c:v>
                </c:pt>
                <c:pt idx="1296">
                  <c:v>42580</c:v>
                </c:pt>
                <c:pt idx="1297">
                  <c:v>42583</c:v>
                </c:pt>
                <c:pt idx="1298">
                  <c:v>42584</c:v>
                </c:pt>
                <c:pt idx="1299">
                  <c:v>42585</c:v>
                </c:pt>
                <c:pt idx="1300">
                  <c:v>42586</c:v>
                </c:pt>
                <c:pt idx="1301">
                  <c:v>42587</c:v>
                </c:pt>
                <c:pt idx="1302">
                  <c:v>42590</c:v>
                </c:pt>
                <c:pt idx="1303">
                  <c:v>42591</c:v>
                </c:pt>
                <c:pt idx="1304">
                  <c:v>42592</c:v>
                </c:pt>
                <c:pt idx="1305">
                  <c:v>42593</c:v>
                </c:pt>
                <c:pt idx="1306">
                  <c:v>42594</c:v>
                </c:pt>
                <c:pt idx="1307">
                  <c:v>42597</c:v>
                </c:pt>
                <c:pt idx="1308">
                  <c:v>42598</c:v>
                </c:pt>
                <c:pt idx="1309">
                  <c:v>42599</c:v>
                </c:pt>
                <c:pt idx="1310">
                  <c:v>42600</c:v>
                </c:pt>
                <c:pt idx="1311">
                  <c:v>42601</c:v>
                </c:pt>
                <c:pt idx="1312">
                  <c:v>42604</c:v>
                </c:pt>
                <c:pt idx="1313">
                  <c:v>42605</c:v>
                </c:pt>
                <c:pt idx="1314">
                  <c:v>42606</c:v>
                </c:pt>
                <c:pt idx="1315">
                  <c:v>42607</c:v>
                </c:pt>
                <c:pt idx="1316">
                  <c:v>42608</c:v>
                </c:pt>
                <c:pt idx="1317">
                  <c:v>42611</c:v>
                </c:pt>
                <c:pt idx="1318">
                  <c:v>42612</c:v>
                </c:pt>
                <c:pt idx="1319">
                  <c:v>42613</c:v>
                </c:pt>
                <c:pt idx="1320">
                  <c:v>42614</c:v>
                </c:pt>
                <c:pt idx="1321">
                  <c:v>42615</c:v>
                </c:pt>
                <c:pt idx="1322">
                  <c:v>42619</c:v>
                </c:pt>
                <c:pt idx="1323">
                  <c:v>42620</c:v>
                </c:pt>
                <c:pt idx="1324">
                  <c:v>42621</c:v>
                </c:pt>
                <c:pt idx="1325">
                  <c:v>42622</c:v>
                </c:pt>
                <c:pt idx="1326">
                  <c:v>42625</c:v>
                </c:pt>
                <c:pt idx="1327">
                  <c:v>42626</c:v>
                </c:pt>
                <c:pt idx="1328">
                  <c:v>42627</c:v>
                </c:pt>
                <c:pt idx="1329">
                  <c:v>42628</c:v>
                </c:pt>
                <c:pt idx="1330">
                  <c:v>42629</c:v>
                </c:pt>
                <c:pt idx="1331">
                  <c:v>42632</c:v>
                </c:pt>
                <c:pt idx="1332">
                  <c:v>42633</c:v>
                </c:pt>
                <c:pt idx="1333">
                  <c:v>42634</c:v>
                </c:pt>
                <c:pt idx="1334">
                  <c:v>42635</c:v>
                </c:pt>
                <c:pt idx="1335">
                  <c:v>42636</c:v>
                </c:pt>
                <c:pt idx="1336">
                  <c:v>42639</c:v>
                </c:pt>
                <c:pt idx="1337">
                  <c:v>42640</c:v>
                </c:pt>
                <c:pt idx="1338">
                  <c:v>42641</c:v>
                </c:pt>
                <c:pt idx="1339">
                  <c:v>42642</c:v>
                </c:pt>
                <c:pt idx="1340">
                  <c:v>42643</c:v>
                </c:pt>
                <c:pt idx="1341">
                  <c:v>42646</c:v>
                </c:pt>
                <c:pt idx="1342">
                  <c:v>42647</c:v>
                </c:pt>
                <c:pt idx="1343">
                  <c:v>42648</c:v>
                </c:pt>
                <c:pt idx="1344">
                  <c:v>42649</c:v>
                </c:pt>
                <c:pt idx="1345">
                  <c:v>42650</c:v>
                </c:pt>
                <c:pt idx="1346">
                  <c:v>42654</c:v>
                </c:pt>
                <c:pt idx="1347">
                  <c:v>42655</c:v>
                </c:pt>
                <c:pt idx="1348">
                  <c:v>42656</c:v>
                </c:pt>
                <c:pt idx="1349">
                  <c:v>42657</c:v>
                </c:pt>
                <c:pt idx="1350">
                  <c:v>42660</c:v>
                </c:pt>
                <c:pt idx="1351">
                  <c:v>42661</c:v>
                </c:pt>
                <c:pt idx="1352">
                  <c:v>42662</c:v>
                </c:pt>
                <c:pt idx="1353">
                  <c:v>42663</c:v>
                </c:pt>
                <c:pt idx="1354">
                  <c:v>42664</c:v>
                </c:pt>
                <c:pt idx="1355">
                  <c:v>42667</c:v>
                </c:pt>
                <c:pt idx="1356">
                  <c:v>42668</c:v>
                </c:pt>
                <c:pt idx="1357">
                  <c:v>42669</c:v>
                </c:pt>
                <c:pt idx="1358">
                  <c:v>42670</c:v>
                </c:pt>
                <c:pt idx="1359">
                  <c:v>42671</c:v>
                </c:pt>
                <c:pt idx="1360">
                  <c:v>42674</c:v>
                </c:pt>
                <c:pt idx="1361">
                  <c:v>42675</c:v>
                </c:pt>
                <c:pt idx="1362">
                  <c:v>42676</c:v>
                </c:pt>
                <c:pt idx="1363">
                  <c:v>42677</c:v>
                </c:pt>
                <c:pt idx="1364">
                  <c:v>42678</c:v>
                </c:pt>
                <c:pt idx="1365">
                  <c:v>42681</c:v>
                </c:pt>
                <c:pt idx="1366">
                  <c:v>42682</c:v>
                </c:pt>
                <c:pt idx="1367">
                  <c:v>42683</c:v>
                </c:pt>
                <c:pt idx="1368">
                  <c:v>42684</c:v>
                </c:pt>
                <c:pt idx="1369">
                  <c:v>42688</c:v>
                </c:pt>
                <c:pt idx="1370">
                  <c:v>42689</c:v>
                </c:pt>
                <c:pt idx="1371">
                  <c:v>42690</c:v>
                </c:pt>
                <c:pt idx="1372">
                  <c:v>42691</c:v>
                </c:pt>
                <c:pt idx="1373">
                  <c:v>42692</c:v>
                </c:pt>
                <c:pt idx="1374">
                  <c:v>42695</c:v>
                </c:pt>
                <c:pt idx="1375">
                  <c:v>42696</c:v>
                </c:pt>
                <c:pt idx="1376">
                  <c:v>42697</c:v>
                </c:pt>
                <c:pt idx="1377">
                  <c:v>42699</c:v>
                </c:pt>
                <c:pt idx="1378">
                  <c:v>42702</c:v>
                </c:pt>
                <c:pt idx="1379">
                  <c:v>42703</c:v>
                </c:pt>
                <c:pt idx="1380">
                  <c:v>42704</c:v>
                </c:pt>
                <c:pt idx="1381">
                  <c:v>42705</c:v>
                </c:pt>
                <c:pt idx="1382">
                  <c:v>42706</c:v>
                </c:pt>
                <c:pt idx="1383">
                  <c:v>42709</c:v>
                </c:pt>
                <c:pt idx="1384">
                  <c:v>42710</c:v>
                </c:pt>
                <c:pt idx="1385">
                  <c:v>42711</c:v>
                </c:pt>
                <c:pt idx="1386">
                  <c:v>42712</c:v>
                </c:pt>
                <c:pt idx="1387">
                  <c:v>42713</c:v>
                </c:pt>
                <c:pt idx="1388">
                  <c:v>42716</c:v>
                </c:pt>
                <c:pt idx="1389">
                  <c:v>42717</c:v>
                </c:pt>
                <c:pt idx="1390">
                  <c:v>42718</c:v>
                </c:pt>
                <c:pt idx="1391">
                  <c:v>42719</c:v>
                </c:pt>
                <c:pt idx="1392">
                  <c:v>42720</c:v>
                </c:pt>
                <c:pt idx="1393">
                  <c:v>42723</c:v>
                </c:pt>
                <c:pt idx="1394">
                  <c:v>42724</c:v>
                </c:pt>
                <c:pt idx="1395">
                  <c:v>42725</c:v>
                </c:pt>
                <c:pt idx="1396">
                  <c:v>42726</c:v>
                </c:pt>
                <c:pt idx="1397">
                  <c:v>42727</c:v>
                </c:pt>
                <c:pt idx="1398">
                  <c:v>42731</c:v>
                </c:pt>
                <c:pt idx="1399">
                  <c:v>42732</c:v>
                </c:pt>
                <c:pt idx="1400">
                  <c:v>42733</c:v>
                </c:pt>
                <c:pt idx="1401">
                  <c:v>42734</c:v>
                </c:pt>
                <c:pt idx="1402">
                  <c:v>42738</c:v>
                </c:pt>
                <c:pt idx="1403">
                  <c:v>42739</c:v>
                </c:pt>
                <c:pt idx="1404">
                  <c:v>42740</c:v>
                </c:pt>
                <c:pt idx="1405">
                  <c:v>42741</c:v>
                </c:pt>
                <c:pt idx="1406">
                  <c:v>42744</c:v>
                </c:pt>
                <c:pt idx="1407">
                  <c:v>42745</c:v>
                </c:pt>
                <c:pt idx="1408">
                  <c:v>42746</c:v>
                </c:pt>
                <c:pt idx="1409">
                  <c:v>42747</c:v>
                </c:pt>
                <c:pt idx="1410">
                  <c:v>42748</c:v>
                </c:pt>
                <c:pt idx="1411">
                  <c:v>42752</c:v>
                </c:pt>
                <c:pt idx="1412">
                  <c:v>42753</c:v>
                </c:pt>
                <c:pt idx="1413">
                  <c:v>42754</c:v>
                </c:pt>
                <c:pt idx="1414">
                  <c:v>42755</c:v>
                </c:pt>
                <c:pt idx="1415">
                  <c:v>42758</c:v>
                </c:pt>
                <c:pt idx="1416">
                  <c:v>42759</c:v>
                </c:pt>
                <c:pt idx="1417">
                  <c:v>42760</c:v>
                </c:pt>
                <c:pt idx="1418">
                  <c:v>42761</c:v>
                </c:pt>
                <c:pt idx="1419">
                  <c:v>42762</c:v>
                </c:pt>
                <c:pt idx="1420">
                  <c:v>42765</c:v>
                </c:pt>
                <c:pt idx="1421">
                  <c:v>42766</c:v>
                </c:pt>
                <c:pt idx="1422">
                  <c:v>42767</c:v>
                </c:pt>
                <c:pt idx="1423">
                  <c:v>42768</c:v>
                </c:pt>
                <c:pt idx="1424">
                  <c:v>42769</c:v>
                </c:pt>
                <c:pt idx="1425">
                  <c:v>42772</c:v>
                </c:pt>
                <c:pt idx="1426">
                  <c:v>42773</c:v>
                </c:pt>
                <c:pt idx="1427">
                  <c:v>42774</c:v>
                </c:pt>
                <c:pt idx="1428">
                  <c:v>42775</c:v>
                </c:pt>
                <c:pt idx="1429">
                  <c:v>42776</c:v>
                </c:pt>
                <c:pt idx="1430">
                  <c:v>42779</c:v>
                </c:pt>
                <c:pt idx="1431">
                  <c:v>42780</c:v>
                </c:pt>
                <c:pt idx="1432">
                  <c:v>42781</c:v>
                </c:pt>
                <c:pt idx="1433">
                  <c:v>42782</c:v>
                </c:pt>
                <c:pt idx="1434">
                  <c:v>42783</c:v>
                </c:pt>
                <c:pt idx="1435">
                  <c:v>42787</c:v>
                </c:pt>
                <c:pt idx="1436">
                  <c:v>42788</c:v>
                </c:pt>
                <c:pt idx="1437">
                  <c:v>42789</c:v>
                </c:pt>
                <c:pt idx="1438">
                  <c:v>42790</c:v>
                </c:pt>
                <c:pt idx="1439">
                  <c:v>42793</c:v>
                </c:pt>
                <c:pt idx="1440">
                  <c:v>42794</c:v>
                </c:pt>
                <c:pt idx="1441">
                  <c:v>42795</c:v>
                </c:pt>
                <c:pt idx="1442">
                  <c:v>42796</c:v>
                </c:pt>
                <c:pt idx="1443">
                  <c:v>42797</c:v>
                </c:pt>
                <c:pt idx="1444">
                  <c:v>42800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1445"/>
                <c:pt idx="0">
                  <c:v>100000</c:v>
                </c:pt>
                <c:pt idx="1">
                  <c:v>105500</c:v>
                </c:pt>
                <c:pt idx="2">
                  <c:v>102125</c:v>
                </c:pt>
                <c:pt idx="3">
                  <c:v>90250</c:v>
                </c:pt>
                <c:pt idx="4">
                  <c:v>90125</c:v>
                </c:pt>
                <c:pt idx="5">
                  <c:v>103125</c:v>
                </c:pt>
                <c:pt idx="6">
                  <c:v>117125</c:v>
                </c:pt>
                <c:pt idx="7">
                  <c:v>117750</c:v>
                </c:pt>
                <c:pt idx="8">
                  <c:v>112815</c:v>
                </c:pt>
                <c:pt idx="9">
                  <c:v>96720</c:v>
                </c:pt>
                <c:pt idx="10">
                  <c:v>74320</c:v>
                </c:pt>
                <c:pt idx="11">
                  <c:v>59015</c:v>
                </c:pt>
                <c:pt idx="12">
                  <c:v>53725</c:v>
                </c:pt>
                <c:pt idx="13">
                  <c:v>55605</c:v>
                </c:pt>
                <c:pt idx="14">
                  <c:v>56850</c:v>
                </c:pt>
                <c:pt idx="15">
                  <c:v>39090</c:v>
                </c:pt>
                <c:pt idx="16">
                  <c:v>41105</c:v>
                </c:pt>
                <c:pt idx="17">
                  <c:v>40615</c:v>
                </c:pt>
                <c:pt idx="18">
                  <c:v>34830</c:v>
                </c:pt>
                <c:pt idx="19">
                  <c:v>39015</c:v>
                </c:pt>
                <c:pt idx="20">
                  <c:v>45670</c:v>
                </c:pt>
                <c:pt idx="21">
                  <c:v>14370</c:v>
                </c:pt>
                <c:pt idx="22">
                  <c:v>43855</c:v>
                </c:pt>
                <c:pt idx="23">
                  <c:v>53670</c:v>
                </c:pt>
                <c:pt idx="24">
                  <c:v>38835</c:v>
                </c:pt>
                <c:pt idx="25">
                  <c:v>38150</c:v>
                </c:pt>
                <c:pt idx="26">
                  <c:v>47270</c:v>
                </c:pt>
                <c:pt idx="27">
                  <c:v>53735</c:v>
                </c:pt>
                <c:pt idx="28">
                  <c:v>67570</c:v>
                </c:pt>
                <c:pt idx="29">
                  <c:v>69345</c:v>
                </c:pt>
                <c:pt idx="30">
                  <c:v>68615</c:v>
                </c:pt>
                <c:pt idx="31">
                  <c:v>68760</c:v>
                </c:pt>
                <c:pt idx="32">
                  <c:v>67900</c:v>
                </c:pt>
                <c:pt idx="33">
                  <c:v>71250</c:v>
                </c:pt>
                <c:pt idx="34">
                  <c:v>68695</c:v>
                </c:pt>
                <c:pt idx="35">
                  <c:v>64020</c:v>
                </c:pt>
                <c:pt idx="36">
                  <c:v>65460</c:v>
                </c:pt>
                <c:pt idx="37">
                  <c:v>63195</c:v>
                </c:pt>
                <c:pt idx="38">
                  <c:v>65330</c:v>
                </c:pt>
                <c:pt idx="39">
                  <c:v>66190</c:v>
                </c:pt>
                <c:pt idx="40">
                  <c:v>63805</c:v>
                </c:pt>
                <c:pt idx="41">
                  <c:v>60460</c:v>
                </c:pt>
                <c:pt idx="42">
                  <c:v>66730</c:v>
                </c:pt>
                <c:pt idx="43">
                  <c:v>80590</c:v>
                </c:pt>
                <c:pt idx="44">
                  <c:v>79515</c:v>
                </c:pt>
                <c:pt idx="45">
                  <c:v>72095</c:v>
                </c:pt>
                <c:pt idx="46">
                  <c:v>74680</c:v>
                </c:pt>
                <c:pt idx="47">
                  <c:v>64310</c:v>
                </c:pt>
                <c:pt idx="48">
                  <c:v>63895</c:v>
                </c:pt>
                <c:pt idx="49">
                  <c:v>64340</c:v>
                </c:pt>
                <c:pt idx="50">
                  <c:v>72890</c:v>
                </c:pt>
                <c:pt idx="51">
                  <c:v>72205</c:v>
                </c:pt>
                <c:pt idx="52">
                  <c:v>72820</c:v>
                </c:pt>
                <c:pt idx="53">
                  <c:v>74385</c:v>
                </c:pt>
                <c:pt idx="54">
                  <c:v>74450</c:v>
                </c:pt>
                <c:pt idx="55">
                  <c:v>71680</c:v>
                </c:pt>
                <c:pt idx="56">
                  <c:v>69715</c:v>
                </c:pt>
                <c:pt idx="57">
                  <c:v>70010</c:v>
                </c:pt>
                <c:pt idx="58">
                  <c:v>67730</c:v>
                </c:pt>
                <c:pt idx="59">
                  <c:v>66115</c:v>
                </c:pt>
                <c:pt idx="60">
                  <c:v>66835</c:v>
                </c:pt>
                <c:pt idx="61">
                  <c:v>68455</c:v>
                </c:pt>
                <c:pt idx="62">
                  <c:v>71295</c:v>
                </c:pt>
                <c:pt idx="63">
                  <c:v>74295</c:v>
                </c:pt>
                <c:pt idx="64">
                  <c:v>72250</c:v>
                </c:pt>
                <c:pt idx="65">
                  <c:v>61390</c:v>
                </c:pt>
                <c:pt idx="66">
                  <c:v>67710</c:v>
                </c:pt>
                <c:pt idx="67">
                  <c:v>66100</c:v>
                </c:pt>
                <c:pt idx="68">
                  <c:v>61500</c:v>
                </c:pt>
                <c:pt idx="69">
                  <c:v>51080</c:v>
                </c:pt>
                <c:pt idx="70">
                  <c:v>56020</c:v>
                </c:pt>
                <c:pt idx="71">
                  <c:v>61325</c:v>
                </c:pt>
                <c:pt idx="72">
                  <c:v>54755</c:v>
                </c:pt>
                <c:pt idx="73">
                  <c:v>55745</c:v>
                </c:pt>
                <c:pt idx="74">
                  <c:v>60975</c:v>
                </c:pt>
                <c:pt idx="75">
                  <c:v>56555</c:v>
                </c:pt>
                <c:pt idx="76">
                  <c:v>51285</c:v>
                </c:pt>
                <c:pt idx="77">
                  <c:v>53860</c:v>
                </c:pt>
                <c:pt idx="78">
                  <c:v>53260</c:v>
                </c:pt>
                <c:pt idx="79">
                  <c:v>63830</c:v>
                </c:pt>
                <c:pt idx="80">
                  <c:v>62065</c:v>
                </c:pt>
                <c:pt idx="81">
                  <c:v>60580</c:v>
                </c:pt>
                <c:pt idx="82">
                  <c:v>60220</c:v>
                </c:pt>
                <c:pt idx="83">
                  <c:v>62160</c:v>
                </c:pt>
                <c:pt idx="84">
                  <c:v>62185</c:v>
                </c:pt>
                <c:pt idx="85">
                  <c:v>48890</c:v>
                </c:pt>
                <c:pt idx="86">
                  <c:v>49605</c:v>
                </c:pt>
                <c:pt idx="87">
                  <c:v>48910</c:v>
                </c:pt>
                <c:pt idx="88">
                  <c:v>55105</c:v>
                </c:pt>
                <c:pt idx="89">
                  <c:v>55645</c:v>
                </c:pt>
                <c:pt idx="90">
                  <c:v>54185</c:v>
                </c:pt>
                <c:pt idx="91">
                  <c:v>65935</c:v>
                </c:pt>
                <c:pt idx="92">
                  <c:v>63300</c:v>
                </c:pt>
                <c:pt idx="93">
                  <c:v>68835</c:v>
                </c:pt>
                <c:pt idx="94">
                  <c:v>70515</c:v>
                </c:pt>
                <c:pt idx="95">
                  <c:v>72100</c:v>
                </c:pt>
                <c:pt idx="96">
                  <c:v>75135</c:v>
                </c:pt>
                <c:pt idx="97">
                  <c:v>77510</c:v>
                </c:pt>
                <c:pt idx="98">
                  <c:v>79905</c:v>
                </c:pt>
                <c:pt idx="99">
                  <c:v>83560</c:v>
                </c:pt>
                <c:pt idx="100">
                  <c:v>84485</c:v>
                </c:pt>
                <c:pt idx="101">
                  <c:v>83265</c:v>
                </c:pt>
                <c:pt idx="102">
                  <c:v>74360</c:v>
                </c:pt>
                <c:pt idx="103">
                  <c:v>85865</c:v>
                </c:pt>
                <c:pt idx="104">
                  <c:v>86205</c:v>
                </c:pt>
                <c:pt idx="105">
                  <c:v>83715</c:v>
                </c:pt>
                <c:pt idx="106">
                  <c:v>84070</c:v>
                </c:pt>
                <c:pt idx="107">
                  <c:v>82810</c:v>
                </c:pt>
                <c:pt idx="108">
                  <c:v>84620</c:v>
                </c:pt>
                <c:pt idx="109">
                  <c:v>85945</c:v>
                </c:pt>
                <c:pt idx="110">
                  <c:v>85065</c:v>
                </c:pt>
                <c:pt idx="111">
                  <c:v>86170</c:v>
                </c:pt>
                <c:pt idx="112">
                  <c:v>84365</c:v>
                </c:pt>
                <c:pt idx="113">
                  <c:v>84615</c:v>
                </c:pt>
                <c:pt idx="114">
                  <c:v>85665</c:v>
                </c:pt>
                <c:pt idx="115">
                  <c:v>88985</c:v>
                </c:pt>
                <c:pt idx="116">
                  <c:v>89335</c:v>
                </c:pt>
                <c:pt idx="117">
                  <c:v>74835</c:v>
                </c:pt>
                <c:pt idx="118">
                  <c:v>71715</c:v>
                </c:pt>
                <c:pt idx="119">
                  <c:v>67875</c:v>
                </c:pt>
                <c:pt idx="120">
                  <c:v>68370</c:v>
                </c:pt>
                <c:pt idx="121">
                  <c:v>66390</c:v>
                </c:pt>
                <c:pt idx="122">
                  <c:v>71565</c:v>
                </c:pt>
                <c:pt idx="123">
                  <c:v>68100</c:v>
                </c:pt>
                <c:pt idx="124">
                  <c:v>66500</c:v>
                </c:pt>
                <c:pt idx="125">
                  <c:v>67140</c:v>
                </c:pt>
                <c:pt idx="126">
                  <c:v>68640</c:v>
                </c:pt>
                <c:pt idx="127">
                  <c:v>72720</c:v>
                </c:pt>
                <c:pt idx="128">
                  <c:v>73800</c:v>
                </c:pt>
                <c:pt idx="129">
                  <c:v>72180</c:v>
                </c:pt>
                <c:pt idx="130">
                  <c:v>71540</c:v>
                </c:pt>
                <c:pt idx="131">
                  <c:v>75210</c:v>
                </c:pt>
                <c:pt idx="132">
                  <c:v>67625</c:v>
                </c:pt>
                <c:pt idx="133">
                  <c:v>72545</c:v>
                </c:pt>
                <c:pt idx="134">
                  <c:v>71960</c:v>
                </c:pt>
                <c:pt idx="135">
                  <c:v>66505</c:v>
                </c:pt>
                <c:pt idx="136">
                  <c:v>63640</c:v>
                </c:pt>
                <c:pt idx="137">
                  <c:v>65685</c:v>
                </c:pt>
                <c:pt idx="138">
                  <c:v>79900</c:v>
                </c:pt>
                <c:pt idx="139">
                  <c:v>84725</c:v>
                </c:pt>
                <c:pt idx="140">
                  <c:v>87870</c:v>
                </c:pt>
                <c:pt idx="141">
                  <c:v>94490</c:v>
                </c:pt>
                <c:pt idx="142">
                  <c:v>92945</c:v>
                </c:pt>
                <c:pt idx="143">
                  <c:v>103710</c:v>
                </c:pt>
                <c:pt idx="144">
                  <c:v>107760</c:v>
                </c:pt>
                <c:pt idx="145">
                  <c:v>103755</c:v>
                </c:pt>
                <c:pt idx="146">
                  <c:v>106195</c:v>
                </c:pt>
                <c:pt idx="147">
                  <c:v>110745</c:v>
                </c:pt>
                <c:pt idx="148">
                  <c:v>111445</c:v>
                </c:pt>
                <c:pt idx="149">
                  <c:v>104695</c:v>
                </c:pt>
                <c:pt idx="150">
                  <c:v>105795</c:v>
                </c:pt>
                <c:pt idx="151">
                  <c:v>109425</c:v>
                </c:pt>
                <c:pt idx="152">
                  <c:v>109980</c:v>
                </c:pt>
                <c:pt idx="153">
                  <c:v>108305</c:v>
                </c:pt>
                <c:pt idx="154">
                  <c:v>89695</c:v>
                </c:pt>
                <c:pt idx="155">
                  <c:v>86870</c:v>
                </c:pt>
                <c:pt idx="156">
                  <c:v>90560</c:v>
                </c:pt>
                <c:pt idx="157">
                  <c:v>79865</c:v>
                </c:pt>
                <c:pt idx="158">
                  <c:v>83520</c:v>
                </c:pt>
                <c:pt idx="159">
                  <c:v>85395</c:v>
                </c:pt>
                <c:pt idx="160">
                  <c:v>91270</c:v>
                </c:pt>
                <c:pt idx="161">
                  <c:v>97520</c:v>
                </c:pt>
                <c:pt idx="162">
                  <c:v>98645</c:v>
                </c:pt>
                <c:pt idx="163">
                  <c:v>100720</c:v>
                </c:pt>
                <c:pt idx="164">
                  <c:v>100700</c:v>
                </c:pt>
                <c:pt idx="165">
                  <c:v>98340</c:v>
                </c:pt>
                <c:pt idx="166">
                  <c:v>99855</c:v>
                </c:pt>
                <c:pt idx="167">
                  <c:v>103965</c:v>
                </c:pt>
                <c:pt idx="168">
                  <c:v>102775</c:v>
                </c:pt>
                <c:pt idx="169">
                  <c:v>103210</c:v>
                </c:pt>
                <c:pt idx="170">
                  <c:v>103490</c:v>
                </c:pt>
                <c:pt idx="171">
                  <c:v>102690</c:v>
                </c:pt>
                <c:pt idx="172">
                  <c:v>103100</c:v>
                </c:pt>
                <c:pt idx="173">
                  <c:v>97990</c:v>
                </c:pt>
                <c:pt idx="174">
                  <c:v>97485</c:v>
                </c:pt>
                <c:pt idx="175">
                  <c:v>101485</c:v>
                </c:pt>
                <c:pt idx="176">
                  <c:v>101000</c:v>
                </c:pt>
                <c:pt idx="177">
                  <c:v>101590</c:v>
                </c:pt>
                <c:pt idx="178">
                  <c:v>104295</c:v>
                </c:pt>
                <c:pt idx="179">
                  <c:v>106370</c:v>
                </c:pt>
                <c:pt idx="180">
                  <c:v>102225</c:v>
                </c:pt>
                <c:pt idx="181">
                  <c:v>106025</c:v>
                </c:pt>
                <c:pt idx="182">
                  <c:v>107640</c:v>
                </c:pt>
                <c:pt idx="183">
                  <c:v>109225</c:v>
                </c:pt>
                <c:pt idx="184">
                  <c:v>112060</c:v>
                </c:pt>
                <c:pt idx="185">
                  <c:v>117035</c:v>
                </c:pt>
                <c:pt idx="186">
                  <c:v>119035</c:v>
                </c:pt>
                <c:pt idx="187">
                  <c:v>122455</c:v>
                </c:pt>
                <c:pt idx="188">
                  <c:v>127245</c:v>
                </c:pt>
                <c:pt idx="189">
                  <c:v>122320</c:v>
                </c:pt>
                <c:pt idx="190">
                  <c:v>123145</c:v>
                </c:pt>
                <c:pt idx="191">
                  <c:v>127760</c:v>
                </c:pt>
                <c:pt idx="192">
                  <c:v>128890</c:v>
                </c:pt>
                <c:pt idx="193">
                  <c:v>135960</c:v>
                </c:pt>
                <c:pt idx="194">
                  <c:v>150155</c:v>
                </c:pt>
                <c:pt idx="195">
                  <c:v>153665</c:v>
                </c:pt>
                <c:pt idx="196">
                  <c:v>153675</c:v>
                </c:pt>
                <c:pt idx="197">
                  <c:v>145645</c:v>
                </c:pt>
                <c:pt idx="198">
                  <c:v>141895</c:v>
                </c:pt>
                <c:pt idx="199">
                  <c:v>144415</c:v>
                </c:pt>
                <c:pt idx="200">
                  <c:v>169650</c:v>
                </c:pt>
                <c:pt idx="201">
                  <c:v>171810</c:v>
                </c:pt>
                <c:pt idx="202">
                  <c:v>172310</c:v>
                </c:pt>
                <c:pt idx="203">
                  <c:v>172395</c:v>
                </c:pt>
                <c:pt idx="204">
                  <c:v>173675</c:v>
                </c:pt>
                <c:pt idx="205">
                  <c:v>175325</c:v>
                </c:pt>
                <c:pt idx="206">
                  <c:v>175675</c:v>
                </c:pt>
                <c:pt idx="207">
                  <c:v>175560</c:v>
                </c:pt>
                <c:pt idx="208">
                  <c:v>188175</c:v>
                </c:pt>
                <c:pt idx="209">
                  <c:v>187460</c:v>
                </c:pt>
                <c:pt idx="210">
                  <c:v>184450</c:v>
                </c:pt>
                <c:pt idx="211">
                  <c:v>186145</c:v>
                </c:pt>
                <c:pt idx="212">
                  <c:v>183740</c:v>
                </c:pt>
                <c:pt idx="213">
                  <c:v>182850</c:v>
                </c:pt>
                <c:pt idx="214">
                  <c:v>185610</c:v>
                </c:pt>
                <c:pt idx="215">
                  <c:v>188515</c:v>
                </c:pt>
                <c:pt idx="216">
                  <c:v>189025</c:v>
                </c:pt>
                <c:pt idx="217">
                  <c:v>192130</c:v>
                </c:pt>
                <c:pt idx="218">
                  <c:v>191720</c:v>
                </c:pt>
                <c:pt idx="219">
                  <c:v>192005</c:v>
                </c:pt>
                <c:pt idx="220">
                  <c:v>186225</c:v>
                </c:pt>
                <c:pt idx="221">
                  <c:v>166375</c:v>
                </c:pt>
                <c:pt idx="222">
                  <c:v>180080</c:v>
                </c:pt>
                <c:pt idx="223">
                  <c:v>175450</c:v>
                </c:pt>
                <c:pt idx="224">
                  <c:v>185355</c:v>
                </c:pt>
                <c:pt idx="225">
                  <c:v>187460</c:v>
                </c:pt>
                <c:pt idx="226">
                  <c:v>178735</c:v>
                </c:pt>
                <c:pt idx="227">
                  <c:v>179860</c:v>
                </c:pt>
                <c:pt idx="228">
                  <c:v>209795</c:v>
                </c:pt>
                <c:pt idx="229">
                  <c:v>208960</c:v>
                </c:pt>
                <c:pt idx="230">
                  <c:v>211085</c:v>
                </c:pt>
                <c:pt idx="231">
                  <c:v>214310</c:v>
                </c:pt>
                <c:pt idx="232">
                  <c:v>217745</c:v>
                </c:pt>
                <c:pt idx="233">
                  <c:v>225260</c:v>
                </c:pt>
                <c:pt idx="234">
                  <c:v>224075</c:v>
                </c:pt>
                <c:pt idx="235">
                  <c:v>220645</c:v>
                </c:pt>
                <c:pt idx="236">
                  <c:v>218925</c:v>
                </c:pt>
                <c:pt idx="237">
                  <c:v>219505</c:v>
                </c:pt>
                <c:pt idx="238">
                  <c:v>201720</c:v>
                </c:pt>
                <c:pt idx="239">
                  <c:v>207285</c:v>
                </c:pt>
                <c:pt idx="240">
                  <c:v>233095</c:v>
                </c:pt>
                <c:pt idx="241">
                  <c:v>258295</c:v>
                </c:pt>
                <c:pt idx="242">
                  <c:v>258295</c:v>
                </c:pt>
                <c:pt idx="243">
                  <c:v>252490</c:v>
                </c:pt>
                <c:pt idx="244">
                  <c:v>249505</c:v>
                </c:pt>
                <c:pt idx="245">
                  <c:v>269985</c:v>
                </c:pt>
                <c:pt idx="246">
                  <c:v>269470</c:v>
                </c:pt>
                <c:pt idx="247">
                  <c:v>248715</c:v>
                </c:pt>
                <c:pt idx="248">
                  <c:v>242330</c:v>
                </c:pt>
                <c:pt idx="249">
                  <c:v>230650</c:v>
                </c:pt>
                <c:pt idx="250">
                  <c:v>228075</c:v>
                </c:pt>
                <c:pt idx="251">
                  <c:v>228045</c:v>
                </c:pt>
                <c:pt idx="252">
                  <c:v>223290</c:v>
                </c:pt>
                <c:pt idx="253">
                  <c:v>228585</c:v>
                </c:pt>
                <c:pt idx="254">
                  <c:v>231430</c:v>
                </c:pt>
                <c:pt idx="255">
                  <c:v>249230</c:v>
                </c:pt>
                <c:pt idx="256">
                  <c:v>262910</c:v>
                </c:pt>
                <c:pt idx="257">
                  <c:v>268610</c:v>
                </c:pt>
                <c:pt idx="258">
                  <c:v>260560</c:v>
                </c:pt>
                <c:pt idx="259">
                  <c:v>251265</c:v>
                </c:pt>
                <c:pt idx="260">
                  <c:v>272475</c:v>
                </c:pt>
                <c:pt idx="261">
                  <c:v>278445</c:v>
                </c:pt>
                <c:pt idx="262">
                  <c:v>246610</c:v>
                </c:pt>
                <c:pt idx="263">
                  <c:v>272205</c:v>
                </c:pt>
                <c:pt idx="264">
                  <c:v>280955</c:v>
                </c:pt>
                <c:pt idx="265">
                  <c:v>282255</c:v>
                </c:pt>
                <c:pt idx="266">
                  <c:v>271385</c:v>
                </c:pt>
                <c:pt idx="267">
                  <c:v>269885</c:v>
                </c:pt>
                <c:pt idx="268">
                  <c:v>313090</c:v>
                </c:pt>
                <c:pt idx="269">
                  <c:v>302820</c:v>
                </c:pt>
                <c:pt idx="270">
                  <c:v>291440</c:v>
                </c:pt>
                <c:pt idx="271">
                  <c:v>291920</c:v>
                </c:pt>
                <c:pt idx="272">
                  <c:v>298855</c:v>
                </c:pt>
                <c:pt idx="273">
                  <c:v>299260</c:v>
                </c:pt>
                <c:pt idx="274">
                  <c:v>305590</c:v>
                </c:pt>
                <c:pt idx="275">
                  <c:v>319830</c:v>
                </c:pt>
                <c:pt idx="276">
                  <c:v>316635</c:v>
                </c:pt>
                <c:pt idx="277">
                  <c:v>327150</c:v>
                </c:pt>
                <c:pt idx="278">
                  <c:v>320605</c:v>
                </c:pt>
                <c:pt idx="279">
                  <c:v>305865</c:v>
                </c:pt>
                <c:pt idx="280">
                  <c:v>325255</c:v>
                </c:pt>
                <c:pt idx="281">
                  <c:v>325845</c:v>
                </c:pt>
                <c:pt idx="282">
                  <c:v>325680</c:v>
                </c:pt>
                <c:pt idx="283">
                  <c:v>325420</c:v>
                </c:pt>
                <c:pt idx="284">
                  <c:v>324375</c:v>
                </c:pt>
                <c:pt idx="285">
                  <c:v>323405</c:v>
                </c:pt>
                <c:pt idx="286">
                  <c:v>322555</c:v>
                </c:pt>
                <c:pt idx="287">
                  <c:v>318775</c:v>
                </c:pt>
                <c:pt idx="288">
                  <c:v>309035</c:v>
                </c:pt>
                <c:pt idx="289">
                  <c:v>313720</c:v>
                </c:pt>
                <c:pt idx="290">
                  <c:v>310280</c:v>
                </c:pt>
                <c:pt idx="291">
                  <c:v>314875</c:v>
                </c:pt>
                <c:pt idx="292">
                  <c:v>323575</c:v>
                </c:pt>
                <c:pt idx="293">
                  <c:v>319400</c:v>
                </c:pt>
                <c:pt idx="294">
                  <c:v>312785</c:v>
                </c:pt>
                <c:pt idx="295">
                  <c:v>316325</c:v>
                </c:pt>
                <c:pt idx="296">
                  <c:v>321210</c:v>
                </c:pt>
                <c:pt idx="297">
                  <c:v>318300</c:v>
                </c:pt>
                <c:pt idx="298">
                  <c:v>315930</c:v>
                </c:pt>
                <c:pt idx="299">
                  <c:v>318700</c:v>
                </c:pt>
                <c:pt idx="300">
                  <c:v>324235</c:v>
                </c:pt>
                <c:pt idx="301">
                  <c:v>319465</c:v>
                </c:pt>
                <c:pt idx="302">
                  <c:v>323420</c:v>
                </c:pt>
                <c:pt idx="303">
                  <c:v>322600</c:v>
                </c:pt>
                <c:pt idx="304">
                  <c:v>326970</c:v>
                </c:pt>
                <c:pt idx="305">
                  <c:v>331720</c:v>
                </c:pt>
                <c:pt idx="306">
                  <c:v>331045</c:v>
                </c:pt>
                <c:pt idx="307">
                  <c:v>334145</c:v>
                </c:pt>
                <c:pt idx="308">
                  <c:v>347640</c:v>
                </c:pt>
                <c:pt idx="309">
                  <c:v>346335</c:v>
                </c:pt>
                <c:pt idx="310">
                  <c:v>341125</c:v>
                </c:pt>
                <c:pt idx="311">
                  <c:v>341755</c:v>
                </c:pt>
                <c:pt idx="312">
                  <c:v>340440</c:v>
                </c:pt>
                <c:pt idx="313">
                  <c:v>339380</c:v>
                </c:pt>
                <c:pt idx="314">
                  <c:v>343210</c:v>
                </c:pt>
                <c:pt idx="315">
                  <c:v>345580</c:v>
                </c:pt>
                <c:pt idx="316">
                  <c:v>343655</c:v>
                </c:pt>
                <c:pt idx="317">
                  <c:v>343195</c:v>
                </c:pt>
                <c:pt idx="318">
                  <c:v>338970</c:v>
                </c:pt>
                <c:pt idx="319">
                  <c:v>342415</c:v>
                </c:pt>
                <c:pt idx="320">
                  <c:v>342685</c:v>
                </c:pt>
                <c:pt idx="321">
                  <c:v>336630</c:v>
                </c:pt>
                <c:pt idx="322">
                  <c:v>338935</c:v>
                </c:pt>
                <c:pt idx="323">
                  <c:v>334975</c:v>
                </c:pt>
                <c:pt idx="324">
                  <c:v>338845</c:v>
                </c:pt>
                <c:pt idx="325">
                  <c:v>342450</c:v>
                </c:pt>
                <c:pt idx="326">
                  <c:v>333195</c:v>
                </c:pt>
                <c:pt idx="327">
                  <c:v>327165</c:v>
                </c:pt>
                <c:pt idx="328">
                  <c:v>333705</c:v>
                </c:pt>
                <c:pt idx="329">
                  <c:v>327970</c:v>
                </c:pt>
                <c:pt idx="330">
                  <c:v>329745</c:v>
                </c:pt>
                <c:pt idx="331">
                  <c:v>327225</c:v>
                </c:pt>
                <c:pt idx="332">
                  <c:v>325765</c:v>
                </c:pt>
                <c:pt idx="333">
                  <c:v>312660</c:v>
                </c:pt>
                <c:pt idx="334">
                  <c:v>304580</c:v>
                </c:pt>
                <c:pt idx="335">
                  <c:v>334225</c:v>
                </c:pt>
                <c:pt idx="336">
                  <c:v>337740</c:v>
                </c:pt>
                <c:pt idx="337">
                  <c:v>336640</c:v>
                </c:pt>
                <c:pt idx="338">
                  <c:v>339435</c:v>
                </c:pt>
                <c:pt idx="339">
                  <c:v>342225</c:v>
                </c:pt>
                <c:pt idx="340">
                  <c:v>334880</c:v>
                </c:pt>
                <c:pt idx="341">
                  <c:v>333310</c:v>
                </c:pt>
                <c:pt idx="342">
                  <c:v>330040</c:v>
                </c:pt>
                <c:pt idx="343">
                  <c:v>342010</c:v>
                </c:pt>
                <c:pt idx="344">
                  <c:v>333580</c:v>
                </c:pt>
                <c:pt idx="345">
                  <c:v>329045</c:v>
                </c:pt>
                <c:pt idx="346">
                  <c:v>328585</c:v>
                </c:pt>
                <c:pt idx="347">
                  <c:v>334510</c:v>
                </c:pt>
                <c:pt idx="348">
                  <c:v>354115</c:v>
                </c:pt>
                <c:pt idx="349">
                  <c:v>359140</c:v>
                </c:pt>
                <c:pt idx="350">
                  <c:v>357940</c:v>
                </c:pt>
                <c:pt idx="351">
                  <c:v>350615</c:v>
                </c:pt>
                <c:pt idx="352">
                  <c:v>350585</c:v>
                </c:pt>
                <c:pt idx="353">
                  <c:v>343780</c:v>
                </c:pt>
                <c:pt idx="354">
                  <c:v>339625</c:v>
                </c:pt>
                <c:pt idx="355">
                  <c:v>338450</c:v>
                </c:pt>
                <c:pt idx="356">
                  <c:v>339495</c:v>
                </c:pt>
                <c:pt idx="357">
                  <c:v>346260</c:v>
                </c:pt>
                <c:pt idx="358">
                  <c:v>345635</c:v>
                </c:pt>
                <c:pt idx="359">
                  <c:v>345095</c:v>
                </c:pt>
                <c:pt idx="360">
                  <c:v>343080</c:v>
                </c:pt>
                <c:pt idx="361">
                  <c:v>346340</c:v>
                </c:pt>
                <c:pt idx="362">
                  <c:v>348825</c:v>
                </c:pt>
                <c:pt idx="363">
                  <c:v>350205</c:v>
                </c:pt>
                <c:pt idx="364">
                  <c:v>346850</c:v>
                </c:pt>
                <c:pt idx="365">
                  <c:v>331575</c:v>
                </c:pt>
                <c:pt idx="366">
                  <c:v>338710</c:v>
                </c:pt>
                <c:pt idx="367">
                  <c:v>334410</c:v>
                </c:pt>
                <c:pt idx="368">
                  <c:v>337835</c:v>
                </c:pt>
                <c:pt idx="369">
                  <c:v>346890</c:v>
                </c:pt>
                <c:pt idx="370">
                  <c:v>355485</c:v>
                </c:pt>
                <c:pt idx="371">
                  <c:v>350875</c:v>
                </c:pt>
                <c:pt idx="372">
                  <c:v>351280</c:v>
                </c:pt>
                <c:pt idx="373">
                  <c:v>351560</c:v>
                </c:pt>
                <c:pt idx="374">
                  <c:v>350815</c:v>
                </c:pt>
                <c:pt idx="375">
                  <c:v>355345</c:v>
                </c:pt>
                <c:pt idx="376">
                  <c:v>355760</c:v>
                </c:pt>
                <c:pt idx="377">
                  <c:v>359310</c:v>
                </c:pt>
                <c:pt idx="378">
                  <c:v>358715</c:v>
                </c:pt>
                <c:pt idx="379">
                  <c:v>357430</c:v>
                </c:pt>
                <c:pt idx="380">
                  <c:v>354810</c:v>
                </c:pt>
                <c:pt idx="381">
                  <c:v>351975</c:v>
                </c:pt>
                <c:pt idx="382">
                  <c:v>358215</c:v>
                </c:pt>
                <c:pt idx="383">
                  <c:v>358190</c:v>
                </c:pt>
                <c:pt idx="384">
                  <c:v>358535</c:v>
                </c:pt>
                <c:pt idx="385">
                  <c:v>359110</c:v>
                </c:pt>
                <c:pt idx="386">
                  <c:v>359080</c:v>
                </c:pt>
                <c:pt idx="387">
                  <c:v>359195</c:v>
                </c:pt>
                <c:pt idx="388">
                  <c:v>358145</c:v>
                </c:pt>
                <c:pt idx="389">
                  <c:v>359945</c:v>
                </c:pt>
                <c:pt idx="390">
                  <c:v>358045</c:v>
                </c:pt>
                <c:pt idx="391">
                  <c:v>350220</c:v>
                </c:pt>
                <c:pt idx="392">
                  <c:v>353835</c:v>
                </c:pt>
                <c:pt idx="393">
                  <c:v>358290</c:v>
                </c:pt>
                <c:pt idx="394">
                  <c:v>348990</c:v>
                </c:pt>
                <c:pt idx="395">
                  <c:v>347205</c:v>
                </c:pt>
                <c:pt idx="396">
                  <c:v>348680</c:v>
                </c:pt>
                <c:pt idx="397">
                  <c:v>352720</c:v>
                </c:pt>
                <c:pt idx="398">
                  <c:v>345990</c:v>
                </c:pt>
                <c:pt idx="399">
                  <c:v>346100</c:v>
                </c:pt>
                <c:pt idx="400">
                  <c:v>340730</c:v>
                </c:pt>
                <c:pt idx="401">
                  <c:v>341805</c:v>
                </c:pt>
                <c:pt idx="402">
                  <c:v>344970</c:v>
                </c:pt>
                <c:pt idx="403">
                  <c:v>345860</c:v>
                </c:pt>
                <c:pt idx="404">
                  <c:v>347475</c:v>
                </c:pt>
                <c:pt idx="405">
                  <c:v>348275</c:v>
                </c:pt>
                <c:pt idx="406">
                  <c:v>352610</c:v>
                </c:pt>
                <c:pt idx="407">
                  <c:v>357270</c:v>
                </c:pt>
                <c:pt idx="408">
                  <c:v>356820</c:v>
                </c:pt>
                <c:pt idx="409">
                  <c:v>356765</c:v>
                </c:pt>
                <c:pt idx="410">
                  <c:v>358095</c:v>
                </c:pt>
                <c:pt idx="411">
                  <c:v>359415</c:v>
                </c:pt>
                <c:pt idx="412">
                  <c:v>358015</c:v>
                </c:pt>
                <c:pt idx="413">
                  <c:v>357635</c:v>
                </c:pt>
                <c:pt idx="414">
                  <c:v>356530</c:v>
                </c:pt>
                <c:pt idx="415">
                  <c:v>359800</c:v>
                </c:pt>
                <c:pt idx="416">
                  <c:v>365285</c:v>
                </c:pt>
                <c:pt idx="417">
                  <c:v>372125</c:v>
                </c:pt>
                <c:pt idx="418">
                  <c:v>371610</c:v>
                </c:pt>
                <c:pt idx="419">
                  <c:v>371790</c:v>
                </c:pt>
                <c:pt idx="420">
                  <c:v>371495</c:v>
                </c:pt>
                <c:pt idx="421">
                  <c:v>368740</c:v>
                </c:pt>
                <c:pt idx="422">
                  <c:v>369525</c:v>
                </c:pt>
                <c:pt idx="423">
                  <c:v>369355</c:v>
                </c:pt>
                <c:pt idx="424">
                  <c:v>367545</c:v>
                </c:pt>
                <c:pt idx="425">
                  <c:v>358075</c:v>
                </c:pt>
                <c:pt idx="426">
                  <c:v>345225</c:v>
                </c:pt>
                <c:pt idx="427">
                  <c:v>342935</c:v>
                </c:pt>
                <c:pt idx="428">
                  <c:v>340645</c:v>
                </c:pt>
                <c:pt idx="429">
                  <c:v>347455</c:v>
                </c:pt>
                <c:pt idx="430">
                  <c:v>342105</c:v>
                </c:pt>
                <c:pt idx="431">
                  <c:v>346190</c:v>
                </c:pt>
                <c:pt idx="432">
                  <c:v>345030</c:v>
                </c:pt>
                <c:pt idx="433">
                  <c:v>344465</c:v>
                </c:pt>
                <c:pt idx="434">
                  <c:v>346225</c:v>
                </c:pt>
                <c:pt idx="435">
                  <c:v>352395</c:v>
                </c:pt>
                <c:pt idx="436">
                  <c:v>358400</c:v>
                </c:pt>
                <c:pt idx="437">
                  <c:v>362510</c:v>
                </c:pt>
                <c:pt idx="438">
                  <c:v>363070</c:v>
                </c:pt>
                <c:pt idx="439">
                  <c:v>365860</c:v>
                </c:pt>
                <c:pt idx="440">
                  <c:v>364390</c:v>
                </c:pt>
                <c:pt idx="441">
                  <c:v>365405</c:v>
                </c:pt>
                <c:pt idx="442">
                  <c:v>368930</c:v>
                </c:pt>
                <c:pt idx="443">
                  <c:v>365180</c:v>
                </c:pt>
                <c:pt idx="444">
                  <c:v>369015</c:v>
                </c:pt>
                <c:pt idx="445">
                  <c:v>372015</c:v>
                </c:pt>
                <c:pt idx="446">
                  <c:v>369190</c:v>
                </c:pt>
                <c:pt idx="447">
                  <c:v>369305</c:v>
                </c:pt>
                <c:pt idx="448">
                  <c:v>369620</c:v>
                </c:pt>
                <c:pt idx="449">
                  <c:v>369585</c:v>
                </c:pt>
                <c:pt idx="450">
                  <c:v>372785</c:v>
                </c:pt>
                <c:pt idx="451">
                  <c:v>374920</c:v>
                </c:pt>
                <c:pt idx="452">
                  <c:v>376540</c:v>
                </c:pt>
                <c:pt idx="453">
                  <c:v>372600</c:v>
                </c:pt>
                <c:pt idx="454">
                  <c:v>373965</c:v>
                </c:pt>
                <c:pt idx="455">
                  <c:v>372495</c:v>
                </c:pt>
                <c:pt idx="456">
                  <c:v>375345</c:v>
                </c:pt>
                <c:pt idx="457">
                  <c:v>369695</c:v>
                </c:pt>
                <c:pt idx="458">
                  <c:v>367125</c:v>
                </c:pt>
                <c:pt idx="459">
                  <c:v>335015</c:v>
                </c:pt>
                <c:pt idx="460">
                  <c:v>326450</c:v>
                </c:pt>
                <c:pt idx="461">
                  <c:v>326920</c:v>
                </c:pt>
                <c:pt idx="462">
                  <c:v>324400</c:v>
                </c:pt>
                <c:pt idx="463">
                  <c:v>323760</c:v>
                </c:pt>
                <c:pt idx="464">
                  <c:v>324365</c:v>
                </c:pt>
                <c:pt idx="465">
                  <c:v>328470</c:v>
                </c:pt>
                <c:pt idx="466">
                  <c:v>328975</c:v>
                </c:pt>
                <c:pt idx="467">
                  <c:v>331485</c:v>
                </c:pt>
                <c:pt idx="468">
                  <c:v>331580</c:v>
                </c:pt>
                <c:pt idx="469">
                  <c:v>326620</c:v>
                </c:pt>
                <c:pt idx="470">
                  <c:v>336155</c:v>
                </c:pt>
                <c:pt idx="471">
                  <c:v>335030</c:v>
                </c:pt>
                <c:pt idx="472">
                  <c:v>322700</c:v>
                </c:pt>
                <c:pt idx="473">
                  <c:v>326375</c:v>
                </c:pt>
                <c:pt idx="474">
                  <c:v>321545</c:v>
                </c:pt>
                <c:pt idx="475">
                  <c:v>317800</c:v>
                </c:pt>
                <c:pt idx="476">
                  <c:v>315265</c:v>
                </c:pt>
                <c:pt idx="477">
                  <c:v>321785</c:v>
                </c:pt>
                <c:pt idx="478">
                  <c:v>321055</c:v>
                </c:pt>
                <c:pt idx="479">
                  <c:v>342315</c:v>
                </c:pt>
                <c:pt idx="480">
                  <c:v>342865</c:v>
                </c:pt>
                <c:pt idx="481">
                  <c:v>342440</c:v>
                </c:pt>
                <c:pt idx="482">
                  <c:v>347020</c:v>
                </c:pt>
                <c:pt idx="483">
                  <c:v>347965</c:v>
                </c:pt>
                <c:pt idx="484">
                  <c:v>335440</c:v>
                </c:pt>
                <c:pt idx="485">
                  <c:v>336650</c:v>
                </c:pt>
                <c:pt idx="486">
                  <c:v>328770</c:v>
                </c:pt>
                <c:pt idx="487">
                  <c:v>343940</c:v>
                </c:pt>
                <c:pt idx="488">
                  <c:v>343190</c:v>
                </c:pt>
                <c:pt idx="489">
                  <c:v>341840</c:v>
                </c:pt>
                <c:pt idx="490">
                  <c:v>341730</c:v>
                </c:pt>
                <c:pt idx="491">
                  <c:v>342455</c:v>
                </c:pt>
                <c:pt idx="492">
                  <c:v>344565</c:v>
                </c:pt>
                <c:pt idx="493">
                  <c:v>344165</c:v>
                </c:pt>
                <c:pt idx="494">
                  <c:v>343835</c:v>
                </c:pt>
                <c:pt idx="495">
                  <c:v>345445</c:v>
                </c:pt>
                <c:pt idx="496">
                  <c:v>352070</c:v>
                </c:pt>
                <c:pt idx="497">
                  <c:v>352550</c:v>
                </c:pt>
                <c:pt idx="498">
                  <c:v>352285</c:v>
                </c:pt>
                <c:pt idx="499">
                  <c:v>351735</c:v>
                </c:pt>
                <c:pt idx="500">
                  <c:v>351795</c:v>
                </c:pt>
                <c:pt idx="501">
                  <c:v>353355</c:v>
                </c:pt>
                <c:pt idx="502">
                  <c:v>358290</c:v>
                </c:pt>
                <c:pt idx="503">
                  <c:v>355225</c:v>
                </c:pt>
                <c:pt idx="504">
                  <c:v>353415</c:v>
                </c:pt>
                <c:pt idx="505">
                  <c:v>356335</c:v>
                </c:pt>
                <c:pt idx="506">
                  <c:v>356355</c:v>
                </c:pt>
                <c:pt idx="507">
                  <c:v>357530</c:v>
                </c:pt>
                <c:pt idx="508">
                  <c:v>354765</c:v>
                </c:pt>
                <c:pt idx="509">
                  <c:v>359820</c:v>
                </c:pt>
                <c:pt idx="510">
                  <c:v>353030</c:v>
                </c:pt>
                <c:pt idx="511">
                  <c:v>348925</c:v>
                </c:pt>
                <c:pt idx="512">
                  <c:v>357540</c:v>
                </c:pt>
                <c:pt idx="513">
                  <c:v>363315</c:v>
                </c:pt>
                <c:pt idx="514">
                  <c:v>364795</c:v>
                </c:pt>
                <c:pt idx="515">
                  <c:v>362865</c:v>
                </c:pt>
                <c:pt idx="516">
                  <c:v>360930</c:v>
                </c:pt>
                <c:pt idx="517">
                  <c:v>359420</c:v>
                </c:pt>
                <c:pt idx="518">
                  <c:v>362565</c:v>
                </c:pt>
                <c:pt idx="519">
                  <c:v>364475</c:v>
                </c:pt>
                <c:pt idx="520">
                  <c:v>368265</c:v>
                </c:pt>
                <c:pt idx="521">
                  <c:v>371335</c:v>
                </c:pt>
                <c:pt idx="522">
                  <c:v>371860</c:v>
                </c:pt>
                <c:pt idx="523">
                  <c:v>369375</c:v>
                </c:pt>
                <c:pt idx="524">
                  <c:v>375765</c:v>
                </c:pt>
                <c:pt idx="525">
                  <c:v>379495</c:v>
                </c:pt>
                <c:pt idx="526">
                  <c:v>381805</c:v>
                </c:pt>
                <c:pt idx="527">
                  <c:v>386385</c:v>
                </c:pt>
                <c:pt idx="528">
                  <c:v>395795</c:v>
                </c:pt>
                <c:pt idx="529">
                  <c:v>397300</c:v>
                </c:pt>
                <c:pt idx="530">
                  <c:v>400420</c:v>
                </c:pt>
                <c:pt idx="531">
                  <c:v>396485</c:v>
                </c:pt>
                <c:pt idx="532">
                  <c:v>395070</c:v>
                </c:pt>
                <c:pt idx="533">
                  <c:v>397220</c:v>
                </c:pt>
                <c:pt idx="534">
                  <c:v>396220</c:v>
                </c:pt>
                <c:pt idx="535">
                  <c:v>396745</c:v>
                </c:pt>
                <c:pt idx="536">
                  <c:v>398065</c:v>
                </c:pt>
                <c:pt idx="537">
                  <c:v>400130</c:v>
                </c:pt>
                <c:pt idx="538">
                  <c:v>393570</c:v>
                </c:pt>
                <c:pt idx="539">
                  <c:v>387625</c:v>
                </c:pt>
                <c:pt idx="540">
                  <c:v>377570</c:v>
                </c:pt>
                <c:pt idx="541">
                  <c:v>375015</c:v>
                </c:pt>
                <c:pt idx="542">
                  <c:v>368005</c:v>
                </c:pt>
                <c:pt idx="543">
                  <c:v>374655</c:v>
                </c:pt>
                <c:pt idx="544">
                  <c:v>384440</c:v>
                </c:pt>
                <c:pt idx="545">
                  <c:v>366570</c:v>
                </c:pt>
                <c:pt idx="546">
                  <c:v>352025</c:v>
                </c:pt>
                <c:pt idx="547">
                  <c:v>336995</c:v>
                </c:pt>
                <c:pt idx="548">
                  <c:v>339715</c:v>
                </c:pt>
                <c:pt idx="549">
                  <c:v>334935</c:v>
                </c:pt>
                <c:pt idx="550">
                  <c:v>337855</c:v>
                </c:pt>
                <c:pt idx="551">
                  <c:v>332955</c:v>
                </c:pt>
                <c:pt idx="552">
                  <c:v>343640</c:v>
                </c:pt>
                <c:pt idx="553">
                  <c:v>322635</c:v>
                </c:pt>
                <c:pt idx="554">
                  <c:v>325880</c:v>
                </c:pt>
                <c:pt idx="555">
                  <c:v>354545</c:v>
                </c:pt>
                <c:pt idx="556">
                  <c:v>348100</c:v>
                </c:pt>
                <c:pt idx="557">
                  <c:v>370240</c:v>
                </c:pt>
                <c:pt idx="558">
                  <c:v>366920</c:v>
                </c:pt>
                <c:pt idx="559">
                  <c:v>379675</c:v>
                </c:pt>
                <c:pt idx="560">
                  <c:v>370255</c:v>
                </c:pt>
                <c:pt idx="561">
                  <c:v>377610</c:v>
                </c:pt>
                <c:pt idx="562">
                  <c:v>427925</c:v>
                </c:pt>
                <c:pt idx="563">
                  <c:v>416265</c:v>
                </c:pt>
                <c:pt idx="564">
                  <c:v>414605</c:v>
                </c:pt>
                <c:pt idx="565">
                  <c:v>414540</c:v>
                </c:pt>
                <c:pt idx="566">
                  <c:v>408960</c:v>
                </c:pt>
                <c:pt idx="567">
                  <c:v>404745</c:v>
                </c:pt>
                <c:pt idx="568">
                  <c:v>405795</c:v>
                </c:pt>
                <c:pt idx="569">
                  <c:v>396775</c:v>
                </c:pt>
                <c:pt idx="570">
                  <c:v>404135</c:v>
                </c:pt>
                <c:pt idx="571">
                  <c:v>394170</c:v>
                </c:pt>
                <c:pt idx="572">
                  <c:v>395210</c:v>
                </c:pt>
                <c:pt idx="573">
                  <c:v>396705</c:v>
                </c:pt>
                <c:pt idx="574">
                  <c:v>393485</c:v>
                </c:pt>
                <c:pt idx="575">
                  <c:v>394680</c:v>
                </c:pt>
                <c:pt idx="576">
                  <c:v>390335</c:v>
                </c:pt>
                <c:pt idx="577">
                  <c:v>389240</c:v>
                </c:pt>
                <c:pt idx="578">
                  <c:v>387110</c:v>
                </c:pt>
                <c:pt idx="579">
                  <c:v>390080</c:v>
                </c:pt>
                <c:pt idx="580">
                  <c:v>384370</c:v>
                </c:pt>
                <c:pt idx="581">
                  <c:v>384900</c:v>
                </c:pt>
                <c:pt idx="582">
                  <c:v>382115</c:v>
                </c:pt>
                <c:pt idx="583">
                  <c:v>386255</c:v>
                </c:pt>
                <c:pt idx="584">
                  <c:v>385590</c:v>
                </c:pt>
                <c:pt idx="585">
                  <c:v>385235</c:v>
                </c:pt>
                <c:pt idx="586">
                  <c:v>377580</c:v>
                </c:pt>
                <c:pt idx="587">
                  <c:v>368405</c:v>
                </c:pt>
                <c:pt idx="588">
                  <c:v>370685</c:v>
                </c:pt>
                <c:pt idx="589">
                  <c:v>373205</c:v>
                </c:pt>
                <c:pt idx="590">
                  <c:v>376030</c:v>
                </c:pt>
                <c:pt idx="591">
                  <c:v>381545</c:v>
                </c:pt>
                <c:pt idx="592">
                  <c:v>376520</c:v>
                </c:pt>
                <c:pt idx="593">
                  <c:v>377030</c:v>
                </c:pt>
                <c:pt idx="594">
                  <c:v>374105</c:v>
                </c:pt>
                <c:pt idx="595">
                  <c:v>372875</c:v>
                </c:pt>
                <c:pt idx="596">
                  <c:v>382145</c:v>
                </c:pt>
                <c:pt idx="597">
                  <c:v>381935</c:v>
                </c:pt>
                <c:pt idx="598">
                  <c:v>382195</c:v>
                </c:pt>
                <c:pt idx="599">
                  <c:v>382950</c:v>
                </c:pt>
                <c:pt idx="600">
                  <c:v>383065</c:v>
                </c:pt>
                <c:pt idx="601">
                  <c:v>379705</c:v>
                </c:pt>
                <c:pt idx="602">
                  <c:v>381675</c:v>
                </c:pt>
                <c:pt idx="603">
                  <c:v>380405</c:v>
                </c:pt>
                <c:pt idx="604">
                  <c:v>380450</c:v>
                </c:pt>
                <c:pt idx="605">
                  <c:v>377485</c:v>
                </c:pt>
                <c:pt idx="606">
                  <c:v>376725</c:v>
                </c:pt>
                <c:pt idx="607">
                  <c:v>376805</c:v>
                </c:pt>
                <c:pt idx="608">
                  <c:v>374625</c:v>
                </c:pt>
                <c:pt idx="609">
                  <c:v>374975</c:v>
                </c:pt>
                <c:pt idx="610">
                  <c:v>374145</c:v>
                </c:pt>
                <c:pt idx="611">
                  <c:v>372925</c:v>
                </c:pt>
                <c:pt idx="612">
                  <c:v>370525</c:v>
                </c:pt>
                <c:pt idx="613">
                  <c:v>370645</c:v>
                </c:pt>
                <c:pt idx="614">
                  <c:v>372685</c:v>
                </c:pt>
                <c:pt idx="615">
                  <c:v>381140</c:v>
                </c:pt>
                <c:pt idx="616">
                  <c:v>379065</c:v>
                </c:pt>
                <c:pt idx="617">
                  <c:v>376500</c:v>
                </c:pt>
                <c:pt idx="618">
                  <c:v>375055</c:v>
                </c:pt>
                <c:pt idx="619">
                  <c:v>365115</c:v>
                </c:pt>
                <c:pt idx="620">
                  <c:v>368010</c:v>
                </c:pt>
                <c:pt idx="621">
                  <c:v>370140</c:v>
                </c:pt>
                <c:pt idx="622">
                  <c:v>373085</c:v>
                </c:pt>
                <c:pt idx="623">
                  <c:v>373895</c:v>
                </c:pt>
                <c:pt idx="624">
                  <c:v>374910</c:v>
                </c:pt>
                <c:pt idx="625">
                  <c:v>373575</c:v>
                </c:pt>
                <c:pt idx="626">
                  <c:v>373320</c:v>
                </c:pt>
                <c:pt idx="627">
                  <c:v>370940</c:v>
                </c:pt>
                <c:pt idx="628">
                  <c:v>370920</c:v>
                </c:pt>
                <c:pt idx="629">
                  <c:v>375485</c:v>
                </c:pt>
                <c:pt idx="630">
                  <c:v>377295</c:v>
                </c:pt>
                <c:pt idx="631">
                  <c:v>377505</c:v>
                </c:pt>
                <c:pt idx="632">
                  <c:v>379290</c:v>
                </c:pt>
                <c:pt idx="633">
                  <c:v>378315</c:v>
                </c:pt>
                <c:pt idx="634">
                  <c:v>378835</c:v>
                </c:pt>
                <c:pt idx="635">
                  <c:v>378135</c:v>
                </c:pt>
                <c:pt idx="636">
                  <c:v>378170</c:v>
                </c:pt>
                <c:pt idx="637">
                  <c:v>375355</c:v>
                </c:pt>
                <c:pt idx="638">
                  <c:v>375660</c:v>
                </c:pt>
                <c:pt idx="639">
                  <c:v>377070</c:v>
                </c:pt>
                <c:pt idx="640">
                  <c:v>375160</c:v>
                </c:pt>
                <c:pt idx="641">
                  <c:v>377125</c:v>
                </c:pt>
                <c:pt idx="642">
                  <c:v>379900</c:v>
                </c:pt>
                <c:pt idx="643">
                  <c:v>381245</c:v>
                </c:pt>
                <c:pt idx="644">
                  <c:v>380920</c:v>
                </c:pt>
                <c:pt idx="645">
                  <c:v>382025</c:v>
                </c:pt>
                <c:pt idx="646">
                  <c:v>381610</c:v>
                </c:pt>
                <c:pt idx="647">
                  <c:v>378750</c:v>
                </c:pt>
                <c:pt idx="648">
                  <c:v>378250</c:v>
                </c:pt>
                <c:pt idx="649">
                  <c:v>376140</c:v>
                </c:pt>
                <c:pt idx="650">
                  <c:v>381270</c:v>
                </c:pt>
                <c:pt idx="651">
                  <c:v>384110</c:v>
                </c:pt>
                <c:pt idx="652">
                  <c:v>384125</c:v>
                </c:pt>
                <c:pt idx="653">
                  <c:v>379555</c:v>
                </c:pt>
                <c:pt idx="654">
                  <c:v>375695</c:v>
                </c:pt>
                <c:pt idx="655">
                  <c:v>395900</c:v>
                </c:pt>
                <c:pt idx="656">
                  <c:v>398955</c:v>
                </c:pt>
                <c:pt idx="657">
                  <c:v>394665</c:v>
                </c:pt>
                <c:pt idx="658">
                  <c:v>390130</c:v>
                </c:pt>
                <c:pt idx="659">
                  <c:v>390050</c:v>
                </c:pt>
                <c:pt idx="660">
                  <c:v>389235</c:v>
                </c:pt>
                <c:pt idx="661">
                  <c:v>389110</c:v>
                </c:pt>
                <c:pt idx="662">
                  <c:v>389980</c:v>
                </c:pt>
                <c:pt idx="663">
                  <c:v>390675</c:v>
                </c:pt>
                <c:pt idx="664">
                  <c:v>391140</c:v>
                </c:pt>
                <c:pt idx="665">
                  <c:v>393525</c:v>
                </c:pt>
                <c:pt idx="666">
                  <c:v>393670</c:v>
                </c:pt>
                <c:pt idx="667">
                  <c:v>394265</c:v>
                </c:pt>
                <c:pt idx="668">
                  <c:v>396250</c:v>
                </c:pt>
                <c:pt idx="669">
                  <c:v>395975</c:v>
                </c:pt>
                <c:pt idx="670">
                  <c:v>393750</c:v>
                </c:pt>
                <c:pt idx="671">
                  <c:v>389145</c:v>
                </c:pt>
                <c:pt idx="672">
                  <c:v>386210</c:v>
                </c:pt>
                <c:pt idx="673">
                  <c:v>386895</c:v>
                </c:pt>
                <c:pt idx="674">
                  <c:v>385850</c:v>
                </c:pt>
                <c:pt idx="675">
                  <c:v>387830</c:v>
                </c:pt>
                <c:pt idx="676">
                  <c:v>387505</c:v>
                </c:pt>
                <c:pt idx="677">
                  <c:v>386770</c:v>
                </c:pt>
                <c:pt idx="678">
                  <c:v>386215</c:v>
                </c:pt>
                <c:pt idx="679">
                  <c:v>387060</c:v>
                </c:pt>
                <c:pt idx="680">
                  <c:v>385645</c:v>
                </c:pt>
                <c:pt idx="681">
                  <c:v>383645</c:v>
                </c:pt>
                <c:pt idx="682">
                  <c:v>382345</c:v>
                </c:pt>
                <c:pt idx="683">
                  <c:v>382815</c:v>
                </c:pt>
                <c:pt idx="684">
                  <c:v>386235</c:v>
                </c:pt>
                <c:pt idx="685">
                  <c:v>386025</c:v>
                </c:pt>
                <c:pt idx="686">
                  <c:v>387225</c:v>
                </c:pt>
                <c:pt idx="687">
                  <c:v>387665</c:v>
                </c:pt>
                <c:pt idx="688">
                  <c:v>388830</c:v>
                </c:pt>
                <c:pt idx="689">
                  <c:v>390235</c:v>
                </c:pt>
                <c:pt idx="690">
                  <c:v>385950</c:v>
                </c:pt>
                <c:pt idx="691">
                  <c:v>386180</c:v>
                </c:pt>
                <c:pt idx="692">
                  <c:v>387625</c:v>
                </c:pt>
                <c:pt idx="693">
                  <c:v>385390</c:v>
                </c:pt>
                <c:pt idx="694">
                  <c:v>389630</c:v>
                </c:pt>
                <c:pt idx="695">
                  <c:v>390040</c:v>
                </c:pt>
                <c:pt idx="696">
                  <c:v>393240</c:v>
                </c:pt>
                <c:pt idx="697">
                  <c:v>393035</c:v>
                </c:pt>
                <c:pt idx="698">
                  <c:v>392705</c:v>
                </c:pt>
                <c:pt idx="699">
                  <c:v>392265</c:v>
                </c:pt>
                <c:pt idx="700">
                  <c:v>392660</c:v>
                </c:pt>
                <c:pt idx="701">
                  <c:v>393755</c:v>
                </c:pt>
                <c:pt idx="702">
                  <c:v>392395</c:v>
                </c:pt>
                <c:pt idx="703">
                  <c:v>393015</c:v>
                </c:pt>
                <c:pt idx="704">
                  <c:v>394235</c:v>
                </c:pt>
                <c:pt idx="705">
                  <c:v>393025</c:v>
                </c:pt>
                <c:pt idx="706">
                  <c:v>392920</c:v>
                </c:pt>
                <c:pt idx="707">
                  <c:v>390330</c:v>
                </c:pt>
                <c:pt idx="708">
                  <c:v>389590</c:v>
                </c:pt>
                <c:pt idx="709">
                  <c:v>388150</c:v>
                </c:pt>
                <c:pt idx="710">
                  <c:v>387775</c:v>
                </c:pt>
                <c:pt idx="711">
                  <c:v>386505</c:v>
                </c:pt>
                <c:pt idx="712">
                  <c:v>386520</c:v>
                </c:pt>
                <c:pt idx="713">
                  <c:v>386755</c:v>
                </c:pt>
                <c:pt idx="714">
                  <c:v>385630</c:v>
                </c:pt>
                <c:pt idx="715">
                  <c:v>385505</c:v>
                </c:pt>
                <c:pt idx="716">
                  <c:v>384575</c:v>
                </c:pt>
                <c:pt idx="717">
                  <c:v>384715</c:v>
                </c:pt>
                <c:pt idx="718">
                  <c:v>384930</c:v>
                </c:pt>
                <c:pt idx="719">
                  <c:v>382820</c:v>
                </c:pt>
                <c:pt idx="720">
                  <c:v>382315</c:v>
                </c:pt>
                <c:pt idx="721">
                  <c:v>383950</c:v>
                </c:pt>
                <c:pt idx="722">
                  <c:v>383640</c:v>
                </c:pt>
                <c:pt idx="723">
                  <c:v>383495</c:v>
                </c:pt>
                <c:pt idx="724">
                  <c:v>375955</c:v>
                </c:pt>
                <c:pt idx="725">
                  <c:v>379400</c:v>
                </c:pt>
                <c:pt idx="726">
                  <c:v>383310</c:v>
                </c:pt>
                <c:pt idx="727">
                  <c:v>382615</c:v>
                </c:pt>
                <c:pt idx="728">
                  <c:v>383800</c:v>
                </c:pt>
                <c:pt idx="729">
                  <c:v>383935</c:v>
                </c:pt>
                <c:pt idx="730">
                  <c:v>385225</c:v>
                </c:pt>
                <c:pt idx="731">
                  <c:v>384960</c:v>
                </c:pt>
                <c:pt idx="732">
                  <c:v>385630</c:v>
                </c:pt>
                <c:pt idx="733">
                  <c:v>380225</c:v>
                </c:pt>
                <c:pt idx="734">
                  <c:v>387190</c:v>
                </c:pt>
                <c:pt idx="735">
                  <c:v>396565</c:v>
                </c:pt>
                <c:pt idx="736">
                  <c:v>392005</c:v>
                </c:pt>
                <c:pt idx="737">
                  <c:v>392205</c:v>
                </c:pt>
                <c:pt idx="738">
                  <c:v>389975</c:v>
                </c:pt>
                <c:pt idx="739">
                  <c:v>395725</c:v>
                </c:pt>
                <c:pt idx="740">
                  <c:v>395435</c:v>
                </c:pt>
                <c:pt idx="741">
                  <c:v>393840</c:v>
                </c:pt>
                <c:pt idx="742">
                  <c:v>409940</c:v>
                </c:pt>
                <c:pt idx="743">
                  <c:v>409760</c:v>
                </c:pt>
                <c:pt idx="744">
                  <c:v>409460</c:v>
                </c:pt>
                <c:pt idx="745">
                  <c:v>408680</c:v>
                </c:pt>
                <c:pt idx="746">
                  <c:v>408435</c:v>
                </c:pt>
                <c:pt idx="747">
                  <c:v>408880</c:v>
                </c:pt>
                <c:pt idx="748">
                  <c:v>409845</c:v>
                </c:pt>
                <c:pt idx="749">
                  <c:v>404205</c:v>
                </c:pt>
                <c:pt idx="750">
                  <c:v>404485</c:v>
                </c:pt>
                <c:pt idx="751">
                  <c:v>403450</c:v>
                </c:pt>
                <c:pt idx="752">
                  <c:v>403645</c:v>
                </c:pt>
                <c:pt idx="753">
                  <c:v>403755</c:v>
                </c:pt>
                <c:pt idx="754">
                  <c:v>403745</c:v>
                </c:pt>
                <c:pt idx="755">
                  <c:v>403445</c:v>
                </c:pt>
                <c:pt idx="756">
                  <c:v>402055</c:v>
                </c:pt>
                <c:pt idx="757">
                  <c:v>403865</c:v>
                </c:pt>
                <c:pt idx="758">
                  <c:v>401535</c:v>
                </c:pt>
                <c:pt idx="759">
                  <c:v>401105</c:v>
                </c:pt>
                <c:pt idx="760">
                  <c:v>399370</c:v>
                </c:pt>
                <c:pt idx="761">
                  <c:v>400435</c:v>
                </c:pt>
                <c:pt idx="762">
                  <c:v>401495</c:v>
                </c:pt>
                <c:pt idx="763">
                  <c:v>401115</c:v>
                </c:pt>
                <c:pt idx="764">
                  <c:v>400165</c:v>
                </c:pt>
                <c:pt idx="765">
                  <c:v>402605</c:v>
                </c:pt>
                <c:pt idx="766">
                  <c:v>406135</c:v>
                </c:pt>
                <c:pt idx="767">
                  <c:v>403380</c:v>
                </c:pt>
                <c:pt idx="768">
                  <c:v>401635</c:v>
                </c:pt>
                <c:pt idx="769">
                  <c:v>401100</c:v>
                </c:pt>
                <c:pt idx="770">
                  <c:v>399945</c:v>
                </c:pt>
                <c:pt idx="771">
                  <c:v>403250</c:v>
                </c:pt>
                <c:pt idx="772">
                  <c:v>401895</c:v>
                </c:pt>
                <c:pt idx="773">
                  <c:v>383205</c:v>
                </c:pt>
                <c:pt idx="774">
                  <c:v>382120</c:v>
                </c:pt>
                <c:pt idx="775">
                  <c:v>379970</c:v>
                </c:pt>
                <c:pt idx="776">
                  <c:v>379240</c:v>
                </c:pt>
                <c:pt idx="777">
                  <c:v>372310</c:v>
                </c:pt>
                <c:pt idx="778">
                  <c:v>370450</c:v>
                </c:pt>
                <c:pt idx="779">
                  <c:v>365315</c:v>
                </c:pt>
                <c:pt idx="780">
                  <c:v>362280</c:v>
                </c:pt>
                <c:pt idx="781">
                  <c:v>358800</c:v>
                </c:pt>
                <c:pt idx="782">
                  <c:v>361480</c:v>
                </c:pt>
                <c:pt idx="783">
                  <c:v>358915</c:v>
                </c:pt>
                <c:pt idx="784">
                  <c:v>359500</c:v>
                </c:pt>
                <c:pt idx="785">
                  <c:v>360430</c:v>
                </c:pt>
                <c:pt idx="786">
                  <c:v>357890</c:v>
                </c:pt>
                <c:pt idx="787">
                  <c:v>356790</c:v>
                </c:pt>
                <c:pt idx="788">
                  <c:v>355520</c:v>
                </c:pt>
                <c:pt idx="789">
                  <c:v>355780</c:v>
                </c:pt>
                <c:pt idx="790">
                  <c:v>355280</c:v>
                </c:pt>
                <c:pt idx="791">
                  <c:v>355695</c:v>
                </c:pt>
                <c:pt idx="792">
                  <c:v>356760</c:v>
                </c:pt>
                <c:pt idx="793">
                  <c:v>362040</c:v>
                </c:pt>
                <c:pt idx="794">
                  <c:v>363000</c:v>
                </c:pt>
                <c:pt idx="795">
                  <c:v>363105</c:v>
                </c:pt>
                <c:pt idx="796">
                  <c:v>362410</c:v>
                </c:pt>
                <c:pt idx="797">
                  <c:v>363725</c:v>
                </c:pt>
                <c:pt idx="798">
                  <c:v>361185</c:v>
                </c:pt>
                <c:pt idx="799">
                  <c:v>360725</c:v>
                </c:pt>
                <c:pt idx="800">
                  <c:v>362095</c:v>
                </c:pt>
                <c:pt idx="801">
                  <c:v>366380</c:v>
                </c:pt>
                <c:pt idx="802">
                  <c:v>367630</c:v>
                </c:pt>
                <c:pt idx="803">
                  <c:v>369630</c:v>
                </c:pt>
                <c:pt idx="804">
                  <c:v>369235</c:v>
                </c:pt>
                <c:pt idx="805">
                  <c:v>372060</c:v>
                </c:pt>
                <c:pt idx="806">
                  <c:v>373375</c:v>
                </c:pt>
                <c:pt idx="807">
                  <c:v>375885</c:v>
                </c:pt>
                <c:pt idx="808">
                  <c:v>375460</c:v>
                </c:pt>
                <c:pt idx="809">
                  <c:v>378460</c:v>
                </c:pt>
                <c:pt idx="810">
                  <c:v>379250</c:v>
                </c:pt>
                <c:pt idx="811">
                  <c:v>380095</c:v>
                </c:pt>
                <c:pt idx="812">
                  <c:v>378425</c:v>
                </c:pt>
                <c:pt idx="813">
                  <c:v>379365</c:v>
                </c:pt>
                <c:pt idx="814">
                  <c:v>379415</c:v>
                </c:pt>
                <c:pt idx="815">
                  <c:v>382195</c:v>
                </c:pt>
                <c:pt idx="816">
                  <c:v>380155</c:v>
                </c:pt>
                <c:pt idx="817">
                  <c:v>379375</c:v>
                </c:pt>
                <c:pt idx="818">
                  <c:v>375650</c:v>
                </c:pt>
                <c:pt idx="819">
                  <c:v>372900</c:v>
                </c:pt>
                <c:pt idx="820">
                  <c:v>376625</c:v>
                </c:pt>
                <c:pt idx="821">
                  <c:v>372580</c:v>
                </c:pt>
                <c:pt idx="822">
                  <c:v>371700</c:v>
                </c:pt>
                <c:pt idx="823">
                  <c:v>373625</c:v>
                </c:pt>
                <c:pt idx="824">
                  <c:v>369095</c:v>
                </c:pt>
                <c:pt idx="825">
                  <c:v>369270</c:v>
                </c:pt>
                <c:pt idx="826">
                  <c:v>372280</c:v>
                </c:pt>
                <c:pt idx="827">
                  <c:v>373125</c:v>
                </c:pt>
                <c:pt idx="828">
                  <c:v>371240</c:v>
                </c:pt>
                <c:pt idx="829">
                  <c:v>369975</c:v>
                </c:pt>
                <c:pt idx="830">
                  <c:v>366075</c:v>
                </c:pt>
                <c:pt idx="831">
                  <c:v>363320</c:v>
                </c:pt>
                <c:pt idx="832">
                  <c:v>355395</c:v>
                </c:pt>
                <c:pt idx="833">
                  <c:v>359970</c:v>
                </c:pt>
                <c:pt idx="834">
                  <c:v>356150</c:v>
                </c:pt>
                <c:pt idx="835">
                  <c:v>354620</c:v>
                </c:pt>
                <c:pt idx="836">
                  <c:v>356480</c:v>
                </c:pt>
                <c:pt idx="837">
                  <c:v>353285</c:v>
                </c:pt>
                <c:pt idx="838">
                  <c:v>353745</c:v>
                </c:pt>
                <c:pt idx="839">
                  <c:v>353940</c:v>
                </c:pt>
                <c:pt idx="840">
                  <c:v>355150</c:v>
                </c:pt>
                <c:pt idx="841">
                  <c:v>359710</c:v>
                </c:pt>
                <c:pt idx="842">
                  <c:v>354170</c:v>
                </c:pt>
                <c:pt idx="843">
                  <c:v>353295</c:v>
                </c:pt>
                <c:pt idx="844">
                  <c:v>353170</c:v>
                </c:pt>
                <c:pt idx="845">
                  <c:v>352885</c:v>
                </c:pt>
                <c:pt idx="846">
                  <c:v>356045</c:v>
                </c:pt>
                <c:pt idx="847">
                  <c:v>358730</c:v>
                </c:pt>
                <c:pt idx="848">
                  <c:v>356855</c:v>
                </c:pt>
                <c:pt idx="849">
                  <c:v>358505</c:v>
                </c:pt>
                <c:pt idx="850">
                  <c:v>359335</c:v>
                </c:pt>
                <c:pt idx="851">
                  <c:v>358705</c:v>
                </c:pt>
                <c:pt idx="852">
                  <c:v>357180</c:v>
                </c:pt>
                <c:pt idx="853">
                  <c:v>360545</c:v>
                </c:pt>
                <c:pt idx="854">
                  <c:v>357605</c:v>
                </c:pt>
                <c:pt idx="855">
                  <c:v>362085</c:v>
                </c:pt>
                <c:pt idx="856">
                  <c:v>362465</c:v>
                </c:pt>
                <c:pt idx="857">
                  <c:v>363375</c:v>
                </c:pt>
                <c:pt idx="858">
                  <c:v>363435</c:v>
                </c:pt>
                <c:pt idx="859">
                  <c:v>362865</c:v>
                </c:pt>
                <c:pt idx="860">
                  <c:v>363340</c:v>
                </c:pt>
                <c:pt idx="861">
                  <c:v>363005</c:v>
                </c:pt>
                <c:pt idx="862">
                  <c:v>363605</c:v>
                </c:pt>
                <c:pt idx="863">
                  <c:v>364855</c:v>
                </c:pt>
                <c:pt idx="864">
                  <c:v>363365</c:v>
                </c:pt>
                <c:pt idx="865">
                  <c:v>363695</c:v>
                </c:pt>
                <c:pt idx="866">
                  <c:v>366970</c:v>
                </c:pt>
                <c:pt idx="867">
                  <c:v>366665</c:v>
                </c:pt>
                <c:pt idx="868">
                  <c:v>366495</c:v>
                </c:pt>
                <c:pt idx="869">
                  <c:v>367105</c:v>
                </c:pt>
                <c:pt idx="870">
                  <c:v>367040</c:v>
                </c:pt>
                <c:pt idx="871">
                  <c:v>367145</c:v>
                </c:pt>
                <c:pt idx="872">
                  <c:v>377080</c:v>
                </c:pt>
                <c:pt idx="873">
                  <c:v>382070</c:v>
                </c:pt>
                <c:pt idx="874">
                  <c:v>374345</c:v>
                </c:pt>
                <c:pt idx="875">
                  <c:v>376720</c:v>
                </c:pt>
                <c:pt idx="876">
                  <c:v>378010</c:v>
                </c:pt>
                <c:pt idx="877">
                  <c:v>377310</c:v>
                </c:pt>
                <c:pt idx="878">
                  <c:v>377390</c:v>
                </c:pt>
                <c:pt idx="879">
                  <c:v>379100</c:v>
                </c:pt>
                <c:pt idx="880">
                  <c:v>379630</c:v>
                </c:pt>
                <c:pt idx="881">
                  <c:v>383055</c:v>
                </c:pt>
                <c:pt idx="882">
                  <c:v>389930</c:v>
                </c:pt>
                <c:pt idx="883">
                  <c:v>389015</c:v>
                </c:pt>
                <c:pt idx="884">
                  <c:v>389605</c:v>
                </c:pt>
                <c:pt idx="885">
                  <c:v>388630</c:v>
                </c:pt>
                <c:pt idx="886">
                  <c:v>386445</c:v>
                </c:pt>
                <c:pt idx="887">
                  <c:v>383490</c:v>
                </c:pt>
                <c:pt idx="888">
                  <c:v>383990</c:v>
                </c:pt>
                <c:pt idx="889">
                  <c:v>384520</c:v>
                </c:pt>
                <c:pt idx="890">
                  <c:v>383685</c:v>
                </c:pt>
                <c:pt idx="891">
                  <c:v>382655</c:v>
                </c:pt>
                <c:pt idx="892">
                  <c:v>382465</c:v>
                </c:pt>
                <c:pt idx="893">
                  <c:v>379320</c:v>
                </c:pt>
                <c:pt idx="894">
                  <c:v>378740</c:v>
                </c:pt>
                <c:pt idx="895">
                  <c:v>378615</c:v>
                </c:pt>
                <c:pt idx="896">
                  <c:v>376390</c:v>
                </c:pt>
                <c:pt idx="897">
                  <c:v>376555</c:v>
                </c:pt>
                <c:pt idx="898">
                  <c:v>379370</c:v>
                </c:pt>
                <c:pt idx="899">
                  <c:v>377160</c:v>
                </c:pt>
                <c:pt idx="900">
                  <c:v>377050</c:v>
                </c:pt>
                <c:pt idx="901">
                  <c:v>378490</c:v>
                </c:pt>
                <c:pt idx="902">
                  <c:v>378055</c:v>
                </c:pt>
                <c:pt idx="903">
                  <c:v>379690</c:v>
                </c:pt>
                <c:pt idx="904">
                  <c:v>380790</c:v>
                </c:pt>
                <c:pt idx="905">
                  <c:v>382635</c:v>
                </c:pt>
                <c:pt idx="906">
                  <c:v>382815</c:v>
                </c:pt>
                <c:pt idx="907">
                  <c:v>379775</c:v>
                </c:pt>
                <c:pt idx="908">
                  <c:v>377665</c:v>
                </c:pt>
                <c:pt idx="909">
                  <c:v>377955</c:v>
                </c:pt>
                <c:pt idx="910">
                  <c:v>380250</c:v>
                </c:pt>
                <c:pt idx="911">
                  <c:v>381210</c:v>
                </c:pt>
                <c:pt idx="912">
                  <c:v>379905</c:v>
                </c:pt>
                <c:pt idx="913">
                  <c:v>377905</c:v>
                </c:pt>
                <c:pt idx="914">
                  <c:v>378730</c:v>
                </c:pt>
                <c:pt idx="915">
                  <c:v>377460</c:v>
                </c:pt>
                <c:pt idx="916">
                  <c:v>376475</c:v>
                </c:pt>
                <c:pt idx="917">
                  <c:v>369525</c:v>
                </c:pt>
                <c:pt idx="918">
                  <c:v>360195</c:v>
                </c:pt>
                <c:pt idx="919">
                  <c:v>359930</c:v>
                </c:pt>
                <c:pt idx="920">
                  <c:v>360330</c:v>
                </c:pt>
                <c:pt idx="921">
                  <c:v>373480</c:v>
                </c:pt>
                <c:pt idx="922">
                  <c:v>369105</c:v>
                </c:pt>
                <c:pt idx="923">
                  <c:v>369725</c:v>
                </c:pt>
                <c:pt idx="924">
                  <c:v>368780</c:v>
                </c:pt>
                <c:pt idx="925">
                  <c:v>370470</c:v>
                </c:pt>
                <c:pt idx="926">
                  <c:v>370510</c:v>
                </c:pt>
                <c:pt idx="927">
                  <c:v>370960</c:v>
                </c:pt>
                <c:pt idx="928">
                  <c:v>374045</c:v>
                </c:pt>
                <c:pt idx="929">
                  <c:v>375245</c:v>
                </c:pt>
                <c:pt idx="930">
                  <c:v>377255</c:v>
                </c:pt>
                <c:pt idx="931">
                  <c:v>373330</c:v>
                </c:pt>
                <c:pt idx="932">
                  <c:v>375585</c:v>
                </c:pt>
                <c:pt idx="933">
                  <c:v>370945</c:v>
                </c:pt>
                <c:pt idx="934">
                  <c:v>366505</c:v>
                </c:pt>
                <c:pt idx="935">
                  <c:v>366020</c:v>
                </c:pt>
                <c:pt idx="936">
                  <c:v>361305</c:v>
                </c:pt>
                <c:pt idx="937">
                  <c:v>367010</c:v>
                </c:pt>
                <c:pt idx="938">
                  <c:v>376865</c:v>
                </c:pt>
                <c:pt idx="939">
                  <c:v>370370</c:v>
                </c:pt>
                <c:pt idx="940">
                  <c:v>371110</c:v>
                </c:pt>
                <c:pt idx="941">
                  <c:v>370800</c:v>
                </c:pt>
                <c:pt idx="942">
                  <c:v>371770</c:v>
                </c:pt>
                <c:pt idx="943">
                  <c:v>368400</c:v>
                </c:pt>
                <c:pt idx="944">
                  <c:v>374090</c:v>
                </c:pt>
                <c:pt idx="945">
                  <c:v>370580</c:v>
                </c:pt>
                <c:pt idx="946">
                  <c:v>374320</c:v>
                </c:pt>
                <c:pt idx="947">
                  <c:v>373310</c:v>
                </c:pt>
                <c:pt idx="948">
                  <c:v>370855</c:v>
                </c:pt>
                <c:pt idx="949">
                  <c:v>366615</c:v>
                </c:pt>
                <c:pt idx="950">
                  <c:v>351775</c:v>
                </c:pt>
                <c:pt idx="951">
                  <c:v>355145</c:v>
                </c:pt>
                <c:pt idx="952">
                  <c:v>355275</c:v>
                </c:pt>
                <c:pt idx="953">
                  <c:v>379605</c:v>
                </c:pt>
                <c:pt idx="954">
                  <c:v>385720</c:v>
                </c:pt>
                <c:pt idx="955">
                  <c:v>389490</c:v>
                </c:pt>
                <c:pt idx="956">
                  <c:v>389280</c:v>
                </c:pt>
                <c:pt idx="957">
                  <c:v>387295</c:v>
                </c:pt>
                <c:pt idx="958">
                  <c:v>387820</c:v>
                </c:pt>
                <c:pt idx="959">
                  <c:v>391240</c:v>
                </c:pt>
                <c:pt idx="960">
                  <c:v>377000</c:v>
                </c:pt>
                <c:pt idx="961">
                  <c:v>376070</c:v>
                </c:pt>
                <c:pt idx="962">
                  <c:v>377125</c:v>
                </c:pt>
                <c:pt idx="963">
                  <c:v>376835</c:v>
                </c:pt>
                <c:pt idx="964">
                  <c:v>377280</c:v>
                </c:pt>
                <c:pt idx="965">
                  <c:v>377120</c:v>
                </c:pt>
                <c:pt idx="966">
                  <c:v>376675</c:v>
                </c:pt>
                <c:pt idx="967">
                  <c:v>376715</c:v>
                </c:pt>
                <c:pt idx="968">
                  <c:v>376905</c:v>
                </c:pt>
                <c:pt idx="969">
                  <c:v>375090</c:v>
                </c:pt>
                <c:pt idx="970">
                  <c:v>376070</c:v>
                </c:pt>
                <c:pt idx="971">
                  <c:v>376520</c:v>
                </c:pt>
                <c:pt idx="972">
                  <c:v>377545</c:v>
                </c:pt>
                <c:pt idx="973">
                  <c:v>377885</c:v>
                </c:pt>
                <c:pt idx="974">
                  <c:v>377300</c:v>
                </c:pt>
                <c:pt idx="975">
                  <c:v>374215</c:v>
                </c:pt>
                <c:pt idx="976">
                  <c:v>373595</c:v>
                </c:pt>
                <c:pt idx="977">
                  <c:v>374860</c:v>
                </c:pt>
                <c:pt idx="978">
                  <c:v>375605</c:v>
                </c:pt>
                <c:pt idx="979">
                  <c:v>372950</c:v>
                </c:pt>
                <c:pt idx="980">
                  <c:v>373455</c:v>
                </c:pt>
                <c:pt idx="981">
                  <c:v>375060</c:v>
                </c:pt>
                <c:pt idx="982">
                  <c:v>372560</c:v>
                </c:pt>
                <c:pt idx="983">
                  <c:v>370710</c:v>
                </c:pt>
                <c:pt idx="984">
                  <c:v>372110</c:v>
                </c:pt>
                <c:pt idx="985">
                  <c:v>369115</c:v>
                </c:pt>
                <c:pt idx="986">
                  <c:v>375900</c:v>
                </c:pt>
                <c:pt idx="987">
                  <c:v>365170</c:v>
                </c:pt>
                <c:pt idx="988">
                  <c:v>364550</c:v>
                </c:pt>
                <c:pt idx="989">
                  <c:v>359885</c:v>
                </c:pt>
                <c:pt idx="990">
                  <c:v>365430</c:v>
                </c:pt>
                <c:pt idx="991">
                  <c:v>361655</c:v>
                </c:pt>
                <c:pt idx="992">
                  <c:v>371385</c:v>
                </c:pt>
                <c:pt idx="993">
                  <c:v>366105</c:v>
                </c:pt>
                <c:pt idx="994">
                  <c:v>370765</c:v>
                </c:pt>
                <c:pt idx="995">
                  <c:v>362260</c:v>
                </c:pt>
                <c:pt idx="996">
                  <c:v>360890</c:v>
                </c:pt>
                <c:pt idx="997">
                  <c:v>361850</c:v>
                </c:pt>
                <c:pt idx="998">
                  <c:v>361900</c:v>
                </c:pt>
                <c:pt idx="999">
                  <c:v>363955</c:v>
                </c:pt>
                <c:pt idx="1000">
                  <c:v>360345</c:v>
                </c:pt>
                <c:pt idx="1001">
                  <c:v>364290</c:v>
                </c:pt>
                <c:pt idx="1002">
                  <c:v>360535</c:v>
                </c:pt>
                <c:pt idx="1003">
                  <c:v>361595</c:v>
                </c:pt>
                <c:pt idx="1004">
                  <c:v>367460</c:v>
                </c:pt>
                <c:pt idx="1005">
                  <c:v>366445</c:v>
                </c:pt>
                <c:pt idx="1006">
                  <c:v>367885</c:v>
                </c:pt>
                <c:pt idx="1007">
                  <c:v>367900</c:v>
                </c:pt>
                <c:pt idx="1008">
                  <c:v>366595</c:v>
                </c:pt>
                <c:pt idx="1009">
                  <c:v>366370</c:v>
                </c:pt>
                <c:pt idx="1010">
                  <c:v>367250</c:v>
                </c:pt>
                <c:pt idx="1011">
                  <c:v>365890</c:v>
                </c:pt>
                <c:pt idx="1012">
                  <c:v>365430</c:v>
                </c:pt>
                <c:pt idx="1013">
                  <c:v>359960</c:v>
                </c:pt>
                <c:pt idx="1014">
                  <c:v>363765</c:v>
                </c:pt>
                <c:pt idx="1015">
                  <c:v>372135</c:v>
                </c:pt>
                <c:pt idx="1016">
                  <c:v>373495</c:v>
                </c:pt>
                <c:pt idx="1017">
                  <c:v>369845</c:v>
                </c:pt>
                <c:pt idx="1018">
                  <c:v>372330</c:v>
                </c:pt>
                <c:pt idx="1019">
                  <c:v>376230</c:v>
                </c:pt>
                <c:pt idx="1020">
                  <c:v>375295</c:v>
                </c:pt>
                <c:pt idx="1021">
                  <c:v>375900</c:v>
                </c:pt>
                <c:pt idx="1022">
                  <c:v>385670</c:v>
                </c:pt>
                <c:pt idx="1023">
                  <c:v>385160</c:v>
                </c:pt>
                <c:pt idx="1024">
                  <c:v>391200</c:v>
                </c:pt>
                <c:pt idx="1025">
                  <c:v>389850</c:v>
                </c:pt>
                <c:pt idx="1026">
                  <c:v>393370</c:v>
                </c:pt>
                <c:pt idx="1027">
                  <c:v>392700</c:v>
                </c:pt>
                <c:pt idx="1028">
                  <c:v>393005</c:v>
                </c:pt>
                <c:pt idx="1029">
                  <c:v>390715</c:v>
                </c:pt>
                <c:pt idx="1030">
                  <c:v>392530</c:v>
                </c:pt>
                <c:pt idx="1031">
                  <c:v>394075</c:v>
                </c:pt>
                <c:pt idx="1032">
                  <c:v>395180</c:v>
                </c:pt>
                <c:pt idx="1033">
                  <c:v>391615</c:v>
                </c:pt>
                <c:pt idx="1034">
                  <c:v>390345</c:v>
                </c:pt>
                <c:pt idx="1035">
                  <c:v>390090</c:v>
                </c:pt>
                <c:pt idx="1036">
                  <c:v>386765</c:v>
                </c:pt>
                <c:pt idx="1037">
                  <c:v>374440</c:v>
                </c:pt>
                <c:pt idx="1038">
                  <c:v>374935</c:v>
                </c:pt>
                <c:pt idx="1039">
                  <c:v>368050</c:v>
                </c:pt>
                <c:pt idx="1040">
                  <c:v>367025</c:v>
                </c:pt>
                <c:pt idx="1041">
                  <c:v>361050</c:v>
                </c:pt>
                <c:pt idx="1042">
                  <c:v>346365</c:v>
                </c:pt>
                <c:pt idx="1043">
                  <c:v>340515</c:v>
                </c:pt>
                <c:pt idx="1044">
                  <c:v>337495</c:v>
                </c:pt>
                <c:pt idx="1045">
                  <c:v>339195</c:v>
                </c:pt>
                <c:pt idx="1046">
                  <c:v>343425</c:v>
                </c:pt>
                <c:pt idx="1047">
                  <c:v>337405</c:v>
                </c:pt>
                <c:pt idx="1048">
                  <c:v>337765</c:v>
                </c:pt>
                <c:pt idx="1049">
                  <c:v>337505</c:v>
                </c:pt>
                <c:pt idx="1050">
                  <c:v>336750</c:v>
                </c:pt>
                <c:pt idx="1051">
                  <c:v>336570</c:v>
                </c:pt>
                <c:pt idx="1052">
                  <c:v>343085</c:v>
                </c:pt>
                <c:pt idx="1053">
                  <c:v>342040</c:v>
                </c:pt>
                <c:pt idx="1054">
                  <c:v>340440</c:v>
                </c:pt>
                <c:pt idx="1055">
                  <c:v>344675</c:v>
                </c:pt>
                <c:pt idx="1056">
                  <c:v>346260</c:v>
                </c:pt>
                <c:pt idx="1057">
                  <c:v>347510</c:v>
                </c:pt>
                <c:pt idx="1058">
                  <c:v>351055</c:v>
                </c:pt>
                <c:pt idx="1059">
                  <c:v>352140</c:v>
                </c:pt>
                <c:pt idx="1060">
                  <c:v>352685</c:v>
                </c:pt>
                <c:pt idx="1061">
                  <c:v>349480</c:v>
                </c:pt>
                <c:pt idx="1062">
                  <c:v>351140</c:v>
                </c:pt>
                <c:pt idx="1063">
                  <c:v>348785</c:v>
                </c:pt>
                <c:pt idx="1064">
                  <c:v>347935</c:v>
                </c:pt>
                <c:pt idx="1065">
                  <c:v>348000</c:v>
                </c:pt>
                <c:pt idx="1066">
                  <c:v>349440</c:v>
                </c:pt>
                <c:pt idx="1067">
                  <c:v>347755</c:v>
                </c:pt>
                <c:pt idx="1068">
                  <c:v>342790</c:v>
                </c:pt>
                <c:pt idx="1069">
                  <c:v>340205</c:v>
                </c:pt>
                <c:pt idx="1070">
                  <c:v>335940</c:v>
                </c:pt>
                <c:pt idx="1071">
                  <c:v>338140</c:v>
                </c:pt>
                <c:pt idx="1072">
                  <c:v>343735</c:v>
                </c:pt>
                <c:pt idx="1073">
                  <c:v>350380</c:v>
                </c:pt>
                <c:pt idx="1074">
                  <c:v>360530</c:v>
                </c:pt>
                <c:pt idx="1075">
                  <c:v>373510</c:v>
                </c:pt>
                <c:pt idx="1076">
                  <c:v>386385</c:v>
                </c:pt>
                <c:pt idx="1077">
                  <c:v>385075</c:v>
                </c:pt>
                <c:pt idx="1078">
                  <c:v>383815</c:v>
                </c:pt>
                <c:pt idx="1079">
                  <c:v>376735</c:v>
                </c:pt>
                <c:pt idx="1080">
                  <c:v>370745</c:v>
                </c:pt>
                <c:pt idx="1081">
                  <c:v>380745</c:v>
                </c:pt>
                <c:pt idx="1082">
                  <c:v>374010</c:v>
                </c:pt>
                <c:pt idx="1083">
                  <c:v>378800</c:v>
                </c:pt>
                <c:pt idx="1084">
                  <c:v>375975</c:v>
                </c:pt>
                <c:pt idx="1085">
                  <c:v>383985</c:v>
                </c:pt>
                <c:pt idx="1086">
                  <c:v>382075</c:v>
                </c:pt>
                <c:pt idx="1087">
                  <c:v>383785</c:v>
                </c:pt>
                <c:pt idx="1088">
                  <c:v>381630</c:v>
                </c:pt>
                <c:pt idx="1089">
                  <c:v>389725</c:v>
                </c:pt>
                <c:pt idx="1090">
                  <c:v>389975</c:v>
                </c:pt>
                <c:pt idx="1091">
                  <c:v>390050</c:v>
                </c:pt>
                <c:pt idx="1092">
                  <c:v>387485</c:v>
                </c:pt>
                <c:pt idx="1093">
                  <c:v>387310</c:v>
                </c:pt>
                <c:pt idx="1094">
                  <c:v>388460</c:v>
                </c:pt>
                <c:pt idx="1095">
                  <c:v>387600</c:v>
                </c:pt>
                <c:pt idx="1096">
                  <c:v>387835</c:v>
                </c:pt>
                <c:pt idx="1097">
                  <c:v>382475</c:v>
                </c:pt>
                <c:pt idx="1098">
                  <c:v>378455</c:v>
                </c:pt>
                <c:pt idx="1099">
                  <c:v>378845</c:v>
                </c:pt>
                <c:pt idx="1100">
                  <c:v>374625</c:v>
                </c:pt>
                <c:pt idx="1101">
                  <c:v>375525</c:v>
                </c:pt>
                <c:pt idx="1102">
                  <c:v>382800</c:v>
                </c:pt>
                <c:pt idx="1103">
                  <c:v>380995</c:v>
                </c:pt>
                <c:pt idx="1104">
                  <c:v>379705</c:v>
                </c:pt>
                <c:pt idx="1105">
                  <c:v>385715</c:v>
                </c:pt>
                <c:pt idx="1106">
                  <c:v>385080</c:v>
                </c:pt>
                <c:pt idx="1107">
                  <c:v>385165</c:v>
                </c:pt>
                <c:pt idx="1108">
                  <c:v>384340</c:v>
                </c:pt>
                <c:pt idx="1109">
                  <c:v>384025</c:v>
                </c:pt>
                <c:pt idx="1110">
                  <c:v>383375</c:v>
                </c:pt>
                <c:pt idx="1111">
                  <c:v>381155</c:v>
                </c:pt>
                <c:pt idx="1112">
                  <c:v>380780</c:v>
                </c:pt>
                <c:pt idx="1113">
                  <c:v>380075</c:v>
                </c:pt>
                <c:pt idx="1114">
                  <c:v>382220</c:v>
                </c:pt>
                <c:pt idx="1115">
                  <c:v>382560</c:v>
                </c:pt>
                <c:pt idx="1116">
                  <c:v>375820</c:v>
                </c:pt>
                <c:pt idx="1117">
                  <c:v>377780</c:v>
                </c:pt>
                <c:pt idx="1118">
                  <c:v>376035</c:v>
                </c:pt>
                <c:pt idx="1119">
                  <c:v>375600</c:v>
                </c:pt>
                <c:pt idx="1120">
                  <c:v>376345</c:v>
                </c:pt>
                <c:pt idx="1121">
                  <c:v>377965</c:v>
                </c:pt>
                <c:pt idx="1122">
                  <c:v>378950</c:v>
                </c:pt>
                <c:pt idx="1123">
                  <c:v>378505</c:v>
                </c:pt>
                <c:pt idx="1124">
                  <c:v>378515</c:v>
                </c:pt>
                <c:pt idx="1125">
                  <c:v>380215</c:v>
                </c:pt>
                <c:pt idx="1126">
                  <c:v>379185</c:v>
                </c:pt>
                <c:pt idx="1127">
                  <c:v>377365</c:v>
                </c:pt>
                <c:pt idx="1128">
                  <c:v>377825</c:v>
                </c:pt>
                <c:pt idx="1129">
                  <c:v>378685</c:v>
                </c:pt>
                <c:pt idx="1130">
                  <c:v>377770</c:v>
                </c:pt>
                <c:pt idx="1131">
                  <c:v>378105</c:v>
                </c:pt>
                <c:pt idx="1132">
                  <c:v>376000</c:v>
                </c:pt>
                <c:pt idx="1133">
                  <c:v>381065</c:v>
                </c:pt>
                <c:pt idx="1134">
                  <c:v>381105</c:v>
                </c:pt>
                <c:pt idx="1135">
                  <c:v>382145</c:v>
                </c:pt>
                <c:pt idx="1136">
                  <c:v>380330</c:v>
                </c:pt>
                <c:pt idx="1137">
                  <c:v>379225</c:v>
                </c:pt>
                <c:pt idx="1138">
                  <c:v>377775</c:v>
                </c:pt>
                <c:pt idx="1139">
                  <c:v>377740</c:v>
                </c:pt>
                <c:pt idx="1140">
                  <c:v>377545</c:v>
                </c:pt>
                <c:pt idx="1141">
                  <c:v>377490</c:v>
                </c:pt>
                <c:pt idx="1142">
                  <c:v>377735</c:v>
                </c:pt>
                <c:pt idx="1143">
                  <c:v>376495</c:v>
                </c:pt>
                <c:pt idx="1144">
                  <c:v>375925</c:v>
                </c:pt>
                <c:pt idx="1145">
                  <c:v>375335</c:v>
                </c:pt>
                <c:pt idx="1146">
                  <c:v>374665</c:v>
                </c:pt>
                <c:pt idx="1147">
                  <c:v>372060</c:v>
                </c:pt>
                <c:pt idx="1148">
                  <c:v>372820</c:v>
                </c:pt>
                <c:pt idx="1149">
                  <c:v>370100</c:v>
                </c:pt>
                <c:pt idx="1150">
                  <c:v>369495</c:v>
                </c:pt>
                <c:pt idx="1151">
                  <c:v>363700</c:v>
                </c:pt>
                <c:pt idx="1152">
                  <c:v>363950</c:v>
                </c:pt>
                <c:pt idx="1153">
                  <c:v>365080</c:v>
                </c:pt>
                <c:pt idx="1154">
                  <c:v>363375</c:v>
                </c:pt>
                <c:pt idx="1155">
                  <c:v>364815</c:v>
                </c:pt>
                <c:pt idx="1156">
                  <c:v>358335</c:v>
                </c:pt>
                <c:pt idx="1157">
                  <c:v>367985</c:v>
                </c:pt>
                <c:pt idx="1158">
                  <c:v>370050</c:v>
                </c:pt>
                <c:pt idx="1159">
                  <c:v>370630</c:v>
                </c:pt>
                <c:pt idx="1160">
                  <c:v>373170</c:v>
                </c:pt>
                <c:pt idx="1161">
                  <c:v>375655</c:v>
                </c:pt>
                <c:pt idx="1162">
                  <c:v>375175</c:v>
                </c:pt>
                <c:pt idx="1163">
                  <c:v>376105</c:v>
                </c:pt>
                <c:pt idx="1164">
                  <c:v>377360</c:v>
                </c:pt>
                <c:pt idx="1165">
                  <c:v>377915</c:v>
                </c:pt>
                <c:pt idx="1166">
                  <c:v>378505</c:v>
                </c:pt>
                <c:pt idx="1167">
                  <c:v>378095</c:v>
                </c:pt>
                <c:pt idx="1168">
                  <c:v>379315</c:v>
                </c:pt>
                <c:pt idx="1169">
                  <c:v>376850</c:v>
                </c:pt>
                <c:pt idx="1170">
                  <c:v>376480</c:v>
                </c:pt>
                <c:pt idx="1171">
                  <c:v>374550</c:v>
                </c:pt>
                <c:pt idx="1172">
                  <c:v>374635</c:v>
                </c:pt>
                <c:pt idx="1173">
                  <c:v>375810</c:v>
                </c:pt>
                <c:pt idx="1174">
                  <c:v>376450</c:v>
                </c:pt>
                <c:pt idx="1175">
                  <c:v>377375</c:v>
                </c:pt>
                <c:pt idx="1176">
                  <c:v>377375</c:v>
                </c:pt>
                <c:pt idx="1177">
                  <c:v>377350</c:v>
                </c:pt>
                <c:pt idx="1178">
                  <c:v>377290</c:v>
                </c:pt>
                <c:pt idx="1179">
                  <c:v>377205</c:v>
                </c:pt>
                <c:pt idx="1180">
                  <c:v>377285</c:v>
                </c:pt>
                <c:pt idx="1181">
                  <c:v>381570</c:v>
                </c:pt>
                <c:pt idx="1182">
                  <c:v>380535</c:v>
                </c:pt>
                <c:pt idx="1183">
                  <c:v>379335</c:v>
                </c:pt>
                <c:pt idx="1184">
                  <c:v>380405</c:v>
                </c:pt>
                <c:pt idx="1185">
                  <c:v>381160</c:v>
                </c:pt>
                <c:pt idx="1186">
                  <c:v>380545</c:v>
                </c:pt>
                <c:pt idx="1187">
                  <c:v>382040</c:v>
                </c:pt>
                <c:pt idx="1188">
                  <c:v>382480</c:v>
                </c:pt>
                <c:pt idx="1189">
                  <c:v>382360</c:v>
                </c:pt>
                <c:pt idx="1190">
                  <c:v>383070</c:v>
                </c:pt>
                <c:pt idx="1191">
                  <c:v>382395</c:v>
                </c:pt>
                <c:pt idx="1192">
                  <c:v>381930</c:v>
                </c:pt>
                <c:pt idx="1193">
                  <c:v>385180</c:v>
                </c:pt>
                <c:pt idx="1194">
                  <c:v>389100</c:v>
                </c:pt>
                <c:pt idx="1195">
                  <c:v>389570</c:v>
                </c:pt>
                <c:pt idx="1196">
                  <c:v>390090</c:v>
                </c:pt>
                <c:pt idx="1197">
                  <c:v>390745</c:v>
                </c:pt>
                <c:pt idx="1198">
                  <c:v>391025</c:v>
                </c:pt>
                <c:pt idx="1199">
                  <c:v>391990</c:v>
                </c:pt>
                <c:pt idx="1200">
                  <c:v>392055</c:v>
                </c:pt>
                <c:pt idx="1201">
                  <c:v>392605</c:v>
                </c:pt>
                <c:pt idx="1202">
                  <c:v>392195</c:v>
                </c:pt>
                <c:pt idx="1203">
                  <c:v>392225</c:v>
                </c:pt>
                <c:pt idx="1204">
                  <c:v>391470</c:v>
                </c:pt>
                <c:pt idx="1205">
                  <c:v>391415</c:v>
                </c:pt>
                <c:pt idx="1206">
                  <c:v>390765</c:v>
                </c:pt>
                <c:pt idx="1207">
                  <c:v>390995</c:v>
                </c:pt>
                <c:pt idx="1208">
                  <c:v>391000</c:v>
                </c:pt>
                <c:pt idx="1209">
                  <c:v>391070</c:v>
                </c:pt>
                <c:pt idx="1210">
                  <c:v>390935</c:v>
                </c:pt>
                <c:pt idx="1211">
                  <c:v>391480</c:v>
                </c:pt>
                <c:pt idx="1212">
                  <c:v>395900</c:v>
                </c:pt>
                <c:pt idx="1213">
                  <c:v>397460</c:v>
                </c:pt>
                <c:pt idx="1214">
                  <c:v>399215</c:v>
                </c:pt>
                <c:pt idx="1215">
                  <c:v>399665</c:v>
                </c:pt>
                <c:pt idx="1216">
                  <c:v>402685</c:v>
                </c:pt>
                <c:pt idx="1217">
                  <c:v>406430</c:v>
                </c:pt>
                <c:pt idx="1218">
                  <c:v>407340</c:v>
                </c:pt>
                <c:pt idx="1219">
                  <c:v>400135</c:v>
                </c:pt>
                <c:pt idx="1220">
                  <c:v>401490</c:v>
                </c:pt>
                <c:pt idx="1221">
                  <c:v>418540</c:v>
                </c:pt>
                <c:pt idx="1222">
                  <c:v>418060</c:v>
                </c:pt>
                <c:pt idx="1223">
                  <c:v>418180</c:v>
                </c:pt>
                <c:pt idx="1224">
                  <c:v>417515</c:v>
                </c:pt>
                <c:pt idx="1225">
                  <c:v>416675</c:v>
                </c:pt>
                <c:pt idx="1226">
                  <c:v>414445</c:v>
                </c:pt>
                <c:pt idx="1227">
                  <c:v>413465</c:v>
                </c:pt>
                <c:pt idx="1228">
                  <c:v>412495</c:v>
                </c:pt>
                <c:pt idx="1229">
                  <c:v>416535</c:v>
                </c:pt>
                <c:pt idx="1230">
                  <c:v>416060</c:v>
                </c:pt>
                <c:pt idx="1231">
                  <c:v>414700</c:v>
                </c:pt>
                <c:pt idx="1232">
                  <c:v>413650</c:v>
                </c:pt>
                <c:pt idx="1233">
                  <c:v>414660</c:v>
                </c:pt>
                <c:pt idx="1234">
                  <c:v>414765</c:v>
                </c:pt>
                <c:pt idx="1235">
                  <c:v>415550</c:v>
                </c:pt>
                <c:pt idx="1236">
                  <c:v>414635</c:v>
                </c:pt>
                <c:pt idx="1237">
                  <c:v>415725</c:v>
                </c:pt>
                <c:pt idx="1238">
                  <c:v>415920</c:v>
                </c:pt>
                <c:pt idx="1239">
                  <c:v>415515</c:v>
                </c:pt>
                <c:pt idx="1240">
                  <c:v>413685</c:v>
                </c:pt>
                <c:pt idx="1241">
                  <c:v>410755</c:v>
                </c:pt>
                <c:pt idx="1242">
                  <c:v>416270</c:v>
                </c:pt>
                <c:pt idx="1243">
                  <c:v>417610</c:v>
                </c:pt>
                <c:pt idx="1244">
                  <c:v>420555</c:v>
                </c:pt>
                <c:pt idx="1245">
                  <c:v>422760</c:v>
                </c:pt>
                <c:pt idx="1246">
                  <c:v>424800</c:v>
                </c:pt>
                <c:pt idx="1247">
                  <c:v>416705</c:v>
                </c:pt>
                <c:pt idx="1248">
                  <c:v>417870</c:v>
                </c:pt>
                <c:pt idx="1249">
                  <c:v>420005</c:v>
                </c:pt>
                <c:pt idx="1250">
                  <c:v>421620</c:v>
                </c:pt>
                <c:pt idx="1251">
                  <c:v>423415</c:v>
                </c:pt>
                <c:pt idx="1252">
                  <c:v>424270</c:v>
                </c:pt>
                <c:pt idx="1253">
                  <c:v>425315</c:v>
                </c:pt>
                <c:pt idx="1254">
                  <c:v>423160</c:v>
                </c:pt>
                <c:pt idx="1255">
                  <c:v>422725</c:v>
                </c:pt>
                <c:pt idx="1256">
                  <c:v>424130</c:v>
                </c:pt>
                <c:pt idx="1257">
                  <c:v>424265</c:v>
                </c:pt>
                <c:pt idx="1258">
                  <c:v>427570</c:v>
                </c:pt>
                <c:pt idx="1259">
                  <c:v>428015</c:v>
                </c:pt>
                <c:pt idx="1260">
                  <c:v>427855</c:v>
                </c:pt>
                <c:pt idx="1261">
                  <c:v>425335</c:v>
                </c:pt>
                <c:pt idx="1262">
                  <c:v>423895</c:v>
                </c:pt>
                <c:pt idx="1263">
                  <c:v>425770</c:v>
                </c:pt>
                <c:pt idx="1264">
                  <c:v>429290</c:v>
                </c:pt>
                <c:pt idx="1265">
                  <c:v>428045</c:v>
                </c:pt>
                <c:pt idx="1266">
                  <c:v>427270</c:v>
                </c:pt>
                <c:pt idx="1267">
                  <c:v>430480</c:v>
                </c:pt>
                <c:pt idx="1268">
                  <c:v>426345</c:v>
                </c:pt>
                <c:pt idx="1269">
                  <c:v>425905</c:v>
                </c:pt>
                <c:pt idx="1270">
                  <c:v>425270</c:v>
                </c:pt>
                <c:pt idx="1271">
                  <c:v>420255</c:v>
                </c:pt>
                <c:pt idx="1272">
                  <c:v>417525</c:v>
                </c:pt>
                <c:pt idx="1273">
                  <c:v>418030</c:v>
                </c:pt>
                <c:pt idx="1274">
                  <c:v>417810</c:v>
                </c:pt>
                <c:pt idx="1275">
                  <c:v>422525</c:v>
                </c:pt>
                <c:pt idx="1276">
                  <c:v>429260</c:v>
                </c:pt>
                <c:pt idx="1277">
                  <c:v>435060</c:v>
                </c:pt>
                <c:pt idx="1278">
                  <c:v>438960</c:v>
                </c:pt>
                <c:pt idx="1279">
                  <c:v>441980</c:v>
                </c:pt>
                <c:pt idx="1280">
                  <c:v>441030</c:v>
                </c:pt>
                <c:pt idx="1281">
                  <c:v>445315</c:v>
                </c:pt>
                <c:pt idx="1282">
                  <c:v>442375</c:v>
                </c:pt>
                <c:pt idx="1283">
                  <c:v>444345</c:v>
                </c:pt>
                <c:pt idx="1284">
                  <c:v>449240</c:v>
                </c:pt>
                <c:pt idx="1285">
                  <c:v>448245</c:v>
                </c:pt>
                <c:pt idx="1286">
                  <c:v>447350</c:v>
                </c:pt>
                <c:pt idx="1287">
                  <c:v>448095</c:v>
                </c:pt>
                <c:pt idx="1288">
                  <c:v>442330</c:v>
                </c:pt>
                <c:pt idx="1289">
                  <c:v>437630</c:v>
                </c:pt>
                <c:pt idx="1290">
                  <c:v>437540</c:v>
                </c:pt>
                <c:pt idx="1291">
                  <c:v>437815</c:v>
                </c:pt>
                <c:pt idx="1292">
                  <c:v>436925</c:v>
                </c:pt>
                <c:pt idx="1293">
                  <c:v>436450</c:v>
                </c:pt>
                <c:pt idx="1294">
                  <c:v>438840</c:v>
                </c:pt>
                <c:pt idx="1295">
                  <c:v>433815</c:v>
                </c:pt>
                <c:pt idx="1296">
                  <c:v>433700</c:v>
                </c:pt>
                <c:pt idx="1297">
                  <c:v>431045</c:v>
                </c:pt>
                <c:pt idx="1298">
                  <c:v>428990</c:v>
                </c:pt>
                <c:pt idx="1299">
                  <c:v>430070</c:v>
                </c:pt>
                <c:pt idx="1300">
                  <c:v>428700</c:v>
                </c:pt>
                <c:pt idx="1301">
                  <c:v>428875</c:v>
                </c:pt>
                <c:pt idx="1302">
                  <c:v>428735</c:v>
                </c:pt>
                <c:pt idx="1303">
                  <c:v>428465</c:v>
                </c:pt>
                <c:pt idx="1304">
                  <c:v>428625</c:v>
                </c:pt>
                <c:pt idx="1305">
                  <c:v>426600</c:v>
                </c:pt>
                <c:pt idx="1306">
                  <c:v>425315</c:v>
                </c:pt>
                <c:pt idx="1307">
                  <c:v>433065</c:v>
                </c:pt>
                <c:pt idx="1308">
                  <c:v>433870</c:v>
                </c:pt>
                <c:pt idx="1309">
                  <c:v>434540</c:v>
                </c:pt>
                <c:pt idx="1310">
                  <c:v>436395</c:v>
                </c:pt>
                <c:pt idx="1311">
                  <c:v>437130</c:v>
                </c:pt>
                <c:pt idx="1312">
                  <c:v>437115</c:v>
                </c:pt>
                <c:pt idx="1313">
                  <c:v>439235</c:v>
                </c:pt>
                <c:pt idx="1314">
                  <c:v>440890</c:v>
                </c:pt>
                <c:pt idx="1315">
                  <c:v>442300</c:v>
                </c:pt>
                <c:pt idx="1316">
                  <c:v>443770</c:v>
                </c:pt>
                <c:pt idx="1317">
                  <c:v>445110</c:v>
                </c:pt>
                <c:pt idx="1318">
                  <c:v>440435</c:v>
                </c:pt>
                <c:pt idx="1319">
                  <c:v>438250</c:v>
                </c:pt>
                <c:pt idx="1320">
                  <c:v>444255</c:v>
                </c:pt>
                <c:pt idx="1321">
                  <c:v>451135</c:v>
                </c:pt>
                <c:pt idx="1322">
                  <c:v>450930</c:v>
                </c:pt>
                <c:pt idx="1323">
                  <c:v>453830</c:v>
                </c:pt>
                <c:pt idx="1324">
                  <c:v>457205</c:v>
                </c:pt>
                <c:pt idx="1325">
                  <c:v>457290</c:v>
                </c:pt>
                <c:pt idx="1326">
                  <c:v>456990</c:v>
                </c:pt>
                <c:pt idx="1327">
                  <c:v>461540</c:v>
                </c:pt>
                <c:pt idx="1328">
                  <c:v>461490</c:v>
                </c:pt>
                <c:pt idx="1329">
                  <c:v>461685</c:v>
                </c:pt>
                <c:pt idx="1330">
                  <c:v>460335</c:v>
                </c:pt>
                <c:pt idx="1331">
                  <c:v>459620</c:v>
                </c:pt>
                <c:pt idx="1332">
                  <c:v>458640</c:v>
                </c:pt>
                <c:pt idx="1333">
                  <c:v>458040</c:v>
                </c:pt>
                <c:pt idx="1334">
                  <c:v>460405</c:v>
                </c:pt>
                <c:pt idx="1335">
                  <c:v>461405</c:v>
                </c:pt>
                <c:pt idx="1336">
                  <c:v>464170</c:v>
                </c:pt>
                <c:pt idx="1337">
                  <c:v>463840</c:v>
                </c:pt>
                <c:pt idx="1338">
                  <c:v>463810</c:v>
                </c:pt>
                <c:pt idx="1339">
                  <c:v>464110</c:v>
                </c:pt>
                <c:pt idx="1340">
                  <c:v>464495</c:v>
                </c:pt>
                <c:pt idx="1341">
                  <c:v>467010</c:v>
                </c:pt>
                <c:pt idx="1342">
                  <c:v>469175</c:v>
                </c:pt>
                <c:pt idx="1343">
                  <c:v>469300</c:v>
                </c:pt>
                <c:pt idx="1344">
                  <c:v>464255</c:v>
                </c:pt>
                <c:pt idx="1345">
                  <c:v>464880</c:v>
                </c:pt>
                <c:pt idx="1346">
                  <c:v>468255</c:v>
                </c:pt>
                <c:pt idx="1347">
                  <c:v>460930</c:v>
                </c:pt>
                <c:pt idx="1348">
                  <c:v>462955</c:v>
                </c:pt>
                <c:pt idx="1349">
                  <c:v>474855</c:v>
                </c:pt>
                <c:pt idx="1350">
                  <c:v>470945</c:v>
                </c:pt>
                <c:pt idx="1351">
                  <c:v>471010</c:v>
                </c:pt>
                <c:pt idx="1352">
                  <c:v>473185</c:v>
                </c:pt>
                <c:pt idx="1353">
                  <c:v>469925</c:v>
                </c:pt>
                <c:pt idx="1354">
                  <c:v>470115</c:v>
                </c:pt>
                <c:pt idx="1355">
                  <c:v>467505</c:v>
                </c:pt>
                <c:pt idx="1356">
                  <c:v>467695</c:v>
                </c:pt>
                <c:pt idx="1357">
                  <c:v>470445</c:v>
                </c:pt>
                <c:pt idx="1358">
                  <c:v>471645</c:v>
                </c:pt>
                <c:pt idx="1359">
                  <c:v>471255</c:v>
                </c:pt>
                <c:pt idx="1360">
                  <c:v>471240</c:v>
                </c:pt>
                <c:pt idx="1361">
                  <c:v>469705</c:v>
                </c:pt>
                <c:pt idx="1362">
                  <c:v>470915</c:v>
                </c:pt>
                <c:pt idx="1363">
                  <c:v>470220</c:v>
                </c:pt>
                <c:pt idx="1364">
                  <c:v>470100</c:v>
                </c:pt>
                <c:pt idx="1365">
                  <c:v>471150</c:v>
                </c:pt>
                <c:pt idx="1366">
                  <c:v>467515</c:v>
                </c:pt>
                <c:pt idx="1367">
                  <c:v>465910</c:v>
                </c:pt>
                <c:pt idx="1368">
                  <c:v>466210</c:v>
                </c:pt>
                <c:pt idx="1369">
                  <c:v>466565</c:v>
                </c:pt>
                <c:pt idx="1370">
                  <c:v>467865</c:v>
                </c:pt>
                <c:pt idx="1371">
                  <c:v>466755</c:v>
                </c:pt>
                <c:pt idx="1372">
                  <c:v>466730</c:v>
                </c:pt>
                <c:pt idx="1373">
                  <c:v>467945</c:v>
                </c:pt>
                <c:pt idx="1374">
                  <c:v>471045</c:v>
                </c:pt>
                <c:pt idx="1375">
                  <c:v>470070</c:v>
                </c:pt>
                <c:pt idx="1376">
                  <c:v>470225</c:v>
                </c:pt>
                <c:pt idx="1377">
                  <c:v>470120</c:v>
                </c:pt>
                <c:pt idx="1378">
                  <c:v>470375</c:v>
                </c:pt>
                <c:pt idx="1379">
                  <c:v>472340</c:v>
                </c:pt>
                <c:pt idx="1380">
                  <c:v>472260</c:v>
                </c:pt>
                <c:pt idx="1381">
                  <c:v>468835</c:v>
                </c:pt>
                <c:pt idx="1382">
                  <c:v>470635</c:v>
                </c:pt>
                <c:pt idx="1383">
                  <c:v>476335</c:v>
                </c:pt>
                <c:pt idx="1384">
                  <c:v>476195</c:v>
                </c:pt>
                <c:pt idx="1385">
                  <c:v>477190</c:v>
                </c:pt>
                <c:pt idx="1386">
                  <c:v>478620</c:v>
                </c:pt>
                <c:pt idx="1387">
                  <c:v>476920</c:v>
                </c:pt>
                <c:pt idx="1388">
                  <c:v>477325</c:v>
                </c:pt>
                <c:pt idx="1389">
                  <c:v>477825</c:v>
                </c:pt>
                <c:pt idx="1390">
                  <c:v>478960</c:v>
                </c:pt>
                <c:pt idx="1391">
                  <c:v>483845</c:v>
                </c:pt>
                <c:pt idx="1392">
                  <c:v>485910</c:v>
                </c:pt>
                <c:pt idx="1393">
                  <c:v>485295</c:v>
                </c:pt>
                <c:pt idx="1394">
                  <c:v>488315</c:v>
                </c:pt>
                <c:pt idx="1395">
                  <c:v>492660</c:v>
                </c:pt>
                <c:pt idx="1396">
                  <c:v>492540</c:v>
                </c:pt>
                <c:pt idx="1397">
                  <c:v>492560</c:v>
                </c:pt>
                <c:pt idx="1398">
                  <c:v>495785</c:v>
                </c:pt>
                <c:pt idx="1399">
                  <c:v>493685</c:v>
                </c:pt>
                <c:pt idx="1400">
                  <c:v>493825</c:v>
                </c:pt>
                <c:pt idx="1401">
                  <c:v>494730</c:v>
                </c:pt>
                <c:pt idx="1402">
                  <c:v>498045</c:v>
                </c:pt>
                <c:pt idx="1403">
                  <c:v>496010</c:v>
                </c:pt>
                <c:pt idx="1404">
                  <c:v>495415</c:v>
                </c:pt>
                <c:pt idx="1405">
                  <c:v>495965</c:v>
                </c:pt>
                <c:pt idx="1406">
                  <c:v>495735</c:v>
                </c:pt>
                <c:pt idx="1407">
                  <c:v>495340</c:v>
                </c:pt>
                <c:pt idx="1408">
                  <c:v>495685</c:v>
                </c:pt>
                <c:pt idx="1409">
                  <c:v>496370</c:v>
                </c:pt>
                <c:pt idx="1410">
                  <c:v>497455</c:v>
                </c:pt>
                <c:pt idx="1411">
                  <c:v>495305</c:v>
                </c:pt>
                <c:pt idx="1412">
                  <c:v>499525</c:v>
                </c:pt>
                <c:pt idx="1413">
                  <c:v>499215</c:v>
                </c:pt>
                <c:pt idx="1414">
                  <c:v>496765</c:v>
                </c:pt>
                <c:pt idx="1415">
                  <c:v>496665</c:v>
                </c:pt>
                <c:pt idx="1416">
                  <c:v>496565</c:v>
                </c:pt>
                <c:pt idx="1417">
                  <c:v>497275</c:v>
                </c:pt>
                <c:pt idx="1418">
                  <c:v>497615</c:v>
                </c:pt>
                <c:pt idx="1419">
                  <c:v>497665</c:v>
                </c:pt>
                <c:pt idx="1420">
                  <c:v>497000</c:v>
                </c:pt>
                <c:pt idx="1421">
                  <c:v>497035</c:v>
                </c:pt>
                <c:pt idx="1422">
                  <c:v>497330</c:v>
                </c:pt>
                <c:pt idx="1423">
                  <c:v>499225</c:v>
                </c:pt>
                <c:pt idx="1424">
                  <c:v>499095</c:v>
                </c:pt>
                <c:pt idx="1425">
                  <c:v>500645</c:v>
                </c:pt>
                <c:pt idx="1426">
                  <c:v>499060</c:v>
                </c:pt>
                <c:pt idx="1427">
                  <c:v>498520</c:v>
                </c:pt>
                <c:pt idx="1428">
                  <c:v>498540</c:v>
                </c:pt>
                <c:pt idx="1429">
                  <c:v>494490</c:v>
                </c:pt>
                <c:pt idx="1430">
                  <c:v>493225</c:v>
                </c:pt>
                <c:pt idx="1431">
                  <c:v>494470</c:v>
                </c:pt>
                <c:pt idx="1432">
                  <c:v>493625</c:v>
                </c:pt>
                <c:pt idx="1433">
                  <c:v>493125</c:v>
                </c:pt>
                <c:pt idx="1434">
                  <c:v>495350</c:v>
                </c:pt>
                <c:pt idx="1435">
                  <c:v>495110</c:v>
                </c:pt>
                <c:pt idx="1436">
                  <c:v>494500</c:v>
                </c:pt>
                <c:pt idx="1437">
                  <c:v>492575</c:v>
                </c:pt>
                <c:pt idx="1438">
                  <c:v>493630</c:v>
                </c:pt>
                <c:pt idx="1439">
                  <c:v>493710</c:v>
                </c:pt>
                <c:pt idx="1440">
                  <c:v>494890</c:v>
                </c:pt>
                <c:pt idx="1441">
                  <c:v>503495</c:v>
                </c:pt>
                <c:pt idx="1442">
                  <c:v>503935</c:v>
                </c:pt>
                <c:pt idx="1443">
                  <c:v>502430</c:v>
                </c:pt>
                <c:pt idx="1444">
                  <c:v>500195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10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4223" cy="62975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070"/>
  <sheetViews>
    <sheetView tabSelected="1" topLeftCell="A1427" workbookViewId="0">
      <selection activeCell="D410" sqref="D410:G1456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17</v>
      </c>
      <c r="D2" s="1"/>
      <c r="F2" s="1"/>
    </row>
    <row r="3" spans="1:12" ht="15.75" thickBot="1" x14ac:dyDescent="0.3">
      <c r="A3" t="s">
        <v>23</v>
      </c>
      <c r="B3" t="s">
        <v>31</v>
      </c>
      <c r="C3" s="1"/>
      <c r="D3" s="1"/>
      <c r="F3" s="1"/>
    </row>
    <row r="4" spans="1:12" x14ac:dyDescent="0.25">
      <c r="A4" s="1" t="s">
        <v>0</v>
      </c>
      <c r="B4" s="2" t="str">
        <f>VLOOKUP(B3,DHP,2,FALSE)</f>
        <v>ZC_Bidirectional V3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 t="str">
        <f>VLOOKUP(B2,Outright,2,FALSE)</f>
        <v>ZC_ContFut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50000</v>
      </c>
      <c r="C7" s="1"/>
      <c r="D7" s="1"/>
      <c r="F7" s="1"/>
    </row>
    <row r="8" spans="1:12" x14ac:dyDescent="0.25">
      <c r="A8" s="1" t="s">
        <v>3</v>
      </c>
      <c r="B8" s="2">
        <v>10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10</v>
      </c>
      <c r="C9" s="1" t="s">
        <v>28</v>
      </c>
      <c r="D9" s="1"/>
      <c r="F9" s="1"/>
    </row>
    <row r="10" spans="1:12" x14ac:dyDescent="0.25">
      <c r="A10" s="1" t="s">
        <v>8</v>
      </c>
      <c r="B10">
        <v>0.1</v>
      </c>
      <c r="C10" s="1" t="s">
        <v>42</v>
      </c>
      <c r="D10" s="1"/>
      <c r="F10" s="1"/>
    </row>
    <row r="11" spans="1:12" x14ac:dyDescent="0.25">
      <c r="A11" s="1"/>
      <c r="C11" s="1"/>
      <c r="D11" s="1"/>
      <c r="F11" s="1"/>
      <c r="G11">
        <v>1445</v>
      </c>
      <c r="H11" t="s">
        <v>6</v>
      </c>
      <c r="I11" t="str">
        <f xml:space="preserve"> dhpName</f>
        <v>Corn DHP</v>
      </c>
      <c r="J11" t="str">
        <f xml:space="preserve"> CONCATENATE("Long ", underlyingName," Futures")</f>
        <v>Long Corn Futures</v>
      </c>
      <c r="K11" s="9" t="str">
        <f xml:space="preserve"> CONCATENATE("Short ", underlyingName," Futures")</f>
        <v>Short Corn Futures</v>
      </c>
      <c r="L11" t="s">
        <v>5</v>
      </c>
    </row>
    <row r="12" spans="1:12" x14ac:dyDescent="0.25">
      <c r="A12" s="1"/>
      <c r="C12" s="1"/>
      <c r="D12" s="1">
        <v>40695</v>
      </c>
      <c r="E12">
        <v>0</v>
      </c>
      <c r="F12" s="1">
        <v>40695</v>
      </c>
      <c r="G12">
        <v>0</v>
      </c>
      <c r="H12" s="1">
        <f t="shared" ref="H12" si="0">D12</f>
        <v>40695</v>
      </c>
      <c r="I12">
        <f>startingDHPDollars</f>
        <v>50000</v>
      </c>
      <c r="J12">
        <f>startingDHPDollars</f>
        <v>50000</v>
      </c>
      <c r="K12" s="9">
        <f>startingDHPDollars</f>
        <v>50000</v>
      </c>
      <c r="L12">
        <f>I12+J12</f>
        <v>100000</v>
      </c>
    </row>
    <row r="13" spans="1:12" x14ac:dyDescent="0.25">
      <c r="A13" s="1"/>
      <c r="C13" s="1"/>
      <c r="D13" s="1">
        <v>40696</v>
      </c>
      <c r="E13">
        <v>0</v>
      </c>
      <c r="F13" s="1">
        <v>40696</v>
      </c>
      <c r="G13">
        <v>550</v>
      </c>
      <c r="H13" s="1">
        <f t="shared" ref="H13:H76" si="1">D13</f>
        <v>40696</v>
      </c>
      <c r="I13">
        <f>IF(AND(MyRowHidden(ROW())=FALSE,MyRowHidden(ROW()-1)=TRUE),0,(E13-E12)*unitsOfDHp+I12)</f>
        <v>50000</v>
      </c>
      <c r="J13">
        <f>IF(AND(MyRowHidden(ROW())=FALSE,MyRowHidden(ROW()-1)=TRUE),0,(G13-G12)*unitsOfExo+J12)</f>
        <v>55500</v>
      </c>
      <c r="K13" s="9">
        <f t="shared" ref="K13:K76" si="2">-(J13-J12)+K12</f>
        <v>44500</v>
      </c>
      <c r="L13">
        <f t="shared" ref="L13:L76" si="3">I13+J13</f>
        <v>105500</v>
      </c>
    </row>
    <row r="14" spans="1:12" x14ac:dyDescent="0.25">
      <c r="A14" s="1"/>
      <c r="C14" s="1"/>
      <c r="D14" s="1">
        <v>40697</v>
      </c>
      <c r="E14">
        <v>0</v>
      </c>
      <c r="F14" s="1">
        <v>40697</v>
      </c>
      <c r="G14">
        <v>212.5</v>
      </c>
      <c r="H14" s="1">
        <f t="shared" si="1"/>
        <v>40697</v>
      </c>
      <c r="I14">
        <f>IF(AND(MyRowHidden(ROW())=FALSE,MyRowHidden(ROW()-1)=TRUE),0,(E14-E13)*unitsOfDHp+I13)</f>
        <v>50000</v>
      </c>
      <c r="J14">
        <f>IF(AND(MyRowHidden(ROW())=FALSE,MyRowHidden(ROW()-1)=TRUE),0,(G14-G13)*unitsOfExo+J13)</f>
        <v>52125</v>
      </c>
      <c r="K14" s="9">
        <f t="shared" si="2"/>
        <v>47875</v>
      </c>
      <c r="L14">
        <f t="shared" si="3"/>
        <v>102125</v>
      </c>
    </row>
    <row r="15" spans="1:12" x14ac:dyDescent="0.25">
      <c r="A15" s="6">
        <f>unitsOfDHp*B15</f>
        <v>220000</v>
      </c>
      <c r="B15" s="5">
        <v>22000</v>
      </c>
      <c r="C15" s="1"/>
      <c r="D15" s="1">
        <v>40700</v>
      </c>
      <c r="E15">
        <v>0</v>
      </c>
      <c r="F15" s="1">
        <v>40700</v>
      </c>
      <c r="G15">
        <v>-975</v>
      </c>
      <c r="H15" s="1">
        <f t="shared" si="1"/>
        <v>40700</v>
      </c>
      <c r="I15">
        <f>IF(AND(MyRowHidden(ROW())=FALSE,MyRowHidden(ROW()-1)=TRUE),0,(E15-E14)*unitsOfDHp+I14)</f>
        <v>50000</v>
      </c>
      <c r="J15">
        <f>IF(AND(MyRowHidden(ROW())=FALSE,MyRowHidden(ROW()-1)=TRUE),0,(G15-G14)*unitsOfExo+J14)</f>
        <v>40250</v>
      </c>
      <c r="K15" s="9">
        <f t="shared" si="2"/>
        <v>59750</v>
      </c>
      <c r="L15">
        <f t="shared" si="3"/>
        <v>90250</v>
      </c>
    </row>
    <row r="16" spans="1:12" x14ac:dyDescent="0.25">
      <c r="A16" s="1"/>
      <c r="C16" s="1"/>
      <c r="D16" s="1">
        <v>40701</v>
      </c>
      <c r="E16">
        <v>0</v>
      </c>
      <c r="F16" s="1">
        <v>40701</v>
      </c>
      <c r="G16">
        <v>-987.5</v>
      </c>
      <c r="H16" s="1">
        <f t="shared" si="1"/>
        <v>40701</v>
      </c>
      <c r="I16">
        <f>IF(AND(MyRowHidden(ROW())=FALSE,MyRowHidden(ROW()-1)=TRUE),0,(E16-E15)*unitsOfDHp+I15)</f>
        <v>50000</v>
      </c>
      <c r="J16">
        <f>IF(AND(MyRowHidden(ROW())=FALSE,MyRowHidden(ROW()-1)=TRUE),0,(G16-G15)*unitsOfExo+J15)</f>
        <v>40125</v>
      </c>
      <c r="K16" s="9">
        <f t="shared" si="2"/>
        <v>59875</v>
      </c>
      <c r="L16">
        <f t="shared" si="3"/>
        <v>90125</v>
      </c>
    </row>
    <row r="17" spans="1:12" x14ac:dyDescent="0.25">
      <c r="A17" s="6">
        <f>unitsOfExo*B17</f>
        <v>33000</v>
      </c>
      <c r="B17">
        <f>825*4</f>
        <v>3300</v>
      </c>
      <c r="C17" s="1"/>
      <c r="D17" s="1">
        <v>40702</v>
      </c>
      <c r="E17">
        <v>0</v>
      </c>
      <c r="F17" s="1">
        <v>40702</v>
      </c>
      <c r="G17">
        <v>312.5</v>
      </c>
      <c r="H17" s="1">
        <f t="shared" si="1"/>
        <v>40702</v>
      </c>
      <c r="I17">
        <f>IF(AND(MyRowHidden(ROW())=FALSE,MyRowHidden(ROW()-1)=TRUE),0,(E17-E16)*unitsOfDHp+I16)</f>
        <v>50000</v>
      </c>
      <c r="J17">
        <f>IF(AND(MyRowHidden(ROW())=FALSE,MyRowHidden(ROW()-1)=TRUE),0,(G17-G16)*unitsOfExo+J16)</f>
        <v>53125</v>
      </c>
      <c r="K17" s="9">
        <f t="shared" si="2"/>
        <v>46875</v>
      </c>
      <c r="L17">
        <f t="shared" si="3"/>
        <v>103125</v>
      </c>
    </row>
    <row r="18" spans="1:12" x14ac:dyDescent="0.25">
      <c r="A18" s="6">
        <f>100*B18</f>
        <v>75000</v>
      </c>
      <c r="B18">
        <v>750</v>
      </c>
      <c r="C18" s="1"/>
      <c r="D18" s="1">
        <v>40703</v>
      </c>
      <c r="E18">
        <v>0</v>
      </c>
      <c r="F18" s="1">
        <v>40703</v>
      </c>
      <c r="G18">
        <v>1712.5</v>
      </c>
      <c r="H18" s="1">
        <f t="shared" si="1"/>
        <v>40703</v>
      </c>
      <c r="I18">
        <f>IF(AND(MyRowHidden(ROW())=FALSE,MyRowHidden(ROW()-1)=TRUE),0,(E18-E17)*unitsOfDHp+I17)</f>
        <v>50000</v>
      </c>
      <c r="J18">
        <f>IF(AND(MyRowHidden(ROW())=FALSE,MyRowHidden(ROW()-1)=TRUE),0,(G18-G17)*unitsOfExo+J17)</f>
        <v>67125</v>
      </c>
      <c r="K18" s="9">
        <f t="shared" si="2"/>
        <v>32875</v>
      </c>
      <c r="L18">
        <f t="shared" si="3"/>
        <v>117125</v>
      </c>
    </row>
    <row r="19" spans="1:12" x14ac:dyDescent="0.25">
      <c r="A19" s="7">
        <f>A17-A18</f>
        <v>-42000</v>
      </c>
      <c r="C19" s="1"/>
      <c r="D19" s="1">
        <v>40704</v>
      </c>
      <c r="E19">
        <v>0</v>
      </c>
      <c r="F19" s="1">
        <v>40704</v>
      </c>
      <c r="G19">
        <v>1775</v>
      </c>
      <c r="H19" s="1">
        <f t="shared" si="1"/>
        <v>40704</v>
      </c>
      <c r="I19">
        <f>IF(AND(MyRowHidden(ROW())=FALSE,MyRowHidden(ROW()-1)=TRUE),0,(E19-E18)*unitsOfDHp+I18)</f>
        <v>50000</v>
      </c>
      <c r="J19">
        <f>IF(AND(MyRowHidden(ROW())=FALSE,MyRowHidden(ROW()-1)=TRUE),0,(G19-G18)*unitsOfExo+J18)</f>
        <v>67750</v>
      </c>
      <c r="K19" s="9">
        <f t="shared" si="2"/>
        <v>32250</v>
      </c>
      <c r="L19">
        <f t="shared" si="3"/>
        <v>117750</v>
      </c>
    </row>
    <row r="20" spans="1:12" x14ac:dyDescent="0.25">
      <c r="A20" s="1"/>
      <c r="C20" s="1"/>
      <c r="D20" s="1">
        <v>40707</v>
      </c>
      <c r="E20">
        <v>-6</v>
      </c>
      <c r="F20" s="1">
        <v>40707</v>
      </c>
      <c r="G20">
        <v>1287.5</v>
      </c>
      <c r="H20" s="1">
        <f t="shared" si="1"/>
        <v>40707</v>
      </c>
      <c r="I20">
        <f>IF(AND(MyRowHidden(ROW())=FALSE,MyRowHidden(ROW()-1)=TRUE),0,(E20-E19)*unitsOfDHp+I19)</f>
        <v>49940</v>
      </c>
      <c r="J20">
        <f>IF(AND(MyRowHidden(ROW())=FALSE,MyRowHidden(ROW()-1)=TRUE),0,(G20-G19)*unitsOfExo+J19)</f>
        <v>62875</v>
      </c>
      <c r="K20" s="9">
        <f t="shared" si="2"/>
        <v>37125</v>
      </c>
      <c r="L20">
        <f t="shared" si="3"/>
        <v>112815</v>
      </c>
    </row>
    <row r="21" spans="1:12" x14ac:dyDescent="0.25">
      <c r="A21" s="1"/>
      <c r="C21" s="1"/>
      <c r="D21" s="1">
        <v>40708</v>
      </c>
      <c r="E21">
        <v>-403</v>
      </c>
      <c r="F21" s="1">
        <v>40708</v>
      </c>
      <c r="G21">
        <v>75</v>
      </c>
      <c r="H21" s="1">
        <f t="shared" si="1"/>
        <v>40708</v>
      </c>
      <c r="I21">
        <f>IF(AND(MyRowHidden(ROW())=FALSE,MyRowHidden(ROW()-1)=TRUE),0,(E21-E20)*unitsOfDHp+I20)</f>
        <v>45970</v>
      </c>
      <c r="J21">
        <f>IF(AND(MyRowHidden(ROW())=FALSE,MyRowHidden(ROW()-1)=TRUE),0,(G21-G20)*unitsOfExo+J20)</f>
        <v>50750</v>
      </c>
      <c r="K21" s="9">
        <f t="shared" si="2"/>
        <v>49250</v>
      </c>
      <c r="L21">
        <f t="shared" si="3"/>
        <v>96720</v>
      </c>
    </row>
    <row r="22" spans="1:12" x14ac:dyDescent="0.25">
      <c r="A22" s="8">
        <f>1500000/A19</f>
        <v>-35.714285714285715</v>
      </c>
      <c r="C22" s="1"/>
      <c r="D22" s="1">
        <v>40709</v>
      </c>
      <c r="E22">
        <v>-1143</v>
      </c>
      <c r="F22" s="1">
        <v>40709</v>
      </c>
      <c r="G22">
        <v>-1425</v>
      </c>
      <c r="H22" s="1">
        <f t="shared" si="1"/>
        <v>40709</v>
      </c>
      <c r="I22">
        <f>IF(AND(MyRowHidden(ROW())=FALSE,MyRowHidden(ROW()-1)=TRUE),0,(E22-E21)*unitsOfDHp+I21)</f>
        <v>38570</v>
      </c>
      <c r="J22">
        <f>IF(AND(MyRowHidden(ROW())=FALSE,MyRowHidden(ROW()-1)=TRUE),0,(G22-G21)*unitsOfExo+J21)</f>
        <v>35750</v>
      </c>
      <c r="K22" s="9">
        <f t="shared" si="2"/>
        <v>64250</v>
      </c>
      <c r="L22">
        <f t="shared" si="3"/>
        <v>74320</v>
      </c>
    </row>
    <row r="23" spans="1:12" x14ac:dyDescent="0.25">
      <c r="A23" s="8">
        <f>A19*A22</f>
        <v>1500000</v>
      </c>
      <c r="C23" s="1"/>
      <c r="D23" s="1">
        <v>40710</v>
      </c>
      <c r="E23">
        <v>-1636</v>
      </c>
      <c r="F23" s="1">
        <v>40710</v>
      </c>
      <c r="G23">
        <v>-2462.5</v>
      </c>
      <c r="H23" s="1">
        <f t="shared" si="1"/>
        <v>40710</v>
      </c>
      <c r="I23">
        <f>IF(AND(MyRowHidden(ROW())=FALSE,MyRowHidden(ROW()-1)=TRUE),0,(E23-E22)*unitsOfDHp+I22)</f>
        <v>33640</v>
      </c>
      <c r="J23">
        <f>IF(AND(MyRowHidden(ROW())=FALSE,MyRowHidden(ROW()-1)=TRUE),0,(G23-G22)*unitsOfExo+J22)</f>
        <v>25375</v>
      </c>
      <c r="K23" s="9">
        <f t="shared" si="2"/>
        <v>74625</v>
      </c>
      <c r="L23">
        <f t="shared" si="3"/>
        <v>59015</v>
      </c>
    </row>
    <row r="24" spans="1:12" x14ac:dyDescent="0.25">
      <c r="A24" s="1"/>
      <c r="C24" s="1"/>
      <c r="D24" s="1">
        <v>40711</v>
      </c>
      <c r="E24">
        <v>-1790</v>
      </c>
      <c r="F24" s="1">
        <v>40711</v>
      </c>
      <c r="G24">
        <v>-2837.5</v>
      </c>
      <c r="H24" s="1">
        <f t="shared" si="1"/>
        <v>40711</v>
      </c>
      <c r="I24">
        <f>IF(AND(MyRowHidden(ROW())=FALSE,MyRowHidden(ROW()-1)=TRUE),0,(E24-E23)*unitsOfDHp+I23)</f>
        <v>32100</v>
      </c>
      <c r="J24">
        <f>IF(AND(MyRowHidden(ROW())=FALSE,MyRowHidden(ROW()-1)=TRUE),0,(G24-G23)*unitsOfExo+J23)</f>
        <v>21625</v>
      </c>
      <c r="K24" s="9">
        <f t="shared" si="2"/>
        <v>78375</v>
      </c>
      <c r="L24">
        <f t="shared" si="3"/>
        <v>53725</v>
      </c>
    </row>
    <row r="25" spans="1:12" x14ac:dyDescent="0.25">
      <c r="A25" s="1"/>
      <c r="C25" s="1"/>
      <c r="D25" s="1">
        <v>40714</v>
      </c>
      <c r="E25">
        <v>-1902</v>
      </c>
      <c r="F25" s="1">
        <v>40714</v>
      </c>
      <c r="G25">
        <v>-2537.5</v>
      </c>
      <c r="H25" s="1">
        <f t="shared" si="1"/>
        <v>40714</v>
      </c>
      <c r="I25">
        <f>IF(AND(MyRowHidden(ROW())=FALSE,MyRowHidden(ROW()-1)=TRUE),0,(E25-E24)*unitsOfDHp+I24)</f>
        <v>30980</v>
      </c>
      <c r="J25">
        <f>IF(AND(MyRowHidden(ROW())=FALSE,MyRowHidden(ROW()-1)=TRUE),0,(G25-G24)*unitsOfExo+J24)</f>
        <v>24625</v>
      </c>
      <c r="K25" s="9">
        <f t="shared" si="2"/>
        <v>75375</v>
      </c>
      <c r="L25">
        <f t="shared" si="3"/>
        <v>55605</v>
      </c>
    </row>
    <row r="26" spans="1:12" x14ac:dyDescent="0.25">
      <c r="A26" s="1"/>
      <c r="C26" s="1"/>
      <c r="D26" s="1">
        <v>40715</v>
      </c>
      <c r="E26">
        <v>-1865</v>
      </c>
      <c r="F26" s="1">
        <v>40715</v>
      </c>
      <c r="G26">
        <v>-2450</v>
      </c>
      <c r="H26" s="1">
        <f t="shared" si="1"/>
        <v>40715</v>
      </c>
      <c r="I26">
        <f>IF(AND(MyRowHidden(ROW())=FALSE,MyRowHidden(ROW()-1)=TRUE),0,(E26-E25)*unitsOfDHp+I25)</f>
        <v>31350</v>
      </c>
      <c r="J26">
        <f>IF(AND(MyRowHidden(ROW())=FALSE,MyRowHidden(ROW()-1)=TRUE),0,(G26-G25)*unitsOfExo+J25)</f>
        <v>25500</v>
      </c>
      <c r="K26" s="9">
        <f t="shared" si="2"/>
        <v>74500</v>
      </c>
      <c r="L26">
        <f t="shared" si="3"/>
        <v>56850</v>
      </c>
    </row>
    <row r="27" spans="1:12" x14ac:dyDescent="0.25">
      <c r="A27" s="1"/>
      <c r="C27" s="1"/>
      <c r="D27" s="1">
        <v>40716</v>
      </c>
      <c r="E27">
        <v>-2266</v>
      </c>
      <c r="F27" s="1">
        <v>40716</v>
      </c>
      <c r="G27">
        <v>-3825</v>
      </c>
      <c r="H27" s="1">
        <f t="shared" si="1"/>
        <v>40716</v>
      </c>
      <c r="I27">
        <f>IF(AND(MyRowHidden(ROW())=FALSE,MyRowHidden(ROW()-1)=TRUE),0,(E27-E26)*unitsOfDHp+I26)</f>
        <v>27340</v>
      </c>
      <c r="J27">
        <f>IF(AND(MyRowHidden(ROW())=FALSE,MyRowHidden(ROW()-1)=TRUE),0,(G27-G26)*unitsOfExo+J26)</f>
        <v>11750</v>
      </c>
      <c r="K27" s="9">
        <f t="shared" si="2"/>
        <v>88250</v>
      </c>
      <c r="L27">
        <f t="shared" si="3"/>
        <v>39090</v>
      </c>
    </row>
    <row r="28" spans="1:12" x14ac:dyDescent="0.25">
      <c r="A28" s="1"/>
      <c r="C28" s="1"/>
      <c r="D28" s="1">
        <v>40717</v>
      </c>
      <c r="E28">
        <v>-2227</v>
      </c>
      <c r="F28" s="1">
        <v>40717</v>
      </c>
      <c r="G28">
        <v>-3662.5</v>
      </c>
      <c r="H28" s="1">
        <f t="shared" si="1"/>
        <v>40717</v>
      </c>
      <c r="I28">
        <f>IF(AND(MyRowHidden(ROW())=FALSE,MyRowHidden(ROW()-1)=TRUE),0,(E28-E27)*unitsOfDHp+I27)</f>
        <v>27730</v>
      </c>
      <c r="J28">
        <f>IF(AND(MyRowHidden(ROW())=FALSE,MyRowHidden(ROW()-1)=TRUE),0,(G28-G27)*unitsOfExo+J27)</f>
        <v>13375</v>
      </c>
      <c r="K28" s="9">
        <f t="shared" si="2"/>
        <v>86625</v>
      </c>
      <c r="L28">
        <f t="shared" si="3"/>
        <v>41105</v>
      </c>
    </row>
    <row r="29" spans="1:12" x14ac:dyDescent="0.25">
      <c r="A29" s="1"/>
      <c r="C29" s="1"/>
      <c r="D29" s="1">
        <v>40718</v>
      </c>
      <c r="E29">
        <v>-2076</v>
      </c>
      <c r="F29" s="1">
        <v>40718</v>
      </c>
      <c r="G29">
        <v>-3862.5</v>
      </c>
      <c r="H29" s="1">
        <f t="shared" si="1"/>
        <v>40718</v>
      </c>
      <c r="I29">
        <f>IF(AND(MyRowHidden(ROW())=FALSE,MyRowHidden(ROW()-1)=TRUE),0,(E29-E28)*unitsOfDHp+I28)</f>
        <v>29240</v>
      </c>
      <c r="J29">
        <f>IF(AND(MyRowHidden(ROW())=FALSE,MyRowHidden(ROW()-1)=TRUE),0,(G29-G28)*unitsOfExo+J28)</f>
        <v>11375</v>
      </c>
      <c r="K29" s="9">
        <f t="shared" si="2"/>
        <v>88625</v>
      </c>
      <c r="L29">
        <f t="shared" si="3"/>
        <v>40615</v>
      </c>
    </row>
    <row r="30" spans="1:12" x14ac:dyDescent="0.25">
      <c r="A30" s="1"/>
      <c r="C30" s="1"/>
      <c r="D30" s="1">
        <v>40721</v>
      </c>
      <c r="E30">
        <v>-1917</v>
      </c>
      <c r="F30" s="1">
        <v>40721</v>
      </c>
      <c r="G30">
        <v>-4600</v>
      </c>
      <c r="H30" s="1">
        <f t="shared" si="1"/>
        <v>40721</v>
      </c>
      <c r="I30">
        <f>IF(AND(MyRowHidden(ROW())=FALSE,MyRowHidden(ROW()-1)=TRUE),0,(E30-E29)*unitsOfDHp+I29)</f>
        <v>30830</v>
      </c>
      <c r="J30">
        <f>IF(AND(MyRowHidden(ROW())=FALSE,MyRowHidden(ROW()-1)=TRUE),0,(G30-G29)*unitsOfExo+J29)</f>
        <v>4000</v>
      </c>
      <c r="K30" s="9">
        <f t="shared" si="2"/>
        <v>96000</v>
      </c>
      <c r="L30">
        <f t="shared" si="3"/>
        <v>34830</v>
      </c>
    </row>
    <row r="31" spans="1:12" x14ac:dyDescent="0.25">
      <c r="A31" s="1"/>
      <c r="C31" s="1"/>
      <c r="D31" s="1">
        <v>40722</v>
      </c>
      <c r="E31">
        <v>-2436</v>
      </c>
      <c r="F31" s="1">
        <v>40722</v>
      </c>
      <c r="G31">
        <v>-3662.5</v>
      </c>
      <c r="H31" s="1">
        <f t="shared" si="1"/>
        <v>40722</v>
      </c>
      <c r="I31">
        <f>IF(AND(MyRowHidden(ROW())=FALSE,MyRowHidden(ROW()-1)=TRUE),0,(E31-E30)*unitsOfDHp+I30)</f>
        <v>25640</v>
      </c>
      <c r="J31">
        <f>IF(AND(MyRowHidden(ROW())=FALSE,MyRowHidden(ROW()-1)=TRUE),0,(G31-G30)*unitsOfExo+J30)</f>
        <v>13375</v>
      </c>
      <c r="K31" s="9">
        <f t="shared" si="2"/>
        <v>86625</v>
      </c>
      <c r="L31">
        <f t="shared" si="3"/>
        <v>39015</v>
      </c>
    </row>
    <row r="32" spans="1:12" x14ac:dyDescent="0.25">
      <c r="A32" s="1"/>
      <c r="C32" s="1"/>
      <c r="D32" s="1">
        <v>40723</v>
      </c>
      <c r="E32">
        <v>-2558</v>
      </c>
      <c r="F32" s="1">
        <v>40723</v>
      </c>
      <c r="G32">
        <v>-2875</v>
      </c>
      <c r="H32" s="1">
        <f t="shared" si="1"/>
        <v>40723</v>
      </c>
      <c r="I32">
        <f>IF(AND(MyRowHidden(ROW())=FALSE,MyRowHidden(ROW()-1)=TRUE),0,(E32-E31)*unitsOfDHp+I31)</f>
        <v>24420</v>
      </c>
      <c r="J32">
        <f>IF(AND(MyRowHidden(ROW())=FALSE,MyRowHidden(ROW()-1)=TRUE),0,(G32-G31)*unitsOfExo+J31)</f>
        <v>21250</v>
      </c>
      <c r="K32" s="9">
        <f t="shared" si="2"/>
        <v>78750</v>
      </c>
      <c r="L32">
        <f t="shared" si="3"/>
        <v>45670</v>
      </c>
    </row>
    <row r="33" spans="1:12" x14ac:dyDescent="0.25">
      <c r="A33" s="1"/>
      <c r="C33" s="1"/>
      <c r="D33" s="1">
        <v>40724</v>
      </c>
      <c r="E33">
        <v>-1738</v>
      </c>
      <c r="F33" s="1">
        <v>40724</v>
      </c>
      <c r="G33">
        <v>-6825</v>
      </c>
      <c r="H33" s="1">
        <f t="shared" si="1"/>
        <v>40724</v>
      </c>
      <c r="I33">
        <f>IF(AND(MyRowHidden(ROW())=FALSE,MyRowHidden(ROW()-1)=TRUE),0,(E33-E32)*unitsOfDHp+I32)</f>
        <v>32620</v>
      </c>
      <c r="J33">
        <f>IF(AND(MyRowHidden(ROW())=FALSE,MyRowHidden(ROW()-1)=TRUE),0,(G33-G32)*unitsOfExo+J32)</f>
        <v>-18250</v>
      </c>
      <c r="K33" s="9">
        <f t="shared" si="2"/>
        <v>118250</v>
      </c>
      <c r="L33">
        <f t="shared" si="3"/>
        <v>14370</v>
      </c>
    </row>
    <row r="34" spans="1:12" x14ac:dyDescent="0.25">
      <c r="A34" s="1"/>
      <c r="C34" s="1"/>
      <c r="D34" s="1">
        <v>40725</v>
      </c>
      <c r="E34">
        <v>-377</v>
      </c>
      <c r="F34" s="1">
        <v>40725</v>
      </c>
      <c r="G34">
        <v>-5237.5</v>
      </c>
      <c r="H34" s="1">
        <f t="shared" si="1"/>
        <v>40725</v>
      </c>
      <c r="I34">
        <f>IF(AND(MyRowHidden(ROW())=FALSE,MyRowHidden(ROW()-1)=TRUE),0,(E34-E33)*unitsOfDHp+I33)</f>
        <v>46230</v>
      </c>
      <c r="J34">
        <f>IF(AND(MyRowHidden(ROW())=FALSE,MyRowHidden(ROW()-1)=TRUE),0,(G34-G33)*unitsOfExo+J33)</f>
        <v>-2375</v>
      </c>
      <c r="K34" s="9">
        <f t="shared" si="2"/>
        <v>102375</v>
      </c>
      <c r="L34">
        <f t="shared" si="3"/>
        <v>43855</v>
      </c>
    </row>
    <row r="35" spans="1:12" x14ac:dyDescent="0.25">
      <c r="A35" s="1"/>
      <c r="C35" s="1"/>
      <c r="D35" s="1">
        <v>40729</v>
      </c>
      <c r="E35">
        <v>-1033</v>
      </c>
      <c r="F35" s="1">
        <v>40729</v>
      </c>
      <c r="G35">
        <v>-3600</v>
      </c>
      <c r="H35" s="1">
        <f t="shared" si="1"/>
        <v>40729</v>
      </c>
      <c r="I35">
        <f>IF(AND(MyRowHidden(ROW())=FALSE,MyRowHidden(ROW()-1)=TRUE),0,(E35-E34)*unitsOfDHp+I34)</f>
        <v>39670</v>
      </c>
      <c r="J35">
        <f>IF(AND(MyRowHidden(ROW())=FALSE,MyRowHidden(ROW()-1)=TRUE),0,(G35-G34)*unitsOfExo+J34)</f>
        <v>14000</v>
      </c>
      <c r="K35" s="9">
        <f t="shared" si="2"/>
        <v>86000</v>
      </c>
      <c r="L35">
        <f t="shared" si="3"/>
        <v>53670</v>
      </c>
    </row>
    <row r="36" spans="1:12" x14ac:dyDescent="0.25">
      <c r="A36" s="1"/>
      <c r="C36" s="1"/>
      <c r="D36" s="1">
        <v>40730</v>
      </c>
      <c r="E36">
        <v>-1029</v>
      </c>
      <c r="F36" s="1">
        <v>40730</v>
      </c>
      <c r="G36">
        <v>-5087.5</v>
      </c>
      <c r="H36" s="1">
        <f t="shared" si="1"/>
        <v>40730</v>
      </c>
      <c r="I36">
        <f>IF(AND(MyRowHidden(ROW())=FALSE,MyRowHidden(ROW()-1)=TRUE),0,(E36-E35)*unitsOfDHp+I35)</f>
        <v>39710</v>
      </c>
      <c r="J36">
        <f>IF(AND(MyRowHidden(ROW())=FALSE,MyRowHidden(ROW()-1)=TRUE),0,(G36-G35)*unitsOfExo+J35)</f>
        <v>-875</v>
      </c>
      <c r="K36" s="9">
        <f t="shared" si="2"/>
        <v>100875</v>
      </c>
      <c r="L36">
        <f t="shared" si="3"/>
        <v>38835</v>
      </c>
    </row>
    <row r="37" spans="1:12" x14ac:dyDescent="0.25">
      <c r="A37" s="1"/>
      <c r="C37" s="1"/>
      <c r="D37" s="1">
        <v>40731</v>
      </c>
      <c r="E37">
        <v>-960</v>
      </c>
      <c r="F37" s="1">
        <v>40731</v>
      </c>
      <c r="G37">
        <v>-5225</v>
      </c>
      <c r="H37" s="1">
        <f t="shared" si="1"/>
        <v>40731</v>
      </c>
      <c r="I37">
        <f>IF(AND(MyRowHidden(ROW())=FALSE,MyRowHidden(ROW()-1)=TRUE),0,(E37-E36)*unitsOfDHp+I36)</f>
        <v>40400</v>
      </c>
      <c r="J37">
        <f>IF(AND(MyRowHidden(ROW())=FALSE,MyRowHidden(ROW()-1)=TRUE),0,(G37-G36)*unitsOfExo+J36)</f>
        <v>-2250</v>
      </c>
      <c r="K37" s="9">
        <f t="shared" si="2"/>
        <v>102250</v>
      </c>
      <c r="L37">
        <f t="shared" si="3"/>
        <v>38150</v>
      </c>
    </row>
    <row r="38" spans="1:12" x14ac:dyDescent="0.25">
      <c r="A38" s="1"/>
      <c r="C38" s="1"/>
      <c r="D38" s="1">
        <v>40732</v>
      </c>
      <c r="E38">
        <v>-848</v>
      </c>
      <c r="F38" s="1">
        <v>40732</v>
      </c>
      <c r="G38">
        <v>-4425</v>
      </c>
      <c r="H38" s="1">
        <f t="shared" si="1"/>
        <v>40732</v>
      </c>
      <c r="I38">
        <f>IF(AND(MyRowHidden(ROW())=FALSE,MyRowHidden(ROW()-1)=TRUE),0,(E38-E37)*unitsOfDHp+I37)</f>
        <v>41520</v>
      </c>
      <c r="J38">
        <f>IF(AND(MyRowHidden(ROW())=FALSE,MyRowHidden(ROW()-1)=TRUE),0,(G38-G37)*unitsOfExo+J37)</f>
        <v>5750</v>
      </c>
      <c r="K38" s="9">
        <f t="shared" si="2"/>
        <v>94250</v>
      </c>
      <c r="L38">
        <f t="shared" si="3"/>
        <v>47270</v>
      </c>
    </row>
    <row r="39" spans="1:12" x14ac:dyDescent="0.25">
      <c r="A39" s="1"/>
      <c r="C39" s="1"/>
      <c r="D39" s="1">
        <v>40735</v>
      </c>
      <c r="E39">
        <v>-764</v>
      </c>
      <c r="F39" s="1">
        <v>40735</v>
      </c>
      <c r="G39">
        <v>-3862.5</v>
      </c>
      <c r="H39" s="1">
        <f t="shared" si="1"/>
        <v>40735</v>
      </c>
      <c r="I39">
        <f>IF(AND(MyRowHidden(ROW())=FALSE,MyRowHidden(ROW()-1)=TRUE),0,(E39-E38)*unitsOfDHp+I38)</f>
        <v>42360</v>
      </c>
      <c r="J39">
        <f>IF(AND(MyRowHidden(ROW())=FALSE,MyRowHidden(ROW()-1)=TRUE),0,(G39-G38)*unitsOfExo+J38)</f>
        <v>11375</v>
      </c>
      <c r="K39" s="9">
        <f t="shared" si="2"/>
        <v>88625</v>
      </c>
      <c r="L39">
        <f t="shared" si="3"/>
        <v>53735</v>
      </c>
    </row>
    <row r="40" spans="1:12" x14ac:dyDescent="0.25">
      <c r="A40" s="1"/>
      <c r="C40" s="1"/>
      <c r="D40" s="1">
        <v>40736</v>
      </c>
      <c r="E40">
        <v>-1043</v>
      </c>
      <c r="F40" s="1">
        <v>40736</v>
      </c>
      <c r="G40">
        <v>-2200</v>
      </c>
      <c r="H40" s="1">
        <f t="shared" si="1"/>
        <v>40736</v>
      </c>
      <c r="I40">
        <f>IF(AND(MyRowHidden(ROW())=FALSE,MyRowHidden(ROW()-1)=TRUE),0,(E40-E39)*unitsOfDHp+I39)</f>
        <v>39570</v>
      </c>
      <c r="J40">
        <f>IF(AND(MyRowHidden(ROW())=FALSE,MyRowHidden(ROW()-1)=TRUE),0,(G40-G39)*unitsOfExo+J39)</f>
        <v>28000</v>
      </c>
      <c r="K40" s="9">
        <f t="shared" si="2"/>
        <v>72000</v>
      </c>
      <c r="L40">
        <f t="shared" si="3"/>
        <v>67570</v>
      </c>
    </row>
    <row r="41" spans="1:12" x14ac:dyDescent="0.25">
      <c r="A41" s="1"/>
      <c r="C41" s="1"/>
      <c r="D41" s="1">
        <v>40737</v>
      </c>
      <c r="E41">
        <v>-1953</v>
      </c>
      <c r="F41" s="1">
        <v>40737</v>
      </c>
      <c r="G41">
        <v>-1112.5</v>
      </c>
      <c r="H41" s="1">
        <f t="shared" si="1"/>
        <v>40737</v>
      </c>
      <c r="I41">
        <f>IF(AND(MyRowHidden(ROW())=FALSE,MyRowHidden(ROW()-1)=TRUE),0,(E41-E40)*unitsOfDHp+I40)</f>
        <v>30470</v>
      </c>
      <c r="J41">
        <f>IF(AND(MyRowHidden(ROW())=FALSE,MyRowHidden(ROW()-1)=TRUE),0,(G41-G40)*unitsOfExo+J40)</f>
        <v>38875</v>
      </c>
      <c r="K41" s="9">
        <f t="shared" si="2"/>
        <v>61125</v>
      </c>
      <c r="L41">
        <f t="shared" si="3"/>
        <v>69345</v>
      </c>
    </row>
    <row r="42" spans="1:12" x14ac:dyDescent="0.25">
      <c r="A42" s="1"/>
      <c r="C42" s="1"/>
      <c r="D42" s="1">
        <v>40738</v>
      </c>
      <c r="E42">
        <v>-2051</v>
      </c>
      <c r="F42" s="1">
        <v>40738</v>
      </c>
      <c r="G42">
        <v>-1087.5</v>
      </c>
      <c r="H42" s="1">
        <f t="shared" si="1"/>
        <v>40738</v>
      </c>
      <c r="I42">
        <f>IF(AND(MyRowHidden(ROW())=FALSE,MyRowHidden(ROW()-1)=TRUE),0,(E42-E41)*unitsOfDHp+I41)</f>
        <v>29490</v>
      </c>
      <c r="J42">
        <f>IF(AND(MyRowHidden(ROW())=FALSE,MyRowHidden(ROW()-1)=TRUE),0,(G42-G41)*unitsOfExo+J41)</f>
        <v>39125</v>
      </c>
      <c r="K42" s="9">
        <f t="shared" si="2"/>
        <v>60875</v>
      </c>
      <c r="L42">
        <f t="shared" si="3"/>
        <v>68615</v>
      </c>
    </row>
    <row r="43" spans="1:12" x14ac:dyDescent="0.25">
      <c r="A43" s="1"/>
      <c r="C43" s="1"/>
      <c r="D43" s="1">
        <v>40739</v>
      </c>
      <c r="E43">
        <v>-2249</v>
      </c>
      <c r="F43" s="1">
        <v>40739</v>
      </c>
      <c r="G43">
        <v>-875</v>
      </c>
      <c r="H43" s="1">
        <f t="shared" si="1"/>
        <v>40739</v>
      </c>
      <c r="I43">
        <f>IF(AND(MyRowHidden(ROW())=FALSE,MyRowHidden(ROW()-1)=TRUE),0,(E43-E42)*unitsOfDHp+I42)</f>
        <v>27510</v>
      </c>
      <c r="J43">
        <f>IF(AND(MyRowHidden(ROW())=FALSE,MyRowHidden(ROW()-1)=TRUE),0,(G43-G42)*unitsOfExo+J42)</f>
        <v>41250</v>
      </c>
      <c r="K43" s="9">
        <f t="shared" si="2"/>
        <v>58750</v>
      </c>
      <c r="L43">
        <f t="shared" si="3"/>
        <v>68760</v>
      </c>
    </row>
    <row r="44" spans="1:12" x14ac:dyDescent="0.25">
      <c r="A44" s="1"/>
      <c r="C44" s="1"/>
      <c r="D44" s="1">
        <v>40742</v>
      </c>
      <c r="E44">
        <v>-2435</v>
      </c>
      <c r="F44" s="1">
        <v>40742</v>
      </c>
      <c r="G44">
        <v>-775</v>
      </c>
      <c r="H44" s="1">
        <f t="shared" si="1"/>
        <v>40742</v>
      </c>
      <c r="I44">
        <f>IF(AND(MyRowHidden(ROW())=FALSE,MyRowHidden(ROW()-1)=TRUE),0,(E44-E43)*unitsOfDHp+I43)</f>
        <v>25650</v>
      </c>
      <c r="J44">
        <f>IF(AND(MyRowHidden(ROW())=FALSE,MyRowHidden(ROW()-1)=TRUE),0,(G44-G43)*unitsOfExo+J43)</f>
        <v>42250</v>
      </c>
      <c r="K44" s="9">
        <f t="shared" si="2"/>
        <v>57750</v>
      </c>
      <c r="L44">
        <f t="shared" si="3"/>
        <v>67900</v>
      </c>
    </row>
    <row r="45" spans="1:12" x14ac:dyDescent="0.25">
      <c r="A45" s="1"/>
      <c r="C45" s="1"/>
      <c r="D45" s="1">
        <v>40743</v>
      </c>
      <c r="E45">
        <v>-2475</v>
      </c>
      <c r="F45" s="1">
        <v>40743</v>
      </c>
      <c r="G45">
        <v>-400</v>
      </c>
      <c r="H45" s="1">
        <f t="shared" si="1"/>
        <v>40743</v>
      </c>
      <c r="I45">
        <f>IF(AND(MyRowHidden(ROW())=FALSE,MyRowHidden(ROW()-1)=TRUE),0,(E45-E44)*unitsOfDHp+I44)</f>
        <v>25250</v>
      </c>
      <c r="J45">
        <f>IF(AND(MyRowHidden(ROW())=FALSE,MyRowHidden(ROW()-1)=TRUE),0,(G45-G44)*unitsOfExo+J44)</f>
        <v>46000</v>
      </c>
      <c r="K45" s="9">
        <f t="shared" si="2"/>
        <v>54000</v>
      </c>
      <c r="L45">
        <f t="shared" si="3"/>
        <v>71250</v>
      </c>
    </row>
    <row r="46" spans="1:12" x14ac:dyDescent="0.25">
      <c r="A46" s="1"/>
      <c r="C46" s="1"/>
      <c r="D46" s="1">
        <v>40744</v>
      </c>
      <c r="E46">
        <v>-2218</v>
      </c>
      <c r="F46" s="1">
        <v>40744</v>
      </c>
      <c r="G46">
        <v>-912.5</v>
      </c>
      <c r="H46" s="1">
        <f t="shared" si="1"/>
        <v>40744</v>
      </c>
      <c r="I46">
        <f>IF(AND(MyRowHidden(ROW())=FALSE,MyRowHidden(ROW()-1)=TRUE),0,(E46-E45)*unitsOfDHp+I45)</f>
        <v>27820</v>
      </c>
      <c r="J46">
        <f>IF(AND(MyRowHidden(ROW())=FALSE,MyRowHidden(ROW()-1)=TRUE),0,(G46-G45)*unitsOfExo+J45)</f>
        <v>40875</v>
      </c>
      <c r="K46" s="9">
        <f t="shared" si="2"/>
        <v>59125</v>
      </c>
      <c r="L46">
        <f t="shared" si="3"/>
        <v>68695</v>
      </c>
    </row>
    <row r="47" spans="1:12" x14ac:dyDescent="0.25">
      <c r="A47" s="1"/>
      <c r="C47" s="1"/>
      <c r="D47" s="1">
        <v>40745</v>
      </c>
      <c r="E47">
        <v>-2098</v>
      </c>
      <c r="F47" s="1">
        <v>40745</v>
      </c>
      <c r="G47">
        <v>-1500</v>
      </c>
      <c r="H47" s="1">
        <f t="shared" si="1"/>
        <v>40745</v>
      </c>
      <c r="I47">
        <f>IF(AND(MyRowHidden(ROW())=FALSE,MyRowHidden(ROW()-1)=TRUE),0,(E47-E46)*unitsOfDHp+I46)</f>
        <v>29020</v>
      </c>
      <c r="J47">
        <f>IF(AND(MyRowHidden(ROW())=FALSE,MyRowHidden(ROW()-1)=TRUE),0,(G47-G46)*unitsOfExo+J46)</f>
        <v>35000</v>
      </c>
      <c r="K47" s="9">
        <f t="shared" si="2"/>
        <v>65000</v>
      </c>
      <c r="L47">
        <f t="shared" si="3"/>
        <v>64020</v>
      </c>
    </row>
    <row r="48" spans="1:12" x14ac:dyDescent="0.25">
      <c r="A48" s="1"/>
      <c r="C48" s="1"/>
      <c r="D48" s="1">
        <v>40746</v>
      </c>
      <c r="E48">
        <v>-2204</v>
      </c>
      <c r="F48" s="1">
        <v>40746</v>
      </c>
      <c r="G48">
        <v>-1250</v>
      </c>
      <c r="H48" s="1">
        <f t="shared" si="1"/>
        <v>40746</v>
      </c>
      <c r="I48">
        <f>IF(AND(MyRowHidden(ROW())=FALSE,MyRowHidden(ROW()-1)=TRUE),0,(E48-E47)*unitsOfDHp+I47)</f>
        <v>27960</v>
      </c>
      <c r="J48">
        <f>IF(AND(MyRowHidden(ROW())=FALSE,MyRowHidden(ROW()-1)=TRUE),0,(G48-G47)*unitsOfExo+J47)</f>
        <v>37500</v>
      </c>
      <c r="K48" s="9">
        <f t="shared" si="2"/>
        <v>62500</v>
      </c>
      <c r="L48">
        <f t="shared" si="3"/>
        <v>65460</v>
      </c>
    </row>
    <row r="49" spans="1:12" x14ac:dyDescent="0.25">
      <c r="A49" s="1"/>
      <c r="C49" s="1"/>
      <c r="D49" s="1">
        <v>40749</v>
      </c>
      <c r="E49">
        <v>-2118</v>
      </c>
      <c r="F49" s="1">
        <v>40749</v>
      </c>
      <c r="G49">
        <v>-1562.5</v>
      </c>
      <c r="H49" s="1">
        <f t="shared" si="1"/>
        <v>40749</v>
      </c>
      <c r="I49">
        <f>IF(AND(MyRowHidden(ROW())=FALSE,MyRowHidden(ROW()-1)=TRUE),0,(E49-E48)*unitsOfDHp+I48)</f>
        <v>28820</v>
      </c>
      <c r="J49">
        <f>IF(AND(MyRowHidden(ROW())=FALSE,MyRowHidden(ROW()-1)=TRUE),0,(G49-G48)*unitsOfExo+J48)</f>
        <v>34375</v>
      </c>
      <c r="K49" s="9">
        <f t="shared" si="2"/>
        <v>65625</v>
      </c>
      <c r="L49">
        <f t="shared" si="3"/>
        <v>63195</v>
      </c>
    </row>
    <row r="50" spans="1:12" x14ac:dyDescent="0.25">
      <c r="A50" s="1"/>
      <c r="C50" s="1"/>
      <c r="D50" s="1">
        <v>40750</v>
      </c>
      <c r="E50">
        <v>-2342</v>
      </c>
      <c r="F50" s="1">
        <v>40750</v>
      </c>
      <c r="G50">
        <v>-1125</v>
      </c>
      <c r="H50" s="1">
        <f t="shared" si="1"/>
        <v>40750</v>
      </c>
      <c r="I50">
        <f>IF(AND(MyRowHidden(ROW())=FALSE,MyRowHidden(ROW()-1)=TRUE),0,(E50-E49)*unitsOfDHp+I49)</f>
        <v>26580</v>
      </c>
      <c r="J50">
        <f>IF(AND(MyRowHidden(ROW())=FALSE,MyRowHidden(ROW()-1)=TRUE),0,(G50-G49)*unitsOfExo+J49)</f>
        <v>38750</v>
      </c>
      <c r="K50" s="9">
        <f t="shared" si="2"/>
        <v>61250</v>
      </c>
      <c r="L50">
        <f t="shared" si="3"/>
        <v>65330</v>
      </c>
    </row>
    <row r="51" spans="1:12" x14ac:dyDescent="0.25">
      <c r="A51" s="1"/>
      <c r="C51" s="1"/>
      <c r="D51" s="1">
        <v>40751</v>
      </c>
      <c r="E51">
        <v>-2356</v>
      </c>
      <c r="F51" s="1">
        <v>40751</v>
      </c>
      <c r="G51">
        <v>-1025</v>
      </c>
      <c r="H51" s="1">
        <f t="shared" si="1"/>
        <v>40751</v>
      </c>
      <c r="I51">
        <f>IF(AND(MyRowHidden(ROW())=FALSE,MyRowHidden(ROW()-1)=TRUE),0,(E51-E50)*unitsOfDHp+I50)</f>
        <v>26440</v>
      </c>
      <c r="J51">
        <f>IF(AND(MyRowHidden(ROW())=FALSE,MyRowHidden(ROW()-1)=TRUE),0,(G51-G50)*unitsOfExo+J50)</f>
        <v>39750</v>
      </c>
      <c r="K51" s="9">
        <f t="shared" si="2"/>
        <v>60250</v>
      </c>
      <c r="L51">
        <f t="shared" si="3"/>
        <v>66190</v>
      </c>
    </row>
    <row r="52" spans="1:12" x14ac:dyDescent="0.25">
      <c r="A52" s="1"/>
      <c r="C52" s="1"/>
      <c r="D52" s="1">
        <v>40752</v>
      </c>
      <c r="E52">
        <v>-2257</v>
      </c>
      <c r="F52" s="1">
        <v>40752</v>
      </c>
      <c r="G52">
        <v>-1362.5</v>
      </c>
      <c r="H52" s="1">
        <f t="shared" si="1"/>
        <v>40752</v>
      </c>
      <c r="I52">
        <f>IF(AND(MyRowHidden(ROW())=FALSE,MyRowHidden(ROW()-1)=TRUE),0,(E52-E51)*unitsOfDHp+I51)</f>
        <v>27430</v>
      </c>
      <c r="J52">
        <f>IF(AND(MyRowHidden(ROW())=FALSE,MyRowHidden(ROW()-1)=TRUE),0,(G52-G51)*unitsOfExo+J51)</f>
        <v>36375</v>
      </c>
      <c r="K52" s="9">
        <f t="shared" si="2"/>
        <v>63625</v>
      </c>
      <c r="L52">
        <f t="shared" si="3"/>
        <v>63805</v>
      </c>
    </row>
    <row r="53" spans="1:12" x14ac:dyDescent="0.25">
      <c r="A53" s="1"/>
      <c r="C53" s="1"/>
      <c r="D53" s="1">
        <v>40753</v>
      </c>
      <c r="E53">
        <v>-1629</v>
      </c>
      <c r="F53" s="1">
        <v>40753</v>
      </c>
      <c r="G53">
        <v>-2325</v>
      </c>
      <c r="H53" s="1">
        <f t="shared" si="1"/>
        <v>40753</v>
      </c>
      <c r="I53">
        <f>IF(AND(MyRowHidden(ROW())=FALSE,MyRowHidden(ROW()-1)=TRUE),0,(E53-E52)*unitsOfDHp+I52)</f>
        <v>33710</v>
      </c>
      <c r="J53">
        <f>IF(AND(MyRowHidden(ROW())=FALSE,MyRowHidden(ROW()-1)=TRUE),0,(G53-G52)*unitsOfExo+J52)</f>
        <v>26750</v>
      </c>
      <c r="K53" s="9">
        <f t="shared" si="2"/>
        <v>73250</v>
      </c>
      <c r="L53">
        <f t="shared" si="3"/>
        <v>60460</v>
      </c>
    </row>
    <row r="54" spans="1:12" x14ac:dyDescent="0.25">
      <c r="A54" s="1"/>
      <c r="C54" s="1"/>
      <c r="D54" s="1">
        <v>40756</v>
      </c>
      <c r="E54">
        <v>-1802</v>
      </c>
      <c r="F54" s="1">
        <v>40756</v>
      </c>
      <c r="G54">
        <v>-1525</v>
      </c>
      <c r="H54" s="1">
        <f t="shared" si="1"/>
        <v>40756</v>
      </c>
      <c r="I54">
        <f>IF(AND(MyRowHidden(ROW())=FALSE,MyRowHidden(ROW()-1)=TRUE),0,(E54-E53)*unitsOfDHp+I53)</f>
        <v>31980</v>
      </c>
      <c r="J54">
        <f>IF(AND(MyRowHidden(ROW())=FALSE,MyRowHidden(ROW()-1)=TRUE),0,(G54-G53)*unitsOfExo+J53)</f>
        <v>34750</v>
      </c>
      <c r="K54" s="9">
        <f t="shared" si="2"/>
        <v>65250</v>
      </c>
      <c r="L54">
        <f t="shared" si="3"/>
        <v>66730</v>
      </c>
    </row>
    <row r="55" spans="1:12" x14ac:dyDescent="0.25">
      <c r="A55" s="1"/>
      <c r="C55" s="1"/>
      <c r="D55" s="1">
        <v>40757</v>
      </c>
      <c r="E55">
        <v>-1791</v>
      </c>
      <c r="F55" s="1">
        <v>40757</v>
      </c>
      <c r="G55">
        <v>-150</v>
      </c>
      <c r="H55" s="1">
        <f t="shared" si="1"/>
        <v>40757</v>
      </c>
      <c r="I55">
        <f>IF(AND(MyRowHidden(ROW())=FALSE,MyRowHidden(ROW()-1)=TRUE),0,(E55-E54)*unitsOfDHp+I54)</f>
        <v>32090</v>
      </c>
      <c r="J55">
        <f>IF(AND(MyRowHidden(ROW())=FALSE,MyRowHidden(ROW()-1)=TRUE),0,(G55-G54)*unitsOfExo+J54)</f>
        <v>48500</v>
      </c>
      <c r="K55" s="9">
        <f t="shared" si="2"/>
        <v>51500</v>
      </c>
      <c r="L55">
        <f t="shared" si="3"/>
        <v>80590</v>
      </c>
    </row>
    <row r="56" spans="1:12" x14ac:dyDescent="0.25">
      <c r="A56" s="1"/>
      <c r="C56" s="1"/>
      <c r="D56" s="1">
        <v>40758</v>
      </c>
      <c r="E56">
        <v>-1836</v>
      </c>
      <c r="F56" s="1">
        <v>40758</v>
      </c>
      <c r="G56">
        <v>-212.5</v>
      </c>
      <c r="H56" s="1">
        <f t="shared" si="1"/>
        <v>40758</v>
      </c>
      <c r="I56">
        <f>IF(AND(MyRowHidden(ROW())=FALSE,MyRowHidden(ROW()-1)=TRUE),0,(E56-E55)*unitsOfDHp+I55)</f>
        <v>31640</v>
      </c>
      <c r="J56">
        <f>IF(AND(MyRowHidden(ROW())=FALSE,MyRowHidden(ROW()-1)=TRUE),0,(G56-G55)*unitsOfExo+J55)</f>
        <v>47875</v>
      </c>
      <c r="K56" s="9">
        <f t="shared" si="2"/>
        <v>52125</v>
      </c>
      <c r="L56">
        <f t="shared" si="3"/>
        <v>79515</v>
      </c>
    </row>
    <row r="57" spans="1:12" x14ac:dyDescent="0.25">
      <c r="A57" s="1"/>
      <c r="C57" s="1"/>
      <c r="D57" s="1">
        <v>40759</v>
      </c>
      <c r="E57">
        <v>-1778</v>
      </c>
      <c r="F57" s="1">
        <v>40759</v>
      </c>
      <c r="G57">
        <v>-1012.5</v>
      </c>
      <c r="H57" s="1">
        <f t="shared" si="1"/>
        <v>40759</v>
      </c>
      <c r="I57">
        <f>IF(AND(MyRowHidden(ROW())=FALSE,MyRowHidden(ROW()-1)=TRUE),0,(E57-E56)*unitsOfDHp+I56)</f>
        <v>32220</v>
      </c>
      <c r="J57">
        <f>IF(AND(MyRowHidden(ROW())=FALSE,MyRowHidden(ROW()-1)=TRUE),0,(G57-G56)*unitsOfExo+J56)</f>
        <v>39875</v>
      </c>
      <c r="K57" s="9">
        <f t="shared" si="2"/>
        <v>60125</v>
      </c>
      <c r="L57">
        <f t="shared" si="3"/>
        <v>72095</v>
      </c>
    </row>
    <row r="58" spans="1:12" x14ac:dyDescent="0.25">
      <c r="A58" s="1"/>
      <c r="C58" s="1"/>
      <c r="D58" s="1">
        <v>40760</v>
      </c>
      <c r="E58">
        <v>-1932</v>
      </c>
      <c r="F58" s="1">
        <v>40760</v>
      </c>
      <c r="G58">
        <v>-600</v>
      </c>
      <c r="H58" s="1">
        <f t="shared" si="1"/>
        <v>40760</v>
      </c>
      <c r="I58">
        <f>IF(AND(MyRowHidden(ROW())=FALSE,MyRowHidden(ROW()-1)=TRUE),0,(E58-E57)*unitsOfDHp+I57)</f>
        <v>30680</v>
      </c>
      <c r="J58">
        <f>IF(AND(MyRowHidden(ROW())=FALSE,MyRowHidden(ROW()-1)=TRUE),0,(G58-G57)*unitsOfExo+J57)</f>
        <v>44000</v>
      </c>
      <c r="K58" s="9">
        <f t="shared" si="2"/>
        <v>56000</v>
      </c>
      <c r="L58">
        <f t="shared" si="3"/>
        <v>74680</v>
      </c>
    </row>
    <row r="59" spans="1:12" x14ac:dyDescent="0.25">
      <c r="A59" s="1"/>
      <c r="C59" s="1"/>
      <c r="D59" s="1">
        <v>40763</v>
      </c>
      <c r="E59">
        <v>-1944</v>
      </c>
      <c r="F59" s="1">
        <v>40763</v>
      </c>
      <c r="G59">
        <v>-1625</v>
      </c>
      <c r="H59" s="1">
        <f t="shared" si="1"/>
        <v>40763</v>
      </c>
      <c r="I59">
        <f>IF(AND(MyRowHidden(ROW())=FALSE,MyRowHidden(ROW()-1)=TRUE),0,(E59-E58)*unitsOfDHp+I58)</f>
        <v>30560</v>
      </c>
      <c r="J59">
        <f>IF(AND(MyRowHidden(ROW())=FALSE,MyRowHidden(ROW()-1)=TRUE),0,(G59-G58)*unitsOfExo+J58)</f>
        <v>33750</v>
      </c>
      <c r="K59" s="9">
        <f t="shared" si="2"/>
        <v>66250</v>
      </c>
      <c r="L59">
        <f t="shared" si="3"/>
        <v>64310</v>
      </c>
    </row>
    <row r="60" spans="1:12" x14ac:dyDescent="0.25">
      <c r="A60" s="1"/>
      <c r="C60" s="1"/>
      <c r="D60" s="1">
        <v>40764</v>
      </c>
      <c r="E60">
        <v>-1998</v>
      </c>
      <c r="F60" s="1">
        <v>40764</v>
      </c>
      <c r="G60">
        <v>-1612.5</v>
      </c>
      <c r="H60" s="1">
        <f t="shared" si="1"/>
        <v>40764</v>
      </c>
      <c r="I60">
        <f>IF(AND(MyRowHidden(ROW())=FALSE,MyRowHidden(ROW()-1)=TRUE),0,(E60-E59)*unitsOfDHp+I59)</f>
        <v>30020</v>
      </c>
      <c r="J60">
        <f>IF(AND(MyRowHidden(ROW())=FALSE,MyRowHidden(ROW()-1)=TRUE),0,(G60-G59)*unitsOfExo+J59)</f>
        <v>33875</v>
      </c>
      <c r="K60" s="9">
        <f t="shared" si="2"/>
        <v>66125</v>
      </c>
      <c r="L60">
        <f t="shared" si="3"/>
        <v>63895</v>
      </c>
    </row>
    <row r="61" spans="1:12" x14ac:dyDescent="0.25">
      <c r="A61" s="1"/>
      <c r="C61" s="1"/>
      <c r="D61" s="1">
        <v>40765</v>
      </c>
      <c r="E61">
        <v>-2016</v>
      </c>
      <c r="F61" s="1">
        <v>40765</v>
      </c>
      <c r="G61">
        <v>-1550</v>
      </c>
      <c r="H61" s="1">
        <f t="shared" si="1"/>
        <v>40765</v>
      </c>
      <c r="I61">
        <f>IF(AND(MyRowHidden(ROW())=FALSE,MyRowHidden(ROW()-1)=TRUE),0,(E61-E60)*unitsOfDHp+I60)</f>
        <v>29840</v>
      </c>
      <c r="J61">
        <f>IF(AND(MyRowHidden(ROW())=FALSE,MyRowHidden(ROW()-1)=TRUE),0,(G61-G60)*unitsOfExo+J60)</f>
        <v>34500</v>
      </c>
      <c r="K61" s="9">
        <f t="shared" si="2"/>
        <v>65500</v>
      </c>
      <c r="L61">
        <f t="shared" si="3"/>
        <v>64340</v>
      </c>
    </row>
    <row r="62" spans="1:12" x14ac:dyDescent="0.25">
      <c r="A62" s="1"/>
      <c r="C62" s="1"/>
      <c r="D62" s="1">
        <v>40766</v>
      </c>
      <c r="E62">
        <v>-2436</v>
      </c>
      <c r="F62" s="1">
        <v>40766</v>
      </c>
      <c r="G62">
        <v>-275</v>
      </c>
      <c r="H62" s="1">
        <f t="shared" si="1"/>
        <v>40766</v>
      </c>
      <c r="I62">
        <f>IF(AND(MyRowHidden(ROW())=FALSE,MyRowHidden(ROW()-1)=TRUE),0,(E62-E61)*unitsOfDHp+I61)</f>
        <v>25640</v>
      </c>
      <c r="J62">
        <f>IF(AND(MyRowHidden(ROW())=FALSE,MyRowHidden(ROW()-1)=TRUE),0,(G62-G61)*unitsOfExo+J61)</f>
        <v>47250</v>
      </c>
      <c r="K62" s="9">
        <f t="shared" si="2"/>
        <v>52750</v>
      </c>
      <c r="L62">
        <f t="shared" si="3"/>
        <v>72890</v>
      </c>
    </row>
    <row r="63" spans="1:12" x14ac:dyDescent="0.25">
      <c r="A63" s="1"/>
      <c r="C63" s="1"/>
      <c r="D63" s="1">
        <v>40767</v>
      </c>
      <c r="E63">
        <v>-2442</v>
      </c>
      <c r="F63" s="1">
        <v>40767</v>
      </c>
      <c r="G63">
        <v>-337.5</v>
      </c>
      <c r="H63" s="1">
        <f t="shared" si="1"/>
        <v>40767</v>
      </c>
      <c r="I63">
        <f>IF(AND(MyRowHidden(ROW())=FALSE,MyRowHidden(ROW()-1)=TRUE),0,(E63-E62)*unitsOfDHp+I62)</f>
        <v>25580</v>
      </c>
      <c r="J63">
        <f>IF(AND(MyRowHidden(ROW())=FALSE,MyRowHidden(ROW()-1)=TRUE),0,(G63-G62)*unitsOfExo+J62)</f>
        <v>46625</v>
      </c>
      <c r="K63" s="9">
        <f t="shared" si="2"/>
        <v>53375</v>
      </c>
      <c r="L63">
        <f t="shared" si="3"/>
        <v>72205</v>
      </c>
    </row>
    <row r="64" spans="1:12" x14ac:dyDescent="0.25">
      <c r="A64" s="1"/>
      <c r="C64" s="1"/>
      <c r="D64" s="1">
        <v>40770</v>
      </c>
      <c r="E64">
        <v>-2418</v>
      </c>
      <c r="F64" s="1">
        <v>40770</v>
      </c>
      <c r="G64">
        <v>-300</v>
      </c>
      <c r="H64" s="1">
        <f t="shared" si="1"/>
        <v>40770</v>
      </c>
      <c r="I64">
        <f>IF(AND(MyRowHidden(ROW())=FALSE,MyRowHidden(ROW()-1)=TRUE),0,(E64-E63)*unitsOfDHp+I63)</f>
        <v>25820</v>
      </c>
      <c r="J64">
        <f>IF(AND(MyRowHidden(ROW())=FALSE,MyRowHidden(ROW()-1)=TRUE),0,(G64-G63)*unitsOfExo+J63)</f>
        <v>47000</v>
      </c>
      <c r="K64" s="9">
        <f t="shared" si="2"/>
        <v>53000</v>
      </c>
      <c r="L64">
        <f t="shared" si="3"/>
        <v>72820</v>
      </c>
    </row>
    <row r="65" spans="1:12" x14ac:dyDescent="0.25">
      <c r="A65" s="1"/>
      <c r="C65" s="1"/>
      <c r="D65" s="1">
        <v>40771</v>
      </c>
      <c r="E65">
        <v>-2699</v>
      </c>
      <c r="F65" s="1">
        <v>40771</v>
      </c>
      <c r="G65">
        <v>137.5</v>
      </c>
      <c r="H65" s="1">
        <f t="shared" si="1"/>
        <v>40771</v>
      </c>
      <c r="I65">
        <f>IF(AND(MyRowHidden(ROW())=FALSE,MyRowHidden(ROW()-1)=TRUE),0,(E65-E64)*unitsOfDHp+I64)</f>
        <v>23010</v>
      </c>
      <c r="J65">
        <f>IF(AND(MyRowHidden(ROW())=FALSE,MyRowHidden(ROW()-1)=TRUE),0,(G65-G64)*unitsOfExo+J64)</f>
        <v>51375</v>
      </c>
      <c r="K65" s="9">
        <f t="shared" si="2"/>
        <v>48625</v>
      </c>
      <c r="L65">
        <f t="shared" si="3"/>
        <v>74385</v>
      </c>
    </row>
    <row r="66" spans="1:12" x14ac:dyDescent="0.25">
      <c r="A66" s="1"/>
      <c r="C66" s="1"/>
      <c r="D66" s="1">
        <v>40772</v>
      </c>
      <c r="E66">
        <v>-2780</v>
      </c>
      <c r="F66" s="1">
        <v>40772</v>
      </c>
      <c r="G66">
        <v>225</v>
      </c>
      <c r="H66" s="1">
        <f t="shared" si="1"/>
        <v>40772</v>
      </c>
      <c r="I66">
        <f>IF(AND(MyRowHidden(ROW())=FALSE,MyRowHidden(ROW()-1)=TRUE),0,(E66-E65)*unitsOfDHp+I65)</f>
        <v>22200</v>
      </c>
      <c r="J66">
        <f>IF(AND(MyRowHidden(ROW())=FALSE,MyRowHidden(ROW()-1)=TRUE),0,(G66-G65)*unitsOfExo+J65)</f>
        <v>52250</v>
      </c>
      <c r="K66" s="9">
        <f t="shared" si="2"/>
        <v>47750</v>
      </c>
      <c r="L66">
        <f t="shared" si="3"/>
        <v>74450</v>
      </c>
    </row>
    <row r="67" spans="1:12" x14ac:dyDescent="0.25">
      <c r="A67" s="1"/>
      <c r="C67" s="1"/>
      <c r="D67" s="1">
        <v>40773</v>
      </c>
      <c r="E67">
        <v>-2332</v>
      </c>
      <c r="F67" s="1">
        <v>40773</v>
      </c>
      <c r="G67">
        <v>-500</v>
      </c>
      <c r="H67" s="1">
        <f t="shared" si="1"/>
        <v>40773</v>
      </c>
      <c r="I67">
        <f>IF(AND(MyRowHidden(ROW())=FALSE,MyRowHidden(ROW()-1)=TRUE),0,(E67-E66)*unitsOfDHp+I66)</f>
        <v>26680</v>
      </c>
      <c r="J67">
        <f>IF(AND(MyRowHidden(ROW())=FALSE,MyRowHidden(ROW()-1)=TRUE),0,(G67-G66)*unitsOfExo+J66)</f>
        <v>45000</v>
      </c>
      <c r="K67" s="9">
        <f t="shared" si="2"/>
        <v>55000</v>
      </c>
      <c r="L67">
        <f t="shared" si="3"/>
        <v>71680</v>
      </c>
    </row>
    <row r="68" spans="1:12" x14ac:dyDescent="0.25">
      <c r="A68" s="1"/>
      <c r="C68" s="1"/>
      <c r="D68" s="1">
        <v>40774</v>
      </c>
      <c r="E68">
        <v>-3116</v>
      </c>
      <c r="F68" s="1">
        <v>40774</v>
      </c>
      <c r="G68">
        <v>87.5</v>
      </c>
      <c r="H68" s="1">
        <f t="shared" si="1"/>
        <v>40774</v>
      </c>
      <c r="I68">
        <f>IF(AND(MyRowHidden(ROW())=FALSE,MyRowHidden(ROW()-1)=TRUE),0,(E68-E67)*unitsOfDHp+I67)</f>
        <v>18840</v>
      </c>
      <c r="J68">
        <f>IF(AND(MyRowHidden(ROW())=FALSE,MyRowHidden(ROW()-1)=TRUE),0,(G68-G67)*unitsOfExo+J67)</f>
        <v>50875</v>
      </c>
      <c r="K68" s="9">
        <f t="shared" si="2"/>
        <v>49125</v>
      </c>
      <c r="L68">
        <f t="shared" si="3"/>
        <v>69715</v>
      </c>
    </row>
    <row r="69" spans="1:12" x14ac:dyDescent="0.25">
      <c r="A69" s="1"/>
      <c r="C69" s="1"/>
      <c r="D69" s="1">
        <v>40777</v>
      </c>
      <c r="E69">
        <v>-3349</v>
      </c>
      <c r="F69" s="1">
        <v>40777</v>
      </c>
      <c r="G69">
        <v>350</v>
      </c>
      <c r="H69" s="1">
        <f t="shared" si="1"/>
        <v>40777</v>
      </c>
      <c r="I69">
        <f>IF(AND(MyRowHidden(ROW())=FALSE,MyRowHidden(ROW()-1)=TRUE),0,(E69-E68)*unitsOfDHp+I68)</f>
        <v>16510</v>
      </c>
      <c r="J69">
        <f>IF(AND(MyRowHidden(ROW())=FALSE,MyRowHidden(ROW()-1)=TRUE),0,(G69-G68)*unitsOfExo+J68)</f>
        <v>53500</v>
      </c>
      <c r="K69" s="9">
        <f t="shared" si="2"/>
        <v>46500</v>
      </c>
      <c r="L69">
        <f t="shared" si="3"/>
        <v>70010</v>
      </c>
    </row>
    <row r="70" spans="1:12" x14ac:dyDescent="0.25">
      <c r="A70" s="1"/>
      <c r="C70" s="1"/>
      <c r="D70" s="1">
        <v>40778</v>
      </c>
      <c r="E70">
        <v>-4152</v>
      </c>
      <c r="F70" s="1">
        <v>40778</v>
      </c>
      <c r="G70">
        <v>925</v>
      </c>
      <c r="H70" s="1">
        <f t="shared" si="1"/>
        <v>40778</v>
      </c>
      <c r="I70">
        <f>IF(AND(MyRowHidden(ROW())=FALSE,MyRowHidden(ROW()-1)=TRUE),0,(E70-E69)*unitsOfDHp+I69)</f>
        <v>8480</v>
      </c>
      <c r="J70">
        <f>IF(AND(MyRowHidden(ROW())=FALSE,MyRowHidden(ROW()-1)=TRUE),0,(G70-G69)*unitsOfExo+J69)</f>
        <v>59250</v>
      </c>
      <c r="K70" s="9">
        <f t="shared" si="2"/>
        <v>40750</v>
      </c>
      <c r="L70">
        <f t="shared" si="3"/>
        <v>67730</v>
      </c>
    </row>
    <row r="71" spans="1:12" x14ac:dyDescent="0.25">
      <c r="A71" s="1"/>
      <c r="C71" s="1"/>
      <c r="D71" s="1">
        <v>40779</v>
      </c>
      <c r="E71">
        <v>-4451</v>
      </c>
      <c r="F71" s="1">
        <v>40779</v>
      </c>
      <c r="G71">
        <v>1062.5</v>
      </c>
      <c r="H71" s="1">
        <f t="shared" si="1"/>
        <v>40779</v>
      </c>
      <c r="I71">
        <f>IF(AND(MyRowHidden(ROW())=FALSE,MyRowHidden(ROW()-1)=TRUE),0,(E71-E70)*unitsOfDHp+I70)</f>
        <v>5490</v>
      </c>
      <c r="J71">
        <f>IF(AND(MyRowHidden(ROW())=FALSE,MyRowHidden(ROW()-1)=TRUE),0,(G71-G70)*unitsOfExo+J70)</f>
        <v>60625</v>
      </c>
      <c r="K71" s="9">
        <f t="shared" si="2"/>
        <v>39375</v>
      </c>
      <c r="L71">
        <f t="shared" si="3"/>
        <v>66115</v>
      </c>
    </row>
    <row r="72" spans="1:12" x14ac:dyDescent="0.25">
      <c r="A72" s="1"/>
      <c r="C72" s="1"/>
      <c r="D72" s="1">
        <v>40780</v>
      </c>
      <c r="E72">
        <v>-4404</v>
      </c>
      <c r="F72" s="1">
        <v>40780</v>
      </c>
      <c r="G72">
        <v>1087.5</v>
      </c>
      <c r="H72" s="1">
        <f t="shared" si="1"/>
        <v>40780</v>
      </c>
      <c r="I72">
        <f>IF(AND(MyRowHidden(ROW())=FALSE,MyRowHidden(ROW()-1)=TRUE),0,(E72-E71)*unitsOfDHp+I71)</f>
        <v>5960</v>
      </c>
      <c r="J72">
        <f>IF(AND(MyRowHidden(ROW())=FALSE,MyRowHidden(ROW()-1)=TRUE),0,(G72-G71)*unitsOfExo+J71)</f>
        <v>60875</v>
      </c>
      <c r="K72" s="9">
        <f t="shared" si="2"/>
        <v>39125</v>
      </c>
      <c r="L72">
        <f t="shared" si="3"/>
        <v>66835</v>
      </c>
    </row>
    <row r="73" spans="1:12" x14ac:dyDescent="0.25">
      <c r="A73" s="1"/>
      <c r="C73" s="1"/>
      <c r="D73" s="1">
        <v>40781</v>
      </c>
      <c r="E73">
        <v>-5167</v>
      </c>
      <c r="F73" s="1">
        <v>40781</v>
      </c>
      <c r="G73">
        <v>2012.5</v>
      </c>
      <c r="H73" s="1">
        <f t="shared" si="1"/>
        <v>40781</v>
      </c>
      <c r="I73">
        <f>IF(AND(MyRowHidden(ROW())=FALSE,MyRowHidden(ROW()-1)=TRUE),0,(E73-E72)*unitsOfDHp+I72)</f>
        <v>-1670</v>
      </c>
      <c r="J73">
        <f>IF(AND(MyRowHidden(ROW())=FALSE,MyRowHidden(ROW()-1)=TRUE),0,(G73-G72)*unitsOfExo+J72)</f>
        <v>70125</v>
      </c>
      <c r="K73" s="9">
        <f t="shared" si="2"/>
        <v>29875</v>
      </c>
      <c r="L73">
        <f t="shared" si="3"/>
        <v>68455</v>
      </c>
    </row>
    <row r="74" spans="1:12" x14ac:dyDescent="0.25">
      <c r="A74" s="1"/>
      <c r="C74" s="1"/>
      <c r="D74" s="1">
        <v>40784</v>
      </c>
      <c r="E74">
        <v>-5283</v>
      </c>
      <c r="F74" s="1">
        <v>40784</v>
      </c>
      <c r="G74">
        <v>2412.5</v>
      </c>
      <c r="H74" s="1">
        <f t="shared" si="1"/>
        <v>40784</v>
      </c>
      <c r="I74">
        <f>IF(AND(MyRowHidden(ROW())=FALSE,MyRowHidden(ROW()-1)=TRUE),0,(E74-E73)*unitsOfDHp+I73)</f>
        <v>-2830</v>
      </c>
      <c r="J74">
        <f>IF(AND(MyRowHidden(ROW())=FALSE,MyRowHidden(ROW()-1)=TRUE),0,(G74-G73)*unitsOfExo+J73)</f>
        <v>74125</v>
      </c>
      <c r="K74" s="9">
        <f t="shared" si="2"/>
        <v>25875</v>
      </c>
      <c r="L74">
        <f t="shared" si="3"/>
        <v>71295</v>
      </c>
    </row>
    <row r="75" spans="1:12" x14ac:dyDescent="0.25">
      <c r="A75" s="1"/>
      <c r="C75" s="1"/>
      <c r="D75" s="1">
        <v>40785</v>
      </c>
      <c r="E75">
        <v>-5233</v>
      </c>
      <c r="F75" s="1">
        <v>40785</v>
      </c>
      <c r="G75">
        <v>2662.5</v>
      </c>
      <c r="H75" s="1">
        <f t="shared" si="1"/>
        <v>40785</v>
      </c>
      <c r="I75">
        <f>IF(AND(MyRowHidden(ROW())=FALSE,MyRowHidden(ROW()-1)=TRUE),0,(E75-E74)*unitsOfDHp+I74)</f>
        <v>-2330</v>
      </c>
      <c r="J75">
        <f>IF(AND(MyRowHidden(ROW())=FALSE,MyRowHidden(ROW()-1)=TRUE),0,(G75-G74)*unitsOfExo+J74)</f>
        <v>76625</v>
      </c>
      <c r="K75" s="9">
        <f t="shared" si="2"/>
        <v>23375</v>
      </c>
      <c r="L75">
        <f t="shared" si="3"/>
        <v>74295</v>
      </c>
    </row>
    <row r="76" spans="1:12" x14ac:dyDescent="0.25">
      <c r="A76" s="1"/>
      <c r="C76" s="1"/>
      <c r="D76" s="1">
        <v>40786</v>
      </c>
      <c r="E76">
        <v>-5300</v>
      </c>
      <c r="F76" s="1">
        <v>40786</v>
      </c>
      <c r="G76">
        <v>2525</v>
      </c>
      <c r="H76" s="1">
        <f t="shared" si="1"/>
        <v>40786</v>
      </c>
      <c r="I76">
        <f>IF(AND(MyRowHidden(ROW())=FALSE,MyRowHidden(ROW()-1)=TRUE),0,(E76-E75)*unitsOfDHp+I75)</f>
        <v>-3000</v>
      </c>
      <c r="J76">
        <f>IF(AND(MyRowHidden(ROW())=FALSE,MyRowHidden(ROW()-1)=TRUE),0,(G76-G75)*unitsOfExo+J75)</f>
        <v>75250</v>
      </c>
      <c r="K76" s="9">
        <f t="shared" si="2"/>
        <v>24750</v>
      </c>
      <c r="L76">
        <f t="shared" si="3"/>
        <v>72250</v>
      </c>
    </row>
    <row r="77" spans="1:12" x14ac:dyDescent="0.25">
      <c r="A77" s="1"/>
      <c r="C77" s="1"/>
      <c r="D77" s="1">
        <v>40787</v>
      </c>
      <c r="E77">
        <v>-5236</v>
      </c>
      <c r="F77" s="1">
        <v>40787</v>
      </c>
      <c r="G77">
        <v>1375</v>
      </c>
      <c r="H77" s="1">
        <f t="shared" ref="H77:H140" si="4">D77</f>
        <v>40787</v>
      </c>
      <c r="I77">
        <f>IF(AND(MyRowHidden(ROW())=FALSE,MyRowHidden(ROW()-1)=TRUE),0,(E77-E76)*unitsOfDHp+I76)</f>
        <v>-2360</v>
      </c>
      <c r="J77">
        <f>IF(AND(MyRowHidden(ROW())=FALSE,MyRowHidden(ROW()-1)=TRUE),0,(G77-G76)*unitsOfExo+J76)</f>
        <v>63750</v>
      </c>
      <c r="K77" s="9">
        <f t="shared" ref="K77:K140" si="5">-(J77-J76)+K76</f>
        <v>36250</v>
      </c>
      <c r="L77">
        <f t="shared" ref="L77:L140" si="6">I77+J77</f>
        <v>61390</v>
      </c>
    </row>
    <row r="78" spans="1:12" x14ac:dyDescent="0.25">
      <c r="A78" s="1"/>
      <c r="C78" s="1"/>
      <c r="D78" s="1">
        <v>40788</v>
      </c>
      <c r="E78">
        <v>-5254</v>
      </c>
      <c r="F78" s="1">
        <v>40788</v>
      </c>
      <c r="G78">
        <v>2025</v>
      </c>
      <c r="H78" s="1">
        <f t="shared" si="4"/>
        <v>40788</v>
      </c>
      <c r="I78">
        <f>IF(AND(MyRowHidden(ROW())=FALSE,MyRowHidden(ROW()-1)=TRUE),0,(E78-E77)*unitsOfDHp+I77)</f>
        <v>-2540</v>
      </c>
      <c r="J78">
        <f>IF(AND(MyRowHidden(ROW())=FALSE,MyRowHidden(ROW()-1)=TRUE),0,(G78-G77)*unitsOfExo+J77)</f>
        <v>70250</v>
      </c>
      <c r="K78" s="9">
        <f t="shared" si="5"/>
        <v>29750</v>
      </c>
      <c r="L78">
        <f t="shared" si="6"/>
        <v>67710</v>
      </c>
    </row>
    <row r="79" spans="1:12" x14ac:dyDescent="0.25">
      <c r="A79" s="1"/>
      <c r="C79" s="1"/>
      <c r="D79" s="1">
        <v>40792</v>
      </c>
      <c r="E79">
        <v>-5315</v>
      </c>
      <c r="F79" s="1">
        <v>40792</v>
      </c>
      <c r="G79">
        <v>1925</v>
      </c>
      <c r="H79" s="1">
        <f t="shared" si="4"/>
        <v>40792</v>
      </c>
      <c r="I79">
        <f>IF(AND(MyRowHidden(ROW())=FALSE,MyRowHidden(ROW()-1)=TRUE),0,(E79-E78)*unitsOfDHp+I78)</f>
        <v>-3150</v>
      </c>
      <c r="J79">
        <f>IF(AND(MyRowHidden(ROW())=FALSE,MyRowHidden(ROW()-1)=TRUE),0,(G79-G78)*unitsOfExo+J78)</f>
        <v>69250</v>
      </c>
      <c r="K79" s="9">
        <f t="shared" si="5"/>
        <v>30750</v>
      </c>
      <c r="L79">
        <f t="shared" si="6"/>
        <v>66100</v>
      </c>
    </row>
    <row r="80" spans="1:12" x14ac:dyDescent="0.25">
      <c r="A80" s="1"/>
      <c r="C80" s="1"/>
      <c r="D80" s="1">
        <v>40793</v>
      </c>
      <c r="E80">
        <v>-5150</v>
      </c>
      <c r="F80" s="1">
        <v>40793</v>
      </c>
      <c r="G80">
        <v>1300</v>
      </c>
      <c r="H80" s="1">
        <f t="shared" si="4"/>
        <v>40793</v>
      </c>
      <c r="I80">
        <f>IF(AND(MyRowHidden(ROW())=FALSE,MyRowHidden(ROW()-1)=TRUE),0,(E80-E79)*unitsOfDHp+I79)</f>
        <v>-1500</v>
      </c>
      <c r="J80">
        <f>IF(AND(MyRowHidden(ROW())=FALSE,MyRowHidden(ROW()-1)=TRUE),0,(G80-G79)*unitsOfExo+J79)</f>
        <v>63000</v>
      </c>
      <c r="K80" s="9">
        <f t="shared" si="5"/>
        <v>37000</v>
      </c>
      <c r="L80">
        <f t="shared" si="6"/>
        <v>61500</v>
      </c>
    </row>
    <row r="81" spans="1:12" x14ac:dyDescent="0.25">
      <c r="A81" s="1"/>
      <c r="C81" s="1"/>
      <c r="D81" s="1">
        <v>40794</v>
      </c>
      <c r="E81">
        <v>-5542</v>
      </c>
      <c r="F81" s="1">
        <v>40794</v>
      </c>
      <c r="G81">
        <v>650</v>
      </c>
      <c r="H81" s="1">
        <f t="shared" si="4"/>
        <v>40794</v>
      </c>
      <c r="I81">
        <f>IF(AND(MyRowHidden(ROW())=FALSE,MyRowHidden(ROW()-1)=TRUE),0,(E81-E80)*unitsOfDHp+I80)</f>
        <v>-5420</v>
      </c>
      <c r="J81">
        <f>IF(AND(MyRowHidden(ROW())=FALSE,MyRowHidden(ROW()-1)=TRUE),0,(G81-G80)*unitsOfExo+J80)</f>
        <v>56500</v>
      </c>
      <c r="K81" s="9">
        <f t="shared" si="5"/>
        <v>43500</v>
      </c>
      <c r="L81">
        <f t="shared" si="6"/>
        <v>51080</v>
      </c>
    </row>
    <row r="82" spans="1:12" x14ac:dyDescent="0.25">
      <c r="A82" s="1"/>
      <c r="C82" s="1"/>
      <c r="D82" s="1">
        <v>40795</v>
      </c>
      <c r="E82">
        <v>-5348</v>
      </c>
      <c r="F82" s="1">
        <v>40795</v>
      </c>
      <c r="G82">
        <v>950</v>
      </c>
      <c r="H82" s="1">
        <f t="shared" si="4"/>
        <v>40795</v>
      </c>
      <c r="I82">
        <f>IF(AND(MyRowHidden(ROW())=FALSE,MyRowHidden(ROW()-1)=TRUE),0,(E82-E81)*unitsOfDHp+I81)</f>
        <v>-3480</v>
      </c>
      <c r="J82">
        <f>IF(AND(MyRowHidden(ROW())=FALSE,MyRowHidden(ROW()-1)=TRUE),0,(G82-G81)*unitsOfExo+J81)</f>
        <v>59500</v>
      </c>
      <c r="K82" s="9">
        <f t="shared" si="5"/>
        <v>40500</v>
      </c>
      <c r="L82">
        <f t="shared" si="6"/>
        <v>56020</v>
      </c>
    </row>
    <row r="83" spans="1:12" x14ac:dyDescent="0.25">
      <c r="A83" s="1"/>
      <c r="C83" s="1"/>
      <c r="D83" s="1">
        <v>40798</v>
      </c>
      <c r="E83">
        <v>-5005</v>
      </c>
      <c r="F83" s="1">
        <v>40798</v>
      </c>
      <c r="G83">
        <v>1137.5</v>
      </c>
      <c r="H83" s="1">
        <f t="shared" si="4"/>
        <v>40798</v>
      </c>
      <c r="I83">
        <f>IF(AND(MyRowHidden(ROW())=FALSE,MyRowHidden(ROW()-1)=TRUE),0,(E83-E82)*unitsOfDHp+I82)</f>
        <v>-50</v>
      </c>
      <c r="J83">
        <f>IF(AND(MyRowHidden(ROW())=FALSE,MyRowHidden(ROW()-1)=TRUE),0,(G83-G82)*unitsOfExo+J82)</f>
        <v>61375</v>
      </c>
      <c r="K83" s="9">
        <f t="shared" si="5"/>
        <v>38625</v>
      </c>
      <c r="L83">
        <f t="shared" si="6"/>
        <v>61325</v>
      </c>
    </row>
    <row r="84" spans="1:12" x14ac:dyDescent="0.25">
      <c r="A84" s="1"/>
      <c r="C84" s="1"/>
      <c r="D84" s="1">
        <v>40799</v>
      </c>
      <c r="E84">
        <v>-4712</v>
      </c>
      <c r="F84" s="1">
        <v>40799</v>
      </c>
      <c r="G84">
        <v>187.5</v>
      </c>
      <c r="H84" s="1">
        <f t="shared" si="4"/>
        <v>40799</v>
      </c>
      <c r="I84">
        <f>IF(AND(MyRowHidden(ROW())=FALSE,MyRowHidden(ROW()-1)=TRUE),0,(E84-E83)*unitsOfDHp+I83)</f>
        <v>2880</v>
      </c>
      <c r="J84">
        <f>IF(AND(MyRowHidden(ROW())=FALSE,MyRowHidden(ROW()-1)=TRUE),0,(G84-G83)*unitsOfExo+J83)</f>
        <v>51875</v>
      </c>
      <c r="K84" s="9">
        <f t="shared" si="5"/>
        <v>48125</v>
      </c>
      <c r="L84">
        <f t="shared" si="6"/>
        <v>54755</v>
      </c>
    </row>
    <row r="85" spans="1:12" x14ac:dyDescent="0.25">
      <c r="A85" s="1"/>
      <c r="C85" s="1"/>
      <c r="D85" s="1">
        <v>40800</v>
      </c>
      <c r="E85">
        <v>-4563</v>
      </c>
      <c r="F85" s="1">
        <v>40800</v>
      </c>
      <c r="G85">
        <v>137.5</v>
      </c>
      <c r="H85" s="1">
        <f t="shared" si="4"/>
        <v>40800</v>
      </c>
      <c r="I85">
        <f>IF(AND(MyRowHidden(ROW())=FALSE,MyRowHidden(ROW()-1)=TRUE),0,(E85-E84)*unitsOfDHp+I84)</f>
        <v>4370</v>
      </c>
      <c r="J85">
        <f>IF(AND(MyRowHidden(ROW())=FALSE,MyRowHidden(ROW()-1)=TRUE),0,(G85-G84)*unitsOfExo+J84)</f>
        <v>51375</v>
      </c>
      <c r="K85" s="9">
        <f t="shared" si="5"/>
        <v>48625</v>
      </c>
      <c r="L85">
        <f t="shared" si="6"/>
        <v>55745</v>
      </c>
    </row>
    <row r="86" spans="1:12" x14ac:dyDescent="0.25">
      <c r="A86" s="1"/>
      <c r="C86" s="1"/>
      <c r="D86" s="1">
        <v>40801</v>
      </c>
      <c r="E86">
        <v>-2915</v>
      </c>
      <c r="F86" s="1">
        <v>40801</v>
      </c>
      <c r="G86">
        <v>-987.5</v>
      </c>
      <c r="H86" s="1">
        <f t="shared" si="4"/>
        <v>40801</v>
      </c>
      <c r="I86">
        <f>IF(AND(MyRowHidden(ROW())=FALSE,MyRowHidden(ROW()-1)=TRUE),0,(E86-E85)*unitsOfDHp+I85)</f>
        <v>20850</v>
      </c>
      <c r="J86">
        <f>IF(AND(MyRowHidden(ROW())=FALSE,MyRowHidden(ROW()-1)=TRUE),0,(G86-G85)*unitsOfExo+J85)</f>
        <v>40125</v>
      </c>
      <c r="K86" s="9">
        <f t="shared" si="5"/>
        <v>59875</v>
      </c>
      <c r="L86">
        <f t="shared" si="6"/>
        <v>60975</v>
      </c>
    </row>
    <row r="87" spans="1:12" x14ac:dyDescent="0.25">
      <c r="A87" s="1"/>
      <c r="C87" s="1"/>
      <c r="D87" s="1">
        <v>40802</v>
      </c>
      <c r="E87">
        <v>-2857</v>
      </c>
      <c r="F87" s="1">
        <v>40802</v>
      </c>
      <c r="G87">
        <v>-1487.5</v>
      </c>
      <c r="H87" s="1">
        <f t="shared" si="4"/>
        <v>40802</v>
      </c>
      <c r="I87">
        <f>IF(AND(MyRowHidden(ROW())=FALSE,MyRowHidden(ROW()-1)=TRUE),0,(E87-E86)*unitsOfDHp+I86)</f>
        <v>21430</v>
      </c>
      <c r="J87">
        <f>IF(AND(MyRowHidden(ROW())=FALSE,MyRowHidden(ROW()-1)=TRUE),0,(G87-G86)*unitsOfExo+J86)</f>
        <v>35125</v>
      </c>
      <c r="K87" s="9">
        <f t="shared" si="5"/>
        <v>64875</v>
      </c>
      <c r="L87">
        <f t="shared" si="6"/>
        <v>56555</v>
      </c>
    </row>
    <row r="88" spans="1:12" x14ac:dyDescent="0.25">
      <c r="A88" s="1"/>
      <c r="C88" s="1"/>
      <c r="D88" s="1">
        <v>40805</v>
      </c>
      <c r="E88">
        <v>-3109</v>
      </c>
      <c r="F88" s="1">
        <v>40805</v>
      </c>
      <c r="G88">
        <v>-1762.5</v>
      </c>
      <c r="H88" s="1">
        <f t="shared" si="4"/>
        <v>40805</v>
      </c>
      <c r="I88">
        <f>IF(AND(MyRowHidden(ROW())=FALSE,MyRowHidden(ROW()-1)=TRUE),0,(E88-E87)*unitsOfDHp+I87)</f>
        <v>18910</v>
      </c>
      <c r="J88">
        <f>IF(AND(MyRowHidden(ROW())=FALSE,MyRowHidden(ROW()-1)=TRUE),0,(G88-G87)*unitsOfExo+J87)</f>
        <v>32375</v>
      </c>
      <c r="K88" s="9">
        <f t="shared" si="5"/>
        <v>67625</v>
      </c>
      <c r="L88">
        <f t="shared" si="6"/>
        <v>51285</v>
      </c>
    </row>
    <row r="89" spans="1:12" x14ac:dyDescent="0.25">
      <c r="A89" s="1"/>
      <c r="C89" s="1"/>
      <c r="D89" s="1">
        <v>40806</v>
      </c>
      <c r="E89">
        <v>-3014</v>
      </c>
      <c r="F89" s="1">
        <v>40806</v>
      </c>
      <c r="G89">
        <v>-1600</v>
      </c>
      <c r="H89" s="1">
        <f t="shared" si="4"/>
        <v>40806</v>
      </c>
      <c r="I89">
        <f>IF(AND(MyRowHidden(ROW())=FALSE,MyRowHidden(ROW()-1)=TRUE),0,(E89-E88)*unitsOfDHp+I88)</f>
        <v>19860</v>
      </c>
      <c r="J89">
        <f>IF(AND(MyRowHidden(ROW())=FALSE,MyRowHidden(ROW()-1)=TRUE),0,(G89-G88)*unitsOfExo+J88)</f>
        <v>34000</v>
      </c>
      <c r="K89" s="9">
        <f t="shared" si="5"/>
        <v>66000</v>
      </c>
      <c r="L89">
        <f t="shared" si="6"/>
        <v>53860</v>
      </c>
    </row>
    <row r="90" spans="1:12" x14ac:dyDescent="0.25">
      <c r="A90" s="1"/>
      <c r="C90" s="1"/>
      <c r="D90" s="1">
        <v>40807</v>
      </c>
      <c r="E90">
        <v>-3024</v>
      </c>
      <c r="F90" s="1">
        <v>40807</v>
      </c>
      <c r="G90">
        <v>-1650</v>
      </c>
      <c r="H90" s="1">
        <f t="shared" si="4"/>
        <v>40807</v>
      </c>
      <c r="I90">
        <f>IF(AND(MyRowHidden(ROW())=FALSE,MyRowHidden(ROW()-1)=TRUE),0,(E90-E89)*unitsOfDHp+I89)</f>
        <v>19760</v>
      </c>
      <c r="J90">
        <f>IF(AND(MyRowHidden(ROW())=FALSE,MyRowHidden(ROW()-1)=TRUE),0,(G90-G89)*unitsOfExo+J89)</f>
        <v>33500</v>
      </c>
      <c r="K90" s="9">
        <f t="shared" si="5"/>
        <v>66500</v>
      </c>
      <c r="L90">
        <f t="shared" si="6"/>
        <v>53260</v>
      </c>
    </row>
    <row r="91" spans="1:12" x14ac:dyDescent="0.25">
      <c r="A91" s="1"/>
      <c r="C91" s="1"/>
      <c r="D91" s="1">
        <v>40808</v>
      </c>
      <c r="E91">
        <v>-167</v>
      </c>
      <c r="F91" s="1">
        <v>40808</v>
      </c>
      <c r="G91">
        <v>-3450</v>
      </c>
      <c r="H91" s="1">
        <f t="shared" si="4"/>
        <v>40808</v>
      </c>
      <c r="I91">
        <f>IF(AND(MyRowHidden(ROW())=FALSE,MyRowHidden(ROW()-1)=TRUE),0,(E91-E90)*unitsOfDHp+I90)</f>
        <v>48330</v>
      </c>
      <c r="J91">
        <f>IF(AND(MyRowHidden(ROW())=FALSE,MyRowHidden(ROW()-1)=TRUE),0,(G91-G90)*unitsOfExo+J90)</f>
        <v>15500</v>
      </c>
      <c r="K91" s="9">
        <f t="shared" si="5"/>
        <v>84500</v>
      </c>
      <c r="L91">
        <f t="shared" si="6"/>
        <v>63830</v>
      </c>
    </row>
    <row r="92" spans="1:12" x14ac:dyDescent="0.25">
      <c r="A92" s="1"/>
      <c r="C92" s="1"/>
      <c r="D92" s="1">
        <v>40809</v>
      </c>
      <c r="E92">
        <v>119</v>
      </c>
      <c r="F92" s="1">
        <v>40809</v>
      </c>
      <c r="G92">
        <v>-3912.5</v>
      </c>
      <c r="H92" s="1">
        <f t="shared" si="4"/>
        <v>40809</v>
      </c>
      <c r="I92">
        <f>IF(AND(MyRowHidden(ROW())=FALSE,MyRowHidden(ROW()-1)=TRUE),0,(E92-E91)*unitsOfDHp+I91)</f>
        <v>51190</v>
      </c>
      <c r="J92">
        <f>IF(AND(MyRowHidden(ROW())=FALSE,MyRowHidden(ROW()-1)=TRUE),0,(G92-G91)*unitsOfExo+J91)</f>
        <v>10875</v>
      </c>
      <c r="K92" s="9">
        <f t="shared" si="5"/>
        <v>89125</v>
      </c>
      <c r="L92">
        <f t="shared" si="6"/>
        <v>62065</v>
      </c>
    </row>
    <row r="93" spans="1:12" x14ac:dyDescent="0.25">
      <c r="A93" s="1"/>
      <c r="C93" s="1"/>
      <c r="D93" s="1">
        <v>40812</v>
      </c>
      <c r="E93">
        <v>-292</v>
      </c>
      <c r="F93" s="1">
        <v>40812</v>
      </c>
      <c r="G93">
        <v>-3650</v>
      </c>
      <c r="H93" s="1">
        <f t="shared" si="4"/>
        <v>40812</v>
      </c>
      <c r="I93">
        <f>IF(AND(MyRowHidden(ROW())=FALSE,MyRowHidden(ROW()-1)=TRUE),0,(E93-E92)*unitsOfDHp+I92)</f>
        <v>47080</v>
      </c>
      <c r="J93">
        <f>IF(AND(MyRowHidden(ROW())=FALSE,MyRowHidden(ROW()-1)=TRUE),0,(G93-G92)*unitsOfExo+J92)</f>
        <v>13500</v>
      </c>
      <c r="K93" s="9">
        <f t="shared" si="5"/>
        <v>86500</v>
      </c>
      <c r="L93">
        <f t="shared" si="6"/>
        <v>60580</v>
      </c>
    </row>
    <row r="94" spans="1:12" x14ac:dyDescent="0.25">
      <c r="A94" s="1"/>
      <c r="C94" s="1"/>
      <c r="D94" s="1">
        <v>40813</v>
      </c>
      <c r="E94">
        <v>-328</v>
      </c>
      <c r="F94" s="1">
        <v>40813</v>
      </c>
      <c r="G94">
        <v>-3650</v>
      </c>
      <c r="H94" s="1">
        <f t="shared" si="4"/>
        <v>40813</v>
      </c>
      <c r="I94">
        <f>IF(AND(MyRowHidden(ROW())=FALSE,MyRowHidden(ROW()-1)=TRUE),0,(E94-E93)*unitsOfDHp+I93)</f>
        <v>46720</v>
      </c>
      <c r="J94">
        <f>IF(AND(MyRowHidden(ROW())=FALSE,MyRowHidden(ROW()-1)=TRUE),0,(G94-G93)*unitsOfExo+J93)</f>
        <v>13500</v>
      </c>
      <c r="K94" s="9">
        <f t="shared" si="5"/>
        <v>86500</v>
      </c>
      <c r="L94">
        <f t="shared" si="6"/>
        <v>60220</v>
      </c>
    </row>
    <row r="95" spans="1:12" x14ac:dyDescent="0.25">
      <c r="A95" s="1"/>
      <c r="C95" s="1"/>
      <c r="D95" s="1">
        <v>40814</v>
      </c>
      <c r="E95">
        <v>716</v>
      </c>
      <c r="F95" s="1">
        <v>40814</v>
      </c>
      <c r="G95">
        <v>-4500</v>
      </c>
      <c r="H95" s="1">
        <f t="shared" si="4"/>
        <v>40814</v>
      </c>
      <c r="I95">
        <f>IF(AND(MyRowHidden(ROW())=FALSE,MyRowHidden(ROW()-1)=TRUE),0,(E95-E94)*unitsOfDHp+I94)</f>
        <v>57160</v>
      </c>
      <c r="J95">
        <f>IF(AND(MyRowHidden(ROW())=FALSE,MyRowHidden(ROW()-1)=TRUE),0,(G95-G94)*unitsOfExo+J94)</f>
        <v>5000</v>
      </c>
      <c r="K95" s="9">
        <f t="shared" si="5"/>
        <v>95000</v>
      </c>
      <c r="L95">
        <f t="shared" si="6"/>
        <v>62160</v>
      </c>
    </row>
    <row r="96" spans="1:12" x14ac:dyDescent="0.25">
      <c r="A96" s="1"/>
      <c r="C96" s="1"/>
      <c r="D96" s="1">
        <v>40815</v>
      </c>
      <c r="E96">
        <v>656</v>
      </c>
      <c r="F96" s="1">
        <v>40815</v>
      </c>
      <c r="G96">
        <v>-4437.5</v>
      </c>
      <c r="H96" s="1">
        <f t="shared" si="4"/>
        <v>40815</v>
      </c>
      <c r="I96">
        <f>IF(AND(MyRowHidden(ROW())=FALSE,MyRowHidden(ROW()-1)=TRUE),0,(E96-E95)*unitsOfDHp+I95)</f>
        <v>56560</v>
      </c>
      <c r="J96">
        <f>IF(AND(MyRowHidden(ROW())=FALSE,MyRowHidden(ROW()-1)=TRUE),0,(G96-G95)*unitsOfExo+J95)</f>
        <v>5625</v>
      </c>
      <c r="K96" s="9">
        <f t="shared" si="5"/>
        <v>94375</v>
      </c>
      <c r="L96">
        <f t="shared" si="6"/>
        <v>62185</v>
      </c>
    </row>
    <row r="97" spans="1:12" x14ac:dyDescent="0.25">
      <c r="A97" s="1"/>
      <c r="C97" s="1"/>
      <c r="D97" s="1">
        <v>40816</v>
      </c>
      <c r="E97">
        <v>1389</v>
      </c>
      <c r="F97" s="1">
        <v>40816</v>
      </c>
      <c r="G97">
        <v>-6500</v>
      </c>
      <c r="H97" s="1">
        <f t="shared" si="4"/>
        <v>40816</v>
      </c>
      <c r="I97">
        <f>IF(AND(MyRowHidden(ROW())=FALSE,MyRowHidden(ROW()-1)=TRUE),0,(E97-E96)*unitsOfDHp+I96)</f>
        <v>63890</v>
      </c>
      <c r="J97">
        <f>IF(AND(MyRowHidden(ROW())=FALSE,MyRowHidden(ROW()-1)=TRUE),0,(G97-G96)*unitsOfExo+J96)</f>
        <v>-15000</v>
      </c>
      <c r="K97" s="9">
        <f t="shared" si="5"/>
        <v>115000</v>
      </c>
      <c r="L97">
        <f t="shared" si="6"/>
        <v>48890</v>
      </c>
    </row>
    <row r="98" spans="1:12" x14ac:dyDescent="0.25">
      <c r="A98" s="1"/>
      <c r="C98" s="1"/>
      <c r="D98" s="1">
        <v>40819</v>
      </c>
      <c r="E98">
        <v>1523</v>
      </c>
      <c r="F98" s="1">
        <v>40819</v>
      </c>
      <c r="G98">
        <v>-6562.5</v>
      </c>
      <c r="H98" s="1">
        <f t="shared" si="4"/>
        <v>40819</v>
      </c>
      <c r="I98">
        <f>IF(AND(MyRowHidden(ROW())=FALSE,MyRowHidden(ROW()-1)=TRUE),0,(E98-E97)*unitsOfDHp+I97)</f>
        <v>65230</v>
      </c>
      <c r="J98">
        <f>IF(AND(MyRowHidden(ROW())=FALSE,MyRowHidden(ROW()-1)=TRUE),0,(G98-G97)*unitsOfExo+J97)</f>
        <v>-15625</v>
      </c>
      <c r="K98" s="9">
        <f t="shared" si="5"/>
        <v>115625</v>
      </c>
      <c r="L98">
        <f t="shared" si="6"/>
        <v>49605</v>
      </c>
    </row>
    <row r="99" spans="1:12" x14ac:dyDescent="0.25">
      <c r="A99" s="1"/>
      <c r="C99" s="1"/>
      <c r="D99" s="1">
        <v>40820</v>
      </c>
      <c r="E99">
        <v>1516</v>
      </c>
      <c r="F99" s="1">
        <v>40820</v>
      </c>
      <c r="G99">
        <v>-6625</v>
      </c>
      <c r="H99" s="1">
        <f t="shared" si="4"/>
        <v>40820</v>
      </c>
      <c r="I99">
        <f>IF(AND(MyRowHidden(ROW())=FALSE,MyRowHidden(ROW()-1)=TRUE),0,(E99-E98)*unitsOfDHp+I98)</f>
        <v>65160</v>
      </c>
      <c r="J99">
        <f>IF(AND(MyRowHidden(ROW())=FALSE,MyRowHidden(ROW()-1)=TRUE),0,(G99-G98)*unitsOfExo+J98)</f>
        <v>-16250</v>
      </c>
      <c r="K99" s="9">
        <f t="shared" si="5"/>
        <v>116250</v>
      </c>
      <c r="L99">
        <f t="shared" si="6"/>
        <v>48910</v>
      </c>
    </row>
    <row r="100" spans="1:12" x14ac:dyDescent="0.25">
      <c r="A100" s="1"/>
      <c r="C100" s="1"/>
      <c r="D100" s="1">
        <v>40821</v>
      </c>
      <c r="E100">
        <v>1323</v>
      </c>
      <c r="F100" s="1">
        <v>40821</v>
      </c>
      <c r="G100">
        <v>-5812.5</v>
      </c>
      <c r="H100" s="1">
        <f t="shared" si="4"/>
        <v>40821</v>
      </c>
      <c r="I100">
        <f>IF(AND(MyRowHidden(ROW())=FALSE,MyRowHidden(ROW()-1)=TRUE),0,(E100-E99)*unitsOfDHp+I99)</f>
        <v>63230</v>
      </c>
      <c r="J100">
        <f>IF(AND(MyRowHidden(ROW())=FALSE,MyRowHidden(ROW()-1)=TRUE),0,(G100-G99)*unitsOfExo+J99)</f>
        <v>-8125</v>
      </c>
      <c r="K100" s="9">
        <f t="shared" si="5"/>
        <v>108125</v>
      </c>
      <c r="L100">
        <f t="shared" si="6"/>
        <v>55105</v>
      </c>
    </row>
    <row r="101" spans="1:12" x14ac:dyDescent="0.25">
      <c r="A101" s="1"/>
      <c r="C101" s="1"/>
      <c r="D101" s="1">
        <v>40822</v>
      </c>
      <c r="E101">
        <v>1327</v>
      </c>
      <c r="F101" s="1">
        <v>40822</v>
      </c>
      <c r="G101">
        <v>-5762.5</v>
      </c>
      <c r="H101" s="1">
        <f t="shared" si="4"/>
        <v>40822</v>
      </c>
      <c r="I101">
        <f>IF(AND(MyRowHidden(ROW())=FALSE,MyRowHidden(ROW()-1)=TRUE),0,(E101-E100)*unitsOfDHp+I100)</f>
        <v>63270</v>
      </c>
      <c r="J101">
        <f>IF(AND(MyRowHidden(ROW())=FALSE,MyRowHidden(ROW()-1)=TRUE),0,(G101-G100)*unitsOfExo+J100)</f>
        <v>-7625</v>
      </c>
      <c r="K101" s="9">
        <f t="shared" si="5"/>
        <v>107625</v>
      </c>
      <c r="L101">
        <f t="shared" si="6"/>
        <v>55645</v>
      </c>
    </row>
    <row r="102" spans="1:12" x14ac:dyDescent="0.25">
      <c r="A102" s="1"/>
      <c r="C102" s="1"/>
      <c r="D102" s="1">
        <v>40823</v>
      </c>
      <c r="E102">
        <v>1506</v>
      </c>
      <c r="F102" s="1">
        <v>40823</v>
      </c>
      <c r="G102">
        <v>-6087.5</v>
      </c>
      <c r="H102" s="1">
        <f t="shared" si="4"/>
        <v>40823</v>
      </c>
      <c r="I102">
        <f>IF(AND(MyRowHidden(ROW())=FALSE,MyRowHidden(ROW()-1)=TRUE),0,(E102-E101)*unitsOfDHp+I101)</f>
        <v>65060</v>
      </c>
      <c r="J102">
        <f>IF(AND(MyRowHidden(ROW())=FALSE,MyRowHidden(ROW()-1)=TRUE),0,(G102-G101)*unitsOfExo+J101)</f>
        <v>-10875</v>
      </c>
      <c r="K102" s="9">
        <f t="shared" si="5"/>
        <v>110875</v>
      </c>
      <c r="L102">
        <f t="shared" si="6"/>
        <v>54185</v>
      </c>
    </row>
    <row r="103" spans="1:12" x14ac:dyDescent="0.25">
      <c r="A103" s="1"/>
      <c r="C103" s="1"/>
      <c r="D103" s="1">
        <v>40827</v>
      </c>
      <c r="E103">
        <v>481</v>
      </c>
      <c r="F103" s="1">
        <v>40827</v>
      </c>
      <c r="G103">
        <v>-3887.5</v>
      </c>
      <c r="H103" s="1">
        <f t="shared" si="4"/>
        <v>40827</v>
      </c>
      <c r="I103">
        <f>IF(AND(MyRowHidden(ROW())=FALSE,MyRowHidden(ROW()-1)=TRUE),0,(E103-E102)*unitsOfDHp+I102)</f>
        <v>54810</v>
      </c>
      <c r="J103">
        <f>IF(AND(MyRowHidden(ROW())=FALSE,MyRowHidden(ROW()-1)=TRUE),0,(G103-G102)*unitsOfExo+J102)</f>
        <v>11125</v>
      </c>
      <c r="K103" s="9">
        <f t="shared" si="5"/>
        <v>88875</v>
      </c>
      <c r="L103">
        <f t="shared" si="6"/>
        <v>65935</v>
      </c>
    </row>
    <row r="104" spans="1:12" x14ac:dyDescent="0.25">
      <c r="A104" s="1"/>
      <c r="C104" s="1"/>
      <c r="D104" s="1">
        <v>40828</v>
      </c>
      <c r="E104">
        <v>605</v>
      </c>
      <c r="F104" s="1">
        <v>40828</v>
      </c>
      <c r="G104">
        <v>-4275</v>
      </c>
      <c r="H104" s="1">
        <f t="shared" si="4"/>
        <v>40828</v>
      </c>
      <c r="I104">
        <f>IF(AND(MyRowHidden(ROW())=FALSE,MyRowHidden(ROW()-1)=TRUE),0,(E104-E103)*unitsOfDHp+I103)</f>
        <v>56050</v>
      </c>
      <c r="J104">
        <f>IF(AND(MyRowHidden(ROW())=FALSE,MyRowHidden(ROW()-1)=TRUE),0,(G104-G103)*unitsOfExo+J103)</f>
        <v>7250</v>
      </c>
      <c r="K104" s="9">
        <f t="shared" si="5"/>
        <v>92750</v>
      </c>
      <c r="L104">
        <f t="shared" si="6"/>
        <v>63300</v>
      </c>
    </row>
    <row r="105" spans="1:12" x14ac:dyDescent="0.25">
      <c r="A105" s="1"/>
      <c r="C105" s="1"/>
      <c r="D105" s="1">
        <v>40829</v>
      </c>
      <c r="E105">
        <v>1121</v>
      </c>
      <c r="F105" s="1">
        <v>40829</v>
      </c>
      <c r="G105">
        <v>-4237.5</v>
      </c>
      <c r="H105" s="1">
        <f t="shared" si="4"/>
        <v>40829</v>
      </c>
      <c r="I105">
        <f>IF(AND(MyRowHidden(ROW())=FALSE,MyRowHidden(ROW()-1)=TRUE),0,(E105-E104)*unitsOfDHp+I104)</f>
        <v>61210</v>
      </c>
      <c r="J105">
        <f>IF(AND(MyRowHidden(ROW())=FALSE,MyRowHidden(ROW()-1)=TRUE),0,(G105-G104)*unitsOfExo+J104)</f>
        <v>7625</v>
      </c>
      <c r="K105" s="9">
        <f t="shared" si="5"/>
        <v>92375</v>
      </c>
      <c r="L105">
        <f t="shared" si="6"/>
        <v>68835</v>
      </c>
    </row>
    <row r="106" spans="1:12" x14ac:dyDescent="0.25">
      <c r="A106" s="1"/>
      <c r="C106" s="1"/>
      <c r="D106" s="1">
        <v>40830</v>
      </c>
      <c r="E106">
        <v>1139</v>
      </c>
      <c r="F106" s="1">
        <v>40830</v>
      </c>
      <c r="G106">
        <v>-4087.5</v>
      </c>
      <c r="H106" s="1">
        <f t="shared" si="4"/>
        <v>40830</v>
      </c>
      <c r="I106">
        <f>IF(AND(MyRowHidden(ROW())=FALSE,MyRowHidden(ROW()-1)=TRUE),0,(E106-E105)*unitsOfDHp+I105)</f>
        <v>61390</v>
      </c>
      <c r="J106">
        <f>IF(AND(MyRowHidden(ROW())=FALSE,MyRowHidden(ROW()-1)=TRUE),0,(G106-G105)*unitsOfExo+J105)</f>
        <v>9125</v>
      </c>
      <c r="K106" s="9">
        <f t="shared" si="5"/>
        <v>90875</v>
      </c>
      <c r="L106">
        <f t="shared" si="6"/>
        <v>70515</v>
      </c>
    </row>
    <row r="107" spans="1:12" x14ac:dyDescent="0.25">
      <c r="A107" s="1"/>
      <c r="C107" s="1"/>
      <c r="D107" s="1">
        <v>40833</v>
      </c>
      <c r="E107">
        <v>1285</v>
      </c>
      <c r="F107" s="1">
        <v>40833</v>
      </c>
      <c r="G107">
        <v>-4075</v>
      </c>
      <c r="H107" s="1">
        <f t="shared" si="4"/>
        <v>40833</v>
      </c>
      <c r="I107">
        <f>IF(AND(MyRowHidden(ROW())=FALSE,MyRowHidden(ROW()-1)=TRUE),0,(E107-E106)*unitsOfDHp+I106)</f>
        <v>62850</v>
      </c>
      <c r="J107">
        <f>IF(AND(MyRowHidden(ROW())=FALSE,MyRowHidden(ROW()-1)=TRUE),0,(G107-G106)*unitsOfExo+J106)</f>
        <v>9250</v>
      </c>
      <c r="K107" s="9">
        <f t="shared" si="5"/>
        <v>90750</v>
      </c>
      <c r="L107">
        <f t="shared" si="6"/>
        <v>72100</v>
      </c>
    </row>
    <row r="108" spans="1:12" x14ac:dyDescent="0.25">
      <c r="A108" s="1"/>
      <c r="C108" s="1"/>
      <c r="D108" s="1">
        <v>40834</v>
      </c>
      <c r="E108">
        <v>1451</v>
      </c>
      <c r="F108" s="1">
        <v>40834</v>
      </c>
      <c r="G108">
        <v>-3937.5</v>
      </c>
      <c r="H108" s="1">
        <f t="shared" si="4"/>
        <v>40834</v>
      </c>
      <c r="I108">
        <f>IF(AND(MyRowHidden(ROW())=FALSE,MyRowHidden(ROW()-1)=TRUE),0,(E108-E107)*unitsOfDHp+I107)</f>
        <v>64510</v>
      </c>
      <c r="J108">
        <f>IF(AND(MyRowHidden(ROW())=FALSE,MyRowHidden(ROW()-1)=TRUE),0,(G108-G107)*unitsOfExo+J107)</f>
        <v>10625</v>
      </c>
      <c r="K108" s="9">
        <f t="shared" si="5"/>
        <v>89375</v>
      </c>
      <c r="L108">
        <f t="shared" si="6"/>
        <v>75135</v>
      </c>
    </row>
    <row r="109" spans="1:12" x14ac:dyDescent="0.25">
      <c r="A109" s="1"/>
      <c r="C109" s="1"/>
      <c r="D109" s="1">
        <v>40835</v>
      </c>
      <c r="E109">
        <v>1626</v>
      </c>
      <c r="F109" s="1">
        <v>40835</v>
      </c>
      <c r="G109">
        <v>-3875</v>
      </c>
      <c r="H109" s="1">
        <f t="shared" si="4"/>
        <v>40835</v>
      </c>
      <c r="I109">
        <f>IF(AND(MyRowHidden(ROW())=FALSE,MyRowHidden(ROW()-1)=TRUE),0,(E109-E108)*unitsOfDHp+I108)</f>
        <v>66260</v>
      </c>
      <c r="J109">
        <f>IF(AND(MyRowHidden(ROW())=FALSE,MyRowHidden(ROW()-1)=TRUE),0,(G109-G108)*unitsOfExo+J108)</f>
        <v>11250</v>
      </c>
      <c r="K109" s="9">
        <f t="shared" si="5"/>
        <v>88750</v>
      </c>
      <c r="L109">
        <f t="shared" si="6"/>
        <v>77510</v>
      </c>
    </row>
    <row r="110" spans="1:12" x14ac:dyDescent="0.25">
      <c r="A110" s="1"/>
      <c r="C110" s="1"/>
      <c r="D110" s="1">
        <v>40836</v>
      </c>
      <c r="E110">
        <v>1728</v>
      </c>
      <c r="F110" s="1">
        <v>40836</v>
      </c>
      <c r="G110">
        <v>-3737.5</v>
      </c>
      <c r="H110" s="1">
        <f t="shared" si="4"/>
        <v>40836</v>
      </c>
      <c r="I110">
        <f>IF(AND(MyRowHidden(ROW())=FALSE,MyRowHidden(ROW()-1)=TRUE),0,(E110-E109)*unitsOfDHp+I109)</f>
        <v>67280</v>
      </c>
      <c r="J110">
        <f>IF(AND(MyRowHidden(ROW())=FALSE,MyRowHidden(ROW()-1)=TRUE),0,(G110-G109)*unitsOfExo+J109)</f>
        <v>12625</v>
      </c>
      <c r="K110" s="9">
        <f t="shared" si="5"/>
        <v>87375</v>
      </c>
      <c r="L110">
        <f t="shared" si="6"/>
        <v>79905</v>
      </c>
    </row>
    <row r="111" spans="1:12" x14ac:dyDescent="0.25">
      <c r="A111" s="1"/>
      <c r="C111" s="1"/>
      <c r="D111" s="1">
        <v>40837</v>
      </c>
      <c r="E111">
        <v>1856</v>
      </c>
      <c r="F111" s="1">
        <v>40837</v>
      </c>
      <c r="G111">
        <v>-3500</v>
      </c>
      <c r="H111" s="1">
        <f t="shared" si="4"/>
        <v>40837</v>
      </c>
      <c r="I111">
        <f>IF(AND(MyRowHidden(ROW())=FALSE,MyRowHidden(ROW()-1)=TRUE),0,(E111-E110)*unitsOfDHp+I110)</f>
        <v>68560</v>
      </c>
      <c r="J111">
        <f>IF(AND(MyRowHidden(ROW())=FALSE,MyRowHidden(ROW()-1)=TRUE),0,(G111-G110)*unitsOfExo+J110)</f>
        <v>15000</v>
      </c>
      <c r="K111" s="9">
        <f t="shared" si="5"/>
        <v>85000</v>
      </c>
      <c r="L111">
        <f t="shared" si="6"/>
        <v>83560</v>
      </c>
    </row>
    <row r="112" spans="1:12" x14ac:dyDescent="0.25">
      <c r="A112" s="1"/>
      <c r="C112" s="1"/>
      <c r="D112" s="1">
        <v>40840</v>
      </c>
      <c r="E112">
        <v>1861</v>
      </c>
      <c r="F112" s="1">
        <v>40840</v>
      </c>
      <c r="G112">
        <v>-3412.5</v>
      </c>
      <c r="H112" s="1">
        <f t="shared" si="4"/>
        <v>40840</v>
      </c>
      <c r="I112">
        <f>IF(AND(MyRowHidden(ROW())=FALSE,MyRowHidden(ROW()-1)=TRUE),0,(E112-E111)*unitsOfDHp+I111)</f>
        <v>68610</v>
      </c>
      <c r="J112">
        <f>IF(AND(MyRowHidden(ROW())=FALSE,MyRowHidden(ROW()-1)=TRUE),0,(G112-G111)*unitsOfExo+J111)</f>
        <v>15875</v>
      </c>
      <c r="K112" s="9">
        <f t="shared" si="5"/>
        <v>84125</v>
      </c>
      <c r="L112">
        <f t="shared" si="6"/>
        <v>84485</v>
      </c>
    </row>
    <row r="113" spans="1:12" x14ac:dyDescent="0.25">
      <c r="A113" s="1"/>
      <c r="C113" s="1"/>
      <c r="D113" s="1">
        <v>40841</v>
      </c>
      <c r="E113">
        <v>1864</v>
      </c>
      <c r="F113" s="1">
        <v>40841</v>
      </c>
      <c r="G113">
        <v>-3537.5</v>
      </c>
      <c r="H113" s="1">
        <f t="shared" si="4"/>
        <v>40841</v>
      </c>
      <c r="I113">
        <f>IF(AND(MyRowHidden(ROW())=FALSE,MyRowHidden(ROW()-1)=TRUE),0,(E113-E112)*unitsOfDHp+I112)</f>
        <v>68640</v>
      </c>
      <c r="J113">
        <f>IF(AND(MyRowHidden(ROW())=FALSE,MyRowHidden(ROW()-1)=TRUE),0,(G113-G112)*unitsOfExo+J112)</f>
        <v>14625</v>
      </c>
      <c r="K113" s="9">
        <f t="shared" si="5"/>
        <v>85375</v>
      </c>
      <c r="L113">
        <f t="shared" si="6"/>
        <v>83265</v>
      </c>
    </row>
    <row r="114" spans="1:12" x14ac:dyDescent="0.25">
      <c r="A114" s="1"/>
      <c r="C114" s="1"/>
      <c r="D114" s="1">
        <v>40842</v>
      </c>
      <c r="E114">
        <v>1736</v>
      </c>
      <c r="F114" s="1">
        <v>40842</v>
      </c>
      <c r="G114">
        <v>-4300</v>
      </c>
      <c r="H114" s="1">
        <f t="shared" si="4"/>
        <v>40842</v>
      </c>
      <c r="I114">
        <f>IF(AND(MyRowHidden(ROW())=FALSE,MyRowHidden(ROW()-1)=TRUE),0,(E114-E113)*unitsOfDHp+I113)</f>
        <v>67360</v>
      </c>
      <c r="J114">
        <f>IF(AND(MyRowHidden(ROW())=FALSE,MyRowHidden(ROW()-1)=TRUE),0,(G114-G113)*unitsOfExo+J113)</f>
        <v>7000</v>
      </c>
      <c r="K114" s="9">
        <f t="shared" si="5"/>
        <v>93000</v>
      </c>
      <c r="L114">
        <f t="shared" si="6"/>
        <v>74360</v>
      </c>
    </row>
    <row r="115" spans="1:12" x14ac:dyDescent="0.25">
      <c r="A115" s="1"/>
      <c r="C115" s="1"/>
      <c r="D115" s="1">
        <v>40843</v>
      </c>
      <c r="E115">
        <v>2124</v>
      </c>
      <c r="F115" s="1">
        <v>40843</v>
      </c>
      <c r="G115">
        <v>-3537.5</v>
      </c>
      <c r="H115" s="1">
        <f t="shared" si="4"/>
        <v>40843</v>
      </c>
      <c r="I115">
        <f>IF(AND(MyRowHidden(ROW())=FALSE,MyRowHidden(ROW()-1)=TRUE),0,(E115-E114)*unitsOfDHp+I114)</f>
        <v>71240</v>
      </c>
      <c r="J115">
        <f>IF(AND(MyRowHidden(ROW())=FALSE,MyRowHidden(ROW()-1)=TRUE),0,(G115-G114)*unitsOfExo+J114)</f>
        <v>14625</v>
      </c>
      <c r="K115" s="9">
        <f t="shared" si="5"/>
        <v>85375</v>
      </c>
      <c r="L115">
        <f t="shared" si="6"/>
        <v>85865</v>
      </c>
    </row>
    <row r="116" spans="1:12" x14ac:dyDescent="0.25">
      <c r="A116" s="1"/>
      <c r="C116" s="1"/>
      <c r="D116" s="1">
        <v>40844</v>
      </c>
      <c r="E116">
        <v>2183</v>
      </c>
      <c r="F116" s="1">
        <v>40844</v>
      </c>
      <c r="G116">
        <v>-3562.5</v>
      </c>
      <c r="H116" s="1">
        <f t="shared" si="4"/>
        <v>40844</v>
      </c>
      <c r="I116">
        <f>IF(AND(MyRowHidden(ROW())=FALSE,MyRowHidden(ROW()-1)=TRUE),0,(E116-E115)*unitsOfDHp+I115)</f>
        <v>71830</v>
      </c>
      <c r="J116">
        <f>IF(AND(MyRowHidden(ROW())=FALSE,MyRowHidden(ROW()-1)=TRUE),0,(G116-G115)*unitsOfExo+J115)</f>
        <v>14375</v>
      </c>
      <c r="K116" s="9">
        <f t="shared" si="5"/>
        <v>85625</v>
      </c>
      <c r="L116">
        <f t="shared" si="6"/>
        <v>86205</v>
      </c>
    </row>
    <row r="117" spans="1:12" x14ac:dyDescent="0.25">
      <c r="A117" s="1"/>
      <c r="C117" s="1"/>
      <c r="D117" s="1">
        <v>40847</v>
      </c>
      <c r="E117">
        <v>2359</v>
      </c>
      <c r="F117" s="1">
        <v>40847</v>
      </c>
      <c r="G117">
        <v>-3987.5</v>
      </c>
      <c r="H117" s="1">
        <f t="shared" si="4"/>
        <v>40847</v>
      </c>
      <c r="I117">
        <f>IF(AND(MyRowHidden(ROW())=FALSE,MyRowHidden(ROW()-1)=TRUE),0,(E117-E116)*unitsOfDHp+I116)</f>
        <v>73590</v>
      </c>
      <c r="J117">
        <f>IF(AND(MyRowHidden(ROW())=FALSE,MyRowHidden(ROW()-1)=TRUE),0,(G117-G116)*unitsOfExo+J116)</f>
        <v>10125</v>
      </c>
      <c r="K117" s="9">
        <f t="shared" si="5"/>
        <v>89875</v>
      </c>
      <c r="L117">
        <f t="shared" si="6"/>
        <v>83715</v>
      </c>
    </row>
    <row r="118" spans="1:12" x14ac:dyDescent="0.25">
      <c r="A118" s="1"/>
      <c r="C118" s="1"/>
      <c r="D118" s="1">
        <v>40848</v>
      </c>
      <c r="E118">
        <v>2207</v>
      </c>
      <c r="F118" s="1">
        <v>40848</v>
      </c>
      <c r="G118">
        <v>-3800</v>
      </c>
      <c r="H118" s="1">
        <f t="shared" si="4"/>
        <v>40848</v>
      </c>
      <c r="I118">
        <f>IF(AND(MyRowHidden(ROW())=FALSE,MyRowHidden(ROW()-1)=TRUE),0,(E118-E117)*unitsOfDHp+I117)</f>
        <v>72070</v>
      </c>
      <c r="J118">
        <f>IF(AND(MyRowHidden(ROW())=FALSE,MyRowHidden(ROW()-1)=TRUE),0,(G118-G117)*unitsOfExo+J117)</f>
        <v>12000</v>
      </c>
      <c r="K118" s="9">
        <f t="shared" si="5"/>
        <v>88000</v>
      </c>
      <c r="L118">
        <f t="shared" si="6"/>
        <v>84070</v>
      </c>
    </row>
    <row r="119" spans="1:12" x14ac:dyDescent="0.25">
      <c r="A119" s="1"/>
      <c r="C119" s="1"/>
      <c r="D119" s="1">
        <v>40849</v>
      </c>
      <c r="E119">
        <v>2256</v>
      </c>
      <c r="F119" s="1">
        <v>40849</v>
      </c>
      <c r="G119">
        <v>-3975</v>
      </c>
      <c r="H119" s="1">
        <f t="shared" si="4"/>
        <v>40849</v>
      </c>
      <c r="I119">
        <f>IF(AND(MyRowHidden(ROW())=FALSE,MyRowHidden(ROW()-1)=TRUE),0,(E119-E118)*unitsOfDHp+I118)</f>
        <v>72560</v>
      </c>
      <c r="J119">
        <f>IF(AND(MyRowHidden(ROW())=FALSE,MyRowHidden(ROW()-1)=TRUE),0,(G119-G118)*unitsOfExo+J118)</f>
        <v>10250</v>
      </c>
      <c r="K119" s="9">
        <f t="shared" si="5"/>
        <v>89750</v>
      </c>
      <c r="L119">
        <f t="shared" si="6"/>
        <v>82810</v>
      </c>
    </row>
    <row r="120" spans="1:12" x14ac:dyDescent="0.25">
      <c r="A120" s="1"/>
      <c r="C120" s="1"/>
      <c r="D120" s="1">
        <v>40850</v>
      </c>
      <c r="E120">
        <v>1962</v>
      </c>
      <c r="F120" s="1">
        <v>40850</v>
      </c>
      <c r="G120">
        <v>-3500</v>
      </c>
      <c r="H120" s="1">
        <f t="shared" si="4"/>
        <v>40850</v>
      </c>
      <c r="I120">
        <f>IF(AND(MyRowHidden(ROW())=FALSE,MyRowHidden(ROW()-1)=TRUE),0,(E120-E119)*unitsOfDHp+I119)</f>
        <v>69620</v>
      </c>
      <c r="J120">
        <f>IF(AND(MyRowHidden(ROW())=FALSE,MyRowHidden(ROW()-1)=TRUE),0,(G120-G119)*unitsOfExo+J119)</f>
        <v>15000</v>
      </c>
      <c r="K120" s="9">
        <f t="shared" si="5"/>
        <v>85000</v>
      </c>
      <c r="L120">
        <f t="shared" si="6"/>
        <v>84620</v>
      </c>
    </row>
    <row r="121" spans="1:12" x14ac:dyDescent="0.25">
      <c r="A121" s="1"/>
      <c r="C121" s="1"/>
      <c r="D121" s="1">
        <v>40851</v>
      </c>
      <c r="E121">
        <v>1957</v>
      </c>
      <c r="F121" s="1">
        <v>40851</v>
      </c>
      <c r="G121">
        <v>-3362.5</v>
      </c>
      <c r="H121" s="1">
        <f t="shared" si="4"/>
        <v>40851</v>
      </c>
      <c r="I121">
        <f>IF(AND(MyRowHidden(ROW())=FALSE,MyRowHidden(ROW()-1)=TRUE),0,(E121-E120)*unitsOfDHp+I120)</f>
        <v>69570</v>
      </c>
      <c r="J121">
        <f>IF(AND(MyRowHidden(ROW())=FALSE,MyRowHidden(ROW()-1)=TRUE),0,(G121-G120)*unitsOfExo+J120)</f>
        <v>16375</v>
      </c>
      <c r="K121" s="9">
        <f t="shared" si="5"/>
        <v>83625</v>
      </c>
      <c r="L121">
        <f t="shared" si="6"/>
        <v>85945</v>
      </c>
    </row>
    <row r="122" spans="1:12" x14ac:dyDescent="0.25">
      <c r="A122" s="1"/>
      <c r="C122" s="1"/>
      <c r="D122" s="1">
        <v>40854</v>
      </c>
      <c r="E122">
        <v>1994</v>
      </c>
      <c r="F122" s="1">
        <v>40854</v>
      </c>
      <c r="G122">
        <v>-3487.5</v>
      </c>
      <c r="H122" s="1">
        <f t="shared" si="4"/>
        <v>40854</v>
      </c>
      <c r="I122">
        <f>IF(AND(MyRowHidden(ROW())=FALSE,MyRowHidden(ROW()-1)=TRUE),0,(E122-E121)*unitsOfDHp+I121)</f>
        <v>69940</v>
      </c>
      <c r="J122">
        <f>IF(AND(MyRowHidden(ROW())=FALSE,MyRowHidden(ROW()-1)=TRUE),0,(G122-G121)*unitsOfExo+J121)</f>
        <v>15125</v>
      </c>
      <c r="K122" s="9">
        <f t="shared" si="5"/>
        <v>84875</v>
      </c>
      <c r="L122">
        <f t="shared" si="6"/>
        <v>85065</v>
      </c>
    </row>
    <row r="123" spans="1:12" x14ac:dyDescent="0.25">
      <c r="A123" s="1"/>
      <c r="C123" s="1"/>
      <c r="D123" s="1">
        <v>40855</v>
      </c>
      <c r="E123">
        <v>1692</v>
      </c>
      <c r="F123" s="1">
        <v>40855</v>
      </c>
      <c r="G123">
        <v>-3075</v>
      </c>
      <c r="H123" s="1">
        <f t="shared" si="4"/>
        <v>40855</v>
      </c>
      <c r="I123">
        <f>IF(AND(MyRowHidden(ROW())=FALSE,MyRowHidden(ROW()-1)=TRUE),0,(E123-E122)*unitsOfDHp+I122)</f>
        <v>66920</v>
      </c>
      <c r="J123">
        <f>IF(AND(MyRowHidden(ROW())=FALSE,MyRowHidden(ROW()-1)=TRUE),0,(G123-G122)*unitsOfExo+J122)</f>
        <v>19250</v>
      </c>
      <c r="K123" s="9">
        <f t="shared" si="5"/>
        <v>80750</v>
      </c>
      <c r="L123">
        <f t="shared" si="6"/>
        <v>86170</v>
      </c>
    </row>
    <row r="124" spans="1:12" x14ac:dyDescent="0.25">
      <c r="A124" s="1"/>
      <c r="C124" s="1"/>
      <c r="D124" s="1">
        <v>40856</v>
      </c>
      <c r="E124">
        <v>1774</v>
      </c>
      <c r="F124" s="1">
        <v>40856</v>
      </c>
      <c r="G124">
        <v>-3337.5</v>
      </c>
      <c r="H124" s="1">
        <f t="shared" si="4"/>
        <v>40856</v>
      </c>
      <c r="I124">
        <f>IF(AND(MyRowHidden(ROW())=FALSE,MyRowHidden(ROW()-1)=TRUE),0,(E124-E123)*unitsOfDHp+I123)</f>
        <v>67740</v>
      </c>
      <c r="J124">
        <f>IF(AND(MyRowHidden(ROW())=FALSE,MyRowHidden(ROW()-1)=TRUE),0,(G124-G123)*unitsOfExo+J123)</f>
        <v>16625</v>
      </c>
      <c r="K124" s="9">
        <f t="shared" si="5"/>
        <v>83375</v>
      </c>
      <c r="L124">
        <f t="shared" si="6"/>
        <v>84365</v>
      </c>
    </row>
    <row r="125" spans="1:12" x14ac:dyDescent="0.25">
      <c r="A125" s="1"/>
      <c r="C125" s="1"/>
      <c r="D125" s="1">
        <v>40857</v>
      </c>
      <c r="E125">
        <v>2224</v>
      </c>
      <c r="F125" s="1">
        <v>40857</v>
      </c>
      <c r="G125">
        <v>-3762.5</v>
      </c>
      <c r="H125" s="1">
        <f t="shared" si="4"/>
        <v>40857</v>
      </c>
      <c r="I125">
        <f>IF(AND(MyRowHidden(ROW())=FALSE,MyRowHidden(ROW()-1)=TRUE),0,(E125-E124)*unitsOfDHp+I124)</f>
        <v>72240</v>
      </c>
      <c r="J125">
        <f>IF(AND(MyRowHidden(ROW())=FALSE,MyRowHidden(ROW()-1)=TRUE),0,(G125-G124)*unitsOfExo+J124)</f>
        <v>12375</v>
      </c>
      <c r="K125" s="9">
        <f t="shared" si="5"/>
        <v>87625</v>
      </c>
      <c r="L125">
        <f t="shared" si="6"/>
        <v>84615</v>
      </c>
    </row>
    <row r="126" spans="1:12" x14ac:dyDescent="0.25">
      <c r="A126" s="1"/>
      <c r="C126" s="1"/>
      <c r="D126" s="1">
        <v>40861</v>
      </c>
      <c r="E126">
        <v>3004</v>
      </c>
      <c r="F126" s="1">
        <v>40861</v>
      </c>
      <c r="G126">
        <v>-4437.5</v>
      </c>
      <c r="H126" s="1">
        <f t="shared" si="4"/>
        <v>40861</v>
      </c>
      <c r="I126">
        <f>IF(AND(MyRowHidden(ROW())=FALSE,MyRowHidden(ROW()-1)=TRUE),0,(E126-E125)*unitsOfDHp+I125)</f>
        <v>80040</v>
      </c>
      <c r="J126">
        <f>IF(AND(MyRowHidden(ROW())=FALSE,MyRowHidden(ROW()-1)=TRUE),0,(G126-G125)*unitsOfExo+J125)</f>
        <v>5625</v>
      </c>
      <c r="K126" s="9">
        <f t="shared" si="5"/>
        <v>94375</v>
      </c>
      <c r="L126">
        <f t="shared" si="6"/>
        <v>85665</v>
      </c>
    </row>
    <row r="127" spans="1:12" x14ac:dyDescent="0.25">
      <c r="A127" s="1"/>
      <c r="C127" s="1"/>
      <c r="D127" s="1">
        <v>40862</v>
      </c>
      <c r="E127">
        <v>2936</v>
      </c>
      <c r="F127" s="1">
        <v>40862</v>
      </c>
      <c r="G127">
        <v>-4037.5</v>
      </c>
      <c r="H127" s="1">
        <f t="shared" si="4"/>
        <v>40862</v>
      </c>
      <c r="I127">
        <f>IF(AND(MyRowHidden(ROW())=FALSE,MyRowHidden(ROW()-1)=TRUE),0,(E127-E126)*unitsOfDHp+I126)</f>
        <v>79360</v>
      </c>
      <c r="J127">
        <f>IF(AND(MyRowHidden(ROW())=FALSE,MyRowHidden(ROW()-1)=TRUE),0,(G127-G126)*unitsOfExo+J126)</f>
        <v>9625</v>
      </c>
      <c r="K127" s="9">
        <f t="shared" si="5"/>
        <v>90375</v>
      </c>
      <c r="L127">
        <f t="shared" si="6"/>
        <v>88985</v>
      </c>
    </row>
    <row r="128" spans="1:12" x14ac:dyDescent="0.25">
      <c r="A128" s="1"/>
      <c r="C128" s="1"/>
      <c r="D128" s="1">
        <v>40863</v>
      </c>
      <c r="E128">
        <v>3071</v>
      </c>
      <c r="F128" s="1">
        <v>40863</v>
      </c>
      <c r="G128">
        <v>-4137.5</v>
      </c>
      <c r="H128" s="1">
        <f t="shared" si="4"/>
        <v>40863</v>
      </c>
      <c r="I128">
        <f>IF(AND(MyRowHidden(ROW())=FALSE,MyRowHidden(ROW()-1)=TRUE),0,(E128-E127)*unitsOfDHp+I127)</f>
        <v>80710</v>
      </c>
      <c r="J128">
        <f>IF(AND(MyRowHidden(ROW())=FALSE,MyRowHidden(ROW()-1)=TRUE),0,(G128-G127)*unitsOfExo+J127)</f>
        <v>8625</v>
      </c>
      <c r="K128" s="9">
        <f t="shared" si="5"/>
        <v>91375</v>
      </c>
      <c r="L128">
        <f t="shared" si="6"/>
        <v>89335</v>
      </c>
    </row>
    <row r="129" spans="1:12" x14ac:dyDescent="0.25">
      <c r="A129" s="1"/>
      <c r="C129" s="1"/>
      <c r="D129" s="1">
        <v>40864</v>
      </c>
      <c r="E129">
        <v>3021</v>
      </c>
      <c r="F129" s="1">
        <v>40864</v>
      </c>
      <c r="G129">
        <v>-5537.5</v>
      </c>
      <c r="H129" s="1">
        <f t="shared" si="4"/>
        <v>40864</v>
      </c>
      <c r="I129">
        <f>IF(AND(MyRowHidden(ROW())=FALSE,MyRowHidden(ROW()-1)=TRUE),0,(E129-E128)*unitsOfDHp+I128)</f>
        <v>80210</v>
      </c>
      <c r="J129">
        <f>IF(AND(MyRowHidden(ROW())=FALSE,MyRowHidden(ROW()-1)=TRUE),0,(G129-G128)*unitsOfExo+J128)</f>
        <v>-5375</v>
      </c>
      <c r="K129" s="9">
        <f t="shared" si="5"/>
        <v>105375</v>
      </c>
      <c r="L129">
        <f t="shared" si="6"/>
        <v>74835</v>
      </c>
    </row>
    <row r="130" spans="1:12" x14ac:dyDescent="0.25">
      <c r="A130" s="1"/>
      <c r="C130" s="1"/>
      <c r="D130" s="1">
        <v>40865</v>
      </c>
      <c r="E130">
        <v>2959</v>
      </c>
      <c r="F130" s="1">
        <v>40865</v>
      </c>
      <c r="G130">
        <v>-5787.5</v>
      </c>
      <c r="H130" s="1">
        <f t="shared" si="4"/>
        <v>40865</v>
      </c>
      <c r="I130">
        <f>IF(AND(MyRowHidden(ROW())=FALSE,MyRowHidden(ROW()-1)=TRUE),0,(E130-E129)*unitsOfDHp+I129)</f>
        <v>79590</v>
      </c>
      <c r="J130">
        <f>IF(AND(MyRowHidden(ROW())=FALSE,MyRowHidden(ROW()-1)=TRUE),0,(G130-G129)*unitsOfExo+J129)</f>
        <v>-7875</v>
      </c>
      <c r="K130" s="9">
        <f t="shared" si="5"/>
        <v>107875</v>
      </c>
      <c r="L130">
        <f t="shared" si="6"/>
        <v>71715</v>
      </c>
    </row>
    <row r="131" spans="1:12" x14ac:dyDescent="0.25">
      <c r="A131" s="1"/>
      <c r="C131" s="1"/>
      <c r="D131" s="1">
        <v>40868</v>
      </c>
      <c r="E131">
        <v>3025</v>
      </c>
      <c r="F131" s="1">
        <v>40868</v>
      </c>
      <c r="G131">
        <v>-6237.5</v>
      </c>
      <c r="H131" s="1">
        <f t="shared" si="4"/>
        <v>40868</v>
      </c>
      <c r="I131">
        <f>IF(AND(MyRowHidden(ROW())=FALSE,MyRowHidden(ROW()-1)=TRUE),0,(E131-E130)*unitsOfDHp+I130)</f>
        <v>80250</v>
      </c>
      <c r="J131">
        <f>IF(AND(MyRowHidden(ROW())=FALSE,MyRowHidden(ROW()-1)=TRUE),0,(G131-G130)*unitsOfExo+J130)</f>
        <v>-12375</v>
      </c>
      <c r="K131" s="9">
        <f t="shared" si="5"/>
        <v>112375</v>
      </c>
      <c r="L131">
        <f t="shared" si="6"/>
        <v>67875</v>
      </c>
    </row>
    <row r="132" spans="1:12" x14ac:dyDescent="0.25">
      <c r="A132" s="1"/>
      <c r="C132" s="1"/>
      <c r="D132" s="1">
        <v>40869</v>
      </c>
      <c r="E132">
        <v>3087</v>
      </c>
      <c r="F132" s="1">
        <v>40869</v>
      </c>
      <c r="G132">
        <v>-6250</v>
      </c>
      <c r="H132" s="1">
        <f t="shared" si="4"/>
        <v>40869</v>
      </c>
      <c r="I132">
        <f>IF(AND(MyRowHidden(ROW())=FALSE,MyRowHidden(ROW()-1)=TRUE),0,(E132-E131)*unitsOfDHp+I131)</f>
        <v>80870</v>
      </c>
      <c r="J132">
        <f>IF(AND(MyRowHidden(ROW())=FALSE,MyRowHidden(ROW()-1)=TRUE),0,(G132-G131)*unitsOfExo+J131)</f>
        <v>-12500</v>
      </c>
      <c r="K132" s="9">
        <f t="shared" si="5"/>
        <v>112500</v>
      </c>
      <c r="L132">
        <f t="shared" si="6"/>
        <v>68370</v>
      </c>
    </row>
    <row r="133" spans="1:12" x14ac:dyDescent="0.25">
      <c r="A133" s="1"/>
      <c r="C133" s="1"/>
      <c r="D133" s="1">
        <v>40870</v>
      </c>
      <c r="E133">
        <v>3264</v>
      </c>
      <c r="F133" s="1">
        <v>40870</v>
      </c>
      <c r="G133">
        <v>-6625</v>
      </c>
      <c r="H133" s="1">
        <f t="shared" si="4"/>
        <v>40870</v>
      </c>
      <c r="I133">
        <f>IF(AND(MyRowHidden(ROW())=FALSE,MyRowHidden(ROW()-1)=TRUE),0,(E133-E132)*unitsOfDHp+I132)</f>
        <v>82640</v>
      </c>
      <c r="J133">
        <f>IF(AND(MyRowHidden(ROW())=FALSE,MyRowHidden(ROW()-1)=TRUE),0,(G133-G132)*unitsOfExo+J132)</f>
        <v>-16250</v>
      </c>
      <c r="K133" s="9">
        <f t="shared" si="5"/>
        <v>116250</v>
      </c>
      <c r="L133">
        <f t="shared" si="6"/>
        <v>66390</v>
      </c>
    </row>
    <row r="134" spans="1:12" x14ac:dyDescent="0.25">
      <c r="A134" s="1"/>
      <c r="C134" s="1"/>
      <c r="D134" s="1">
        <v>40872</v>
      </c>
      <c r="E134">
        <v>4169</v>
      </c>
      <c r="F134" s="1">
        <v>40872</v>
      </c>
      <c r="G134">
        <v>-7012.5</v>
      </c>
      <c r="H134" s="1">
        <f t="shared" si="4"/>
        <v>40872</v>
      </c>
      <c r="I134">
        <f>IF(AND(MyRowHidden(ROW())=FALSE,MyRowHidden(ROW()-1)=TRUE),0,(E134-E133)*unitsOfDHp+I133)</f>
        <v>91690</v>
      </c>
      <c r="J134">
        <f>IF(AND(MyRowHidden(ROW())=FALSE,MyRowHidden(ROW()-1)=TRUE),0,(G134-G133)*unitsOfExo+J133)</f>
        <v>-20125</v>
      </c>
      <c r="K134" s="9">
        <f t="shared" si="5"/>
        <v>120125</v>
      </c>
      <c r="L134">
        <f t="shared" si="6"/>
        <v>71565</v>
      </c>
    </row>
    <row r="135" spans="1:12" x14ac:dyDescent="0.25">
      <c r="A135" s="1"/>
      <c r="C135" s="1"/>
      <c r="D135" s="1">
        <v>40875</v>
      </c>
      <c r="E135">
        <v>3360</v>
      </c>
      <c r="F135" s="1">
        <v>40875</v>
      </c>
      <c r="G135">
        <v>-6550</v>
      </c>
      <c r="H135" s="1">
        <f t="shared" si="4"/>
        <v>40875</v>
      </c>
      <c r="I135">
        <f>IF(AND(MyRowHidden(ROW())=FALSE,MyRowHidden(ROW()-1)=TRUE),0,(E135-E134)*unitsOfDHp+I134)</f>
        <v>83600</v>
      </c>
      <c r="J135">
        <f>IF(AND(MyRowHidden(ROW())=FALSE,MyRowHidden(ROW()-1)=TRUE),0,(G135-G134)*unitsOfExo+J134)</f>
        <v>-15500</v>
      </c>
      <c r="K135" s="9">
        <f t="shared" si="5"/>
        <v>115500</v>
      </c>
      <c r="L135">
        <f t="shared" si="6"/>
        <v>68100</v>
      </c>
    </row>
    <row r="136" spans="1:12" x14ac:dyDescent="0.25">
      <c r="A136" s="1"/>
      <c r="C136" s="1"/>
      <c r="D136" s="1">
        <v>40876</v>
      </c>
      <c r="E136">
        <v>2825</v>
      </c>
      <c r="F136" s="1">
        <v>40876</v>
      </c>
      <c r="G136">
        <v>-6175</v>
      </c>
      <c r="H136" s="1">
        <f t="shared" si="4"/>
        <v>40876</v>
      </c>
      <c r="I136">
        <f>IF(AND(MyRowHidden(ROW())=FALSE,MyRowHidden(ROW()-1)=TRUE),0,(E136-E135)*unitsOfDHp+I135)</f>
        <v>78250</v>
      </c>
      <c r="J136">
        <f>IF(AND(MyRowHidden(ROW())=FALSE,MyRowHidden(ROW()-1)=TRUE),0,(G136-G135)*unitsOfExo+J135)</f>
        <v>-11750</v>
      </c>
      <c r="K136" s="9">
        <f t="shared" si="5"/>
        <v>111750</v>
      </c>
      <c r="L136">
        <f t="shared" si="6"/>
        <v>66500</v>
      </c>
    </row>
    <row r="137" spans="1:12" x14ac:dyDescent="0.25">
      <c r="A137" s="1"/>
      <c r="C137" s="1"/>
      <c r="D137" s="1">
        <v>40877</v>
      </c>
      <c r="E137">
        <v>2689</v>
      </c>
      <c r="F137" s="1">
        <v>40877</v>
      </c>
      <c r="G137">
        <v>-5975</v>
      </c>
      <c r="H137" s="1">
        <f t="shared" si="4"/>
        <v>40877</v>
      </c>
      <c r="I137">
        <f>IF(AND(MyRowHidden(ROW())=FALSE,MyRowHidden(ROW()-1)=TRUE),0,(E137-E136)*unitsOfDHp+I136)</f>
        <v>76890</v>
      </c>
      <c r="J137">
        <f>IF(AND(MyRowHidden(ROW())=FALSE,MyRowHidden(ROW()-1)=TRUE),0,(G137-G136)*unitsOfExo+J136)</f>
        <v>-9750</v>
      </c>
      <c r="K137" s="9">
        <f t="shared" si="5"/>
        <v>109750</v>
      </c>
      <c r="L137">
        <f t="shared" si="6"/>
        <v>67140</v>
      </c>
    </row>
    <row r="138" spans="1:12" x14ac:dyDescent="0.25">
      <c r="A138" s="1"/>
      <c r="C138" s="1"/>
      <c r="D138" s="1">
        <v>40878</v>
      </c>
      <c r="E138">
        <v>3264</v>
      </c>
      <c r="F138" s="1">
        <v>40878</v>
      </c>
      <c r="G138">
        <v>-6400</v>
      </c>
      <c r="H138" s="1">
        <f t="shared" si="4"/>
        <v>40878</v>
      </c>
      <c r="I138">
        <f>IF(AND(MyRowHidden(ROW())=FALSE,MyRowHidden(ROW()-1)=TRUE),0,(E138-E137)*unitsOfDHp+I137)</f>
        <v>82640</v>
      </c>
      <c r="J138">
        <f>IF(AND(MyRowHidden(ROW())=FALSE,MyRowHidden(ROW()-1)=TRUE),0,(G138-G137)*unitsOfExo+J137)</f>
        <v>-14000</v>
      </c>
      <c r="K138" s="9">
        <f t="shared" si="5"/>
        <v>114000</v>
      </c>
      <c r="L138">
        <f t="shared" si="6"/>
        <v>68640</v>
      </c>
    </row>
    <row r="139" spans="1:12" x14ac:dyDescent="0.25">
      <c r="A139" s="1"/>
      <c r="C139" s="1"/>
      <c r="D139" s="1">
        <v>40879</v>
      </c>
      <c r="E139">
        <v>4122</v>
      </c>
      <c r="F139" s="1">
        <v>40879</v>
      </c>
      <c r="G139">
        <v>-6850</v>
      </c>
      <c r="H139" s="1">
        <f t="shared" si="4"/>
        <v>40879</v>
      </c>
      <c r="I139">
        <f>IF(AND(MyRowHidden(ROW())=FALSE,MyRowHidden(ROW()-1)=TRUE),0,(E139-E138)*unitsOfDHp+I138)</f>
        <v>91220</v>
      </c>
      <c r="J139">
        <f>IF(AND(MyRowHidden(ROW())=FALSE,MyRowHidden(ROW()-1)=TRUE),0,(G139-G138)*unitsOfExo+J138)</f>
        <v>-18500</v>
      </c>
      <c r="K139" s="9">
        <f t="shared" si="5"/>
        <v>118500</v>
      </c>
      <c r="L139">
        <f t="shared" si="6"/>
        <v>72720</v>
      </c>
    </row>
    <row r="140" spans="1:12" x14ac:dyDescent="0.25">
      <c r="A140" s="1"/>
      <c r="C140" s="1"/>
      <c r="D140" s="1">
        <v>40882</v>
      </c>
      <c r="E140">
        <v>4430</v>
      </c>
      <c r="F140" s="1">
        <v>40882</v>
      </c>
      <c r="G140">
        <v>-7050</v>
      </c>
      <c r="H140" s="1">
        <f t="shared" si="4"/>
        <v>40882</v>
      </c>
      <c r="I140">
        <f>IF(AND(MyRowHidden(ROW())=FALSE,MyRowHidden(ROW()-1)=TRUE),0,(E140-E139)*unitsOfDHp+I139)</f>
        <v>94300</v>
      </c>
      <c r="J140">
        <f>IF(AND(MyRowHidden(ROW())=FALSE,MyRowHidden(ROW()-1)=TRUE),0,(G140-G139)*unitsOfExo+J139)</f>
        <v>-20500</v>
      </c>
      <c r="K140" s="9">
        <f t="shared" si="5"/>
        <v>120500</v>
      </c>
      <c r="L140">
        <f t="shared" si="6"/>
        <v>73800</v>
      </c>
    </row>
    <row r="141" spans="1:12" x14ac:dyDescent="0.25">
      <c r="A141" s="1"/>
      <c r="C141" s="1"/>
      <c r="D141" s="1">
        <v>40883</v>
      </c>
      <c r="E141">
        <v>4093</v>
      </c>
      <c r="F141" s="1">
        <v>40883</v>
      </c>
      <c r="G141">
        <v>-6875</v>
      </c>
      <c r="H141" s="1">
        <f t="shared" ref="H141:H204" si="7">D141</f>
        <v>40883</v>
      </c>
      <c r="I141">
        <f>IF(AND(MyRowHidden(ROW())=FALSE,MyRowHidden(ROW()-1)=TRUE),0,(E141-E140)*unitsOfDHp+I140)</f>
        <v>90930</v>
      </c>
      <c r="J141">
        <f>IF(AND(MyRowHidden(ROW())=FALSE,MyRowHidden(ROW()-1)=TRUE),0,(G141-G140)*unitsOfExo+J140)</f>
        <v>-18750</v>
      </c>
      <c r="K141" s="9">
        <f t="shared" ref="K141:K204" si="8">-(J141-J140)+K140</f>
        <v>118750</v>
      </c>
      <c r="L141">
        <f t="shared" ref="L141:L204" si="9">I141+J141</f>
        <v>72180</v>
      </c>
    </row>
    <row r="142" spans="1:12" x14ac:dyDescent="0.25">
      <c r="A142" s="1"/>
      <c r="C142" s="1"/>
      <c r="D142" s="1">
        <v>40884</v>
      </c>
      <c r="E142">
        <v>4354</v>
      </c>
      <c r="F142" s="1">
        <v>40884</v>
      </c>
      <c r="G142">
        <v>-7200</v>
      </c>
      <c r="H142" s="1">
        <f t="shared" si="7"/>
        <v>40884</v>
      </c>
      <c r="I142">
        <f>IF(AND(MyRowHidden(ROW())=FALSE,MyRowHidden(ROW()-1)=TRUE),0,(E142-E141)*unitsOfDHp+I141)</f>
        <v>93540</v>
      </c>
      <c r="J142">
        <f>IF(AND(MyRowHidden(ROW())=FALSE,MyRowHidden(ROW()-1)=TRUE),0,(G142-G141)*unitsOfExo+J141)</f>
        <v>-22000</v>
      </c>
      <c r="K142" s="9">
        <f t="shared" si="8"/>
        <v>122000</v>
      </c>
      <c r="L142">
        <f t="shared" si="9"/>
        <v>71540</v>
      </c>
    </row>
    <row r="143" spans="1:12" x14ac:dyDescent="0.25">
      <c r="A143" s="1"/>
      <c r="C143" s="1"/>
      <c r="D143" s="1">
        <v>40885</v>
      </c>
      <c r="E143">
        <v>4096</v>
      </c>
      <c r="F143" s="1">
        <v>40885</v>
      </c>
      <c r="G143">
        <v>-6575</v>
      </c>
      <c r="H143" s="1">
        <f t="shared" si="7"/>
        <v>40885</v>
      </c>
      <c r="I143">
        <f>IF(AND(MyRowHidden(ROW())=FALSE,MyRowHidden(ROW()-1)=TRUE),0,(E143-E142)*unitsOfDHp+I142)</f>
        <v>90960</v>
      </c>
      <c r="J143">
        <f>IF(AND(MyRowHidden(ROW())=FALSE,MyRowHidden(ROW()-1)=TRUE),0,(G143-G142)*unitsOfExo+J142)</f>
        <v>-15750</v>
      </c>
      <c r="K143" s="9">
        <f t="shared" si="8"/>
        <v>115750</v>
      </c>
      <c r="L143">
        <f t="shared" si="9"/>
        <v>75210</v>
      </c>
    </row>
    <row r="144" spans="1:12" x14ac:dyDescent="0.25">
      <c r="A144" s="1"/>
      <c r="C144" s="1"/>
      <c r="D144" s="1">
        <v>40886</v>
      </c>
      <c r="E144">
        <v>3850</v>
      </c>
      <c r="F144" s="1">
        <v>40886</v>
      </c>
      <c r="G144">
        <v>-7087.5</v>
      </c>
      <c r="H144" s="1">
        <f t="shared" si="7"/>
        <v>40886</v>
      </c>
      <c r="I144">
        <f>IF(AND(MyRowHidden(ROW())=FALSE,MyRowHidden(ROW()-1)=TRUE),0,(E144-E143)*unitsOfDHp+I143)</f>
        <v>88500</v>
      </c>
      <c r="J144">
        <f>IF(AND(MyRowHidden(ROW())=FALSE,MyRowHidden(ROW()-1)=TRUE),0,(G144-G143)*unitsOfExo+J143)</f>
        <v>-20875</v>
      </c>
      <c r="K144" s="9">
        <f t="shared" si="8"/>
        <v>120875</v>
      </c>
      <c r="L144">
        <f t="shared" si="9"/>
        <v>67625</v>
      </c>
    </row>
    <row r="145" spans="1:12" x14ac:dyDescent="0.25">
      <c r="A145" s="1"/>
      <c r="C145" s="1"/>
      <c r="D145" s="1">
        <v>40889</v>
      </c>
      <c r="E145">
        <v>4092</v>
      </c>
      <c r="F145" s="1">
        <v>40889</v>
      </c>
      <c r="G145">
        <v>-6837.5</v>
      </c>
      <c r="H145" s="1">
        <f t="shared" si="7"/>
        <v>40889</v>
      </c>
      <c r="I145">
        <f>IF(AND(MyRowHidden(ROW())=FALSE,MyRowHidden(ROW()-1)=TRUE),0,(E145-E144)*unitsOfDHp+I144)</f>
        <v>90920</v>
      </c>
      <c r="J145">
        <f>IF(AND(MyRowHidden(ROW())=FALSE,MyRowHidden(ROW()-1)=TRUE),0,(G145-G144)*unitsOfExo+J144)</f>
        <v>-18375</v>
      </c>
      <c r="K145" s="9">
        <f t="shared" si="8"/>
        <v>118375</v>
      </c>
      <c r="L145">
        <f t="shared" si="9"/>
        <v>72545</v>
      </c>
    </row>
    <row r="146" spans="1:12" x14ac:dyDescent="0.25">
      <c r="A146" s="1"/>
      <c r="C146" s="1"/>
      <c r="D146" s="1">
        <v>40890</v>
      </c>
      <c r="E146">
        <v>4171</v>
      </c>
      <c r="F146" s="1">
        <v>40890</v>
      </c>
      <c r="G146">
        <v>-6975</v>
      </c>
      <c r="H146" s="1">
        <f t="shared" si="7"/>
        <v>40890</v>
      </c>
      <c r="I146">
        <f>IF(AND(MyRowHidden(ROW())=FALSE,MyRowHidden(ROW()-1)=TRUE),0,(E146-E145)*unitsOfDHp+I145)</f>
        <v>91710</v>
      </c>
      <c r="J146">
        <f>IF(AND(MyRowHidden(ROW())=FALSE,MyRowHidden(ROW()-1)=TRUE),0,(G146-G145)*unitsOfExo+J145)</f>
        <v>-19750</v>
      </c>
      <c r="K146" s="9">
        <f t="shared" si="8"/>
        <v>119750</v>
      </c>
      <c r="L146">
        <f t="shared" si="9"/>
        <v>71960</v>
      </c>
    </row>
    <row r="147" spans="1:12" x14ac:dyDescent="0.25">
      <c r="A147" s="1"/>
      <c r="C147" s="1"/>
      <c r="D147" s="1">
        <v>40891</v>
      </c>
      <c r="E147">
        <v>4038</v>
      </c>
      <c r="F147" s="1">
        <v>40891</v>
      </c>
      <c r="G147">
        <v>-7387.5</v>
      </c>
      <c r="H147" s="1">
        <f t="shared" si="7"/>
        <v>40891</v>
      </c>
      <c r="I147">
        <f>IF(AND(MyRowHidden(ROW())=FALSE,MyRowHidden(ROW()-1)=TRUE),0,(E147-E146)*unitsOfDHp+I146)</f>
        <v>90380</v>
      </c>
      <c r="J147">
        <f>IF(AND(MyRowHidden(ROW())=FALSE,MyRowHidden(ROW()-1)=TRUE),0,(G147-G146)*unitsOfExo+J146)</f>
        <v>-23875</v>
      </c>
      <c r="K147" s="9">
        <f t="shared" si="8"/>
        <v>123875</v>
      </c>
      <c r="L147">
        <f t="shared" si="9"/>
        <v>66505</v>
      </c>
    </row>
    <row r="148" spans="1:12" x14ac:dyDescent="0.25">
      <c r="A148" s="1"/>
      <c r="C148" s="1"/>
      <c r="D148" s="1">
        <v>40892</v>
      </c>
      <c r="E148">
        <v>3914</v>
      </c>
      <c r="F148" s="1">
        <v>40892</v>
      </c>
      <c r="G148">
        <v>-7550</v>
      </c>
      <c r="H148" s="1">
        <f t="shared" si="7"/>
        <v>40892</v>
      </c>
      <c r="I148">
        <f>IF(AND(MyRowHidden(ROW())=FALSE,MyRowHidden(ROW()-1)=TRUE),0,(E148-E147)*unitsOfDHp+I147)</f>
        <v>89140</v>
      </c>
      <c r="J148">
        <f>IF(AND(MyRowHidden(ROW())=FALSE,MyRowHidden(ROW()-1)=TRUE),0,(G148-G147)*unitsOfExo+J147)</f>
        <v>-25500</v>
      </c>
      <c r="K148" s="9">
        <f t="shared" si="8"/>
        <v>125500</v>
      </c>
      <c r="L148">
        <f t="shared" si="9"/>
        <v>63640</v>
      </c>
    </row>
    <row r="149" spans="1:12" x14ac:dyDescent="0.25">
      <c r="A149" s="1"/>
      <c r="C149" s="1"/>
      <c r="D149" s="1">
        <v>40893</v>
      </c>
      <c r="E149">
        <v>4006</v>
      </c>
      <c r="F149" s="1">
        <v>40893</v>
      </c>
      <c r="G149">
        <v>-7437.5</v>
      </c>
      <c r="H149" s="1">
        <f t="shared" si="7"/>
        <v>40893</v>
      </c>
      <c r="I149">
        <f>IF(AND(MyRowHidden(ROW())=FALSE,MyRowHidden(ROW()-1)=TRUE),0,(E149-E148)*unitsOfDHp+I148)</f>
        <v>90060</v>
      </c>
      <c r="J149">
        <f>IF(AND(MyRowHidden(ROW())=FALSE,MyRowHidden(ROW()-1)=TRUE),0,(G149-G148)*unitsOfExo+J148)</f>
        <v>-24375</v>
      </c>
      <c r="K149" s="9">
        <f t="shared" si="8"/>
        <v>124375</v>
      </c>
      <c r="L149">
        <f t="shared" si="9"/>
        <v>65685</v>
      </c>
    </row>
    <row r="150" spans="1:12" x14ac:dyDescent="0.25">
      <c r="A150" s="1"/>
      <c r="C150" s="1"/>
      <c r="D150" s="1">
        <v>40896</v>
      </c>
      <c r="E150">
        <v>4590</v>
      </c>
      <c r="F150" s="1">
        <v>40896</v>
      </c>
      <c r="G150">
        <v>-6600</v>
      </c>
      <c r="H150" s="1">
        <f t="shared" si="7"/>
        <v>40896</v>
      </c>
      <c r="I150">
        <f>IF(AND(MyRowHidden(ROW())=FALSE,MyRowHidden(ROW()-1)=TRUE),0,(E150-E149)*unitsOfDHp+I149)</f>
        <v>95900</v>
      </c>
      <c r="J150">
        <f>IF(AND(MyRowHidden(ROW())=FALSE,MyRowHidden(ROW()-1)=TRUE),0,(G150-G149)*unitsOfExo+J149)</f>
        <v>-16000</v>
      </c>
      <c r="K150" s="9">
        <f t="shared" si="8"/>
        <v>116000</v>
      </c>
      <c r="L150">
        <f t="shared" si="9"/>
        <v>79900</v>
      </c>
    </row>
    <row r="151" spans="1:12" x14ac:dyDescent="0.25">
      <c r="A151" s="1"/>
      <c r="C151" s="1"/>
      <c r="D151" s="1">
        <v>40897</v>
      </c>
      <c r="E151">
        <v>4710</v>
      </c>
      <c r="F151" s="1">
        <v>40897</v>
      </c>
      <c r="G151">
        <v>-6237.5</v>
      </c>
      <c r="H151" s="1">
        <f t="shared" si="7"/>
        <v>40897</v>
      </c>
      <c r="I151">
        <f>IF(AND(MyRowHidden(ROW())=FALSE,MyRowHidden(ROW()-1)=TRUE),0,(E151-E150)*unitsOfDHp+I150)</f>
        <v>97100</v>
      </c>
      <c r="J151">
        <f>IF(AND(MyRowHidden(ROW())=FALSE,MyRowHidden(ROW()-1)=TRUE),0,(G151-G150)*unitsOfExo+J150)</f>
        <v>-12375</v>
      </c>
      <c r="K151" s="9">
        <f t="shared" si="8"/>
        <v>112375</v>
      </c>
      <c r="L151">
        <f t="shared" si="9"/>
        <v>84725</v>
      </c>
    </row>
    <row r="152" spans="1:12" x14ac:dyDescent="0.25">
      <c r="A152" s="1"/>
      <c r="C152" s="1"/>
      <c r="D152" s="1">
        <v>40898</v>
      </c>
      <c r="E152">
        <v>4612</v>
      </c>
      <c r="F152" s="1">
        <v>40898</v>
      </c>
      <c r="G152">
        <v>-5825</v>
      </c>
      <c r="H152" s="1">
        <f t="shared" si="7"/>
        <v>40898</v>
      </c>
      <c r="I152">
        <f>IF(AND(MyRowHidden(ROW())=FALSE,MyRowHidden(ROW()-1)=TRUE),0,(E152-E151)*unitsOfDHp+I151)</f>
        <v>96120</v>
      </c>
      <c r="J152">
        <f>IF(AND(MyRowHidden(ROW())=FALSE,MyRowHidden(ROW()-1)=TRUE),0,(G152-G151)*unitsOfExo+J151)</f>
        <v>-8250</v>
      </c>
      <c r="K152" s="9">
        <f t="shared" si="8"/>
        <v>108250</v>
      </c>
      <c r="L152">
        <f t="shared" si="9"/>
        <v>87870</v>
      </c>
    </row>
    <row r="153" spans="1:12" x14ac:dyDescent="0.25">
      <c r="A153" s="1"/>
      <c r="C153" s="1"/>
      <c r="D153" s="1">
        <v>40899</v>
      </c>
      <c r="E153">
        <v>4899</v>
      </c>
      <c r="F153" s="1">
        <v>40899</v>
      </c>
      <c r="G153">
        <v>-5450</v>
      </c>
      <c r="H153" s="1">
        <f t="shared" si="7"/>
        <v>40899</v>
      </c>
      <c r="I153">
        <f>IF(AND(MyRowHidden(ROW())=FALSE,MyRowHidden(ROW()-1)=TRUE),0,(E153-E152)*unitsOfDHp+I152)</f>
        <v>98990</v>
      </c>
      <c r="J153">
        <f>IF(AND(MyRowHidden(ROW())=FALSE,MyRowHidden(ROW()-1)=TRUE),0,(G153-G152)*unitsOfExo+J152)</f>
        <v>-4500</v>
      </c>
      <c r="K153" s="9">
        <f t="shared" si="8"/>
        <v>104500</v>
      </c>
      <c r="L153">
        <f t="shared" si="9"/>
        <v>94490</v>
      </c>
    </row>
    <row r="154" spans="1:12" x14ac:dyDescent="0.25">
      <c r="A154" s="1"/>
      <c r="C154" s="1"/>
      <c r="D154" s="1">
        <v>40900</v>
      </c>
      <c r="E154">
        <v>4807</v>
      </c>
      <c r="F154" s="1">
        <v>40900</v>
      </c>
      <c r="G154">
        <v>-5512.5</v>
      </c>
      <c r="H154" s="1">
        <f t="shared" si="7"/>
        <v>40900</v>
      </c>
      <c r="I154">
        <f>IF(AND(MyRowHidden(ROW())=FALSE,MyRowHidden(ROW()-1)=TRUE),0,(E154-E153)*unitsOfDHp+I153)</f>
        <v>98070</v>
      </c>
      <c r="J154">
        <f>IF(AND(MyRowHidden(ROW())=FALSE,MyRowHidden(ROW()-1)=TRUE),0,(G154-G153)*unitsOfExo+J153)</f>
        <v>-5125</v>
      </c>
      <c r="K154" s="9">
        <f t="shared" si="8"/>
        <v>105125</v>
      </c>
      <c r="L154">
        <f t="shared" si="9"/>
        <v>92945</v>
      </c>
    </row>
    <row r="155" spans="1:12" x14ac:dyDescent="0.25">
      <c r="A155" s="1"/>
      <c r="C155" s="1"/>
      <c r="D155" s="1">
        <v>40904</v>
      </c>
      <c r="E155">
        <v>5296</v>
      </c>
      <c r="F155" s="1">
        <v>40904</v>
      </c>
      <c r="G155">
        <v>-4925</v>
      </c>
      <c r="H155" s="1">
        <f t="shared" si="7"/>
        <v>40904</v>
      </c>
      <c r="I155">
        <f>IF(AND(MyRowHidden(ROW())=FALSE,MyRowHidden(ROW()-1)=TRUE),0,(E155-E154)*unitsOfDHp+I154)</f>
        <v>102960</v>
      </c>
      <c r="J155">
        <f>IF(AND(MyRowHidden(ROW())=FALSE,MyRowHidden(ROW()-1)=TRUE),0,(G155-G154)*unitsOfExo+J154)</f>
        <v>750</v>
      </c>
      <c r="K155" s="9">
        <f t="shared" si="8"/>
        <v>99250</v>
      </c>
      <c r="L155">
        <f t="shared" si="9"/>
        <v>103710</v>
      </c>
    </row>
    <row r="156" spans="1:12" x14ac:dyDescent="0.25">
      <c r="A156" s="1"/>
      <c r="C156" s="1"/>
      <c r="D156" s="1">
        <v>40905</v>
      </c>
      <c r="E156">
        <v>5176</v>
      </c>
      <c r="F156" s="1">
        <v>40905</v>
      </c>
      <c r="G156">
        <v>-4400</v>
      </c>
      <c r="H156" s="1">
        <f t="shared" si="7"/>
        <v>40905</v>
      </c>
      <c r="I156">
        <f>IF(AND(MyRowHidden(ROW())=FALSE,MyRowHidden(ROW()-1)=TRUE),0,(E156-E155)*unitsOfDHp+I155)</f>
        <v>101760</v>
      </c>
      <c r="J156">
        <f>IF(AND(MyRowHidden(ROW())=FALSE,MyRowHidden(ROW()-1)=TRUE),0,(G156-G155)*unitsOfExo+J155)</f>
        <v>6000</v>
      </c>
      <c r="K156" s="9">
        <f t="shared" si="8"/>
        <v>94000</v>
      </c>
      <c r="L156">
        <f t="shared" si="9"/>
        <v>107760</v>
      </c>
    </row>
    <row r="157" spans="1:12" x14ac:dyDescent="0.25">
      <c r="A157" s="1"/>
      <c r="C157" s="1"/>
      <c r="D157" s="1">
        <v>40906</v>
      </c>
      <c r="E157">
        <v>5088</v>
      </c>
      <c r="F157" s="1">
        <v>40906</v>
      </c>
      <c r="G157">
        <v>-4712.5</v>
      </c>
      <c r="H157" s="1">
        <f t="shared" si="7"/>
        <v>40906</v>
      </c>
      <c r="I157">
        <f>IF(AND(MyRowHidden(ROW())=FALSE,MyRowHidden(ROW()-1)=TRUE),0,(E157-E156)*unitsOfDHp+I156)</f>
        <v>100880</v>
      </c>
      <c r="J157">
        <f>IF(AND(MyRowHidden(ROW())=FALSE,MyRowHidden(ROW()-1)=TRUE),0,(G157-G156)*unitsOfExo+J156)</f>
        <v>2875</v>
      </c>
      <c r="K157" s="9">
        <f t="shared" si="8"/>
        <v>97125</v>
      </c>
      <c r="L157">
        <f t="shared" si="9"/>
        <v>103755</v>
      </c>
    </row>
    <row r="158" spans="1:12" x14ac:dyDescent="0.25">
      <c r="A158" s="1"/>
      <c r="C158" s="1"/>
      <c r="D158" s="1">
        <v>40907</v>
      </c>
      <c r="E158">
        <v>4932</v>
      </c>
      <c r="F158" s="1">
        <v>40907</v>
      </c>
      <c r="G158">
        <v>-4312.5</v>
      </c>
      <c r="H158" s="1">
        <f t="shared" si="7"/>
        <v>40907</v>
      </c>
      <c r="I158">
        <f>IF(AND(MyRowHidden(ROW())=FALSE,MyRowHidden(ROW()-1)=TRUE),0,(E158-E157)*unitsOfDHp+I157)</f>
        <v>99320</v>
      </c>
      <c r="J158">
        <f>IF(AND(MyRowHidden(ROW())=FALSE,MyRowHidden(ROW()-1)=TRUE),0,(G158-G157)*unitsOfExo+J157)</f>
        <v>6875</v>
      </c>
      <c r="K158" s="9">
        <f t="shared" si="8"/>
        <v>93125</v>
      </c>
      <c r="L158">
        <f t="shared" si="9"/>
        <v>106195</v>
      </c>
    </row>
    <row r="159" spans="1:12" x14ac:dyDescent="0.25">
      <c r="A159" s="1"/>
      <c r="C159" s="1"/>
      <c r="D159" s="1">
        <v>40911</v>
      </c>
      <c r="E159">
        <v>4912</v>
      </c>
      <c r="F159" s="1">
        <v>40911</v>
      </c>
      <c r="G159">
        <v>-3837.5</v>
      </c>
      <c r="H159" s="1">
        <f t="shared" si="7"/>
        <v>40911</v>
      </c>
      <c r="I159">
        <f>IF(AND(MyRowHidden(ROW())=FALSE,MyRowHidden(ROW()-1)=TRUE),0,(E159-E158)*unitsOfDHp+I158)</f>
        <v>99120</v>
      </c>
      <c r="J159">
        <f>IF(AND(MyRowHidden(ROW())=FALSE,MyRowHidden(ROW()-1)=TRUE),0,(G159-G158)*unitsOfExo+J158)</f>
        <v>11625</v>
      </c>
      <c r="K159" s="9">
        <f t="shared" si="8"/>
        <v>88375</v>
      </c>
      <c r="L159">
        <f t="shared" si="9"/>
        <v>110745</v>
      </c>
    </row>
    <row r="160" spans="1:12" x14ac:dyDescent="0.25">
      <c r="A160" s="1"/>
      <c r="C160" s="1"/>
      <c r="D160" s="1">
        <v>40912</v>
      </c>
      <c r="E160">
        <v>4907</v>
      </c>
      <c r="F160" s="1">
        <v>40912</v>
      </c>
      <c r="G160">
        <v>-3762.5</v>
      </c>
      <c r="H160" s="1">
        <f t="shared" si="7"/>
        <v>40912</v>
      </c>
      <c r="I160">
        <f>IF(AND(MyRowHidden(ROW())=FALSE,MyRowHidden(ROW()-1)=TRUE),0,(E160-E159)*unitsOfDHp+I159)</f>
        <v>99070</v>
      </c>
      <c r="J160">
        <f>IF(AND(MyRowHidden(ROW())=FALSE,MyRowHidden(ROW()-1)=TRUE),0,(G160-G159)*unitsOfExo+J159)</f>
        <v>12375</v>
      </c>
      <c r="K160" s="9">
        <f t="shared" si="8"/>
        <v>87625</v>
      </c>
      <c r="L160">
        <f t="shared" si="9"/>
        <v>111445</v>
      </c>
    </row>
    <row r="161" spans="1:12" x14ac:dyDescent="0.25">
      <c r="A161" s="1"/>
      <c r="C161" s="1"/>
      <c r="D161" s="1">
        <v>40913</v>
      </c>
      <c r="E161">
        <v>4807</v>
      </c>
      <c r="F161" s="1">
        <v>40913</v>
      </c>
      <c r="G161">
        <v>-4337.5</v>
      </c>
      <c r="H161" s="1">
        <f t="shared" si="7"/>
        <v>40913</v>
      </c>
      <c r="I161">
        <f>IF(AND(MyRowHidden(ROW())=FALSE,MyRowHidden(ROW()-1)=TRUE),0,(E161-E160)*unitsOfDHp+I160)</f>
        <v>98070</v>
      </c>
      <c r="J161">
        <f>IF(AND(MyRowHidden(ROW())=FALSE,MyRowHidden(ROW()-1)=TRUE),0,(G161-G160)*unitsOfExo+J160)</f>
        <v>6625</v>
      </c>
      <c r="K161" s="9">
        <f t="shared" si="8"/>
        <v>93375</v>
      </c>
      <c r="L161">
        <f t="shared" si="9"/>
        <v>104695</v>
      </c>
    </row>
    <row r="162" spans="1:12" x14ac:dyDescent="0.25">
      <c r="A162" s="1"/>
      <c r="C162" s="1"/>
      <c r="D162" s="1">
        <v>40914</v>
      </c>
      <c r="E162">
        <v>4842</v>
      </c>
      <c r="F162" s="1">
        <v>40914</v>
      </c>
      <c r="G162">
        <v>-4262.5</v>
      </c>
      <c r="H162" s="1">
        <f t="shared" si="7"/>
        <v>40914</v>
      </c>
      <c r="I162">
        <f>IF(AND(MyRowHidden(ROW())=FALSE,MyRowHidden(ROW()-1)=TRUE),0,(E162-E161)*unitsOfDHp+I161)</f>
        <v>98420</v>
      </c>
      <c r="J162">
        <f>IF(AND(MyRowHidden(ROW())=FALSE,MyRowHidden(ROW()-1)=TRUE),0,(G162-G161)*unitsOfExo+J161)</f>
        <v>7375</v>
      </c>
      <c r="K162" s="9">
        <f t="shared" si="8"/>
        <v>92625</v>
      </c>
      <c r="L162">
        <f t="shared" si="9"/>
        <v>105795</v>
      </c>
    </row>
    <row r="163" spans="1:12" x14ac:dyDescent="0.25">
      <c r="A163" s="1"/>
      <c r="C163" s="1"/>
      <c r="D163" s="1">
        <v>40917</v>
      </c>
      <c r="E163">
        <v>4805</v>
      </c>
      <c r="F163" s="1">
        <v>40917</v>
      </c>
      <c r="G163">
        <v>-3862.5</v>
      </c>
      <c r="H163" s="1">
        <f t="shared" si="7"/>
        <v>40917</v>
      </c>
      <c r="I163">
        <f>IF(AND(MyRowHidden(ROW())=FALSE,MyRowHidden(ROW()-1)=TRUE),0,(E163-E162)*unitsOfDHp+I162)</f>
        <v>98050</v>
      </c>
      <c r="J163">
        <f>IF(AND(MyRowHidden(ROW())=FALSE,MyRowHidden(ROW()-1)=TRUE),0,(G163-G162)*unitsOfExo+J162)</f>
        <v>11375</v>
      </c>
      <c r="K163" s="9">
        <f t="shared" si="8"/>
        <v>88625</v>
      </c>
      <c r="L163">
        <f t="shared" si="9"/>
        <v>109425</v>
      </c>
    </row>
    <row r="164" spans="1:12" x14ac:dyDescent="0.25">
      <c r="A164" s="1"/>
      <c r="C164" s="1"/>
      <c r="D164" s="1">
        <v>40918</v>
      </c>
      <c r="E164">
        <v>4848</v>
      </c>
      <c r="F164" s="1">
        <v>40918</v>
      </c>
      <c r="G164">
        <v>-3850</v>
      </c>
      <c r="H164" s="1">
        <f t="shared" si="7"/>
        <v>40918</v>
      </c>
      <c r="I164">
        <f>IF(AND(MyRowHidden(ROW())=FALSE,MyRowHidden(ROW()-1)=TRUE),0,(E164-E163)*unitsOfDHp+I163)</f>
        <v>98480</v>
      </c>
      <c r="J164">
        <f>IF(AND(MyRowHidden(ROW())=FALSE,MyRowHidden(ROW()-1)=TRUE),0,(G164-G163)*unitsOfExo+J163)</f>
        <v>11500</v>
      </c>
      <c r="K164" s="9">
        <f t="shared" si="8"/>
        <v>88500</v>
      </c>
      <c r="L164">
        <f t="shared" si="9"/>
        <v>109980</v>
      </c>
    </row>
    <row r="165" spans="1:12" x14ac:dyDescent="0.25">
      <c r="A165" s="1"/>
      <c r="C165" s="1"/>
      <c r="D165" s="1">
        <v>40919</v>
      </c>
      <c r="E165">
        <v>4818</v>
      </c>
      <c r="F165" s="1">
        <v>40919</v>
      </c>
      <c r="G165">
        <v>-3987.5</v>
      </c>
      <c r="H165" s="1">
        <f t="shared" si="7"/>
        <v>40919</v>
      </c>
      <c r="I165">
        <f>IF(AND(MyRowHidden(ROW())=FALSE,MyRowHidden(ROW()-1)=TRUE),0,(E165-E164)*unitsOfDHp+I164)</f>
        <v>98180</v>
      </c>
      <c r="J165">
        <f>IF(AND(MyRowHidden(ROW())=FALSE,MyRowHidden(ROW()-1)=TRUE),0,(G165-G164)*unitsOfExo+J164)</f>
        <v>10125</v>
      </c>
      <c r="K165" s="9">
        <f t="shared" si="8"/>
        <v>89875</v>
      </c>
      <c r="L165">
        <f t="shared" si="9"/>
        <v>108305</v>
      </c>
    </row>
    <row r="166" spans="1:12" x14ac:dyDescent="0.25">
      <c r="A166" s="1"/>
      <c r="C166" s="1"/>
      <c r="D166" s="1">
        <v>40920</v>
      </c>
      <c r="E166">
        <v>4957</v>
      </c>
      <c r="F166" s="1">
        <v>40920</v>
      </c>
      <c r="G166">
        <v>-5987.5</v>
      </c>
      <c r="H166" s="1">
        <f t="shared" si="7"/>
        <v>40920</v>
      </c>
      <c r="I166">
        <f>IF(AND(MyRowHidden(ROW())=FALSE,MyRowHidden(ROW()-1)=TRUE),0,(E166-E165)*unitsOfDHp+I165)</f>
        <v>99570</v>
      </c>
      <c r="J166">
        <f>IF(AND(MyRowHidden(ROW())=FALSE,MyRowHidden(ROW()-1)=TRUE),0,(G166-G165)*unitsOfExo+J165)</f>
        <v>-9875</v>
      </c>
      <c r="K166" s="9">
        <f t="shared" si="8"/>
        <v>109875</v>
      </c>
      <c r="L166">
        <f t="shared" si="9"/>
        <v>89695</v>
      </c>
    </row>
    <row r="167" spans="1:12" x14ac:dyDescent="0.25">
      <c r="A167" s="1"/>
      <c r="C167" s="1"/>
      <c r="D167" s="1">
        <v>40921</v>
      </c>
      <c r="E167">
        <v>5162</v>
      </c>
      <c r="F167" s="1">
        <v>40921</v>
      </c>
      <c r="G167">
        <v>-6475</v>
      </c>
      <c r="H167" s="1">
        <f t="shared" si="7"/>
        <v>40921</v>
      </c>
      <c r="I167">
        <f>IF(AND(MyRowHidden(ROW())=FALSE,MyRowHidden(ROW()-1)=TRUE),0,(E167-E166)*unitsOfDHp+I166)</f>
        <v>101620</v>
      </c>
      <c r="J167">
        <f>IF(AND(MyRowHidden(ROW())=FALSE,MyRowHidden(ROW()-1)=TRUE),0,(G167-G166)*unitsOfExo+J166)</f>
        <v>-14750</v>
      </c>
      <c r="K167" s="9">
        <f t="shared" si="8"/>
        <v>114750</v>
      </c>
      <c r="L167">
        <f t="shared" si="9"/>
        <v>86870</v>
      </c>
    </row>
    <row r="168" spans="1:12" x14ac:dyDescent="0.25">
      <c r="A168" s="1"/>
      <c r="C168" s="1"/>
      <c r="D168" s="1">
        <v>40925</v>
      </c>
      <c r="E168">
        <v>5256</v>
      </c>
      <c r="F168" s="1">
        <v>40925</v>
      </c>
      <c r="G168">
        <v>-6200</v>
      </c>
      <c r="H168" s="1">
        <f t="shared" si="7"/>
        <v>40925</v>
      </c>
      <c r="I168">
        <f>IF(AND(MyRowHidden(ROW())=FALSE,MyRowHidden(ROW()-1)=TRUE),0,(E168-E167)*unitsOfDHp+I167)</f>
        <v>102560</v>
      </c>
      <c r="J168">
        <f>IF(AND(MyRowHidden(ROW())=FALSE,MyRowHidden(ROW()-1)=TRUE),0,(G168-G167)*unitsOfExo+J167)</f>
        <v>-12000</v>
      </c>
      <c r="K168" s="9">
        <f t="shared" si="8"/>
        <v>112000</v>
      </c>
      <c r="L168">
        <f t="shared" si="9"/>
        <v>90560</v>
      </c>
    </row>
    <row r="169" spans="1:12" x14ac:dyDescent="0.25">
      <c r="A169" s="1"/>
      <c r="C169" s="1"/>
      <c r="D169" s="1">
        <v>40926</v>
      </c>
      <c r="E169">
        <v>4824</v>
      </c>
      <c r="F169" s="1">
        <v>40926</v>
      </c>
      <c r="G169">
        <v>-6837.5</v>
      </c>
      <c r="H169" s="1">
        <f t="shared" si="7"/>
        <v>40926</v>
      </c>
      <c r="I169">
        <f>IF(AND(MyRowHidden(ROW())=FALSE,MyRowHidden(ROW()-1)=TRUE),0,(E169-E168)*unitsOfDHp+I168)</f>
        <v>98240</v>
      </c>
      <c r="J169">
        <f>IF(AND(MyRowHidden(ROW())=FALSE,MyRowHidden(ROW()-1)=TRUE),0,(G169-G168)*unitsOfExo+J168)</f>
        <v>-18375</v>
      </c>
      <c r="K169" s="9">
        <f t="shared" si="8"/>
        <v>118375</v>
      </c>
      <c r="L169">
        <f t="shared" si="9"/>
        <v>79865</v>
      </c>
    </row>
    <row r="170" spans="1:12" x14ac:dyDescent="0.25">
      <c r="A170" s="1"/>
      <c r="C170" s="1"/>
      <c r="D170" s="1">
        <v>40927</v>
      </c>
      <c r="E170">
        <v>4702</v>
      </c>
      <c r="F170" s="1">
        <v>40927</v>
      </c>
      <c r="G170">
        <v>-6350</v>
      </c>
      <c r="H170" s="1">
        <f t="shared" si="7"/>
        <v>40927</v>
      </c>
      <c r="I170">
        <f>IF(AND(MyRowHidden(ROW())=FALSE,MyRowHidden(ROW()-1)=TRUE),0,(E170-E169)*unitsOfDHp+I169)</f>
        <v>97020</v>
      </c>
      <c r="J170">
        <f>IF(AND(MyRowHidden(ROW())=FALSE,MyRowHidden(ROW()-1)=TRUE),0,(G170-G169)*unitsOfExo+J169)</f>
        <v>-13500</v>
      </c>
      <c r="K170" s="9">
        <f t="shared" si="8"/>
        <v>113500</v>
      </c>
      <c r="L170">
        <f t="shared" si="9"/>
        <v>83520</v>
      </c>
    </row>
    <row r="171" spans="1:12" x14ac:dyDescent="0.25">
      <c r="A171" s="1"/>
      <c r="C171" s="1"/>
      <c r="D171" s="1">
        <v>40928</v>
      </c>
      <c r="E171">
        <v>4702</v>
      </c>
      <c r="F171" s="1">
        <v>40928</v>
      </c>
      <c r="G171">
        <v>-6162.5</v>
      </c>
      <c r="H171" s="1">
        <f t="shared" si="7"/>
        <v>40928</v>
      </c>
      <c r="I171">
        <f>IF(AND(MyRowHidden(ROW())=FALSE,MyRowHidden(ROW()-1)=TRUE),0,(E171-E170)*unitsOfDHp+I170)</f>
        <v>97020</v>
      </c>
      <c r="J171">
        <f>IF(AND(MyRowHidden(ROW())=FALSE,MyRowHidden(ROW()-1)=TRUE),0,(G171-G170)*unitsOfExo+J170)</f>
        <v>-11625</v>
      </c>
      <c r="K171" s="9">
        <f t="shared" si="8"/>
        <v>111625</v>
      </c>
      <c r="L171">
        <f t="shared" si="9"/>
        <v>85395</v>
      </c>
    </row>
    <row r="172" spans="1:12" x14ac:dyDescent="0.25">
      <c r="A172" s="1"/>
      <c r="C172" s="1"/>
      <c r="D172" s="1">
        <v>40931</v>
      </c>
      <c r="E172">
        <v>4702</v>
      </c>
      <c r="F172" s="1">
        <v>40931</v>
      </c>
      <c r="G172">
        <v>-5575</v>
      </c>
      <c r="H172" s="1">
        <f t="shared" si="7"/>
        <v>40931</v>
      </c>
      <c r="I172">
        <f>IF(AND(MyRowHidden(ROW())=FALSE,MyRowHidden(ROW()-1)=TRUE),0,(E172-E171)*unitsOfDHp+I171)</f>
        <v>97020</v>
      </c>
      <c r="J172">
        <f>IF(AND(MyRowHidden(ROW())=FALSE,MyRowHidden(ROW()-1)=TRUE),0,(G172-G171)*unitsOfExo+J171)</f>
        <v>-5750</v>
      </c>
      <c r="K172" s="9">
        <f t="shared" si="8"/>
        <v>105750</v>
      </c>
      <c r="L172">
        <f t="shared" si="9"/>
        <v>91270</v>
      </c>
    </row>
    <row r="173" spans="1:12" x14ac:dyDescent="0.25">
      <c r="A173" s="1"/>
      <c r="C173" s="1"/>
      <c r="D173" s="1">
        <v>40932</v>
      </c>
      <c r="E173">
        <v>4702</v>
      </c>
      <c r="F173" s="1">
        <v>40932</v>
      </c>
      <c r="G173">
        <v>-4950</v>
      </c>
      <c r="H173" s="1">
        <f t="shared" si="7"/>
        <v>40932</v>
      </c>
      <c r="I173">
        <f>IF(AND(MyRowHidden(ROW())=FALSE,MyRowHidden(ROW()-1)=TRUE),0,(E173-E172)*unitsOfDHp+I172)</f>
        <v>97020</v>
      </c>
      <c r="J173">
        <f>IF(AND(MyRowHidden(ROW())=FALSE,MyRowHidden(ROW()-1)=TRUE),0,(G173-G172)*unitsOfExo+J172)</f>
        <v>500</v>
      </c>
      <c r="K173" s="9">
        <f t="shared" si="8"/>
        <v>99500</v>
      </c>
      <c r="L173">
        <f t="shared" si="9"/>
        <v>97520</v>
      </c>
    </row>
    <row r="174" spans="1:12" x14ac:dyDescent="0.25">
      <c r="A174" s="1"/>
      <c r="C174" s="1"/>
      <c r="D174" s="1">
        <v>40933</v>
      </c>
      <c r="E174">
        <v>4702</v>
      </c>
      <c r="F174" s="1">
        <v>40933</v>
      </c>
      <c r="G174">
        <v>-4837.5</v>
      </c>
      <c r="H174" s="1">
        <f t="shared" si="7"/>
        <v>40933</v>
      </c>
      <c r="I174">
        <f>IF(AND(MyRowHidden(ROW())=FALSE,MyRowHidden(ROW()-1)=TRUE),0,(E174-E173)*unitsOfDHp+I173)</f>
        <v>97020</v>
      </c>
      <c r="J174">
        <f>IF(AND(MyRowHidden(ROW())=FALSE,MyRowHidden(ROW()-1)=TRUE),0,(G174-G173)*unitsOfExo+J173)</f>
        <v>1625</v>
      </c>
      <c r="K174" s="9">
        <f t="shared" si="8"/>
        <v>98375</v>
      </c>
      <c r="L174">
        <f t="shared" si="9"/>
        <v>98645</v>
      </c>
    </row>
    <row r="175" spans="1:12" x14ac:dyDescent="0.25">
      <c r="A175" s="1"/>
      <c r="C175" s="1"/>
      <c r="D175" s="1">
        <v>40934</v>
      </c>
      <c r="E175">
        <v>4697</v>
      </c>
      <c r="F175" s="1">
        <v>40934</v>
      </c>
      <c r="G175">
        <v>-4625</v>
      </c>
      <c r="H175" s="1">
        <f t="shared" si="7"/>
        <v>40934</v>
      </c>
      <c r="I175">
        <f>IF(AND(MyRowHidden(ROW())=FALSE,MyRowHidden(ROW()-1)=TRUE),0,(E175-E174)*unitsOfDHp+I174)</f>
        <v>96970</v>
      </c>
      <c r="J175">
        <f>IF(AND(MyRowHidden(ROW())=FALSE,MyRowHidden(ROW()-1)=TRUE),0,(G175-G174)*unitsOfExo+J174)</f>
        <v>3750</v>
      </c>
      <c r="K175" s="9">
        <f t="shared" si="8"/>
        <v>96250</v>
      </c>
      <c r="L175">
        <f t="shared" si="9"/>
        <v>100720</v>
      </c>
    </row>
    <row r="176" spans="1:12" x14ac:dyDescent="0.25">
      <c r="A176" s="1"/>
      <c r="C176" s="1"/>
      <c r="D176" s="1">
        <v>40935</v>
      </c>
      <c r="E176">
        <v>4695</v>
      </c>
      <c r="F176" s="1">
        <v>40935</v>
      </c>
      <c r="G176">
        <v>-4625</v>
      </c>
      <c r="H176" s="1">
        <f t="shared" si="7"/>
        <v>40935</v>
      </c>
      <c r="I176">
        <f>IF(AND(MyRowHidden(ROW())=FALSE,MyRowHidden(ROW()-1)=TRUE),0,(E176-E175)*unitsOfDHp+I175)</f>
        <v>96950</v>
      </c>
      <c r="J176">
        <f>IF(AND(MyRowHidden(ROW())=FALSE,MyRowHidden(ROW()-1)=TRUE),0,(G176-G175)*unitsOfExo+J175)</f>
        <v>3750</v>
      </c>
      <c r="K176" s="9">
        <f t="shared" si="8"/>
        <v>96250</v>
      </c>
      <c r="L176">
        <f t="shared" si="9"/>
        <v>100700</v>
      </c>
    </row>
    <row r="177" spans="1:12" x14ac:dyDescent="0.25">
      <c r="A177" s="1"/>
      <c r="C177" s="1"/>
      <c r="D177" s="1">
        <v>40938</v>
      </c>
      <c r="E177">
        <v>4859</v>
      </c>
      <c r="F177" s="1">
        <v>40938</v>
      </c>
      <c r="G177">
        <v>-5025</v>
      </c>
      <c r="H177" s="1">
        <f t="shared" si="7"/>
        <v>40938</v>
      </c>
      <c r="I177">
        <f>IF(AND(MyRowHidden(ROW())=FALSE,MyRowHidden(ROW()-1)=TRUE),0,(E177-E176)*unitsOfDHp+I176)</f>
        <v>98590</v>
      </c>
      <c r="J177">
        <f>IF(AND(MyRowHidden(ROW())=FALSE,MyRowHidden(ROW()-1)=TRUE),0,(G177-G176)*unitsOfExo+J176)</f>
        <v>-250</v>
      </c>
      <c r="K177" s="9">
        <f t="shared" si="8"/>
        <v>100250</v>
      </c>
      <c r="L177">
        <f t="shared" si="9"/>
        <v>98340</v>
      </c>
    </row>
    <row r="178" spans="1:12" x14ac:dyDescent="0.25">
      <c r="A178" s="1"/>
      <c r="C178" s="1"/>
      <c r="D178" s="1">
        <v>40939</v>
      </c>
      <c r="E178">
        <v>4773</v>
      </c>
      <c r="F178" s="1">
        <v>40939</v>
      </c>
      <c r="G178">
        <v>-4787.5</v>
      </c>
      <c r="H178" s="1">
        <f t="shared" si="7"/>
        <v>40939</v>
      </c>
      <c r="I178">
        <f>IF(AND(MyRowHidden(ROW())=FALSE,MyRowHidden(ROW()-1)=TRUE),0,(E178-E177)*unitsOfDHp+I177)</f>
        <v>97730</v>
      </c>
      <c r="J178">
        <f>IF(AND(MyRowHidden(ROW())=FALSE,MyRowHidden(ROW()-1)=TRUE),0,(G178-G177)*unitsOfExo+J177)</f>
        <v>2125</v>
      </c>
      <c r="K178" s="9">
        <f t="shared" si="8"/>
        <v>97875</v>
      </c>
      <c r="L178">
        <f t="shared" si="9"/>
        <v>99855</v>
      </c>
    </row>
    <row r="179" spans="1:12" x14ac:dyDescent="0.25">
      <c r="A179" s="1"/>
      <c r="C179" s="1"/>
      <c r="D179" s="1">
        <v>40940</v>
      </c>
      <c r="E179">
        <v>4784</v>
      </c>
      <c r="F179" s="1">
        <v>40940</v>
      </c>
      <c r="G179">
        <v>-4387.5</v>
      </c>
      <c r="H179" s="1">
        <f t="shared" si="7"/>
        <v>40940</v>
      </c>
      <c r="I179">
        <f>IF(AND(MyRowHidden(ROW())=FALSE,MyRowHidden(ROW()-1)=TRUE),0,(E179-E178)*unitsOfDHp+I178)</f>
        <v>97840</v>
      </c>
      <c r="J179">
        <f>IF(AND(MyRowHidden(ROW())=FALSE,MyRowHidden(ROW()-1)=TRUE),0,(G179-G178)*unitsOfExo+J178)</f>
        <v>6125</v>
      </c>
      <c r="K179" s="9">
        <f t="shared" si="8"/>
        <v>93875</v>
      </c>
      <c r="L179">
        <f t="shared" si="9"/>
        <v>103965</v>
      </c>
    </row>
    <row r="180" spans="1:12" x14ac:dyDescent="0.25">
      <c r="A180" s="1"/>
      <c r="C180" s="1"/>
      <c r="D180" s="1">
        <v>40941</v>
      </c>
      <c r="E180">
        <v>4840</v>
      </c>
      <c r="F180" s="1">
        <v>40941</v>
      </c>
      <c r="G180">
        <v>-4562.5</v>
      </c>
      <c r="H180" s="1">
        <f t="shared" si="7"/>
        <v>40941</v>
      </c>
      <c r="I180">
        <f>IF(AND(MyRowHidden(ROW())=FALSE,MyRowHidden(ROW()-1)=TRUE),0,(E180-E179)*unitsOfDHp+I179)</f>
        <v>98400</v>
      </c>
      <c r="J180">
        <f>IF(AND(MyRowHidden(ROW())=FALSE,MyRowHidden(ROW()-1)=TRUE),0,(G180-G179)*unitsOfExo+J179)</f>
        <v>4375</v>
      </c>
      <c r="K180" s="9">
        <f t="shared" si="8"/>
        <v>95625</v>
      </c>
      <c r="L180">
        <f t="shared" si="9"/>
        <v>102775</v>
      </c>
    </row>
    <row r="181" spans="1:12" x14ac:dyDescent="0.25">
      <c r="A181" s="1"/>
      <c r="C181" s="1"/>
      <c r="D181" s="1">
        <v>40942</v>
      </c>
      <c r="E181">
        <v>4771</v>
      </c>
      <c r="F181" s="1">
        <v>40942</v>
      </c>
      <c r="G181">
        <v>-4450</v>
      </c>
      <c r="H181" s="1">
        <f t="shared" si="7"/>
        <v>40942</v>
      </c>
      <c r="I181">
        <f>IF(AND(MyRowHidden(ROW())=FALSE,MyRowHidden(ROW()-1)=TRUE),0,(E181-E180)*unitsOfDHp+I180)</f>
        <v>97710</v>
      </c>
      <c r="J181">
        <f>IF(AND(MyRowHidden(ROW())=FALSE,MyRowHidden(ROW()-1)=TRUE),0,(G181-G180)*unitsOfExo+J180)</f>
        <v>5500</v>
      </c>
      <c r="K181" s="9">
        <f t="shared" si="8"/>
        <v>94500</v>
      </c>
      <c r="L181">
        <f t="shared" si="9"/>
        <v>103210</v>
      </c>
    </row>
    <row r="182" spans="1:12" x14ac:dyDescent="0.25">
      <c r="A182" s="1"/>
      <c r="C182" s="1"/>
      <c r="D182" s="1">
        <v>40945</v>
      </c>
      <c r="E182">
        <v>4749</v>
      </c>
      <c r="F182" s="1">
        <v>40945</v>
      </c>
      <c r="G182">
        <v>-4400</v>
      </c>
      <c r="H182" s="1">
        <f t="shared" si="7"/>
        <v>40945</v>
      </c>
      <c r="I182">
        <f>IF(AND(MyRowHidden(ROW())=FALSE,MyRowHidden(ROW()-1)=TRUE),0,(E182-E181)*unitsOfDHp+I181)</f>
        <v>97490</v>
      </c>
      <c r="J182">
        <f>IF(AND(MyRowHidden(ROW())=FALSE,MyRowHidden(ROW()-1)=TRUE),0,(G182-G181)*unitsOfExo+J181)</f>
        <v>6000</v>
      </c>
      <c r="K182" s="9">
        <f t="shared" si="8"/>
        <v>94000</v>
      </c>
      <c r="L182">
        <f t="shared" si="9"/>
        <v>103490</v>
      </c>
    </row>
    <row r="183" spans="1:12" x14ac:dyDescent="0.25">
      <c r="A183" s="1"/>
      <c r="C183" s="1"/>
      <c r="D183" s="1">
        <v>40946</v>
      </c>
      <c r="E183">
        <v>4744</v>
      </c>
      <c r="F183" s="1">
        <v>40946</v>
      </c>
      <c r="G183">
        <v>-4475</v>
      </c>
      <c r="H183" s="1">
        <f t="shared" si="7"/>
        <v>40946</v>
      </c>
      <c r="I183">
        <f>IF(AND(MyRowHidden(ROW())=FALSE,MyRowHidden(ROW()-1)=TRUE),0,(E183-E182)*unitsOfDHp+I182)</f>
        <v>97440</v>
      </c>
      <c r="J183">
        <f>IF(AND(MyRowHidden(ROW())=FALSE,MyRowHidden(ROW()-1)=TRUE),0,(G183-G182)*unitsOfExo+J182)</f>
        <v>5250</v>
      </c>
      <c r="K183" s="9">
        <f t="shared" si="8"/>
        <v>94750</v>
      </c>
      <c r="L183">
        <f t="shared" si="9"/>
        <v>102690</v>
      </c>
    </row>
    <row r="184" spans="1:12" x14ac:dyDescent="0.25">
      <c r="A184" s="1"/>
      <c r="C184" s="1"/>
      <c r="D184" s="1">
        <v>40947</v>
      </c>
      <c r="E184">
        <v>4735</v>
      </c>
      <c r="F184" s="1">
        <v>40947</v>
      </c>
      <c r="G184">
        <v>-4425</v>
      </c>
      <c r="H184" s="1">
        <f t="shared" si="7"/>
        <v>40947</v>
      </c>
      <c r="I184">
        <f>IF(AND(MyRowHidden(ROW())=FALSE,MyRowHidden(ROW()-1)=TRUE),0,(E184-E183)*unitsOfDHp+I183)</f>
        <v>97350</v>
      </c>
      <c r="J184">
        <f>IF(AND(MyRowHidden(ROW())=FALSE,MyRowHidden(ROW()-1)=TRUE),0,(G184-G183)*unitsOfExo+J183)</f>
        <v>5750</v>
      </c>
      <c r="K184" s="9">
        <f t="shared" si="8"/>
        <v>94250</v>
      </c>
      <c r="L184">
        <f t="shared" si="9"/>
        <v>103100</v>
      </c>
    </row>
    <row r="185" spans="1:12" x14ac:dyDescent="0.25">
      <c r="A185" s="1"/>
      <c r="C185" s="1"/>
      <c r="D185" s="1">
        <v>40948</v>
      </c>
      <c r="E185">
        <v>4724</v>
      </c>
      <c r="F185" s="1">
        <v>40948</v>
      </c>
      <c r="G185">
        <v>-4925</v>
      </c>
      <c r="H185" s="1">
        <f t="shared" si="7"/>
        <v>40948</v>
      </c>
      <c r="I185">
        <f>IF(AND(MyRowHidden(ROW())=FALSE,MyRowHidden(ROW()-1)=TRUE),0,(E185-E184)*unitsOfDHp+I184)</f>
        <v>97240</v>
      </c>
      <c r="J185">
        <f>IF(AND(MyRowHidden(ROW())=FALSE,MyRowHidden(ROW()-1)=TRUE),0,(G185-G184)*unitsOfExo+J184)</f>
        <v>750</v>
      </c>
      <c r="K185" s="9">
        <f t="shared" si="8"/>
        <v>99250</v>
      </c>
      <c r="L185">
        <f t="shared" si="9"/>
        <v>97990</v>
      </c>
    </row>
    <row r="186" spans="1:12" x14ac:dyDescent="0.25">
      <c r="A186" s="1"/>
      <c r="C186" s="1"/>
      <c r="D186" s="1">
        <v>40949</v>
      </c>
      <c r="E186">
        <v>4836</v>
      </c>
      <c r="F186" s="1">
        <v>40949</v>
      </c>
      <c r="G186">
        <v>-5087.5</v>
      </c>
      <c r="H186" s="1">
        <f t="shared" si="7"/>
        <v>40949</v>
      </c>
      <c r="I186">
        <f>IF(AND(MyRowHidden(ROW())=FALSE,MyRowHidden(ROW()-1)=TRUE),0,(E186-E185)*unitsOfDHp+I185)</f>
        <v>98360</v>
      </c>
      <c r="J186">
        <f>IF(AND(MyRowHidden(ROW())=FALSE,MyRowHidden(ROW()-1)=TRUE),0,(G186-G185)*unitsOfExo+J185)</f>
        <v>-875</v>
      </c>
      <c r="K186" s="9">
        <f t="shared" si="8"/>
        <v>100875</v>
      </c>
      <c r="L186">
        <f t="shared" si="9"/>
        <v>97485</v>
      </c>
    </row>
    <row r="187" spans="1:12" x14ac:dyDescent="0.25">
      <c r="A187" s="1"/>
      <c r="C187" s="1"/>
      <c r="D187" s="1">
        <v>40952</v>
      </c>
      <c r="E187">
        <v>4936</v>
      </c>
      <c r="F187" s="1">
        <v>40952</v>
      </c>
      <c r="G187">
        <v>-4787.5</v>
      </c>
      <c r="H187" s="1">
        <f t="shared" si="7"/>
        <v>40952</v>
      </c>
      <c r="I187">
        <f>IF(AND(MyRowHidden(ROW())=FALSE,MyRowHidden(ROW()-1)=TRUE),0,(E187-E186)*unitsOfDHp+I186)</f>
        <v>99360</v>
      </c>
      <c r="J187">
        <f>IF(AND(MyRowHidden(ROW())=FALSE,MyRowHidden(ROW()-1)=TRUE),0,(G187-G186)*unitsOfExo+J186)</f>
        <v>2125</v>
      </c>
      <c r="K187" s="9">
        <f t="shared" si="8"/>
        <v>97875</v>
      </c>
      <c r="L187">
        <f t="shared" si="9"/>
        <v>101485</v>
      </c>
    </row>
    <row r="188" spans="1:12" x14ac:dyDescent="0.25">
      <c r="A188" s="1"/>
      <c r="C188" s="1"/>
      <c r="D188" s="1">
        <v>40953</v>
      </c>
      <c r="E188">
        <v>5000</v>
      </c>
      <c r="F188" s="1">
        <v>40953</v>
      </c>
      <c r="G188">
        <v>-4900</v>
      </c>
      <c r="H188" s="1">
        <f t="shared" si="7"/>
        <v>40953</v>
      </c>
      <c r="I188">
        <f>IF(AND(MyRowHidden(ROW())=FALSE,MyRowHidden(ROW()-1)=TRUE),0,(E188-E187)*unitsOfDHp+I187)</f>
        <v>100000</v>
      </c>
      <c r="J188">
        <f>IF(AND(MyRowHidden(ROW())=FALSE,MyRowHidden(ROW()-1)=TRUE),0,(G188-G187)*unitsOfExo+J187)</f>
        <v>1000</v>
      </c>
      <c r="K188" s="9">
        <f t="shared" si="8"/>
        <v>99000</v>
      </c>
      <c r="L188">
        <f t="shared" si="9"/>
        <v>101000</v>
      </c>
    </row>
    <row r="189" spans="1:12" x14ac:dyDescent="0.25">
      <c r="A189" s="1"/>
      <c r="C189" s="1"/>
      <c r="D189" s="1">
        <v>40954</v>
      </c>
      <c r="E189">
        <v>5384</v>
      </c>
      <c r="F189" s="1">
        <v>40954</v>
      </c>
      <c r="G189">
        <v>-5225</v>
      </c>
      <c r="H189" s="1">
        <f t="shared" si="7"/>
        <v>40954</v>
      </c>
      <c r="I189">
        <f>IF(AND(MyRowHidden(ROW())=FALSE,MyRowHidden(ROW()-1)=TRUE),0,(E189-E188)*unitsOfDHp+I188)</f>
        <v>103840</v>
      </c>
      <c r="J189">
        <f>IF(AND(MyRowHidden(ROW())=FALSE,MyRowHidden(ROW()-1)=TRUE),0,(G189-G188)*unitsOfExo+J188)</f>
        <v>-2250</v>
      </c>
      <c r="K189" s="9">
        <f t="shared" si="8"/>
        <v>102250</v>
      </c>
      <c r="L189">
        <f t="shared" si="9"/>
        <v>101590</v>
      </c>
    </row>
    <row r="190" spans="1:12" x14ac:dyDescent="0.25">
      <c r="A190" s="1"/>
      <c r="C190" s="1"/>
      <c r="D190" s="1">
        <v>40955</v>
      </c>
      <c r="E190">
        <v>5317</v>
      </c>
      <c r="F190" s="1">
        <v>40955</v>
      </c>
      <c r="G190">
        <v>-4887.5</v>
      </c>
      <c r="H190" s="1">
        <f t="shared" si="7"/>
        <v>40955</v>
      </c>
      <c r="I190">
        <f>IF(AND(MyRowHidden(ROW())=FALSE,MyRowHidden(ROW()-1)=TRUE),0,(E190-E189)*unitsOfDHp+I189)</f>
        <v>103170</v>
      </c>
      <c r="J190">
        <f>IF(AND(MyRowHidden(ROW())=FALSE,MyRowHidden(ROW()-1)=TRUE),0,(G190-G189)*unitsOfExo+J189)</f>
        <v>1125</v>
      </c>
      <c r="K190" s="9">
        <f t="shared" si="8"/>
        <v>98875</v>
      </c>
      <c r="L190">
        <f t="shared" si="9"/>
        <v>104295</v>
      </c>
    </row>
    <row r="191" spans="1:12" x14ac:dyDescent="0.25">
      <c r="A191" s="1"/>
      <c r="C191" s="1"/>
      <c r="D191" s="1">
        <v>40956</v>
      </c>
      <c r="E191">
        <v>5037</v>
      </c>
      <c r="F191" s="1">
        <v>40956</v>
      </c>
      <c r="G191">
        <v>-4400</v>
      </c>
      <c r="H191" s="1">
        <f t="shared" si="7"/>
        <v>40956</v>
      </c>
      <c r="I191">
        <f>IF(AND(MyRowHidden(ROW())=FALSE,MyRowHidden(ROW()-1)=TRUE),0,(E191-E190)*unitsOfDHp+I190)</f>
        <v>100370</v>
      </c>
      <c r="J191">
        <f>IF(AND(MyRowHidden(ROW())=FALSE,MyRowHidden(ROW()-1)=TRUE),0,(G191-G190)*unitsOfExo+J190)</f>
        <v>6000</v>
      </c>
      <c r="K191" s="9">
        <f t="shared" si="8"/>
        <v>94000</v>
      </c>
      <c r="L191">
        <f t="shared" si="9"/>
        <v>106370</v>
      </c>
    </row>
    <row r="192" spans="1:12" x14ac:dyDescent="0.25">
      <c r="A192" s="1"/>
      <c r="C192" s="1"/>
      <c r="D192" s="1">
        <v>40960</v>
      </c>
      <c r="E192">
        <v>5310</v>
      </c>
      <c r="F192" s="1">
        <v>40960</v>
      </c>
      <c r="G192">
        <v>-5087.5</v>
      </c>
      <c r="H192" s="1">
        <f t="shared" si="7"/>
        <v>40960</v>
      </c>
      <c r="I192">
        <f>IF(AND(MyRowHidden(ROW())=FALSE,MyRowHidden(ROW()-1)=TRUE),0,(E192-E191)*unitsOfDHp+I191)</f>
        <v>103100</v>
      </c>
      <c r="J192">
        <f>IF(AND(MyRowHidden(ROW())=FALSE,MyRowHidden(ROW()-1)=TRUE),0,(G192-G191)*unitsOfExo+J191)</f>
        <v>-875</v>
      </c>
      <c r="K192" s="9">
        <f t="shared" si="8"/>
        <v>100875</v>
      </c>
      <c r="L192">
        <f t="shared" si="9"/>
        <v>102225</v>
      </c>
    </row>
    <row r="193" spans="1:12" x14ac:dyDescent="0.25">
      <c r="A193" s="1"/>
      <c r="C193" s="1"/>
      <c r="D193" s="1">
        <v>40961</v>
      </c>
      <c r="E193">
        <v>5340</v>
      </c>
      <c r="F193" s="1">
        <v>40961</v>
      </c>
      <c r="G193">
        <v>-4737.5</v>
      </c>
      <c r="H193" s="1">
        <f t="shared" si="7"/>
        <v>40961</v>
      </c>
      <c r="I193">
        <f>IF(AND(MyRowHidden(ROW())=FALSE,MyRowHidden(ROW()-1)=TRUE),0,(E193-E192)*unitsOfDHp+I192)</f>
        <v>103400</v>
      </c>
      <c r="J193">
        <f>IF(AND(MyRowHidden(ROW())=FALSE,MyRowHidden(ROW()-1)=TRUE),0,(G193-G192)*unitsOfExo+J192)</f>
        <v>2625</v>
      </c>
      <c r="K193" s="9">
        <f t="shared" si="8"/>
        <v>97375</v>
      </c>
      <c r="L193">
        <f t="shared" si="9"/>
        <v>106025</v>
      </c>
    </row>
    <row r="194" spans="1:12" x14ac:dyDescent="0.25">
      <c r="A194" s="1"/>
      <c r="C194" s="1"/>
      <c r="D194" s="1">
        <v>40962</v>
      </c>
      <c r="E194">
        <v>5389</v>
      </c>
      <c r="F194" s="1">
        <v>40962</v>
      </c>
      <c r="G194">
        <v>-4625</v>
      </c>
      <c r="H194" s="1">
        <f t="shared" si="7"/>
        <v>40962</v>
      </c>
      <c r="I194">
        <f>IF(AND(MyRowHidden(ROW())=FALSE,MyRowHidden(ROW()-1)=TRUE),0,(E194-E193)*unitsOfDHp+I193)</f>
        <v>103890</v>
      </c>
      <c r="J194">
        <f>IF(AND(MyRowHidden(ROW())=FALSE,MyRowHidden(ROW()-1)=TRUE),0,(G194-G193)*unitsOfExo+J193)</f>
        <v>3750</v>
      </c>
      <c r="K194" s="9">
        <f t="shared" si="8"/>
        <v>96250</v>
      </c>
      <c r="L194">
        <f t="shared" si="9"/>
        <v>107640</v>
      </c>
    </row>
    <row r="195" spans="1:12" x14ac:dyDescent="0.25">
      <c r="A195" s="1"/>
      <c r="C195" s="1"/>
      <c r="D195" s="1">
        <v>40963</v>
      </c>
      <c r="E195">
        <v>5435</v>
      </c>
      <c r="F195" s="1">
        <v>40963</v>
      </c>
      <c r="G195">
        <v>-4512.5</v>
      </c>
      <c r="H195" s="1">
        <f t="shared" si="7"/>
        <v>40963</v>
      </c>
      <c r="I195">
        <f>IF(AND(MyRowHidden(ROW())=FALSE,MyRowHidden(ROW()-1)=TRUE),0,(E195-E194)*unitsOfDHp+I194)</f>
        <v>104350</v>
      </c>
      <c r="J195">
        <f>IF(AND(MyRowHidden(ROW())=FALSE,MyRowHidden(ROW()-1)=TRUE),0,(G195-G194)*unitsOfExo+J194)</f>
        <v>4875</v>
      </c>
      <c r="K195" s="9">
        <f t="shared" si="8"/>
        <v>95125</v>
      </c>
      <c r="L195">
        <f t="shared" si="9"/>
        <v>109225</v>
      </c>
    </row>
    <row r="196" spans="1:12" x14ac:dyDescent="0.25">
      <c r="A196" s="1"/>
      <c r="C196" s="1"/>
      <c r="D196" s="1">
        <v>40966</v>
      </c>
      <c r="E196">
        <v>5556</v>
      </c>
      <c r="F196" s="1">
        <v>40966</v>
      </c>
      <c r="G196">
        <v>-4350</v>
      </c>
      <c r="H196" s="1">
        <f t="shared" si="7"/>
        <v>40966</v>
      </c>
      <c r="I196">
        <f>IF(AND(MyRowHidden(ROW())=FALSE,MyRowHidden(ROW()-1)=TRUE),0,(E196-E195)*unitsOfDHp+I195)</f>
        <v>105560</v>
      </c>
      <c r="J196">
        <f>IF(AND(MyRowHidden(ROW())=FALSE,MyRowHidden(ROW()-1)=TRUE),0,(G196-G195)*unitsOfExo+J195)</f>
        <v>6500</v>
      </c>
      <c r="K196" s="9">
        <f t="shared" si="8"/>
        <v>93500</v>
      </c>
      <c r="L196">
        <f t="shared" si="9"/>
        <v>112060</v>
      </c>
    </row>
    <row r="197" spans="1:12" x14ac:dyDescent="0.25">
      <c r="A197" s="1"/>
      <c r="C197" s="1"/>
      <c r="D197" s="1">
        <v>40967</v>
      </c>
      <c r="E197">
        <v>5691</v>
      </c>
      <c r="F197" s="1">
        <v>40967</v>
      </c>
      <c r="G197">
        <v>-3987.5</v>
      </c>
      <c r="H197" s="1">
        <f t="shared" si="7"/>
        <v>40967</v>
      </c>
      <c r="I197">
        <f>IF(AND(MyRowHidden(ROW())=FALSE,MyRowHidden(ROW()-1)=TRUE),0,(E197-E196)*unitsOfDHp+I196)</f>
        <v>106910</v>
      </c>
      <c r="J197">
        <f>IF(AND(MyRowHidden(ROW())=FALSE,MyRowHidden(ROW()-1)=TRUE),0,(G197-G196)*unitsOfExo+J196)</f>
        <v>10125</v>
      </c>
      <c r="K197" s="9">
        <f t="shared" si="8"/>
        <v>89875</v>
      </c>
      <c r="L197">
        <f t="shared" si="9"/>
        <v>117035</v>
      </c>
    </row>
    <row r="198" spans="1:12" x14ac:dyDescent="0.25">
      <c r="A198" s="1"/>
      <c r="C198" s="1"/>
      <c r="D198" s="1">
        <v>40968</v>
      </c>
      <c r="E198">
        <v>5591</v>
      </c>
      <c r="F198" s="1">
        <v>40968</v>
      </c>
      <c r="G198">
        <v>-3687.5</v>
      </c>
      <c r="H198" s="1">
        <f t="shared" si="7"/>
        <v>40968</v>
      </c>
      <c r="I198">
        <f>IF(AND(MyRowHidden(ROW())=FALSE,MyRowHidden(ROW()-1)=TRUE),0,(E198-E197)*unitsOfDHp+I197)</f>
        <v>105910</v>
      </c>
      <c r="J198">
        <f>IF(AND(MyRowHidden(ROW())=FALSE,MyRowHidden(ROW()-1)=TRUE),0,(G198-G197)*unitsOfExo+J197)</f>
        <v>13125</v>
      </c>
      <c r="K198" s="9">
        <f t="shared" si="8"/>
        <v>86875</v>
      </c>
      <c r="L198">
        <f t="shared" si="9"/>
        <v>119035</v>
      </c>
    </row>
    <row r="199" spans="1:12" x14ac:dyDescent="0.25">
      <c r="A199" s="1"/>
      <c r="C199" s="1"/>
      <c r="D199" s="1">
        <v>40969</v>
      </c>
      <c r="E199">
        <v>6133</v>
      </c>
      <c r="F199" s="1">
        <v>40969</v>
      </c>
      <c r="G199">
        <v>-3887.5</v>
      </c>
      <c r="H199" s="1">
        <f t="shared" si="7"/>
        <v>40969</v>
      </c>
      <c r="I199">
        <f>IF(AND(MyRowHidden(ROW())=FALSE,MyRowHidden(ROW()-1)=TRUE),0,(E199-E198)*unitsOfDHp+I198)</f>
        <v>111330</v>
      </c>
      <c r="J199">
        <f>IF(AND(MyRowHidden(ROW())=FALSE,MyRowHidden(ROW()-1)=TRUE),0,(G199-G198)*unitsOfExo+J198)</f>
        <v>11125</v>
      </c>
      <c r="K199" s="9">
        <f t="shared" si="8"/>
        <v>88875</v>
      </c>
      <c r="L199">
        <f t="shared" si="9"/>
        <v>122455</v>
      </c>
    </row>
    <row r="200" spans="1:12" x14ac:dyDescent="0.25">
      <c r="A200" s="1"/>
      <c r="C200" s="1"/>
      <c r="D200" s="1">
        <v>40970</v>
      </c>
      <c r="E200">
        <v>6587</v>
      </c>
      <c r="F200" s="1">
        <v>40970</v>
      </c>
      <c r="G200">
        <v>-3862.5</v>
      </c>
      <c r="H200" s="1">
        <f t="shared" si="7"/>
        <v>40970</v>
      </c>
      <c r="I200">
        <f>IF(AND(MyRowHidden(ROW())=FALSE,MyRowHidden(ROW()-1)=TRUE),0,(E200-E199)*unitsOfDHp+I199)</f>
        <v>115870</v>
      </c>
      <c r="J200">
        <f>IF(AND(MyRowHidden(ROW())=FALSE,MyRowHidden(ROW()-1)=TRUE),0,(G200-G199)*unitsOfExo+J199)</f>
        <v>11375</v>
      </c>
      <c r="K200" s="9">
        <f t="shared" si="8"/>
        <v>88625</v>
      </c>
      <c r="L200">
        <f t="shared" si="9"/>
        <v>127245</v>
      </c>
    </row>
    <row r="201" spans="1:12" x14ac:dyDescent="0.25">
      <c r="A201" s="1"/>
      <c r="C201" s="1"/>
      <c r="D201" s="1">
        <v>40973</v>
      </c>
      <c r="E201">
        <v>5532</v>
      </c>
      <c r="F201" s="1">
        <v>40973</v>
      </c>
      <c r="G201">
        <v>-3300</v>
      </c>
      <c r="H201" s="1">
        <f t="shared" si="7"/>
        <v>40973</v>
      </c>
      <c r="I201">
        <f>IF(AND(MyRowHidden(ROW())=FALSE,MyRowHidden(ROW()-1)=TRUE),0,(E201-E200)*unitsOfDHp+I200)</f>
        <v>105320</v>
      </c>
      <c r="J201">
        <f>IF(AND(MyRowHidden(ROW())=FALSE,MyRowHidden(ROW()-1)=TRUE),0,(G201-G200)*unitsOfExo+J200)</f>
        <v>17000</v>
      </c>
      <c r="K201" s="9">
        <f t="shared" si="8"/>
        <v>83000</v>
      </c>
      <c r="L201">
        <f t="shared" si="9"/>
        <v>122320</v>
      </c>
    </row>
    <row r="202" spans="1:12" x14ac:dyDescent="0.25">
      <c r="A202" s="1"/>
      <c r="C202" s="1"/>
      <c r="D202" s="1">
        <v>40974</v>
      </c>
      <c r="E202">
        <v>5777</v>
      </c>
      <c r="F202" s="1">
        <v>40974</v>
      </c>
      <c r="G202">
        <v>-3462.5</v>
      </c>
      <c r="H202" s="1">
        <f t="shared" si="7"/>
        <v>40974</v>
      </c>
      <c r="I202">
        <f>IF(AND(MyRowHidden(ROW())=FALSE,MyRowHidden(ROW()-1)=TRUE),0,(E202-E201)*unitsOfDHp+I201)</f>
        <v>107770</v>
      </c>
      <c r="J202">
        <f>IF(AND(MyRowHidden(ROW())=FALSE,MyRowHidden(ROW()-1)=TRUE),0,(G202-G201)*unitsOfExo+J201)</f>
        <v>15375</v>
      </c>
      <c r="K202" s="9">
        <f t="shared" si="8"/>
        <v>84625</v>
      </c>
      <c r="L202">
        <f t="shared" si="9"/>
        <v>123145</v>
      </c>
    </row>
    <row r="203" spans="1:12" x14ac:dyDescent="0.25">
      <c r="A203" s="1"/>
      <c r="C203" s="1"/>
      <c r="D203" s="1">
        <v>40975</v>
      </c>
      <c r="E203">
        <v>7101</v>
      </c>
      <c r="F203" s="1">
        <v>40975</v>
      </c>
      <c r="G203">
        <v>-4325</v>
      </c>
      <c r="H203" s="1">
        <f t="shared" si="7"/>
        <v>40975</v>
      </c>
      <c r="I203">
        <f>IF(AND(MyRowHidden(ROW())=FALSE,MyRowHidden(ROW()-1)=TRUE),0,(E203-E202)*unitsOfDHp+I202)</f>
        <v>121010</v>
      </c>
      <c r="J203">
        <f>IF(AND(MyRowHidden(ROW())=FALSE,MyRowHidden(ROW()-1)=TRUE),0,(G203-G202)*unitsOfExo+J202)</f>
        <v>6750</v>
      </c>
      <c r="K203" s="9">
        <f t="shared" si="8"/>
        <v>93250</v>
      </c>
      <c r="L203">
        <f t="shared" si="9"/>
        <v>127760</v>
      </c>
    </row>
    <row r="204" spans="1:12" x14ac:dyDescent="0.25">
      <c r="A204" s="1"/>
      <c r="C204" s="1"/>
      <c r="D204" s="1">
        <v>40976</v>
      </c>
      <c r="E204">
        <v>7314</v>
      </c>
      <c r="F204" s="1">
        <v>40976</v>
      </c>
      <c r="G204">
        <v>-4425</v>
      </c>
      <c r="H204" s="1">
        <f t="shared" si="7"/>
        <v>40976</v>
      </c>
      <c r="I204">
        <f>IF(AND(MyRowHidden(ROW())=FALSE,MyRowHidden(ROW()-1)=TRUE),0,(E204-E203)*unitsOfDHp+I203)</f>
        <v>123140</v>
      </c>
      <c r="J204">
        <f>IF(AND(MyRowHidden(ROW())=FALSE,MyRowHidden(ROW()-1)=TRUE),0,(G204-G203)*unitsOfExo+J203)</f>
        <v>5750</v>
      </c>
      <c r="K204" s="9">
        <f t="shared" si="8"/>
        <v>94250</v>
      </c>
      <c r="L204">
        <f t="shared" si="9"/>
        <v>128890</v>
      </c>
    </row>
    <row r="205" spans="1:12" x14ac:dyDescent="0.25">
      <c r="A205" s="1"/>
      <c r="C205" s="1"/>
      <c r="D205" s="1">
        <v>40977</v>
      </c>
      <c r="E205">
        <v>7521</v>
      </c>
      <c r="F205" s="1">
        <v>40977</v>
      </c>
      <c r="G205">
        <v>-3925</v>
      </c>
      <c r="H205" s="1">
        <f t="shared" ref="H205:H268" si="10">D205</f>
        <v>40977</v>
      </c>
      <c r="I205">
        <f>IF(AND(MyRowHidden(ROW())=FALSE,MyRowHidden(ROW()-1)=TRUE),0,(E205-E204)*unitsOfDHp+I204)</f>
        <v>125210</v>
      </c>
      <c r="J205">
        <f>IF(AND(MyRowHidden(ROW())=FALSE,MyRowHidden(ROW()-1)=TRUE),0,(G205-G204)*unitsOfExo+J204)</f>
        <v>10750</v>
      </c>
      <c r="K205" s="9">
        <f t="shared" ref="K205:K268" si="11">-(J205-J204)+K204</f>
        <v>89250</v>
      </c>
      <c r="L205">
        <f t="shared" ref="L205:L268" si="12">I205+J205</f>
        <v>135960</v>
      </c>
    </row>
    <row r="206" spans="1:12" x14ac:dyDescent="0.25">
      <c r="A206" s="1"/>
      <c r="C206" s="1"/>
      <c r="D206" s="1">
        <v>40980</v>
      </c>
      <c r="E206">
        <v>8228</v>
      </c>
      <c r="F206" s="1">
        <v>40980</v>
      </c>
      <c r="G206">
        <v>-3212.5</v>
      </c>
      <c r="H206" s="1">
        <f t="shared" si="10"/>
        <v>40980</v>
      </c>
      <c r="I206">
        <f>IF(AND(MyRowHidden(ROW())=FALSE,MyRowHidden(ROW()-1)=TRUE),0,(E206-E205)*unitsOfDHp+I205)</f>
        <v>132280</v>
      </c>
      <c r="J206">
        <f>IF(AND(MyRowHidden(ROW())=FALSE,MyRowHidden(ROW()-1)=TRUE),0,(G206-G205)*unitsOfExo+J205)</f>
        <v>17875</v>
      </c>
      <c r="K206" s="9">
        <f t="shared" si="11"/>
        <v>82125</v>
      </c>
      <c r="L206">
        <f t="shared" si="12"/>
        <v>150155</v>
      </c>
    </row>
    <row r="207" spans="1:12" x14ac:dyDescent="0.25">
      <c r="A207" s="1"/>
      <c r="C207" s="1"/>
      <c r="D207" s="1">
        <v>40981</v>
      </c>
      <c r="E207">
        <v>8429</v>
      </c>
      <c r="F207" s="1">
        <v>40981</v>
      </c>
      <c r="G207">
        <v>-3062.5</v>
      </c>
      <c r="H207" s="1">
        <f t="shared" si="10"/>
        <v>40981</v>
      </c>
      <c r="I207">
        <f>IF(AND(MyRowHidden(ROW())=FALSE,MyRowHidden(ROW()-1)=TRUE),0,(E207-E206)*unitsOfDHp+I206)</f>
        <v>134290</v>
      </c>
      <c r="J207">
        <f>IF(AND(MyRowHidden(ROW())=FALSE,MyRowHidden(ROW()-1)=TRUE),0,(G207-G206)*unitsOfExo+J206)</f>
        <v>19375</v>
      </c>
      <c r="K207" s="9">
        <f t="shared" si="11"/>
        <v>80625</v>
      </c>
      <c r="L207">
        <f t="shared" si="12"/>
        <v>153665</v>
      </c>
    </row>
    <row r="208" spans="1:12" x14ac:dyDescent="0.25">
      <c r="A208" s="1"/>
      <c r="C208" s="1"/>
      <c r="D208" s="1">
        <v>40982</v>
      </c>
      <c r="E208">
        <v>8605</v>
      </c>
      <c r="F208" s="1">
        <v>40982</v>
      </c>
      <c r="G208">
        <v>-3237.5</v>
      </c>
      <c r="H208" s="1">
        <f t="shared" si="10"/>
        <v>40982</v>
      </c>
      <c r="I208">
        <f>IF(AND(MyRowHidden(ROW())=FALSE,MyRowHidden(ROW()-1)=TRUE),0,(E208-E207)*unitsOfDHp+I207)</f>
        <v>136050</v>
      </c>
      <c r="J208">
        <f>IF(AND(MyRowHidden(ROW())=FALSE,MyRowHidden(ROW()-1)=TRUE),0,(G208-G207)*unitsOfExo+J207)</f>
        <v>17625</v>
      </c>
      <c r="K208" s="9">
        <f t="shared" si="11"/>
        <v>82375</v>
      </c>
      <c r="L208">
        <f t="shared" si="12"/>
        <v>153675</v>
      </c>
    </row>
    <row r="209" spans="1:12" x14ac:dyDescent="0.25">
      <c r="A209" s="1"/>
      <c r="C209" s="1"/>
      <c r="D209" s="1">
        <v>40983</v>
      </c>
      <c r="E209">
        <v>7227</v>
      </c>
      <c r="F209" s="1">
        <v>40983</v>
      </c>
      <c r="G209">
        <v>-2662.5</v>
      </c>
      <c r="H209" s="1">
        <f t="shared" si="10"/>
        <v>40983</v>
      </c>
      <c r="I209">
        <f>IF(AND(MyRowHidden(ROW())=FALSE,MyRowHidden(ROW()-1)=TRUE),0,(E209-E208)*unitsOfDHp+I208)</f>
        <v>122270</v>
      </c>
      <c r="J209">
        <f>IF(AND(MyRowHidden(ROW())=FALSE,MyRowHidden(ROW()-1)=TRUE),0,(G209-G208)*unitsOfExo+J208)</f>
        <v>23375</v>
      </c>
      <c r="K209" s="9">
        <f t="shared" si="11"/>
        <v>76625</v>
      </c>
      <c r="L209">
        <f t="shared" si="12"/>
        <v>145645</v>
      </c>
    </row>
    <row r="210" spans="1:12" x14ac:dyDescent="0.25">
      <c r="A210" s="1"/>
      <c r="C210" s="1"/>
      <c r="D210" s="1">
        <v>40984</v>
      </c>
      <c r="E210">
        <v>6727</v>
      </c>
      <c r="F210" s="1">
        <v>40984</v>
      </c>
      <c r="G210">
        <v>-2537.5</v>
      </c>
      <c r="H210" s="1">
        <f t="shared" si="10"/>
        <v>40984</v>
      </c>
      <c r="I210">
        <f>IF(AND(MyRowHidden(ROW())=FALSE,MyRowHidden(ROW()-1)=TRUE),0,(E210-E209)*unitsOfDHp+I209)</f>
        <v>117270</v>
      </c>
      <c r="J210">
        <f>IF(AND(MyRowHidden(ROW())=FALSE,MyRowHidden(ROW()-1)=TRUE),0,(G210-G209)*unitsOfExo+J209)</f>
        <v>24625</v>
      </c>
      <c r="K210" s="9">
        <f t="shared" si="11"/>
        <v>75375</v>
      </c>
      <c r="L210">
        <f t="shared" si="12"/>
        <v>141895</v>
      </c>
    </row>
    <row r="211" spans="1:12" x14ac:dyDescent="0.25">
      <c r="A211" s="1"/>
      <c r="C211" s="1"/>
      <c r="D211" s="1">
        <v>40987</v>
      </c>
      <c r="E211">
        <v>7154</v>
      </c>
      <c r="F211" s="1">
        <v>40987</v>
      </c>
      <c r="G211">
        <v>-2712.5</v>
      </c>
      <c r="H211" s="1">
        <f t="shared" si="10"/>
        <v>40987</v>
      </c>
      <c r="I211">
        <f>IF(AND(MyRowHidden(ROW())=FALSE,MyRowHidden(ROW()-1)=TRUE),0,(E211-E210)*unitsOfDHp+I210)</f>
        <v>121540</v>
      </c>
      <c r="J211">
        <f>IF(AND(MyRowHidden(ROW())=FALSE,MyRowHidden(ROW()-1)=TRUE),0,(G211-G210)*unitsOfExo+J210)</f>
        <v>22875</v>
      </c>
      <c r="K211" s="9">
        <f t="shared" si="11"/>
        <v>77125</v>
      </c>
      <c r="L211">
        <f t="shared" si="12"/>
        <v>144415</v>
      </c>
    </row>
    <row r="212" spans="1:12" x14ac:dyDescent="0.25">
      <c r="A212" s="1"/>
      <c r="C212" s="1"/>
      <c r="D212" s="1">
        <v>40988</v>
      </c>
      <c r="E212">
        <v>10715</v>
      </c>
      <c r="F212" s="1">
        <v>40988</v>
      </c>
      <c r="G212">
        <v>-3750</v>
      </c>
      <c r="H212" s="1">
        <f t="shared" si="10"/>
        <v>40988</v>
      </c>
      <c r="I212">
        <f>IF(AND(MyRowHidden(ROW())=FALSE,MyRowHidden(ROW()-1)=TRUE),0,(E212-E211)*unitsOfDHp+I211)</f>
        <v>157150</v>
      </c>
      <c r="J212">
        <f>IF(AND(MyRowHidden(ROW())=FALSE,MyRowHidden(ROW()-1)=TRUE),0,(G212-G211)*unitsOfExo+J211)</f>
        <v>12500</v>
      </c>
      <c r="K212" s="9">
        <f t="shared" si="11"/>
        <v>87500</v>
      </c>
      <c r="L212">
        <f t="shared" si="12"/>
        <v>169650</v>
      </c>
    </row>
    <row r="213" spans="1:12" x14ac:dyDescent="0.25">
      <c r="A213" s="1"/>
      <c r="C213" s="1"/>
      <c r="D213" s="1">
        <v>40989</v>
      </c>
      <c r="E213">
        <v>11031</v>
      </c>
      <c r="F213" s="1">
        <v>40989</v>
      </c>
      <c r="G213">
        <v>-3850</v>
      </c>
      <c r="H213" s="1">
        <f t="shared" si="10"/>
        <v>40989</v>
      </c>
      <c r="I213">
        <f>IF(AND(MyRowHidden(ROW())=FALSE,MyRowHidden(ROW()-1)=TRUE),0,(E213-E212)*unitsOfDHp+I212)</f>
        <v>160310</v>
      </c>
      <c r="J213">
        <f>IF(AND(MyRowHidden(ROW())=FALSE,MyRowHidden(ROW()-1)=TRUE),0,(G213-G212)*unitsOfExo+J212)</f>
        <v>11500</v>
      </c>
      <c r="K213" s="9">
        <f t="shared" si="11"/>
        <v>88500</v>
      </c>
      <c r="L213">
        <f t="shared" si="12"/>
        <v>171810</v>
      </c>
    </row>
    <row r="214" spans="1:12" x14ac:dyDescent="0.25">
      <c r="A214" s="1"/>
      <c r="C214" s="1"/>
      <c r="D214" s="1">
        <v>40990</v>
      </c>
      <c r="E214">
        <v>11131</v>
      </c>
      <c r="F214" s="1">
        <v>40990</v>
      </c>
      <c r="G214">
        <v>-3900</v>
      </c>
      <c r="H214" s="1">
        <f t="shared" si="10"/>
        <v>40990</v>
      </c>
      <c r="I214">
        <f>IF(AND(MyRowHidden(ROW())=FALSE,MyRowHidden(ROW()-1)=TRUE),0,(E214-E213)*unitsOfDHp+I213)</f>
        <v>161310</v>
      </c>
      <c r="J214">
        <f>IF(AND(MyRowHidden(ROW())=FALSE,MyRowHidden(ROW()-1)=TRUE),0,(G214-G213)*unitsOfExo+J213)</f>
        <v>11000</v>
      </c>
      <c r="K214" s="9">
        <f t="shared" si="11"/>
        <v>89000</v>
      </c>
      <c r="L214">
        <f t="shared" si="12"/>
        <v>172310</v>
      </c>
    </row>
    <row r="215" spans="1:12" x14ac:dyDescent="0.25">
      <c r="A215" s="1"/>
      <c r="C215" s="1"/>
      <c r="D215" s="1">
        <v>40991</v>
      </c>
      <c r="E215">
        <v>11127</v>
      </c>
      <c r="F215" s="1">
        <v>40991</v>
      </c>
      <c r="G215">
        <v>-3887.5</v>
      </c>
      <c r="H215" s="1">
        <f t="shared" si="10"/>
        <v>40991</v>
      </c>
      <c r="I215">
        <f>IF(AND(MyRowHidden(ROW())=FALSE,MyRowHidden(ROW()-1)=TRUE),0,(E215-E214)*unitsOfDHp+I214)</f>
        <v>161270</v>
      </c>
      <c r="J215">
        <f>IF(AND(MyRowHidden(ROW())=FALSE,MyRowHidden(ROW()-1)=TRUE),0,(G215-G214)*unitsOfExo+J214)</f>
        <v>11125</v>
      </c>
      <c r="K215" s="9">
        <f t="shared" si="11"/>
        <v>88875</v>
      </c>
      <c r="L215">
        <f t="shared" si="12"/>
        <v>172395</v>
      </c>
    </row>
    <row r="216" spans="1:12" x14ac:dyDescent="0.25">
      <c r="A216" s="1"/>
      <c r="C216" s="1"/>
      <c r="D216" s="1">
        <v>40994</v>
      </c>
      <c r="E216">
        <v>11355</v>
      </c>
      <c r="F216" s="1">
        <v>40994</v>
      </c>
      <c r="G216">
        <v>-3987.5</v>
      </c>
      <c r="H216" s="1">
        <f t="shared" si="10"/>
        <v>40994</v>
      </c>
      <c r="I216">
        <f>IF(AND(MyRowHidden(ROW())=FALSE,MyRowHidden(ROW()-1)=TRUE),0,(E216-E215)*unitsOfDHp+I215)</f>
        <v>163550</v>
      </c>
      <c r="J216">
        <f>IF(AND(MyRowHidden(ROW())=FALSE,MyRowHidden(ROW()-1)=TRUE),0,(G216-G215)*unitsOfExo+J215)</f>
        <v>10125</v>
      </c>
      <c r="K216" s="9">
        <f t="shared" si="11"/>
        <v>89875</v>
      </c>
      <c r="L216">
        <f t="shared" si="12"/>
        <v>173675</v>
      </c>
    </row>
    <row r="217" spans="1:12" x14ac:dyDescent="0.25">
      <c r="A217" s="1"/>
      <c r="C217" s="1"/>
      <c r="D217" s="1">
        <v>40995</v>
      </c>
      <c r="E217">
        <v>11870</v>
      </c>
      <c r="F217" s="1">
        <v>40995</v>
      </c>
      <c r="G217">
        <v>-4337.5</v>
      </c>
      <c r="H217" s="1">
        <f t="shared" si="10"/>
        <v>40995</v>
      </c>
      <c r="I217">
        <f>IF(AND(MyRowHidden(ROW())=FALSE,MyRowHidden(ROW()-1)=TRUE),0,(E217-E216)*unitsOfDHp+I216)</f>
        <v>168700</v>
      </c>
      <c r="J217">
        <f>IF(AND(MyRowHidden(ROW())=FALSE,MyRowHidden(ROW()-1)=TRUE),0,(G217-G216)*unitsOfExo+J216)</f>
        <v>6625</v>
      </c>
      <c r="K217" s="9">
        <f t="shared" si="11"/>
        <v>93375</v>
      </c>
      <c r="L217">
        <f t="shared" si="12"/>
        <v>175325</v>
      </c>
    </row>
    <row r="218" spans="1:12" x14ac:dyDescent="0.25">
      <c r="A218" s="1"/>
      <c r="C218" s="1"/>
      <c r="D218" s="1">
        <v>40996</v>
      </c>
      <c r="E218">
        <v>12505</v>
      </c>
      <c r="F218" s="1">
        <v>40996</v>
      </c>
      <c r="G218">
        <v>-4937.5</v>
      </c>
      <c r="H218" s="1">
        <f t="shared" si="10"/>
        <v>40996</v>
      </c>
      <c r="I218">
        <f>IF(AND(MyRowHidden(ROW())=FALSE,MyRowHidden(ROW()-1)=TRUE),0,(E218-E217)*unitsOfDHp+I217)</f>
        <v>175050</v>
      </c>
      <c r="J218">
        <f>IF(AND(MyRowHidden(ROW())=FALSE,MyRowHidden(ROW()-1)=TRUE),0,(G218-G217)*unitsOfExo+J217)</f>
        <v>625</v>
      </c>
      <c r="K218" s="9">
        <f t="shared" si="11"/>
        <v>99375</v>
      </c>
      <c r="L218">
        <f t="shared" si="12"/>
        <v>175675</v>
      </c>
    </row>
    <row r="219" spans="1:12" x14ac:dyDescent="0.25">
      <c r="A219" s="1"/>
      <c r="C219" s="1"/>
      <c r="D219" s="1">
        <v>40997</v>
      </c>
      <c r="E219">
        <v>13156</v>
      </c>
      <c r="F219" s="1">
        <v>40997</v>
      </c>
      <c r="G219">
        <v>-5600</v>
      </c>
      <c r="H219" s="1">
        <f t="shared" si="10"/>
        <v>40997</v>
      </c>
      <c r="I219">
        <f>IF(AND(MyRowHidden(ROW())=FALSE,MyRowHidden(ROW()-1)=TRUE),0,(E219-E218)*unitsOfDHp+I218)</f>
        <v>181560</v>
      </c>
      <c r="J219">
        <f>IF(AND(MyRowHidden(ROW())=FALSE,MyRowHidden(ROW()-1)=TRUE),0,(G219-G218)*unitsOfExo+J218)</f>
        <v>-6000</v>
      </c>
      <c r="K219" s="9">
        <f t="shared" si="11"/>
        <v>106000</v>
      </c>
      <c r="L219">
        <f t="shared" si="12"/>
        <v>175560</v>
      </c>
    </row>
    <row r="220" spans="1:12" x14ac:dyDescent="0.25">
      <c r="A220" s="1"/>
      <c r="C220" s="1"/>
      <c r="D220" s="1">
        <v>40998</v>
      </c>
      <c r="E220">
        <v>12655</v>
      </c>
      <c r="F220" s="1">
        <v>40998</v>
      </c>
      <c r="G220">
        <v>-3837.5</v>
      </c>
      <c r="H220" s="1">
        <f t="shared" si="10"/>
        <v>40998</v>
      </c>
      <c r="I220">
        <f>IF(AND(MyRowHidden(ROW())=FALSE,MyRowHidden(ROW()-1)=TRUE),0,(E220-E219)*unitsOfDHp+I219)</f>
        <v>176550</v>
      </c>
      <c r="J220">
        <f>IF(AND(MyRowHidden(ROW())=FALSE,MyRowHidden(ROW()-1)=TRUE),0,(G220-G219)*unitsOfExo+J219)</f>
        <v>11625</v>
      </c>
      <c r="K220" s="9">
        <f t="shared" si="11"/>
        <v>88375</v>
      </c>
      <c r="L220">
        <f t="shared" si="12"/>
        <v>188175</v>
      </c>
    </row>
    <row r="221" spans="1:12" x14ac:dyDescent="0.25">
      <c r="A221" s="1"/>
      <c r="C221" s="1"/>
      <c r="D221" s="1">
        <v>41001</v>
      </c>
      <c r="E221">
        <v>11921</v>
      </c>
      <c r="F221" s="1">
        <v>41001</v>
      </c>
      <c r="G221">
        <v>-3175</v>
      </c>
      <c r="H221" s="1">
        <f t="shared" si="10"/>
        <v>41001</v>
      </c>
      <c r="I221">
        <f>IF(AND(MyRowHidden(ROW())=FALSE,MyRowHidden(ROW()-1)=TRUE),0,(E221-E220)*unitsOfDHp+I220)</f>
        <v>169210</v>
      </c>
      <c r="J221">
        <f>IF(AND(MyRowHidden(ROW())=FALSE,MyRowHidden(ROW()-1)=TRUE),0,(G221-G220)*unitsOfExo+J220)</f>
        <v>18250</v>
      </c>
      <c r="K221" s="9">
        <f t="shared" si="11"/>
        <v>81750</v>
      </c>
      <c r="L221">
        <f t="shared" si="12"/>
        <v>187460</v>
      </c>
    </row>
    <row r="222" spans="1:12" x14ac:dyDescent="0.25">
      <c r="A222" s="1"/>
      <c r="C222" s="1"/>
      <c r="D222" s="1">
        <v>41002</v>
      </c>
      <c r="E222">
        <v>11345</v>
      </c>
      <c r="F222" s="1">
        <v>41002</v>
      </c>
      <c r="G222">
        <v>-2900</v>
      </c>
      <c r="H222" s="1">
        <f t="shared" si="10"/>
        <v>41002</v>
      </c>
      <c r="I222">
        <f>IF(AND(MyRowHidden(ROW())=FALSE,MyRowHidden(ROW()-1)=TRUE),0,(E222-E221)*unitsOfDHp+I221)</f>
        <v>163450</v>
      </c>
      <c r="J222">
        <f>IF(AND(MyRowHidden(ROW())=FALSE,MyRowHidden(ROW()-1)=TRUE),0,(G222-G221)*unitsOfExo+J221)</f>
        <v>21000</v>
      </c>
      <c r="K222" s="9">
        <f t="shared" si="11"/>
        <v>79000</v>
      </c>
      <c r="L222">
        <f t="shared" si="12"/>
        <v>184450</v>
      </c>
    </row>
    <row r="223" spans="1:12" x14ac:dyDescent="0.25">
      <c r="A223" s="1"/>
      <c r="C223" s="1"/>
      <c r="D223" s="1">
        <v>41003</v>
      </c>
      <c r="E223">
        <v>11952</v>
      </c>
      <c r="F223" s="1">
        <v>41003</v>
      </c>
      <c r="G223">
        <v>-3337.5</v>
      </c>
      <c r="H223" s="1">
        <f t="shared" si="10"/>
        <v>41003</v>
      </c>
      <c r="I223">
        <f>IF(AND(MyRowHidden(ROW())=FALSE,MyRowHidden(ROW()-1)=TRUE),0,(E223-E222)*unitsOfDHp+I222)</f>
        <v>169520</v>
      </c>
      <c r="J223">
        <f>IF(AND(MyRowHidden(ROW())=FALSE,MyRowHidden(ROW()-1)=TRUE),0,(G223-G222)*unitsOfExo+J222)</f>
        <v>16625</v>
      </c>
      <c r="K223" s="9">
        <f t="shared" si="11"/>
        <v>83375</v>
      </c>
      <c r="L223">
        <f t="shared" si="12"/>
        <v>186145</v>
      </c>
    </row>
    <row r="224" spans="1:12" x14ac:dyDescent="0.25">
      <c r="A224" s="1"/>
      <c r="C224" s="1"/>
      <c r="D224" s="1">
        <v>41004</v>
      </c>
      <c r="E224">
        <v>11499</v>
      </c>
      <c r="F224" s="1">
        <v>41004</v>
      </c>
      <c r="G224">
        <v>-3125</v>
      </c>
      <c r="H224" s="1">
        <f t="shared" si="10"/>
        <v>41004</v>
      </c>
      <c r="I224">
        <f>IF(AND(MyRowHidden(ROW())=FALSE,MyRowHidden(ROW()-1)=TRUE),0,(E224-E223)*unitsOfDHp+I223)</f>
        <v>164990</v>
      </c>
      <c r="J224">
        <f>IF(AND(MyRowHidden(ROW())=FALSE,MyRowHidden(ROW()-1)=TRUE),0,(G224-G223)*unitsOfExo+J223)</f>
        <v>18750</v>
      </c>
      <c r="K224" s="9">
        <f t="shared" si="11"/>
        <v>81250</v>
      </c>
      <c r="L224">
        <f t="shared" si="12"/>
        <v>183740</v>
      </c>
    </row>
    <row r="225" spans="1:12" x14ac:dyDescent="0.25">
      <c r="A225" s="1"/>
      <c r="C225" s="1"/>
      <c r="D225" s="1">
        <v>41005</v>
      </c>
      <c r="E225">
        <v>11410</v>
      </c>
      <c r="F225" s="1">
        <v>41005</v>
      </c>
      <c r="G225">
        <v>-3125</v>
      </c>
      <c r="H225" s="1">
        <f t="shared" si="10"/>
        <v>41005</v>
      </c>
      <c r="I225">
        <f>IF(AND(MyRowHidden(ROW())=FALSE,MyRowHidden(ROW()-1)=TRUE),0,(E225-E224)*unitsOfDHp+I224)</f>
        <v>164100</v>
      </c>
      <c r="J225">
        <f>IF(AND(MyRowHidden(ROW())=FALSE,MyRowHidden(ROW()-1)=TRUE),0,(G225-G224)*unitsOfExo+J224)</f>
        <v>18750</v>
      </c>
      <c r="K225" s="9">
        <f t="shared" si="11"/>
        <v>81250</v>
      </c>
      <c r="L225">
        <f t="shared" si="12"/>
        <v>182850</v>
      </c>
    </row>
    <row r="226" spans="1:12" x14ac:dyDescent="0.25">
      <c r="A226" s="1"/>
      <c r="C226" s="1"/>
      <c r="D226" s="1">
        <v>41008</v>
      </c>
      <c r="E226">
        <v>11986</v>
      </c>
      <c r="F226" s="1">
        <v>41008</v>
      </c>
      <c r="G226">
        <v>-3425</v>
      </c>
      <c r="H226" s="1">
        <f t="shared" si="10"/>
        <v>41008</v>
      </c>
      <c r="I226">
        <f>IF(AND(MyRowHidden(ROW())=FALSE,MyRowHidden(ROW()-1)=TRUE),0,(E226-E225)*unitsOfDHp+I225)</f>
        <v>169860</v>
      </c>
      <c r="J226">
        <f>IF(AND(MyRowHidden(ROW())=FALSE,MyRowHidden(ROW()-1)=TRUE),0,(G226-G225)*unitsOfExo+J225)</f>
        <v>15750</v>
      </c>
      <c r="K226" s="9">
        <f t="shared" si="11"/>
        <v>84250</v>
      </c>
      <c r="L226">
        <f t="shared" si="12"/>
        <v>185610</v>
      </c>
    </row>
    <row r="227" spans="1:12" x14ac:dyDescent="0.25">
      <c r="A227" s="1"/>
      <c r="C227" s="1"/>
      <c r="D227" s="1">
        <v>41009</v>
      </c>
      <c r="E227">
        <v>13064</v>
      </c>
      <c r="F227" s="1">
        <v>41009</v>
      </c>
      <c r="G227">
        <v>-4212.5</v>
      </c>
      <c r="H227" s="1">
        <f t="shared" si="10"/>
        <v>41009</v>
      </c>
      <c r="I227">
        <f>IF(AND(MyRowHidden(ROW())=FALSE,MyRowHidden(ROW()-1)=TRUE),0,(E227-E226)*unitsOfDHp+I226)</f>
        <v>180640</v>
      </c>
      <c r="J227">
        <f>IF(AND(MyRowHidden(ROW())=FALSE,MyRowHidden(ROW()-1)=TRUE),0,(G227-G226)*unitsOfExo+J226)</f>
        <v>7875</v>
      </c>
      <c r="K227" s="9">
        <f t="shared" si="11"/>
        <v>92125</v>
      </c>
      <c r="L227">
        <f t="shared" si="12"/>
        <v>188515</v>
      </c>
    </row>
    <row r="228" spans="1:12" x14ac:dyDescent="0.25">
      <c r="A228" s="1"/>
      <c r="C228" s="1"/>
      <c r="D228" s="1">
        <v>41010</v>
      </c>
      <c r="E228">
        <v>13265</v>
      </c>
      <c r="F228" s="1">
        <v>41010</v>
      </c>
      <c r="G228">
        <v>-4362.5</v>
      </c>
      <c r="H228" s="1">
        <f t="shared" si="10"/>
        <v>41010</v>
      </c>
      <c r="I228">
        <f>IF(AND(MyRowHidden(ROW())=FALSE,MyRowHidden(ROW()-1)=TRUE),0,(E228-E227)*unitsOfDHp+I227)</f>
        <v>182650</v>
      </c>
      <c r="J228">
        <f>IF(AND(MyRowHidden(ROW())=FALSE,MyRowHidden(ROW()-1)=TRUE),0,(G228-G227)*unitsOfExo+J227)</f>
        <v>6375</v>
      </c>
      <c r="K228" s="9">
        <f t="shared" si="11"/>
        <v>93625</v>
      </c>
      <c r="L228">
        <f t="shared" si="12"/>
        <v>189025</v>
      </c>
    </row>
    <row r="229" spans="1:12" x14ac:dyDescent="0.25">
      <c r="A229" s="1"/>
      <c r="C229" s="1"/>
      <c r="D229" s="1">
        <v>41011</v>
      </c>
      <c r="E229">
        <v>13263</v>
      </c>
      <c r="F229" s="1">
        <v>41011</v>
      </c>
      <c r="G229">
        <v>-4050</v>
      </c>
      <c r="H229" s="1">
        <f t="shared" si="10"/>
        <v>41011</v>
      </c>
      <c r="I229">
        <f>IF(AND(MyRowHidden(ROW())=FALSE,MyRowHidden(ROW()-1)=TRUE),0,(E229-E228)*unitsOfDHp+I228)</f>
        <v>182630</v>
      </c>
      <c r="J229">
        <f>IF(AND(MyRowHidden(ROW())=FALSE,MyRowHidden(ROW()-1)=TRUE),0,(G229-G228)*unitsOfExo+J228)</f>
        <v>9500</v>
      </c>
      <c r="K229" s="9">
        <f t="shared" si="11"/>
        <v>90500</v>
      </c>
      <c r="L229">
        <f t="shared" si="12"/>
        <v>192130</v>
      </c>
    </row>
    <row r="230" spans="1:12" x14ac:dyDescent="0.25">
      <c r="A230" s="1"/>
      <c r="C230" s="1"/>
      <c r="D230" s="1">
        <v>41012</v>
      </c>
      <c r="E230">
        <v>13897</v>
      </c>
      <c r="F230" s="1">
        <v>41012</v>
      </c>
      <c r="G230">
        <v>-4725</v>
      </c>
      <c r="H230" s="1">
        <f t="shared" si="10"/>
        <v>41012</v>
      </c>
      <c r="I230">
        <f>IF(AND(MyRowHidden(ROW())=FALSE,MyRowHidden(ROW()-1)=TRUE),0,(E230-E229)*unitsOfDHp+I229)</f>
        <v>188970</v>
      </c>
      <c r="J230">
        <f>IF(AND(MyRowHidden(ROW())=FALSE,MyRowHidden(ROW()-1)=TRUE),0,(G230-G229)*unitsOfExo+J229)</f>
        <v>2750</v>
      </c>
      <c r="K230" s="9">
        <f t="shared" si="11"/>
        <v>97250</v>
      </c>
      <c r="L230">
        <f t="shared" si="12"/>
        <v>191720</v>
      </c>
    </row>
    <row r="231" spans="1:12" x14ac:dyDescent="0.25">
      <c r="A231" s="1"/>
      <c r="C231" s="1"/>
      <c r="D231" s="1">
        <v>41015</v>
      </c>
      <c r="E231">
        <v>13938</v>
      </c>
      <c r="F231" s="1">
        <v>41015</v>
      </c>
      <c r="G231">
        <v>-4737.5</v>
      </c>
      <c r="H231" s="1">
        <f t="shared" si="10"/>
        <v>41015</v>
      </c>
      <c r="I231">
        <f>IF(AND(MyRowHidden(ROW())=FALSE,MyRowHidden(ROW()-1)=TRUE),0,(E231-E230)*unitsOfDHp+I230)</f>
        <v>189380</v>
      </c>
      <c r="J231">
        <f>IF(AND(MyRowHidden(ROW())=FALSE,MyRowHidden(ROW()-1)=TRUE),0,(G231-G230)*unitsOfExo+J230)</f>
        <v>2625</v>
      </c>
      <c r="K231" s="9">
        <f t="shared" si="11"/>
        <v>97375</v>
      </c>
      <c r="L231">
        <f t="shared" si="12"/>
        <v>192005</v>
      </c>
    </row>
    <row r="232" spans="1:12" x14ac:dyDescent="0.25">
      <c r="A232" s="1"/>
      <c r="C232" s="1"/>
      <c r="D232" s="1">
        <v>41016</v>
      </c>
      <c r="E232">
        <v>13660</v>
      </c>
      <c r="F232" s="1">
        <v>41016</v>
      </c>
      <c r="G232">
        <v>-5037.5</v>
      </c>
      <c r="H232" s="1">
        <f t="shared" si="10"/>
        <v>41016</v>
      </c>
      <c r="I232">
        <f>IF(AND(MyRowHidden(ROW())=FALSE,MyRowHidden(ROW()-1)=TRUE),0,(E232-E231)*unitsOfDHp+I231)</f>
        <v>186600</v>
      </c>
      <c r="J232">
        <f>IF(AND(MyRowHidden(ROW())=FALSE,MyRowHidden(ROW()-1)=TRUE),0,(G232-G231)*unitsOfExo+J231)</f>
        <v>-375</v>
      </c>
      <c r="K232" s="9">
        <f t="shared" si="11"/>
        <v>100375</v>
      </c>
      <c r="L232">
        <f t="shared" si="12"/>
        <v>186225</v>
      </c>
    </row>
    <row r="233" spans="1:12" x14ac:dyDescent="0.25">
      <c r="A233" s="1"/>
      <c r="C233" s="1"/>
      <c r="D233" s="1">
        <v>41017</v>
      </c>
      <c r="E233">
        <v>12400</v>
      </c>
      <c r="F233" s="1">
        <v>41017</v>
      </c>
      <c r="G233">
        <v>-5762.5</v>
      </c>
      <c r="H233" s="1">
        <f t="shared" si="10"/>
        <v>41017</v>
      </c>
      <c r="I233">
        <f>IF(AND(MyRowHidden(ROW())=FALSE,MyRowHidden(ROW()-1)=TRUE),0,(E233-E232)*unitsOfDHp+I232)</f>
        <v>174000</v>
      </c>
      <c r="J233">
        <f>IF(AND(MyRowHidden(ROW())=FALSE,MyRowHidden(ROW()-1)=TRUE),0,(G233-G232)*unitsOfExo+J232)</f>
        <v>-7625</v>
      </c>
      <c r="K233" s="9">
        <f t="shared" si="11"/>
        <v>107625</v>
      </c>
      <c r="L233">
        <f t="shared" si="12"/>
        <v>166375</v>
      </c>
    </row>
    <row r="234" spans="1:12" x14ac:dyDescent="0.25">
      <c r="A234" s="1"/>
      <c r="C234" s="1"/>
      <c r="D234" s="1">
        <v>41018</v>
      </c>
      <c r="E234">
        <v>13183</v>
      </c>
      <c r="F234" s="1">
        <v>41018</v>
      </c>
      <c r="G234">
        <v>-5175</v>
      </c>
      <c r="H234" s="1">
        <f t="shared" si="10"/>
        <v>41018</v>
      </c>
      <c r="I234">
        <f>IF(AND(MyRowHidden(ROW())=FALSE,MyRowHidden(ROW()-1)=TRUE),0,(E234-E233)*unitsOfDHp+I233)</f>
        <v>181830</v>
      </c>
      <c r="J234">
        <f>IF(AND(MyRowHidden(ROW())=FALSE,MyRowHidden(ROW()-1)=TRUE),0,(G234-G233)*unitsOfExo+J233)</f>
        <v>-1750</v>
      </c>
      <c r="K234" s="9">
        <f t="shared" si="11"/>
        <v>101750</v>
      </c>
      <c r="L234">
        <f t="shared" si="12"/>
        <v>180080</v>
      </c>
    </row>
    <row r="235" spans="1:12" x14ac:dyDescent="0.25">
      <c r="A235" s="1"/>
      <c r="C235" s="1"/>
      <c r="D235" s="1">
        <v>41019</v>
      </c>
      <c r="E235">
        <v>12845</v>
      </c>
      <c r="F235" s="1">
        <v>41019</v>
      </c>
      <c r="G235">
        <v>-5300</v>
      </c>
      <c r="H235" s="1">
        <f t="shared" si="10"/>
        <v>41019</v>
      </c>
      <c r="I235">
        <f>IF(AND(MyRowHidden(ROW())=FALSE,MyRowHidden(ROW()-1)=TRUE),0,(E235-E234)*unitsOfDHp+I234)</f>
        <v>178450</v>
      </c>
      <c r="J235">
        <f>IF(AND(MyRowHidden(ROW())=FALSE,MyRowHidden(ROW()-1)=TRUE),0,(G235-G234)*unitsOfExo+J234)</f>
        <v>-3000</v>
      </c>
      <c r="K235" s="9">
        <f t="shared" si="11"/>
        <v>103000</v>
      </c>
      <c r="L235">
        <f t="shared" si="12"/>
        <v>175450</v>
      </c>
    </row>
    <row r="236" spans="1:12" x14ac:dyDescent="0.25">
      <c r="A236" s="1"/>
      <c r="C236" s="1"/>
      <c r="D236" s="1">
        <v>41022</v>
      </c>
      <c r="E236">
        <v>13548</v>
      </c>
      <c r="F236" s="1">
        <v>41022</v>
      </c>
      <c r="G236">
        <v>-5012.5</v>
      </c>
      <c r="H236" s="1">
        <f t="shared" si="10"/>
        <v>41022</v>
      </c>
      <c r="I236">
        <f>IF(AND(MyRowHidden(ROW())=FALSE,MyRowHidden(ROW()-1)=TRUE),0,(E236-E235)*unitsOfDHp+I235)</f>
        <v>185480</v>
      </c>
      <c r="J236">
        <f>IF(AND(MyRowHidden(ROW())=FALSE,MyRowHidden(ROW()-1)=TRUE),0,(G236-G235)*unitsOfExo+J235)</f>
        <v>-125</v>
      </c>
      <c r="K236" s="9">
        <f t="shared" si="11"/>
        <v>100125</v>
      </c>
      <c r="L236">
        <f t="shared" si="12"/>
        <v>185355</v>
      </c>
    </row>
    <row r="237" spans="1:12" x14ac:dyDescent="0.25">
      <c r="A237" s="1"/>
      <c r="C237" s="1"/>
      <c r="D237" s="1">
        <v>41023</v>
      </c>
      <c r="E237">
        <v>13721</v>
      </c>
      <c r="F237" s="1">
        <v>41023</v>
      </c>
      <c r="G237">
        <v>-4975</v>
      </c>
      <c r="H237" s="1">
        <f t="shared" si="10"/>
        <v>41023</v>
      </c>
      <c r="I237">
        <f>IF(AND(MyRowHidden(ROW())=FALSE,MyRowHidden(ROW()-1)=TRUE),0,(E237-E236)*unitsOfDHp+I236)</f>
        <v>187210</v>
      </c>
      <c r="J237">
        <f>IF(AND(MyRowHidden(ROW())=FALSE,MyRowHidden(ROW()-1)=TRUE),0,(G237-G236)*unitsOfExo+J236)</f>
        <v>250</v>
      </c>
      <c r="K237" s="9">
        <f t="shared" si="11"/>
        <v>99750</v>
      </c>
      <c r="L237">
        <f t="shared" si="12"/>
        <v>187460</v>
      </c>
    </row>
    <row r="238" spans="1:12" x14ac:dyDescent="0.25">
      <c r="A238" s="1"/>
      <c r="C238" s="1"/>
      <c r="D238" s="1">
        <v>41024</v>
      </c>
      <c r="E238">
        <v>13236</v>
      </c>
      <c r="F238" s="1">
        <v>41024</v>
      </c>
      <c r="G238">
        <v>-5362.5</v>
      </c>
      <c r="H238" s="1">
        <f t="shared" si="10"/>
        <v>41024</v>
      </c>
      <c r="I238">
        <f>IF(AND(MyRowHidden(ROW())=FALSE,MyRowHidden(ROW()-1)=TRUE),0,(E238-E237)*unitsOfDHp+I237)</f>
        <v>182360</v>
      </c>
      <c r="J238">
        <f>IF(AND(MyRowHidden(ROW())=FALSE,MyRowHidden(ROW()-1)=TRUE),0,(G238-G237)*unitsOfExo+J237)</f>
        <v>-3625</v>
      </c>
      <c r="K238" s="9">
        <f t="shared" si="11"/>
        <v>103625</v>
      </c>
      <c r="L238">
        <f t="shared" si="12"/>
        <v>178735</v>
      </c>
    </row>
    <row r="239" spans="1:12" x14ac:dyDescent="0.25">
      <c r="A239" s="1"/>
      <c r="C239" s="1"/>
      <c r="D239" s="1">
        <v>41025</v>
      </c>
      <c r="E239">
        <v>13161</v>
      </c>
      <c r="F239" s="1">
        <v>41025</v>
      </c>
      <c r="G239">
        <v>-5175</v>
      </c>
      <c r="H239" s="1">
        <f t="shared" si="10"/>
        <v>41025</v>
      </c>
      <c r="I239">
        <f>IF(AND(MyRowHidden(ROW())=FALSE,MyRowHidden(ROW()-1)=TRUE),0,(E239-E238)*unitsOfDHp+I238)</f>
        <v>181610</v>
      </c>
      <c r="J239">
        <f>IF(AND(MyRowHidden(ROW())=FALSE,MyRowHidden(ROW()-1)=TRUE),0,(G239-G238)*unitsOfExo+J238)</f>
        <v>-1750</v>
      </c>
      <c r="K239" s="9">
        <f t="shared" si="11"/>
        <v>101750</v>
      </c>
      <c r="L239">
        <f t="shared" si="12"/>
        <v>179860</v>
      </c>
    </row>
    <row r="240" spans="1:12" x14ac:dyDescent="0.25">
      <c r="A240" s="1"/>
      <c r="C240" s="1"/>
      <c r="D240" s="1">
        <v>41026</v>
      </c>
      <c r="E240">
        <v>14517</v>
      </c>
      <c r="F240" s="1">
        <v>41026</v>
      </c>
      <c r="G240">
        <v>-3537.5</v>
      </c>
      <c r="H240" s="1">
        <f t="shared" si="10"/>
        <v>41026</v>
      </c>
      <c r="I240">
        <f>IF(AND(MyRowHidden(ROW())=FALSE,MyRowHidden(ROW()-1)=TRUE),0,(E240-E239)*unitsOfDHp+I239)</f>
        <v>195170</v>
      </c>
      <c r="J240">
        <f>IF(AND(MyRowHidden(ROW())=FALSE,MyRowHidden(ROW()-1)=TRUE),0,(G240-G239)*unitsOfExo+J239)</f>
        <v>14625</v>
      </c>
      <c r="K240" s="9">
        <f t="shared" si="11"/>
        <v>85375</v>
      </c>
      <c r="L240">
        <f t="shared" si="12"/>
        <v>209795</v>
      </c>
    </row>
    <row r="241" spans="1:12" x14ac:dyDescent="0.25">
      <c r="A241" s="1"/>
      <c r="C241" s="1"/>
      <c r="D241" s="1">
        <v>41029</v>
      </c>
      <c r="E241">
        <v>14271</v>
      </c>
      <c r="F241" s="1">
        <v>41029</v>
      </c>
      <c r="G241">
        <v>-3375</v>
      </c>
      <c r="H241" s="1">
        <f t="shared" si="10"/>
        <v>41029</v>
      </c>
      <c r="I241">
        <f>IF(AND(MyRowHidden(ROW())=FALSE,MyRowHidden(ROW()-1)=TRUE),0,(E241-E240)*unitsOfDHp+I240)</f>
        <v>192710</v>
      </c>
      <c r="J241">
        <f>IF(AND(MyRowHidden(ROW())=FALSE,MyRowHidden(ROW()-1)=TRUE),0,(G241-G240)*unitsOfExo+J240)</f>
        <v>16250</v>
      </c>
      <c r="K241" s="9">
        <f t="shared" si="11"/>
        <v>83750</v>
      </c>
      <c r="L241">
        <f t="shared" si="12"/>
        <v>208960</v>
      </c>
    </row>
    <row r="242" spans="1:12" x14ac:dyDescent="0.25">
      <c r="A242" s="1"/>
      <c r="C242" s="1"/>
      <c r="D242" s="1">
        <v>41030</v>
      </c>
      <c r="E242">
        <v>13946</v>
      </c>
      <c r="F242" s="1">
        <v>41030</v>
      </c>
      <c r="G242">
        <v>-2837.5</v>
      </c>
      <c r="H242" s="1">
        <f t="shared" si="10"/>
        <v>41030</v>
      </c>
      <c r="I242">
        <f>IF(AND(MyRowHidden(ROW())=FALSE,MyRowHidden(ROW()-1)=TRUE),0,(E242-E241)*unitsOfDHp+I241)</f>
        <v>189460</v>
      </c>
      <c r="J242">
        <f>IF(AND(MyRowHidden(ROW())=FALSE,MyRowHidden(ROW()-1)=TRUE),0,(G242-G241)*unitsOfExo+J241)</f>
        <v>21625</v>
      </c>
      <c r="K242" s="9">
        <f t="shared" si="11"/>
        <v>78375</v>
      </c>
      <c r="L242">
        <f t="shared" si="12"/>
        <v>211085</v>
      </c>
    </row>
    <row r="243" spans="1:12" x14ac:dyDescent="0.25">
      <c r="A243" s="1"/>
      <c r="C243" s="1"/>
      <c r="D243" s="1">
        <v>41031</v>
      </c>
      <c r="E243">
        <v>15331</v>
      </c>
      <c r="F243" s="1">
        <v>41031</v>
      </c>
      <c r="G243">
        <v>-3900</v>
      </c>
      <c r="H243" s="1">
        <f t="shared" si="10"/>
        <v>41031</v>
      </c>
      <c r="I243">
        <f>IF(AND(MyRowHidden(ROW())=FALSE,MyRowHidden(ROW()-1)=TRUE),0,(E243-E242)*unitsOfDHp+I242)</f>
        <v>203310</v>
      </c>
      <c r="J243">
        <f>IF(AND(MyRowHidden(ROW())=FALSE,MyRowHidden(ROW()-1)=TRUE),0,(G243-G242)*unitsOfExo+J242)</f>
        <v>11000</v>
      </c>
      <c r="K243" s="9">
        <f t="shared" si="11"/>
        <v>89000</v>
      </c>
      <c r="L243">
        <f t="shared" si="12"/>
        <v>214310</v>
      </c>
    </row>
    <row r="244" spans="1:12" x14ac:dyDescent="0.25">
      <c r="A244" s="1"/>
      <c r="C244" s="1"/>
      <c r="D244" s="1">
        <v>41032</v>
      </c>
      <c r="E244">
        <v>15462</v>
      </c>
      <c r="F244" s="1">
        <v>41032</v>
      </c>
      <c r="G244">
        <v>-3687.5</v>
      </c>
      <c r="H244" s="1">
        <f t="shared" si="10"/>
        <v>41032</v>
      </c>
      <c r="I244">
        <f>IF(AND(MyRowHidden(ROW())=FALSE,MyRowHidden(ROW()-1)=TRUE),0,(E244-E243)*unitsOfDHp+I243)</f>
        <v>204620</v>
      </c>
      <c r="J244">
        <f>IF(AND(MyRowHidden(ROW())=FALSE,MyRowHidden(ROW()-1)=TRUE),0,(G244-G243)*unitsOfExo+J243)</f>
        <v>13125</v>
      </c>
      <c r="K244" s="9">
        <f t="shared" si="11"/>
        <v>86875</v>
      </c>
      <c r="L244">
        <f t="shared" si="12"/>
        <v>217745</v>
      </c>
    </row>
    <row r="245" spans="1:12" x14ac:dyDescent="0.25">
      <c r="A245" s="1"/>
      <c r="C245" s="1"/>
      <c r="D245" s="1">
        <v>41033</v>
      </c>
      <c r="E245">
        <v>15051</v>
      </c>
      <c r="F245" s="1">
        <v>41033</v>
      </c>
      <c r="G245">
        <v>-2525</v>
      </c>
      <c r="H245" s="1">
        <f t="shared" si="10"/>
        <v>41033</v>
      </c>
      <c r="I245">
        <f>IF(AND(MyRowHidden(ROW())=FALSE,MyRowHidden(ROW()-1)=TRUE),0,(E245-E244)*unitsOfDHp+I244)</f>
        <v>200510</v>
      </c>
      <c r="J245">
        <f>IF(AND(MyRowHidden(ROW())=FALSE,MyRowHidden(ROW()-1)=TRUE),0,(G245-G244)*unitsOfExo+J244)</f>
        <v>24750</v>
      </c>
      <c r="K245" s="9">
        <f t="shared" si="11"/>
        <v>75250</v>
      </c>
      <c r="L245">
        <f t="shared" si="12"/>
        <v>225260</v>
      </c>
    </row>
    <row r="246" spans="1:12" x14ac:dyDescent="0.25">
      <c r="A246" s="1"/>
      <c r="C246" s="1"/>
      <c r="D246" s="1">
        <v>41036</v>
      </c>
      <c r="E246">
        <v>15420</v>
      </c>
      <c r="F246" s="1">
        <v>41036</v>
      </c>
      <c r="G246">
        <v>-3012.5</v>
      </c>
      <c r="H246" s="1">
        <f t="shared" si="10"/>
        <v>41036</v>
      </c>
      <c r="I246">
        <f>IF(AND(MyRowHidden(ROW())=FALSE,MyRowHidden(ROW()-1)=TRUE),0,(E246-E245)*unitsOfDHp+I245)</f>
        <v>204200</v>
      </c>
      <c r="J246">
        <f>IF(AND(MyRowHidden(ROW())=FALSE,MyRowHidden(ROW()-1)=TRUE),0,(G246-G245)*unitsOfExo+J245)</f>
        <v>19875</v>
      </c>
      <c r="K246" s="9">
        <f t="shared" si="11"/>
        <v>80125</v>
      </c>
      <c r="L246">
        <f t="shared" si="12"/>
        <v>224075</v>
      </c>
    </row>
    <row r="247" spans="1:12" x14ac:dyDescent="0.25">
      <c r="A247" s="1"/>
      <c r="C247" s="1"/>
      <c r="D247" s="1">
        <v>41037</v>
      </c>
      <c r="E247">
        <v>14652</v>
      </c>
      <c r="F247" s="1">
        <v>41037</v>
      </c>
      <c r="G247">
        <v>-2587.5</v>
      </c>
      <c r="H247" s="1">
        <f t="shared" si="10"/>
        <v>41037</v>
      </c>
      <c r="I247">
        <f>IF(AND(MyRowHidden(ROW())=FALSE,MyRowHidden(ROW()-1)=TRUE),0,(E247-E246)*unitsOfDHp+I246)</f>
        <v>196520</v>
      </c>
      <c r="J247">
        <f>IF(AND(MyRowHidden(ROW())=FALSE,MyRowHidden(ROW()-1)=TRUE),0,(G247-G246)*unitsOfExo+J246)</f>
        <v>24125</v>
      </c>
      <c r="K247" s="9">
        <f t="shared" si="11"/>
        <v>75875</v>
      </c>
      <c r="L247">
        <f t="shared" si="12"/>
        <v>220645</v>
      </c>
    </row>
    <row r="248" spans="1:12" x14ac:dyDescent="0.25">
      <c r="A248" s="1"/>
      <c r="C248" s="1"/>
      <c r="D248" s="1">
        <v>41038</v>
      </c>
      <c r="E248">
        <v>15080</v>
      </c>
      <c r="F248" s="1">
        <v>41038</v>
      </c>
      <c r="G248">
        <v>-3187.5</v>
      </c>
      <c r="H248" s="1">
        <f t="shared" si="10"/>
        <v>41038</v>
      </c>
      <c r="I248">
        <f>IF(AND(MyRowHidden(ROW())=FALSE,MyRowHidden(ROW()-1)=TRUE),0,(E248-E247)*unitsOfDHp+I247)</f>
        <v>200800</v>
      </c>
      <c r="J248">
        <f>IF(AND(MyRowHidden(ROW())=FALSE,MyRowHidden(ROW()-1)=TRUE),0,(G248-G247)*unitsOfExo+J247)</f>
        <v>18125</v>
      </c>
      <c r="K248" s="9">
        <f t="shared" si="11"/>
        <v>81875</v>
      </c>
      <c r="L248">
        <f t="shared" si="12"/>
        <v>218925</v>
      </c>
    </row>
    <row r="249" spans="1:12" x14ac:dyDescent="0.25">
      <c r="A249" s="1"/>
      <c r="C249" s="1"/>
      <c r="D249" s="1">
        <v>41039</v>
      </c>
      <c r="E249">
        <v>16888</v>
      </c>
      <c r="F249" s="1">
        <v>41039</v>
      </c>
      <c r="G249">
        <v>-4937.5</v>
      </c>
      <c r="H249" s="1">
        <f t="shared" si="10"/>
        <v>41039</v>
      </c>
      <c r="I249">
        <f>IF(AND(MyRowHidden(ROW())=FALSE,MyRowHidden(ROW()-1)=TRUE),0,(E249-E248)*unitsOfDHp+I248)</f>
        <v>218880</v>
      </c>
      <c r="J249">
        <f>IF(AND(MyRowHidden(ROW())=FALSE,MyRowHidden(ROW()-1)=TRUE),0,(G249-G248)*unitsOfExo+J248)</f>
        <v>625</v>
      </c>
      <c r="K249" s="9">
        <f t="shared" si="11"/>
        <v>99375</v>
      </c>
      <c r="L249">
        <f t="shared" si="12"/>
        <v>219505</v>
      </c>
    </row>
    <row r="250" spans="1:12" x14ac:dyDescent="0.25">
      <c r="A250" s="1"/>
      <c r="C250" s="1"/>
      <c r="D250" s="1">
        <v>41040</v>
      </c>
      <c r="E250">
        <v>15822</v>
      </c>
      <c r="F250" s="1">
        <v>41040</v>
      </c>
      <c r="G250">
        <v>-5650</v>
      </c>
      <c r="H250" s="1">
        <f t="shared" si="10"/>
        <v>41040</v>
      </c>
      <c r="I250">
        <f>IF(AND(MyRowHidden(ROW())=FALSE,MyRowHidden(ROW()-1)=TRUE),0,(E250-E249)*unitsOfDHp+I249)</f>
        <v>208220</v>
      </c>
      <c r="J250">
        <f>IF(AND(MyRowHidden(ROW())=FALSE,MyRowHidden(ROW()-1)=TRUE),0,(G250-G249)*unitsOfExo+J249)</f>
        <v>-6500</v>
      </c>
      <c r="K250" s="9">
        <f t="shared" si="11"/>
        <v>106500</v>
      </c>
      <c r="L250">
        <f t="shared" si="12"/>
        <v>201720</v>
      </c>
    </row>
    <row r="251" spans="1:12" x14ac:dyDescent="0.25">
      <c r="A251" s="1"/>
      <c r="C251" s="1"/>
      <c r="D251" s="1">
        <v>41043</v>
      </c>
      <c r="E251">
        <v>16341</v>
      </c>
      <c r="F251" s="1">
        <v>41043</v>
      </c>
      <c r="G251">
        <v>-5612.5</v>
      </c>
      <c r="H251" s="1">
        <f t="shared" si="10"/>
        <v>41043</v>
      </c>
      <c r="I251">
        <f>IF(AND(MyRowHidden(ROW())=FALSE,MyRowHidden(ROW()-1)=TRUE),0,(E251-E250)*unitsOfDHp+I250)</f>
        <v>213410</v>
      </c>
      <c r="J251">
        <f>IF(AND(MyRowHidden(ROW())=FALSE,MyRowHidden(ROW()-1)=TRUE),0,(G251-G250)*unitsOfExo+J250)</f>
        <v>-6125</v>
      </c>
      <c r="K251" s="9">
        <f t="shared" si="11"/>
        <v>106125</v>
      </c>
      <c r="L251">
        <f t="shared" si="12"/>
        <v>207285</v>
      </c>
    </row>
    <row r="252" spans="1:12" x14ac:dyDescent="0.25">
      <c r="A252" s="1"/>
      <c r="C252" s="1"/>
      <c r="D252" s="1">
        <v>41044</v>
      </c>
      <c r="E252">
        <v>18197</v>
      </c>
      <c r="F252" s="1">
        <v>41044</v>
      </c>
      <c r="G252">
        <v>-4887.5</v>
      </c>
      <c r="H252" s="1">
        <f t="shared" si="10"/>
        <v>41044</v>
      </c>
      <c r="I252">
        <f>IF(AND(MyRowHidden(ROW())=FALSE,MyRowHidden(ROW()-1)=TRUE),0,(E252-E251)*unitsOfDHp+I251)</f>
        <v>231970</v>
      </c>
      <c r="J252">
        <f>IF(AND(MyRowHidden(ROW())=FALSE,MyRowHidden(ROW()-1)=TRUE),0,(G252-G251)*unitsOfExo+J251)</f>
        <v>1125</v>
      </c>
      <c r="K252" s="9">
        <f t="shared" si="11"/>
        <v>98875</v>
      </c>
      <c r="L252">
        <f t="shared" si="12"/>
        <v>233095</v>
      </c>
    </row>
    <row r="253" spans="1:12" x14ac:dyDescent="0.25">
      <c r="A253" s="1"/>
      <c r="C253" s="1"/>
      <c r="D253" s="1">
        <v>41045</v>
      </c>
      <c r="E253">
        <v>19942</v>
      </c>
      <c r="F253" s="1">
        <v>41045</v>
      </c>
      <c r="G253">
        <v>-4112.5</v>
      </c>
      <c r="H253" s="1">
        <f t="shared" si="10"/>
        <v>41045</v>
      </c>
      <c r="I253">
        <f>IF(AND(MyRowHidden(ROW())=FALSE,MyRowHidden(ROW()-1)=TRUE),0,(E253-E252)*unitsOfDHp+I252)</f>
        <v>249420</v>
      </c>
      <c r="J253">
        <f>IF(AND(MyRowHidden(ROW())=FALSE,MyRowHidden(ROW()-1)=TRUE),0,(G253-G252)*unitsOfExo+J252)</f>
        <v>8875</v>
      </c>
      <c r="K253" s="9">
        <f t="shared" si="11"/>
        <v>91125</v>
      </c>
      <c r="L253">
        <f t="shared" si="12"/>
        <v>258295</v>
      </c>
    </row>
    <row r="254" spans="1:12" x14ac:dyDescent="0.25">
      <c r="A254" s="1"/>
      <c r="C254" s="1"/>
      <c r="D254" s="1">
        <v>41046</v>
      </c>
      <c r="E254">
        <v>19317</v>
      </c>
      <c r="F254" s="1">
        <v>41046</v>
      </c>
      <c r="G254">
        <v>-3487.5</v>
      </c>
      <c r="H254" s="1">
        <f t="shared" si="10"/>
        <v>41046</v>
      </c>
      <c r="I254">
        <f>IF(AND(MyRowHidden(ROW())=FALSE,MyRowHidden(ROW()-1)=TRUE),0,(E254-E253)*unitsOfDHp+I253)</f>
        <v>243170</v>
      </c>
      <c r="J254">
        <f>IF(AND(MyRowHidden(ROW())=FALSE,MyRowHidden(ROW()-1)=TRUE),0,(G254-G253)*unitsOfExo+J253)</f>
        <v>15125</v>
      </c>
      <c r="K254" s="9">
        <f t="shared" si="11"/>
        <v>84875</v>
      </c>
      <c r="L254">
        <f t="shared" si="12"/>
        <v>258295</v>
      </c>
    </row>
    <row r="255" spans="1:12" x14ac:dyDescent="0.25">
      <c r="A255" s="1"/>
      <c r="C255" s="1"/>
      <c r="D255" s="1">
        <v>41047</v>
      </c>
      <c r="E255">
        <v>18274</v>
      </c>
      <c r="F255" s="1">
        <v>41047</v>
      </c>
      <c r="G255">
        <v>-3025</v>
      </c>
      <c r="H255" s="1">
        <f t="shared" si="10"/>
        <v>41047</v>
      </c>
      <c r="I255">
        <f>IF(AND(MyRowHidden(ROW())=FALSE,MyRowHidden(ROW()-1)=TRUE),0,(E255-E254)*unitsOfDHp+I254)</f>
        <v>232740</v>
      </c>
      <c r="J255">
        <f>IF(AND(MyRowHidden(ROW())=FALSE,MyRowHidden(ROW()-1)=TRUE),0,(G255-G254)*unitsOfExo+J254)</f>
        <v>19750</v>
      </c>
      <c r="K255" s="9">
        <f t="shared" si="11"/>
        <v>80250</v>
      </c>
      <c r="L255">
        <f t="shared" si="12"/>
        <v>252490</v>
      </c>
    </row>
    <row r="256" spans="1:12" x14ac:dyDescent="0.25">
      <c r="A256" s="1"/>
      <c r="C256" s="1"/>
      <c r="D256" s="1">
        <v>41050</v>
      </c>
      <c r="E256">
        <v>17913</v>
      </c>
      <c r="F256" s="1">
        <v>41050</v>
      </c>
      <c r="G256">
        <v>-2962.5</v>
      </c>
      <c r="H256" s="1">
        <f t="shared" si="10"/>
        <v>41050</v>
      </c>
      <c r="I256">
        <f>IF(AND(MyRowHidden(ROW())=FALSE,MyRowHidden(ROW()-1)=TRUE),0,(E256-E255)*unitsOfDHp+I255)</f>
        <v>229130</v>
      </c>
      <c r="J256">
        <f>IF(AND(MyRowHidden(ROW())=FALSE,MyRowHidden(ROW()-1)=TRUE),0,(G256-G255)*unitsOfExo+J255)</f>
        <v>20375</v>
      </c>
      <c r="K256" s="9">
        <f t="shared" si="11"/>
        <v>79625</v>
      </c>
      <c r="L256">
        <f t="shared" si="12"/>
        <v>249505</v>
      </c>
    </row>
    <row r="257" spans="1:12" x14ac:dyDescent="0.25">
      <c r="A257" s="1"/>
      <c r="C257" s="1"/>
      <c r="D257" s="1">
        <v>41051</v>
      </c>
      <c r="E257">
        <v>21336</v>
      </c>
      <c r="F257" s="1">
        <v>41051</v>
      </c>
      <c r="G257">
        <v>-4337.5</v>
      </c>
      <c r="H257" s="1">
        <f t="shared" si="10"/>
        <v>41051</v>
      </c>
      <c r="I257">
        <f>IF(AND(MyRowHidden(ROW())=FALSE,MyRowHidden(ROW()-1)=TRUE),0,(E257-E256)*unitsOfDHp+I256)</f>
        <v>263360</v>
      </c>
      <c r="J257">
        <f>IF(AND(MyRowHidden(ROW())=FALSE,MyRowHidden(ROW()-1)=TRUE),0,(G257-G256)*unitsOfExo+J256)</f>
        <v>6625</v>
      </c>
      <c r="K257" s="9">
        <f t="shared" si="11"/>
        <v>93375</v>
      </c>
      <c r="L257">
        <f t="shared" si="12"/>
        <v>269985</v>
      </c>
    </row>
    <row r="258" spans="1:12" x14ac:dyDescent="0.25">
      <c r="A258" s="1"/>
      <c r="C258" s="1"/>
      <c r="D258" s="1">
        <v>41052</v>
      </c>
      <c r="E258">
        <v>21372</v>
      </c>
      <c r="F258" s="1">
        <v>41052</v>
      </c>
      <c r="G258">
        <v>-4425</v>
      </c>
      <c r="H258" s="1">
        <f t="shared" si="10"/>
        <v>41052</v>
      </c>
      <c r="I258">
        <f>IF(AND(MyRowHidden(ROW())=FALSE,MyRowHidden(ROW()-1)=TRUE),0,(E258-E257)*unitsOfDHp+I257)</f>
        <v>263720</v>
      </c>
      <c r="J258">
        <f>IF(AND(MyRowHidden(ROW())=FALSE,MyRowHidden(ROW()-1)=TRUE),0,(G258-G257)*unitsOfExo+J257)</f>
        <v>5750</v>
      </c>
      <c r="K258" s="9">
        <f t="shared" si="11"/>
        <v>94250</v>
      </c>
      <c r="L258">
        <f t="shared" si="12"/>
        <v>269470</v>
      </c>
    </row>
    <row r="259" spans="1:12" x14ac:dyDescent="0.25">
      <c r="A259" s="1"/>
      <c r="C259" s="1"/>
      <c r="D259" s="1">
        <v>41053</v>
      </c>
      <c r="E259">
        <v>20509</v>
      </c>
      <c r="F259" s="1">
        <v>41053</v>
      </c>
      <c r="G259">
        <v>-5637.5</v>
      </c>
      <c r="H259" s="1">
        <f t="shared" si="10"/>
        <v>41053</v>
      </c>
      <c r="I259">
        <f>IF(AND(MyRowHidden(ROW())=FALSE,MyRowHidden(ROW()-1)=TRUE),0,(E259-E258)*unitsOfDHp+I258)</f>
        <v>255090</v>
      </c>
      <c r="J259">
        <f>IF(AND(MyRowHidden(ROW())=FALSE,MyRowHidden(ROW()-1)=TRUE),0,(G259-G258)*unitsOfExo+J258)</f>
        <v>-6375</v>
      </c>
      <c r="K259" s="9">
        <f t="shared" si="11"/>
        <v>106375</v>
      </c>
      <c r="L259">
        <f t="shared" si="12"/>
        <v>248715</v>
      </c>
    </row>
    <row r="260" spans="1:12" x14ac:dyDescent="0.25">
      <c r="A260" s="1"/>
      <c r="C260" s="1"/>
      <c r="D260" s="1">
        <v>41054</v>
      </c>
      <c r="E260">
        <v>20158</v>
      </c>
      <c r="F260" s="1">
        <v>41054</v>
      </c>
      <c r="G260">
        <v>-5925</v>
      </c>
      <c r="H260" s="1">
        <f t="shared" si="10"/>
        <v>41054</v>
      </c>
      <c r="I260">
        <f>IF(AND(MyRowHidden(ROW())=FALSE,MyRowHidden(ROW()-1)=TRUE),0,(E260-E259)*unitsOfDHp+I259)</f>
        <v>251580</v>
      </c>
      <c r="J260">
        <f>IF(AND(MyRowHidden(ROW())=FALSE,MyRowHidden(ROW()-1)=TRUE),0,(G260-G259)*unitsOfExo+J259)</f>
        <v>-9250</v>
      </c>
      <c r="K260" s="9">
        <f t="shared" si="11"/>
        <v>109250</v>
      </c>
      <c r="L260">
        <f t="shared" si="12"/>
        <v>242330</v>
      </c>
    </row>
    <row r="261" spans="1:12" x14ac:dyDescent="0.25">
      <c r="A261" s="1"/>
      <c r="C261" s="1"/>
      <c r="D261" s="1">
        <v>41058</v>
      </c>
      <c r="E261">
        <v>19615</v>
      </c>
      <c r="F261" s="1">
        <v>41058</v>
      </c>
      <c r="G261">
        <v>-6550</v>
      </c>
      <c r="H261" s="1">
        <f t="shared" si="10"/>
        <v>41058</v>
      </c>
      <c r="I261">
        <f>IF(AND(MyRowHidden(ROW())=FALSE,MyRowHidden(ROW()-1)=TRUE),0,(E261-E260)*unitsOfDHp+I260)</f>
        <v>246150</v>
      </c>
      <c r="J261">
        <f>IF(AND(MyRowHidden(ROW())=FALSE,MyRowHidden(ROW()-1)=TRUE),0,(G261-G260)*unitsOfExo+J260)</f>
        <v>-15500</v>
      </c>
      <c r="K261" s="9">
        <f t="shared" si="11"/>
        <v>115500</v>
      </c>
      <c r="L261">
        <f t="shared" si="12"/>
        <v>230650</v>
      </c>
    </row>
    <row r="262" spans="1:12" x14ac:dyDescent="0.25">
      <c r="A262" s="1"/>
      <c r="C262" s="1"/>
      <c r="D262" s="1">
        <v>41059</v>
      </c>
      <c r="E262">
        <v>19470</v>
      </c>
      <c r="F262" s="1">
        <v>41059</v>
      </c>
      <c r="G262">
        <v>-6662.5</v>
      </c>
      <c r="H262" s="1">
        <f t="shared" si="10"/>
        <v>41059</v>
      </c>
      <c r="I262">
        <f>IF(AND(MyRowHidden(ROW())=FALSE,MyRowHidden(ROW()-1)=TRUE),0,(E262-E261)*unitsOfDHp+I261)</f>
        <v>244700</v>
      </c>
      <c r="J262">
        <f>IF(AND(MyRowHidden(ROW())=FALSE,MyRowHidden(ROW()-1)=TRUE),0,(G262-G261)*unitsOfExo+J261)</f>
        <v>-16625</v>
      </c>
      <c r="K262" s="9">
        <f t="shared" si="11"/>
        <v>116625</v>
      </c>
      <c r="L262">
        <f t="shared" si="12"/>
        <v>228075</v>
      </c>
    </row>
    <row r="263" spans="1:12" x14ac:dyDescent="0.25">
      <c r="A263" s="1"/>
      <c r="C263" s="1"/>
      <c r="D263" s="1">
        <v>41060</v>
      </c>
      <c r="E263">
        <v>19442</v>
      </c>
      <c r="F263" s="1">
        <v>41060</v>
      </c>
      <c r="G263">
        <v>-6637.5</v>
      </c>
      <c r="H263" s="1">
        <f t="shared" si="10"/>
        <v>41060</v>
      </c>
      <c r="I263">
        <f>IF(AND(MyRowHidden(ROW())=FALSE,MyRowHidden(ROW()-1)=TRUE),0,(E263-E262)*unitsOfDHp+I262)</f>
        <v>244420</v>
      </c>
      <c r="J263">
        <f>IF(AND(MyRowHidden(ROW())=FALSE,MyRowHidden(ROW()-1)=TRUE),0,(G263-G262)*unitsOfExo+J262)</f>
        <v>-16375</v>
      </c>
      <c r="K263" s="9">
        <f t="shared" si="11"/>
        <v>116375</v>
      </c>
      <c r="L263">
        <f t="shared" si="12"/>
        <v>228045</v>
      </c>
    </row>
    <row r="264" spans="1:12" x14ac:dyDescent="0.25">
      <c r="A264" s="1"/>
      <c r="C264" s="1"/>
      <c r="D264" s="1">
        <v>41061</v>
      </c>
      <c r="E264">
        <v>19204</v>
      </c>
      <c r="F264" s="1">
        <v>41061</v>
      </c>
      <c r="G264">
        <v>-6875</v>
      </c>
      <c r="H264" s="1">
        <f t="shared" si="10"/>
        <v>41061</v>
      </c>
      <c r="I264">
        <f>IF(AND(MyRowHidden(ROW())=FALSE,MyRowHidden(ROW()-1)=TRUE),0,(E264-E263)*unitsOfDHp+I263)</f>
        <v>242040</v>
      </c>
      <c r="J264">
        <f>IF(AND(MyRowHidden(ROW())=FALSE,MyRowHidden(ROW()-1)=TRUE),0,(G264-G263)*unitsOfExo+J263)</f>
        <v>-18750</v>
      </c>
      <c r="K264" s="9">
        <f t="shared" si="11"/>
        <v>118750</v>
      </c>
      <c r="L264">
        <f t="shared" si="12"/>
        <v>223290</v>
      </c>
    </row>
    <row r="265" spans="1:12" x14ac:dyDescent="0.25">
      <c r="A265" s="1"/>
      <c r="C265" s="1"/>
      <c r="D265" s="1">
        <v>41064</v>
      </c>
      <c r="E265">
        <v>19296</v>
      </c>
      <c r="F265" s="1">
        <v>41064</v>
      </c>
      <c r="G265">
        <v>-6437.5</v>
      </c>
      <c r="H265" s="1">
        <f t="shared" si="10"/>
        <v>41064</v>
      </c>
      <c r="I265">
        <f>IF(AND(MyRowHidden(ROW())=FALSE,MyRowHidden(ROW()-1)=TRUE),0,(E265-E264)*unitsOfDHp+I264)</f>
        <v>242960</v>
      </c>
      <c r="J265">
        <f>IF(AND(MyRowHidden(ROW())=FALSE,MyRowHidden(ROW()-1)=TRUE),0,(G265-G264)*unitsOfExo+J264)</f>
        <v>-14375</v>
      </c>
      <c r="K265" s="9">
        <f t="shared" si="11"/>
        <v>114375</v>
      </c>
      <c r="L265">
        <f t="shared" si="12"/>
        <v>228585</v>
      </c>
    </row>
    <row r="266" spans="1:12" x14ac:dyDescent="0.25">
      <c r="A266" s="1"/>
      <c r="C266" s="1"/>
      <c r="D266" s="1">
        <v>41065</v>
      </c>
      <c r="E266">
        <v>19393</v>
      </c>
      <c r="F266" s="1">
        <v>41065</v>
      </c>
      <c r="G266">
        <v>-6250</v>
      </c>
      <c r="H266" s="1">
        <f t="shared" si="10"/>
        <v>41065</v>
      </c>
      <c r="I266">
        <f>IF(AND(MyRowHidden(ROW())=FALSE,MyRowHidden(ROW()-1)=TRUE),0,(E266-E265)*unitsOfDHp+I265)</f>
        <v>243930</v>
      </c>
      <c r="J266">
        <f>IF(AND(MyRowHidden(ROW())=FALSE,MyRowHidden(ROW()-1)=TRUE),0,(G266-G265)*unitsOfExo+J265)</f>
        <v>-12500</v>
      </c>
      <c r="K266" s="9">
        <f t="shared" si="11"/>
        <v>112500</v>
      </c>
      <c r="L266">
        <f t="shared" si="12"/>
        <v>231430</v>
      </c>
    </row>
    <row r="267" spans="1:12" x14ac:dyDescent="0.25">
      <c r="A267" s="1"/>
      <c r="C267" s="1"/>
      <c r="D267" s="1">
        <v>41066</v>
      </c>
      <c r="E267">
        <v>20448</v>
      </c>
      <c r="F267" s="1">
        <v>41066</v>
      </c>
      <c r="G267">
        <v>-5525</v>
      </c>
      <c r="H267" s="1">
        <f t="shared" si="10"/>
        <v>41066</v>
      </c>
      <c r="I267">
        <f>IF(AND(MyRowHidden(ROW())=FALSE,MyRowHidden(ROW()-1)=TRUE),0,(E267-E266)*unitsOfDHp+I266)</f>
        <v>254480</v>
      </c>
      <c r="J267">
        <f>IF(AND(MyRowHidden(ROW())=FALSE,MyRowHidden(ROW()-1)=TRUE),0,(G267-G266)*unitsOfExo+J266)</f>
        <v>-5250</v>
      </c>
      <c r="K267" s="9">
        <f t="shared" si="11"/>
        <v>105250</v>
      </c>
      <c r="L267">
        <f t="shared" si="12"/>
        <v>249230</v>
      </c>
    </row>
    <row r="268" spans="1:12" x14ac:dyDescent="0.25">
      <c r="A268" s="1"/>
      <c r="C268" s="1"/>
      <c r="D268" s="1">
        <v>41067</v>
      </c>
      <c r="E268">
        <v>21241</v>
      </c>
      <c r="F268" s="1">
        <v>41067</v>
      </c>
      <c r="G268">
        <v>-4950</v>
      </c>
      <c r="H268" s="1">
        <f t="shared" si="10"/>
        <v>41067</v>
      </c>
      <c r="I268">
        <f>IF(AND(MyRowHidden(ROW())=FALSE,MyRowHidden(ROW()-1)=TRUE),0,(E268-E267)*unitsOfDHp+I267)</f>
        <v>262410</v>
      </c>
      <c r="J268">
        <f>IF(AND(MyRowHidden(ROW())=FALSE,MyRowHidden(ROW()-1)=TRUE),0,(G268-G267)*unitsOfExo+J267)</f>
        <v>500</v>
      </c>
      <c r="K268" s="9">
        <f t="shared" si="11"/>
        <v>99500</v>
      </c>
      <c r="L268">
        <f t="shared" si="12"/>
        <v>262910</v>
      </c>
    </row>
    <row r="269" spans="1:12" x14ac:dyDescent="0.25">
      <c r="A269" s="1"/>
      <c r="C269" s="1"/>
      <c r="D269" s="1">
        <v>41068</v>
      </c>
      <c r="E269">
        <v>21586</v>
      </c>
      <c r="F269" s="1">
        <v>41068</v>
      </c>
      <c r="G269">
        <v>-4725</v>
      </c>
      <c r="H269" s="1">
        <f t="shared" ref="H269:H332" si="13">D269</f>
        <v>41068</v>
      </c>
      <c r="I269">
        <f>IF(AND(MyRowHidden(ROW())=FALSE,MyRowHidden(ROW()-1)=TRUE),0,(E269-E268)*unitsOfDHp+I268)</f>
        <v>265860</v>
      </c>
      <c r="J269">
        <f>IF(AND(MyRowHidden(ROW())=FALSE,MyRowHidden(ROW()-1)=TRUE),0,(G269-G268)*unitsOfExo+J268)</f>
        <v>2750</v>
      </c>
      <c r="K269" s="9">
        <f t="shared" ref="K269:K332" si="14">-(J269-J268)+K268</f>
        <v>97250</v>
      </c>
      <c r="L269">
        <f t="shared" ref="L269:L332" si="15">I269+J269</f>
        <v>268610</v>
      </c>
    </row>
    <row r="270" spans="1:12" x14ac:dyDescent="0.25">
      <c r="A270" s="1"/>
      <c r="C270" s="1"/>
      <c r="D270" s="1">
        <v>41071</v>
      </c>
      <c r="E270">
        <v>21181</v>
      </c>
      <c r="F270" s="1">
        <v>41071</v>
      </c>
      <c r="G270">
        <v>-5125</v>
      </c>
      <c r="H270" s="1">
        <f t="shared" si="13"/>
        <v>41071</v>
      </c>
      <c r="I270">
        <f>IF(AND(MyRowHidden(ROW())=FALSE,MyRowHidden(ROW()-1)=TRUE),0,(E270-E269)*unitsOfDHp+I269)</f>
        <v>261810</v>
      </c>
      <c r="J270">
        <f>IF(AND(MyRowHidden(ROW())=FALSE,MyRowHidden(ROW()-1)=TRUE),0,(G270-G269)*unitsOfExo+J269)</f>
        <v>-1250</v>
      </c>
      <c r="K270" s="9">
        <f t="shared" si="14"/>
        <v>101250</v>
      </c>
      <c r="L270">
        <f t="shared" si="15"/>
        <v>260560</v>
      </c>
    </row>
    <row r="271" spans="1:12" x14ac:dyDescent="0.25">
      <c r="A271" s="1"/>
      <c r="C271" s="1"/>
      <c r="D271" s="1">
        <v>41072</v>
      </c>
      <c r="E271">
        <v>20689</v>
      </c>
      <c r="F271" s="1">
        <v>41072</v>
      </c>
      <c r="G271">
        <v>-5562.5</v>
      </c>
      <c r="H271" s="1">
        <f t="shared" si="13"/>
        <v>41072</v>
      </c>
      <c r="I271">
        <f>IF(AND(MyRowHidden(ROW())=FALSE,MyRowHidden(ROW()-1)=TRUE),0,(E271-E270)*unitsOfDHp+I270)</f>
        <v>256890</v>
      </c>
      <c r="J271">
        <f>IF(AND(MyRowHidden(ROW())=FALSE,MyRowHidden(ROW()-1)=TRUE),0,(G271-G270)*unitsOfExo+J270)</f>
        <v>-5625</v>
      </c>
      <c r="K271" s="9">
        <f t="shared" si="14"/>
        <v>105625</v>
      </c>
      <c r="L271">
        <f t="shared" si="15"/>
        <v>251265</v>
      </c>
    </row>
    <row r="272" spans="1:12" x14ac:dyDescent="0.25">
      <c r="A272" s="1"/>
      <c r="C272" s="1"/>
      <c r="D272" s="1">
        <v>41073</v>
      </c>
      <c r="E272">
        <v>22085</v>
      </c>
      <c r="F272" s="1">
        <v>41073</v>
      </c>
      <c r="G272">
        <v>-4837.5</v>
      </c>
      <c r="H272" s="1">
        <f t="shared" si="13"/>
        <v>41073</v>
      </c>
      <c r="I272">
        <f>IF(AND(MyRowHidden(ROW())=FALSE,MyRowHidden(ROW()-1)=TRUE),0,(E272-E271)*unitsOfDHp+I271)</f>
        <v>270850</v>
      </c>
      <c r="J272">
        <f>IF(AND(MyRowHidden(ROW())=FALSE,MyRowHidden(ROW()-1)=TRUE),0,(G272-G271)*unitsOfExo+J271)</f>
        <v>1625</v>
      </c>
      <c r="K272" s="9">
        <f t="shared" si="14"/>
        <v>98375</v>
      </c>
      <c r="L272">
        <f t="shared" si="15"/>
        <v>272475</v>
      </c>
    </row>
    <row r="273" spans="1:12" x14ac:dyDescent="0.25">
      <c r="A273" s="1"/>
      <c r="C273" s="1"/>
      <c r="D273" s="1">
        <v>41074</v>
      </c>
      <c r="E273">
        <v>22507</v>
      </c>
      <c r="F273" s="1">
        <v>41074</v>
      </c>
      <c r="G273">
        <v>-4662.5</v>
      </c>
      <c r="H273" s="1">
        <f t="shared" si="13"/>
        <v>41074</v>
      </c>
      <c r="I273">
        <f>IF(AND(MyRowHidden(ROW())=FALSE,MyRowHidden(ROW()-1)=TRUE),0,(E273-E272)*unitsOfDHp+I272)</f>
        <v>275070</v>
      </c>
      <c r="J273">
        <f>IF(AND(MyRowHidden(ROW())=FALSE,MyRowHidden(ROW()-1)=TRUE),0,(G273-G272)*unitsOfExo+J272)</f>
        <v>3375</v>
      </c>
      <c r="K273" s="9">
        <f t="shared" si="14"/>
        <v>96625</v>
      </c>
      <c r="L273">
        <f t="shared" si="15"/>
        <v>278445</v>
      </c>
    </row>
    <row r="274" spans="1:12" x14ac:dyDescent="0.25">
      <c r="A274" s="1"/>
      <c r="C274" s="1"/>
      <c r="D274" s="1">
        <v>41075</v>
      </c>
      <c r="E274">
        <v>20261</v>
      </c>
      <c r="F274" s="1">
        <v>41075</v>
      </c>
      <c r="G274">
        <v>-5600</v>
      </c>
      <c r="H274" s="1">
        <f t="shared" si="13"/>
        <v>41075</v>
      </c>
      <c r="I274">
        <f>IF(AND(MyRowHidden(ROW())=FALSE,MyRowHidden(ROW()-1)=TRUE),0,(E274-E273)*unitsOfDHp+I273)</f>
        <v>252610</v>
      </c>
      <c r="J274">
        <f>IF(AND(MyRowHidden(ROW())=FALSE,MyRowHidden(ROW()-1)=TRUE),0,(G274-G273)*unitsOfExo+J273)</f>
        <v>-6000</v>
      </c>
      <c r="K274" s="9">
        <f t="shared" si="14"/>
        <v>106000</v>
      </c>
      <c r="L274">
        <f t="shared" si="15"/>
        <v>246610</v>
      </c>
    </row>
    <row r="275" spans="1:12" x14ac:dyDescent="0.25">
      <c r="A275" s="1"/>
      <c r="C275" s="1"/>
      <c r="D275" s="1">
        <v>41078</v>
      </c>
      <c r="E275">
        <v>21808</v>
      </c>
      <c r="F275" s="1">
        <v>41078</v>
      </c>
      <c r="G275">
        <v>-4587.5</v>
      </c>
      <c r="H275" s="1">
        <f t="shared" si="13"/>
        <v>41078</v>
      </c>
      <c r="I275">
        <f>IF(AND(MyRowHidden(ROW())=FALSE,MyRowHidden(ROW()-1)=TRUE),0,(E275-E274)*unitsOfDHp+I274)</f>
        <v>268080</v>
      </c>
      <c r="J275">
        <f>IF(AND(MyRowHidden(ROW())=FALSE,MyRowHidden(ROW()-1)=TRUE),0,(G275-G274)*unitsOfExo+J274)</f>
        <v>4125</v>
      </c>
      <c r="K275" s="9">
        <f t="shared" si="14"/>
        <v>95875</v>
      </c>
      <c r="L275">
        <f t="shared" si="15"/>
        <v>272205</v>
      </c>
    </row>
    <row r="276" spans="1:12" x14ac:dyDescent="0.25">
      <c r="A276" s="1"/>
      <c r="C276" s="1"/>
      <c r="D276" s="1">
        <v>41079</v>
      </c>
      <c r="E276">
        <v>22233</v>
      </c>
      <c r="F276" s="1">
        <v>41079</v>
      </c>
      <c r="G276">
        <v>-4137.5</v>
      </c>
      <c r="H276" s="1">
        <f t="shared" si="13"/>
        <v>41079</v>
      </c>
      <c r="I276">
        <f>IF(AND(MyRowHidden(ROW())=FALSE,MyRowHidden(ROW()-1)=TRUE),0,(E276-E275)*unitsOfDHp+I275)</f>
        <v>272330</v>
      </c>
      <c r="J276">
        <f>IF(AND(MyRowHidden(ROW())=FALSE,MyRowHidden(ROW()-1)=TRUE),0,(G276-G275)*unitsOfExo+J275)</f>
        <v>8625</v>
      </c>
      <c r="K276" s="9">
        <f t="shared" si="14"/>
        <v>91375</v>
      </c>
      <c r="L276">
        <f t="shared" si="15"/>
        <v>280955</v>
      </c>
    </row>
    <row r="277" spans="1:12" x14ac:dyDescent="0.25">
      <c r="A277" s="1"/>
      <c r="C277" s="1"/>
      <c r="D277" s="1">
        <v>41080</v>
      </c>
      <c r="E277">
        <v>22438</v>
      </c>
      <c r="F277" s="1">
        <v>41080</v>
      </c>
      <c r="G277">
        <v>-4212.5</v>
      </c>
      <c r="H277" s="1">
        <f t="shared" si="13"/>
        <v>41080</v>
      </c>
      <c r="I277">
        <f>IF(AND(MyRowHidden(ROW())=FALSE,MyRowHidden(ROW()-1)=TRUE),0,(E277-E276)*unitsOfDHp+I276)</f>
        <v>274380</v>
      </c>
      <c r="J277">
        <f>IF(AND(MyRowHidden(ROW())=FALSE,MyRowHidden(ROW()-1)=TRUE),0,(G277-G276)*unitsOfExo+J276)</f>
        <v>7875</v>
      </c>
      <c r="K277" s="9">
        <f t="shared" si="14"/>
        <v>92125</v>
      </c>
      <c r="L277">
        <f t="shared" si="15"/>
        <v>282255</v>
      </c>
    </row>
    <row r="278" spans="1:12" x14ac:dyDescent="0.25">
      <c r="A278" s="1"/>
      <c r="C278" s="1"/>
      <c r="D278" s="1">
        <v>41081</v>
      </c>
      <c r="E278">
        <v>22151</v>
      </c>
      <c r="F278" s="1">
        <v>41081</v>
      </c>
      <c r="G278">
        <v>-5012.5</v>
      </c>
      <c r="H278" s="1">
        <f t="shared" si="13"/>
        <v>41081</v>
      </c>
      <c r="I278">
        <f>IF(AND(MyRowHidden(ROW())=FALSE,MyRowHidden(ROW()-1)=TRUE),0,(E278-E277)*unitsOfDHp+I277)</f>
        <v>271510</v>
      </c>
      <c r="J278">
        <f>IF(AND(MyRowHidden(ROW())=FALSE,MyRowHidden(ROW()-1)=TRUE),0,(G278-G277)*unitsOfExo+J277)</f>
        <v>-125</v>
      </c>
      <c r="K278" s="9">
        <f t="shared" si="14"/>
        <v>100125</v>
      </c>
      <c r="L278">
        <f t="shared" si="15"/>
        <v>271385</v>
      </c>
    </row>
    <row r="279" spans="1:12" x14ac:dyDescent="0.25">
      <c r="A279" s="1"/>
      <c r="C279" s="1"/>
      <c r="D279" s="1">
        <v>41082</v>
      </c>
      <c r="E279">
        <v>22001</v>
      </c>
      <c r="F279" s="1">
        <v>41082</v>
      </c>
      <c r="G279">
        <v>-5012.5</v>
      </c>
      <c r="H279" s="1">
        <f t="shared" si="13"/>
        <v>41082</v>
      </c>
      <c r="I279">
        <f>IF(AND(MyRowHidden(ROW())=FALSE,MyRowHidden(ROW()-1)=TRUE),0,(E279-E278)*unitsOfDHp+I278)</f>
        <v>270010</v>
      </c>
      <c r="J279">
        <f>IF(AND(MyRowHidden(ROW())=FALSE,MyRowHidden(ROW()-1)=TRUE),0,(G279-G278)*unitsOfExo+J278)</f>
        <v>-125</v>
      </c>
      <c r="K279" s="9">
        <f t="shared" si="14"/>
        <v>100125</v>
      </c>
      <c r="L279">
        <f t="shared" si="15"/>
        <v>269885</v>
      </c>
    </row>
    <row r="280" spans="1:12" x14ac:dyDescent="0.25">
      <c r="A280" s="1"/>
      <c r="C280" s="1"/>
      <c r="D280" s="1">
        <v>41085</v>
      </c>
      <c r="E280">
        <v>24584</v>
      </c>
      <c r="F280" s="1">
        <v>41085</v>
      </c>
      <c r="G280">
        <v>-3275</v>
      </c>
      <c r="H280" s="1">
        <f t="shared" si="13"/>
        <v>41085</v>
      </c>
      <c r="I280">
        <f>IF(AND(MyRowHidden(ROW())=FALSE,MyRowHidden(ROW()-1)=TRUE),0,(E280-E279)*unitsOfDHp+I279)</f>
        <v>295840</v>
      </c>
      <c r="J280">
        <f>IF(AND(MyRowHidden(ROW())=FALSE,MyRowHidden(ROW()-1)=TRUE),0,(G280-G279)*unitsOfExo+J279)</f>
        <v>17250</v>
      </c>
      <c r="K280" s="9">
        <f t="shared" si="14"/>
        <v>82750</v>
      </c>
      <c r="L280">
        <f t="shared" si="15"/>
        <v>313090</v>
      </c>
    </row>
    <row r="281" spans="1:12" x14ac:dyDescent="0.25">
      <c r="A281" s="1"/>
      <c r="C281" s="1"/>
      <c r="D281" s="1">
        <v>41086</v>
      </c>
      <c r="E281">
        <v>22782</v>
      </c>
      <c r="F281" s="1">
        <v>41086</v>
      </c>
      <c r="G281">
        <v>-2500</v>
      </c>
      <c r="H281" s="1">
        <f t="shared" si="13"/>
        <v>41086</v>
      </c>
      <c r="I281">
        <f>IF(AND(MyRowHidden(ROW())=FALSE,MyRowHidden(ROW()-1)=TRUE),0,(E281-E280)*unitsOfDHp+I280)</f>
        <v>277820</v>
      </c>
      <c r="J281">
        <f>IF(AND(MyRowHidden(ROW())=FALSE,MyRowHidden(ROW()-1)=TRUE),0,(G281-G280)*unitsOfExo+J280)</f>
        <v>25000</v>
      </c>
      <c r="K281" s="9">
        <f t="shared" si="14"/>
        <v>75000</v>
      </c>
      <c r="L281">
        <f t="shared" si="15"/>
        <v>302820</v>
      </c>
    </row>
    <row r="282" spans="1:12" x14ac:dyDescent="0.25">
      <c r="A282" s="1"/>
      <c r="C282" s="1"/>
      <c r="D282" s="1">
        <v>41087</v>
      </c>
      <c r="E282">
        <v>21294</v>
      </c>
      <c r="F282" s="1">
        <v>41087</v>
      </c>
      <c r="G282">
        <v>-2150</v>
      </c>
      <c r="H282" s="1">
        <f t="shared" si="13"/>
        <v>41087</v>
      </c>
      <c r="I282">
        <f>IF(AND(MyRowHidden(ROW())=FALSE,MyRowHidden(ROW()-1)=TRUE),0,(E282-E281)*unitsOfDHp+I281)</f>
        <v>262940</v>
      </c>
      <c r="J282">
        <f>IF(AND(MyRowHidden(ROW())=FALSE,MyRowHidden(ROW()-1)=TRUE),0,(G282-G281)*unitsOfExo+J281)</f>
        <v>28500</v>
      </c>
      <c r="K282" s="9">
        <f t="shared" si="14"/>
        <v>71500</v>
      </c>
      <c r="L282">
        <f t="shared" si="15"/>
        <v>291440</v>
      </c>
    </row>
    <row r="283" spans="1:12" x14ac:dyDescent="0.25">
      <c r="A283" s="1"/>
      <c r="C283" s="1"/>
      <c r="D283" s="1">
        <v>41088</v>
      </c>
      <c r="E283">
        <v>21492</v>
      </c>
      <c r="F283" s="1">
        <v>41088</v>
      </c>
      <c r="G283">
        <v>-2300</v>
      </c>
      <c r="H283" s="1">
        <f t="shared" si="13"/>
        <v>41088</v>
      </c>
      <c r="I283">
        <f>IF(AND(MyRowHidden(ROW())=FALSE,MyRowHidden(ROW()-1)=TRUE),0,(E283-E282)*unitsOfDHp+I282)</f>
        <v>264920</v>
      </c>
      <c r="J283">
        <f>IF(AND(MyRowHidden(ROW())=FALSE,MyRowHidden(ROW()-1)=TRUE),0,(G283-G282)*unitsOfExo+J282)</f>
        <v>27000</v>
      </c>
      <c r="K283" s="9">
        <f t="shared" si="14"/>
        <v>73000</v>
      </c>
      <c r="L283">
        <f t="shared" si="15"/>
        <v>291920</v>
      </c>
    </row>
    <row r="284" spans="1:12" x14ac:dyDescent="0.25">
      <c r="A284" s="1"/>
      <c r="C284" s="1"/>
      <c r="D284" s="1">
        <v>41089</v>
      </c>
      <c r="E284">
        <v>20923</v>
      </c>
      <c r="F284" s="1">
        <v>41089</v>
      </c>
      <c r="G284">
        <v>-1037.5</v>
      </c>
      <c r="H284" s="1">
        <f t="shared" si="13"/>
        <v>41089</v>
      </c>
      <c r="I284">
        <f>IF(AND(MyRowHidden(ROW())=FALSE,MyRowHidden(ROW()-1)=TRUE),0,(E284-E283)*unitsOfDHp+I283)</f>
        <v>259230</v>
      </c>
      <c r="J284">
        <f>IF(AND(MyRowHidden(ROW())=FALSE,MyRowHidden(ROW()-1)=TRUE),0,(G284-G283)*unitsOfExo+J283)</f>
        <v>39625</v>
      </c>
      <c r="K284" s="9">
        <f t="shared" si="14"/>
        <v>60375</v>
      </c>
      <c r="L284">
        <f t="shared" si="15"/>
        <v>298855</v>
      </c>
    </row>
    <row r="285" spans="1:12" x14ac:dyDescent="0.25">
      <c r="A285" s="1"/>
      <c r="C285" s="1"/>
      <c r="D285" s="1">
        <v>41092</v>
      </c>
      <c r="E285">
        <v>20101</v>
      </c>
      <c r="F285" s="1">
        <v>41092</v>
      </c>
      <c r="G285">
        <v>-175</v>
      </c>
      <c r="H285" s="1">
        <f t="shared" si="13"/>
        <v>41092</v>
      </c>
      <c r="I285">
        <f>IF(AND(MyRowHidden(ROW())=FALSE,MyRowHidden(ROW()-1)=TRUE),0,(E285-E284)*unitsOfDHp+I284)</f>
        <v>251010</v>
      </c>
      <c r="J285">
        <f>IF(AND(MyRowHidden(ROW())=FALSE,MyRowHidden(ROW()-1)=TRUE),0,(G285-G284)*unitsOfExo+J284)</f>
        <v>48250</v>
      </c>
      <c r="K285" s="9">
        <f t="shared" si="14"/>
        <v>51750</v>
      </c>
      <c r="L285">
        <f t="shared" si="15"/>
        <v>299260</v>
      </c>
    </row>
    <row r="286" spans="1:12" x14ac:dyDescent="0.25">
      <c r="A286" s="1"/>
      <c r="C286" s="1"/>
      <c r="D286" s="1">
        <v>41093</v>
      </c>
      <c r="E286">
        <v>19309</v>
      </c>
      <c r="F286" s="1">
        <v>41093</v>
      </c>
      <c r="G286">
        <v>1250</v>
      </c>
      <c r="H286" s="1">
        <f t="shared" si="13"/>
        <v>41093</v>
      </c>
      <c r="I286">
        <f>IF(AND(MyRowHidden(ROW())=FALSE,MyRowHidden(ROW()-1)=TRUE),0,(E286-E285)*unitsOfDHp+I285)</f>
        <v>243090</v>
      </c>
      <c r="J286">
        <f>IF(AND(MyRowHidden(ROW())=FALSE,MyRowHidden(ROW()-1)=TRUE),0,(G286-G285)*unitsOfExo+J285)</f>
        <v>62500</v>
      </c>
      <c r="K286" s="9">
        <f t="shared" si="14"/>
        <v>37500</v>
      </c>
      <c r="L286">
        <f t="shared" si="15"/>
        <v>305590</v>
      </c>
    </row>
    <row r="287" spans="1:12" x14ac:dyDescent="0.25">
      <c r="A287" s="1"/>
      <c r="C287" s="1"/>
      <c r="D287" s="1">
        <v>41095</v>
      </c>
      <c r="E287">
        <v>18708</v>
      </c>
      <c r="F287" s="1">
        <v>41095</v>
      </c>
      <c r="G287">
        <v>3275</v>
      </c>
      <c r="H287" s="1">
        <f t="shared" si="13"/>
        <v>41095</v>
      </c>
      <c r="I287">
        <f>IF(AND(MyRowHidden(ROW())=FALSE,MyRowHidden(ROW()-1)=TRUE),0,(E287-E286)*unitsOfDHp+I286)</f>
        <v>237080</v>
      </c>
      <c r="J287">
        <f>IF(AND(MyRowHidden(ROW())=FALSE,MyRowHidden(ROW()-1)=TRUE),0,(G287-G286)*unitsOfExo+J286)</f>
        <v>82750</v>
      </c>
      <c r="K287" s="9">
        <f t="shared" si="14"/>
        <v>17250</v>
      </c>
      <c r="L287">
        <f t="shared" si="15"/>
        <v>319830</v>
      </c>
    </row>
    <row r="288" spans="1:12" x14ac:dyDescent="0.25">
      <c r="A288" s="1"/>
      <c r="C288" s="1"/>
      <c r="D288" s="1">
        <v>41096</v>
      </c>
      <c r="E288">
        <v>18726</v>
      </c>
      <c r="F288" s="1">
        <v>41096</v>
      </c>
      <c r="G288">
        <v>2937.5</v>
      </c>
      <c r="H288" s="1">
        <f t="shared" si="13"/>
        <v>41096</v>
      </c>
      <c r="I288">
        <f>IF(AND(MyRowHidden(ROW())=FALSE,MyRowHidden(ROW()-1)=TRUE),0,(E288-E287)*unitsOfDHp+I287)</f>
        <v>237260</v>
      </c>
      <c r="J288">
        <f>IF(AND(MyRowHidden(ROW())=FALSE,MyRowHidden(ROW()-1)=TRUE),0,(G288-G287)*unitsOfExo+J287)</f>
        <v>79375</v>
      </c>
      <c r="K288" s="9">
        <f t="shared" si="14"/>
        <v>20625</v>
      </c>
      <c r="L288">
        <f t="shared" si="15"/>
        <v>316635</v>
      </c>
    </row>
    <row r="289" spans="1:12" x14ac:dyDescent="0.25">
      <c r="A289" s="1"/>
      <c r="C289" s="1"/>
      <c r="D289" s="1">
        <v>41099</v>
      </c>
      <c r="E289">
        <v>18415</v>
      </c>
      <c r="F289" s="1">
        <v>41099</v>
      </c>
      <c r="G289">
        <v>4300</v>
      </c>
      <c r="H289" s="1">
        <f t="shared" si="13"/>
        <v>41099</v>
      </c>
      <c r="I289">
        <f>IF(AND(MyRowHidden(ROW())=FALSE,MyRowHidden(ROW()-1)=TRUE),0,(E289-E288)*unitsOfDHp+I288)</f>
        <v>234150</v>
      </c>
      <c r="J289">
        <f>IF(AND(MyRowHidden(ROW())=FALSE,MyRowHidden(ROW()-1)=TRUE),0,(G289-G288)*unitsOfExo+J288)</f>
        <v>93000</v>
      </c>
      <c r="K289" s="9">
        <f t="shared" si="14"/>
        <v>7000</v>
      </c>
      <c r="L289">
        <f t="shared" si="15"/>
        <v>327150</v>
      </c>
    </row>
    <row r="290" spans="1:12" x14ac:dyDescent="0.25">
      <c r="A290" s="1"/>
      <c r="C290" s="1"/>
      <c r="D290" s="1">
        <v>41100</v>
      </c>
      <c r="E290">
        <v>18448</v>
      </c>
      <c r="F290" s="1">
        <v>41100</v>
      </c>
      <c r="G290">
        <v>3612.5</v>
      </c>
      <c r="H290" s="1">
        <f t="shared" si="13"/>
        <v>41100</v>
      </c>
      <c r="I290">
        <f>IF(AND(MyRowHidden(ROW())=FALSE,MyRowHidden(ROW()-1)=TRUE),0,(E290-E289)*unitsOfDHp+I289)</f>
        <v>234480</v>
      </c>
      <c r="J290">
        <f>IF(AND(MyRowHidden(ROW())=FALSE,MyRowHidden(ROW()-1)=TRUE),0,(G290-G289)*unitsOfExo+J289)</f>
        <v>86125</v>
      </c>
      <c r="K290" s="9">
        <f t="shared" si="14"/>
        <v>13875</v>
      </c>
      <c r="L290">
        <f t="shared" si="15"/>
        <v>320605</v>
      </c>
    </row>
    <row r="291" spans="1:12" x14ac:dyDescent="0.25">
      <c r="A291" s="1"/>
      <c r="C291" s="1"/>
      <c r="D291" s="1">
        <v>41101</v>
      </c>
      <c r="E291">
        <v>18549</v>
      </c>
      <c r="F291" s="1">
        <v>41101</v>
      </c>
      <c r="G291">
        <v>2037.5</v>
      </c>
      <c r="H291" s="1">
        <f t="shared" si="13"/>
        <v>41101</v>
      </c>
      <c r="I291">
        <f>IF(AND(MyRowHidden(ROW())=FALSE,MyRowHidden(ROW()-1)=TRUE),0,(E291-E290)*unitsOfDHp+I290)</f>
        <v>235490</v>
      </c>
      <c r="J291">
        <f>IF(AND(MyRowHidden(ROW())=FALSE,MyRowHidden(ROW()-1)=TRUE),0,(G291-G290)*unitsOfExo+J290)</f>
        <v>70375</v>
      </c>
      <c r="K291" s="9">
        <f t="shared" si="14"/>
        <v>29625</v>
      </c>
      <c r="L291">
        <f t="shared" si="15"/>
        <v>305865</v>
      </c>
    </row>
    <row r="292" spans="1:12" x14ac:dyDescent="0.25">
      <c r="A292" s="1"/>
      <c r="C292" s="1"/>
      <c r="D292" s="1">
        <v>41102</v>
      </c>
      <c r="E292">
        <v>18313</v>
      </c>
      <c r="F292" s="1">
        <v>41102</v>
      </c>
      <c r="G292">
        <v>4212.5</v>
      </c>
      <c r="H292" s="1">
        <f t="shared" si="13"/>
        <v>41102</v>
      </c>
      <c r="I292">
        <f>IF(AND(MyRowHidden(ROW())=FALSE,MyRowHidden(ROW()-1)=TRUE),0,(E292-E291)*unitsOfDHp+I291)</f>
        <v>233130</v>
      </c>
      <c r="J292">
        <f>IF(AND(MyRowHidden(ROW())=FALSE,MyRowHidden(ROW()-1)=TRUE),0,(G292-G291)*unitsOfExo+J291)</f>
        <v>92125</v>
      </c>
      <c r="K292" s="9">
        <f t="shared" si="14"/>
        <v>7875</v>
      </c>
      <c r="L292">
        <f t="shared" si="15"/>
        <v>325255</v>
      </c>
    </row>
    <row r="293" spans="1:12" x14ac:dyDescent="0.25">
      <c r="A293" s="1"/>
      <c r="C293" s="1"/>
      <c r="D293" s="1">
        <v>41103</v>
      </c>
      <c r="E293">
        <v>18297</v>
      </c>
      <c r="F293" s="1">
        <v>41103</v>
      </c>
      <c r="G293">
        <v>4287.5</v>
      </c>
      <c r="H293" s="1">
        <f t="shared" si="13"/>
        <v>41103</v>
      </c>
      <c r="I293">
        <f>IF(AND(MyRowHidden(ROW())=FALSE,MyRowHidden(ROW()-1)=TRUE),0,(E293-E292)*unitsOfDHp+I292)</f>
        <v>232970</v>
      </c>
      <c r="J293">
        <f>IF(AND(MyRowHidden(ROW())=FALSE,MyRowHidden(ROW()-1)=TRUE),0,(G293-G292)*unitsOfExo+J292)</f>
        <v>92875</v>
      </c>
      <c r="K293" s="9">
        <f t="shared" si="14"/>
        <v>7125</v>
      </c>
      <c r="L293">
        <f t="shared" si="15"/>
        <v>325845</v>
      </c>
    </row>
    <row r="294" spans="1:12" x14ac:dyDescent="0.25">
      <c r="A294" s="1"/>
      <c r="C294" s="1"/>
      <c r="D294" s="1">
        <v>41106</v>
      </c>
      <c r="E294">
        <v>16493</v>
      </c>
      <c r="F294" s="1">
        <v>41106</v>
      </c>
      <c r="G294">
        <v>6075</v>
      </c>
      <c r="H294" s="1">
        <f t="shared" si="13"/>
        <v>41106</v>
      </c>
      <c r="I294">
        <f>IF(AND(MyRowHidden(ROW())=FALSE,MyRowHidden(ROW()-1)=TRUE),0,(E294-E293)*unitsOfDHp+I293)</f>
        <v>214930</v>
      </c>
      <c r="J294">
        <f>IF(AND(MyRowHidden(ROW())=FALSE,MyRowHidden(ROW()-1)=TRUE),0,(G294-G293)*unitsOfExo+J293)</f>
        <v>110750</v>
      </c>
      <c r="K294" s="9">
        <f t="shared" si="14"/>
        <v>-10750</v>
      </c>
      <c r="L294">
        <f t="shared" si="15"/>
        <v>325680</v>
      </c>
    </row>
    <row r="295" spans="1:12" x14ac:dyDescent="0.25">
      <c r="A295" s="1"/>
      <c r="C295" s="1"/>
      <c r="D295" s="1">
        <v>41107</v>
      </c>
      <c r="E295">
        <v>16067</v>
      </c>
      <c r="F295" s="1">
        <v>41107</v>
      </c>
      <c r="G295">
        <v>6475</v>
      </c>
      <c r="H295" s="1">
        <f t="shared" si="13"/>
        <v>41107</v>
      </c>
      <c r="I295">
        <f>IF(AND(MyRowHidden(ROW())=FALSE,MyRowHidden(ROW()-1)=TRUE),0,(E295-E294)*unitsOfDHp+I294)</f>
        <v>210670</v>
      </c>
      <c r="J295">
        <f>IF(AND(MyRowHidden(ROW())=FALSE,MyRowHidden(ROW()-1)=TRUE),0,(G295-G294)*unitsOfExo+J294)</f>
        <v>114750</v>
      </c>
      <c r="K295" s="9">
        <f t="shared" si="14"/>
        <v>-14750</v>
      </c>
      <c r="L295">
        <f t="shared" si="15"/>
        <v>325420</v>
      </c>
    </row>
    <row r="296" spans="1:12" x14ac:dyDescent="0.25">
      <c r="A296" s="1"/>
      <c r="C296" s="1"/>
      <c r="D296" s="1">
        <v>41108</v>
      </c>
      <c r="E296">
        <v>15375</v>
      </c>
      <c r="F296" s="1">
        <v>41108</v>
      </c>
      <c r="G296">
        <v>7062.5</v>
      </c>
      <c r="H296" s="1">
        <f t="shared" si="13"/>
        <v>41108</v>
      </c>
      <c r="I296">
        <f>IF(AND(MyRowHidden(ROW())=FALSE,MyRowHidden(ROW()-1)=TRUE),0,(E296-E295)*unitsOfDHp+I295)</f>
        <v>203750</v>
      </c>
      <c r="J296">
        <f>IF(AND(MyRowHidden(ROW())=FALSE,MyRowHidden(ROW()-1)=TRUE),0,(G296-G295)*unitsOfExo+J295)</f>
        <v>120625</v>
      </c>
      <c r="K296" s="9">
        <f t="shared" si="14"/>
        <v>-20625</v>
      </c>
      <c r="L296">
        <f t="shared" si="15"/>
        <v>324375</v>
      </c>
    </row>
    <row r="297" spans="1:12" x14ac:dyDescent="0.25">
      <c r="A297" s="1"/>
      <c r="C297" s="1"/>
      <c r="D297" s="1">
        <v>41109</v>
      </c>
      <c r="E297">
        <v>14903</v>
      </c>
      <c r="F297" s="1">
        <v>41109</v>
      </c>
      <c r="G297">
        <v>7437.5</v>
      </c>
      <c r="H297" s="1">
        <f t="shared" si="13"/>
        <v>41109</v>
      </c>
      <c r="I297">
        <f>IF(AND(MyRowHidden(ROW())=FALSE,MyRowHidden(ROW()-1)=TRUE),0,(E297-E296)*unitsOfDHp+I296)</f>
        <v>199030</v>
      </c>
      <c r="J297">
        <f>IF(AND(MyRowHidden(ROW())=FALSE,MyRowHidden(ROW()-1)=TRUE),0,(G297-G296)*unitsOfExo+J296)</f>
        <v>124375</v>
      </c>
      <c r="K297" s="9">
        <f t="shared" si="14"/>
        <v>-24375</v>
      </c>
      <c r="L297">
        <f t="shared" si="15"/>
        <v>323405</v>
      </c>
    </row>
    <row r="298" spans="1:12" x14ac:dyDescent="0.25">
      <c r="A298" s="1"/>
      <c r="C298" s="1"/>
      <c r="D298" s="1">
        <v>41110</v>
      </c>
      <c r="E298">
        <v>13843</v>
      </c>
      <c r="F298" s="1">
        <v>41110</v>
      </c>
      <c r="G298">
        <v>8412.5</v>
      </c>
      <c r="H298" s="1">
        <f t="shared" si="13"/>
        <v>41110</v>
      </c>
      <c r="I298">
        <f>IF(AND(MyRowHidden(ROW())=FALSE,MyRowHidden(ROW()-1)=TRUE),0,(E298-E297)*unitsOfDHp+I297)</f>
        <v>188430</v>
      </c>
      <c r="J298">
        <f>IF(AND(MyRowHidden(ROW())=FALSE,MyRowHidden(ROW()-1)=TRUE),0,(G298-G297)*unitsOfExo+J297)</f>
        <v>134125</v>
      </c>
      <c r="K298" s="9">
        <f t="shared" si="14"/>
        <v>-34125</v>
      </c>
      <c r="L298">
        <f t="shared" si="15"/>
        <v>322555</v>
      </c>
    </row>
    <row r="299" spans="1:12" x14ac:dyDescent="0.25">
      <c r="A299" s="1"/>
      <c r="C299" s="1"/>
      <c r="D299" s="1">
        <v>41113</v>
      </c>
      <c r="E299">
        <v>14215</v>
      </c>
      <c r="F299" s="1">
        <v>41113</v>
      </c>
      <c r="G299">
        <v>7662.5</v>
      </c>
      <c r="H299" s="1">
        <f t="shared" si="13"/>
        <v>41113</v>
      </c>
      <c r="I299">
        <f>IF(AND(MyRowHidden(ROW())=FALSE,MyRowHidden(ROW()-1)=TRUE),0,(E299-E298)*unitsOfDHp+I298)</f>
        <v>192150</v>
      </c>
      <c r="J299">
        <f>IF(AND(MyRowHidden(ROW())=FALSE,MyRowHidden(ROW()-1)=TRUE),0,(G299-G298)*unitsOfExo+J298)</f>
        <v>126625</v>
      </c>
      <c r="K299" s="9">
        <f t="shared" si="14"/>
        <v>-26625</v>
      </c>
      <c r="L299">
        <f t="shared" si="15"/>
        <v>318775</v>
      </c>
    </row>
    <row r="300" spans="1:12" x14ac:dyDescent="0.25">
      <c r="A300" s="1"/>
      <c r="C300" s="1"/>
      <c r="D300" s="1">
        <v>41114</v>
      </c>
      <c r="E300">
        <v>14216</v>
      </c>
      <c r="F300" s="1">
        <v>41114</v>
      </c>
      <c r="G300">
        <v>6687.5</v>
      </c>
      <c r="H300" s="1">
        <f t="shared" si="13"/>
        <v>41114</v>
      </c>
      <c r="I300">
        <f>IF(AND(MyRowHidden(ROW())=FALSE,MyRowHidden(ROW()-1)=TRUE),0,(E300-E299)*unitsOfDHp+I299)</f>
        <v>192160</v>
      </c>
      <c r="J300">
        <f>IF(AND(MyRowHidden(ROW())=FALSE,MyRowHidden(ROW()-1)=TRUE),0,(G300-G299)*unitsOfExo+J299)</f>
        <v>116875</v>
      </c>
      <c r="K300" s="9">
        <f t="shared" si="14"/>
        <v>-16875</v>
      </c>
      <c r="L300">
        <f t="shared" si="15"/>
        <v>309035</v>
      </c>
    </row>
    <row r="301" spans="1:12" x14ac:dyDescent="0.25">
      <c r="A301" s="1"/>
      <c r="C301" s="1"/>
      <c r="D301" s="1">
        <v>41115</v>
      </c>
      <c r="E301">
        <v>14172</v>
      </c>
      <c r="F301" s="1">
        <v>41115</v>
      </c>
      <c r="G301">
        <v>7200</v>
      </c>
      <c r="H301" s="1">
        <f t="shared" si="13"/>
        <v>41115</v>
      </c>
      <c r="I301">
        <f>IF(AND(MyRowHidden(ROW())=FALSE,MyRowHidden(ROW()-1)=TRUE),0,(E301-E300)*unitsOfDHp+I300)</f>
        <v>191720</v>
      </c>
      <c r="J301">
        <f>IF(AND(MyRowHidden(ROW())=FALSE,MyRowHidden(ROW()-1)=TRUE),0,(G301-G300)*unitsOfExo+J300)</f>
        <v>122000</v>
      </c>
      <c r="K301" s="9">
        <f t="shared" si="14"/>
        <v>-22000</v>
      </c>
      <c r="L301">
        <f t="shared" si="15"/>
        <v>313720</v>
      </c>
    </row>
    <row r="302" spans="1:12" x14ac:dyDescent="0.25">
      <c r="A302" s="1"/>
      <c r="C302" s="1"/>
      <c r="D302" s="1">
        <v>41116</v>
      </c>
      <c r="E302">
        <v>14578</v>
      </c>
      <c r="F302" s="1">
        <v>41116</v>
      </c>
      <c r="G302">
        <v>6450</v>
      </c>
      <c r="H302" s="1">
        <f t="shared" si="13"/>
        <v>41116</v>
      </c>
      <c r="I302">
        <f>IF(AND(MyRowHidden(ROW())=FALSE,MyRowHidden(ROW()-1)=TRUE),0,(E302-E301)*unitsOfDHp+I301)</f>
        <v>195780</v>
      </c>
      <c r="J302">
        <f>IF(AND(MyRowHidden(ROW())=FALSE,MyRowHidden(ROW()-1)=TRUE),0,(G302-G301)*unitsOfExo+J301)</f>
        <v>114500</v>
      </c>
      <c r="K302" s="9">
        <f t="shared" si="14"/>
        <v>-14500</v>
      </c>
      <c r="L302">
        <f t="shared" si="15"/>
        <v>310280</v>
      </c>
    </row>
    <row r="303" spans="1:12" x14ac:dyDescent="0.25">
      <c r="A303" s="1"/>
      <c r="C303" s="1"/>
      <c r="D303" s="1">
        <v>41117</v>
      </c>
      <c r="E303">
        <v>14225</v>
      </c>
      <c r="F303" s="1">
        <v>41117</v>
      </c>
      <c r="G303">
        <v>7262.5</v>
      </c>
      <c r="H303" s="1">
        <f t="shared" si="13"/>
        <v>41117</v>
      </c>
      <c r="I303">
        <f>IF(AND(MyRowHidden(ROW())=FALSE,MyRowHidden(ROW()-1)=TRUE),0,(E303-E302)*unitsOfDHp+I302)</f>
        <v>192250</v>
      </c>
      <c r="J303">
        <f>IF(AND(MyRowHidden(ROW())=FALSE,MyRowHidden(ROW()-1)=TRUE),0,(G303-G302)*unitsOfExo+J302)</f>
        <v>122625</v>
      </c>
      <c r="K303" s="9">
        <f t="shared" si="14"/>
        <v>-22625</v>
      </c>
      <c r="L303">
        <f t="shared" si="15"/>
        <v>314875</v>
      </c>
    </row>
    <row r="304" spans="1:12" x14ac:dyDescent="0.25">
      <c r="A304" s="1"/>
      <c r="C304" s="1"/>
      <c r="D304" s="1">
        <v>41120</v>
      </c>
      <c r="E304">
        <v>13970</v>
      </c>
      <c r="F304" s="1">
        <v>41120</v>
      </c>
      <c r="G304">
        <v>8387.5</v>
      </c>
      <c r="H304" s="1">
        <f t="shared" si="13"/>
        <v>41120</v>
      </c>
      <c r="I304">
        <f>IF(AND(MyRowHidden(ROW())=FALSE,MyRowHidden(ROW()-1)=TRUE),0,(E304-E303)*unitsOfDHp+I303)</f>
        <v>189700</v>
      </c>
      <c r="J304">
        <f>IF(AND(MyRowHidden(ROW())=FALSE,MyRowHidden(ROW()-1)=TRUE),0,(G304-G303)*unitsOfExo+J303)</f>
        <v>133875</v>
      </c>
      <c r="K304" s="9">
        <f t="shared" si="14"/>
        <v>-33875</v>
      </c>
      <c r="L304">
        <f t="shared" si="15"/>
        <v>323575</v>
      </c>
    </row>
    <row r="305" spans="1:12" x14ac:dyDescent="0.25">
      <c r="A305" s="1"/>
      <c r="C305" s="1"/>
      <c r="D305" s="1">
        <v>41121</v>
      </c>
      <c r="E305">
        <v>14065</v>
      </c>
      <c r="F305" s="1">
        <v>41121</v>
      </c>
      <c r="G305">
        <v>7875</v>
      </c>
      <c r="H305" s="1">
        <f t="shared" si="13"/>
        <v>41121</v>
      </c>
      <c r="I305">
        <f>IF(AND(MyRowHidden(ROW())=FALSE,MyRowHidden(ROW()-1)=TRUE),0,(E305-E304)*unitsOfDHp+I304)</f>
        <v>190650</v>
      </c>
      <c r="J305">
        <f>IF(AND(MyRowHidden(ROW())=FALSE,MyRowHidden(ROW()-1)=TRUE),0,(G305-G304)*unitsOfExo+J304)</f>
        <v>128750</v>
      </c>
      <c r="K305" s="9">
        <f t="shared" si="14"/>
        <v>-28750</v>
      </c>
      <c r="L305">
        <f t="shared" si="15"/>
        <v>319400</v>
      </c>
    </row>
    <row r="306" spans="1:12" x14ac:dyDescent="0.25">
      <c r="A306" s="1"/>
      <c r="C306" s="1"/>
      <c r="D306" s="1">
        <v>41122</v>
      </c>
      <c r="E306">
        <v>14616</v>
      </c>
      <c r="F306" s="1">
        <v>41122</v>
      </c>
      <c r="G306">
        <v>6662.5</v>
      </c>
      <c r="H306" s="1">
        <f t="shared" si="13"/>
        <v>41122</v>
      </c>
      <c r="I306">
        <f>IF(AND(MyRowHidden(ROW())=FALSE,MyRowHidden(ROW()-1)=TRUE),0,(E306-E305)*unitsOfDHp+I305)</f>
        <v>196160</v>
      </c>
      <c r="J306">
        <f>IF(AND(MyRowHidden(ROW())=FALSE,MyRowHidden(ROW()-1)=TRUE),0,(G306-G305)*unitsOfExo+J305)</f>
        <v>116625</v>
      </c>
      <c r="K306" s="9">
        <f t="shared" si="14"/>
        <v>-16625</v>
      </c>
      <c r="L306">
        <f t="shared" si="15"/>
        <v>312785</v>
      </c>
    </row>
    <row r="307" spans="1:12" x14ac:dyDescent="0.25">
      <c r="A307" s="1"/>
      <c r="C307" s="1"/>
      <c r="D307" s="1">
        <v>41123</v>
      </c>
      <c r="E307">
        <v>14320</v>
      </c>
      <c r="F307" s="1">
        <v>41123</v>
      </c>
      <c r="G307">
        <v>7312.5</v>
      </c>
      <c r="H307" s="1">
        <f t="shared" si="13"/>
        <v>41123</v>
      </c>
      <c r="I307">
        <f>IF(AND(MyRowHidden(ROW())=FALSE,MyRowHidden(ROW()-1)=TRUE),0,(E307-E306)*unitsOfDHp+I306)</f>
        <v>193200</v>
      </c>
      <c r="J307">
        <f>IF(AND(MyRowHidden(ROW())=FALSE,MyRowHidden(ROW()-1)=TRUE),0,(G307-G306)*unitsOfExo+J306)</f>
        <v>123125</v>
      </c>
      <c r="K307" s="9">
        <f t="shared" si="14"/>
        <v>-23125</v>
      </c>
      <c r="L307">
        <f t="shared" si="15"/>
        <v>316325</v>
      </c>
    </row>
    <row r="308" spans="1:12" x14ac:dyDescent="0.25">
      <c r="A308" s="1"/>
      <c r="C308" s="1"/>
      <c r="D308" s="1">
        <v>41124</v>
      </c>
      <c r="E308">
        <v>14146</v>
      </c>
      <c r="F308" s="1">
        <v>41124</v>
      </c>
      <c r="G308">
        <v>7975</v>
      </c>
      <c r="H308" s="1">
        <f t="shared" si="13"/>
        <v>41124</v>
      </c>
      <c r="I308">
        <f>IF(AND(MyRowHidden(ROW())=FALSE,MyRowHidden(ROW()-1)=TRUE),0,(E308-E307)*unitsOfDHp+I307)</f>
        <v>191460</v>
      </c>
      <c r="J308">
        <f>IF(AND(MyRowHidden(ROW())=FALSE,MyRowHidden(ROW()-1)=TRUE),0,(G308-G307)*unitsOfExo+J307)</f>
        <v>129750</v>
      </c>
      <c r="K308" s="9">
        <f t="shared" si="14"/>
        <v>-29750</v>
      </c>
      <c r="L308">
        <f t="shared" si="15"/>
        <v>321210</v>
      </c>
    </row>
    <row r="309" spans="1:12" x14ac:dyDescent="0.25">
      <c r="A309" s="1"/>
      <c r="C309" s="1"/>
      <c r="D309" s="1">
        <v>41127</v>
      </c>
      <c r="E309">
        <v>14130</v>
      </c>
      <c r="F309" s="1">
        <v>41127</v>
      </c>
      <c r="G309">
        <v>7700</v>
      </c>
      <c r="H309" s="1">
        <f t="shared" si="13"/>
        <v>41127</v>
      </c>
      <c r="I309">
        <f>IF(AND(MyRowHidden(ROW())=FALSE,MyRowHidden(ROW()-1)=TRUE),0,(E309-E308)*unitsOfDHp+I308)</f>
        <v>191300</v>
      </c>
      <c r="J309">
        <f>IF(AND(MyRowHidden(ROW())=FALSE,MyRowHidden(ROW()-1)=TRUE),0,(G309-G308)*unitsOfExo+J308)</f>
        <v>127000</v>
      </c>
      <c r="K309" s="9">
        <f t="shared" si="14"/>
        <v>-27000</v>
      </c>
      <c r="L309">
        <f t="shared" si="15"/>
        <v>318300</v>
      </c>
    </row>
    <row r="310" spans="1:12" x14ac:dyDescent="0.25">
      <c r="A310" s="1"/>
      <c r="C310" s="1"/>
      <c r="D310" s="1">
        <v>41128</v>
      </c>
      <c r="E310">
        <v>14393</v>
      </c>
      <c r="F310" s="1">
        <v>41128</v>
      </c>
      <c r="G310">
        <v>7200</v>
      </c>
      <c r="H310" s="1">
        <f t="shared" si="13"/>
        <v>41128</v>
      </c>
      <c r="I310">
        <f>IF(AND(MyRowHidden(ROW())=FALSE,MyRowHidden(ROW()-1)=TRUE),0,(E310-E309)*unitsOfDHp+I309)</f>
        <v>193930</v>
      </c>
      <c r="J310">
        <f>IF(AND(MyRowHidden(ROW())=FALSE,MyRowHidden(ROW()-1)=TRUE),0,(G310-G309)*unitsOfExo+J309)</f>
        <v>122000</v>
      </c>
      <c r="K310" s="9">
        <f t="shared" si="14"/>
        <v>-22000</v>
      </c>
      <c r="L310">
        <f t="shared" si="15"/>
        <v>315930</v>
      </c>
    </row>
    <row r="311" spans="1:12" x14ac:dyDescent="0.25">
      <c r="A311" s="1"/>
      <c r="C311" s="1"/>
      <c r="D311" s="1">
        <v>41129</v>
      </c>
      <c r="E311">
        <v>14020</v>
      </c>
      <c r="F311" s="1">
        <v>41129</v>
      </c>
      <c r="G311">
        <v>7850</v>
      </c>
      <c r="H311" s="1">
        <f t="shared" si="13"/>
        <v>41129</v>
      </c>
      <c r="I311">
        <f>IF(AND(MyRowHidden(ROW())=FALSE,MyRowHidden(ROW()-1)=TRUE),0,(E311-E310)*unitsOfDHp+I310)</f>
        <v>190200</v>
      </c>
      <c r="J311">
        <f>IF(AND(MyRowHidden(ROW())=FALSE,MyRowHidden(ROW()-1)=TRUE),0,(G311-G310)*unitsOfExo+J310)</f>
        <v>128500</v>
      </c>
      <c r="K311" s="9">
        <f t="shared" si="14"/>
        <v>-28500</v>
      </c>
      <c r="L311">
        <f t="shared" si="15"/>
        <v>318700</v>
      </c>
    </row>
    <row r="312" spans="1:12" x14ac:dyDescent="0.25">
      <c r="A312" s="1"/>
      <c r="C312" s="1"/>
      <c r="D312" s="1">
        <v>41130</v>
      </c>
      <c r="E312">
        <v>13811</v>
      </c>
      <c r="F312" s="1">
        <v>41130</v>
      </c>
      <c r="G312">
        <v>8612.5</v>
      </c>
      <c r="H312" s="1">
        <f t="shared" si="13"/>
        <v>41130</v>
      </c>
      <c r="I312">
        <f>IF(AND(MyRowHidden(ROW())=FALSE,MyRowHidden(ROW()-1)=TRUE),0,(E312-E311)*unitsOfDHp+I311)</f>
        <v>188110</v>
      </c>
      <c r="J312">
        <f>IF(AND(MyRowHidden(ROW())=FALSE,MyRowHidden(ROW()-1)=TRUE),0,(G312-G311)*unitsOfExo+J311)</f>
        <v>136125</v>
      </c>
      <c r="K312" s="9">
        <f t="shared" si="14"/>
        <v>-36125</v>
      </c>
      <c r="L312">
        <f t="shared" si="15"/>
        <v>324235</v>
      </c>
    </row>
    <row r="313" spans="1:12" x14ac:dyDescent="0.25">
      <c r="A313" s="1"/>
      <c r="C313" s="1"/>
      <c r="D313" s="1">
        <v>41131</v>
      </c>
      <c r="E313">
        <v>14259</v>
      </c>
      <c r="F313" s="1">
        <v>41131</v>
      </c>
      <c r="G313">
        <v>7687.5</v>
      </c>
      <c r="H313" s="1">
        <f t="shared" si="13"/>
        <v>41131</v>
      </c>
      <c r="I313">
        <f>IF(AND(MyRowHidden(ROW())=FALSE,MyRowHidden(ROW()-1)=TRUE),0,(E313-E312)*unitsOfDHp+I312)</f>
        <v>192590</v>
      </c>
      <c r="J313">
        <f>IF(AND(MyRowHidden(ROW())=FALSE,MyRowHidden(ROW()-1)=TRUE),0,(G313-G312)*unitsOfExo+J312)</f>
        <v>126875</v>
      </c>
      <c r="K313" s="9">
        <f t="shared" si="14"/>
        <v>-26875</v>
      </c>
      <c r="L313">
        <f t="shared" si="15"/>
        <v>319465</v>
      </c>
    </row>
    <row r="314" spans="1:12" x14ac:dyDescent="0.25">
      <c r="A314" s="1"/>
      <c r="C314" s="1"/>
      <c r="D314" s="1">
        <v>41134</v>
      </c>
      <c r="E314">
        <v>15517</v>
      </c>
      <c r="F314" s="1">
        <v>41134</v>
      </c>
      <c r="G314">
        <v>6825</v>
      </c>
      <c r="H314" s="1">
        <f t="shared" si="13"/>
        <v>41134</v>
      </c>
      <c r="I314">
        <f>IF(AND(MyRowHidden(ROW())=FALSE,MyRowHidden(ROW()-1)=TRUE),0,(E314-E313)*unitsOfDHp+I313)</f>
        <v>205170</v>
      </c>
      <c r="J314">
        <f>IF(AND(MyRowHidden(ROW())=FALSE,MyRowHidden(ROW()-1)=TRUE),0,(G314-G313)*unitsOfExo+J313)</f>
        <v>118250</v>
      </c>
      <c r="K314" s="9">
        <f t="shared" si="14"/>
        <v>-18250</v>
      </c>
      <c r="L314">
        <f t="shared" si="15"/>
        <v>323420</v>
      </c>
    </row>
    <row r="315" spans="1:12" x14ac:dyDescent="0.25">
      <c r="A315" s="1"/>
      <c r="C315" s="1"/>
      <c r="D315" s="1">
        <v>41135</v>
      </c>
      <c r="E315">
        <v>15935</v>
      </c>
      <c r="F315" s="1">
        <v>41135</v>
      </c>
      <c r="G315">
        <v>6325</v>
      </c>
      <c r="H315" s="1">
        <f t="shared" si="13"/>
        <v>41135</v>
      </c>
      <c r="I315">
        <f>IF(AND(MyRowHidden(ROW())=FALSE,MyRowHidden(ROW()-1)=TRUE),0,(E315-E314)*unitsOfDHp+I314)</f>
        <v>209350</v>
      </c>
      <c r="J315">
        <f>IF(AND(MyRowHidden(ROW())=FALSE,MyRowHidden(ROW()-1)=TRUE),0,(G315-G314)*unitsOfExo+J314)</f>
        <v>113250</v>
      </c>
      <c r="K315" s="9">
        <f t="shared" si="14"/>
        <v>-13250</v>
      </c>
      <c r="L315">
        <f t="shared" si="15"/>
        <v>322600</v>
      </c>
    </row>
    <row r="316" spans="1:12" x14ac:dyDescent="0.25">
      <c r="A316" s="1"/>
      <c r="C316" s="1"/>
      <c r="D316" s="1">
        <v>41136</v>
      </c>
      <c r="E316">
        <v>15747</v>
      </c>
      <c r="F316" s="1">
        <v>41136</v>
      </c>
      <c r="G316">
        <v>6950</v>
      </c>
      <c r="H316" s="1">
        <f t="shared" si="13"/>
        <v>41136</v>
      </c>
      <c r="I316">
        <f>IF(AND(MyRowHidden(ROW())=FALSE,MyRowHidden(ROW()-1)=TRUE),0,(E316-E315)*unitsOfDHp+I315)</f>
        <v>207470</v>
      </c>
      <c r="J316">
        <f>IF(AND(MyRowHidden(ROW())=FALSE,MyRowHidden(ROW()-1)=TRUE),0,(G316-G315)*unitsOfExo+J315)</f>
        <v>119500</v>
      </c>
      <c r="K316" s="9">
        <f t="shared" si="14"/>
        <v>-19500</v>
      </c>
      <c r="L316">
        <f t="shared" si="15"/>
        <v>326970</v>
      </c>
    </row>
    <row r="317" spans="1:12" x14ac:dyDescent="0.25">
      <c r="A317" s="1"/>
      <c r="C317" s="1"/>
      <c r="D317" s="1">
        <v>41137</v>
      </c>
      <c r="E317">
        <v>15747</v>
      </c>
      <c r="F317" s="1">
        <v>41137</v>
      </c>
      <c r="G317">
        <v>7425</v>
      </c>
      <c r="H317" s="1">
        <f t="shared" si="13"/>
        <v>41137</v>
      </c>
      <c r="I317">
        <f>IF(AND(MyRowHidden(ROW())=FALSE,MyRowHidden(ROW()-1)=TRUE),0,(E317-E316)*unitsOfDHp+I316)</f>
        <v>207470</v>
      </c>
      <c r="J317">
        <f>IF(AND(MyRowHidden(ROW())=FALSE,MyRowHidden(ROW()-1)=TRUE),0,(G317-G316)*unitsOfExo+J316)</f>
        <v>124250</v>
      </c>
      <c r="K317" s="9">
        <f t="shared" si="14"/>
        <v>-24250</v>
      </c>
      <c r="L317">
        <f t="shared" si="15"/>
        <v>331720</v>
      </c>
    </row>
    <row r="318" spans="1:12" x14ac:dyDescent="0.25">
      <c r="A318" s="1"/>
      <c r="C318" s="1"/>
      <c r="D318" s="1">
        <v>41138</v>
      </c>
      <c r="E318">
        <v>15742</v>
      </c>
      <c r="F318" s="1">
        <v>41138</v>
      </c>
      <c r="G318">
        <v>7362.5</v>
      </c>
      <c r="H318" s="1">
        <f t="shared" si="13"/>
        <v>41138</v>
      </c>
      <c r="I318">
        <f>IF(AND(MyRowHidden(ROW())=FALSE,MyRowHidden(ROW()-1)=TRUE),0,(E318-E317)*unitsOfDHp+I317)</f>
        <v>207420</v>
      </c>
      <c r="J318">
        <f>IF(AND(MyRowHidden(ROW())=FALSE,MyRowHidden(ROW()-1)=TRUE),0,(G318-G317)*unitsOfExo+J317)</f>
        <v>123625</v>
      </c>
      <c r="K318" s="9">
        <f t="shared" si="14"/>
        <v>-23625</v>
      </c>
      <c r="L318">
        <f t="shared" si="15"/>
        <v>331045</v>
      </c>
    </row>
    <row r="319" spans="1:12" x14ac:dyDescent="0.25">
      <c r="A319" s="1"/>
      <c r="C319" s="1"/>
      <c r="D319" s="1">
        <v>41141</v>
      </c>
      <c r="E319">
        <v>15202</v>
      </c>
      <c r="F319" s="1">
        <v>41141</v>
      </c>
      <c r="G319">
        <v>8212.5</v>
      </c>
      <c r="H319" s="1">
        <f t="shared" si="13"/>
        <v>41141</v>
      </c>
      <c r="I319">
        <f>IF(AND(MyRowHidden(ROW())=FALSE,MyRowHidden(ROW()-1)=TRUE),0,(E319-E318)*unitsOfDHp+I318)</f>
        <v>202020</v>
      </c>
      <c r="J319">
        <f>IF(AND(MyRowHidden(ROW())=FALSE,MyRowHidden(ROW()-1)=TRUE),0,(G319-G318)*unitsOfExo+J318)</f>
        <v>132125</v>
      </c>
      <c r="K319" s="9">
        <f t="shared" si="14"/>
        <v>-32125</v>
      </c>
      <c r="L319">
        <f t="shared" si="15"/>
        <v>334145</v>
      </c>
    </row>
    <row r="320" spans="1:12" x14ac:dyDescent="0.25">
      <c r="A320" s="1"/>
      <c r="C320" s="1"/>
      <c r="D320" s="1">
        <v>41142</v>
      </c>
      <c r="E320">
        <v>15764</v>
      </c>
      <c r="F320" s="1">
        <v>41142</v>
      </c>
      <c r="G320">
        <v>9000</v>
      </c>
      <c r="H320" s="1">
        <f t="shared" si="13"/>
        <v>41142</v>
      </c>
      <c r="I320">
        <f>IF(AND(MyRowHidden(ROW())=FALSE,MyRowHidden(ROW()-1)=TRUE),0,(E320-E319)*unitsOfDHp+I319)</f>
        <v>207640</v>
      </c>
      <c r="J320">
        <f>IF(AND(MyRowHidden(ROW())=FALSE,MyRowHidden(ROW()-1)=TRUE),0,(G320-G319)*unitsOfExo+J319)</f>
        <v>140000</v>
      </c>
      <c r="K320" s="9">
        <f t="shared" si="14"/>
        <v>-40000</v>
      </c>
      <c r="L320">
        <f t="shared" si="15"/>
        <v>347640</v>
      </c>
    </row>
    <row r="321" spans="1:12" x14ac:dyDescent="0.25">
      <c r="A321" s="1"/>
      <c r="C321" s="1"/>
      <c r="D321" s="1">
        <v>41143</v>
      </c>
      <c r="E321">
        <v>15846</v>
      </c>
      <c r="F321" s="1">
        <v>41143</v>
      </c>
      <c r="G321">
        <v>8787.5</v>
      </c>
      <c r="H321" s="1">
        <f t="shared" si="13"/>
        <v>41143</v>
      </c>
      <c r="I321">
        <f>IF(AND(MyRowHidden(ROW())=FALSE,MyRowHidden(ROW()-1)=TRUE),0,(E321-E320)*unitsOfDHp+I320)</f>
        <v>208460</v>
      </c>
      <c r="J321">
        <f>IF(AND(MyRowHidden(ROW())=FALSE,MyRowHidden(ROW()-1)=TRUE),0,(G321-G320)*unitsOfExo+J320)</f>
        <v>137875</v>
      </c>
      <c r="K321" s="9">
        <f t="shared" si="14"/>
        <v>-37875</v>
      </c>
      <c r="L321">
        <f t="shared" si="15"/>
        <v>346335</v>
      </c>
    </row>
    <row r="322" spans="1:12" x14ac:dyDescent="0.25">
      <c r="A322" s="1"/>
      <c r="C322" s="1"/>
      <c r="D322" s="1">
        <v>41144</v>
      </c>
      <c r="E322">
        <v>16300</v>
      </c>
      <c r="F322" s="1">
        <v>41144</v>
      </c>
      <c r="G322">
        <v>7812.5</v>
      </c>
      <c r="H322" s="1">
        <f t="shared" si="13"/>
        <v>41144</v>
      </c>
      <c r="I322">
        <f>IF(AND(MyRowHidden(ROW())=FALSE,MyRowHidden(ROW()-1)=TRUE),0,(E322-E321)*unitsOfDHp+I321)</f>
        <v>213000</v>
      </c>
      <c r="J322">
        <f>IF(AND(MyRowHidden(ROW())=FALSE,MyRowHidden(ROW()-1)=TRUE),0,(G322-G321)*unitsOfExo+J321)</f>
        <v>128125</v>
      </c>
      <c r="K322" s="9">
        <f t="shared" si="14"/>
        <v>-28125</v>
      </c>
      <c r="L322">
        <f t="shared" si="15"/>
        <v>341125</v>
      </c>
    </row>
    <row r="323" spans="1:12" x14ac:dyDescent="0.25">
      <c r="A323" s="1"/>
      <c r="C323" s="1"/>
      <c r="D323" s="1">
        <v>41145</v>
      </c>
      <c r="E323">
        <v>16613</v>
      </c>
      <c r="F323" s="1">
        <v>41145</v>
      </c>
      <c r="G323">
        <v>7562.5</v>
      </c>
      <c r="H323" s="1">
        <f t="shared" si="13"/>
        <v>41145</v>
      </c>
      <c r="I323">
        <f>IF(AND(MyRowHidden(ROW())=FALSE,MyRowHidden(ROW()-1)=TRUE),0,(E323-E322)*unitsOfDHp+I322)</f>
        <v>216130</v>
      </c>
      <c r="J323">
        <f>IF(AND(MyRowHidden(ROW())=FALSE,MyRowHidden(ROW()-1)=TRUE),0,(G323-G322)*unitsOfExo+J322)</f>
        <v>125625</v>
      </c>
      <c r="K323" s="9">
        <f t="shared" si="14"/>
        <v>-25625</v>
      </c>
      <c r="L323">
        <f t="shared" si="15"/>
        <v>341755</v>
      </c>
    </row>
    <row r="324" spans="1:12" x14ac:dyDescent="0.25">
      <c r="A324" s="1"/>
      <c r="C324" s="1"/>
      <c r="D324" s="1">
        <v>41148</v>
      </c>
      <c r="E324">
        <v>16794</v>
      </c>
      <c r="F324" s="1">
        <v>41148</v>
      </c>
      <c r="G324">
        <v>7250</v>
      </c>
      <c r="H324" s="1">
        <f t="shared" si="13"/>
        <v>41148</v>
      </c>
      <c r="I324">
        <f>IF(AND(MyRowHidden(ROW())=FALSE,MyRowHidden(ROW()-1)=TRUE),0,(E324-E323)*unitsOfDHp+I323)</f>
        <v>217940</v>
      </c>
      <c r="J324">
        <f>IF(AND(MyRowHidden(ROW())=FALSE,MyRowHidden(ROW()-1)=TRUE),0,(G324-G323)*unitsOfExo+J323)</f>
        <v>122500</v>
      </c>
      <c r="K324" s="9">
        <f t="shared" si="14"/>
        <v>-22500</v>
      </c>
      <c r="L324">
        <f t="shared" si="15"/>
        <v>340440</v>
      </c>
    </row>
    <row r="325" spans="1:12" x14ac:dyDescent="0.25">
      <c r="A325" s="1"/>
      <c r="C325" s="1"/>
      <c r="D325" s="1">
        <v>41149</v>
      </c>
      <c r="E325">
        <v>16963</v>
      </c>
      <c r="F325" s="1">
        <v>41149</v>
      </c>
      <c r="G325">
        <v>6975</v>
      </c>
      <c r="H325" s="1">
        <f t="shared" si="13"/>
        <v>41149</v>
      </c>
      <c r="I325">
        <f>IF(AND(MyRowHidden(ROW())=FALSE,MyRowHidden(ROW()-1)=TRUE),0,(E325-E324)*unitsOfDHp+I324)</f>
        <v>219630</v>
      </c>
      <c r="J325">
        <f>IF(AND(MyRowHidden(ROW())=FALSE,MyRowHidden(ROW()-1)=TRUE),0,(G325-G324)*unitsOfExo+J324)</f>
        <v>119750</v>
      </c>
      <c r="K325" s="9">
        <f t="shared" si="14"/>
        <v>-19750</v>
      </c>
      <c r="L325">
        <f t="shared" si="15"/>
        <v>339380</v>
      </c>
    </row>
    <row r="326" spans="1:12" x14ac:dyDescent="0.25">
      <c r="A326" s="1"/>
      <c r="C326" s="1"/>
      <c r="D326" s="1">
        <v>41150</v>
      </c>
      <c r="E326">
        <v>16396</v>
      </c>
      <c r="F326" s="1">
        <v>41150</v>
      </c>
      <c r="G326">
        <v>7925</v>
      </c>
      <c r="H326" s="1">
        <f t="shared" si="13"/>
        <v>41150</v>
      </c>
      <c r="I326">
        <f>IF(AND(MyRowHidden(ROW())=FALSE,MyRowHidden(ROW()-1)=TRUE),0,(E326-E325)*unitsOfDHp+I325)</f>
        <v>213960</v>
      </c>
      <c r="J326">
        <f>IF(AND(MyRowHidden(ROW())=FALSE,MyRowHidden(ROW()-1)=TRUE),0,(G326-G325)*unitsOfExo+J325)</f>
        <v>129250</v>
      </c>
      <c r="K326" s="9">
        <f t="shared" si="14"/>
        <v>-29250</v>
      </c>
      <c r="L326">
        <f t="shared" si="15"/>
        <v>343210</v>
      </c>
    </row>
    <row r="327" spans="1:12" x14ac:dyDescent="0.25">
      <c r="A327" s="1"/>
      <c r="C327" s="1"/>
      <c r="D327" s="1">
        <v>41151</v>
      </c>
      <c r="E327">
        <v>16333</v>
      </c>
      <c r="F327" s="1">
        <v>41151</v>
      </c>
      <c r="G327">
        <v>8225</v>
      </c>
      <c r="H327" s="1">
        <f t="shared" si="13"/>
        <v>41151</v>
      </c>
      <c r="I327">
        <f>IF(AND(MyRowHidden(ROW())=FALSE,MyRowHidden(ROW()-1)=TRUE),0,(E327-E326)*unitsOfDHp+I326)</f>
        <v>213330</v>
      </c>
      <c r="J327">
        <f>IF(AND(MyRowHidden(ROW())=FALSE,MyRowHidden(ROW()-1)=TRUE),0,(G327-G326)*unitsOfExo+J326)</f>
        <v>132250</v>
      </c>
      <c r="K327" s="9">
        <f t="shared" si="14"/>
        <v>-32250</v>
      </c>
      <c r="L327">
        <f t="shared" si="15"/>
        <v>345580</v>
      </c>
    </row>
    <row r="328" spans="1:12" x14ac:dyDescent="0.25">
      <c r="A328" s="1"/>
      <c r="C328" s="1"/>
      <c r="D328" s="1">
        <v>41152</v>
      </c>
      <c r="E328">
        <v>16803</v>
      </c>
      <c r="F328" s="1">
        <v>41152</v>
      </c>
      <c r="G328">
        <v>7562.5</v>
      </c>
      <c r="H328" s="1">
        <f t="shared" si="13"/>
        <v>41152</v>
      </c>
      <c r="I328">
        <f>IF(AND(MyRowHidden(ROW())=FALSE,MyRowHidden(ROW()-1)=TRUE),0,(E328-E327)*unitsOfDHp+I327)</f>
        <v>218030</v>
      </c>
      <c r="J328">
        <f>IF(AND(MyRowHidden(ROW())=FALSE,MyRowHidden(ROW()-1)=TRUE),0,(G328-G327)*unitsOfExo+J327)</f>
        <v>125625</v>
      </c>
      <c r="K328" s="9">
        <f t="shared" si="14"/>
        <v>-25625</v>
      </c>
      <c r="L328">
        <f t="shared" si="15"/>
        <v>343655</v>
      </c>
    </row>
    <row r="329" spans="1:12" x14ac:dyDescent="0.25">
      <c r="A329" s="1"/>
      <c r="C329" s="1"/>
      <c r="D329" s="1">
        <v>41156</v>
      </c>
      <c r="E329">
        <v>16907</v>
      </c>
      <c r="F329" s="1">
        <v>41156</v>
      </c>
      <c r="G329">
        <v>7412.5</v>
      </c>
      <c r="H329" s="1">
        <f t="shared" si="13"/>
        <v>41156</v>
      </c>
      <c r="I329">
        <f>IF(AND(MyRowHidden(ROW())=FALSE,MyRowHidden(ROW()-1)=TRUE),0,(E329-E328)*unitsOfDHp+I328)</f>
        <v>219070</v>
      </c>
      <c r="J329">
        <f>IF(AND(MyRowHidden(ROW())=FALSE,MyRowHidden(ROW()-1)=TRUE),0,(G329-G328)*unitsOfExo+J328)</f>
        <v>124125</v>
      </c>
      <c r="K329" s="9">
        <f t="shared" si="14"/>
        <v>-24125</v>
      </c>
      <c r="L329">
        <f t="shared" si="15"/>
        <v>343195</v>
      </c>
    </row>
    <row r="330" spans="1:12" x14ac:dyDescent="0.25">
      <c r="A330" s="1"/>
      <c r="C330" s="1"/>
      <c r="D330" s="1">
        <v>41157</v>
      </c>
      <c r="E330">
        <v>16847</v>
      </c>
      <c r="F330" s="1">
        <v>41157</v>
      </c>
      <c r="G330">
        <v>7050</v>
      </c>
      <c r="H330" s="1">
        <f t="shared" si="13"/>
        <v>41157</v>
      </c>
      <c r="I330">
        <f>IF(AND(MyRowHidden(ROW())=FALSE,MyRowHidden(ROW()-1)=TRUE),0,(E330-E329)*unitsOfDHp+I329)</f>
        <v>218470</v>
      </c>
      <c r="J330">
        <f>IF(AND(MyRowHidden(ROW())=FALSE,MyRowHidden(ROW()-1)=TRUE),0,(G330-G329)*unitsOfExo+J329)</f>
        <v>120500</v>
      </c>
      <c r="K330" s="9">
        <f t="shared" si="14"/>
        <v>-20500</v>
      </c>
      <c r="L330">
        <f t="shared" si="15"/>
        <v>338970</v>
      </c>
    </row>
    <row r="331" spans="1:12" x14ac:dyDescent="0.25">
      <c r="A331" s="1"/>
      <c r="C331" s="1"/>
      <c r="D331" s="1">
        <v>41158</v>
      </c>
      <c r="E331">
        <v>16829</v>
      </c>
      <c r="F331" s="1">
        <v>41158</v>
      </c>
      <c r="G331">
        <v>7412.5</v>
      </c>
      <c r="H331" s="1">
        <f t="shared" si="13"/>
        <v>41158</v>
      </c>
      <c r="I331">
        <f>IF(AND(MyRowHidden(ROW())=FALSE,MyRowHidden(ROW()-1)=TRUE),0,(E331-E330)*unitsOfDHp+I330)</f>
        <v>218290</v>
      </c>
      <c r="J331">
        <f>IF(AND(MyRowHidden(ROW())=FALSE,MyRowHidden(ROW()-1)=TRUE),0,(G331-G330)*unitsOfExo+J330)</f>
        <v>124125</v>
      </c>
      <c r="K331" s="9">
        <f t="shared" si="14"/>
        <v>-24125</v>
      </c>
      <c r="L331">
        <f t="shared" si="15"/>
        <v>342415</v>
      </c>
    </row>
    <row r="332" spans="1:12" x14ac:dyDescent="0.25">
      <c r="A332" s="1"/>
      <c r="C332" s="1"/>
      <c r="D332" s="1">
        <v>41159</v>
      </c>
      <c r="E332">
        <v>16931</v>
      </c>
      <c r="F332" s="1">
        <v>41159</v>
      </c>
      <c r="G332">
        <v>7337.5</v>
      </c>
      <c r="H332" s="1">
        <f t="shared" si="13"/>
        <v>41159</v>
      </c>
      <c r="I332">
        <f>IF(AND(MyRowHidden(ROW())=FALSE,MyRowHidden(ROW()-1)=TRUE),0,(E332-E331)*unitsOfDHp+I331)</f>
        <v>219310</v>
      </c>
      <c r="J332">
        <f>IF(AND(MyRowHidden(ROW())=FALSE,MyRowHidden(ROW()-1)=TRUE),0,(G332-G331)*unitsOfExo+J331)</f>
        <v>123375</v>
      </c>
      <c r="K332" s="9">
        <f t="shared" si="14"/>
        <v>-23375</v>
      </c>
      <c r="L332">
        <f t="shared" si="15"/>
        <v>342685</v>
      </c>
    </row>
    <row r="333" spans="1:12" x14ac:dyDescent="0.25">
      <c r="A333" s="1"/>
      <c r="C333" s="1"/>
      <c r="D333" s="1">
        <v>41162</v>
      </c>
      <c r="E333">
        <v>17163</v>
      </c>
      <c r="F333" s="1">
        <v>41162</v>
      </c>
      <c r="G333">
        <v>6500</v>
      </c>
      <c r="H333" s="1">
        <f t="shared" ref="H333:H396" si="16">D333</f>
        <v>41162</v>
      </c>
      <c r="I333">
        <f>IF(AND(MyRowHidden(ROW())=FALSE,MyRowHidden(ROW()-1)=TRUE),0,(E333-E332)*unitsOfDHp+I332)</f>
        <v>221630</v>
      </c>
      <c r="J333">
        <f>IF(AND(MyRowHidden(ROW())=FALSE,MyRowHidden(ROW()-1)=TRUE),0,(G333-G332)*unitsOfExo+J332)</f>
        <v>115000</v>
      </c>
      <c r="K333" s="9">
        <f t="shared" ref="K333:K396" si="17">-(J333-J332)+K332</f>
        <v>-15000</v>
      </c>
      <c r="L333">
        <f t="shared" ref="L333:L396" si="18">I333+J333</f>
        <v>336630</v>
      </c>
    </row>
    <row r="334" spans="1:12" x14ac:dyDescent="0.25">
      <c r="A334" s="1"/>
      <c r="C334" s="1"/>
      <c r="D334" s="1">
        <v>41163</v>
      </c>
      <c r="E334">
        <v>17231</v>
      </c>
      <c r="F334" s="1">
        <v>41163</v>
      </c>
      <c r="G334">
        <v>6662.5</v>
      </c>
      <c r="H334" s="1">
        <f t="shared" si="16"/>
        <v>41163</v>
      </c>
      <c r="I334">
        <f>IF(AND(MyRowHidden(ROW())=FALSE,MyRowHidden(ROW()-1)=TRUE),0,(E334-E333)*unitsOfDHp+I333)</f>
        <v>222310</v>
      </c>
      <c r="J334">
        <f>IF(AND(MyRowHidden(ROW())=FALSE,MyRowHidden(ROW()-1)=TRUE),0,(G334-G333)*unitsOfExo+J333)</f>
        <v>116625</v>
      </c>
      <c r="K334" s="9">
        <f t="shared" si="17"/>
        <v>-16625</v>
      </c>
      <c r="L334">
        <f t="shared" si="18"/>
        <v>338935</v>
      </c>
    </row>
    <row r="335" spans="1:12" x14ac:dyDescent="0.25">
      <c r="A335" s="1"/>
      <c r="C335" s="1"/>
      <c r="D335" s="1">
        <v>41164</v>
      </c>
      <c r="E335">
        <v>17535</v>
      </c>
      <c r="F335" s="1">
        <v>41164</v>
      </c>
      <c r="G335">
        <v>5962.5</v>
      </c>
      <c r="H335" s="1">
        <f t="shared" si="16"/>
        <v>41164</v>
      </c>
      <c r="I335">
        <f>IF(AND(MyRowHidden(ROW())=FALSE,MyRowHidden(ROW()-1)=TRUE),0,(E335-E334)*unitsOfDHp+I334)</f>
        <v>225350</v>
      </c>
      <c r="J335">
        <f>IF(AND(MyRowHidden(ROW())=FALSE,MyRowHidden(ROW()-1)=TRUE),0,(G335-G334)*unitsOfExo+J334)</f>
        <v>109625</v>
      </c>
      <c r="K335" s="9">
        <f t="shared" si="17"/>
        <v>-9625</v>
      </c>
      <c r="L335">
        <f t="shared" si="18"/>
        <v>334975</v>
      </c>
    </row>
    <row r="336" spans="1:12" x14ac:dyDescent="0.25">
      <c r="A336" s="1"/>
      <c r="C336" s="1"/>
      <c r="D336" s="1">
        <v>41165</v>
      </c>
      <c r="E336">
        <v>17647</v>
      </c>
      <c r="F336" s="1">
        <v>41165</v>
      </c>
      <c r="G336">
        <v>6237.5</v>
      </c>
      <c r="H336" s="1">
        <f t="shared" si="16"/>
        <v>41165</v>
      </c>
      <c r="I336">
        <f>IF(AND(MyRowHidden(ROW())=FALSE,MyRowHidden(ROW()-1)=TRUE),0,(E336-E335)*unitsOfDHp+I335)</f>
        <v>226470</v>
      </c>
      <c r="J336">
        <f>IF(AND(MyRowHidden(ROW())=FALSE,MyRowHidden(ROW()-1)=TRUE),0,(G336-G335)*unitsOfExo+J335)</f>
        <v>112375</v>
      </c>
      <c r="K336" s="9">
        <f t="shared" si="17"/>
        <v>-12375</v>
      </c>
      <c r="L336">
        <f t="shared" si="18"/>
        <v>338845</v>
      </c>
    </row>
    <row r="337" spans="1:12" x14ac:dyDescent="0.25">
      <c r="A337" s="1"/>
      <c r="C337" s="1"/>
      <c r="D337" s="1">
        <v>41166</v>
      </c>
      <c r="E337">
        <v>17545</v>
      </c>
      <c r="F337" s="1">
        <v>41166</v>
      </c>
      <c r="G337">
        <v>6700</v>
      </c>
      <c r="H337" s="1">
        <f t="shared" si="16"/>
        <v>41166</v>
      </c>
      <c r="I337">
        <f>IF(AND(MyRowHidden(ROW())=FALSE,MyRowHidden(ROW()-1)=TRUE),0,(E337-E336)*unitsOfDHp+I336)</f>
        <v>225450</v>
      </c>
      <c r="J337">
        <f>IF(AND(MyRowHidden(ROW())=FALSE,MyRowHidden(ROW()-1)=TRUE),0,(G337-G336)*unitsOfExo+J336)</f>
        <v>117000</v>
      </c>
      <c r="K337" s="9">
        <f t="shared" si="17"/>
        <v>-17000</v>
      </c>
      <c r="L337">
        <f t="shared" si="18"/>
        <v>342450</v>
      </c>
    </row>
    <row r="338" spans="1:12" x14ac:dyDescent="0.25">
      <c r="A338" s="1"/>
      <c r="C338" s="1"/>
      <c r="D338" s="1">
        <v>41169</v>
      </c>
      <c r="E338">
        <v>18057</v>
      </c>
      <c r="F338" s="1">
        <v>41169</v>
      </c>
      <c r="G338">
        <v>5262.5</v>
      </c>
      <c r="H338" s="1">
        <f t="shared" si="16"/>
        <v>41169</v>
      </c>
      <c r="I338">
        <f>IF(AND(MyRowHidden(ROW())=FALSE,MyRowHidden(ROW()-1)=TRUE),0,(E338-E337)*unitsOfDHp+I337)</f>
        <v>230570</v>
      </c>
      <c r="J338">
        <f>IF(AND(MyRowHidden(ROW())=FALSE,MyRowHidden(ROW()-1)=TRUE),0,(G338-G337)*unitsOfExo+J337)</f>
        <v>102625</v>
      </c>
      <c r="K338" s="9">
        <f t="shared" si="17"/>
        <v>-2625</v>
      </c>
      <c r="L338">
        <f t="shared" si="18"/>
        <v>333195</v>
      </c>
    </row>
    <row r="339" spans="1:12" x14ac:dyDescent="0.25">
      <c r="A339" s="1"/>
      <c r="C339" s="1"/>
      <c r="D339" s="1">
        <v>41170</v>
      </c>
      <c r="E339">
        <v>18054</v>
      </c>
      <c r="F339" s="1">
        <v>41170</v>
      </c>
      <c r="G339">
        <v>4662.5</v>
      </c>
      <c r="H339" s="1">
        <f t="shared" si="16"/>
        <v>41170</v>
      </c>
      <c r="I339">
        <f>IF(AND(MyRowHidden(ROW())=FALSE,MyRowHidden(ROW()-1)=TRUE),0,(E339-E338)*unitsOfDHp+I338)</f>
        <v>230540</v>
      </c>
      <c r="J339">
        <f>IF(AND(MyRowHidden(ROW())=FALSE,MyRowHidden(ROW()-1)=TRUE),0,(G339-G338)*unitsOfExo+J338)</f>
        <v>96625</v>
      </c>
      <c r="K339" s="9">
        <f t="shared" si="17"/>
        <v>3375</v>
      </c>
      <c r="L339">
        <f t="shared" si="18"/>
        <v>327165</v>
      </c>
    </row>
    <row r="340" spans="1:12" x14ac:dyDescent="0.25">
      <c r="A340" s="1"/>
      <c r="C340" s="1"/>
      <c r="D340" s="1">
        <v>41171</v>
      </c>
      <c r="E340">
        <v>18058</v>
      </c>
      <c r="F340" s="1">
        <v>41171</v>
      </c>
      <c r="G340">
        <v>5312.5</v>
      </c>
      <c r="H340" s="1">
        <f t="shared" si="16"/>
        <v>41171</v>
      </c>
      <c r="I340">
        <f>IF(AND(MyRowHidden(ROW())=FALSE,MyRowHidden(ROW()-1)=TRUE),0,(E340-E339)*unitsOfDHp+I339)</f>
        <v>230580</v>
      </c>
      <c r="J340">
        <f>IF(AND(MyRowHidden(ROW())=FALSE,MyRowHidden(ROW()-1)=TRUE),0,(G340-G339)*unitsOfExo+J339)</f>
        <v>103125</v>
      </c>
      <c r="K340" s="9">
        <f t="shared" si="17"/>
        <v>-3125</v>
      </c>
      <c r="L340">
        <f t="shared" si="18"/>
        <v>333705</v>
      </c>
    </row>
    <row r="341" spans="1:12" x14ac:dyDescent="0.25">
      <c r="A341" s="1"/>
      <c r="C341" s="1"/>
      <c r="D341" s="1">
        <v>41172</v>
      </c>
      <c r="E341">
        <v>17922</v>
      </c>
      <c r="F341" s="1">
        <v>41172</v>
      </c>
      <c r="G341">
        <v>4875</v>
      </c>
      <c r="H341" s="1">
        <f t="shared" si="16"/>
        <v>41172</v>
      </c>
      <c r="I341">
        <f>IF(AND(MyRowHidden(ROW())=FALSE,MyRowHidden(ROW()-1)=TRUE),0,(E341-E340)*unitsOfDHp+I340)</f>
        <v>229220</v>
      </c>
      <c r="J341">
        <f>IF(AND(MyRowHidden(ROW())=FALSE,MyRowHidden(ROW()-1)=TRUE),0,(G341-G340)*unitsOfExo+J340)</f>
        <v>98750</v>
      </c>
      <c r="K341" s="9">
        <f t="shared" si="17"/>
        <v>1250</v>
      </c>
      <c r="L341">
        <f t="shared" si="18"/>
        <v>327970</v>
      </c>
    </row>
    <row r="342" spans="1:12" x14ac:dyDescent="0.25">
      <c r="A342" s="1"/>
      <c r="C342" s="1"/>
      <c r="D342" s="1">
        <v>41173</v>
      </c>
      <c r="E342">
        <v>17937</v>
      </c>
      <c r="F342" s="1">
        <v>41173</v>
      </c>
      <c r="G342">
        <v>5037.5</v>
      </c>
      <c r="H342" s="1">
        <f t="shared" si="16"/>
        <v>41173</v>
      </c>
      <c r="I342">
        <f>IF(AND(MyRowHidden(ROW())=FALSE,MyRowHidden(ROW()-1)=TRUE),0,(E342-E341)*unitsOfDHp+I341)</f>
        <v>229370</v>
      </c>
      <c r="J342">
        <f>IF(AND(MyRowHidden(ROW())=FALSE,MyRowHidden(ROW()-1)=TRUE),0,(G342-G341)*unitsOfExo+J341)</f>
        <v>100375</v>
      </c>
      <c r="K342" s="9">
        <f t="shared" si="17"/>
        <v>-375</v>
      </c>
      <c r="L342">
        <f t="shared" si="18"/>
        <v>329745</v>
      </c>
    </row>
    <row r="343" spans="1:12" x14ac:dyDescent="0.25">
      <c r="A343" s="1"/>
      <c r="C343" s="1"/>
      <c r="D343" s="1">
        <v>41176</v>
      </c>
      <c r="E343">
        <v>17885</v>
      </c>
      <c r="F343" s="1">
        <v>41176</v>
      </c>
      <c r="G343">
        <v>4837.5</v>
      </c>
      <c r="H343" s="1">
        <f t="shared" si="16"/>
        <v>41176</v>
      </c>
      <c r="I343">
        <f>IF(AND(MyRowHidden(ROW())=FALSE,MyRowHidden(ROW()-1)=TRUE),0,(E343-E342)*unitsOfDHp+I342)</f>
        <v>228850</v>
      </c>
      <c r="J343">
        <f>IF(AND(MyRowHidden(ROW())=FALSE,MyRowHidden(ROW()-1)=TRUE),0,(G343-G342)*unitsOfExo+J342)</f>
        <v>98375</v>
      </c>
      <c r="K343" s="9">
        <f t="shared" si="17"/>
        <v>1625</v>
      </c>
      <c r="L343">
        <f t="shared" si="18"/>
        <v>327225</v>
      </c>
    </row>
    <row r="344" spans="1:12" x14ac:dyDescent="0.25">
      <c r="A344" s="1"/>
      <c r="C344" s="1"/>
      <c r="D344" s="1">
        <v>41177</v>
      </c>
      <c r="E344">
        <v>17839</v>
      </c>
      <c r="F344" s="1">
        <v>41177</v>
      </c>
      <c r="G344">
        <v>4737.5</v>
      </c>
      <c r="H344" s="1">
        <f t="shared" si="16"/>
        <v>41177</v>
      </c>
      <c r="I344">
        <f>IF(AND(MyRowHidden(ROW())=FALSE,MyRowHidden(ROW()-1)=TRUE),0,(E344-E343)*unitsOfDHp+I343)</f>
        <v>228390</v>
      </c>
      <c r="J344">
        <f>IF(AND(MyRowHidden(ROW())=FALSE,MyRowHidden(ROW()-1)=TRUE),0,(G344-G343)*unitsOfExo+J343)</f>
        <v>97375</v>
      </c>
      <c r="K344" s="9">
        <f t="shared" si="17"/>
        <v>2625</v>
      </c>
      <c r="L344">
        <f t="shared" si="18"/>
        <v>325765</v>
      </c>
    </row>
    <row r="345" spans="1:12" x14ac:dyDescent="0.25">
      <c r="A345" s="1"/>
      <c r="C345" s="1"/>
      <c r="D345" s="1">
        <v>41178</v>
      </c>
      <c r="E345">
        <v>17391</v>
      </c>
      <c r="F345" s="1">
        <v>41178</v>
      </c>
      <c r="G345">
        <v>3875</v>
      </c>
      <c r="H345" s="1">
        <f t="shared" si="16"/>
        <v>41178</v>
      </c>
      <c r="I345">
        <f>IF(AND(MyRowHidden(ROW())=FALSE,MyRowHidden(ROW()-1)=TRUE),0,(E345-E344)*unitsOfDHp+I344)</f>
        <v>223910</v>
      </c>
      <c r="J345">
        <f>IF(AND(MyRowHidden(ROW())=FALSE,MyRowHidden(ROW()-1)=TRUE),0,(G345-G344)*unitsOfExo+J344)</f>
        <v>88750</v>
      </c>
      <c r="K345" s="9">
        <f t="shared" si="17"/>
        <v>11250</v>
      </c>
      <c r="L345">
        <f t="shared" si="18"/>
        <v>312660</v>
      </c>
    </row>
    <row r="346" spans="1:12" x14ac:dyDescent="0.25">
      <c r="A346" s="1"/>
      <c r="C346" s="1"/>
      <c r="D346" s="1">
        <v>41179</v>
      </c>
      <c r="E346">
        <v>17133</v>
      </c>
      <c r="F346" s="1">
        <v>41179</v>
      </c>
      <c r="G346">
        <v>3325</v>
      </c>
      <c r="H346" s="1">
        <f t="shared" si="16"/>
        <v>41179</v>
      </c>
      <c r="I346">
        <f>IF(AND(MyRowHidden(ROW())=FALSE,MyRowHidden(ROW()-1)=TRUE),0,(E346-E345)*unitsOfDHp+I345)</f>
        <v>221330</v>
      </c>
      <c r="J346">
        <f>IF(AND(MyRowHidden(ROW())=FALSE,MyRowHidden(ROW()-1)=TRUE),0,(G346-G345)*unitsOfExo+J345)</f>
        <v>83250</v>
      </c>
      <c r="K346" s="9">
        <f t="shared" si="17"/>
        <v>16750</v>
      </c>
      <c r="L346">
        <f t="shared" si="18"/>
        <v>304580</v>
      </c>
    </row>
    <row r="347" spans="1:12" x14ac:dyDescent="0.25">
      <c r="A347" s="1"/>
      <c r="C347" s="1"/>
      <c r="D347" s="1">
        <v>41180</v>
      </c>
      <c r="E347">
        <v>17985</v>
      </c>
      <c r="F347" s="1">
        <v>41180</v>
      </c>
      <c r="G347">
        <v>5437.5</v>
      </c>
      <c r="H347" s="1">
        <f t="shared" si="16"/>
        <v>41180</v>
      </c>
      <c r="I347">
        <f>IF(AND(MyRowHidden(ROW())=FALSE,MyRowHidden(ROW()-1)=TRUE),0,(E347-E346)*unitsOfDHp+I346)</f>
        <v>229850</v>
      </c>
      <c r="J347">
        <f>IF(AND(MyRowHidden(ROW())=FALSE,MyRowHidden(ROW()-1)=TRUE),0,(G347-G346)*unitsOfExo+J346)</f>
        <v>104375</v>
      </c>
      <c r="K347" s="9">
        <f t="shared" si="17"/>
        <v>-4375</v>
      </c>
      <c r="L347">
        <f t="shared" si="18"/>
        <v>334225</v>
      </c>
    </row>
    <row r="348" spans="1:12" x14ac:dyDescent="0.25">
      <c r="A348" s="1"/>
      <c r="C348" s="1"/>
      <c r="D348" s="1">
        <v>41183</v>
      </c>
      <c r="E348">
        <v>18249</v>
      </c>
      <c r="F348" s="1">
        <v>41183</v>
      </c>
      <c r="G348">
        <v>5525</v>
      </c>
      <c r="H348" s="1">
        <f t="shared" si="16"/>
        <v>41183</v>
      </c>
      <c r="I348">
        <f>IF(AND(MyRowHidden(ROW())=FALSE,MyRowHidden(ROW()-1)=TRUE),0,(E348-E347)*unitsOfDHp+I347)</f>
        <v>232490</v>
      </c>
      <c r="J348">
        <f>IF(AND(MyRowHidden(ROW())=FALSE,MyRowHidden(ROW()-1)=TRUE),0,(G348-G347)*unitsOfExo+J347)</f>
        <v>105250</v>
      </c>
      <c r="K348" s="9">
        <f t="shared" si="17"/>
        <v>-5250</v>
      </c>
      <c r="L348">
        <f t="shared" si="18"/>
        <v>337740</v>
      </c>
    </row>
    <row r="349" spans="1:12" x14ac:dyDescent="0.25">
      <c r="A349" s="1"/>
      <c r="C349" s="1"/>
      <c r="D349" s="1">
        <v>41184</v>
      </c>
      <c r="E349">
        <v>18414</v>
      </c>
      <c r="F349" s="1">
        <v>41184</v>
      </c>
      <c r="G349">
        <v>5250</v>
      </c>
      <c r="H349" s="1">
        <f t="shared" si="16"/>
        <v>41184</v>
      </c>
      <c r="I349">
        <f>IF(AND(MyRowHidden(ROW())=FALSE,MyRowHidden(ROW()-1)=TRUE),0,(E349-E348)*unitsOfDHp+I348)</f>
        <v>234140</v>
      </c>
      <c r="J349">
        <f>IF(AND(MyRowHidden(ROW())=FALSE,MyRowHidden(ROW()-1)=TRUE),0,(G349-G348)*unitsOfExo+J348)</f>
        <v>102500</v>
      </c>
      <c r="K349" s="9">
        <f t="shared" si="17"/>
        <v>-2500</v>
      </c>
      <c r="L349">
        <f t="shared" si="18"/>
        <v>336640</v>
      </c>
    </row>
    <row r="350" spans="1:12" x14ac:dyDescent="0.25">
      <c r="A350" s="1"/>
      <c r="C350" s="1"/>
      <c r="D350" s="1">
        <v>41185</v>
      </c>
      <c r="E350">
        <v>18406</v>
      </c>
      <c r="F350" s="1">
        <v>41185</v>
      </c>
      <c r="G350">
        <v>5537.5</v>
      </c>
      <c r="H350" s="1">
        <f t="shared" si="16"/>
        <v>41185</v>
      </c>
      <c r="I350">
        <f>IF(AND(MyRowHidden(ROW())=FALSE,MyRowHidden(ROW()-1)=TRUE),0,(E350-E349)*unitsOfDHp+I349)</f>
        <v>234060</v>
      </c>
      <c r="J350">
        <f>IF(AND(MyRowHidden(ROW())=FALSE,MyRowHidden(ROW()-1)=TRUE),0,(G350-G349)*unitsOfExo+J349)</f>
        <v>105375</v>
      </c>
      <c r="K350" s="9">
        <f t="shared" si="17"/>
        <v>-5375</v>
      </c>
      <c r="L350">
        <f t="shared" si="18"/>
        <v>339435</v>
      </c>
    </row>
    <row r="351" spans="1:12" x14ac:dyDescent="0.25">
      <c r="A351" s="1"/>
      <c r="C351" s="1"/>
      <c r="D351" s="1">
        <v>41186</v>
      </c>
      <c r="E351">
        <v>18460</v>
      </c>
      <c r="F351" s="1">
        <v>41186</v>
      </c>
      <c r="G351">
        <v>5762.5</v>
      </c>
      <c r="H351" s="1">
        <f t="shared" si="16"/>
        <v>41186</v>
      </c>
      <c r="I351">
        <f>IF(AND(MyRowHidden(ROW())=FALSE,MyRowHidden(ROW()-1)=TRUE),0,(E351-E350)*unitsOfDHp+I350)</f>
        <v>234600</v>
      </c>
      <c r="J351">
        <f>IF(AND(MyRowHidden(ROW())=FALSE,MyRowHidden(ROW()-1)=TRUE),0,(G351-G350)*unitsOfExo+J350)</f>
        <v>107625</v>
      </c>
      <c r="K351" s="9">
        <f t="shared" si="17"/>
        <v>-7625</v>
      </c>
      <c r="L351">
        <f t="shared" si="18"/>
        <v>342225</v>
      </c>
    </row>
    <row r="352" spans="1:12" x14ac:dyDescent="0.25">
      <c r="A352" s="1"/>
      <c r="C352" s="1"/>
      <c r="D352" s="1">
        <v>41187</v>
      </c>
      <c r="E352">
        <v>18413</v>
      </c>
      <c r="F352" s="1">
        <v>41187</v>
      </c>
      <c r="G352">
        <v>5075</v>
      </c>
      <c r="H352" s="1">
        <f t="shared" si="16"/>
        <v>41187</v>
      </c>
      <c r="I352">
        <f>IF(AND(MyRowHidden(ROW())=FALSE,MyRowHidden(ROW()-1)=TRUE),0,(E352-E351)*unitsOfDHp+I351)</f>
        <v>234130</v>
      </c>
      <c r="J352">
        <f>IF(AND(MyRowHidden(ROW())=FALSE,MyRowHidden(ROW()-1)=TRUE),0,(G352-G351)*unitsOfExo+J351)</f>
        <v>100750</v>
      </c>
      <c r="K352" s="9">
        <f t="shared" si="17"/>
        <v>-750</v>
      </c>
      <c r="L352">
        <f t="shared" si="18"/>
        <v>334880</v>
      </c>
    </row>
    <row r="353" spans="1:12" x14ac:dyDescent="0.25">
      <c r="A353" s="1"/>
      <c r="C353" s="1"/>
      <c r="D353" s="1">
        <v>41191</v>
      </c>
      <c r="E353">
        <v>18581</v>
      </c>
      <c r="F353" s="1">
        <v>41191</v>
      </c>
      <c r="G353">
        <v>4750</v>
      </c>
      <c r="H353" s="1">
        <f t="shared" si="16"/>
        <v>41191</v>
      </c>
      <c r="I353">
        <f>IF(AND(MyRowHidden(ROW())=FALSE,MyRowHidden(ROW()-1)=TRUE),0,(E353-E352)*unitsOfDHp+I352)</f>
        <v>235810</v>
      </c>
      <c r="J353">
        <f>IF(AND(MyRowHidden(ROW())=FALSE,MyRowHidden(ROW()-1)=TRUE),0,(G353-G352)*unitsOfExo+J352)</f>
        <v>97500</v>
      </c>
      <c r="K353" s="9">
        <f t="shared" si="17"/>
        <v>2500</v>
      </c>
      <c r="L353">
        <f t="shared" si="18"/>
        <v>333310</v>
      </c>
    </row>
    <row r="354" spans="1:12" x14ac:dyDescent="0.25">
      <c r="A354" s="1"/>
      <c r="C354" s="1"/>
      <c r="D354" s="1">
        <v>41192</v>
      </c>
      <c r="E354">
        <v>18554</v>
      </c>
      <c r="F354" s="1">
        <v>41192</v>
      </c>
      <c r="G354">
        <v>4450</v>
      </c>
      <c r="H354" s="1">
        <f t="shared" si="16"/>
        <v>41192</v>
      </c>
      <c r="I354">
        <f>IF(AND(MyRowHidden(ROW())=FALSE,MyRowHidden(ROW()-1)=TRUE),0,(E354-E353)*unitsOfDHp+I353)</f>
        <v>235540</v>
      </c>
      <c r="J354">
        <f>IF(AND(MyRowHidden(ROW())=FALSE,MyRowHidden(ROW()-1)=TRUE),0,(G354-G353)*unitsOfExo+J353)</f>
        <v>94500</v>
      </c>
      <c r="K354" s="9">
        <f t="shared" si="17"/>
        <v>5500</v>
      </c>
      <c r="L354">
        <f t="shared" si="18"/>
        <v>330040</v>
      </c>
    </row>
    <row r="355" spans="1:12" x14ac:dyDescent="0.25">
      <c r="A355" s="1"/>
      <c r="C355" s="1"/>
      <c r="D355" s="1">
        <v>41193</v>
      </c>
      <c r="E355">
        <v>17826</v>
      </c>
      <c r="F355" s="1">
        <v>41193</v>
      </c>
      <c r="G355">
        <v>6375</v>
      </c>
      <c r="H355" s="1">
        <f t="shared" si="16"/>
        <v>41193</v>
      </c>
      <c r="I355">
        <f>IF(AND(MyRowHidden(ROW())=FALSE,MyRowHidden(ROW()-1)=TRUE),0,(E355-E354)*unitsOfDHp+I354)</f>
        <v>228260</v>
      </c>
      <c r="J355">
        <f>IF(AND(MyRowHidden(ROW())=FALSE,MyRowHidden(ROW()-1)=TRUE),0,(G355-G354)*unitsOfExo+J354)</f>
        <v>113750</v>
      </c>
      <c r="K355" s="9">
        <f t="shared" si="17"/>
        <v>-13750</v>
      </c>
      <c r="L355">
        <f t="shared" si="18"/>
        <v>342010</v>
      </c>
    </row>
    <row r="356" spans="1:12" x14ac:dyDescent="0.25">
      <c r="A356" s="1"/>
      <c r="C356" s="1"/>
      <c r="D356" s="1">
        <v>41194</v>
      </c>
      <c r="E356">
        <v>18133</v>
      </c>
      <c r="F356" s="1">
        <v>41194</v>
      </c>
      <c r="G356">
        <v>5225</v>
      </c>
      <c r="H356" s="1">
        <f t="shared" si="16"/>
        <v>41194</v>
      </c>
      <c r="I356">
        <f>IF(AND(MyRowHidden(ROW())=FALSE,MyRowHidden(ROW()-1)=TRUE),0,(E356-E355)*unitsOfDHp+I355)</f>
        <v>231330</v>
      </c>
      <c r="J356">
        <f>IF(AND(MyRowHidden(ROW())=FALSE,MyRowHidden(ROW()-1)=TRUE),0,(G356-G355)*unitsOfExo+J355)</f>
        <v>102250</v>
      </c>
      <c r="K356" s="9">
        <f t="shared" si="17"/>
        <v>-2250</v>
      </c>
      <c r="L356">
        <f t="shared" si="18"/>
        <v>333580</v>
      </c>
    </row>
    <row r="357" spans="1:12" x14ac:dyDescent="0.25">
      <c r="A357" s="1"/>
      <c r="C357" s="1"/>
      <c r="D357" s="1">
        <v>41197</v>
      </c>
      <c r="E357">
        <v>18492</v>
      </c>
      <c r="F357" s="1">
        <v>41197</v>
      </c>
      <c r="G357">
        <v>4412.5</v>
      </c>
      <c r="H357" s="1">
        <f t="shared" si="16"/>
        <v>41197</v>
      </c>
      <c r="I357">
        <f>IF(AND(MyRowHidden(ROW())=FALSE,MyRowHidden(ROW()-1)=TRUE),0,(E357-E356)*unitsOfDHp+I356)</f>
        <v>234920</v>
      </c>
      <c r="J357">
        <f>IF(AND(MyRowHidden(ROW())=FALSE,MyRowHidden(ROW()-1)=TRUE),0,(G357-G356)*unitsOfExo+J356)</f>
        <v>94125</v>
      </c>
      <c r="K357" s="9">
        <f t="shared" si="17"/>
        <v>5875</v>
      </c>
      <c r="L357">
        <f t="shared" si="18"/>
        <v>329045</v>
      </c>
    </row>
    <row r="358" spans="1:12" x14ac:dyDescent="0.25">
      <c r="A358" s="1"/>
      <c r="C358" s="1"/>
      <c r="D358" s="1">
        <v>41198</v>
      </c>
      <c r="E358">
        <v>18446</v>
      </c>
      <c r="F358" s="1">
        <v>41198</v>
      </c>
      <c r="G358">
        <v>4412.5</v>
      </c>
      <c r="H358" s="1">
        <f t="shared" si="16"/>
        <v>41198</v>
      </c>
      <c r="I358">
        <f>IF(AND(MyRowHidden(ROW())=FALSE,MyRowHidden(ROW()-1)=TRUE),0,(E358-E357)*unitsOfDHp+I357)</f>
        <v>234460</v>
      </c>
      <c r="J358">
        <f>IF(AND(MyRowHidden(ROW())=FALSE,MyRowHidden(ROW()-1)=TRUE),0,(G358-G357)*unitsOfExo+J357)</f>
        <v>94125</v>
      </c>
      <c r="K358" s="9">
        <f t="shared" si="17"/>
        <v>5875</v>
      </c>
      <c r="L358">
        <f t="shared" si="18"/>
        <v>328585</v>
      </c>
    </row>
    <row r="359" spans="1:12" x14ac:dyDescent="0.25">
      <c r="A359" s="1"/>
      <c r="C359" s="1"/>
      <c r="D359" s="1">
        <v>41199</v>
      </c>
      <c r="E359">
        <v>18676</v>
      </c>
      <c r="F359" s="1">
        <v>41199</v>
      </c>
      <c r="G359">
        <v>4775</v>
      </c>
      <c r="H359" s="1">
        <f t="shared" si="16"/>
        <v>41199</v>
      </c>
      <c r="I359">
        <f>IF(AND(MyRowHidden(ROW())=FALSE,MyRowHidden(ROW()-1)=TRUE),0,(E359-E358)*unitsOfDHp+I358)</f>
        <v>236760</v>
      </c>
      <c r="J359">
        <f>IF(AND(MyRowHidden(ROW())=FALSE,MyRowHidden(ROW()-1)=TRUE),0,(G359-G358)*unitsOfExo+J358)</f>
        <v>97750</v>
      </c>
      <c r="K359" s="9">
        <f t="shared" si="17"/>
        <v>2250</v>
      </c>
      <c r="L359">
        <f t="shared" si="18"/>
        <v>334510</v>
      </c>
    </row>
    <row r="360" spans="1:12" x14ac:dyDescent="0.25">
      <c r="A360" s="1"/>
      <c r="C360" s="1"/>
      <c r="D360" s="1">
        <v>41200</v>
      </c>
      <c r="E360">
        <v>19799</v>
      </c>
      <c r="F360" s="1">
        <v>41200</v>
      </c>
      <c r="G360">
        <v>5612.5</v>
      </c>
      <c r="H360" s="1">
        <f t="shared" si="16"/>
        <v>41200</v>
      </c>
      <c r="I360">
        <f>IF(AND(MyRowHidden(ROW())=FALSE,MyRowHidden(ROW()-1)=TRUE),0,(E360-E359)*unitsOfDHp+I359)</f>
        <v>247990</v>
      </c>
      <c r="J360">
        <f>IF(AND(MyRowHidden(ROW())=FALSE,MyRowHidden(ROW()-1)=TRUE),0,(G360-G359)*unitsOfExo+J359)</f>
        <v>106125</v>
      </c>
      <c r="K360" s="9">
        <f t="shared" si="17"/>
        <v>-6125</v>
      </c>
      <c r="L360">
        <f t="shared" si="18"/>
        <v>354115</v>
      </c>
    </row>
    <row r="361" spans="1:12" x14ac:dyDescent="0.25">
      <c r="A361" s="1"/>
      <c r="C361" s="1"/>
      <c r="D361" s="1">
        <v>41201</v>
      </c>
      <c r="E361">
        <v>20089</v>
      </c>
      <c r="F361" s="1">
        <v>41201</v>
      </c>
      <c r="G361">
        <v>5825</v>
      </c>
      <c r="H361" s="1">
        <f t="shared" si="16"/>
        <v>41201</v>
      </c>
      <c r="I361">
        <f>IF(AND(MyRowHidden(ROW())=FALSE,MyRowHidden(ROW()-1)=TRUE),0,(E361-E360)*unitsOfDHp+I360)</f>
        <v>250890</v>
      </c>
      <c r="J361">
        <f>IF(AND(MyRowHidden(ROW())=FALSE,MyRowHidden(ROW()-1)=TRUE),0,(G361-G360)*unitsOfExo+J360)</f>
        <v>108250</v>
      </c>
      <c r="K361" s="9">
        <f t="shared" si="17"/>
        <v>-8250</v>
      </c>
      <c r="L361">
        <f t="shared" si="18"/>
        <v>359140</v>
      </c>
    </row>
    <row r="362" spans="1:12" x14ac:dyDescent="0.25">
      <c r="A362" s="1"/>
      <c r="C362" s="1"/>
      <c r="D362" s="1">
        <v>41204</v>
      </c>
      <c r="E362">
        <v>20019</v>
      </c>
      <c r="F362" s="1">
        <v>41204</v>
      </c>
      <c r="G362">
        <v>5775</v>
      </c>
      <c r="H362" s="1">
        <f t="shared" si="16"/>
        <v>41204</v>
      </c>
      <c r="I362">
        <f>IF(AND(MyRowHidden(ROW())=FALSE,MyRowHidden(ROW()-1)=TRUE),0,(E362-E361)*unitsOfDHp+I361)</f>
        <v>250190</v>
      </c>
      <c r="J362">
        <f>IF(AND(MyRowHidden(ROW())=FALSE,MyRowHidden(ROW()-1)=TRUE),0,(G362-G361)*unitsOfExo+J361)</f>
        <v>107750</v>
      </c>
      <c r="K362" s="9">
        <f t="shared" si="17"/>
        <v>-7750</v>
      </c>
      <c r="L362">
        <f t="shared" si="18"/>
        <v>357940</v>
      </c>
    </row>
    <row r="363" spans="1:12" x14ac:dyDescent="0.25">
      <c r="A363" s="1"/>
      <c r="C363" s="1"/>
      <c r="D363" s="1">
        <v>41205</v>
      </c>
      <c r="E363">
        <v>19749</v>
      </c>
      <c r="F363" s="1">
        <v>41205</v>
      </c>
      <c r="G363">
        <v>5312.5</v>
      </c>
      <c r="H363" s="1">
        <f t="shared" si="16"/>
        <v>41205</v>
      </c>
      <c r="I363">
        <f>IF(AND(MyRowHidden(ROW())=FALSE,MyRowHidden(ROW()-1)=TRUE),0,(E363-E362)*unitsOfDHp+I362)</f>
        <v>247490</v>
      </c>
      <c r="J363">
        <f>IF(AND(MyRowHidden(ROW())=FALSE,MyRowHidden(ROW()-1)=TRUE),0,(G363-G362)*unitsOfExo+J362)</f>
        <v>103125</v>
      </c>
      <c r="K363" s="9">
        <f t="shared" si="17"/>
        <v>-3125</v>
      </c>
      <c r="L363">
        <f t="shared" si="18"/>
        <v>350615</v>
      </c>
    </row>
    <row r="364" spans="1:12" x14ac:dyDescent="0.25">
      <c r="A364" s="1"/>
      <c r="C364" s="1"/>
      <c r="D364" s="1">
        <v>41206</v>
      </c>
      <c r="E364">
        <v>19746</v>
      </c>
      <c r="F364" s="1">
        <v>41206</v>
      </c>
      <c r="G364">
        <v>5312.5</v>
      </c>
      <c r="H364" s="1">
        <f t="shared" si="16"/>
        <v>41206</v>
      </c>
      <c r="I364">
        <f>IF(AND(MyRowHidden(ROW())=FALSE,MyRowHidden(ROW()-1)=TRUE),0,(E364-E363)*unitsOfDHp+I363)</f>
        <v>247460</v>
      </c>
      <c r="J364">
        <f>IF(AND(MyRowHidden(ROW())=FALSE,MyRowHidden(ROW()-1)=TRUE),0,(G364-G363)*unitsOfExo+J363)</f>
        <v>103125</v>
      </c>
      <c r="K364" s="9">
        <f t="shared" si="17"/>
        <v>-3125</v>
      </c>
      <c r="L364">
        <f t="shared" si="18"/>
        <v>350585</v>
      </c>
    </row>
    <row r="365" spans="1:12" x14ac:dyDescent="0.25">
      <c r="A365" s="1"/>
      <c r="C365" s="1"/>
      <c r="D365" s="1">
        <v>41207</v>
      </c>
      <c r="E365">
        <v>19553</v>
      </c>
      <c r="F365" s="1">
        <v>41207</v>
      </c>
      <c r="G365">
        <v>4825</v>
      </c>
      <c r="H365" s="1">
        <f t="shared" si="16"/>
        <v>41207</v>
      </c>
      <c r="I365">
        <f>IF(AND(MyRowHidden(ROW())=FALSE,MyRowHidden(ROW()-1)=TRUE),0,(E365-E364)*unitsOfDHp+I364)</f>
        <v>245530</v>
      </c>
      <c r="J365">
        <f>IF(AND(MyRowHidden(ROW())=FALSE,MyRowHidden(ROW()-1)=TRUE),0,(G365-G364)*unitsOfExo+J364)</f>
        <v>98250</v>
      </c>
      <c r="K365" s="9">
        <f t="shared" si="17"/>
        <v>1750</v>
      </c>
      <c r="L365">
        <f t="shared" si="18"/>
        <v>343780</v>
      </c>
    </row>
    <row r="366" spans="1:12" x14ac:dyDescent="0.25">
      <c r="A366" s="1"/>
      <c r="C366" s="1"/>
      <c r="D366" s="1">
        <v>41208</v>
      </c>
      <c r="E366">
        <v>19425</v>
      </c>
      <c r="F366" s="1">
        <v>41208</v>
      </c>
      <c r="G366">
        <v>4537.5</v>
      </c>
      <c r="H366" s="1">
        <f t="shared" si="16"/>
        <v>41208</v>
      </c>
      <c r="I366">
        <f>IF(AND(MyRowHidden(ROW())=FALSE,MyRowHidden(ROW()-1)=TRUE),0,(E366-E365)*unitsOfDHp+I365)</f>
        <v>244250</v>
      </c>
      <c r="J366">
        <f>IF(AND(MyRowHidden(ROW())=FALSE,MyRowHidden(ROW()-1)=TRUE),0,(G366-G365)*unitsOfExo+J365)</f>
        <v>95375</v>
      </c>
      <c r="K366" s="9">
        <f t="shared" si="17"/>
        <v>4625</v>
      </c>
      <c r="L366">
        <f t="shared" si="18"/>
        <v>339625</v>
      </c>
    </row>
    <row r="367" spans="1:12" x14ac:dyDescent="0.25">
      <c r="A367" s="1"/>
      <c r="C367" s="1"/>
      <c r="D367" s="1">
        <v>41211</v>
      </c>
      <c r="E367">
        <v>19370</v>
      </c>
      <c r="F367" s="1">
        <v>41211</v>
      </c>
      <c r="G367">
        <v>4475</v>
      </c>
      <c r="H367" s="1">
        <f t="shared" si="16"/>
        <v>41211</v>
      </c>
      <c r="I367">
        <f>IF(AND(MyRowHidden(ROW())=FALSE,MyRowHidden(ROW()-1)=TRUE),0,(E367-E366)*unitsOfDHp+I366)</f>
        <v>243700</v>
      </c>
      <c r="J367">
        <f>IF(AND(MyRowHidden(ROW())=FALSE,MyRowHidden(ROW()-1)=TRUE),0,(G367-G366)*unitsOfExo+J366)</f>
        <v>94750</v>
      </c>
      <c r="K367" s="9">
        <f t="shared" si="17"/>
        <v>5250</v>
      </c>
      <c r="L367">
        <f t="shared" si="18"/>
        <v>338450</v>
      </c>
    </row>
    <row r="368" spans="1:12" x14ac:dyDescent="0.25">
      <c r="A368" s="1"/>
      <c r="C368" s="1"/>
      <c r="D368" s="1">
        <v>41212</v>
      </c>
      <c r="E368">
        <v>19337</v>
      </c>
      <c r="F368" s="1">
        <v>41212</v>
      </c>
      <c r="G368">
        <v>4612.5</v>
      </c>
      <c r="H368" s="1">
        <f t="shared" si="16"/>
        <v>41212</v>
      </c>
      <c r="I368">
        <f>IF(AND(MyRowHidden(ROW())=FALSE,MyRowHidden(ROW()-1)=TRUE),0,(E368-E367)*unitsOfDHp+I367)</f>
        <v>243370</v>
      </c>
      <c r="J368">
        <f>IF(AND(MyRowHidden(ROW())=FALSE,MyRowHidden(ROW()-1)=TRUE),0,(G368-G367)*unitsOfExo+J367)</f>
        <v>96125</v>
      </c>
      <c r="K368" s="9">
        <f t="shared" si="17"/>
        <v>3875</v>
      </c>
      <c r="L368">
        <f t="shared" si="18"/>
        <v>339495</v>
      </c>
    </row>
    <row r="369" spans="1:12" x14ac:dyDescent="0.25">
      <c r="A369" s="1"/>
      <c r="C369" s="1"/>
      <c r="D369" s="1">
        <v>41213</v>
      </c>
      <c r="E369">
        <v>19326</v>
      </c>
      <c r="F369" s="1">
        <v>41213</v>
      </c>
      <c r="G369">
        <v>5300</v>
      </c>
      <c r="H369" s="1">
        <f t="shared" si="16"/>
        <v>41213</v>
      </c>
      <c r="I369">
        <f>IF(AND(MyRowHidden(ROW())=FALSE,MyRowHidden(ROW()-1)=TRUE),0,(E369-E368)*unitsOfDHp+I368)</f>
        <v>243260</v>
      </c>
      <c r="J369">
        <f>IF(AND(MyRowHidden(ROW())=FALSE,MyRowHidden(ROW()-1)=TRUE),0,(G369-G368)*unitsOfExo+J368)</f>
        <v>103000</v>
      </c>
      <c r="K369" s="9">
        <f t="shared" si="17"/>
        <v>-3000</v>
      </c>
      <c r="L369">
        <f t="shared" si="18"/>
        <v>346260</v>
      </c>
    </row>
    <row r="370" spans="1:12" x14ac:dyDescent="0.25">
      <c r="A370" s="1"/>
      <c r="C370" s="1"/>
      <c r="D370" s="1">
        <v>41214</v>
      </c>
      <c r="E370">
        <v>19226</v>
      </c>
      <c r="F370" s="1">
        <v>41214</v>
      </c>
      <c r="G370">
        <v>5337.5</v>
      </c>
      <c r="H370" s="1">
        <f t="shared" si="16"/>
        <v>41214</v>
      </c>
      <c r="I370">
        <f>IF(AND(MyRowHidden(ROW())=FALSE,MyRowHidden(ROW()-1)=TRUE),0,(E370-E369)*unitsOfDHp+I369)</f>
        <v>242260</v>
      </c>
      <c r="J370">
        <f>IF(AND(MyRowHidden(ROW())=FALSE,MyRowHidden(ROW()-1)=TRUE),0,(G370-G369)*unitsOfExo+J369)</f>
        <v>103375</v>
      </c>
      <c r="K370" s="9">
        <f t="shared" si="17"/>
        <v>-3375</v>
      </c>
      <c r="L370">
        <f t="shared" si="18"/>
        <v>345635</v>
      </c>
    </row>
    <row r="371" spans="1:12" x14ac:dyDescent="0.25">
      <c r="A371" s="1"/>
      <c r="C371" s="1"/>
      <c r="D371" s="1">
        <v>41215</v>
      </c>
      <c r="E371">
        <v>19822</v>
      </c>
      <c r="F371" s="1">
        <v>41215</v>
      </c>
      <c r="G371">
        <v>4687.5</v>
      </c>
      <c r="H371" s="1">
        <f t="shared" si="16"/>
        <v>41215</v>
      </c>
      <c r="I371">
        <f>IF(AND(MyRowHidden(ROW())=FALSE,MyRowHidden(ROW()-1)=TRUE),0,(E371-E370)*unitsOfDHp+I370)</f>
        <v>248220</v>
      </c>
      <c r="J371">
        <f>IF(AND(MyRowHidden(ROW())=FALSE,MyRowHidden(ROW()-1)=TRUE),0,(G371-G370)*unitsOfExo+J370)</f>
        <v>96875</v>
      </c>
      <c r="K371" s="9">
        <f t="shared" si="17"/>
        <v>3125</v>
      </c>
      <c r="L371">
        <f t="shared" si="18"/>
        <v>345095</v>
      </c>
    </row>
    <row r="372" spans="1:12" x14ac:dyDescent="0.25">
      <c r="A372" s="1"/>
      <c r="C372" s="1"/>
      <c r="D372" s="1">
        <v>41218</v>
      </c>
      <c r="E372">
        <v>19983</v>
      </c>
      <c r="F372" s="1">
        <v>41218</v>
      </c>
      <c r="G372">
        <v>4325</v>
      </c>
      <c r="H372" s="1">
        <f t="shared" si="16"/>
        <v>41218</v>
      </c>
      <c r="I372">
        <f>IF(AND(MyRowHidden(ROW())=FALSE,MyRowHidden(ROW()-1)=TRUE),0,(E372-E371)*unitsOfDHp+I371)</f>
        <v>249830</v>
      </c>
      <c r="J372">
        <f>IF(AND(MyRowHidden(ROW())=FALSE,MyRowHidden(ROW()-1)=TRUE),0,(G372-G371)*unitsOfExo+J371)</f>
        <v>93250</v>
      </c>
      <c r="K372" s="9">
        <f t="shared" si="17"/>
        <v>6750</v>
      </c>
      <c r="L372">
        <f t="shared" si="18"/>
        <v>343080</v>
      </c>
    </row>
    <row r="373" spans="1:12" x14ac:dyDescent="0.25">
      <c r="A373" s="1"/>
      <c r="C373" s="1"/>
      <c r="D373" s="1">
        <v>41219</v>
      </c>
      <c r="E373">
        <v>20009</v>
      </c>
      <c r="F373" s="1">
        <v>41219</v>
      </c>
      <c r="G373">
        <v>4625</v>
      </c>
      <c r="H373" s="1">
        <f t="shared" si="16"/>
        <v>41219</v>
      </c>
      <c r="I373">
        <f>IF(AND(MyRowHidden(ROW())=FALSE,MyRowHidden(ROW()-1)=TRUE),0,(E373-E372)*unitsOfDHp+I372)</f>
        <v>250090</v>
      </c>
      <c r="J373">
        <f>IF(AND(MyRowHidden(ROW())=FALSE,MyRowHidden(ROW()-1)=TRUE),0,(G373-G372)*unitsOfExo+J372)</f>
        <v>96250</v>
      </c>
      <c r="K373" s="9">
        <f t="shared" si="17"/>
        <v>3750</v>
      </c>
      <c r="L373">
        <f t="shared" si="18"/>
        <v>346340</v>
      </c>
    </row>
    <row r="374" spans="1:12" x14ac:dyDescent="0.25">
      <c r="A374" s="1"/>
      <c r="C374" s="1"/>
      <c r="D374" s="1">
        <v>41220</v>
      </c>
      <c r="E374">
        <v>20095</v>
      </c>
      <c r="F374" s="1">
        <v>41220</v>
      </c>
      <c r="G374">
        <v>4787.5</v>
      </c>
      <c r="H374" s="1">
        <f t="shared" si="16"/>
        <v>41220</v>
      </c>
      <c r="I374">
        <f>IF(AND(MyRowHidden(ROW())=FALSE,MyRowHidden(ROW()-1)=TRUE),0,(E374-E373)*unitsOfDHp+I373)</f>
        <v>250950</v>
      </c>
      <c r="J374">
        <f>IF(AND(MyRowHidden(ROW())=FALSE,MyRowHidden(ROW()-1)=TRUE),0,(G374-G373)*unitsOfExo+J373)</f>
        <v>97875</v>
      </c>
      <c r="K374" s="9">
        <f t="shared" si="17"/>
        <v>2125</v>
      </c>
      <c r="L374">
        <f t="shared" si="18"/>
        <v>348825</v>
      </c>
    </row>
    <row r="375" spans="1:12" x14ac:dyDescent="0.25">
      <c r="A375" s="1"/>
      <c r="C375" s="1"/>
      <c r="D375" s="1">
        <v>41221</v>
      </c>
      <c r="E375">
        <v>20183</v>
      </c>
      <c r="F375" s="1">
        <v>41221</v>
      </c>
      <c r="G375">
        <v>4837.5</v>
      </c>
      <c r="H375" s="1">
        <f t="shared" si="16"/>
        <v>41221</v>
      </c>
      <c r="I375">
        <f>IF(AND(MyRowHidden(ROW())=FALSE,MyRowHidden(ROW()-1)=TRUE),0,(E375-E374)*unitsOfDHp+I374)</f>
        <v>251830</v>
      </c>
      <c r="J375">
        <f>IF(AND(MyRowHidden(ROW())=FALSE,MyRowHidden(ROW()-1)=TRUE),0,(G375-G374)*unitsOfExo+J374)</f>
        <v>98375</v>
      </c>
      <c r="K375" s="9">
        <f t="shared" si="17"/>
        <v>1625</v>
      </c>
      <c r="L375">
        <f t="shared" si="18"/>
        <v>350205</v>
      </c>
    </row>
    <row r="376" spans="1:12" x14ac:dyDescent="0.25">
      <c r="A376" s="1"/>
      <c r="C376" s="1"/>
      <c r="D376" s="1">
        <v>41222</v>
      </c>
      <c r="E376">
        <v>20010</v>
      </c>
      <c r="F376" s="1">
        <v>41222</v>
      </c>
      <c r="G376">
        <v>4675</v>
      </c>
      <c r="H376" s="1">
        <f t="shared" si="16"/>
        <v>41222</v>
      </c>
      <c r="I376">
        <f>IF(AND(MyRowHidden(ROW())=FALSE,MyRowHidden(ROW()-1)=TRUE),0,(E376-E375)*unitsOfDHp+I375)</f>
        <v>250100</v>
      </c>
      <c r="J376">
        <f>IF(AND(MyRowHidden(ROW())=FALSE,MyRowHidden(ROW()-1)=TRUE),0,(G376-G375)*unitsOfExo+J375)</f>
        <v>96750</v>
      </c>
      <c r="K376" s="9">
        <f t="shared" si="17"/>
        <v>3250</v>
      </c>
      <c r="L376">
        <f t="shared" si="18"/>
        <v>346850</v>
      </c>
    </row>
    <row r="377" spans="1:12" x14ac:dyDescent="0.25">
      <c r="A377" s="1"/>
      <c r="C377" s="1"/>
      <c r="D377" s="1">
        <v>41226</v>
      </c>
      <c r="E377">
        <v>19645</v>
      </c>
      <c r="F377" s="1">
        <v>41226</v>
      </c>
      <c r="G377">
        <v>3512.5</v>
      </c>
      <c r="H377" s="1">
        <f t="shared" si="16"/>
        <v>41226</v>
      </c>
      <c r="I377">
        <f>IF(AND(MyRowHidden(ROW())=FALSE,MyRowHidden(ROW()-1)=TRUE),0,(E377-E376)*unitsOfDHp+I376)</f>
        <v>246450</v>
      </c>
      <c r="J377">
        <f>IF(AND(MyRowHidden(ROW())=FALSE,MyRowHidden(ROW()-1)=TRUE),0,(G377-G376)*unitsOfExo+J376)</f>
        <v>85125</v>
      </c>
      <c r="K377" s="9">
        <f t="shared" si="17"/>
        <v>14875</v>
      </c>
      <c r="L377">
        <f t="shared" si="18"/>
        <v>331575</v>
      </c>
    </row>
    <row r="378" spans="1:12" x14ac:dyDescent="0.25">
      <c r="A378" s="1"/>
      <c r="C378" s="1"/>
      <c r="D378" s="1">
        <v>41227</v>
      </c>
      <c r="E378">
        <v>19871</v>
      </c>
      <c r="F378" s="1">
        <v>41227</v>
      </c>
      <c r="G378">
        <v>4000</v>
      </c>
      <c r="H378" s="1">
        <f t="shared" si="16"/>
        <v>41227</v>
      </c>
      <c r="I378">
        <f>IF(AND(MyRowHidden(ROW())=FALSE,MyRowHidden(ROW()-1)=TRUE),0,(E378-E377)*unitsOfDHp+I377)</f>
        <v>248710</v>
      </c>
      <c r="J378">
        <f>IF(AND(MyRowHidden(ROW())=FALSE,MyRowHidden(ROW()-1)=TRUE),0,(G378-G377)*unitsOfExo+J377)</f>
        <v>90000</v>
      </c>
      <c r="K378" s="9">
        <f t="shared" si="17"/>
        <v>10000</v>
      </c>
      <c r="L378">
        <f t="shared" si="18"/>
        <v>338710</v>
      </c>
    </row>
    <row r="379" spans="1:12" x14ac:dyDescent="0.25">
      <c r="A379" s="1"/>
      <c r="C379" s="1"/>
      <c r="D379" s="1">
        <v>41228</v>
      </c>
      <c r="E379">
        <v>19691</v>
      </c>
      <c r="F379" s="1">
        <v>41228</v>
      </c>
      <c r="G379">
        <v>3750</v>
      </c>
      <c r="H379" s="1">
        <f t="shared" si="16"/>
        <v>41228</v>
      </c>
      <c r="I379">
        <f>IF(AND(MyRowHidden(ROW())=FALSE,MyRowHidden(ROW()-1)=TRUE),0,(E379-E378)*unitsOfDHp+I378)</f>
        <v>246910</v>
      </c>
      <c r="J379">
        <f>IF(AND(MyRowHidden(ROW())=FALSE,MyRowHidden(ROW()-1)=TRUE),0,(G379-G378)*unitsOfExo+J378)</f>
        <v>87500</v>
      </c>
      <c r="K379" s="9">
        <f t="shared" si="17"/>
        <v>12500</v>
      </c>
      <c r="L379">
        <f t="shared" si="18"/>
        <v>334410</v>
      </c>
    </row>
    <row r="380" spans="1:12" x14ac:dyDescent="0.25">
      <c r="A380" s="1"/>
      <c r="C380" s="1"/>
      <c r="D380" s="1">
        <v>41229</v>
      </c>
      <c r="E380">
        <v>19821</v>
      </c>
      <c r="F380" s="1">
        <v>41229</v>
      </c>
      <c r="G380">
        <v>3962.5</v>
      </c>
      <c r="H380" s="1">
        <f t="shared" si="16"/>
        <v>41229</v>
      </c>
      <c r="I380">
        <f>IF(AND(MyRowHidden(ROW())=FALSE,MyRowHidden(ROW()-1)=TRUE),0,(E380-E379)*unitsOfDHp+I379)</f>
        <v>248210</v>
      </c>
      <c r="J380">
        <f>IF(AND(MyRowHidden(ROW())=FALSE,MyRowHidden(ROW()-1)=TRUE),0,(G380-G379)*unitsOfExo+J379)</f>
        <v>89625</v>
      </c>
      <c r="K380" s="9">
        <f t="shared" si="17"/>
        <v>10375</v>
      </c>
      <c r="L380">
        <f t="shared" si="18"/>
        <v>337835</v>
      </c>
    </row>
    <row r="381" spans="1:12" x14ac:dyDescent="0.25">
      <c r="A381" s="1"/>
      <c r="C381" s="1"/>
      <c r="D381" s="1">
        <v>41232</v>
      </c>
      <c r="E381">
        <v>20164</v>
      </c>
      <c r="F381" s="1">
        <v>41232</v>
      </c>
      <c r="G381">
        <v>4525</v>
      </c>
      <c r="H381" s="1">
        <f t="shared" si="16"/>
        <v>41232</v>
      </c>
      <c r="I381">
        <f>IF(AND(MyRowHidden(ROW())=FALSE,MyRowHidden(ROW()-1)=TRUE),0,(E381-E380)*unitsOfDHp+I380)</f>
        <v>251640</v>
      </c>
      <c r="J381">
        <f>IF(AND(MyRowHidden(ROW())=FALSE,MyRowHidden(ROW()-1)=TRUE),0,(G381-G380)*unitsOfExo+J380)</f>
        <v>95250</v>
      </c>
      <c r="K381" s="9">
        <f t="shared" si="17"/>
        <v>4750</v>
      </c>
      <c r="L381">
        <f t="shared" si="18"/>
        <v>346890</v>
      </c>
    </row>
    <row r="382" spans="1:12" x14ac:dyDescent="0.25">
      <c r="A382" s="1"/>
      <c r="C382" s="1"/>
      <c r="D382" s="1">
        <v>41233</v>
      </c>
      <c r="E382">
        <v>20711</v>
      </c>
      <c r="F382" s="1">
        <v>41233</v>
      </c>
      <c r="G382">
        <v>4837.5</v>
      </c>
      <c r="H382" s="1">
        <f t="shared" si="16"/>
        <v>41233</v>
      </c>
      <c r="I382">
        <f>IF(AND(MyRowHidden(ROW())=FALSE,MyRowHidden(ROW()-1)=TRUE),0,(E382-E381)*unitsOfDHp+I381)</f>
        <v>257110</v>
      </c>
      <c r="J382">
        <f>IF(AND(MyRowHidden(ROW())=FALSE,MyRowHidden(ROW()-1)=TRUE),0,(G382-G381)*unitsOfExo+J381)</f>
        <v>98375</v>
      </c>
      <c r="K382" s="9">
        <f t="shared" si="17"/>
        <v>1625</v>
      </c>
      <c r="L382">
        <f t="shared" si="18"/>
        <v>355485</v>
      </c>
    </row>
    <row r="383" spans="1:12" x14ac:dyDescent="0.25">
      <c r="A383" s="1"/>
      <c r="C383" s="1"/>
      <c r="D383" s="1">
        <v>41234</v>
      </c>
      <c r="E383">
        <v>20500</v>
      </c>
      <c r="F383" s="1">
        <v>41234</v>
      </c>
      <c r="G383">
        <v>4587.5</v>
      </c>
      <c r="H383" s="1">
        <f t="shared" si="16"/>
        <v>41234</v>
      </c>
      <c r="I383">
        <f>IF(AND(MyRowHidden(ROW())=FALSE,MyRowHidden(ROW()-1)=TRUE),0,(E383-E382)*unitsOfDHp+I382)</f>
        <v>255000</v>
      </c>
      <c r="J383">
        <f>IF(AND(MyRowHidden(ROW())=FALSE,MyRowHidden(ROW()-1)=TRUE),0,(G383-G382)*unitsOfExo+J382)</f>
        <v>95875</v>
      </c>
      <c r="K383" s="9">
        <f t="shared" si="17"/>
        <v>4125</v>
      </c>
      <c r="L383">
        <f t="shared" si="18"/>
        <v>350875</v>
      </c>
    </row>
    <row r="384" spans="1:12" x14ac:dyDescent="0.25">
      <c r="A384" s="1"/>
      <c r="C384" s="1"/>
      <c r="D384" s="1">
        <v>41236</v>
      </c>
      <c r="E384">
        <v>20228</v>
      </c>
      <c r="F384" s="1">
        <v>41236</v>
      </c>
      <c r="G384">
        <v>4900</v>
      </c>
      <c r="H384" s="1">
        <f t="shared" si="16"/>
        <v>41236</v>
      </c>
      <c r="I384">
        <f>IF(AND(MyRowHidden(ROW())=FALSE,MyRowHidden(ROW()-1)=TRUE),0,(E384-E383)*unitsOfDHp+I383)</f>
        <v>252280</v>
      </c>
      <c r="J384">
        <f>IF(AND(MyRowHidden(ROW())=FALSE,MyRowHidden(ROW()-1)=TRUE),0,(G384-G383)*unitsOfExo+J383)</f>
        <v>99000</v>
      </c>
      <c r="K384" s="9">
        <f t="shared" si="17"/>
        <v>1000</v>
      </c>
      <c r="L384">
        <f t="shared" si="18"/>
        <v>351280</v>
      </c>
    </row>
    <row r="385" spans="1:12" x14ac:dyDescent="0.25">
      <c r="A385" s="1"/>
      <c r="C385" s="1"/>
      <c r="D385" s="1">
        <v>41239</v>
      </c>
      <c r="E385">
        <v>20106</v>
      </c>
      <c r="F385" s="1">
        <v>41239</v>
      </c>
      <c r="G385">
        <v>5050</v>
      </c>
      <c r="H385" s="1">
        <f t="shared" si="16"/>
        <v>41239</v>
      </c>
      <c r="I385">
        <f>IF(AND(MyRowHidden(ROW())=FALSE,MyRowHidden(ROW()-1)=TRUE),0,(E385-E384)*unitsOfDHp+I384)</f>
        <v>251060</v>
      </c>
      <c r="J385">
        <f>IF(AND(MyRowHidden(ROW())=FALSE,MyRowHidden(ROW()-1)=TRUE),0,(G385-G384)*unitsOfExo+J384)</f>
        <v>100500</v>
      </c>
      <c r="K385" s="9">
        <f t="shared" si="17"/>
        <v>-500</v>
      </c>
      <c r="L385">
        <f t="shared" si="18"/>
        <v>351560</v>
      </c>
    </row>
    <row r="386" spans="1:12" x14ac:dyDescent="0.25">
      <c r="A386" s="1"/>
      <c r="C386" s="1"/>
      <c r="D386" s="1">
        <v>41240</v>
      </c>
      <c r="E386">
        <v>19869</v>
      </c>
      <c r="F386" s="1">
        <v>41240</v>
      </c>
      <c r="G386">
        <v>5212.5</v>
      </c>
      <c r="H386" s="1">
        <f t="shared" si="16"/>
        <v>41240</v>
      </c>
      <c r="I386">
        <f>IF(AND(MyRowHidden(ROW())=FALSE,MyRowHidden(ROW()-1)=TRUE),0,(E386-E385)*unitsOfDHp+I385)</f>
        <v>248690</v>
      </c>
      <c r="J386">
        <f>IF(AND(MyRowHidden(ROW())=FALSE,MyRowHidden(ROW()-1)=TRUE),0,(G386-G385)*unitsOfExo+J385)</f>
        <v>102125</v>
      </c>
      <c r="K386" s="9">
        <f t="shared" si="17"/>
        <v>-2125</v>
      </c>
      <c r="L386">
        <f t="shared" si="18"/>
        <v>350815</v>
      </c>
    </row>
    <row r="387" spans="1:12" x14ac:dyDescent="0.25">
      <c r="A387" s="1"/>
      <c r="C387" s="1"/>
      <c r="D387" s="1">
        <v>41241</v>
      </c>
      <c r="E387">
        <v>19797</v>
      </c>
      <c r="F387" s="1">
        <v>41241</v>
      </c>
      <c r="G387">
        <v>5737.5</v>
      </c>
      <c r="H387" s="1">
        <f t="shared" si="16"/>
        <v>41241</v>
      </c>
      <c r="I387">
        <f>IF(AND(MyRowHidden(ROW())=FALSE,MyRowHidden(ROW()-1)=TRUE),0,(E387-E386)*unitsOfDHp+I386)</f>
        <v>247970</v>
      </c>
      <c r="J387">
        <f>IF(AND(MyRowHidden(ROW())=FALSE,MyRowHidden(ROW()-1)=TRUE),0,(G387-G386)*unitsOfExo+J386)</f>
        <v>107375</v>
      </c>
      <c r="K387" s="9">
        <f t="shared" si="17"/>
        <v>-7375</v>
      </c>
      <c r="L387">
        <f t="shared" si="18"/>
        <v>355345</v>
      </c>
    </row>
    <row r="388" spans="1:12" x14ac:dyDescent="0.25">
      <c r="A388" s="1"/>
      <c r="C388" s="1"/>
      <c r="D388" s="1">
        <v>41242</v>
      </c>
      <c r="E388">
        <v>20226</v>
      </c>
      <c r="F388" s="1">
        <v>41242</v>
      </c>
      <c r="G388">
        <v>5350</v>
      </c>
      <c r="H388" s="1">
        <f t="shared" si="16"/>
        <v>41242</v>
      </c>
      <c r="I388">
        <f>IF(AND(MyRowHidden(ROW())=FALSE,MyRowHidden(ROW()-1)=TRUE),0,(E388-E387)*unitsOfDHp+I387)</f>
        <v>252260</v>
      </c>
      <c r="J388">
        <f>IF(AND(MyRowHidden(ROW())=FALSE,MyRowHidden(ROW()-1)=TRUE),0,(G388-G387)*unitsOfExo+J387)</f>
        <v>103500</v>
      </c>
      <c r="K388" s="9">
        <f t="shared" si="17"/>
        <v>-3500</v>
      </c>
      <c r="L388">
        <f t="shared" si="18"/>
        <v>355760</v>
      </c>
    </row>
    <row r="389" spans="1:12" x14ac:dyDescent="0.25">
      <c r="A389" s="1"/>
      <c r="C389" s="1"/>
      <c r="D389" s="1">
        <v>41243</v>
      </c>
      <c r="E389">
        <v>21031</v>
      </c>
      <c r="F389" s="1">
        <v>41243</v>
      </c>
      <c r="G389">
        <v>4900</v>
      </c>
      <c r="H389" s="1">
        <f t="shared" si="16"/>
        <v>41243</v>
      </c>
      <c r="I389">
        <f>IF(AND(MyRowHidden(ROW())=FALSE,MyRowHidden(ROW()-1)=TRUE),0,(E389-E388)*unitsOfDHp+I388)</f>
        <v>260310</v>
      </c>
      <c r="J389">
        <f>IF(AND(MyRowHidden(ROW())=FALSE,MyRowHidden(ROW()-1)=TRUE),0,(G389-G388)*unitsOfExo+J388)</f>
        <v>99000</v>
      </c>
      <c r="K389" s="9">
        <f t="shared" si="17"/>
        <v>1000</v>
      </c>
      <c r="L389">
        <f t="shared" si="18"/>
        <v>359310</v>
      </c>
    </row>
    <row r="390" spans="1:12" x14ac:dyDescent="0.25">
      <c r="A390" s="1"/>
      <c r="C390" s="1"/>
      <c r="D390" s="1">
        <v>41246</v>
      </c>
      <c r="E390">
        <v>20834</v>
      </c>
      <c r="F390" s="1">
        <v>41246</v>
      </c>
      <c r="G390">
        <v>5037.5</v>
      </c>
      <c r="H390" s="1">
        <f t="shared" si="16"/>
        <v>41246</v>
      </c>
      <c r="I390">
        <f>IF(AND(MyRowHidden(ROW())=FALSE,MyRowHidden(ROW()-1)=TRUE),0,(E390-E389)*unitsOfDHp+I389)</f>
        <v>258340</v>
      </c>
      <c r="J390">
        <f>IF(AND(MyRowHidden(ROW())=FALSE,MyRowHidden(ROW()-1)=TRUE),0,(G390-G389)*unitsOfExo+J389)</f>
        <v>100375</v>
      </c>
      <c r="K390" s="9">
        <f t="shared" si="17"/>
        <v>-375</v>
      </c>
      <c r="L390">
        <f t="shared" si="18"/>
        <v>358715</v>
      </c>
    </row>
    <row r="391" spans="1:12" x14ac:dyDescent="0.25">
      <c r="A391" s="1"/>
      <c r="C391" s="1"/>
      <c r="D391" s="1">
        <v>41247</v>
      </c>
      <c r="E391">
        <v>20843</v>
      </c>
      <c r="F391" s="1">
        <v>41247</v>
      </c>
      <c r="G391">
        <v>4900</v>
      </c>
      <c r="H391" s="1">
        <f t="shared" si="16"/>
        <v>41247</v>
      </c>
      <c r="I391">
        <f>IF(AND(MyRowHidden(ROW())=FALSE,MyRowHidden(ROW()-1)=TRUE),0,(E391-E390)*unitsOfDHp+I390)</f>
        <v>258430</v>
      </c>
      <c r="J391">
        <f>IF(AND(MyRowHidden(ROW())=FALSE,MyRowHidden(ROW()-1)=TRUE),0,(G391-G390)*unitsOfExo+J390)</f>
        <v>99000</v>
      </c>
      <c r="K391" s="9">
        <f t="shared" si="17"/>
        <v>1000</v>
      </c>
      <c r="L391">
        <f t="shared" si="18"/>
        <v>357430</v>
      </c>
    </row>
    <row r="392" spans="1:12" x14ac:dyDescent="0.25">
      <c r="A392" s="1"/>
      <c r="C392" s="1"/>
      <c r="D392" s="1">
        <v>41248</v>
      </c>
      <c r="E392">
        <v>20281</v>
      </c>
      <c r="F392" s="1">
        <v>41248</v>
      </c>
      <c r="G392">
        <v>5200</v>
      </c>
      <c r="H392" s="1">
        <f t="shared" si="16"/>
        <v>41248</v>
      </c>
      <c r="I392">
        <f>IF(AND(MyRowHidden(ROW())=FALSE,MyRowHidden(ROW()-1)=TRUE),0,(E392-E391)*unitsOfDHp+I391)</f>
        <v>252810</v>
      </c>
      <c r="J392">
        <f>IF(AND(MyRowHidden(ROW())=FALSE,MyRowHidden(ROW()-1)=TRUE),0,(G392-G391)*unitsOfExo+J391)</f>
        <v>102000</v>
      </c>
      <c r="K392" s="9">
        <f t="shared" si="17"/>
        <v>-2000</v>
      </c>
      <c r="L392">
        <f t="shared" si="18"/>
        <v>354810</v>
      </c>
    </row>
    <row r="393" spans="1:12" x14ac:dyDescent="0.25">
      <c r="A393" s="1"/>
      <c r="C393" s="1"/>
      <c r="D393" s="1">
        <v>41249</v>
      </c>
      <c r="E393">
        <v>20335</v>
      </c>
      <c r="F393" s="1">
        <v>41249</v>
      </c>
      <c r="G393">
        <v>4862.5</v>
      </c>
      <c r="H393" s="1">
        <f t="shared" si="16"/>
        <v>41249</v>
      </c>
      <c r="I393">
        <f>IF(AND(MyRowHidden(ROW())=FALSE,MyRowHidden(ROW()-1)=TRUE),0,(E393-E392)*unitsOfDHp+I392)</f>
        <v>253350</v>
      </c>
      <c r="J393">
        <f>IF(AND(MyRowHidden(ROW())=FALSE,MyRowHidden(ROW()-1)=TRUE),0,(G393-G392)*unitsOfExo+J392)</f>
        <v>98625</v>
      </c>
      <c r="K393" s="9">
        <f t="shared" si="17"/>
        <v>1375</v>
      </c>
      <c r="L393">
        <f t="shared" si="18"/>
        <v>351975</v>
      </c>
    </row>
    <row r="394" spans="1:12" x14ac:dyDescent="0.25">
      <c r="A394" s="1"/>
      <c r="C394" s="1"/>
      <c r="D394" s="1">
        <v>41250</v>
      </c>
      <c r="E394">
        <v>21509</v>
      </c>
      <c r="F394" s="1">
        <v>41250</v>
      </c>
      <c r="G394">
        <v>4312.5</v>
      </c>
      <c r="H394" s="1">
        <f t="shared" si="16"/>
        <v>41250</v>
      </c>
      <c r="I394">
        <f>IF(AND(MyRowHidden(ROW())=FALSE,MyRowHidden(ROW()-1)=TRUE),0,(E394-E393)*unitsOfDHp+I393)</f>
        <v>265090</v>
      </c>
      <c r="J394">
        <f>IF(AND(MyRowHidden(ROW())=FALSE,MyRowHidden(ROW()-1)=TRUE),0,(G394-G393)*unitsOfExo+J393)</f>
        <v>93125</v>
      </c>
      <c r="K394" s="9">
        <f t="shared" si="17"/>
        <v>6875</v>
      </c>
      <c r="L394">
        <f t="shared" si="18"/>
        <v>358215</v>
      </c>
    </row>
    <row r="395" spans="1:12" x14ac:dyDescent="0.25">
      <c r="A395" s="1"/>
      <c r="C395" s="1"/>
      <c r="D395" s="1">
        <v>41253</v>
      </c>
      <c r="E395">
        <v>21944</v>
      </c>
      <c r="F395" s="1">
        <v>41253</v>
      </c>
      <c r="G395">
        <v>3875</v>
      </c>
      <c r="H395" s="1">
        <f t="shared" si="16"/>
        <v>41253</v>
      </c>
      <c r="I395">
        <f>IF(AND(MyRowHidden(ROW())=FALSE,MyRowHidden(ROW()-1)=TRUE),0,(E395-E394)*unitsOfDHp+I394)</f>
        <v>269440</v>
      </c>
      <c r="J395">
        <f>IF(AND(MyRowHidden(ROW())=FALSE,MyRowHidden(ROW()-1)=TRUE),0,(G395-G394)*unitsOfExo+J394)</f>
        <v>88750</v>
      </c>
      <c r="K395" s="9">
        <f t="shared" si="17"/>
        <v>11250</v>
      </c>
      <c r="L395">
        <f t="shared" si="18"/>
        <v>358190</v>
      </c>
    </row>
    <row r="396" spans="1:12" x14ac:dyDescent="0.25">
      <c r="A396" s="1"/>
      <c r="C396" s="1"/>
      <c r="D396" s="1">
        <v>41254</v>
      </c>
      <c r="E396">
        <v>22141</v>
      </c>
      <c r="F396" s="1">
        <v>41254</v>
      </c>
      <c r="G396">
        <v>3712.5</v>
      </c>
      <c r="H396" s="1">
        <f t="shared" si="16"/>
        <v>41254</v>
      </c>
      <c r="I396">
        <f>IF(AND(MyRowHidden(ROW())=FALSE,MyRowHidden(ROW()-1)=TRUE),0,(E396-E395)*unitsOfDHp+I395)</f>
        <v>271410</v>
      </c>
      <c r="J396">
        <f>IF(AND(MyRowHidden(ROW())=FALSE,MyRowHidden(ROW()-1)=TRUE),0,(G396-G395)*unitsOfExo+J395)</f>
        <v>87125</v>
      </c>
      <c r="K396" s="9">
        <f t="shared" si="17"/>
        <v>12875</v>
      </c>
      <c r="L396">
        <f t="shared" si="18"/>
        <v>358535</v>
      </c>
    </row>
    <row r="397" spans="1:12" x14ac:dyDescent="0.25">
      <c r="A397" s="1"/>
      <c r="C397" s="1"/>
      <c r="D397" s="1">
        <v>41255</v>
      </c>
      <c r="E397">
        <v>22261</v>
      </c>
      <c r="F397" s="1">
        <v>41255</v>
      </c>
      <c r="G397">
        <v>3650</v>
      </c>
      <c r="H397" s="1">
        <f t="shared" ref="H397:H460" si="19">D397</f>
        <v>41255</v>
      </c>
      <c r="I397">
        <f>IF(AND(MyRowHidden(ROW())=FALSE,MyRowHidden(ROW()-1)=TRUE),0,(E397-E396)*unitsOfDHp+I396)</f>
        <v>272610</v>
      </c>
      <c r="J397">
        <f>IF(AND(MyRowHidden(ROW())=FALSE,MyRowHidden(ROW()-1)=TRUE),0,(G397-G396)*unitsOfExo+J396)</f>
        <v>86500</v>
      </c>
      <c r="K397" s="9">
        <f t="shared" ref="K397:K460" si="20">-(J397-J396)+K396</f>
        <v>13500</v>
      </c>
      <c r="L397">
        <f t="shared" ref="L397:L460" si="21">I397+J397</f>
        <v>359110</v>
      </c>
    </row>
    <row r="398" spans="1:12" x14ac:dyDescent="0.25">
      <c r="A398" s="1"/>
      <c r="C398" s="1"/>
      <c r="D398" s="1">
        <v>41256</v>
      </c>
      <c r="E398">
        <v>22608</v>
      </c>
      <c r="F398" s="1">
        <v>41256</v>
      </c>
      <c r="G398">
        <v>3300</v>
      </c>
      <c r="H398" s="1">
        <f t="shared" si="19"/>
        <v>41256</v>
      </c>
      <c r="I398">
        <f>IF(AND(MyRowHidden(ROW())=FALSE,MyRowHidden(ROW()-1)=TRUE),0,(E398-E397)*unitsOfDHp+I397)</f>
        <v>276080</v>
      </c>
      <c r="J398">
        <f>IF(AND(MyRowHidden(ROW())=FALSE,MyRowHidden(ROW()-1)=TRUE),0,(G398-G397)*unitsOfExo+J397)</f>
        <v>83000</v>
      </c>
      <c r="K398" s="9">
        <f t="shared" si="20"/>
        <v>17000</v>
      </c>
      <c r="L398">
        <f t="shared" si="21"/>
        <v>359080</v>
      </c>
    </row>
    <row r="399" spans="1:12" x14ac:dyDescent="0.25">
      <c r="A399" s="1"/>
      <c r="C399" s="1"/>
      <c r="D399" s="1">
        <v>41257</v>
      </c>
      <c r="E399">
        <v>22007</v>
      </c>
      <c r="F399" s="1">
        <v>41257</v>
      </c>
      <c r="G399">
        <v>3912.5</v>
      </c>
      <c r="H399" s="1">
        <f t="shared" si="19"/>
        <v>41257</v>
      </c>
      <c r="I399">
        <f>IF(AND(MyRowHidden(ROW())=FALSE,MyRowHidden(ROW()-1)=TRUE),0,(E399-E398)*unitsOfDHp+I398)</f>
        <v>270070</v>
      </c>
      <c r="J399">
        <f>IF(AND(MyRowHidden(ROW())=FALSE,MyRowHidden(ROW()-1)=TRUE),0,(G399-G398)*unitsOfExo+J398)</f>
        <v>89125</v>
      </c>
      <c r="K399" s="9">
        <f t="shared" si="20"/>
        <v>10875</v>
      </c>
      <c r="L399">
        <f t="shared" si="21"/>
        <v>359195</v>
      </c>
    </row>
    <row r="400" spans="1:12" x14ac:dyDescent="0.25">
      <c r="A400" s="1"/>
      <c r="C400" s="1"/>
      <c r="D400" s="1">
        <v>41260</v>
      </c>
      <c r="E400">
        <v>22227</v>
      </c>
      <c r="F400" s="1">
        <v>41260</v>
      </c>
      <c r="G400">
        <v>3587.5</v>
      </c>
      <c r="H400" s="1">
        <f t="shared" si="19"/>
        <v>41260</v>
      </c>
      <c r="I400">
        <f>IF(AND(MyRowHidden(ROW())=FALSE,MyRowHidden(ROW()-1)=TRUE),0,(E400-E399)*unitsOfDHp+I399)</f>
        <v>272270</v>
      </c>
      <c r="J400">
        <f>IF(AND(MyRowHidden(ROW())=FALSE,MyRowHidden(ROW()-1)=TRUE),0,(G400-G399)*unitsOfExo+J399)</f>
        <v>85875</v>
      </c>
      <c r="K400" s="9">
        <f t="shared" si="20"/>
        <v>14125</v>
      </c>
      <c r="L400">
        <f t="shared" si="21"/>
        <v>358145</v>
      </c>
    </row>
    <row r="401" spans="1:12" x14ac:dyDescent="0.25">
      <c r="A401" s="1"/>
      <c r="C401" s="1"/>
      <c r="D401" s="1">
        <v>41261</v>
      </c>
      <c r="E401">
        <v>22632</v>
      </c>
      <c r="F401" s="1">
        <v>41261</v>
      </c>
      <c r="G401">
        <v>3362.5</v>
      </c>
      <c r="H401" s="1">
        <f t="shared" si="19"/>
        <v>41261</v>
      </c>
      <c r="I401">
        <f>IF(AND(MyRowHidden(ROW())=FALSE,MyRowHidden(ROW()-1)=TRUE),0,(E401-E400)*unitsOfDHp+I400)</f>
        <v>276320</v>
      </c>
      <c r="J401">
        <f>IF(AND(MyRowHidden(ROW())=FALSE,MyRowHidden(ROW()-1)=TRUE),0,(G401-G400)*unitsOfExo+J400)</f>
        <v>83625</v>
      </c>
      <c r="K401" s="9">
        <f t="shared" si="20"/>
        <v>16375</v>
      </c>
      <c r="L401">
        <f t="shared" si="21"/>
        <v>359945</v>
      </c>
    </row>
    <row r="402" spans="1:12" x14ac:dyDescent="0.25">
      <c r="A402" s="1"/>
      <c r="C402" s="1"/>
      <c r="D402" s="1">
        <v>41262</v>
      </c>
      <c r="E402">
        <v>23142</v>
      </c>
      <c r="F402" s="1">
        <v>41262</v>
      </c>
      <c r="G402">
        <v>2662.5</v>
      </c>
      <c r="H402" s="1">
        <f t="shared" si="19"/>
        <v>41262</v>
      </c>
      <c r="I402">
        <f>IF(AND(MyRowHidden(ROW())=FALSE,MyRowHidden(ROW()-1)=TRUE),0,(E402-E401)*unitsOfDHp+I401)</f>
        <v>281420</v>
      </c>
      <c r="J402">
        <f>IF(AND(MyRowHidden(ROW())=FALSE,MyRowHidden(ROW()-1)=TRUE),0,(G402-G401)*unitsOfExo+J401)</f>
        <v>76625</v>
      </c>
      <c r="K402" s="9">
        <f t="shared" si="20"/>
        <v>23375</v>
      </c>
      <c r="L402">
        <f t="shared" si="21"/>
        <v>358045</v>
      </c>
    </row>
    <row r="403" spans="1:12" x14ac:dyDescent="0.25">
      <c r="A403" s="1"/>
      <c r="C403" s="1"/>
      <c r="D403" s="1">
        <v>41263</v>
      </c>
      <c r="E403">
        <v>22847</v>
      </c>
      <c r="F403" s="1">
        <v>41263</v>
      </c>
      <c r="G403">
        <v>2175</v>
      </c>
      <c r="H403" s="1">
        <f t="shared" si="19"/>
        <v>41263</v>
      </c>
      <c r="I403">
        <f>IF(AND(MyRowHidden(ROW())=FALSE,MyRowHidden(ROW()-1)=TRUE),0,(E403-E402)*unitsOfDHp+I402)</f>
        <v>278470</v>
      </c>
      <c r="J403">
        <f>IF(AND(MyRowHidden(ROW())=FALSE,MyRowHidden(ROW()-1)=TRUE),0,(G403-G402)*unitsOfExo+J402)</f>
        <v>71750</v>
      </c>
      <c r="K403" s="9">
        <f t="shared" si="20"/>
        <v>28250</v>
      </c>
      <c r="L403">
        <f t="shared" si="21"/>
        <v>350220</v>
      </c>
    </row>
    <row r="404" spans="1:12" x14ac:dyDescent="0.25">
      <c r="A404" s="1"/>
      <c r="C404" s="1"/>
      <c r="D404" s="1">
        <v>41264</v>
      </c>
      <c r="E404">
        <v>22946</v>
      </c>
      <c r="F404" s="1">
        <v>41264</v>
      </c>
      <c r="G404">
        <v>2437.5</v>
      </c>
      <c r="H404" s="1">
        <f t="shared" si="19"/>
        <v>41264</v>
      </c>
      <c r="I404">
        <f>IF(AND(MyRowHidden(ROW())=FALSE,MyRowHidden(ROW()-1)=TRUE),0,(E404-E403)*unitsOfDHp+I403)</f>
        <v>279460</v>
      </c>
      <c r="J404">
        <f>IF(AND(MyRowHidden(ROW())=FALSE,MyRowHidden(ROW()-1)=TRUE),0,(G404-G403)*unitsOfExo+J403)</f>
        <v>74375</v>
      </c>
      <c r="K404" s="9">
        <f t="shared" si="20"/>
        <v>25625</v>
      </c>
      <c r="L404">
        <f t="shared" si="21"/>
        <v>353835</v>
      </c>
    </row>
    <row r="405" spans="1:12" x14ac:dyDescent="0.25">
      <c r="A405" s="1"/>
      <c r="C405" s="1"/>
      <c r="D405" s="1">
        <v>41267</v>
      </c>
      <c r="E405">
        <v>23179</v>
      </c>
      <c r="F405" s="1">
        <v>41267</v>
      </c>
      <c r="G405">
        <v>2650</v>
      </c>
      <c r="H405" s="1">
        <f t="shared" si="19"/>
        <v>41267</v>
      </c>
      <c r="I405">
        <f>IF(AND(MyRowHidden(ROW())=FALSE,MyRowHidden(ROW()-1)=TRUE),0,(E405-E404)*unitsOfDHp+I404)</f>
        <v>281790</v>
      </c>
      <c r="J405">
        <f>IF(AND(MyRowHidden(ROW())=FALSE,MyRowHidden(ROW()-1)=TRUE),0,(G405-G404)*unitsOfExo+J404)</f>
        <v>76500</v>
      </c>
      <c r="K405" s="9">
        <f t="shared" si="20"/>
        <v>23500</v>
      </c>
      <c r="L405">
        <f t="shared" si="21"/>
        <v>358290</v>
      </c>
    </row>
    <row r="406" spans="1:12" x14ac:dyDescent="0.25">
      <c r="A406" s="1"/>
      <c r="C406" s="1"/>
      <c r="D406" s="1">
        <v>41269</v>
      </c>
      <c r="E406">
        <v>22774</v>
      </c>
      <c r="F406" s="1">
        <v>41269</v>
      </c>
      <c r="G406">
        <v>2125</v>
      </c>
      <c r="H406" s="1">
        <f t="shared" si="19"/>
        <v>41269</v>
      </c>
      <c r="I406">
        <f>IF(AND(MyRowHidden(ROW())=FALSE,MyRowHidden(ROW()-1)=TRUE),0,(E406-E405)*unitsOfDHp+I405)</f>
        <v>277740</v>
      </c>
      <c r="J406">
        <f>IF(AND(MyRowHidden(ROW())=FALSE,MyRowHidden(ROW()-1)=TRUE),0,(G406-G405)*unitsOfExo+J405)</f>
        <v>71250</v>
      </c>
      <c r="K406" s="9">
        <f t="shared" si="20"/>
        <v>28750</v>
      </c>
      <c r="L406">
        <f t="shared" si="21"/>
        <v>348990</v>
      </c>
    </row>
    <row r="407" spans="1:12" x14ac:dyDescent="0.25">
      <c r="A407" s="1"/>
      <c r="C407" s="1"/>
      <c r="D407" s="1">
        <v>41270</v>
      </c>
      <c r="E407">
        <v>22758</v>
      </c>
      <c r="F407" s="1">
        <v>41270</v>
      </c>
      <c r="G407">
        <v>1962.5</v>
      </c>
      <c r="H407" s="1">
        <f t="shared" si="19"/>
        <v>41270</v>
      </c>
      <c r="I407">
        <f>IF(AND(MyRowHidden(ROW())=FALSE,MyRowHidden(ROW()-1)=TRUE),0,(E407-E406)*unitsOfDHp+I406)</f>
        <v>277580</v>
      </c>
      <c r="J407">
        <f>IF(AND(MyRowHidden(ROW())=FALSE,MyRowHidden(ROW()-1)=TRUE),0,(G407-G406)*unitsOfExo+J406)</f>
        <v>69625</v>
      </c>
      <c r="K407" s="9">
        <f t="shared" si="20"/>
        <v>30375</v>
      </c>
      <c r="L407">
        <f t="shared" si="21"/>
        <v>347205</v>
      </c>
    </row>
    <row r="408" spans="1:12" x14ac:dyDescent="0.25">
      <c r="A408" s="1"/>
      <c r="C408" s="1"/>
      <c r="D408" s="1">
        <v>41271</v>
      </c>
      <c r="E408">
        <v>22818</v>
      </c>
      <c r="F408" s="1">
        <v>41271</v>
      </c>
      <c r="G408">
        <v>2050</v>
      </c>
      <c r="H408" s="1">
        <f t="shared" si="19"/>
        <v>41271</v>
      </c>
      <c r="I408">
        <f>IF(AND(MyRowHidden(ROW())=FALSE,MyRowHidden(ROW()-1)=TRUE),0,(E408-E407)*unitsOfDHp+I407)</f>
        <v>278180</v>
      </c>
      <c r="J408">
        <f>IF(AND(MyRowHidden(ROW())=FALSE,MyRowHidden(ROW()-1)=TRUE),0,(G408-G407)*unitsOfExo+J407)</f>
        <v>70500</v>
      </c>
      <c r="K408" s="9">
        <f t="shared" si="20"/>
        <v>29500</v>
      </c>
      <c r="L408">
        <f t="shared" si="21"/>
        <v>348680</v>
      </c>
    </row>
    <row r="409" spans="1:12" x14ac:dyDescent="0.25">
      <c r="A409" s="1"/>
      <c r="C409" s="1"/>
      <c r="D409" s="1">
        <v>41274</v>
      </c>
      <c r="E409">
        <v>23022</v>
      </c>
      <c r="F409" s="1">
        <v>41274</v>
      </c>
      <c r="G409">
        <v>2250</v>
      </c>
      <c r="H409" s="1">
        <f t="shared" si="19"/>
        <v>41274</v>
      </c>
      <c r="I409">
        <f>IF(AND(MyRowHidden(ROW())=FALSE,MyRowHidden(ROW()-1)=TRUE),0,(E409-E408)*unitsOfDHp+I408)</f>
        <v>280220</v>
      </c>
      <c r="J409">
        <f>IF(AND(MyRowHidden(ROW())=FALSE,MyRowHidden(ROW()-1)=TRUE),0,(G409-G408)*unitsOfExo+J408)</f>
        <v>72500</v>
      </c>
      <c r="K409" s="9">
        <f t="shared" si="20"/>
        <v>27500</v>
      </c>
      <c r="L409">
        <f t="shared" si="21"/>
        <v>352720</v>
      </c>
    </row>
    <row r="410" spans="1:12" x14ac:dyDescent="0.25">
      <c r="A410" s="1"/>
      <c r="C410" s="1"/>
      <c r="D410" s="1">
        <v>41276</v>
      </c>
      <c r="E410">
        <v>22699</v>
      </c>
      <c r="F410" s="1">
        <v>41276</v>
      </c>
      <c r="G410">
        <v>1900</v>
      </c>
      <c r="H410" s="1">
        <f t="shared" si="19"/>
        <v>41276</v>
      </c>
      <c r="I410">
        <f>IF(AND(MyRowHidden(ROW())=FALSE,MyRowHidden(ROW()-1)=TRUE),0,(E410-E409)*unitsOfDHp+I409)</f>
        <v>276990</v>
      </c>
      <c r="J410">
        <f>IF(AND(MyRowHidden(ROW())=FALSE,MyRowHidden(ROW()-1)=TRUE),0,(G410-G409)*unitsOfExo+J409)</f>
        <v>69000</v>
      </c>
      <c r="K410" s="9">
        <f t="shared" si="20"/>
        <v>31000</v>
      </c>
      <c r="L410">
        <f t="shared" si="21"/>
        <v>345990</v>
      </c>
    </row>
    <row r="411" spans="1:12" x14ac:dyDescent="0.25">
      <c r="A411" s="1"/>
      <c r="C411" s="1"/>
      <c r="D411" s="1">
        <v>41277</v>
      </c>
      <c r="E411">
        <v>22660</v>
      </c>
      <c r="F411" s="1">
        <v>41277</v>
      </c>
      <c r="G411">
        <v>1950</v>
      </c>
      <c r="H411" s="1">
        <f t="shared" si="19"/>
        <v>41277</v>
      </c>
      <c r="I411">
        <f>IF(AND(MyRowHidden(ROW())=FALSE,MyRowHidden(ROW()-1)=TRUE),0,(E411-E410)*unitsOfDHp+I410)</f>
        <v>276600</v>
      </c>
      <c r="J411">
        <f>IF(AND(MyRowHidden(ROW())=FALSE,MyRowHidden(ROW()-1)=TRUE),0,(G411-G410)*unitsOfExo+J410)</f>
        <v>69500</v>
      </c>
      <c r="K411" s="9">
        <f t="shared" si="20"/>
        <v>30500</v>
      </c>
      <c r="L411">
        <f t="shared" si="21"/>
        <v>346100</v>
      </c>
    </row>
    <row r="412" spans="1:12" x14ac:dyDescent="0.25">
      <c r="A412" s="1"/>
      <c r="C412" s="1"/>
      <c r="D412" s="1">
        <v>41278</v>
      </c>
      <c r="E412">
        <v>22498</v>
      </c>
      <c r="F412" s="1">
        <v>41278</v>
      </c>
      <c r="G412">
        <v>1575</v>
      </c>
      <c r="H412" s="1">
        <f t="shared" si="19"/>
        <v>41278</v>
      </c>
      <c r="I412">
        <f>IF(AND(MyRowHidden(ROW())=FALSE,MyRowHidden(ROW()-1)=TRUE),0,(E412-E411)*unitsOfDHp+I411)</f>
        <v>274980</v>
      </c>
      <c r="J412">
        <f>IF(AND(MyRowHidden(ROW())=FALSE,MyRowHidden(ROW()-1)=TRUE),0,(G412-G411)*unitsOfExo+J411)</f>
        <v>65750</v>
      </c>
      <c r="K412" s="9">
        <f t="shared" si="20"/>
        <v>34250</v>
      </c>
      <c r="L412">
        <f t="shared" si="21"/>
        <v>340730</v>
      </c>
    </row>
    <row r="413" spans="1:12" x14ac:dyDescent="0.25">
      <c r="A413" s="1"/>
      <c r="C413" s="1"/>
      <c r="D413" s="1">
        <v>41281</v>
      </c>
      <c r="E413">
        <v>22518</v>
      </c>
      <c r="F413" s="1">
        <v>41281</v>
      </c>
      <c r="G413">
        <v>1662.5</v>
      </c>
      <c r="H413" s="1">
        <f t="shared" si="19"/>
        <v>41281</v>
      </c>
      <c r="I413">
        <f>IF(AND(MyRowHidden(ROW())=FALSE,MyRowHidden(ROW()-1)=TRUE),0,(E413-E412)*unitsOfDHp+I412)</f>
        <v>275180</v>
      </c>
      <c r="J413">
        <f>IF(AND(MyRowHidden(ROW())=FALSE,MyRowHidden(ROW()-1)=TRUE),0,(G413-G412)*unitsOfExo+J412)</f>
        <v>66625</v>
      </c>
      <c r="K413" s="9">
        <f t="shared" si="20"/>
        <v>33375</v>
      </c>
      <c r="L413">
        <f t="shared" si="21"/>
        <v>341805</v>
      </c>
    </row>
    <row r="414" spans="1:12" x14ac:dyDescent="0.25">
      <c r="A414" s="1"/>
      <c r="C414" s="1"/>
      <c r="D414" s="1">
        <v>41282</v>
      </c>
      <c r="E414">
        <v>22497</v>
      </c>
      <c r="F414" s="1">
        <v>41282</v>
      </c>
      <c r="G414">
        <v>2000</v>
      </c>
      <c r="H414" s="1">
        <f t="shared" si="19"/>
        <v>41282</v>
      </c>
      <c r="I414">
        <f>IF(AND(MyRowHidden(ROW())=FALSE,MyRowHidden(ROW()-1)=TRUE),0,(E414-E413)*unitsOfDHp+I413)</f>
        <v>274970</v>
      </c>
      <c r="J414">
        <f>IF(AND(MyRowHidden(ROW())=FALSE,MyRowHidden(ROW()-1)=TRUE),0,(G414-G413)*unitsOfExo+J413)</f>
        <v>70000</v>
      </c>
      <c r="K414" s="9">
        <f t="shared" si="20"/>
        <v>30000</v>
      </c>
      <c r="L414">
        <f t="shared" si="21"/>
        <v>344970</v>
      </c>
    </row>
    <row r="415" spans="1:12" x14ac:dyDescent="0.25">
      <c r="A415" s="1"/>
      <c r="C415" s="1"/>
      <c r="D415" s="1">
        <v>41283</v>
      </c>
      <c r="E415">
        <v>22461</v>
      </c>
      <c r="F415" s="1">
        <v>41283</v>
      </c>
      <c r="G415">
        <v>2125</v>
      </c>
      <c r="H415" s="1">
        <f t="shared" si="19"/>
        <v>41283</v>
      </c>
      <c r="I415">
        <f>IF(AND(MyRowHidden(ROW())=FALSE,MyRowHidden(ROW()-1)=TRUE),0,(E415-E414)*unitsOfDHp+I414)</f>
        <v>274610</v>
      </c>
      <c r="J415">
        <f>IF(AND(MyRowHidden(ROW())=FALSE,MyRowHidden(ROW()-1)=TRUE),0,(G415-G414)*unitsOfExo+J414)</f>
        <v>71250</v>
      </c>
      <c r="K415" s="9">
        <f t="shared" si="20"/>
        <v>28750</v>
      </c>
      <c r="L415">
        <f t="shared" si="21"/>
        <v>345860</v>
      </c>
    </row>
    <row r="416" spans="1:12" x14ac:dyDescent="0.25">
      <c r="A416" s="1"/>
      <c r="C416" s="1"/>
      <c r="D416" s="1">
        <v>41284</v>
      </c>
      <c r="E416">
        <v>22435</v>
      </c>
      <c r="F416" s="1">
        <v>41284</v>
      </c>
      <c r="G416">
        <v>2312.5</v>
      </c>
      <c r="H416" s="1">
        <f t="shared" si="19"/>
        <v>41284</v>
      </c>
      <c r="I416">
        <f>IF(AND(MyRowHidden(ROW())=FALSE,MyRowHidden(ROW()-1)=TRUE),0,(E416-E415)*unitsOfDHp+I415)</f>
        <v>274350</v>
      </c>
      <c r="J416">
        <f>IF(AND(MyRowHidden(ROW())=FALSE,MyRowHidden(ROW()-1)=TRUE),0,(G416-G415)*unitsOfExo+J415)</f>
        <v>73125</v>
      </c>
      <c r="K416" s="9">
        <f t="shared" si="20"/>
        <v>26875</v>
      </c>
      <c r="L416">
        <f t="shared" si="21"/>
        <v>347475</v>
      </c>
    </row>
    <row r="417" spans="1:12" x14ac:dyDescent="0.25">
      <c r="A417" s="1"/>
      <c r="C417" s="1"/>
      <c r="D417" s="1">
        <v>41285</v>
      </c>
      <c r="E417">
        <v>21665</v>
      </c>
      <c r="F417" s="1">
        <v>41285</v>
      </c>
      <c r="G417">
        <v>3162.5</v>
      </c>
      <c r="H417" s="1">
        <f t="shared" si="19"/>
        <v>41285</v>
      </c>
      <c r="I417">
        <f>IF(AND(MyRowHidden(ROW())=FALSE,MyRowHidden(ROW()-1)=TRUE),0,(E417-E416)*unitsOfDHp+I416)</f>
        <v>266650</v>
      </c>
      <c r="J417">
        <f>IF(AND(MyRowHidden(ROW())=FALSE,MyRowHidden(ROW()-1)=TRUE),0,(G417-G416)*unitsOfExo+J416)</f>
        <v>81625</v>
      </c>
      <c r="K417" s="9">
        <f t="shared" si="20"/>
        <v>18375</v>
      </c>
      <c r="L417">
        <f t="shared" si="21"/>
        <v>348275</v>
      </c>
    </row>
    <row r="418" spans="1:12" x14ac:dyDescent="0.25">
      <c r="A418" s="1"/>
      <c r="C418" s="1"/>
      <c r="D418" s="1">
        <v>41288</v>
      </c>
      <c r="E418">
        <v>21711</v>
      </c>
      <c r="F418" s="1">
        <v>41288</v>
      </c>
      <c r="G418">
        <v>3550</v>
      </c>
      <c r="H418" s="1">
        <f t="shared" si="19"/>
        <v>41288</v>
      </c>
      <c r="I418">
        <f>IF(AND(MyRowHidden(ROW())=FALSE,MyRowHidden(ROW()-1)=TRUE),0,(E418-E417)*unitsOfDHp+I417)</f>
        <v>267110</v>
      </c>
      <c r="J418">
        <f>IF(AND(MyRowHidden(ROW())=FALSE,MyRowHidden(ROW()-1)=TRUE),0,(G418-G417)*unitsOfExo+J417)</f>
        <v>85500</v>
      </c>
      <c r="K418" s="9">
        <f t="shared" si="20"/>
        <v>14500</v>
      </c>
      <c r="L418">
        <f t="shared" si="21"/>
        <v>352610</v>
      </c>
    </row>
    <row r="419" spans="1:12" x14ac:dyDescent="0.25">
      <c r="A419" s="1"/>
      <c r="C419" s="1"/>
      <c r="D419" s="1">
        <v>41289</v>
      </c>
      <c r="E419">
        <v>21727</v>
      </c>
      <c r="F419" s="1">
        <v>41289</v>
      </c>
      <c r="G419">
        <v>4000</v>
      </c>
      <c r="H419" s="1">
        <f t="shared" si="19"/>
        <v>41289</v>
      </c>
      <c r="I419">
        <f>IF(AND(MyRowHidden(ROW())=FALSE,MyRowHidden(ROW()-1)=TRUE),0,(E419-E418)*unitsOfDHp+I418)</f>
        <v>267270</v>
      </c>
      <c r="J419">
        <f>IF(AND(MyRowHidden(ROW())=FALSE,MyRowHidden(ROW()-1)=TRUE),0,(G419-G418)*unitsOfExo+J418)</f>
        <v>90000</v>
      </c>
      <c r="K419" s="9">
        <f t="shared" si="20"/>
        <v>10000</v>
      </c>
      <c r="L419">
        <f t="shared" si="21"/>
        <v>357270</v>
      </c>
    </row>
    <row r="420" spans="1:12" x14ac:dyDescent="0.25">
      <c r="A420" s="1"/>
      <c r="C420" s="1"/>
      <c r="D420" s="1">
        <v>41290</v>
      </c>
      <c r="E420">
        <v>21807</v>
      </c>
      <c r="F420" s="1">
        <v>41290</v>
      </c>
      <c r="G420">
        <v>3875</v>
      </c>
      <c r="H420" s="1">
        <f t="shared" si="19"/>
        <v>41290</v>
      </c>
      <c r="I420">
        <f>IF(AND(MyRowHidden(ROW())=FALSE,MyRowHidden(ROW()-1)=TRUE),0,(E420-E419)*unitsOfDHp+I419)</f>
        <v>268070</v>
      </c>
      <c r="J420">
        <f>IF(AND(MyRowHidden(ROW())=FALSE,MyRowHidden(ROW()-1)=TRUE),0,(G420-G419)*unitsOfExo+J419)</f>
        <v>88750</v>
      </c>
      <c r="K420" s="9">
        <f t="shared" si="20"/>
        <v>11250</v>
      </c>
      <c r="L420">
        <f t="shared" si="21"/>
        <v>356820</v>
      </c>
    </row>
    <row r="421" spans="1:12" x14ac:dyDescent="0.25">
      <c r="A421" s="1"/>
      <c r="C421" s="1"/>
      <c r="D421" s="1">
        <v>41291</v>
      </c>
      <c r="E421">
        <v>21889</v>
      </c>
      <c r="F421" s="1">
        <v>41291</v>
      </c>
      <c r="G421">
        <v>3787.5</v>
      </c>
      <c r="H421" s="1">
        <f t="shared" si="19"/>
        <v>41291</v>
      </c>
      <c r="I421">
        <f>IF(AND(MyRowHidden(ROW())=FALSE,MyRowHidden(ROW()-1)=TRUE),0,(E421-E420)*unitsOfDHp+I420)</f>
        <v>268890</v>
      </c>
      <c r="J421">
        <f>IF(AND(MyRowHidden(ROW())=FALSE,MyRowHidden(ROW()-1)=TRUE),0,(G421-G420)*unitsOfExo+J420)</f>
        <v>87875</v>
      </c>
      <c r="K421" s="9">
        <f t="shared" si="20"/>
        <v>12125</v>
      </c>
      <c r="L421">
        <f t="shared" si="21"/>
        <v>356765</v>
      </c>
    </row>
    <row r="422" spans="1:12" x14ac:dyDescent="0.25">
      <c r="A422" s="1"/>
      <c r="C422" s="1"/>
      <c r="D422" s="1">
        <v>41292</v>
      </c>
      <c r="E422">
        <v>21972</v>
      </c>
      <c r="F422" s="1">
        <v>41292</v>
      </c>
      <c r="G422">
        <v>3837.5</v>
      </c>
      <c r="H422" s="1">
        <f t="shared" si="19"/>
        <v>41292</v>
      </c>
      <c r="I422">
        <f>IF(AND(MyRowHidden(ROW())=FALSE,MyRowHidden(ROW()-1)=TRUE),0,(E422-E421)*unitsOfDHp+I421)</f>
        <v>269720</v>
      </c>
      <c r="J422">
        <f>IF(AND(MyRowHidden(ROW())=FALSE,MyRowHidden(ROW()-1)=TRUE),0,(G422-G421)*unitsOfExo+J421)</f>
        <v>88375</v>
      </c>
      <c r="K422" s="9">
        <f t="shared" si="20"/>
        <v>11625</v>
      </c>
      <c r="L422">
        <f t="shared" si="21"/>
        <v>358095</v>
      </c>
    </row>
    <row r="423" spans="1:12" x14ac:dyDescent="0.25">
      <c r="A423" s="1"/>
      <c r="C423" s="1"/>
      <c r="D423" s="1">
        <v>41296</v>
      </c>
      <c r="E423">
        <v>22004</v>
      </c>
      <c r="F423" s="1">
        <v>41296</v>
      </c>
      <c r="G423">
        <v>3937.5</v>
      </c>
      <c r="H423" s="1">
        <f t="shared" si="19"/>
        <v>41296</v>
      </c>
      <c r="I423">
        <f>IF(AND(MyRowHidden(ROW())=FALSE,MyRowHidden(ROW()-1)=TRUE),0,(E423-E422)*unitsOfDHp+I422)</f>
        <v>270040</v>
      </c>
      <c r="J423">
        <f>IF(AND(MyRowHidden(ROW())=FALSE,MyRowHidden(ROW()-1)=TRUE),0,(G423-G422)*unitsOfExo+J422)</f>
        <v>89375</v>
      </c>
      <c r="K423" s="9">
        <f t="shared" si="20"/>
        <v>10625</v>
      </c>
      <c r="L423">
        <f t="shared" si="21"/>
        <v>359415</v>
      </c>
    </row>
    <row r="424" spans="1:12" x14ac:dyDescent="0.25">
      <c r="A424" s="1"/>
      <c r="C424" s="1"/>
      <c r="D424" s="1">
        <v>41297</v>
      </c>
      <c r="E424">
        <v>22214</v>
      </c>
      <c r="F424" s="1">
        <v>41297</v>
      </c>
      <c r="G424">
        <v>3587.5</v>
      </c>
      <c r="H424" s="1">
        <f t="shared" si="19"/>
        <v>41297</v>
      </c>
      <c r="I424">
        <f>IF(AND(MyRowHidden(ROW())=FALSE,MyRowHidden(ROW()-1)=TRUE),0,(E424-E423)*unitsOfDHp+I423)</f>
        <v>272140</v>
      </c>
      <c r="J424">
        <f>IF(AND(MyRowHidden(ROW())=FALSE,MyRowHidden(ROW()-1)=TRUE),0,(G424-G423)*unitsOfExo+J423)</f>
        <v>85875</v>
      </c>
      <c r="K424" s="9">
        <f t="shared" si="20"/>
        <v>14125</v>
      </c>
      <c r="L424">
        <f t="shared" si="21"/>
        <v>358015</v>
      </c>
    </row>
    <row r="425" spans="1:12" x14ac:dyDescent="0.25">
      <c r="A425" s="1"/>
      <c r="C425" s="1"/>
      <c r="D425" s="1">
        <v>41298</v>
      </c>
      <c r="E425">
        <v>22276</v>
      </c>
      <c r="F425" s="1">
        <v>41298</v>
      </c>
      <c r="G425">
        <v>3487.5</v>
      </c>
      <c r="H425" s="1">
        <f t="shared" si="19"/>
        <v>41298</v>
      </c>
      <c r="I425">
        <f>IF(AND(MyRowHidden(ROW())=FALSE,MyRowHidden(ROW()-1)=TRUE),0,(E425-E424)*unitsOfDHp+I424)</f>
        <v>272760</v>
      </c>
      <c r="J425">
        <f>IF(AND(MyRowHidden(ROW())=FALSE,MyRowHidden(ROW()-1)=TRUE),0,(G425-G424)*unitsOfExo+J424)</f>
        <v>84875</v>
      </c>
      <c r="K425" s="9">
        <f t="shared" si="20"/>
        <v>15125</v>
      </c>
      <c r="L425">
        <f t="shared" si="21"/>
        <v>357635</v>
      </c>
    </row>
    <row r="426" spans="1:12" x14ac:dyDescent="0.25">
      <c r="A426" s="1"/>
      <c r="C426" s="1"/>
      <c r="D426" s="1">
        <v>41299</v>
      </c>
      <c r="E426">
        <v>22203</v>
      </c>
      <c r="F426" s="1">
        <v>41299</v>
      </c>
      <c r="G426">
        <v>3450</v>
      </c>
      <c r="H426" s="1">
        <f t="shared" si="19"/>
        <v>41299</v>
      </c>
      <c r="I426">
        <f>IF(AND(MyRowHidden(ROW())=FALSE,MyRowHidden(ROW()-1)=TRUE),0,(E426-E425)*unitsOfDHp+I425)</f>
        <v>272030</v>
      </c>
      <c r="J426">
        <f>IF(AND(MyRowHidden(ROW())=FALSE,MyRowHidden(ROW()-1)=TRUE),0,(G426-G425)*unitsOfExo+J425)</f>
        <v>84500</v>
      </c>
      <c r="K426" s="9">
        <f t="shared" si="20"/>
        <v>15500</v>
      </c>
      <c r="L426">
        <f t="shared" si="21"/>
        <v>356530</v>
      </c>
    </row>
    <row r="427" spans="1:12" x14ac:dyDescent="0.25">
      <c r="A427" s="1"/>
      <c r="C427" s="1"/>
      <c r="D427" s="1">
        <v>41302</v>
      </c>
      <c r="E427">
        <v>22380</v>
      </c>
      <c r="F427" s="1">
        <v>41302</v>
      </c>
      <c r="G427">
        <v>3600</v>
      </c>
      <c r="H427" s="1">
        <f t="shared" si="19"/>
        <v>41302</v>
      </c>
      <c r="I427">
        <f>IF(AND(MyRowHidden(ROW())=FALSE,MyRowHidden(ROW()-1)=TRUE),0,(E427-E426)*unitsOfDHp+I426)</f>
        <v>273800</v>
      </c>
      <c r="J427">
        <f>IF(AND(MyRowHidden(ROW())=FALSE,MyRowHidden(ROW()-1)=TRUE),0,(G427-G426)*unitsOfExo+J426)</f>
        <v>86000</v>
      </c>
      <c r="K427" s="9">
        <f t="shared" si="20"/>
        <v>14000</v>
      </c>
      <c r="L427">
        <f t="shared" si="21"/>
        <v>359800</v>
      </c>
    </row>
    <row r="428" spans="1:12" x14ac:dyDescent="0.25">
      <c r="A428" s="1"/>
      <c r="C428" s="1"/>
      <c r="D428" s="1">
        <v>41303</v>
      </c>
      <c r="E428">
        <v>22566</v>
      </c>
      <c r="F428" s="1">
        <v>41303</v>
      </c>
      <c r="G428">
        <v>3962.5</v>
      </c>
      <c r="H428" s="1">
        <f t="shared" si="19"/>
        <v>41303</v>
      </c>
      <c r="I428">
        <f>IF(AND(MyRowHidden(ROW())=FALSE,MyRowHidden(ROW()-1)=TRUE),0,(E428-E427)*unitsOfDHp+I427)</f>
        <v>275660</v>
      </c>
      <c r="J428">
        <f>IF(AND(MyRowHidden(ROW())=FALSE,MyRowHidden(ROW()-1)=TRUE),0,(G428-G427)*unitsOfExo+J427)</f>
        <v>89625</v>
      </c>
      <c r="K428" s="9">
        <f t="shared" si="20"/>
        <v>10375</v>
      </c>
      <c r="L428">
        <f t="shared" si="21"/>
        <v>365285</v>
      </c>
    </row>
    <row r="429" spans="1:12" x14ac:dyDescent="0.25">
      <c r="A429" s="1"/>
      <c r="C429" s="1"/>
      <c r="D429" s="1">
        <v>41304</v>
      </c>
      <c r="E429">
        <v>22775</v>
      </c>
      <c r="F429" s="1">
        <v>41304</v>
      </c>
      <c r="G429">
        <v>4437.5</v>
      </c>
      <c r="H429" s="1">
        <f t="shared" si="19"/>
        <v>41304</v>
      </c>
      <c r="I429">
        <f>IF(AND(MyRowHidden(ROW())=FALSE,MyRowHidden(ROW()-1)=TRUE),0,(E429-E428)*unitsOfDHp+I428)</f>
        <v>277750</v>
      </c>
      <c r="J429">
        <f>IF(AND(MyRowHidden(ROW())=FALSE,MyRowHidden(ROW()-1)=TRUE),0,(G429-G428)*unitsOfExo+J428)</f>
        <v>94375</v>
      </c>
      <c r="K429" s="9">
        <f t="shared" si="20"/>
        <v>5625</v>
      </c>
      <c r="L429">
        <f t="shared" si="21"/>
        <v>372125</v>
      </c>
    </row>
    <row r="430" spans="1:12" x14ac:dyDescent="0.25">
      <c r="A430" s="1"/>
      <c r="C430" s="1"/>
      <c r="D430" s="1">
        <v>41305</v>
      </c>
      <c r="E430">
        <v>22761</v>
      </c>
      <c r="F430" s="1">
        <v>41305</v>
      </c>
      <c r="G430">
        <v>4400</v>
      </c>
      <c r="H430" s="1">
        <f t="shared" si="19"/>
        <v>41305</v>
      </c>
      <c r="I430">
        <f>IF(AND(MyRowHidden(ROW())=FALSE,MyRowHidden(ROW()-1)=TRUE),0,(E430-E429)*unitsOfDHp+I429)</f>
        <v>277610</v>
      </c>
      <c r="J430">
        <f>IF(AND(MyRowHidden(ROW())=FALSE,MyRowHidden(ROW()-1)=TRUE),0,(G430-G429)*unitsOfExo+J429)</f>
        <v>94000</v>
      </c>
      <c r="K430" s="9">
        <f t="shared" si="20"/>
        <v>6000</v>
      </c>
      <c r="L430">
        <f t="shared" si="21"/>
        <v>371610</v>
      </c>
    </row>
    <row r="431" spans="1:12" x14ac:dyDescent="0.25">
      <c r="A431" s="1"/>
      <c r="C431" s="1"/>
      <c r="D431" s="1">
        <v>41306</v>
      </c>
      <c r="E431">
        <v>22854</v>
      </c>
      <c r="F431" s="1">
        <v>41306</v>
      </c>
      <c r="G431">
        <v>4325</v>
      </c>
      <c r="H431" s="1">
        <f t="shared" si="19"/>
        <v>41306</v>
      </c>
      <c r="I431">
        <f>IF(AND(MyRowHidden(ROW())=FALSE,MyRowHidden(ROW()-1)=TRUE),0,(E431-E430)*unitsOfDHp+I430)</f>
        <v>278540</v>
      </c>
      <c r="J431">
        <f>IF(AND(MyRowHidden(ROW())=FALSE,MyRowHidden(ROW()-1)=TRUE),0,(G431-G430)*unitsOfExo+J430)</f>
        <v>93250</v>
      </c>
      <c r="K431" s="9">
        <f t="shared" si="20"/>
        <v>6750</v>
      </c>
      <c r="L431">
        <f t="shared" si="21"/>
        <v>371790</v>
      </c>
    </row>
    <row r="432" spans="1:12" x14ac:dyDescent="0.25">
      <c r="A432" s="1"/>
      <c r="C432" s="1"/>
      <c r="D432" s="1">
        <v>41309</v>
      </c>
      <c r="E432">
        <v>23062</v>
      </c>
      <c r="F432" s="1">
        <v>41309</v>
      </c>
      <c r="G432">
        <v>4087.5</v>
      </c>
      <c r="H432" s="1">
        <f t="shared" si="19"/>
        <v>41309</v>
      </c>
      <c r="I432">
        <f>IF(AND(MyRowHidden(ROW())=FALSE,MyRowHidden(ROW()-1)=TRUE),0,(E432-E431)*unitsOfDHp+I431)</f>
        <v>280620</v>
      </c>
      <c r="J432">
        <f>IF(AND(MyRowHidden(ROW())=FALSE,MyRowHidden(ROW()-1)=TRUE),0,(G432-G431)*unitsOfExo+J431)</f>
        <v>90875</v>
      </c>
      <c r="K432" s="9">
        <f t="shared" si="20"/>
        <v>9125</v>
      </c>
      <c r="L432">
        <f t="shared" si="21"/>
        <v>371495</v>
      </c>
    </row>
    <row r="433" spans="1:12" x14ac:dyDescent="0.25">
      <c r="A433" s="1"/>
      <c r="C433" s="1"/>
      <c r="D433" s="1">
        <v>41310</v>
      </c>
      <c r="E433">
        <v>23099</v>
      </c>
      <c r="F433" s="1">
        <v>41310</v>
      </c>
      <c r="G433">
        <v>3775</v>
      </c>
      <c r="H433" s="1">
        <f t="shared" si="19"/>
        <v>41310</v>
      </c>
      <c r="I433">
        <f>IF(AND(MyRowHidden(ROW())=FALSE,MyRowHidden(ROW()-1)=TRUE),0,(E433-E432)*unitsOfDHp+I432)</f>
        <v>280990</v>
      </c>
      <c r="J433">
        <f>IF(AND(MyRowHidden(ROW())=FALSE,MyRowHidden(ROW()-1)=TRUE),0,(G433-G432)*unitsOfExo+J432)</f>
        <v>87750</v>
      </c>
      <c r="K433" s="9">
        <f t="shared" si="20"/>
        <v>12250</v>
      </c>
      <c r="L433">
        <f t="shared" si="21"/>
        <v>368740</v>
      </c>
    </row>
    <row r="434" spans="1:12" x14ac:dyDescent="0.25">
      <c r="A434" s="1"/>
      <c r="C434" s="1"/>
      <c r="D434" s="1">
        <v>41311</v>
      </c>
      <c r="E434">
        <v>23365</v>
      </c>
      <c r="F434" s="1">
        <v>41311</v>
      </c>
      <c r="G434">
        <v>3587.5</v>
      </c>
      <c r="H434" s="1">
        <f t="shared" si="19"/>
        <v>41311</v>
      </c>
      <c r="I434">
        <f>IF(AND(MyRowHidden(ROW())=FALSE,MyRowHidden(ROW()-1)=TRUE),0,(E434-E433)*unitsOfDHp+I433)</f>
        <v>283650</v>
      </c>
      <c r="J434">
        <f>IF(AND(MyRowHidden(ROW())=FALSE,MyRowHidden(ROW()-1)=TRUE),0,(G434-G433)*unitsOfExo+J433)</f>
        <v>85875</v>
      </c>
      <c r="K434" s="9">
        <f t="shared" si="20"/>
        <v>14125</v>
      </c>
      <c r="L434">
        <f t="shared" si="21"/>
        <v>369525</v>
      </c>
    </row>
    <row r="435" spans="1:12" x14ac:dyDescent="0.25">
      <c r="A435" s="1"/>
      <c r="C435" s="1"/>
      <c r="D435" s="1">
        <v>41312</v>
      </c>
      <c r="E435">
        <v>23798</v>
      </c>
      <c r="F435" s="1">
        <v>41312</v>
      </c>
      <c r="G435">
        <v>3137.5</v>
      </c>
      <c r="H435" s="1">
        <f t="shared" si="19"/>
        <v>41312</v>
      </c>
      <c r="I435">
        <f>IF(AND(MyRowHidden(ROW())=FALSE,MyRowHidden(ROW()-1)=TRUE),0,(E435-E434)*unitsOfDHp+I434)</f>
        <v>287980</v>
      </c>
      <c r="J435">
        <f>IF(AND(MyRowHidden(ROW())=FALSE,MyRowHidden(ROW()-1)=TRUE),0,(G435-G434)*unitsOfExo+J434)</f>
        <v>81375</v>
      </c>
      <c r="K435" s="9">
        <f t="shared" si="20"/>
        <v>18625</v>
      </c>
      <c r="L435">
        <f t="shared" si="21"/>
        <v>369355</v>
      </c>
    </row>
    <row r="436" spans="1:12" x14ac:dyDescent="0.25">
      <c r="A436" s="1"/>
      <c r="C436" s="1"/>
      <c r="D436" s="1">
        <v>41313</v>
      </c>
      <c r="E436">
        <v>23717</v>
      </c>
      <c r="F436" s="1">
        <v>41313</v>
      </c>
      <c r="G436">
        <v>3037.5</v>
      </c>
      <c r="H436" s="1">
        <f t="shared" si="19"/>
        <v>41313</v>
      </c>
      <c r="I436">
        <f>IF(AND(MyRowHidden(ROW())=FALSE,MyRowHidden(ROW()-1)=TRUE),0,(E436-E435)*unitsOfDHp+I435)</f>
        <v>287170</v>
      </c>
      <c r="J436">
        <f>IF(AND(MyRowHidden(ROW())=FALSE,MyRowHidden(ROW()-1)=TRUE),0,(G436-G435)*unitsOfExo+J435)</f>
        <v>80375</v>
      </c>
      <c r="K436" s="9">
        <f t="shared" si="20"/>
        <v>19625</v>
      </c>
      <c r="L436">
        <f t="shared" si="21"/>
        <v>367545</v>
      </c>
    </row>
    <row r="437" spans="1:12" x14ac:dyDescent="0.25">
      <c r="A437" s="1"/>
      <c r="C437" s="1"/>
      <c r="D437" s="1">
        <v>41316</v>
      </c>
      <c r="E437">
        <v>23295</v>
      </c>
      <c r="F437" s="1">
        <v>41316</v>
      </c>
      <c r="G437">
        <v>2512.5</v>
      </c>
      <c r="H437" s="1">
        <f t="shared" si="19"/>
        <v>41316</v>
      </c>
      <c r="I437">
        <f>IF(AND(MyRowHidden(ROW())=FALSE,MyRowHidden(ROW()-1)=TRUE),0,(E437-E436)*unitsOfDHp+I436)</f>
        <v>282950</v>
      </c>
      <c r="J437">
        <f>IF(AND(MyRowHidden(ROW())=FALSE,MyRowHidden(ROW()-1)=TRUE),0,(G437-G436)*unitsOfExo+J436)</f>
        <v>75125</v>
      </c>
      <c r="K437" s="9">
        <f t="shared" si="20"/>
        <v>24875</v>
      </c>
      <c r="L437">
        <f t="shared" si="21"/>
        <v>358075</v>
      </c>
    </row>
    <row r="438" spans="1:12" x14ac:dyDescent="0.25">
      <c r="A438" s="1"/>
      <c r="C438" s="1"/>
      <c r="D438" s="1">
        <v>41317</v>
      </c>
      <c r="E438">
        <v>22410</v>
      </c>
      <c r="F438" s="1">
        <v>41317</v>
      </c>
      <c r="G438">
        <v>2112.5</v>
      </c>
      <c r="H438" s="1">
        <f t="shared" si="19"/>
        <v>41317</v>
      </c>
      <c r="I438">
        <f>IF(AND(MyRowHidden(ROW())=FALSE,MyRowHidden(ROW()-1)=TRUE),0,(E438-E437)*unitsOfDHp+I437)</f>
        <v>274100</v>
      </c>
      <c r="J438">
        <f>IF(AND(MyRowHidden(ROW())=FALSE,MyRowHidden(ROW()-1)=TRUE),0,(G438-G437)*unitsOfExo+J437)</f>
        <v>71125</v>
      </c>
      <c r="K438" s="9">
        <f t="shared" si="20"/>
        <v>28875</v>
      </c>
      <c r="L438">
        <f t="shared" si="21"/>
        <v>345225</v>
      </c>
    </row>
    <row r="439" spans="1:12" x14ac:dyDescent="0.25">
      <c r="A439" s="1"/>
      <c r="C439" s="1"/>
      <c r="D439" s="1">
        <v>41318</v>
      </c>
      <c r="E439">
        <v>22231</v>
      </c>
      <c r="F439" s="1">
        <v>41318</v>
      </c>
      <c r="G439">
        <v>2062.5</v>
      </c>
      <c r="H439" s="1">
        <f t="shared" si="19"/>
        <v>41318</v>
      </c>
      <c r="I439">
        <f>IF(AND(MyRowHidden(ROW())=FALSE,MyRowHidden(ROW()-1)=TRUE),0,(E439-E438)*unitsOfDHp+I438)</f>
        <v>272310</v>
      </c>
      <c r="J439">
        <f>IF(AND(MyRowHidden(ROW())=FALSE,MyRowHidden(ROW()-1)=TRUE),0,(G439-G438)*unitsOfExo+J438)</f>
        <v>70625</v>
      </c>
      <c r="K439" s="9">
        <f t="shared" si="20"/>
        <v>29375</v>
      </c>
      <c r="L439">
        <f t="shared" si="21"/>
        <v>342935</v>
      </c>
    </row>
    <row r="440" spans="1:12" x14ac:dyDescent="0.25">
      <c r="A440" s="1"/>
      <c r="C440" s="1"/>
      <c r="D440" s="1">
        <v>41319</v>
      </c>
      <c r="E440">
        <v>22102</v>
      </c>
      <c r="F440" s="1">
        <v>41319</v>
      </c>
      <c r="G440">
        <v>1962.5</v>
      </c>
      <c r="H440" s="1">
        <f t="shared" si="19"/>
        <v>41319</v>
      </c>
      <c r="I440">
        <f>IF(AND(MyRowHidden(ROW())=FALSE,MyRowHidden(ROW()-1)=TRUE),0,(E440-E439)*unitsOfDHp+I439)</f>
        <v>271020</v>
      </c>
      <c r="J440">
        <f>IF(AND(MyRowHidden(ROW())=FALSE,MyRowHidden(ROW()-1)=TRUE),0,(G440-G439)*unitsOfExo+J439)</f>
        <v>69625</v>
      </c>
      <c r="K440" s="9">
        <f t="shared" si="20"/>
        <v>30375</v>
      </c>
      <c r="L440">
        <f t="shared" si="21"/>
        <v>340645</v>
      </c>
    </row>
    <row r="441" spans="1:12" x14ac:dyDescent="0.25">
      <c r="A441" s="1"/>
      <c r="C441" s="1"/>
      <c r="D441" s="1">
        <v>41320</v>
      </c>
      <c r="E441">
        <v>22458</v>
      </c>
      <c r="F441" s="1">
        <v>41320</v>
      </c>
      <c r="G441">
        <v>2287.5</v>
      </c>
      <c r="H441" s="1">
        <f t="shared" si="19"/>
        <v>41320</v>
      </c>
      <c r="I441">
        <f>IF(AND(MyRowHidden(ROW())=FALSE,MyRowHidden(ROW()-1)=TRUE),0,(E441-E440)*unitsOfDHp+I440)</f>
        <v>274580</v>
      </c>
      <c r="J441">
        <f>IF(AND(MyRowHidden(ROW())=FALSE,MyRowHidden(ROW()-1)=TRUE),0,(G441-G440)*unitsOfExo+J440)</f>
        <v>72875</v>
      </c>
      <c r="K441" s="9">
        <f t="shared" si="20"/>
        <v>27125</v>
      </c>
      <c r="L441">
        <f t="shared" si="21"/>
        <v>347455</v>
      </c>
    </row>
    <row r="442" spans="1:12" x14ac:dyDescent="0.25">
      <c r="A442" s="1"/>
      <c r="C442" s="1"/>
      <c r="D442" s="1">
        <v>41324</v>
      </c>
      <c r="E442">
        <v>22123</v>
      </c>
      <c r="F442" s="1">
        <v>41324</v>
      </c>
      <c r="G442">
        <v>2087.5</v>
      </c>
      <c r="H442" s="1">
        <f t="shared" si="19"/>
        <v>41324</v>
      </c>
      <c r="I442">
        <f>IF(AND(MyRowHidden(ROW())=FALSE,MyRowHidden(ROW()-1)=TRUE),0,(E442-E441)*unitsOfDHp+I441)</f>
        <v>271230</v>
      </c>
      <c r="J442">
        <f>IF(AND(MyRowHidden(ROW())=FALSE,MyRowHidden(ROW()-1)=TRUE),0,(G442-G441)*unitsOfExo+J441)</f>
        <v>70875</v>
      </c>
      <c r="K442" s="9">
        <f t="shared" si="20"/>
        <v>29125</v>
      </c>
      <c r="L442">
        <f t="shared" si="21"/>
        <v>342105</v>
      </c>
    </row>
    <row r="443" spans="1:12" x14ac:dyDescent="0.25">
      <c r="A443" s="1"/>
      <c r="C443" s="1"/>
      <c r="D443" s="1">
        <v>41325</v>
      </c>
      <c r="E443">
        <v>22244</v>
      </c>
      <c r="F443" s="1">
        <v>41325</v>
      </c>
      <c r="G443">
        <v>2375</v>
      </c>
      <c r="H443" s="1">
        <f t="shared" si="19"/>
        <v>41325</v>
      </c>
      <c r="I443">
        <f>IF(AND(MyRowHidden(ROW())=FALSE,MyRowHidden(ROW()-1)=TRUE),0,(E443-E442)*unitsOfDHp+I442)</f>
        <v>272440</v>
      </c>
      <c r="J443">
        <f>IF(AND(MyRowHidden(ROW())=FALSE,MyRowHidden(ROW()-1)=TRUE),0,(G443-G442)*unitsOfExo+J442)</f>
        <v>73750</v>
      </c>
      <c r="K443" s="9">
        <f t="shared" si="20"/>
        <v>26250</v>
      </c>
      <c r="L443">
        <f t="shared" si="21"/>
        <v>346190</v>
      </c>
    </row>
    <row r="444" spans="1:12" x14ac:dyDescent="0.25">
      <c r="A444" s="1"/>
      <c r="C444" s="1"/>
      <c r="D444" s="1">
        <v>41326</v>
      </c>
      <c r="E444">
        <v>22403</v>
      </c>
      <c r="F444" s="1">
        <v>41326</v>
      </c>
      <c r="G444">
        <v>2100</v>
      </c>
      <c r="H444" s="1">
        <f t="shared" si="19"/>
        <v>41326</v>
      </c>
      <c r="I444">
        <f>IF(AND(MyRowHidden(ROW())=FALSE,MyRowHidden(ROW()-1)=TRUE),0,(E444-E443)*unitsOfDHp+I443)</f>
        <v>274030</v>
      </c>
      <c r="J444">
        <f>IF(AND(MyRowHidden(ROW())=FALSE,MyRowHidden(ROW()-1)=TRUE),0,(G444-G443)*unitsOfExo+J443)</f>
        <v>71000</v>
      </c>
      <c r="K444" s="9">
        <f t="shared" si="20"/>
        <v>29000</v>
      </c>
      <c r="L444">
        <f t="shared" si="21"/>
        <v>345030</v>
      </c>
    </row>
    <row r="445" spans="1:12" x14ac:dyDescent="0.25">
      <c r="A445" s="1"/>
      <c r="C445" s="1"/>
      <c r="D445" s="1">
        <v>41327</v>
      </c>
      <c r="E445">
        <v>22409</v>
      </c>
      <c r="F445" s="1">
        <v>41327</v>
      </c>
      <c r="G445">
        <v>2037.5</v>
      </c>
      <c r="H445" s="1">
        <f t="shared" si="19"/>
        <v>41327</v>
      </c>
      <c r="I445">
        <f>IF(AND(MyRowHidden(ROW())=FALSE,MyRowHidden(ROW()-1)=TRUE),0,(E445-E444)*unitsOfDHp+I444)</f>
        <v>274090</v>
      </c>
      <c r="J445">
        <f>IF(AND(MyRowHidden(ROW())=FALSE,MyRowHidden(ROW()-1)=TRUE),0,(G445-G444)*unitsOfExo+J444)</f>
        <v>70375</v>
      </c>
      <c r="K445" s="9">
        <f t="shared" si="20"/>
        <v>29625</v>
      </c>
      <c r="L445">
        <f t="shared" si="21"/>
        <v>344465</v>
      </c>
    </row>
    <row r="446" spans="1:12" x14ac:dyDescent="0.25">
      <c r="A446" s="1"/>
      <c r="C446" s="1"/>
      <c r="D446" s="1">
        <v>41330</v>
      </c>
      <c r="E446">
        <v>22485</v>
      </c>
      <c r="F446" s="1">
        <v>41330</v>
      </c>
      <c r="G446">
        <v>2137.5</v>
      </c>
      <c r="H446" s="1">
        <f t="shared" si="19"/>
        <v>41330</v>
      </c>
      <c r="I446">
        <f>IF(AND(MyRowHidden(ROW())=FALSE,MyRowHidden(ROW()-1)=TRUE),0,(E446-E445)*unitsOfDHp+I445)</f>
        <v>274850</v>
      </c>
      <c r="J446">
        <f>IF(AND(MyRowHidden(ROW())=FALSE,MyRowHidden(ROW()-1)=TRUE),0,(G446-G445)*unitsOfExo+J445)</f>
        <v>71375</v>
      </c>
      <c r="K446" s="9">
        <f t="shared" si="20"/>
        <v>28625</v>
      </c>
      <c r="L446">
        <f t="shared" si="21"/>
        <v>346225</v>
      </c>
    </row>
    <row r="447" spans="1:12" x14ac:dyDescent="0.25">
      <c r="A447" s="1"/>
      <c r="C447" s="1"/>
      <c r="D447" s="1">
        <v>41331</v>
      </c>
      <c r="E447">
        <v>22677</v>
      </c>
      <c r="F447" s="1">
        <v>41331</v>
      </c>
      <c r="G447">
        <v>2562.5</v>
      </c>
      <c r="H447" s="1">
        <f t="shared" si="19"/>
        <v>41331</v>
      </c>
      <c r="I447">
        <f>IF(AND(MyRowHidden(ROW())=FALSE,MyRowHidden(ROW()-1)=TRUE),0,(E447-E446)*unitsOfDHp+I446)</f>
        <v>276770</v>
      </c>
      <c r="J447">
        <f>IF(AND(MyRowHidden(ROW())=FALSE,MyRowHidden(ROW()-1)=TRUE),0,(G447-G446)*unitsOfExo+J446)</f>
        <v>75625</v>
      </c>
      <c r="K447" s="9">
        <f t="shared" si="20"/>
        <v>24375</v>
      </c>
      <c r="L447">
        <f t="shared" si="21"/>
        <v>352395</v>
      </c>
    </row>
    <row r="448" spans="1:12" x14ac:dyDescent="0.25">
      <c r="A448" s="1"/>
      <c r="C448" s="1"/>
      <c r="D448" s="1">
        <v>41332</v>
      </c>
      <c r="E448">
        <v>22865</v>
      </c>
      <c r="F448" s="1">
        <v>41332</v>
      </c>
      <c r="G448">
        <v>2975</v>
      </c>
      <c r="H448" s="1">
        <f t="shared" si="19"/>
        <v>41332</v>
      </c>
      <c r="I448">
        <f>IF(AND(MyRowHidden(ROW())=FALSE,MyRowHidden(ROW()-1)=TRUE),0,(E448-E447)*unitsOfDHp+I447)</f>
        <v>278650</v>
      </c>
      <c r="J448">
        <f>IF(AND(MyRowHidden(ROW())=FALSE,MyRowHidden(ROW()-1)=TRUE),0,(G448-G447)*unitsOfExo+J447)</f>
        <v>79750</v>
      </c>
      <c r="K448" s="9">
        <f t="shared" si="20"/>
        <v>20250</v>
      </c>
      <c r="L448">
        <f t="shared" si="21"/>
        <v>358400</v>
      </c>
    </row>
    <row r="449" spans="1:12" x14ac:dyDescent="0.25">
      <c r="A449" s="1"/>
      <c r="C449" s="1"/>
      <c r="D449" s="1">
        <v>41333</v>
      </c>
      <c r="E449">
        <v>22876</v>
      </c>
      <c r="F449" s="1">
        <v>41333</v>
      </c>
      <c r="G449">
        <v>3375</v>
      </c>
      <c r="H449" s="1">
        <f t="shared" si="19"/>
        <v>41333</v>
      </c>
      <c r="I449">
        <f>IF(AND(MyRowHidden(ROW())=FALSE,MyRowHidden(ROW()-1)=TRUE),0,(E449-E448)*unitsOfDHp+I448)</f>
        <v>278760</v>
      </c>
      <c r="J449">
        <f>IF(AND(MyRowHidden(ROW())=FALSE,MyRowHidden(ROW()-1)=TRUE),0,(G449-G448)*unitsOfExo+J448)</f>
        <v>83750</v>
      </c>
      <c r="K449" s="9">
        <f t="shared" si="20"/>
        <v>16250</v>
      </c>
      <c r="L449">
        <f t="shared" si="21"/>
        <v>362510</v>
      </c>
    </row>
    <row r="450" spans="1:12" x14ac:dyDescent="0.25">
      <c r="A450" s="1"/>
      <c r="C450" s="1"/>
      <c r="D450" s="1">
        <v>41334</v>
      </c>
      <c r="E450">
        <v>22582</v>
      </c>
      <c r="F450" s="1">
        <v>41334</v>
      </c>
      <c r="G450">
        <v>3725</v>
      </c>
      <c r="H450" s="1">
        <f t="shared" si="19"/>
        <v>41334</v>
      </c>
      <c r="I450">
        <f>IF(AND(MyRowHidden(ROW())=FALSE,MyRowHidden(ROW()-1)=TRUE),0,(E450-E449)*unitsOfDHp+I449)</f>
        <v>275820</v>
      </c>
      <c r="J450">
        <f>IF(AND(MyRowHidden(ROW())=FALSE,MyRowHidden(ROW()-1)=TRUE),0,(G450-G449)*unitsOfExo+J449)</f>
        <v>87250</v>
      </c>
      <c r="K450" s="9">
        <f t="shared" si="20"/>
        <v>12750</v>
      </c>
      <c r="L450">
        <f t="shared" si="21"/>
        <v>363070</v>
      </c>
    </row>
    <row r="451" spans="1:12" x14ac:dyDescent="0.25">
      <c r="A451" s="1"/>
      <c r="C451" s="1"/>
      <c r="D451" s="1">
        <v>41337</v>
      </c>
      <c r="E451">
        <v>23186</v>
      </c>
      <c r="F451" s="1">
        <v>41337</v>
      </c>
      <c r="G451">
        <v>3400</v>
      </c>
      <c r="H451" s="1">
        <f t="shared" si="19"/>
        <v>41337</v>
      </c>
      <c r="I451">
        <f>IF(AND(MyRowHidden(ROW())=FALSE,MyRowHidden(ROW()-1)=TRUE),0,(E451-E450)*unitsOfDHp+I450)</f>
        <v>281860</v>
      </c>
      <c r="J451">
        <f>IF(AND(MyRowHidden(ROW())=FALSE,MyRowHidden(ROW()-1)=TRUE),0,(G451-G450)*unitsOfExo+J450)</f>
        <v>84000</v>
      </c>
      <c r="K451" s="9">
        <f t="shared" si="20"/>
        <v>16000</v>
      </c>
      <c r="L451">
        <f t="shared" si="21"/>
        <v>365860</v>
      </c>
    </row>
    <row r="452" spans="1:12" x14ac:dyDescent="0.25">
      <c r="A452" s="1"/>
      <c r="C452" s="1"/>
      <c r="D452" s="1">
        <v>41338</v>
      </c>
      <c r="E452">
        <v>22489</v>
      </c>
      <c r="F452" s="1">
        <v>41338</v>
      </c>
      <c r="G452">
        <v>3950</v>
      </c>
      <c r="H452" s="1">
        <f t="shared" si="19"/>
        <v>41338</v>
      </c>
      <c r="I452">
        <f>IF(AND(MyRowHidden(ROW())=FALSE,MyRowHidden(ROW()-1)=TRUE),0,(E452-E451)*unitsOfDHp+I451)</f>
        <v>274890</v>
      </c>
      <c r="J452">
        <f>IF(AND(MyRowHidden(ROW())=FALSE,MyRowHidden(ROW()-1)=TRUE),0,(G452-G451)*unitsOfExo+J451)</f>
        <v>89500</v>
      </c>
      <c r="K452" s="9">
        <f t="shared" si="20"/>
        <v>10500</v>
      </c>
      <c r="L452">
        <f t="shared" si="21"/>
        <v>364390</v>
      </c>
    </row>
    <row r="453" spans="1:12" x14ac:dyDescent="0.25">
      <c r="A453" s="1"/>
      <c r="C453" s="1"/>
      <c r="D453" s="1">
        <v>41339</v>
      </c>
      <c r="E453">
        <v>23528</v>
      </c>
      <c r="F453" s="1">
        <v>41339</v>
      </c>
      <c r="G453">
        <v>3012.5</v>
      </c>
      <c r="H453" s="1">
        <f t="shared" si="19"/>
        <v>41339</v>
      </c>
      <c r="I453">
        <f>IF(AND(MyRowHidden(ROW())=FALSE,MyRowHidden(ROW()-1)=TRUE),0,(E453-E452)*unitsOfDHp+I452)</f>
        <v>285280</v>
      </c>
      <c r="J453">
        <f>IF(AND(MyRowHidden(ROW())=FALSE,MyRowHidden(ROW()-1)=TRUE),0,(G453-G452)*unitsOfExo+J452)</f>
        <v>80125</v>
      </c>
      <c r="K453" s="9">
        <f t="shared" si="20"/>
        <v>19875</v>
      </c>
      <c r="L453">
        <f t="shared" si="21"/>
        <v>365405</v>
      </c>
    </row>
    <row r="454" spans="1:12" x14ac:dyDescent="0.25">
      <c r="A454" s="1"/>
      <c r="C454" s="1"/>
      <c r="D454" s="1">
        <v>41340</v>
      </c>
      <c r="E454">
        <v>24168</v>
      </c>
      <c r="F454" s="1">
        <v>41340</v>
      </c>
      <c r="G454">
        <v>2725</v>
      </c>
      <c r="H454" s="1">
        <f t="shared" si="19"/>
        <v>41340</v>
      </c>
      <c r="I454">
        <f>IF(AND(MyRowHidden(ROW())=FALSE,MyRowHidden(ROW()-1)=TRUE),0,(E454-E453)*unitsOfDHp+I453)</f>
        <v>291680</v>
      </c>
      <c r="J454">
        <f>IF(AND(MyRowHidden(ROW())=FALSE,MyRowHidden(ROW()-1)=TRUE),0,(G454-G453)*unitsOfExo+J453)</f>
        <v>77250</v>
      </c>
      <c r="K454" s="9">
        <f t="shared" si="20"/>
        <v>22750</v>
      </c>
      <c r="L454">
        <f t="shared" si="21"/>
        <v>368930</v>
      </c>
    </row>
    <row r="455" spans="1:12" x14ac:dyDescent="0.25">
      <c r="A455" s="1"/>
      <c r="C455" s="1"/>
      <c r="D455" s="1">
        <v>41341</v>
      </c>
      <c r="E455">
        <v>23093</v>
      </c>
      <c r="F455" s="1">
        <v>41341</v>
      </c>
      <c r="G455">
        <v>3425</v>
      </c>
      <c r="H455" s="1">
        <f t="shared" si="19"/>
        <v>41341</v>
      </c>
      <c r="I455">
        <f>IF(AND(MyRowHidden(ROW())=FALSE,MyRowHidden(ROW()-1)=TRUE),0,(E455-E454)*unitsOfDHp+I454)</f>
        <v>280930</v>
      </c>
      <c r="J455">
        <f>IF(AND(MyRowHidden(ROW())=FALSE,MyRowHidden(ROW()-1)=TRUE),0,(G455-G454)*unitsOfExo+J454)</f>
        <v>84250</v>
      </c>
      <c r="K455" s="9">
        <f t="shared" si="20"/>
        <v>15750</v>
      </c>
      <c r="L455">
        <f t="shared" si="21"/>
        <v>365180</v>
      </c>
    </row>
    <row r="456" spans="1:12" x14ac:dyDescent="0.25">
      <c r="A456" s="1"/>
      <c r="C456" s="1"/>
      <c r="D456" s="1">
        <v>41344</v>
      </c>
      <c r="E456">
        <v>22714</v>
      </c>
      <c r="F456" s="1">
        <v>41344</v>
      </c>
      <c r="G456">
        <v>4187.5</v>
      </c>
      <c r="H456" s="1">
        <f t="shared" si="19"/>
        <v>41344</v>
      </c>
      <c r="I456">
        <f>IF(AND(MyRowHidden(ROW())=FALSE,MyRowHidden(ROW()-1)=TRUE),0,(E456-E455)*unitsOfDHp+I455)</f>
        <v>277140</v>
      </c>
      <c r="J456">
        <f>IF(AND(MyRowHidden(ROW())=FALSE,MyRowHidden(ROW()-1)=TRUE),0,(G456-G455)*unitsOfExo+J455)</f>
        <v>91875</v>
      </c>
      <c r="K456" s="9">
        <f t="shared" si="20"/>
        <v>8125</v>
      </c>
      <c r="L456">
        <f t="shared" si="21"/>
        <v>369015</v>
      </c>
    </row>
    <row r="457" spans="1:12" x14ac:dyDescent="0.25">
      <c r="A457" s="1"/>
      <c r="C457" s="1"/>
      <c r="D457" s="1">
        <v>41345</v>
      </c>
      <c r="E457">
        <v>22689</v>
      </c>
      <c r="F457" s="1">
        <v>41345</v>
      </c>
      <c r="G457">
        <v>4512.5</v>
      </c>
      <c r="H457" s="1">
        <f t="shared" si="19"/>
        <v>41345</v>
      </c>
      <c r="I457">
        <f>IF(AND(MyRowHidden(ROW())=FALSE,MyRowHidden(ROW()-1)=TRUE),0,(E457-E456)*unitsOfDHp+I456)</f>
        <v>276890</v>
      </c>
      <c r="J457">
        <f>IF(AND(MyRowHidden(ROW())=FALSE,MyRowHidden(ROW()-1)=TRUE),0,(G457-G456)*unitsOfExo+J456)</f>
        <v>95125</v>
      </c>
      <c r="K457" s="9">
        <f t="shared" si="20"/>
        <v>4875</v>
      </c>
      <c r="L457">
        <f t="shared" si="21"/>
        <v>372015</v>
      </c>
    </row>
    <row r="458" spans="1:12" x14ac:dyDescent="0.25">
      <c r="A458" s="1"/>
      <c r="C458" s="1"/>
      <c r="D458" s="1">
        <v>41346</v>
      </c>
      <c r="E458">
        <v>22719</v>
      </c>
      <c r="F458" s="1">
        <v>41346</v>
      </c>
      <c r="G458">
        <v>4200</v>
      </c>
      <c r="H458" s="1">
        <f t="shared" si="19"/>
        <v>41346</v>
      </c>
      <c r="I458">
        <f>IF(AND(MyRowHidden(ROW())=FALSE,MyRowHidden(ROW()-1)=TRUE),0,(E458-E457)*unitsOfDHp+I457)</f>
        <v>277190</v>
      </c>
      <c r="J458">
        <f>IF(AND(MyRowHidden(ROW())=FALSE,MyRowHidden(ROW()-1)=TRUE),0,(G458-G457)*unitsOfExo+J457)</f>
        <v>92000</v>
      </c>
      <c r="K458" s="9">
        <f t="shared" si="20"/>
        <v>8000</v>
      </c>
      <c r="L458">
        <f t="shared" si="21"/>
        <v>369190</v>
      </c>
    </row>
    <row r="459" spans="1:12" x14ac:dyDescent="0.25">
      <c r="A459" s="1"/>
      <c r="C459" s="1"/>
      <c r="D459" s="1">
        <v>41347</v>
      </c>
      <c r="E459">
        <v>22443</v>
      </c>
      <c r="F459" s="1">
        <v>41347</v>
      </c>
      <c r="G459">
        <v>4487.5</v>
      </c>
      <c r="H459" s="1">
        <f t="shared" si="19"/>
        <v>41347</v>
      </c>
      <c r="I459">
        <f>IF(AND(MyRowHidden(ROW())=FALSE,MyRowHidden(ROW()-1)=TRUE),0,(E459-E458)*unitsOfDHp+I458)</f>
        <v>274430</v>
      </c>
      <c r="J459">
        <f>IF(AND(MyRowHidden(ROW())=FALSE,MyRowHidden(ROW()-1)=TRUE),0,(G459-G458)*unitsOfExo+J458)</f>
        <v>94875</v>
      </c>
      <c r="K459" s="9">
        <f t="shared" si="20"/>
        <v>5125</v>
      </c>
      <c r="L459">
        <f t="shared" si="21"/>
        <v>369305</v>
      </c>
    </row>
    <row r="460" spans="1:12" x14ac:dyDescent="0.25">
      <c r="A460" s="1"/>
      <c r="C460" s="1"/>
      <c r="D460" s="1">
        <v>41348</v>
      </c>
      <c r="E460">
        <v>22412</v>
      </c>
      <c r="F460" s="1">
        <v>41348</v>
      </c>
      <c r="G460">
        <v>4550</v>
      </c>
      <c r="H460" s="1">
        <f t="shared" si="19"/>
        <v>41348</v>
      </c>
      <c r="I460">
        <f>IF(AND(MyRowHidden(ROW())=FALSE,MyRowHidden(ROW()-1)=TRUE),0,(E460-E459)*unitsOfDHp+I459)</f>
        <v>274120</v>
      </c>
      <c r="J460">
        <f>IF(AND(MyRowHidden(ROW())=FALSE,MyRowHidden(ROW()-1)=TRUE),0,(G460-G459)*unitsOfExo+J459)</f>
        <v>95500</v>
      </c>
      <c r="K460" s="9">
        <f t="shared" si="20"/>
        <v>4500</v>
      </c>
      <c r="L460">
        <f t="shared" si="21"/>
        <v>369620</v>
      </c>
    </row>
    <row r="461" spans="1:12" x14ac:dyDescent="0.25">
      <c r="A461" s="1"/>
      <c r="C461" s="1"/>
      <c r="D461" s="1">
        <v>41351</v>
      </c>
      <c r="E461">
        <v>22396</v>
      </c>
      <c r="F461" s="1">
        <v>41351</v>
      </c>
      <c r="G461">
        <v>4562.5</v>
      </c>
      <c r="H461" s="1">
        <f t="shared" ref="H461:H524" si="22">D461</f>
        <v>41351</v>
      </c>
      <c r="I461">
        <f>IF(AND(MyRowHidden(ROW())=FALSE,MyRowHidden(ROW()-1)=TRUE),0,(E461-E460)*unitsOfDHp+I460)</f>
        <v>273960</v>
      </c>
      <c r="J461">
        <f>IF(AND(MyRowHidden(ROW())=FALSE,MyRowHidden(ROW()-1)=TRUE),0,(G461-G460)*unitsOfExo+J460)</f>
        <v>95625</v>
      </c>
      <c r="K461" s="9">
        <f t="shared" ref="K461:K524" si="23">-(J461-J460)+K460</f>
        <v>4375</v>
      </c>
      <c r="L461">
        <f t="shared" ref="L461:L524" si="24">I461+J461</f>
        <v>369585</v>
      </c>
    </row>
    <row r="462" spans="1:12" x14ac:dyDescent="0.25">
      <c r="A462" s="1"/>
      <c r="C462" s="1"/>
      <c r="D462" s="1">
        <v>41352</v>
      </c>
      <c r="E462">
        <v>22266</v>
      </c>
      <c r="F462" s="1">
        <v>41352</v>
      </c>
      <c r="G462">
        <v>5012.5</v>
      </c>
      <c r="H462" s="1">
        <f t="shared" si="22"/>
        <v>41352</v>
      </c>
      <c r="I462">
        <f>IF(AND(MyRowHidden(ROW())=FALSE,MyRowHidden(ROW()-1)=TRUE),0,(E462-E461)*unitsOfDHp+I461)</f>
        <v>272660</v>
      </c>
      <c r="J462">
        <f>IF(AND(MyRowHidden(ROW())=FALSE,MyRowHidden(ROW()-1)=TRUE),0,(G462-G461)*unitsOfExo+J461)</f>
        <v>100125</v>
      </c>
      <c r="K462" s="9">
        <f t="shared" si="23"/>
        <v>-125</v>
      </c>
      <c r="L462">
        <f t="shared" si="24"/>
        <v>372785</v>
      </c>
    </row>
    <row r="463" spans="1:12" x14ac:dyDescent="0.25">
      <c r="A463" s="1"/>
      <c r="C463" s="1"/>
      <c r="D463" s="1">
        <v>41353</v>
      </c>
      <c r="E463">
        <v>22217</v>
      </c>
      <c r="F463" s="1">
        <v>41353</v>
      </c>
      <c r="G463">
        <v>5275</v>
      </c>
      <c r="H463" s="1">
        <f t="shared" si="22"/>
        <v>41353</v>
      </c>
      <c r="I463">
        <f>IF(AND(MyRowHidden(ROW())=FALSE,MyRowHidden(ROW()-1)=TRUE),0,(E463-E462)*unitsOfDHp+I462)</f>
        <v>272170</v>
      </c>
      <c r="J463">
        <f>IF(AND(MyRowHidden(ROW())=FALSE,MyRowHidden(ROW()-1)=TRUE),0,(G463-G462)*unitsOfExo+J462)</f>
        <v>102750</v>
      </c>
      <c r="K463" s="9">
        <f t="shared" si="23"/>
        <v>-2750</v>
      </c>
      <c r="L463">
        <f t="shared" si="24"/>
        <v>374920</v>
      </c>
    </row>
    <row r="464" spans="1:12" x14ac:dyDescent="0.25">
      <c r="A464" s="1"/>
      <c r="C464" s="1"/>
      <c r="D464" s="1">
        <v>41354</v>
      </c>
      <c r="E464">
        <v>22229</v>
      </c>
      <c r="F464" s="1">
        <v>41354</v>
      </c>
      <c r="G464">
        <v>5425</v>
      </c>
      <c r="H464" s="1">
        <f t="shared" si="22"/>
        <v>41354</v>
      </c>
      <c r="I464">
        <f>IF(AND(MyRowHidden(ROW())=FALSE,MyRowHidden(ROW()-1)=TRUE),0,(E464-E463)*unitsOfDHp+I463)</f>
        <v>272290</v>
      </c>
      <c r="J464">
        <f>IF(AND(MyRowHidden(ROW())=FALSE,MyRowHidden(ROW()-1)=TRUE),0,(G464-G463)*unitsOfExo+J463)</f>
        <v>104250</v>
      </c>
      <c r="K464" s="9">
        <f t="shared" si="23"/>
        <v>-4250</v>
      </c>
      <c r="L464">
        <f t="shared" si="24"/>
        <v>376540</v>
      </c>
    </row>
    <row r="465" spans="1:12" x14ac:dyDescent="0.25">
      <c r="A465" s="1"/>
      <c r="C465" s="1"/>
      <c r="D465" s="1">
        <v>41355</v>
      </c>
      <c r="E465">
        <v>22185</v>
      </c>
      <c r="F465" s="1">
        <v>41355</v>
      </c>
      <c r="G465">
        <v>5075</v>
      </c>
      <c r="H465" s="1">
        <f t="shared" si="22"/>
        <v>41355</v>
      </c>
      <c r="I465">
        <f>IF(AND(MyRowHidden(ROW())=FALSE,MyRowHidden(ROW()-1)=TRUE),0,(E465-E464)*unitsOfDHp+I464)</f>
        <v>271850</v>
      </c>
      <c r="J465">
        <f>IF(AND(MyRowHidden(ROW())=FALSE,MyRowHidden(ROW()-1)=TRUE),0,(G465-G464)*unitsOfExo+J464)</f>
        <v>100750</v>
      </c>
      <c r="K465" s="9">
        <f t="shared" si="23"/>
        <v>-750</v>
      </c>
      <c r="L465">
        <f t="shared" si="24"/>
        <v>372600</v>
      </c>
    </row>
    <row r="466" spans="1:12" x14ac:dyDescent="0.25">
      <c r="A466" s="1"/>
      <c r="C466" s="1"/>
      <c r="D466" s="1">
        <v>41358</v>
      </c>
      <c r="E466">
        <v>22134</v>
      </c>
      <c r="F466" s="1">
        <v>41358</v>
      </c>
      <c r="G466">
        <v>5262.5</v>
      </c>
      <c r="H466" s="1">
        <f t="shared" si="22"/>
        <v>41358</v>
      </c>
      <c r="I466">
        <f>IF(AND(MyRowHidden(ROW())=FALSE,MyRowHidden(ROW()-1)=TRUE),0,(E466-E465)*unitsOfDHp+I465)</f>
        <v>271340</v>
      </c>
      <c r="J466">
        <f>IF(AND(MyRowHidden(ROW())=FALSE,MyRowHidden(ROW()-1)=TRUE),0,(G466-G465)*unitsOfExo+J465)</f>
        <v>102625</v>
      </c>
      <c r="K466" s="9">
        <f t="shared" si="23"/>
        <v>-2625</v>
      </c>
      <c r="L466">
        <f t="shared" si="24"/>
        <v>373965</v>
      </c>
    </row>
    <row r="467" spans="1:12" x14ac:dyDescent="0.25">
      <c r="A467" s="1"/>
      <c r="C467" s="1"/>
      <c r="D467" s="1">
        <v>41359</v>
      </c>
      <c r="E467">
        <v>22112</v>
      </c>
      <c r="F467" s="1">
        <v>41359</v>
      </c>
      <c r="G467">
        <v>5137.5</v>
      </c>
      <c r="H467" s="1">
        <f t="shared" si="22"/>
        <v>41359</v>
      </c>
      <c r="I467">
        <f>IF(AND(MyRowHidden(ROW())=FALSE,MyRowHidden(ROW()-1)=TRUE),0,(E467-E466)*unitsOfDHp+I466)</f>
        <v>271120</v>
      </c>
      <c r="J467">
        <f>IF(AND(MyRowHidden(ROW())=FALSE,MyRowHidden(ROW()-1)=TRUE),0,(G467-G466)*unitsOfExo+J466)</f>
        <v>101375</v>
      </c>
      <c r="K467" s="9">
        <f t="shared" si="23"/>
        <v>-1375</v>
      </c>
      <c r="L467">
        <f t="shared" si="24"/>
        <v>372495</v>
      </c>
    </row>
    <row r="468" spans="1:12" x14ac:dyDescent="0.25">
      <c r="A468" s="1"/>
      <c r="C468" s="1"/>
      <c r="D468" s="1">
        <v>41360</v>
      </c>
      <c r="E468">
        <v>21997</v>
      </c>
      <c r="F468" s="1">
        <v>41360</v>
      </c>
      <c r="G468">
        <v>5537.5</v>
      </c>
      <c r="H468" s="1">
        <f t="shared" si="22"/>
        <v>41360</v>
      </c>
      <c r="I468">
        <f>IF(AND(MyRowHidden(ROW())=FALSE,MyRowHidden(ROW()-1)=TRUE),0,(E468-E467)*unitsOfDHp+I467)</f>
        <v>269970</v>
      </c>
      <c r="J468">
        <f>IF(AND(MyRowHidden(ROW())=FALSE,MyRowHidden(ROW()-1)=TRUE),0,(G468-G467)*unitsOfExo+J467)</f>
        <v>105375</v>
      </c>
      <c r="K468" s="9">
        <f t="shared" si="23"/>
        <v>-5375</v>
      </c>
      <c r="L468">
        <f t="shared" si="24"/>
        <v>375345</v>
      </c>
    </row>
    <row r="469" spans="1:12" x14ac:dyDescent="0.25">
      <c r="A469" s="1"/>
      <c r="C469" s="1"/>
      <c r="D469" s="1">
        <v>41361</v>
      </c>
      <c r="E469">
        <v>23482</v>
      </c>
      <c r="F469" s="1">
        <v>41361</v>
      </c>
      <c r="G469">
        <v>3487.5</v>
      </c>
      <c r="H469" s="1">
        <f t="shared" si="22"/>
        <v>41361</v>
      </c>
      <c r="I469">
        <f>IF(AND(MyRowHidden(ROW())=FALSE,MyRowHidden(ROW()-1)=TRUE),0,(E469-E468)*unitsOfDHp+I468)</f>
        <v>284820</v>
      </c>
      <c r="J469">
        <f>IF(AND(MyRowHidden(ROW())=FALSE,MyRowHidden(ROW()-1)=TRUE),0,(G469-G468)*unitsOfExo+J468)</f>
        <v>84875</v>
      </c>
      <c r="K469" s="9">
        <f t="shared" si="23"/>
        <v>15125</v>
      </c>
      <c r="L469">
        <f t="shared" si="24"/>
        <v>369695</v>
      </c>
    </row>
    <row r="470" spans="1:12" x14ac:dyDescent="0.25">
      <c r="A470" s="1"/>
      <c r="C470" s="1"/>
      <c r="D470" s="1">
        <v>41362</v>
      </c>
      <c r="E470">
        <v>23225</v>
      </c>
      <c r="F470" s="1">
        <v>41362</v>
      </c>
      <c r="G470">
        <v>3487.5</v>
      </c>
      <c r="H470" s="1">
        <f t="shared" si="22"/>
        <v>41362</v>
      </c>
      <c r="I470">
        <f>IF(AND(MyRowHidden(ROW())=FALSE,MyRowHidden(ROW()-1)=TRUE),0,(E470-E469)*unitsOfDHp+I469)</f>
        <v>282250</v>
      </c>
      <c r="J470">
        <f>IF(AND(MyRowHidden(ROW())=FALSE,MyRowHidden(ROW()-1)=TRUE),0,(G470-G469)*unitsOfExo+J469)</f>
        <v>84875</v>
      </c>
      <c r="K470" s="9">
        <f t="shared" si="23"/>
        <v>15125</v>
      </c>
      <c r="L470">
        <f t="shared" si="24"/>
        <v>367125</v>
      </c>
    </row>
    <row r="471" spans="1:12" x14ac:dyDescent="0.25">
      <c r="A471" s="1"/>
      <c r="C471" s="1"/>
      <c r="D471" s="1">
        <v>41365</v>
      </c>
      <c r="E471">
        <v>22464</v>
      </c>
      <c r="F471" s="1">
        <v>41365</v>
      </c>
      <c r="G471">
        <v>1037.5</v>
      </c>
      <c r="H471" s="1">
        <f t="shared" si="22"/>
        <v>41365</v>
      </c>
      <c r="I471">
        <f>IF(AND(MyRowHidden(ROW())=FALSE,MyRowHidden(ROW()-1)=TRUE),0,(E471-E470)*unitsOfDHp+I470)</f>
        <v>274640</v>
      </c>
      <c r="J471">
        <f>IF(AND(MyRowHidden(ROW())=FALSE,MyRowHidden(ROW()-1)=TRUE),0,(G471-G470)*unitsOfExo+J470)</f>
        <v>60375</v>
      </c>
      <c r="K471" s="9">
        <f t="shared" si="23"/>
        <v>39625</v>
      </c>
      <c r="L471">
        <f t="shared" si="24"/>
        <v>335015</v>
      </c>
    </row>
    <row r="472" spans="1:12" x14ac:dyDescent="0.25">
      <c r="A472" s="1"/>
      <c r="C472" s="1"/>
      <c r="D472" s="1">
        <v>41366</v>
      </c>
      <c r="E472">
        <v>22170</v>
      </c>
      <c r="F472" s="1">
        <v>41366</v>
      </c>
      <c r="G472">
        <v>475</v>
      </c>
      <c r="H472" s="1">
        <f t="shared" si="22"/>
        <v>41366</v>
      </c>
      <c r="I472">
        <f>IF(AND(MyRowHidden(ROW())=FALSE,MyRowHidden(ROW()-1)=TRUE),0,(E472-E471)*unitsOfDHp+I471)</f>
        <v>271700</v>
      </c>
      <c r="J472">
        <f>IF(AND(MyRowHidden(ROW())=FALSE,MyRowHidden(ROW()-1)=TRUE),0,(G472-G471)*unitsOfExo+J471)</f>
        <v>54750</v>
      </c>
      <c r="K472" s="9">
        <f t="shared" si="23"/>
        <v>45250</v>
      </c>
      <c r="L472">
        <f t="shared" si="24"/>
        <v>326450</v>
      </c>
    </row>
    <row r="473" spans="1:12" x14ac:dyDescent="0.25">
      <c r="A473" s="1"/>
      <c r="C473" s="1"/>
      <c r="D473" s="1">
        <v>41367</v>
      </c>
      <c r="E473">
        <v>21992</v>
      </c>
      <c r="F473" s="1">
        <v>41367</v>
      </c>
      <c r="G473">
        <v>700</v>
      </c>
      <c r="H473" s="1">
        <f t="shared" si="22"/>
        <v>41367</v>
      </c>
      <c r="I473">
        <f>IF(AND(MyRowHidden(ROW())=FALSE,MyRowHidden(ROW()-1)=TRUE),0,(E473-E472)*unitsOfDHp+I472)</f>
        <v>269920</v>
      </c>
      <c r="J473">
        <f>IF(AND(MyRowHidden(ROW())=FALSE,MyRowHidden(ROW()-1)=TRUE),0,(G473-G472)*unitsOfExo+J472)</f>
        <v>57000</v>
      </c>
      <c r="K473" s="9">
        <f t="shared" si="23"/>
        <v>43000</v>
      </c>
      <c r="L473">
        <f t="shared" si="24"/>
        <v>326920</v>
      </c>
    </row>
    <row r="474" spans="1:12" x14ac:dyDescent="0.25">
      <c r="A474" s="1"/>
      <c r="C474" s="1"/>
      <c r="D474" s="1">
        <v>41368</v>
      </c>
      <c r="E474">
        <v>22090</v>
      </c>
      <c r="F474" s="1">
        <v>41368</v>
      </c>
      <c r="G474">
        <v>350</v>
      </c>
      <c r="H474" s="1">
        <f t="shared" si="22"/>
        <v>41368</v>
      </c>
      <c r="I474">
        <f>IF(AND(MyRowHidden(ROW())=FALSE,MyRowHidden(ROW()-1)=TRUE),0,(E474-E473)*unitsOfDHp+I473)</f>
        <v>270900</v>
      </c>
      <c r="J474">
        <f>IF(AND(MyRowHidden(ROW())=FALSE,MyRowHidden(ROW()-1)=TRUE),0,(G474-G473)*unitsOfExo+J473)</f>
        <v>53500</v>
      </c>
      <c r="K474" s="9">
        <f t="shared" si="23"/>
        <v>46500</v>
      </c>
      <c r="L474">
        <f t="shared" si="24"/>
        <v>324400</v>
      </c>
    </row>
    <row r="475" spans="1:12" x14ac:dyDescent="0.25">
      <c r="A475" s="1"/>
      <c r="C475" s="1"/>
      <c r="D475" s="1">
        <v>41369</v>
      </c>
      <c r="E475">
        <v>22176</v>
      </c>
      <c r="F475" s="1">
        <v>41369</v>
      </c>
      <c r="G475">
        <v>200</v>
      </c>
      <c r="H475" s="1">
        <f t="shared" si="22"/>
        <v>41369</v>
      </c>
      <c r="I475">
        <f>IF(AND(MyRowHidden(ROW())=FALSE,MyRowHidden(ROW()-1)=TRUE),0,(E475-E474)*unitsOfDHp+I474)</f>
        <v>271760</v>
      </c>
      <c r="J475">
        <f>IF(AND(MyRowHidden(ROW())=FALSE,MyRowHidden(ROW()-1)=TRUE),0,(G475-G474)*unitsOfExo+J474)</f>
        <v>52000</v>
      </c>
      <c r="K475" s="9">
        <f t="shared" si="23"/>
        <v>48000</v>
      </c>
      <c r="L475">
        <f t="shared" si="24"/>
        <v>323760</v>
      </c>
    </row>
    <row r="476" spans="1:12" x14ac:dyDescent="0.25">
      <c r="A476" s="1"/>
      <c r="C476" s="1"/>
      <c r="D476" s="1">
        <v>41372</v>
      </c>
      <c r="E476">
        <v>22074</v>
      </c>
      <c r="F476" s="1">
        <v>41372</v>
      </c>
      <c r="G476">
        <v>362.5</v>
      </c>
      <c r="H476" s="1">
        <f t="shared" si="22"/>
        <v>41372</v>
      </c>
      <c r="I476">
        <f>IF(AND(MyRowHidden(ROW())=FALSE,MyRowHidden(ROW()-1)=TRUE),0,(E476-E475)*unitsOfDHp+I475)</f>
        <v>270740</v>
      </c>
      <c r="J476">
        <f>IF(AND(MyRowHidden(ROW())=FALSE,MyRowHidden(ROW()-1)=TRUE),0,(G476-G475)*unitsOfExo+J475)</f>
        <v>53625</v>
      </c>
      <c r="K476" s="9">
        <f t="shared" si="23"/>
        <v>46375</v>
      </c>
      <c r="L476">
        <f t="shared" si="24"/>
        <v>324365</v>
      </c>
    </row>
    <row r="477" spans="1:12" x14ac:dyDescent="0.25">
      <c r="A477" s="1"/>
      <c r="C477" s="1"/>
      <c r="D477" s="1">
        <v>41373</v>
      </c>
      <c r="E477">
        <v>21947</v>
      </c>
      <c r="F477" s="1">
        <v>41373</v>
      </c>
      <c r="G477">
        <v>900</v>
      </c>
      <c r="H477" s="1">
        <f t="shared" si="22"/>
        <v>41373</v>
      </c>
      <c r="I477">
        <f>IF(AND(MyRowHidden(ROW())=FALSE,MyRowHidden(ROW()-1)=TRUE),0,(E477-E476)*unitsOfDHp+I476)</f>
        <v>269470</v>
      </c>
      <c r="J477">
        <f>IF(AND(MyRowHidden(ROW())=FALSE,MyRowHidden(ROW()-1)=TRUE),0,(G477-G476)*unitsOfExo+J476)</f>
        <v>59000</v>
      </c>
      <c r="K477" s="9">
        <f t="shared" si="23"/>
        <v>41000</v>
      </c>
      <c r="L477">
        <f t="shared" si="24"/>
        <v>328470</v>
      </c>
    </row>
    <row r="478" spans="1:12" x14ac:dyDescent="0.25">
      <c r="A478" s="1"/>
      <c r="C478" s="1"/>
      <c r="D478" s="1">
        <v>41374</v>
      </c>
      <c r="E478">
        <v>21910</v>
      </c>
      <c r="F478" s="1">
        <v>41374</v>
      </c>
      <c r="G478">
        <v>987.5</v>
      </c>
      <c r="H478" s="1">
        <f t="shared" si="22"/>
        <v>41374</v>
      </c>
      <c r="I478">
        <f>IF(AND(MyRowHidden(ROW())=FALSE,MyRowHidden(ROW()-1)=TRUE),0,(E478-E477)*unitsOfDHp+I477)</f>
        <v>269100</v>
      </c>
      <c r="J478">
        <f>IF(AND(MyRowHidden(ROW())=FALSE,MyRowHidden(ROW()-1)=TRUE),0,(G478-G477)*unitsOfExo+J477)</f>
        <v>59875</v>
      </c>
      <c r="K478" s="9">
        <f t="shared" si="23"/>
        <v>40125</v>
      </c>
      <c r="L478">
        <f t="shared" si="24"/>
        <v>328975</v>
      </c>
    </row>
    <row r="479" spans="1:12" x14ac:dyDescent="0.25">
      <c r="A479" s="1"/>
      <c r="C479" s="1"/>
      <c r="D479" s="1">
        <v>41375</v>
      </c>
      <c r="E479">
        <v>21761</v>
      </c>
      <c r="F479" s="1">
        <v>41375</v>
      </c>
      <c r="G479">
        <v>1387.5</v>
      </c>
      <c r="H479" s="1">
        <f t="shared" si="22"/>
        <v>41375</v>
      </c>
      <c r="I479">
        <f>IF(AND(MyRowHidden(ROW())=FALSE,MyRowHidden(ROW()-1)=TRUE),0,(E479-E478)*unitsOfDHp+I478)</f>
        <v>267610</v>
      </c>
      <c r="J479">
        <f>IF(AND(MyRowHidden(ROW())=FALSE,MyRowHidden(ROW()-1)=TRUE),0,(G479-G478)*unitsOfExo+J478)</f>
        <v>63875</v>
      </c>
      <c r="K479" s="9">
        <f t="shared" si="23"/>
        <v>36125</v>
      </c>
      <c r="L479">
        <f t="shared" si="24"/>
        <v>331485</v>
      </c>
    </row>
    <row r="480" spans="1:12" x14ac:dyDescent="0.25">
      <c r="A480" s="1"/>
      <c r="C480" s="1"/>
      <c r="D480" s="1">
        <v>41376</v>
      </c>
      <c r="E480">
        <v>21608</v>
      </c>
      <c r="F480" s="1">
        <v>41376</v>
      </c>
      <c r="G480">
        <v>1550</v>
      </c>
      <c r="H480" s="1">
        <f t="shared" si="22"/>
        <v>41376</v>
      </c>
      <c r="I480">
        <f>IF(AND(MyRowHidden(ROW())=FALSE,MyRowHidden(ROW()-1)=TRUE),0,(E480-E479)*unitsOfDHp+I479)</f>
        <v>266080</v>
      </c>
      <c r="J480">
        <f>IF(AND(MyRowHidden(ROW())=FALSE,MyRowHidden(ROW()-1)=TRUE),0,(G480-G479)*unitsOfExo+J479)</f>
        <v>65500</v>
      </c>
      <c r="K480" s="9">
        <f t="shared" si="23"/>
        <v>34500</v>
      </c>
      <c r="L480">
        <f t="shared" si="24"/>
        <v>331580</v>
      </c>
    </row>
    <row r="481" spans="1:12" x14ac:dyDescent="0.25">
      <c r="A481" s="1"/>
      <c r="C481" s="1"/>
      <c r="D481" s="1">
        <v>41379</v>
      </c>
      <c r="E481">
        <v>21487</v>
      </c>
      <c r="F481" s="1">
        <v>41379</v>
      </c>
      <c r="G481">
        <v>1175</v>
      </c>
      <c r="H481" s="1">
        <f t="shared" si="22"/>
        <v>41379</v>
      </c>
      <c r="I481">
        <f>IF(AND(MyRowHidden(ROW())=FALSE,MyRowHidden(ROW()-1)=TRUE),0,(E481-E480)*unitsOfDHp+I480)</f>
        <v>264870</v>
      </c>
      <c r="J481">
        <f>IF(AND(MyRowHidden(ROW())=FALSE,MyRowHidden(ROW()-1)=TRUE),0,(G481-G480)*unitsOfExo+J480)</f>
        <v>61750</v>
      </c>
      <c r="K481" s="9">
        <f t="shared" si="23"/>
        <v>38250</v>
      </c>
      <c r="L481">
        <f t="shared" si="24"/>
        <v>326620</v>
      </c>
    </row>
    <row r="482" spans="1:12" x14ac:dyDescent="0.25">
      <c r="A482" s="1"/>
      <c r="C482" s="1"/>
      <c r="D482" s="1">
        <v>41380</v>
      </c>
      <c r="E482">
        <v>21878</v>
      </c>
      <c r="F482" s="1">
        <v>41380</v>
      </c>
      <c r="G482">
        <v>1737.5</v>
      </c>
      <c r="H482" s="1">
        <f t="shared" si="22"/>
        <v>41380</v>
      </c>
      <c r="I482">
        <f>IF(AND(MyRowHidden(ROW())=FALSE,MyRowHidden(ROW()-1)=TRUE),0,(E482-E481)*unitsOfDHp+I481)</f>
        <v>268780</v>
      </c>
      <c r="J482">
        <f>IF(AND(MyRowHidden(ROW())=FALSE,MyRowHidden(ROW()-1)=TRUE),0,(G482-G481)*unitsOfExo+J481)</f>
        <v>67375</v>
      </c>
      <c r="K482" s="9">
        <f t="shared" si="23"/>
        <v>32625</v>
      </c>
      <c r="L482">
        <f t="shared" si="24"/>
        <v>336155</v>
      </c>
    </row>
    <row r="483" spans="1:12" x14ac:dyDescent="0.25">
      <c r="A483" s="1"/>
      <c r="C483" s="1"/>
      <c r="D483" s="1">
        <v>41381</v>
      </c>
      <c r="E483">
        <v>21803</v>
      </c>
      <c r="F483" s="1">
        <v>41381</v>
      </c>
      <c r="G483">
        <v>1700</v>
      </c>
      <c r="H483" s="1">
        <f t="shared" si="22"/>
        <v>41381</v>
      </c>
      <c r="I483">
        <f>IF(AND(MyRowHidden(ROW())=FALSE,MyRowHidden(ROW()-1)=TRUE),0,(E483-E482)*unitsOfDHp+I482)</f>
        <v>268030</v>
      </c>
      <c r="J483">
        <f>IF(AND(MyRowHidden(ROW())=FALSE,MyRowHidden(ROW()-1)=TRUE),0,(G483-G482)*unitsOfExo+J482)</f>
        <v>67000</v>
      </c>
      <c r="K483" s="9">
        <f t="shared" si="23"/>
        <v>33000</v>
      </c>
      <c r="L483">
        <f t="shared" si="24"/>
        <v>335030</v>
      </c>
    </row>
    <row r="484" spans="1:12" x14ac:dyDescent="0.25">
      <c r="A484" s="1"/>
      <c r="C484" s="1"/>
      <c r="D484" s="1">
        <v>41382</v>
      </c>
      <c r="E484">
        <v>21245</v>
      </c>
      <c r="F484" s="1">
        <v>41382</v>
      </c>
      <c r="G484">
        <v>1025</v>
      </c>
      <c r="H484" s="1">
        <f t="shared" si="22"/>
        <v>41382</v>
      </c>
      <c r="I484">
        <f>IF(AND(MyRowHidden(ROW())=FALSE,MyRowHidden(ROW()-1)=TRUE),0,(E484-E483)*unitsOfDHp+I483)</f>
        <v>262450</v>
      </c>
      <c r="J484">
        <f>IF(AND(MyRowHidden(ROW())=FALSE,MyRowHidden(ROW()-1)=TRUE),0,(G484-G483)*unitsOfExo+J483)</f>
        <v>60250</v>
      </c>
      <c r="K484" s="9">
        <f t="shared" si="23"/>
        <v>39750</v>
      </c>
      <c r="L484">
        <f t="shared" si="24"/>
        <v>322700</v>
      </c>
    </row>
    <row r="485" spans="1:12" x14ac:dyDescent="0.25">
      <c r="A485" s="1"/>
      <c r="C485" s="1"/>
      <c r="D485" s="1">
        <v>41383</v>
      </c>
      <c r="E485">
        <v>21400</v>
      </c>
      <c r="F485" s="1">
        <v>41383</v>
      </c>
      <c r="G485">
        <v>1237.5</v>
      </c>
      <c r="H485" s="1">
        <f t="shared" si="22"/>
        <v>41383</v>
      </c>
      <c r="I485">
        <f>IF(AND(MyRowHidden(ROW())=FALSE,MyRowHidden(ROW()-1)=TRUE),0,(E485-E484)*unitsOfDHp+I484)</f>
        <v>264000</v>
      </c>
      <c r="J485">
        <f>IF(AND(MyRowHidden(ROW())=FALSE,MyRowHidden(ROW()-1)=TRUE),0,(G485-G484)*unitsOfExo+J484)</f>
        <v>62375</v>
      </c>
      <c r="K485" s="9">
        <f t="shared" si="23"/>
        <v>37625</v>
      </c>
      <c r="L485">
        <f t="shared" si="24"/>
        <v>326375</v>
      </c>
    </row>
    <row r="486" spans="1:12" x14ac:dyDescent="0.25">
      <c r="A486" s="1"/>
      <c r="C486" s="1"/>
      <c r="D486" s="1">
        <v>41386</v>
      </c>
      <c r="E486">
        <v>21167</v>
      </c>
      <c r="F486" s="1">
        <v>41386</v>
      </c>
      <c r="G486">
        <v>987.5</v>
      </c>
      <c r="H486" s="1">
        <f t="shared" si="22"/>
        <v>41386</v>
      </c>
      <c r="I486">
        <f>IF(AND(MyRowHidden(ROW())=FALSE,MyRowHidden(ROW()-1)=TRUE),0,(E486-E485)*unitsOfDHp+I485)</f>
        <v>261670</v>
      </c>
      <c r="J486">
        <f>IF(AND(MyRowHidden(ROW())=FALSE,MyRowHidden(ROW()-1)=TRUE),0,(G486-G485)*unitsOfExo+J485)</f>
        <v>59875</v>
      </c>
      <c r="K486" s="9">
        <f t="shared" si="23"/>
        <v>40125</v>
      </c>
      <c r="L486">
        <f t="shared" si="24"/>
        <v>321545</v>
      </c>
    </row>
    <row r="487" spans="1:12" x14ac:dyDescent="0.25">
      <c r="A487" s="1"/>
      <c r="C487" s="1"/>
      <c r="D487" s="1">
        <v>41387</v>
      </c>
      <c r="E487">
        <v>21030</v>
      </c>
      <c r="F487" s="1">
        <v>41387</v>
      </c>
      <c r="G487">
        <v>750</v>
      </c>
      <c r="H487" s="1">
        <f t="shared" si="22"/>
        <v>41387</v>
      </c>
      <c r="I487">
        <f>IF(AND(MyRowHidden(ROW())=FALSE,MyRowHidden(ROW()-1)=TRUE),0,(E487-E486)*unitsOfDHp+I486)</f>
        <v>260300</v>
      </c>
      <c r="J487">
        <f>IF(AND(MyRowHidden(ROW())=FALSE,MyRowHidden(ROW()-1)=TRUE),0,(G487-G486)*unitsOfExo+J486)</f>
        <v>57500</v>
      </c>
      <c r="K487" s="9">
        <f t="shared" si="23"/>
        <v>42500</v>
      </c>
      <c r="L487">
        <f t="shared" si="24"/>
        <v>317800</v>
      </c>
    </row>
    <row r="488" spans="1:12" x14ac:dyDescent="0.25">
      <c r="A488" s="1"/>
      <c r="C488" s="1"/>
      <c r="D488" s="1">
        <v>41388</v>
      </c>
      <c r="E488">
        <v>20914</v>
      </c>
      <c r="F488" s="1">
        <v>41388</v>
      </c>
      <c r="G488">
        <v>612.5</v>
      </c>
      <c r="H488" s="1">
        <f t="shared" si="22"/>
        <v>41388</v>
      </c>
      <c r="I488">
        <f>IF(AND(MyRowHidden(ROW())=FALSE,MyRowHidden(ROW()-1)=TRUE),0,(E488-E487)*unitsOfDHp+I487)</f>
        <v>259140</v>
      </c>
      <c r="J488">
        <f>IF(AND(MyRowHidden(ROW())=FALSE,MyRowHidden(ROW()-1)=TRUE),0,(G488-G487)*unitsOfExo+J487)</f>
        <v>56125</v>
      </c>
      <c r="K488" s="9">
        <f t="shared" si="23"/>
        <v>43875</v>
      </c>
      <c r="L488">
        <f t="shared" si="24"/>
        <v>315265</v>
      </c>
    </row>
    <row r="489" spans="1:12" x14ac:dyDescent="0.25">
      <c r="A489" s="1"/>
      <c r="C489" s="1"/>
      <c r="D489" s="1">
        <v>41389</v>
      </c>
      <c r="E489">
        <v>21266</v>
      </c>
      <c r="F489" s="1">
        <v>41389</v>
      </c>
      <c r="G489">
        <v>912.5</v>
      </c>
      <c r="H489" s="1">
        <f t="shared" si="22"/>
        <v>41389</v>
      </c>
      <c r="I489">
        <f>IF(AND(MyRowHidden(ROW())=FALSE,MyRowHidden(ROW()-1)=TRUE),0,(E489-E488)*unitsOfDHp+I488)</f>
        <v>262660</v>
      </c>
      <c r="J489">
        <f>IF(AND(MyRowHidden(ROW())=FALSE,MyRowHidden(ROW()-1)=TRUE),0,(G489-G488)*unitsOfExo+J488)</f>
        <v>59125</v>
      </c>
      <c r="K489" s="9">
        <f t="shared" si="23"/>
        <v>40875</v>
      </c>
      <c r="L489">
        <f t="shared" si="24"/>
        <v>321785</v>
      </c>
    </row>
    <row r="490" spans="1:12" x14ac:dyDescent="0.25">
      <c r="A490" s="1"/>
      <c r="C490" s="1"/>
      <c r="D490" s="1">
        <v>41390</v>
      </c>
      <c r="E490">
        <v>21168</v>
      </c>
      <c r="F490" s="1">
        <v>41390</v>
      </c>
      <c r="G490">
        <v>937.5</v>
      </c>
      <c r="H490" s="1">
        <f t="shared" si="22"/>
        <v>41390</v>
      </c>
      <c r="I490">
        <f>IF(AND(MyRowHidden(ROW())=FALSE,MyRowHidden(ROW()-1)=TRUE),0,(E490-E489)*unitsOfDHp+I489)</f>
        <v>261680</v>
      </c>
      <c r="J490">
        <f>IF(AND(MyRowHidden(ROW())=FALSE,MyRowHidden(ROW()-1)=TRUE),0,(G490-G489)*unitsOfExo+J489)</f>
        <v>59375</v>
      </c>
      <c r="K490" s="9">
        <f t="shared" si="23"/>
        <v>40625</v>
      </c>
      <c r="L490">
        <f t="shared" si="24"/>
        <v>321055</v>
      </c>
    </row>
    <row r="491" spans="1:12" x14ac:dyDescent="0.25">
      <c r="A491" s="1"/>
      <c r="C491" s="1"/>
      <c r="D491" s="1">
        <v>41393</v>
      </c>
      <c r="E491">
        <v>21444</v>
      </c>
      <c r="F491" s="1">
        <v>41393</v>
      </c>
      <c r="G491">
        <v>2787.5</v>
      </c>
      <c r="H491" s="1">
        <f t="shared" si="22"/>
        <v>41393</v>
      </c>
      <c r="I491">
        <f>IF(AND(MyRowHidden(ROW())=FALSE,MyRowHidden(ROW()-1)=TRUE),0,(E491-E490)*unitsOfDHp+I490)</f>
        <v>264440</v>
      </c>
      <c r="J491">
        <f>IF(AND(MyRowHidden(ROW())=FALSE,MyRowHidden(ROW()-1)=TRUE),0,(G491-G490)*unitsOfExo+J490)</f>
        <v>77875</v>
      </c>
      <c r="K491" s="9">
        <f t="shared" si="23"/>
        <v>22125</v>
      </c>
      <c r="L491">
        <f t="shared" si="24"/>
        <v>342315</v>
      </c>
    </row>
    <row r="492" spans="1:12" x14ac:dyDescent="0.25">
      <c r="A492" s="1"/>
      <c r="C492" s="1"/>
      <c r="D492" s="1">
        <v>41394</v>
      </c>
      <c r="E492">
        <v>21274</v>
      </c>
      <c r="F492" s="1">
        <v>41394</v>
      </c>
      <c r="G492">
        <v>3012.5</v>
      </c>
      <c r="H492" s="1">
        <f t="shared" si="22"/>
        <v>41394</v>
      </c>
      <c r="I492">
        <f>IF(AND(MyRowHidden(ROW())=FALSE,MyRowHidden(ROW()-1)=TRUE),0,(E492-E491)*unitsOfDHp+I491)</f>
        <v>262740</v>
      </c>
      <c r="J492">
        <f>IF(AND(MyRowHidden(ROW())=FALSE,MyRowHidden(ROW()-1)=TRUE),0,(G492-G491)*unitsOfExo+J491)</f>
        <v>80125</v>
      </c>
      <c r="K492" s="9">
        <f t="shared" si="23"/>
        <v>19875</v>
      </c>
      <c r="L492">
        <f t="shared" si="24"/>
        <v>342865</v>
      </c>
    </row>
    <row r="493" spans="1:12" x14ac:dyDescent="0.25">
      <c r="A493" s="1"/>
      <c r="C493" s="1"/>
      <c r="D493" s="1">
        <v>41395</v>
      </c>
      <c r="E493">
        <v>21319</v>
      </c>
      <c r="F493" s="1">
        <v>41395</v>
      </c>
      <c r="G493">
        <v>2925</v>
      </c>
      <c r="H493" s="1">
        <f t="shared" si="22"/>
        <v>41395</v>
      </c>
      <c r="I493">
        <f>IF(AND(MyRowHidden(ROW())=FALSE,MyRowHidden(ROW()-1)=TRUE),0,(E493-E492)*unitsOfDHp+I492)</f>
        <v>263190</v>
      </c>
      <c r="J493">
        <f>IF(AND(MyRowHidden(ROW())=FALSE,MyRowHidden(ROW()-1)=TRUE),0,(G493-G492)*unitsOfExo+J492)</f>
        <v>79250</v>
      </c>
      <c r="K493" s="9">
        <f t="shared" si="23"/>
        <v>20750</v>
      </c>
      <c r="L493">
        <f t="shared" si="24"/>
        <v>342440</v>
      </c>
    </row>
    <row r="494" spans="1:12" x14ac:dyDescent="0.25">
      <c r="A494" s="1"/>
      <c r="C494" s="1"/>
      <c r="D494" s="1">
        <v>41396</v>
      </c>
      <c r="E494">
        <v>21102</v>
      </c>
      <c r="F494" s="1">
        <v>41396</v>
      </c>
      <c r="G494">
        <v>3600</v>
      </c>
      <c r="H494" s="1">
        <f t="shared" si="22"/>
        <v>41396</v>
      </c>
      <c r="I494">
        <f>IF(AND(MyRowHidden(ROW())=FALSE,MyRowHidden(ROW()-1)=TRUE),0,(E494-E493)*unitsOfDHp+I493)</f>
        <v>261020</v>
      </c>
      <c r="J494">
        <f>IF(AND(MyRowHidden(ROW())=FALSE,MyRowHidden(ROW()-1)=TRUE),0,(G494-G493)*unitsOfExo+J493)</f>
        <v>86000</v>
      </c>
      <c r="K494" s="9">
        <f t="shared" si="23"/>
        <v>14000</v>
      </c>
      <c r="L494">
        <f t="shared" si="24"/>
        <v>347020</v>
      </c>
    </row>
    <row r="495" spans="1:12" x14ac:dyDescent="0.25">
      <c r="A495" s="1"/>
      <c r="C495" s="1"/>
      <c r="D495" s="1">
        <v>41397</v>
      </c>
      <c r="E495">
        <v>21109</v>
      </c>
      <c r="F495" s="1">
        <v>41397</v>
      </c>
      <c r="G495">
        <v>3687.5</v>
      </c>
      <c r="H495" s="1">
        <f t="shared" si="22"/>
        <v>41397</v>
      </c>
      <c r="I495">
        <f>IF(AND(MyRowHidden(ROW())=FALSE,MyRowHidden(ROW()-1)=TRUE),0,(E495-E494)*unitsOfDHp+I494)</f>
        <v>261090</v>
      </c>
      <c r="J495">
        <f>IF(AND(MyRowHidden(ROW())=FALSE,MyRowHidden(ROW()-1)=TRUE),0,(G495-G494)*unitsOfExo+J494)</f>
        <v>86875</v>
      </c>
      <c r="K495" s="9">
        <f t="shared" si="23"/>
        <v>13125</v>
      </c>
      <c r="L495">
        <f t="shared" si="24"/>
        <v>347965</v>
      </c>
    </row>
    <row r="496" spans="1:12" x14ac:dyDescent="0.25">
      <c r="A496" s="1"/>
      <c r="C496" s="1"/>
      <c r="D496" s="1">
        <v>41400</v>
      </c>
      <c r="E496">
        <v>20819</v>
      </c>
      <c r="F496" s="1">
        <v>41400</v>
      </c>
      <c r="G496">
        <v>2725</v>
      </c>
      <c r="H496" s="1">
        <f t="shared" si="22"/>
        <v>41400</v>
      </c>
      <c r="I496">
        <f>IF(AND(MyRowHidden(ROW())=FALSE,MyRowHidden(ROW()-1)=TRUE),0,(E496-E495)*unitsOfDHp+I495)</f>
        <v>258190</v>
      </c>
      <c r="J496">
        <f>IF(AND(MyRowHidden(ROW())=FALSE,MyRowHidden(ROW()-1)=TRUE),0,(G496-G495)*unitsOfExo+J495)</f>
        <v>77250</v>
      </c>
      <c r="K496" s="9">
        <f t="shared" si="23"/>
        <v>22750</v>
      </c>
      <c r="L496">
        <f t="shared" si="24"/>
        <v>335440</v>
      </c>
    </row>
    <row r="497" spans="1:12" x14ac:dyDescent="0.25">
      <c r="A497" s="1"/>
      <c r="C497" s="1"/>
      <c r="D497" s="1">
        <v>41401</v>
      </c>
      <c r="E497">
        <v>20940</v>
      </c>
      <c r="F497" s="1">
        <v>41401</v>
      </c>
      <c r="G497">
        <v>2725</v>
      </c>
      <c r="H497" s="1">
        <f t="shared" si="22"/>
        <v>41401</v>
      </c>
      <c r="I497">
        <f>IF(AND(MyRowHidden(ROW())=FALSE,MyRowHidden(ROW()-1)=TRUE),0,(E497-E496)*unitsOfDHp+I496)</f>
        <v>259400</v>
      </c>
      <c r="J497">
        <f>IF(AND(MyRowHidden(ROW())=FALSE,MyRowHidden(ROW()-1)=TRUE),0,(G497-G496)*unitsOfExo+J496)</f>
        <v>77250</v>
      </c>
      <c r="K497" s="9">
        <f t="shared" si="23"/>
        <v>22750</v>
      </c>
      <c r="L497">
        <f t="shared" si="24"/>
        <v>336650</v>
      </c>
    </row>
    <row r="498" spans="1:12" x14ac:dyDescent="0.25">
      <c r="A498" s="1"/>
      <c r="C498" s="1"/>
      <c r="D498" s="1">
        <v>41402</v>
      </c>
      <c r="E498">
        <v>20477</v>
      </c>
      <c r="F498" s="1">
        <v>41402</v>
      </c>
      <c r="G498">
        <v>2400</v>
      </c>
      <c r="H498" s="1">
        <f t="shared" si="22"/>
        <v>41402</v>
      </c>
      <c r="I498">
        <f>IF(AND(MyRowHidden(ROW())=FALSE,MyRowHidden(ROW()-1)=TRUE),0,(E498-E497)*unitsOfDHp+I497)</f>
        <v>254770</v>
      </c>
      <c r="J498">
        <f>IF(AND(MyRowHidden(ROW())=FALSE,MyRowHidden(ROW()-1)=TRUE),0,(G498-G497)*unitsOfExo+J497)</f>
        <v>74000</v>
      </c>
      <c r="K498" s="9">
        <f t="shared" si="23"/>
        <v>26000</v>
      </c>
      <c r="L498">
        <f t="shared" si="24"/>
        <v>328770</v>
      </c>
    </row>
    <row r="499" spans="1:12" x14ac:dyDescent="0.25">
      <c r="A499" s="1"/>
      <c r="C499" s="1"/>
      <c r="D499" s="1">
        <v>41403</v>
      </c>
      <c r="E499">
        <v>20769</v>
      </c>
      <c r="F499" s="1">
        <v>41403</v>
      </c>
      <c r="G499">
        <v>3625</v>
      </c>
      <c r="H499" s="1">
        <f t="shared" si="22"/>
        <v>41403</v>
      </c>
      <c r="I499">
        <f>IF(AND(MyRowHidden(ROW())=FALSE,MyRowHidden(ROW()-1)=TRUE),0,(E499-E498)*unitsOfDHp+I498)</f>
        <v>257690</v>
      </c>
      <c r="J499">
        <f>IF(AND(MyRowHidden(ROW())=FALSE,MyRowHidden(ROW()-1)=TRUE),0,(G499-G498)*unitsOfExo+J498)</f>
        <v>86250</v>
      </c>
      <c r="K499" s="9">
        <f t="shared" si="23"/>
        <v>13750</v>
      </c>
      <c r="L499">
        <f t="shared" si="24"/>
        <v>343940</v>
      </c>
    </row>
    <row r="500" spans="1:12" x14ac:dyDescent="0.25">
      <c r="A500" s="1"/>
      <c r="C500" s="1"/>
      <c r="D500" s="1">
        <v>41404</v>
      </c>
      <c r="E500">
        <v>21094</v>
      </c>
      <c r="F500" s="1">
        <v>41404</v>
      </c>
      <c r="G500">
        <v>3225</v>
      </c>
      <c r="H500" s="1">
        <f t="shared" si="22"/>
        <v>41404</v>
      </c>
      <c r="I500">
        <f>IF(AND(MyRowHidden(ROW())=FALSE,MyRowHidden(ROW()-1)=TRUE),0,(E500-E499)*unitsOfDHp+I499)</f>
        <v>260940</v>
      </c>
      <c r="J500">
        <f>IF(AND(MyRowHidden(ROW())=FALSE,MyRowHidden(ROW()-1)=TRUE),0,(G500-G499)*unitsOfExo+J499)</f>
        <v>82250</v>
      </c>
      <c r="K500" s="9">
        <f t="shared" si="23"/>
        <v>17750</v>
      </c>
      <c r="L500">
        <f t="shared" si="24"/>
        <v>343190</v>
      </c>
    </row>
    <row r="501" spans="1:12" x14ac:dyDescent="0.25">
      <c r="A501" s="1"/>
      <c r="C501" s="1"/>
      <c r="D501" s="1">
        <v>41407</v>
      </c>
      <c r="E501">
        <v>20109</v>
      </c>
      <c r="F501" s="1">
        <v>41407</v>
      </c>
      <c r="G501">
        <v>4075</v>
      </c>
      <c r="H501" s="1">
        <f t="shared" si="22"/>
        <v>41407</v>
      </c>
      <c r="I501">
        <f>IF(AND(MyRowHidden(ROW())=FALSE,MyRowHidden(ROW()-1)=TRUE),0,(E501-E500)*unitsOfDHp+I500)</f>
        <v>251090</v>
      </c>
      <c r="J501">
        <f>IF(AND(MyRowHidden(ROW())=FALSE,MyRowHidden(ROW()-1)=TRUE),0,(G501-G500)*unitsOfExo+J500)</f>
        <v>90750</v>
      </c>
      <c r="K501" s="9">
        <f t="shared" si="23"/>
        <v>9250</v>
      </c>
      <c r="L501">
        <f t="shared" si="24"/>
        <v>341840</v>
      </c>
    </row>
    <row r="502" spans="1:12" x14ac:dyDescent="0.25">
      <c r="A502" s="1"/>
      <c r="C502" s="1"/>
      <c r="D502" s="1">
        <v>41408</v>
      </c>
      <c r="E502">
        <v>20323</v>
      </c>
      <c r="F502" s="1">
        <v>41408</v>
      </c>
      <c r="G502">
        <v>3850</v>
      </c>
      <c r="H502" s="1">
        <f t="shared" si="22"/>
        <v>41408</v>
      </c>
      <c r="I502">
        <f>IF(AND(MyRowHidden(ROW())=FALSE,MyRowHidden(ROW()-1)=TRUE),0,(E502-E501)*unitsOfDHp+I501)</f>
        <v>253230</v>
      </c>
      <c r="J502">
        <f>IF(AND(MyRowHidden(ROW())=FALSE,MyRowHidden(ROW()-1)=TRUE),0,(G502-G501)*unitsOfExo+J501)</f>
        <v>88500</v>
      </c>
      <c r="K502" s="9">
        <f t="shared" si="23"/>
        <v>11500</v>
      </c>
      <c r="L502">
        <f t="shared" si="24"/>
        <v>341730</v>
      </c>
    </row>
    <row r="503" spans="1:12" x14ac:dyDescent="0.25">
      <c r="A503" s="1"/>
      <c r="C503" s="1"/>
      <c r="D503" s="1">
        <v>41409</v>
      </c>
      <c r="E503">
        <v>20483</v>
      </c>
      <c r="F503" s="1">
        <v>41409</v>
      </c>
      <c r="G503">
        <v>3762.5</v>
      </c>
      <c r="H503" s="1">
        <f t="shared" si="22"/>
        <v>41409</v>
      </c>
      <c r="I503">
        <f>IF(AND(MyRowHidden(ROW())=FALSE,MyRowHidden(ROW()-1)=TRUE),0,(E503-E502)*unitsOfDHp+I502)</f>
        <v>254830</v>
      </c>
      <c r="J503">
        <f>IF(AND(MyRowHidden(ROW())=FALSE,MyRowHidden(ROW()-1)=TRUE),0,(G503-G502)*unitsOfExo+J502)</f>
        <v>87625</v>
      </c>
      <c r="K503" s="9">
        <f t="shared" si="23"/>
        <v>12375</v>
      </c>
      <c r="L503">
        <f t="shared" si="24"/>
        <v>342455</v>
      </c>
    </row>
    <row r="504" spans="1:12" x14ac:dyDescent="0.25">
      <c r="A504" s="1"/>
      <c r="C504" s="1"/>
      <c r="D504" s="1">
        <v>41410</v>
      </c>
      <c r="E504">
        <v>21044</v>
      </c>
      <c r="F504" s="1">
        <v>41410</v>
      </c>
      <c r="G504">
        <v>3412.5</v>
      </c>
      <c r="H504" s="1">
        <f t="shared" si="22"/>
        <v>41410</v>
      </c>
      <c r="I504">
        <f>IF(AND(MyRowHidden(ROW())=FALSE,MyRowHidden(ROW()-1)=TRUE),0,(E504-E503)*unitsOfDHp+I503)</f>
        <v>260440</v>
      </c>
      <c r="J504">
        <f>IF(AND(MyRowHidden(ROW())=FALSE,MyRowHidden(ROW()-1)=TRUE),0,(G504-G503)*unitsOfExo+J503)</f>
        <v>84125</v>
      </c>
      <c r="K504" s="9">
        <f t="shared" si="23"/>
        <v>15875</v>
      </c>
      <c r="L504">
        <f t="shared" si="24"/>
        <v>344565</v>
      </c>
    </row>
    <row r="505" spans="1:12" x14ac:dyDescent="0.25">
      <c r="A505" s="1"/>
      <c r="C505" s="1"/>
      <c r="D505" s="1">
        <v>41411</v>
      </c>
      <c r="E505">
        <v>20504</v>
      </c>
      <c r="F505" s="1">
        <v>41411</v>
      </c>
      <c r="G505">
        <v>3912.5</v>
      </c>
      <c r="H505" s="1">
        <f t="shared" si="22"/>
        <v>41411</v>
      </c>
      <c r="I505">
        <f>IF(AND(MyRowHidden(ROW())=FALSE,MyRowHidden(ROW()-1)=TRUE),0,(E505-E504)*unitsOfDHp+I504)</f>
        <v>255040</v>
      </c>
      <c r="J505">
        <f>IF(AND(MyRowHidden(ROW())=FALSE,MyRowHidden(ROW()-1)=TRUE),0,(G505-G504)*unitsOfExo+J504)</f>
        <v>89125</v>
      </c>
      <c r="K505" s="9">
        <f t="shared" si="23"/>
        <v>10875</v>
      </c>
      <c r="L505">
        <f t="shared" si="24"/>
        <v>344165</v>
      </c>
    </row>
    <row r="506" spans="1:12" x14ac:dyDescent="0.25">
      <c r="A506" s="1"/>
      <c r="C506" s="1"/>
      <c r="D506" s="1">
        <v>41414</v>
      </c>
      <c r="E506">
        <v>20696</v>
      </c>
      <c r="F506" s="1">
        <v>41414</v>
      </c>
      <c r="G506">
        <v>3687.5</v>
      </c>
      <c r="H506" s="1">
        <f t="shared" si="22"/>
        <v>41414</v>
      </c>
      <c r="I506">
        <f>IF(AND(MyRowHidden(ROW())=FALSE,MyRowHidden(ROW()-1)=TRUE),0,(E506-E505)*unitsOfDHp+I505)</f>
        <v>256960</v>
      </c>
      <c r="J506">
        <f>IF(AND(MyRowHidden(ROW())=FALSE,MyRowHidden(ROW()-1)=TRUE),0,(G506-G505)*unitsOfExo+J505)</f>
        <v>86875</v>
      </c>
      <c r="K506" s="9">
        <f t="shared" si="23"/>
        <v>13125</v>
      </c>
      <c r="L506">
        <f t="shared" si="24"/>
        <v>343835</v>
      </c>
    </row>
    <row r="507" spans="1:12" x14ac:dyDescent="0.25">
      <c r="A507" s="1"/>
      <c r="C507" s="1"/>
      <c r="D507" s="1">
        <v>41415</v>
      </c>
      <c r="E507">
        <v>21407</v>
      </c>
      <c r="F507" s="1">
        <v>41415</v>
      </c>
      <c r="G507">
        <v>3137.5</v>
      </c>
      <c r="H507" s="1">
        <f t="shared" si="22"/>
        <v>41415</v>
      </c>
      <c r="I507">
        <f>IF(AND(MyRowHidden(ROW())=FALSE,MyRowHidden(ROW()-1)=TRUE),0,(E507-E506)*unitsOfDHp+I506)</f>
        <v>264070</v>
      </c>
      <c r="J507">
        <f>IF(AND(MyRowHidden(ROW())=FALSE,MyRowHidden(ROW()-1)=TRUE),0,(G507-G506)*unitsOfExo+J506)</f>
        <v>81375</v>
      </c>
      <c r="K507" s="9">
        <f t="shared" si="23"/>
        <v>18625</v>
      </c>
      <c r="L507">
        <f t="shared" si="24"/>
        <v>345445</v>
      </c>
    </row>
    <row r="508" spans="1:12" x14ac:dyDescent="0.25">
      <c r="A508" s="1"/>
      <c r="C508" s="1"/>
      <c r="D508" s="1">
        <v>41416</v>
      </c>
      <c r="E508">
        <v>21107</v>
      </c>
      <c r="F508" s="1">
        <v>41416</v>
      </c>
      <c r="G508">
        <v>4100</v>
      </c>
      <c r="H508" s="1">
        <f t="shared" si="22"/>
        <v>41416</v>
      </c>
      <c r="I508">
        <f>IF(AND(MyRowHidden(ROW())=FALSE,MyRowHidden(ROW()-1)=TRUE),0,(E508-E507)*unitsOfDHp+I507)</f>
        <v>261070</v>
      </c>
      <c r="J508">
        <f>IF(AND(MyRowHidden(ROW())=FALSE,MyRowHidden(ROW()-1)=TRUE),0,(G508-G507)*unitsOfExo+J507)</f>
        <v>91000</v>
      </c>
      <c r="K508" s="9">
        <f t="shared" si="23"/>
        <v>9000</v>
      </c>
      <c r="L508">
        <f t="shared" si="24"/>
        <v>352070</v>
      </c>
    </row>
    <row r="509" spans="1:12" x14ac:dyDescent="0.25">
      <c r="A509" s="1"/>
      <c r="C509" s="1"/>
      <c r="D509" s="1">
        <v>41417</v>
      </c>
      <c r="E509">
        <v>20830</v>
      </c>
      <c r="F509" s="1">
        <v>41417</v>
      </c>
      <c r="G509">
        <v>4425</v>
      </c>
      <c r="H509" s="1">
        <f t="shared" si="22"/>
        <v>41417</v>
      </c>
      <c r="I509">
        <f>IF(AND(MyRowHidden(ROW())=FALSE,MyRowHidden(ROW()-1)=TRUE),0,(E509-E508)*unitsOfDHp+I508)</f>
        <v>258300</v>
      </c>
      <c r="J509">
        <f>IF(AND(MyRowHidden(ROW())=FALSE,MyRowHidden(ROW()-1)=TRUE),0,(G509-G508)*unitsOfExo+J508)</f>
        <v>94250</v>
      </c>
      <c r="K509" s="9">
        <f t="shared" si="23"/>
        <v>5750</v>
      </c>
      <c r="L509">
        <f t="shared" si="24"/>
        <v>352550</v>
      </c>
    </row>
    <row r="510" spans="1:12" x14ac:dyDescent="0.25">
      <c r="A510" s="1"/>
      <c r="C510" s="1"/>
      <c r="D510" s="1">
        <v>41418</v>
      </c>
      <c r="E510">
        <v>20966</v>
      </c>
      <c r="F510" s="1">
        <v>41418</v>
      </c>
      <c r="G510">
        <v>4262.5</v>
      </c>
      <c r="H510" s="1">
        <f t="shared" si="22"/>
        <v>41418</v>
      </c>
      <c r="I510">
        <f>IF(AND(MyRowHidden(ROW())=FALSE,MyRowHidden(ROW()-1)=TRUE),0,(E510-E509)*unitsOfDHp+I509)</f>
        <v>259660</v>
      </c>
      <c r="J510">
        <f>IF(AND(MyRowHidden(ROW())=FALSE,MyRowHidden(ROW()-1)=TRUE),0,(G510-G509)*unitsOfExo+J509)</f>
        <v>92625</v>
      </c>
      <c r="K510" s="9">
        <f t="shared" si="23"/>
        <v>7375</v>
      </c>
      <c r="L510">
        <f t="shared" si="24"/>
        <v>352285</v>
      </c>
    </row>
    <row r="511" spans="1:12" x14ac:dyDescent="0.25">
      <c r="A511" s="1"/>
      <c r="C511" s="1"/>
      <c r="D511" s="1">
        <v>41422</v>
      </c>
      <c r="E511">
        <v>20611</v>
      </c>
      <c r="F511" s="1">
        <v>41422</v>
      </c>
      <c r="G511">
        <v>4562.5</v>
      </c>
      <c r="H511" s="1">
        <f t="shared" si="22"/>
        <v>41422</v>
      </c>
      <c r="I511">
        <f>IF(AND(MyRowHidden(ROW())=FALSE,MyRowHidden(ROW()-1)=TRUE),0,(E511-E510)*unitsOfDHp+I510)</f>
        <v>256110</v>
      </c>
      <c r="J511">
        <f>IF(AND(MyRowHidden(ROW())=FALSE,MyRowHidden(ROW()-1)=TRUE),0,(G511-G510)*unitsOfExo+J510)</f>
        <v>95625</v>
      </c>
      <c r="K511" s="9">
        <f t="shared" si="23"/>
        <v>4375</v>
      </c>
      <c r="L511">
        <f t="shared" si="24"/>
        <v>351735</v>
      </c>
    </row>
    <row r="512" spans="1:12" x14ac:dyDescent="0.25">
      <c r="A512" s="1"/>
      <c r="C512" s="1"/>
      <c r="D512" s="1">
        <v>41423</v>
      </c>
      <c r="E512">
        <v>20642</v>
      </c>
      <c r="F512" s="1">
        <v>41423</v>
      </c>
      <c r="G512">
        <v>4537.5</v>
      </c>
      <c r="H512" s="1">
        <f t="shared" si="22"/>
        <v>41423</v>
      </c>
      <c r="I512">
        <f>IF(AND(MyRowHidden(ROW())=FALSE,MyRowHidden(ROW()-1)=TRUE),0,(E512-E511)*unitsOfDHp+I511)</f>
        <v>256420</v>
      </c>
      <c r="J512">
        <f>IF(AND(MyRowHidden(ROW())=FALSE,MyRowHidden(ROW()-1)=TRUE),0,(G512-G511)*unitsOfExo+J511)</f>
        <v>95375</v>
      </c>
      <c r="K512" s="9">
        <f t="shared" si="23"/>
        <v>4625</v>
      </c>
      <c r="L512">
        <f t="shared" si="24"/>
        <v>351795</v>
      </c>
    </row>
    <row r="513" spans="1:12" x14ac:dyDescent="0.25">
      <c r="A513" s="1"/>
      <c r="C513" s="1"/>
      <c r="D513" s="1">
        <v>41424</v>
      </c>
      <c r="E513">
        <v>21398</v>
      </c>
      <c r="F513" s="1">
        <v>41424</v>
      </c>
      <c r="G513">
        <v>3937.5</v>
      </c>
      <c r="H513" s="1">
        <f t="shared" si="22"/>
        <v>41424</v>
      </c>
      <c r="I513">
        <f>IF(AND(MyRowHidden(ROW())=FALSE,MyRowHidden(ROW()-1)=TRUE),0,(E513-E512)*unitsOfDHp+I512)</f>
        <v>263980</v>
      </c>
      <c r="J513">
        <f>IF(AND(MyRowHidden(ROW())=FALSE,MyRowHidden(ROW()-1)=TRUE),0,(G513-G512)*unitsOfExo+J512)</f>
        <v>89375</v>
      </c>
      <c r="K513" s="9">
        <f t="shared" si="23"/>
        <v>10625</v>
      </c>
      <c r="L513">
        <f t="shared" si="24"/>
        <v>353355</v>
      </c>
    </row>
    <row r="514" spans="1:12" x14ac:dyDescent="0.25">
      <c r="A514" s="1"/>
      <c r="C514" s="1"/>
      <c r="D514" s="1">
        <v>41425</v>
      </c>
      <c r="E514">
        <v>21404</v>
      </c>
      <c r="F514" s="1">
        <v>41425</v>
      </c>
      <c r="G514">
        <v>4425</v>
      </c>
      <c r="H514" s="1">
        <f t="shared" si="22"/>
        <v>41425</v>
      </c>
      <c r="I514">
        <f>IF(AND(MyRowHidden(ROW())=FALSE,MyRowHidden(ROW()-1)=TRUE),0,(E514-E513)*unitsOfDHp+I513)</f>
        <v>264040</v>
      </c>
      <c r="J514">
        <f>IF(AND(MyRowHidden(ROW())=FALSE,MyRowHidden(ROW()-1)=TRUE),0,(G514-G513)*unitsOfExo+J513)</f>
        <v>94250</v>
      </c>
      <c r="K514" s="9">
        <f t="shared" si="23"/>
        <v>5750</v>
      </c>
      <c r="L514">
        <f t="shared" si="24"/>
        <v>358290</v>
      </c>
    </row>
    <row r="515" spans="1:12" x14ac:dyDescent="0.25">
      <c r="A515" s="1"/>
      <c r="C515" s="1"/>
      <c r="D515" s="1">
        <v>41428</v>
      </c>
      <c r="E515">
        <v>21285</v>
      </c>
      <c r="F515" s="1">
        <v>41428</v>
      </c>
      <c r="G515">
        <v>4237.5</v>
      </c>
      <c r="H515" s="1">
        <f t="shared" si="22"/>
        <v>41428</v>
      </c>
      <c r="I515">
        <f>IF(AND(MyRowHidden(ROW())=FALSE,MyRowHidden(ROW()-1)=TRUE),0,(E515-E514)*unitsOfDHp+I514)</f>
        <v>262850</v>
      </c>
      <c r="J515">
        <f>IF(AND(MyRowHidden(ROW())=FALSE,MyRowHidden(ROW()-1)=TRUE),0,(G515-G514)*unitsOfExo+J514)</f>
        <v>92375</v>
      </c>
      <c r="K515" s="9">
        <f t="shared" si="23"/>
        <v>7625</v>
      </c>
      <c r="L515">
        <f t="shared" si="24"/>
        <v>355225</v>
      </c>
    </row>
    <row r="516" spans="1:12" x14ac:dyDescent="0.25">
      <c r="A516" s="1"/>
      <c r="C516" s="1"/>
      <c r="D516" s="1">
        <v>41429</v>
      </c>
      <c r="E516">
        <v>21279</v>
      </c>
      <c r="F516" s="1">
        <v>41429</v>
      </c>
      <c r="G516">
        <v>4062.5</v>
      </c>
      <c r="H516" s="1">
        <f t="shared" si="22"/>
        <v>41429</v>
      </c>
      <c r="I516">
        <f>IF(AND(MyRowHidden(ROW())=FALSE,MyRowHidden(ROW()-1)=TRUE),0,(E516-E515)*unitsOfDHp+I515)</f>
        <v>262790</v>
      </c>
      <c r="J516">
        <f>IF(AND(MyRowHidden(ROW())=FALSE,MyRowHidden(ROW()-1)=TRUE),0,(G516-G515)*unitsOfExo+J515)</f>
        <v>90625</v>
      </c>
      <c r="K516" s="9">
        <f t="shared" si="23"/>
        <v>9375</v>
      </c>
      <c r="L516">
        <f t="shared" si="24"/>
        <v>353415</v>
      </c>
    </row>
    <row r="517" spans="1:12" x14ac:dyDescent="0.25">
      <c r="A517" s="1"/>
      <c r="C517" s="1"/>
      <c r="D517" s="1">
        <v>41430</v>
      </c>
      <c r="E517">
        <v>21271</v>
      </c>
      <c r="F517" s="1">
        <v>41430</v>
      </c>
      <c r="G517">
        <v>4362.5</v>
      </c>
      <c r="H517" s="1">
        <f t="shared" si="22"/>
        <v>41430</v>
      </c>
      <c r="I517">
        <f>IF(AND(MyRowHidden(ROW())=FALSE,MyRowHidden(ROW()-1)=TRUE),0,(E517-E516)*unitsOfDHp+I516)</f>
        <v>262710</v>
      </c>
      <c r="J517">
        <f>IF(AND(MyRowHidden(ROW())=FALSE,MyRowHidden(ROW()-1)=TRUE),0,(G517-G516)*unitsOfExo+J516)</f>
        <v>93625</v>
      </c>
      <c r="K517" s="9">
        <f t="shared" si="23"/>
        <v>6375</v>
      </c>
      <c r="L517">
        <f t="shared" si="24"/>
        <v>356335</v>
      </c>
    </row>
    <row r="518" spans="1:12" x14ac:dyDescent="0.25">
      <c r="A518" s="1"/>
      <c r="C518" s="1"/>
      <c r="D518" s="1">
        <v>41431</v>
      </c>
      <c r="E518">
        <v>21273</v>
      </c>
      <c r="F518" s="1">
        <v>41431</v>
      </c>
      <c r="G518">
        <v>4362.5</v>
      </c>
      <c r="H518" s="1">
        <f t="shared" si="22"/>
        <v>41431</v>
      </c>
      <c r="I518">
        <f>IF(AND(MyRowHidden(ROW())=FALSE,MyRowHidden(ROW()-1)=TRUE),0,(E518-E517)*unitsOfDHp+I517)</f>
        <v>262730</v>
      </c>
      <c r="J518">
        <f>IF(AND(MyRowHidden(ROW())=FALSE,MyRowHidden(ROW()-1)=TRUE),0,(G518-G517)*unitsOfExo+J517)</f>
        <v>93625</v>
      </c>
      <c r="K518" s="9">
        <f t="shared" si="23"/>
        <v>6375</v>
      </c>
      <c r="L518">
        <f t="shared" si="24"/>
        <v>356355</v>
      </c>
    </row>
    <row r="519" spans="1:12" x14ac:dyDescent="0.25">
      <c r="A519" s="1"/>
      <c r="C519" s="1"/>
      <c r="D519" s="1">
        <v>41432</v>
      </c>
      <c r="E519">
        <v>21178</v>
      </c>
      <c r="F519" s="1">
        <v>41432</v>
      </c>
      <c r="G519">
        <v>4575</v>
      </c>
      <c r="H519" s="1">
        <f t="shared" si="22"/>
        <v>41432</v>
      </c>
      <c r="I519">
        <f>IF(AND(MyRowHidden(ROW())=FALSE,MyRowHidden(ROW()-1)=TRUE),0,(E519-E518)*unitsOfDHp+I518)</f>
        <v>261780</v>
      </c>
      <c r="J519">
        <f>IF(AND(MyRowHidden(ROW())=FALSE,MyRowHidden(ROW()-1)=TRUE),0,(G519-G518)*unitsOfExo+J518)</f>
        <v>95750</v>
      </c>
      <c r="K519" s="9">
        <f t="shared" si="23"/>
        <v>4250</v>
      </c>
      <c r="L519">
        <f t="shared" si="24"/>
        <v>357530</v>
      </c>
    </row>
    <row r="520" spans="1:12" x14ac:dyDescent="0.25">
      <c r="A520" s="1"/>
      <c r="C520" s="1"/>
      <c r="D520" s="1">
        <v>41435</v>
      </c>
      <c r="E520">
        <v>21714</v>
      </c>
      <c r="F520" s="1">
        <v>41435</v>
      </c>
      <c r="G520">
        <v>3762.5</v>
      </c>
      <c r="H520" s="1">
        <f t="shared" si="22"/>
        <v>41435</v>
      </c>
      <c r="I520">
        <f>IF(AND(MyRowHidden(ROW())=FALSE,MyRowHidden(ROW()-1)=TRUE),0,(E520-E519)*unitsOfDHp+I519)</f>
        <v>267140</v>
      </c>
      <c r="J520">
        <f>IF(AND(MyRowHidden(ROW())=FALSE,MyRowHidden(ROW()-1)=TRUE),0,(G520-G519)*unitsOfExo+J519)</f>
        <v>87625</v>
      </c>
      <c r="K520" s="9">
        <f t="shared" si="23"/>
        <v>12375</v>
      </c>
      <c r="L520">
        <f t="shared" si="24"/>
        <v>354765</v>
      </c>
    </row>
    <row r="521" spans="1:12" x14ac:dyDescent="0.25">
      <c r="A521" s="1"/>
      <c r="C521" s="1"/>
      <c r="D521" s="1">
        <v>41436</v>
      </c>
      <c r="E521">
        <v>21882</v>
      </c>
      <c r="F521" s="1">
        <v>41436</v>
      </c>
      <c r="G521">
        <v>4100</v>
      </c>
      <c r="H521" s="1">
        <f t="shared" si="22"/>
        <v>41436</v>
      </c>
      <c r="I521">
        <f>IF(AND(MyRowHidden(ROW())=FALSE,MyRowHidden(ROW()-1)=TRUE),0,(E521-E520)*unitsOfDHp+I520)</f>
        <v>268820</v>
      </c>
      <c r="J521">
        <f>IF(AND(MyRowHidden(ROW())=FALSE,MyRowHidden(ROW()-1)=TRUE),0,(G521-G520)*unitsOfExo+J520)</f>
        <v>91000</v>
      </c>
      <c r="K521" s="9">
        <f t="shared" si="23"/>
        <v>9000</v>
      </c>
      <c r="L521">
        <f t="shared" si="24"/>
        <v>359820</v>
      </c>
    </row>
    <row r="522" spans="1:12" x14ac:dyDescent="0.25">
      <c r="A522" s="1"/>
      <c r="C522" s="1"/>
      <c r="D522" s="1">
        <v>41437</v>
      </c>
      <c r="E522">
        <v>21528</v>
      </c>
      <c r="F522" s="1">
        <v>41437</v>
      </c>
      <c r="G522">
        <v>3775</v>
      </c>
      <c r="H522" s="1">
        <f t="shared" si="22"/>
        <v>41437</v>
      </c>
      <c r="I522">
        <f>IF(AND(MyRowHidden(ROW())=FALSE,MyRowHidden(ROW()-1)=TRUE),0,(E522-E521)*unitsOfDHp+I521)</f>
        <v>265280</v>
      </c>
      <c r="J522">
        <f>IF(AND(MyRowHidden(ROW())=FALSE,MyRowHidden(ROW()-1)=TRUE),0,(G522-G521)*unitsOfExo+J521)</f>
        <v>87750</v>
      </c>
      <c r="K522" s="9">
        <f t="shared" si="23"/>
        <v>12250</v>
      </c>
      <c r="L522">
        <f t="shared" si="24"/>
        <v>353030</v>
      </c>
    </row>
    <row r="523" spans="1:12" x14ac:dyDescent="0.25">
      <c r="A523" s="1"/>
      <c r="C523" s="1"/>
      <c r="D523" s="1">
        <v>41438</v>
      </c>
      <c r="E523">
        <v>21380</v>
      </c>
      <c r="F523" s="1">
        <v>41438</v>
      </c>
      <c r="G523">
        <v>3512.5</v>
      </c>
      <c r="H523" s="1">
        <f t="shared" si="22"/>
        <v>41438</v>
      </c>
      <c r="I523">
        <f>IF(AND(MyRowHidden(ROW())=FALSE,MyRowHidden(ROW()-1)=TRUE),0,(E523-E522)*unitsOfDHp+I522)</f>
        <v>263800</v>
      </c>
      <c r="J523">
        <f>IF(AND(MyRowHidden(ROW())=FALSE,MyRowHidden(ROW()-1)=TRUE),0,(G523-G522)*unitsOfExo+J522)</f>
        <v>85125</v>
      </c>
      <c r="K523" s="9">
        <f t="shared" si="23"/>
        <v>14875</v>
      </c>
      <c r="L523">
        <f t="shared" si="24"/>
        <v>348925</v>
      </c>
    </row>
    <row r="524" spans="1:12" x14ac:dyDescent="0.25">
      <c r="A524" s="1"/>
      <c r="C524" s="1"/>
      <c r="D524" s="1">
        <v>41439</v>
      </c>
      <c r="E524">
        <v>21729</v>
      </c>
      <c r="F524" s="1">
        <v>41439</v>
      </c>
      <c r="G524">
        <v>4025</v>
      </c>
      <c r="H524" s="1">
        <f t="shared" si="22"/>
        <v>41439</v>
      </c>
      <c r="I524">
        <f>IF(AND(MyRowHidden(ROW())=FALSE,MyRowHidden(ROW()-1)=TRUE),0,(E524-E523)*unitsOfDHp+I523)</f>
        <v>267290</v>
      </c>
      <c r="J524">
        <f>IF(AND(MyRowHidden(ROW())=FALSE,MyRowHidden(ROW()-1)=TRUE),0,(G524-G523)*unitsOfExo+J523)</f>
        <v>90250</v>
      </c>
      <c r="K524" s="9">
        <f t="shared" si="23"/>
        <v>9750</v>
      </c>
      <c r="L524">
        <f t="shared" si="24"/>
        <v>357540</v>
      </c>
    </row>
    <row r="525" spans="1:12" x14ac:dyDescent="0.25">
      <c r="A525" s="1"/>
      <c r="C525" s="1"/>
      <c r="D525" s="1">
        <v>41442</v>
      </c>
      <c r="E525">
        <v>21819</v>
      </c>
      <c r="F525" s="1">
        <v>41442</v>
      </c>
      <c r="G525">
        <v>4512.5</v>
      </c>
      <c r="H525" s="1">
        <f t="shared" ref="H525:H588" si="25">D525</f>
        <v>41442</v>
      </c>
      <c r="I525">
        <f>IF(AND(MyRowHidden(ROW())=FALSE,MyRowHidden(ROW()-1)=TRUE),0,(E525-E524)*unitsOfDHp+I524)</f>
        <v>268190</v>
      </c>
      <c r="J525">
        <f>IF(AND(MyRowHidden(ROW())=FALSE,MyRowHidden(ROW()-1)=TRUE),0,(G525-G524)*unitsOfExo+J524)</f>
        <v>95125</v>
      </c>
      <c r="K525" s="9">
        <f t="shared" ref="K525:K588" si="26">-(J525-J524)+K524</f>
        <v>4875</v>
      </c>
      <c r="L525">
        <f t="shared" ref="L525:L588" si="27">I525+J525</f>
        <v>363315</v>
      </c>
    </row>
    <row r="526" spans="1:12" x14ac:dyDescent="0.25">
      <c r="A526" s="1"/>
      <c r="C526" s="1"/>
      <c r="D526" s="1">
        <v>41443</v>
      </c>
      <c r="E526">
        <v>21667</v>
      </c>
      <c r="F526" s="1">
        <v>41443</v>
      </c>
      <c r="G526">
        <v>4812.5</v>
      </c>
      <c r="H526" s="1">
        <f t="shared" si="25"/>
        <v>41443</v>
      </c>
      <c r="I526">
        <f>IF(AND(MyRowHidden(ROW())=FALSE,MyRowHidden(ROW()-1)=TRUE),0,(E526-E525)*unitsOfDHp+I525)</f>
        <v>266670</v>
      </c>
      <c r="J526">
        <f>IF(AND(MyRowHidden(ROW())=FALSE,MyRowHidden(ROW()-1)=TRUE),0,(G526-G525)*unitsOfExo+J525)</f>
        <v>98125</v>
      </c>
      <c r="K526" s="9">
        <f t="shared" si="26"/>
        <v>1875</v>
      </c>
      <c r="L526">
        <f t="shared" si="27"/>
        <v>364795</v>
      </c>
    </row>
    <row r="527" spans="1:12" x14ac:dyDescent="0.25">
      <c r="A527" s="1"/>
      <c r="C527" s="1"/>
      <c r="D527" s="1">
        <v>41444</v>
      </c>
      <c r="E527">
        <v>20924</v>
      </c>
      <c r="F527" s="1">
        <v>41444</v>
      </c>
      <c r="G527">
        <v>5362.5</v>
      </c>
      <c r="H527" s="1">
        <f t="shared" si="25"/>
        <v>41444</v>
      </c>
      <c r="I527">
        <f>IF(AND(MyRowHidden(ROW())=FALSE,MyRowHidden(ROW()-1)=TRUE),0,(E527-E526)*unitsOfDHp+I526)</f>
        <v>259240</v>
      </c>
      <c r="J527">
        <f>IF(AND(MyRowHidden(ROW())=FALSE,MyRowHidden(ROW()-1)=TRUE),0,(G527-G526)*unitsOfExo+J526)</f>
        <v>103625</v>
      </c>
      <c r="K527" s="9">
        <f t="shared" si="26"/>
        <v>-3625</v>
      </c>
      <c r="L527">
        <f t="shared" si="27"/>
        <v>362865</v>
      </c>
    </row>
    <row r="528" spans="1:12" x14ac:dyDescent="0.25">
      <c r="A528" s="1"/>
      <c r="C528" s="1"/>
      <c r="D528" s="1">
        <v>41445</v>
      </c>
      <c r="E528">
        <v>21118</v>
      </c>
      <c r="F528" s="1">
        <v>41445</v>
      </c>
      <c r="G528">
        <v>4975</v>
      </c>
      <c r="H528" s="1">
        <f t="shared" si="25"/>
        <v>41445</v>
      </c>
      <c r="I528">
        <f>IF(AND(MyRowHidden(ROW())=FALSE,MyRowHidden(ROW()-1)=TRUE),0,(E528-E527)*unitsOfDHp+I527)</f>
        <v>261180</v>
      </c>
      <c r="J528">
        <f>IF(AND(MyRowHidden(ROW())=FALSE,MyRowHidden(ROW()-1)=TRUE),0,(G528-G527)*unitsOfExo+J527)</f>
        <v>99750</v>
      </c>
      <c r="K528" s="9">
        <f t="shared" si="26"/>
        <v>250</v>
      </c>
      <c r="L528">
        <f t="shared" si="27"/>
        <v>360930</v>
      </c>
    </row>
    <row r="529" spans="1:12" x14ac:dyDescent="0.25">
      <c r="A529" s="1"/>
      <c r="C529" s="1"/>
      <c r="D529" s="1">
        <v>41446</v>
      </c>
      <c r="E529">
        <v>21342</v>
      </c>
      <c r="F529" s="1">
        <v>41446</v>
      </c>
      <c r="G529">
        <v>4600</v>
      </c>
      <c r="H529" s="1">
        <f t="shared" si="25"/>
        <v>41446</v>
      </c>
      <c r="I529">
        <f>IF(AND(MyRowHidden(ROW())=FALSE,MyRowHidden(ROW()-1)=TRUE),0,(E529-E528)*unitsOfDHp+I528)</f>
        <v>263420</v>
      </c>
      <c r="J529">
        <f>IF(AND(MyRowHidden(ROW())=FALSE,MyRowHidden(ROW()-1)=TRUE),0,(G529-G528)*unitsOfExo+J528)</f>
        <v>96000</v>
      </c>
      <c r="K529" s="9">
        <f t="shared" si="26"/>
        <v>4000</v>
      </c>
      <c r="L529">
        <f t="shared" si="27"/>
        <v>359420</v>
      </c>
    </row>
    <row r="530" spans="1:12" x14ac:dyDescent="0.25">
      <c r="A530" s="1"/>
      <c r="C530" s="1"/>
      <c r="D530" s="1">
        <v>41449</v>
      </c>
      <c r="E530">
        <v>22269</v>
      </c>
      <c r="F530" s="1">
        <v>41449</v>
      </c>
      <c r="G530">
        <v>3987.5</v>
      </c>
      <c r="H530" s="1">
        <f t="shared" si="25"/>
        <v>41449</v>
      </c>
      <c r="I530">
        <f>IF(AND(MyRowHidden(ROW())=FALSE,MyRowHidden(ROW()-1)=TRUE),0,(E530-E529)*unitsOfDHp+I529)</f>
        <v>272690</v>
      </c>
      <c r="J530">
        <f>IF(AND(MyRowHidden(ROW())=FALSE,MyRowHidden(ROW()-1)=TRUE),0,(G530-G529)*unitsOfExo+J529)</f>
        <v>89875</v>
      </c>
      <c r="K530" s="9">
        <f t="shared" si="26"/>
        <v>10125</v>
      </c>
      <c r="L530">
        <f t="shared" si="27"/>
        <v>362565</v>
      </c>
    </row>
    <row r="531" spans="1:12" x14ac:dyDescent="0.25">
      <c r="A531" s="1"/>
      <c r="C531" s="1"/>
      <c r="D531" s="1">
        <v>41450</v>
      </c>
      <c r="E531">
        <v>22310</v>
      </c>
      <c r="F531" s="1">
        <v>41450</v>
      </c>
      <c r="G531">
        <v>4137.5</v>
      </c>
      <c r="H531" s="1">
        <f t="shared" si="25"/>
        <v>41450</v>
      </c>
      <c r="I531">
        <f>IF(AND(MyRowHidden(ROW())=FALSE,MyRowHidden(ROW()-1)=TRUE),0,(E531-E530)*unitsOfDHp+I530)</f>
        <v>273100</v>
      </c>
      <c r="J531">
        <f>IF(AND(MyRowHidden(ROW())=FALSE,MyRowHidden(ROW()-1)=TRUE),0,(G531-G530)*unitsOfExo+J530)</f>
        <v>91375</v>
      </c>
      <c r="K531" s="9">
        <f t="shared" si="26"/>
        <v>8625</v>
      </c>
      <c r="L531">
        <f t="shared" si="27"/>
        <v>364475</v>
      </c>
    </row>
    <row r="532" spans="1:12" x14ac:dyDescent="0.25">
      <c r="A532" s="1"/>
      <c r="C532" s="1"/>
      <c r="D532" s="1">
        <v>41451</v>
      </c>
      <c r="E532">
        <v>22339</v>
      </c>
      <c r="F532" s="1">
        <v>41451</v>
      </c>
      <c r="G532">
        <v>4487.5</v>
      </c>
      <c r="H532" s="1">
        <f t="shared" si="25"/>
        <v>41451</v>
      </c>
      <c r="I532">
        <f>IF(AND(MyRowHidden(ROW())=FALSE,MyRowHidden(ROW()-1)=TRUE),0,(E532-E531)*unitsOfDHp+I531)</f>
        <v>273390</v>
      </c>
      <c r="J532">
        <f>IF(AND(MyRowHidden(ROW())=FALSE,MyRowHidden(ROW()-1)=TRUE),0,(G532-G531)*unitsOfExo+J531)</f>
        <v>94875</v>
      </c>
      <c r="K532" s="9">
        <f t="shared" si="26"/>
        <v>5125</v>
      </c>
      <c r="L532">
        <f t="shared" si="27"/>
        <v>368265</v>
      </c>
    </row>
    <row r="533" spans="1:12" x14ac:dyDescent="0.25">
      <c r="A533" s="1"/>
      <c r="C533" s="1"/>
      <c r="D533" s="1">
        <v>41452</v>
      </c>
      <c r="E533">
        <v>22396</v>
      </c>
      <c r="F533" s="1">
        <v>41452</v>
      </c>
      <c r="G533">
        <v>4737.5</v>
      </c>
      <c r="H533" s="1">
        <f t="shared" si="25"/>
        <v>41452</v>
      </c>
      <c r="I533">
        <f>IF(AND(MyRowHidden(ROW())=FALSE,MyRowHidden(ROW()-1)=TRUE),0,(E533-E532)*unitsOfDHp+I532)</f>
        <v>273960</v>
      </c>
      <c r="J533">
        <f>IF(AND(MyRowHidden(ROW())=FALSE,MyRowHidden(ROW()-1)=TRUE),0,(G533-G532)*unitsOfExo+J532)</f>
        <v>97375</v>
      </c>
      <c r="K533" s="9">
        <f t="shared" si="26"/>
        <v>2625</v>
      </c>
      <c r="L533">
        <f t="shared" si="27"/>
        <v>371335</v>
      </c>
    </row>
    <row r="534" spans="1:12" x14ac:dyDescent="0.25">
      <c r="A534" s="1"/>
      <c r="C534" s="1"/>
      <c r="D534" s="1">
        <v>41453</v>
      </c>
      <c r="E534">
        <v>22636</v>
      </c>
      <c r="F534" s="1">
        <v>41453</v>
      </c>
      <c r="G534">
        <v>4550</v>
      </c>
      <c r="H534" s="1">
        <f t="shared" si="25"/>
        <v>41453</v>
      </c>
      <c r="I534">
        <f>IF(AND(MyRowHidden(ROW())=FALSE,MyRowHidden(ROW()-1)=TRUE),0,(E534-E533)*unitsOfDHp+I533)</f>
        <v>276360</v>
      </c>
      <c r="J534">
        <f>IF(AND(MyRowHidden(ROW())=FALSE,MyRowHidden(ROW()-1)=TRUE),0,(G534-G533)*unitsOfExo+J533)</f>
        <v>95500</v>
      </c>
      <c r="K534" s="9">
        <f t="shared" si="26"/>
        <v>4500</v>
      </c>
      <c r="L534">
        <f t="shared" si="27"/>
        <v>371860</v>
      </c>
    </row>
    <row r="535" spans="1:12" x14ac:dyDescent="0.25">
      <c r="A535" s="1"/>
      <c r="C535" s="1"/>
      <c r="D535" s="1">
        <v>41456</v>
      </c>
      <c r="E535">
        <v>22825</v>
      </c>
      <c r="F535" s="1">
        <v>41456</v>
      </c>
      <c r="G535">
        <v>4112.5</v>
      </c>
      <c r="H535" s="1">
        <f t="shared" si="25"/>
        <v>41456</v>
      </c>
      <c r="I535">
        <f>IF(AND(MyRowHidden(ROW())=FALSE,MyRowHidden(ROW()-1)=TRUE),0,(E535-E534)*unitsOfDHp+I534)</f>
        <v>278250</v>
      </c>
      <c r="J535">
        <f>IF(AND(MyRowHidden(ROW())=FALSE,MyRowHidden(ROW()-1)=TRUE),0,(G535-G534)*unitsOfExo+J534)</f>
        <v>91125</v>
      </c>
      <c r="K535" s="9">
        <f t="shared" si="26"/>
        <v>8875</v>
      </c>
      <c r="L535">
        <f t="shared" si="27"/>
        <v>369375</v>
      </c>
    </row>
    <row r="536" spans="1:12" x14ac:dyDescent="0.25">
      <c r="A536" s="1"/>
      <c r="C536" s="1"/>
      <c r="D536" s="1">
        <v>41457</v>
      </c>
      <c r="E536">
        <v>22739</v>
      </c>
      <c r="F536" s="1">
        <v>41457</v>
      </c>
      <c r="G536">
        <v>4837.5</v>
      </c>
      <c r="H536" s="1">
        <f t="shared" si="25"/>
        <v>41457</v>
      </c>
      <c r="I536">
        <f>IF(AND(MyRowHidden(ROW())=FALSE,MyRowHidden(ROW()-1)=TRUE),0,(E536-E535)*unitsOfDHp+I535)</f>
        <v>277390</v>
      </c>
      <c r="J536">
        <f>IF(AND(MyRowHidden(ROW())=FALSE,MyRowHidden(ROW()-1)=TRUE),0,(G536-G535)*unitsOfExo+J535)</f>
        <v>98375</v>
      </c>
      <c r="K536" s="9">
        <f t="shared" si="26"/>
        <v>1625</v>
      </c>
      <c r="L536">
        <f t="shared" si="27"/>
        <v>375765</v>
      </c>
    </row>
    <row r="537" spans="1:12" x14ac:dyDescent="0.25">
      <c r="A537" s="1"/>
      <c r="C537" s="1"/>
      <c r="D537" s="1">
        <v>41458</v>
      </c>
      <c r="E537">
        <v>22737</v>
      </c>
      <c r="F537" s="1">
        <v>41458</v>
      </c>
      <c r="G537">
        <v>5212.5</v>
      </c>
      <c r="H537" s="1">
        <f t="shared" si="25"/>
        <v>41458</v>
      </c>
      <c r="I537">
        <f>IF(AND(MyRowHidden(ROW())=FALSE,MyRowHidden(ROW()-1)=TRUE),0,(E537-E536)*unitsOfDHp+I536)</f>
        <v>277370</v>
      </c>
      <c r="J537">
        <f>IF(AND(MyRowHidden(ROW())=FALSE,MyRowHidden(ROW()-1)=TRUE),0,(G537-G536)*unitsOfExo+J536)</f>
        <v>102125</v>
      </c>
      <c r="K537" s="9">
        <f t="shared" si="26"/>
        <v>-2125</v>
      </c>
      <c r="L537">
        <f t="shared" si="27"/>
        <v>379495</v>
      </c>
    </row>
    <row r="538" spans="1:12" x14ac:dyDescent="0.25">
      <c r="A538" s="1"/>
      <c r="C538" s="1"/>
      <c r="D538" s="1">
        <v>41460</v>
      </c>
      <c r="E538">
        <v>22543</v>
      </c>
      <c r="F538" s="1">
        <v>41460</v>
      </c>
      <c r="G538">
        <v>5637.5</v>
      </c>
      <c r="H538" s="1">
        <f t="shared" si="25"/>
        <v>41460</v>
      </c>
      <c r="I538">
        <f>IF(AND(MyRowHidden(ROW())=FALSE,MyRowHidden(ROW()-1)=TRUE),0,(E538-E537)*unitsOfDHp+I537)</f>
        <v>275430</v>
      </c>
      <c r="J538">
        <f>IF(AND(MyRowHidden(ROW())=FALSE,MyRowHidden(ROW()-1)=TRUE),0,(G538-G537)*unitsOfExo+J537)</f>
        <v>106375</v>
      </c>
      <c r="K538" s="9">
        <f t="shared" si="26"/>
        <v>-6375</v>
      </c>
      <c r="L538">
        <f t="shared" si="27"/>
        <v>381805</v>
      </c>
    </row>
    <row r="539" spans="1:12" x14ac:dyDescent="0.25">
      <c r="A539" s="1"/>
      <c r="C539" s="1"/>
      <c r="D539" s="1">
        <v>41463</v>
      </c>
      <c r="E539">
        <v>22651</v>
      </c>
      <c r="F539" s="1">
        <v>41463</v>
      </c>
      <c r="G539">
        <v>5987.5</v>
      </c>
      <c r="H539" s="1">
        <f t="shared" si="25"/>
        <v>41463</v>
      </c>
      <c r="I539">
        <f>IF(AND(MyRowHidden(ROW())=FALSE,MyRowHidden(ROW()-1)=TRUE),0,(E539-E538)*unitsOfDHp+I538)</f>
        <v>276510</v>
      </c>
      <c r="J539">
        <f>IF(AND(MyRowHidden(ROW())=FALSE,MyRowHidden(ROW()-1)=TRUE),0,(G539-G538)*unitsOfExo+J538)</f>
        <v>109875</v>
      </c>
      <c r="K539" s="9">
        <f t="shared" si="26"/>
        <v>-9875</v>
      </c>
      <c r="L539">
        <f t="shared" si="27"/>
        <v>386385</v>
      </c>
    </row>
    <row r="540" spans="1:12" x14ac:dyDescent="0.25">
      <c r="A540" s="1"/>
      <c r="C540" s="1"/>
      <c r="D540" s="1">
        <v>41464</v>
      </c>
      <c r="E540">
        <v>23067</v>
      </c>
      <c r="F540" s="1">
        <v>41464</v>
      </c>
      <c r="G540">
        <v>6512.5</v>
      </c>
      <c r="H540" s="1">
        <f t="shared" si="25"/>
        <v>41464</v>
      </c>
      <c r="I540">
        <f>IF(AND(MyRowHidden(ROW())=FALSE,MyRowHidden(ROW()-1)=TRUE),0,(E540-E539)*unitsOfDHp+I539)</f>
        <v>280670</v>
      </c>
      <c r="J540">
        <f>IF(AND(MyRowHidden(ROW())=FALSE,MyRowHidden(ROW()-1)=TRUE),0,(G540-G539)*unitsOfExo+J539)</f>
        <v>115125</v>
      </c>
      <c r="K540" s="9">
        <f t="shared" si="26"/>
        <v>-15125</v>
      </c>
      <c r="L540">
        <f t="shared" si="27"/>
        <v>395795</v>
      </c>
    </row>
    <row r="541" spans="1:12" x14ac:dyDescent="0.25">
      <c r="A541" s="1"/>
      <c r="C541" s="1"/>
      <c r="D541" s="1">
        <v>41465</v>
      </c>
      <c r="E541">
        <v>22980</v>
      </c>
      <c r="F541" s="1">
        <v>41465</v>
      </c>
      <c r="G541">
        <v>6750</v>
      </c>
      <c r="H541" s="1">
        <f t="shared" si="25"/>
        <v>41465</v>
      </c>
      <c r="I541">
        <f>IF(AND(MyRowHidden(ROW())=FALSE,MyRowHidden(ROW()-1)=TRUE),0,(E541-E540)*unitsOfDHp+I540)</f>
        <v>279800</v>
      </c>
      <c r="J541">
        <f>IF(AND(MyRowHidden(ROW())=FALSE,MyRowHidden(ROW()-1)=TRUE),0,(G541-G540)*unitsOfExo+J540)</f>
        <v>117500</v>
      </c>
      <c r="K541" s="9">
        <f t="shared" si="26"/>
        <v>-17500</v>
      </c>
      <c r="L541">
        <f t="shared" si="27"/>
        <v>397300</v>
      </c>
    </row>
    <row r="542" spans="1:12" x14ac:dyDescent="0.25">
      <c r="A542" s="1"/>
      <c r="C542" s="1"/>
      <c r="D542" s="1">
        <v>41466</v>
      </c>
      <c r="E542">
        <v>22842</v>
      </c>
      <c r="F542" s="1">
        <v>41466</v>
      </c>
      <c r="G542">
        <v>7200</v>
      </c>
      <c r="H542" s="1">
        <f t="shared" si="25"/>
        <v>41466</v>
      </c>
      <c r="I542">
        <f>IF(AND(MyRowHidden(ROW())=FALSE,MyRowHidden(ROW()-1)=TRUE),0,(E542-E541)*unitsOfDHp+I541)</f>
        <v>278420</v>
      </c>
      <c r="J542">
        <f>IF(AND(MyRowHidden(ROW())=FALSE,MyRowHidden(ROW()-1)=TRUE),0,(G542-G541)*unitsOfExo+J541)</f>
        <v>122000</v>
      </c>
      <c r="K542" s="9">
        <f t="shared" si="26"/>
        <v>-22000</v>
      </c>
      <c r="L542">
        <f t="shared" si="27"/>
        <v>400420</v>
      </c>
    </row>
    <row r="543" spans="1:12" x14ac:dyDescent="0.25">
      <c r="A543" s="1"/>
      <c r="C543" s="1"/>
      <c r="D543" s="1">
        <v>41467</v>
      </c>
      <c r="E543">
        <v>23036</v>
      </c>
      <c r="F543" s="1">
        <v>41467</v>
      </c>
      <c r="G543">
        <v>6612.5</v>
      </c>
      <c r="H543" s="1">
        <f t="shared" si="25"/>
        <v>41467</v>
      </c>
      <c r="I543">
        <f>IF(AND(MyRowHidden(ROW())=FALSE,MyRowHidden(ROW()-1)=TRUE),0,(E543-E542)*unitsOfDHp+I542)</f>
        <v>280360</v>
      </c>
      <c r="J543">
        <f>IF(AND(MyRowHidden(ROW())=FALSE,MyRowHidden(ROW()-1)=TRUE),0,(G543-G542)*unitsOfExo+J542)</f>
        <v>116125</v>
      </c>
      <c r="K543" s="9">
        <f t="shared" si="26"/>
        <v>-16125</v>
      </c>
      <c r="L543">
        <f t="shared" si="27"/>
        <v>396485</v>
      </c>
    </row>
    <row r="544" spans="1:12" x14ac:dyDescent="0.25">
      <c r="A544" s="1"/>
      <c r="C544" s="1"/>
      <c r="D544" s="1">
        <v>41470</v>
      </c>
      <c r="E544">
        <v>23482</v>
      </c>
      <c r="F544" s="1">
        <v>41470</v>
      </c>
      <c r="G544">
        <v>6025</v>
      </c>
      <c r="H544" s="1">
        <f t="shared" si="25"/>
        <v>41470</v>
      </c>
      <c r="I544">
        <f>IF(AND(MyRowHidden(ROW())=FALSE,MyRowHidden(ROW()-1)=TRUE),0,(E544-E543)*unitsOfDHp+I543)</f>
        <v>284820</v>
      </c>
      <c r="J544">
        <f>IF(AND(MyRowHidden(ROW())=FALSE,MyRowHidden(ROW()-1)=TRUE),0,(G544-G543)*unitsOfExo+J543)</f>
        <v>110250</v>
      </c>
      <c r="K544" s="9">
        <f t="shared" si="26"/>
        <v>-10250</v>
      </c>
      <c r="L544">
        <f t="shared" si="27"/>
        <v>395070</v>
      </c>
    </row>
    <row r="545" spans="1:12" x14ac:dyDescent="0.25">
      <c r="A545" s="1"/>
      <c r="C545" s="1"/>
      <c r="D545" s="1">
        <v>41471</v>
      </c>
      <c r="E545">
        <v>23322</v>
      </c>
      <c r="F545" s="1">
        <v>41471</v>
      </c>
      <c r="G545">
        <v>6400</v>
      </c>
      <c r="H545" s="1">
        <f t="shared" si="25"/>
        <v>41471</v>
      </c>
      <c r="I545">
        <f>IF(AND(MyRowHidden(ROW())=FALSE,MyRowHidden(ROW()-1)=TRUE),0,(E545-E544)*unitsOfDHp+I544)</f>
        <v>283220</v>
      </c>
      <c r="J545">
        <f>IF(AND(MyRowHidden(ROW())=FALSE,MyRowHidden(ROW()-1)=TRUE),0,(G545-G544)*unitsOfExo+J544)</f>
        <v>114000</v>
      </c>
      <c r="K545" s="9">
        <f t="shared" si="26"/>
        <v>-14000</v>
      </c>
      <c r="L545">
        <f t="shared" si="27"/>
        <v>397220</v>
      </c>
    </row>
    <row r="546" spans="1:12" x14ac:dyDescent="0.25">
      <c r="A546" s="1"/>
      <c r="C546" s="1"/>
      <c r="D546" s="1">
        <v>41472</v>
      </c>
      <c r="E546">
        <v>23497</v>
      </c>
      <c r="F546" s="1">
        <v>41472</v>
      </c>
      <c r="G546">
        <v>6125</v>
      </c>
      <c r="H546" s="1">
        <f t="shared" si="25"/>
        <v>41472</v>
      </c>
      <c r="I546">
        <f>IF(AND(MyRowHidden(ROW())=FALSE,MyRowHidden(ROW()-1)=TRUE),0,(E546-E545)*unitsOfDHp+I545)</f>
        <v>284970</v>
      </c>
      <c r="J546">
        <f>IF(AND(MyRowHidden(ROW())=FALSE,MyRowHidden(ROW()-1)=TRUE),0,(G546-G545)*unitsOfExo+J545)</f>
        <v>111250</v>
      </c>
      <c r="K546" s="9">
        <f t="shared" si="26"/>
        <v>-11250</v>
      </c>
      <c r="L546">
        <f t="shared" si="27"/>
        <v>396220</v>
      </c>
    </row>
    <row r="547" spans="1:12" x14ac:dyDescent="0.25">
      <c r="A547" s="1"/>
      <c r="C547" s="1"/>
      <c r="D547" s="1">
        <v>41473</v>
      </c>
      <c r="E547">
        <v>23462</v>
      </c>
      <c r="F547" s="1">
        <v>41473</v>
      </c>
      <c r="G547">
        <v>6212.5</v>
      </c>
      <c r="H547" s="1">
        <f t="shared" si="25"/>
        <v>41473</v>
      </c>
      <c r="I547">
        <f>IF(AND(MyRowHidden(ROW())=FALSE,MyRowHidden(ROW()-1)=TRUE),0,(E547-E546)*unitsOfDHp+I546)</f>
        <v>284620</v>
      </c>
      <c r="J547">
        <f>IF(AND(MyRowHidden(ROW())=FALSE,MyRowHidden(ROW()-1)=TRUE),0,(G547-G546)*unitsOfExo+J546)</f>
        <v>112125</v>
      </c>
      <c r="K547" s="9">
        <f t="shared" si="26"/>
        <v>-12125</v>
      </c>
      <c r="L547">
        <f t="shared" si="27"/>
        <v>396745</v>
      </c>
    </row>
    <row r="548" spans="1:12" x14ac:dyDescent="0.25">
      <c r="A548" s="1"/>
      <c r="C548" s="1"/>
      <c r="D548" s="1">
        <v>41474</v>
      </c>
      <c r="E548">
        <v>23419</v>
      </c>
      <c r="F548" s="1">
        <v>41474</v>
      </c>
      <c r="G548">
        <v>6387.5</v>
      </c>
      <c r="H548" s="1">
        <f t="shared" si="25"/>
        <v>41474</v>
      </c>
      <c r="I548">
        <f>IF(AND(MyRowHidden(ROW())=FALSE,MyRowHidden(ROW()-1)=TRUE),0,(E548-E547)*unitsOfDHp+I547)</f>
        <v>284190</v>
      </c>
      <c r="J548">
        <f>IF(AND(MyRowHidden(ROW())=FALSE,MyRowHidden(ROW()-1)=TRUE),0,(G548-G547)*unitsOfExo+J547)</f>
        <v>113875</v>
      </c>
      <c r="K548" s="9">
        <f t="shared" si="26"/>
        <v>-13875</v>
      </c>
      <c r="L548">
        <f t="shared" si="27"/>
        <v>398065</v>
      </c>
    </row>
    <row r="549" spans="1:12" x14ac:dyDescent="0.25">
      <c r="A549" s="1"/>
      <c r="C549" s="1"/>
      <c r="D549" s="1">
        <v>41477</v>
      </c>
      <c r="E549">
        <v>23763</v>
      </c>
      <c r="F549" s="1">
        <v>41477</v>
      </c>
      <c r="G549">
        <v>6250</v>
      </c>
      <c r="H549" s="1">
        <f t="shared" si="25"/>
        <v>41477</v>
      </c>
      <c r="I549">
        <f>IF(AND(MyRowHidden(ROW())=FALSE,MyRowHidden(ROW()-1)=TRUE),0,(E549-E548)*unitsOfDHp+I548)</f>
        <v>287630</v>
      </c>
      <c r="J549">
        <f>IF(AND(MyRowHidden(ROW())=FALSE,MyRowHidden(ROW()-1)=TRUE),0,(G549-G548)*unitsOfExo+J548)</f>
        <v>112500</v>
      </c>
      <c r="K549" s="9">
        <f t="shared" si="26"/>
        <v>-12500</v>
      </c>
      <c r="L549">
        <f t="shared" si="27"/>
        <v>400130</v>
      </c>
    </row>
    <row r="550" spans="1:12" x14ac:dyDescent="0.25">
      <c r="A550" s="1"/>
      <c r="C550" s="1"/>
      <c r="D550" s="1">
        <v>41478</v>
      </c>
      <c r="E550">
        <v>23982</v>
      </c>
      <c r="F550" s="1">
        <v>41478</v>
      </c>
      <c r="G550">
        <v>5375</v>
      </c>
      <c r="H550" s="1">
        <f t="shared" si="25"/>
        <v>41478</v>
      </c>
      <c r="I550">
        <f>IF(AND(MyRowHidden(ROW())=FALSE,MyRowHidden(ROW()-1)=TRUE),0,(E550-E549)*unitsOfDHp+I549)</f>
        <v>289820</v>
      </c>
      <c r="J550">
        <f>IF(AND(MyRowHidden(ROW())=FALSE,MyRowHidden(ROW()-1)=TRUE),0,(G550-G549)*unitsOfExo+J549)</f>
        <v>103750</v>
      </c>
      <c r="K550" s="9">
        <f t="shared" si="26"/>
        <v>-3750</v>
      </c>
      <c r="L550">
        <f t="shared" si="27"/>
        <v>393570</v>
      </c>
    </row>
    <row r="551" spans="1:12" x14ac:dyDescent="0.25">
      <c r="A551" s="1"/>
      <c r="C551" s="1"/>
      <c r="D551" s="1">
        <v>41479</v>
      </c>
      <c r="E551">
        <v>24150</v>
      </c>
      <c r="F551" s="1">
        <v>41479</v>
      </c>
      <c r="G551">
        <v>4612.5</v>
      </c>
      <c r="H551" s="1">
        <f t="shared" si="25"/>
        <v>41479</v>
      </c>
      <c r="I551">
        <f>IF(AND(MyRowHidden(ROW())=FALSE,MyRowHidden(ROW()-1)=TRUE),0,(E551-E550)*unitsOfDHp+I550)</f>
        <v>291500</v>
      </c>
      <c r="J551">
        <f>IF(AND(MyRowHidden(ROW())=FALSE,MyRowHidden(ROW()-1)=TRUE),0,(G551-G550)*unitsOfExo+J550)</f>
        <v>96125</v>
      </c>
      <c r="K551" s="9">
        <f t="shared" si="26"/>
        <v>3875</v>
      </c>
      <c r="L551">
        <f t="shared" si="27"/>
        <v>387625</v>
      </c>
    </row>
    <row r="552" spans="1:12" x14ac:dyDescent="0.25">
      <c r="A552" s="1"/>
      <c r="C552" s="1"/>
      <c r="D552" s="1">
        <v>41480</v>
      </c>
      <c r="E552">
        <v>23782</v>
      </c>
      <c r="F552" s="1">
        <v>41480</v>
      </c>
      <c r="G552">
        <v>3975</v>
      </c>
      <c r="H552" s="1">
        <f t="shared" si="25"/>
        <v>41480</v>
      </c>
      <c r="I552">
        <f>IF(AND(MyRowHidden(ROW())=FALSE,MyRowHidden(ROW()-1)=TRUE),0,(E552-E551)*unitsOfDHp+I551)</f>
        <v>287820</v>
      </c>
      <c r="J552">
        <f>IF(AND(MyRowHidden(ROW())=FALSE,MyRowHidden(ROW()-1)=TRUE),0,(G552-G551)*unitsOfExo+J551)</f>
        <v>89750</v>
      </c>
      <c r="K552" s="9">
        <f t="shared" si="26"/>
        <v>10250</v>
      </c>
      <c r="L552">
        <f t="shared" si="27"/>
        <v>377570</v>
      </c>
    </row>
    <row r="553" spans="1:12" x14ac:dyDescent="0.25">
      <c r="A553" s="1"/>
      <c r="C553" s="1"/>
      <c r="D553" s="1">
        <v>41481</v>
      </c>
      <c r="E553">
        <v>23614</v>
      </c>
      <c r="F553" s="1">
        <v>41481</v>
      </c>
      <c r="G553">
        <v>3887.5</v>
      </c>
      <c r="H553" s="1">
        <f t="shared" si="25"/>
        <v>41481</v>
      </c>
      <c r="I553">
        <f>IF(AND(MyRowHidden(ROW())=FALSE,MyRowHidden(ROW()-1)=TRUE),0,(E553-E552)*unitsOfDHp+I552)</f>
        <v>286140</v>
      </c>
      <c r="J553">
        <f>IF(AND(MyRowHidden(ROW())=FALSE,MyRowHidden(ROW()-1)=TRUE),0,(G553-G552)*unitsOfExo+J552)</f>
        <v>88875</v>
      </c>
      <c r="K553" s="9">
        <f t="shared" si="26"/>
        <v>11125</v>
      </c>
      <c r="L553">
        <f t="shared" si="27"/>
        <v>375015</v>
      </c>
    </row>
    <row r="554" spans="1:12" x14ac:dyDescent="0.25">
      <c r="A554" s="1"/>
      <c r="C554" s="1"/>
      <c r="D554" s="1">
        <v>41484</v>
      </c>
      <c r="E554">
        <v>23188</v>
      </c>
      <c r="F554" s="1">
        <v>41484</v>
      </c>
      <c r="G554">
        <v>3612.5</v>
      </c>
      <c r="H554" s="1">
        <f t="shared" si="25"/>
        <v>41484</v>
      </c>
      <c r="I554">
        <f>IF(AND(MyRowHidden(ROW())=FALSE,MyRowHidden(ROW()-1)=TRUE),0,(E554-E553)*unitsOfDHp+I553)</f>
        <v>281880</v>
      </c>
      <c r="J554">
        <f>IF(AND(MyRowHidden(ROW())=FALSE,MyRowHidden(ROW()-1)=TRUE),0,(G554-G553)*unitsOfExo+J553)</f>
        <v>86125</v>
      </c>
      <c r="K554" s="9">
        <f t="shared" si="26"/>
        <v>13875</v>
      </c>
      <c r="L554">
        <f t="shared" si="27"/>
        <v>368005</v>
      </c>
    </row>
    <row r="555" spans="1:12" x14ac:dyDescent="0.25">
      <c r="A555" s="1"/>
      <c r="C555" s="1"/>
      <c r="D555" s="1">
        <v>41485</v>
      </c>
      <c r="E555">
        <v>23653</v>
      </c>
      <c r="F555" s="1">
        <v>41485</v>
      </c>
      <c r="G555">
        <v>3812.5</v>
      </c>
      <c r="H555" s="1">
        <f t="shared" si="25"/>
        <v>41485</v>
      </c>
      <c r="I555">
        <f>IF(AND(MyRowHidden(ROW())=FALSE,MyRowHidden(ROW()-1)=TRUE),0,(E555-E554)*unitsOfDHp+I554)</f>
        <v>286530</v>
      </c>
      <c r="J555">
        <f>IF(AND(MyRowHidden(ROW())=FALSE,MyRowHidden(ROW()-1)=TRUE),0,(G555-G554)*unitsOfExo+J554)</f>
        <v>88125</v>
      </c>
      <c r="K555" s="9">
        <f t="shared" si="26"/>
        <v>11875</v>
      </c>
      <c r="L555">
        <f t="shared" si="27"/>
        <v>374655</v>
      </c>
    </row>
    <row r="556" spans="1:12" x14ac:dyDescent="0.25">
      <c r="A556" s="1"/>
      <c r="C556" s="1"/>
      <c r="D556" s="1">
        <v>41486</v>
      </c>
      <c r="E556">
        <v>24319</v>
      </c>
      <c r="F556" s="1">
        <v>41486</v>
      </c>
      <c r="G556">
        <v>4125</v>
      </c>
      <c r="H556" s="1">
        <f t="shared" si="25"/>
        <v>41486</v>
      </c>
      <c r="I556">
        <f>IF(AND(MyRowHidden(ROW())=FALSE,MyRowHidden(ROW()-1)=TRUE),0,(E556-E555)*unitsOfDHp+I555)</f>
        <v>293190</v>
      </c>
      <c r="J556">
        <f>IF(AND(MyRowHidden(ROW())=FALSE,MyRowHidden(ROW()-1)=TRUE),0,(G556-G555)*unitsOfExo+J555)</f>
        <v>91250</v>
      </c>
      <c r="K556" s="9">
        <f t="shared" si="26"/>
        <v>8750</v>
      </c>
      <c r="L556">
        <f t="shared" si="27"/>
        <v>384440</v>
      </c>
    </row>
    <row r="557" spans="1:12" x14ac:dyDescent="0.25">
      <c r="A557" s="1"/>
      <c r="C557" s="1"/>
      <c r="D557" s="1">
        <v>41487</v>
      </c>
      <c r="E557">
        <v>23107</v>
      </c>
      <c r="F557" s="1">
        <v>41487</v>
      </c>
      <c r="G557">
        <v>3550</v>
      </c>
      <c r="H557" s="1">
        <f t="shared" si="25"/>
        <v>41487</v>
      </c>
      <c r="I557">
        <f>IF(AND(MyRowHidden(ROW())=FALSE,MyRowHidden(ROW()-1)=TRUE),0,(E557-E556)*unitsOfDHp+I556)</f>
        <v>281070</v>
      </c>
      <c r="J557">
        <f>IF(AND(MyRowHidden(ROW())=FALSE,MyRowHidden(ROW()-1)=TRUE),0,(G557-G556)*unitsOfExo+J556)</f>
        <v>85500</v>
      </c>
      <c r="K557" s="9">
        <f t="shared" si="26"/>
        <v>14500</v>
      </c>
      <c r="L557">
        <f t="shared" si="27"/>
        <v>366570</v>
      </c>
    </row>
    <row r="558" spans="1:12" x14ac:dyDescent="0.25">
      <c r="A558" s="1"/>
      <c r="C558" s="1"/>
      <c r="D558" s="1">
        <v>41488</v>
      </c>
      <c r="E558">
        <v>22115</v>
      </c>
      <c r="F558" s="1">
        <v>41488</v>
      </c>
      <c r="G558">
        <v>3087.5</v>
      </c>
      <c r="H558" s="1">
        <f t="shared" si="25"/>
        <v>41488</v>
      </c>
      <c r="I558">
        <f>IF(AND(MyRowHidden(ROW())=FALSE,MyRowHidden(ROW()-1)=TRUE),0,(E558-E557)*unitsOfDHp+I557)</f>
        <v>271150</v>
      </c>
      <c r="J558">
        <f>IF(AND(MyRowHidden(ROW())=FALSE,MyRowHidden(ROW()-1)=TRUE),0,(G558-G557)*unitsOfExo+J557)</f>
        <v>80875</v>
      </c>
      <c r="K558" s="9">
        <f t="shared" si="26"/>
        <v>19125</v>
      </c>
      <c r="L558">
        <f t="shared" si="27"/>
        <v>352025</v>
      </c>
    </row>
    <row r="559" spans="1:12" x14ac:dyDescent="0.25">
      <c r="A559" s="1"/>
      <c r="C559" s="1"/>
      <c r="D559" s="1">
        <v>41491</v>
      </c>
      <c r="E559">
        <v>21087</v>
      </c>
      <c r="F559" s="1">
        <v>41491</v>
      </c>
      <c r="G559">
        <v>2612.5</v>
      </c>
      <c r="H559" s="1">
        <f t="shared" si="25"/>
        <v>41491</v>
      </c>
      <c r="I559">
        <f>IF(AND(MyRowHidden(ROW())=FALSE,MyRowHidden(ROW()-1)=TRUE),0,(E559-E558)*unitsOfDHp+I558)</f>
        <v>260870</v>
      </c>
      <c r="J559">
        <f>IF(AND(MyRowHidden(ROW())=FALSE,MyRowHidden(ROW()-1)=TRUE),0,(G559-G558)*unitsOfExo+J558)</f>
        <v>76125</v>
      </c>
      <c r="K559" s="9">
        <f t="shared" si="26"/>
        <v>23875</v>
      </c>
      <c r="L559">
        <f t="shared" si="27"/>
        <v>336995</v>
      </c>
    </row>
    <row r="560" spans="1:12" x14ac:dyDescent="0.25">
      <c r="A560" s="1"/>
      <c r="C560" s="1"/>
      <c r="D560" s="1">
        <v>41492</v>
      </c>
      <c r="E560">
        <v>21209</v>
      </c>
      <c r="F560" s="1">
        <v>41492</v>
      </c>
      <c r="G560">
        <v>2762.5</v>
      </c>
      <c r="H560" s="1">
        <f t="shared" si="25"/>
        <v>41492</v>
      </c>
      <c r="I560">
        <f>IF(AND(MyRowHidden(ROW())=FALSE,MyRowHidden(ROW()-1)=TRUE),0,(E560-E559)*unitsOfDHp+I559)</f>
        <v>262090</v>
      </c>
      <c r="J560">
        <f>IF(AND(MyRowHidden(ROW())=FALSE,MyRowHidden(ROW()-1)=TRUE),0,(G560-G559)*unitsOfExo+J559)</f>
        <v>77625</v>
      </c>
      <c r="K560" s="9">
        <f t="shared" si="26"/>
        <v>22375</v>
      </c>
      <c r="L560">
        <f t="shared" si="27"/>
        <v>339715</v>
      </c>
    </row>
    <row r="561" spans="1:12" x14ac:dyDescent="0.25">
      <c r="A561" s="1"/>
      <c r="C561" s="1"/>
      <c r="D561" s="1">
        <v>41493</v>
      </c>
      <c r="E561">
        <v>20881</v>
      </c>
      <c r="F561" s="1">
        <v>41493</v>
      </c>
      <c r="G561">
        <v>2612.5</v>
      </c>
      <c r="H561" s="1">
        <f t="shared" si="25"/>
        <v>41493</v>
      </c>
      <c r="I561">
        <f>IF(AND(MyRowHidden(ROW())=FALSE,MyRowHidden(ROW()-1)=TRUE),0,(E561-E560)*unitsOfDHp+I560)</f>
        <v>258810</v>
      </c>
      <c r="J561">
        <f>IF(AND(MyRowHidden(ROW())=FALSE,MyRowHidden(ROW()-1)=TRUE),0,(G561-G560)*unitsOfExo+J560)</f>
        <v>76125</v>
      </c>
      <c r="K561" s="9">
        <f t="shared" si="26"/>
        <v>23875</v>
      </c>
      <c r="L561">
        <f t="shared" si="27"/>
        <v>334935</v>
      </c>
    </row>
    <row r="562" spans="1:12" x14ac:dyDescent="0.25">
      <c r="A562" s="1"/>
      <c r="C562" s="1"/>
      <c r="D562" s="1">
        <v>41494</v>
      </c>
      <c r="E562">
        <v>21048</v>
      </c>
      <c r="F562" s="1">
        <v>41494</v>
      </c>
      <c r="G562">
        <v>2737.5</v>
      </c>
      <c r="H562" s="1">
        <f t="shared" si="25"/>
        <v>41494</v>
      </c>
      <c r="I562">
        <f>IF(AND(MyRowHidden(ROW())=FALSE,MyRowHidden(ROW()-1)=TRUE),0,(E562-E561)*unitsOfDHp+I561)</f>
        <v>260480</v>
      </c>
      <c r="J562">
        <f>IF(AND(MyRowHidden(ROW())=FALSE,MyRowHidden(ROW()-1)=TRUE),0,(G562-G561)*unitsOfExo+J561)</f>
        <v>77375</v>
      </c>
      <c r="K562" s="9">
        <f t="shared" si="26"/>
        <v>22625</v>
      </c>
      <c r="L562">
        <f t="shared" si="27"/>
        <v>337855</v>
      </c>
    </row>
    <row r="563" spans="1:12" x14ac:dyDescent="0.25">
      <c r="A563" s="1"/>
      <c r="C563" s="1"/>
      <c r="D563" s="1">
        <v>41495</v>
      </c>
      <c r="E563">
        <v>20733</v>
      </c>
      <c r="F563" s="1">
        <v>41495</v>
      </c>
      <c r="G563">
        <v>2562.5</v>
      </c>
      <c r="H563" s="1">
        <f t="shared" si="25"/>
        <v>41495</v>
      </c>
      <c r="I563">
        <f>IF(AND(MyRowHidden(ROW())=FALSE,MyRowHidden(ROW()-1)=TRUE),0,(E563-E562)*unitsOfDHp+I562)</f>
        <v>257330</v>
      </c>
      <c r="J563">
        <f>IF(AND(MyRowHidden(ROW())=FALSE,MyRowHidden(ROW()-1)=TRUE),0,(G563-G562)*unitsOfExo+J562)</f>
        <v>75625</v>
      </c>
      <c r="K563" s="9">
        <f t="shared" si="26"/>
        <v>24375</v>
      </c>
      <c r="L563">
        <f t="shared" si="27"/>
        <v>332955</v>
      </c>
    </row>
    <row r="564" spans="1:12" x14ac:dyDescent="0.25">
      <c r="A564" s="1"/>
      <c r="C564" s="1"/>
      <c r="D564" s="1">
        <v>41498</v>
      </c>
      <c r="E564">
        <v>21489</v>
      </c>
      <c r="F564" s="1">
        <v>41498</v>
      </c>
      <c r="G564">
        <v>2875</v>
      </c>
      <c r="H564" s="1">
        <f t="shared" si="25"/>
        <v>41498</v>
      </c>
      <c r="I564">
        <f>IF(AND(MyRowHidden(ROW())=FALSE,MyRowHidden(ROW()-1)=TRUE),0,(E564-E563)*unitsOfDHp+I563)</f>
        <v>264890</v>
      </c>
      <c r="J564">
        <f>IF(AND(MyRowHidden(ROW())=FALSE,MyRowHidden(ROW()-1)=TRUE),0,(G564-G563)*unitsOfExo+J563)</f>
        <v>78750</v>
      </c>
      <c r="K564" s="9">
        <f t="shared" si="26"/>
        <v>21250</v>
      </c>
      <c r="L564">
        <f t="shared" si="27"/>
        <v>343640</v>
      </c>
    </row>
    <row r="565" spans="1:12" x14ac:dyDescent="0.25">
      <c r="A565" s="1"/>
      <c r="C565" s="1"/>
      <c r="D565" s="1">
        <v>41499</v>
      </c>
      <c r="E565">
        <v>20151</v>
      </c>
      <c r="F565" s="1">
        <v>41499</v>
      </c>
      <c r="G565">
        <v>2112.5</v>
      </c>
      <c r="H565" s="1">
        <f t="shared" si="25"/>
        <v>41499</v>
      </c>
      <c r="I565">
        <f>IF(AND(MyRowHidden(ROW())=FALSE,MyRowHidden(ROW()-1)=TRUE),0,(E565-E564)*unitsOfDHp+I564)</f>
        <v>251510</v>
      </c>
      <c r="J565">
        <f>IF(AND(MyRowHidden(ROW())=FALSE,MyRowHidden(ROW()-1)=TRUE),0,(G565-G564)*unitsOfExo+J564)</f>
        <v>71125</v>
      </c>
      <c r="K565" s="9">
        <f t="shared" si="26"/>
        <v>28875</v>
      </c>
      <c r="L565">
        <f t="shared" si="27"/>
        <v>322635</v>
      </c>
    </row>
    <row r="566" spans="1:12" x14ac:dyDescent="0.25">
      <c r="A566" s="1"/>
      <c r="C566" s="1"/>
      <c r="D566" s="1">
        <v>41500</v>
      </c>
      <c r="E566">
        <v>20288</v>
      </c>
      <c r="F566" s="1">
        <v>41500</v>
      </c>
      <c r="G566">
        <v>2300</v>
      </c>
      <c r="H566" s="1">
        <f t="shared" si="25"/>
        <v>41500</v>
      </c>
      <c r="I566">
        <f>IF(AND(MyRowHidden(ROW())=FALSE,MyRowHidden(ROW()-1)=TRUE),0,(E566-E565)*unitsOfDHp+I565)</f>
        <v>252880</v>
      </c>
      <c r="J566">
        <f>IF(AND(MyRowHidden(ROW())=FALSE,MyRowHidden(ROW()-1)=TRUE),0,(G566-G565)*unitsOfExo+J565)</f>
        <v>73000</v>
      </c>
      <c r="K566" s="9">
        <f t="shared" si="26"/>
        <v>27000</v>
      </c>
      <c r="L566">
        <f t="shared" si="27"/>
        <v>325880</v>
      </c>
    </row>
    <row r="567" spans="1:12" x14ac:dyDescent="0.25">
      <c r="A567" s="1"/>
      <c r="C567" s="1"/>
      <c r="D567" s="1">
        <v>41501</v>
      </c>
      <c r="E567">
        <v>22342</v>
      </c>
      <c r="F567" s="1">
        <v>41501</v>
      </c>
      <c r="G567">
        <v>3112.5</v>
      </c>
      <c r="H567" s="1">
        <f t="shared" si="25"/>
        <v>41501</v>
      </c>
      <c r="I567">
        <f>IF(AND(MyRowHidden(ROW())=FALSE,MyRowHidden(ROW()-1)=TRUE),0,(E567-E566)*unitsOfDHp+I566)</f>
        <v>273420</v>
      </c>
      <c r="J567">
        <f>IF(AND(MyRowHidden(ROW())=FALSE,MyRowHidden(ROW()-1)=TRUE),0,(G567-G566)*unitsOfExo+J566)</f>
        <v>81125</v>
      </c>
      <c r="K567" s="9">
        <f t="shared" si="26"/>
        <v>18875</v>
      </c>
      <c r="L567">
        <f t="shared" si="27"/>
        <v>354545</v>
      </c>
    </row>
    <row r="568" spans="1:12" x14ac:dyDescent="0.25">
      <c r="A568" s="1"/>
      <c r="C568" s="1"/>
      <c r="D568" s="1">
        <v>41502</v>
      </c>
      <c r="E568">
        <v>21960</v>
      </c>
      <c r="F568" s="1">
        <v>41502</v>
      </c>
      <c r="G568">
        <v>2850</v>
      </c>
      <c r="H568" s="1">
        <f t="shared" si="25"/>
        <v>41502</v>
      </c>
      <c r="I568">
        <f>IF(AND(MyRowHidden(ROW())=FALSE,MyRowHidden(ROW()-1)=TRUE),0,(E568-E567)*unitsOfDHp+I567)</f>
        <v>269600</v>
      </c>
      <c r="J568">
        <f>IF(AND(MyRowHidden(ROW())=FALSE,MyRowHidden(ROW()-1)=TRUE),0,(G568-G567)*unitsOfExo+J567)</f>
        <v>78500</v>
      </c>
      <c r="K568" s="9">
        <f t="shared" si="26"/>
        <v>21500</v>
      </c>
      <c r="L568">
        <f t="shared" si="27"/>
        <v>348100</v>
      </c>
    </row>
    <row r="569" spans="1:12" x14ac:dyDescent="0.25">
      <c r="A569" s="1"/>
      <c r="C569" s="1"/>
      <c r="D569" s="1">
        <v>41505</v>
      </c>
      <c r="E569">
        <v>23374</v>
      </c>
      <c r="F569" s="1">
        <v>41505</v>
      </c>
      <c r="G569">
        <v>3650</v>
      </c>
      <c r="H569" s="1">
        <f t="shared" si="25"/>
        <v>41505</v>
      </c>
      <c r="I569">
        <f>IF(AND(MyRowHidden(ROW())=FALSE,MyRowHidden(ROW()-1)=TRUE),0,(E569-E568)*unitsOfDHp+I568)</f>
        <v>283740</v>
      </c>
      <c r="J569">
        <f>IF(AND(MyRowHidden(ROW())=FALSE,MyRowHidden(ROW()-1)=TRUE),0,(G569-G568)*unitsOfExo+J568)</f>
        <v>86500</v>
      </c>
      <c r="K569" s="9">
        <f t="shared" si="26"/>
        <v>13500</v>
      </c>
      <c r="L569">
        <f t="shared" si="27"/>
        <v>370240</v>
      </c>
    </row>
    <row r="570" spans="1:12" x14ac:dyDescent="0.25">
      <c r="A570" s="1"/>
      <c r="C570" s="1"/>
      <c r="D570" s="1">
        <v>41506</v>
      </c>
      <c r="E570">
        <v>23192</v>
      </c>
      <c r="F570" s="1">
        <v>41506</v>
      </c>
      <c r="G570">
        <v>3500</v>
      </c>
      <c r="H570" s="1">
        <f t="shared" si="25"/>
        <v>41506</v>
      </c>
      <c r="I570">
        <f>IF(AND(MyRowHidden(ROW())=FALSE,MyRowHidden(ROW()-1)=TRUE),0,(E570-E569)*unitsOfDHp+I569)</f>
        <v>281920</v>
      </c>
      <c r="J570">
        <f>IF(AND(MyRowHidden(ROW())=FALSE,MyRowHidden(ROW()-1)=TRUE),0,(G570-G569)*unitsOfExo+J569)</f>
        <v>85000</v>
      </c>
      <c r="K570" s="9">
        <f t="shared" si="26"/>
        <v>15000</v>
      </c>
      <c r="L570">
        <f t="shared" si="27"/>
        <v>366920</v>
      </c>
    </row>
    <row r="571" spans="1:12" x14ac:dyDescent="0.25">
      <c r="A571" s="1"/>
      <c r="C571" s="1"/>
      <c r="D571" s="1">
        <v>41507</v>
      </c>
      <c r="E571">
        <v>23855</v>
      </c>
      <c r="F571" s="1">
        <v>41507</v>
      </c>
      <c r="G571">
        <v>4112.5</v>
      </c>
      <c r="H571" s="1">
        <f t="shared" si="25"/>
        <v>41507</v>
      </c>
      <c r="I571">
        <f>IF(AND(MyRowHidden(ROW())=FALSE,MyRowHidden(ROW()-1)=TRUE),0,(E571-E570)*unitsOfDHp+I570)</f>
        <v>288550</v>
      </c>
      <c r="J571">
        <f>IF(AND(MyRowHidden(ROW())=FALSE,MyRowHidden(ROW()-1)=TRUE),0,(G571-G570)*unitsOfExo+J570)</f>
        <v>91125</v>
      </c>
      <c r="K571" s="9">
        <f t="shared" si="26"/>
        <v>8875</v>
      </c>
      <c r="L571">
        <f t="shared" si="27"/>
        <v>379675</v>
      </c>
    </row>
    <row r="572" spans="1:12" x14ac:dyDescent="0.25">
      <c r="A572" s="1"/>
      <c r="C572" s="1"/>
      <c r="D572" s="1">
        <v>41508</v>
      </c>
      <c r="E572">
        <v>23313</v>
      </c>
      <c r="F572" s="1">
        <v>41508</v>
      </c>
      <c r="G572">
        <v>3712.5</v>
      </c>
      <c r="H572" s="1">
        <f t="shared" si="25"/>
        <v>41508</v>
      </c>
      <c r="I572">
        <f>IF(AND(MyRowHidden(ROW())=FALSE,MyRowHidden(ROW()-1)=TRUE),0,(E572-E571)*unitsOfDHp+I571)</f>
        <v>283130</v>
      </c>
      <c r="J572">
        <f>IF(AND(MyRowHidden(ROW())=FALSE,MyRowHidden(ROW()-1)=TRUE),0,(G572-G571)*unitsOfExo+J571)</f>
        <v>87125</v>
      </c>
      <c r="K572" s="9">
        <f t="shared" si="26"/>
        <v>12875</v>
      </c>
      <c r="L572">
        <f t="shared" si="27"/>
        <v>370255</v>
      </c>
    </row>
    <row r="573" spans="1:12" x14ac:dyDescent="0.25">
      <c r="A573" s="1"/>
      <c r="C573" s="1"/>
      <c r="D573" s="1">
        <v>41509</v>
      </c>
      <c r="E573">
        <v>23686</v>
      </c>
      <c r="F573" s="1">
        <v>41509</v>
      </c>
      <c r="G573">
        <v>4075</v>
      </c>
      <c r="H573" s="1">
        <f t="shared" si="25"/>
        <v>41509</v>
      </c>
      <c r="I573">
        <f>IF(AND(MyRowHidden(ROW())=FALSE,MyRowHidden(ROW()-1)=TRUE),0,(E573-E572)*unitsOfDHp+I572)</f>
        <v>286860</v>
      </c>
      <c r="J573">
        <f>IF(AND(MyRowHidden(ROW())=FALSE,MyRowHidden(ROW()-1)=TRUE),0,(G573-G572)*unitsOfExo+J572)</f>
        <v>90750</v>
      </c>
      <c r="K573" s="9">
        <f t="shared" si="26"/>
        <v>9250</v>
      </c>
      <c r="L573">
        <f t="shared" si="27"/>
        <v>377610</v>
      </c>
    </row>
    <row r="574" spans="1:12" x14ac:dyDescent="0.25">
      <c r="A574" s="1"/>
      <c r="C574" s="1"/>
      <c r="D574" s="1">
        <v>41512</v>
      </c>
      <c r="E574">
        <v>27555</v>
      </c>
      <c r="F574" s="1">
        <v>41512</v>
      </c>
      <c r="G574">
        <v>5237.5</v>
      </c>
      <c r="H574" s="1">
        <f t="shared" si="25"/>
        <v>41512</v>
      </c>
      <c r="I574">
        <f>IF(AND(MyRowHidden(ROW())=FALSE,MyRowHidden(ROW()-1)=TRUE),0,(E574-E573)*unitsOfDHp+I573)</f>
        <v>325550</v>
      </c>
      <c r="J574">
        <f>IF(AND(MyRowHidden(ROW())=FALSE,MyRowHidden(ROW()-1)=TRUE),0,(G574-G573)*unitsOfExo+J573)</f>
        <v>102375</v>
      </c>
      <c r="K574" s="9">
        <f t="shared" si="26"/>
        <v>-2375</v>
      </c>
      <c r="L574">
        <f t="shared" si="27"/>
        <v>427925</v>
      </c>
    </row>
    <row r="575" spans="1:12" x14ac:dyDescent="0.25">
      <c r="A575" s="1"/>
      <c r="C575" s="1"/>
      <c r="D575" s="1">
        <v>41513</v>
      </c>
      <c r="E575">
        <v>27214</v>
      </c>
      <c r="F575" s="1">
        <v>41513</v>
      </c>
      <c r="G575">
        <v>4412.5</v>
      </c>
      <c r="H575" s="1">
        <f t="shared" si="25"/>
        <v>41513</v>
      </c>
      <c r="I575">
        <f>IF(AND(MyRowHidden(ROW())=FALSE,MyRowHidden(ROW()-1)=TRUE),0,(E575-E574)*unitsOfDHp+I574)</f>
        <v>322140</v>
      </c>
      <c r="J575">
        <f>IF(AND(MyRowHidden(ROW())=FALSE,MyRowHidden(ROW()-1)=TRUE),0,(G575-G574)*unitsOfExo+J574)</f>
        <v>94125</v>
      </c>
      <c r="K575" s="9">
        <f t="shared" si="26"/>
        <v>5875</v>
      </c>
      <c r="L575">
        <f t="shared" si="27"/>
        <v>416265</v>
      </c>
    </row>
    <row r="576" spans="1:12" x14ac:dyDescent="0.25">
      <c r="A576" s="1"/>
      <c r="C576" s="1"/>
      <c r="D576" s="1">
        <v>41514</v>
      </c>
      <c r="E576">
        <v>27198</v>
      </c>
      <c r="F576" s="1">
        <v>41514</v>
      </c>
      <c r="G576">
        <v>4262.5</v>
      </c>
      <c r="H576" s="1">
        <f t="shared" si="25"/>
        <v>41514</v>
      </c>
      <c r="I576">
        <f>IF(AND(MyRowHidden(ROW())=FALSE,MyRowHidden(ROW()-1)=TRUE),0,(E576-E575)*unitsOfDHp+I575)</f>
        <v>321980</v>
      </c>
      <c r="J576">
        <f>IF(AND(MyRowHidden(ROW())=FALSE,MyRowHidden(ROW()-1)=TRUE),0,(G576-G575)*unitsOfExo+J575)</f>
        <v>92625</v>
      </c>
      <c r="K576" s="9">
        <f t="shared" si="26"/>
        <v>7375</v>
      </c>
      <c r="L576">
        <f t="shared" si="27"/>
        <v>414605</v>
      </c>
    </row>
    <row r="577" spans="1:12" x14ac:dyDescent="0.25">
      <c r="A577" s="1"/>
      <c r="C577" s="1"/>
      <c r="D577" s="1">
        <v>41515</v>
      </c>
      <c r="E577">
        <v>27279</v>
      </c>
      <c r="F577" s="1">
        <v>41515</v>
      </c>
      <c r="G577">
        <v>4175</v>
      </c>
      <c r="H577" s="1">
        <f t="shared" si="25"/>
        <v>41515</v>
      </c>
      <c r="I577">
        <f>IF(AND(MyRowHidden(ROW())=FALSE,MyRowHidden(ROW()-1)=TRUE),0,(E577-E576)*unitsOfDHp+I576)</f>
        <v>322790</v>
      </c>
      <c r="J577">
        <f>IF(AND(MyRowHidden(ROW())=FALSE,MyRowHidden(ROW()-1)=TRUE),0,(G577-G576)*unitsOfExo+J576)</f>
        <v>91750</v>
      </c>
      <c r="K577" s="9">
        <f t="shared" si="26"/>
        <v>8250</v>
      </c>
      <c r="L577">
        <f t="shared" si="27"/>
        <v>414540</v>
      </c>
    </row>
    <row r="578" spans="1:12" x14ac:dyDescent="0.25">
      <c r="A578" s="1"/>
      <c r="C578" s="1"/>
      <c r="D578" s="1">
        <v>41516</v>
      </c>
      <c r="E578">
        <v>27271</v>
      </c>
      <c r="F578" s="1">
        <v>41516</v>
      </c>
      <c r="G578">
        <v>3625</v>
      </c>
      <c r="H578" s="1">
        <f t="shared" si="25"/>
        <v>41516</v>
      </c>
      <c r="I578">
        <f>IF(AND(MyRowHidden(ROW())=FALSE,MyRowHidden(ROW()-1)=TRUE),0,(E578-E577)*unitsOfDHp+I577)</f>
        <v>322710</v>
      </c>
      <c r="J578">
        <f>IF(AND(MyRowHidden(ROW())=FALSE,MyRowHidden(ROW()-1)=TRUE),0,(G578-G577)*unitsOfExo+J577)</f>
        <v>86250</v>
      </c>
      <c r="K578" s="9">
        <f t="shared" si="26"/>
        <v>13750</v>
      </c>
      <c r="L578">
        <f t="shared" si="27"/>
        <v>408960</v>
      </c>
    </row>
    <row r="579" spans="1:12" x14ac:dyDescent="0.25">
      <c r="A579" s="1"/>
      <c r="C579" s="1"/>
      <c r="D579" s="1">
        <v>41520</v>
      </c>
      <c r="E579">
        <v>26762</v>
      </c>
      <c r="F579" s="1">
        <v>41520</v>
      </c>
      <c r="G579">
        <v>3712.5</v>
      </c>
      <c r="H579" s="1">
        <f t="shared" si="25"/>
        <v>41520</v>
      </c>
      <c r="I579">
        <f>IF(AND(MyRowHidden(ROW())=FALSE,MyRowHidden(ROW()-1)=TRUE),0,(E579-E578)*unitsOfDHp+I578)</f>
        <v>317620</v>
      </c>
      <c r="J579">
        <f>IF(AND(MyRowHidden(ROW())=FALSE,MyRowHidden(ROW()-1)=TRUE),0,(G579-G578)*unitsOfExo+J578)</f>
        <v>87125</v>
      </c>
      <c r="K579" s="9">
        <f t="shared" si="26"/>
        <v>12875</v>
      </c>
      <c r="L579">
        <f t="shared" si="27"/>
        <v>404745</v>
      </c>
    </row>
    <row r="580" spans="1:12" x14ac:dyDescent="0.25">
      <c r="A580" s="1"/>
      <c r="C580" s="1"/>
      <c r="D580" s="1">
        <v>41521</v>
      </c>
      <c r="E580">
        <v>26642</v>
      </c>
      <c r="F580" s="1">
        <v>41521</v>
      </c>
      <c r="G580">
        <v>3937.5</v>
      </c>
      <c r="H580" s="1">
        <f t="shared" si="25"/>
        <v>41521</v>
      </c>
      <c r="I580">
        <f>IF(AND(MyRowHidden(ROW())=FALSE,MyRowHidden(ROW()-1)=TRUE),0,(E580-E579)*unitsOfDHp+I579)</f>
        <v>316420</v>
      </c>
      <c r="J580">
        <f>IF(AND(MyRowHidden(ROW())=FALSE,MyRowHidden(ROW()-1)=TRUE),0,(G580-G579)*unitsOfExo+J579)</f>
        <v>89375</v>
      </c>
      <c r="K580" s="9">
        <f t="shared" si="26"/>
        <v>10625</v>
      </c>
      <c r="L580">
        <f t="shared" si="27"/>
        <v>405795</v>
      </c>
    </row>
    <row r="581" spans="1:12" x14ac:dyDescent="0.25">
      <c r="A581" s="1"/>
      <c r="C581" s="1"/>
      <c r="D581" s="1">
        <v>41522</v>
      </c>
      <c r="E581">
        <v>26265</v>
      </c>
      <c r="F581" s="1">
        <v>41522</v>
      </c>
      <c r="G581">
        <v>3412.5</v>
      </c>
      <c r="H581" s="1">
        <f t="shared" si="25"/>
        <v>41522</v>
      </c>
      <c r="I581">
        <f>IF(AND(MyRowHidden(ROW())=FALSE,MyRowHidden(ROW()-1)=TRUE),0,(E581-E580)*unitsOfDHp+I580)</f>
        <v>312650</v>
      </c>
      <c r="J581">
        <f>IF(AND(MyRowHidden(ROW())=FALSE,MyRowHidden(ROW()-1)=TRUE),0,(G581-G580)*unitsOfExo+J580)</f>
        <v>84125</v>
      </c>
      <c r="K581" s="9">
        <f t="shared" si="26"/>
        <v>15875</v>
      </c>
      <c r="L581">
        <f t="shared" si="27"/>
        <v>396775</v>
      </c>
    </row>
    <row r="582" spans="1:12" x14ac:dyDescent="0.25">
      <c r="A582" s="1"/>
      <c r="C582" s="1"/>
      <c r="D582" s="1">
        <v>41523</v>
      </c>
      <c r="E582">
        <v>26601</v>
      </c>
      <c r="F582" s="1">
        <v>41523</v>
      </c>
      <c r="G582">
        <v>3812.5</v>
      </c>
      <c r="H582" s="1">
        <f t="shared" si="25"/>
        <v>41523</v>
      </c>
      <c r="I582">
        <f>IF(AND(MyRowHidden(ROW())=FALSE,MyRowHidden(ROW()-1)=TRUE),0,(E582-E581)*unitsOfDHp+I581)</f>
        <v>316010</v>
      </c>
      <c r="J582">
        <f>IF(AND(MyRowHidden(ROW())=FALSE,MyRowHidden(ROW()-1)=TRUE),0,(G582-G581)*unitsOfExo+J581)</f>
        <v>88125</v>
      </c>
      <c r="K582" s="9">
        <f t="shared" si="26"/>
        <v>11875</v>
      </c>
      <c r="L582">
        <f t="shared" si="27"/>
        <v>404135</v>
      </c>
    </row>
    <row r="583" spans="1:12" x14ac:dyDescent="0.25">
      <c r="A583" s="1"/>
      <c r="C583" s="1"/>
      <c r="D583" s="1">
        <v>41526</v>
      </c>
      <c r="E583">
        <v>26392</v>
      </c>
      <c r="F583" s="1">
        <v>41526</v>
      </c>
      <c r="G583">
        <v>3025</v>
      </c>
      <c r="H583" s="1">
        <f t="shared" si="25"/>
        <v>41526</v>
      </c>
      <c r="I583">
        <f>IF(AND(MyRowHidden(ROW())=FALSE,MyRowHidden(ROW()-1)=TRUE),0,(E583-E582)*unitsOfDHp+I582)</f>
        <v>313920</v>
      </c>
      <c r="J583">
        <f>IF(AND(MyRowHidden(ROW())=FALSE,MyRowHidden(ROW()-1)=TRUE),0,(G583-G582)*unitsOfExo+J582)</f>
        <v>80250</v>
      </c>
      <c r="K583" s="9">
        <f t="shared" si="26"/>
        <v>19750</v>
      </c>
      <c r="L583">
        <f t="shared" si="27"/>
        <v>394170</v>
      </c>
    </row>
    <row r="584" spans="1:12" x14ac:dyDescent="0.25">
      <c r="A584" s="1"/>
      <c r="C584" s="1"/>
      <c r="D584" s="1">
        <v>41527</v>
      </c>
      <c r="E584">
        <v>26621</v>
      </c>
      <c r="F584" s="1">
        <v>41527</v>
      </c>
      <c r="G584">
        <v>2900</v>
      </c>
      <c r="H584" s="1">
        <f t="shared" si="25"/>
        <v>41527</v>
      </c>
      <c r="I584">
        <f>IF(AND(MyRowHidden(ROW())=FALSE,MyRowHidden(ROW()-1)=TRUE),0,(E584-E583)*unitsOfDHp+I583)</f>
        <v>316210</v>
      </c>
      <c r="J584">
        <f>IF(AND(MyRowHidden(ROW())=FALSE,MyRowHidden(ROW()-1)=TRUE),0,(G584-G583)*unitsOfExo+J583)</f>
        <v>79000</v>
      </c>
      <c r="K584" s="9">
        <f t="shared" si="26"/>
        <v>21000</v>
      </c>
      <c r="L584">
        <f t="shared" si="27"/>
        <v>395210</v>
      </c>
    </row>
    <row r="585" spans="1:12" x14ac:dyDescent="0.25">
      <c r="A585" s="1"/>
      <c r="C585" s="1"/>
      <c r="D585" s="1">
        <v>41528</v>
      </c>
      <c r="E585">
        <v>26683</v>
      </c>
      <c r="F585" s="1">
        <v>41528</v>
      </c>
      <c r="G585">
        <v>2987.5</v>
      </c>
      <c r="H585" s="1">
        <f t="shared" si="25"/>
        <v>41528</v>
      </c>
      <c r="I585">
        <f>IF(AND(MyRowHidden(ROW())=FALSE,MyRowHidden(ROW()-1)=TRUE),0,(E585-E584)*unitsOfDHp+I584)</f>
        <v>316830</v>
      </c>
      <c r="J585">
        <f>IF(AND(MyRowHidden(ROW())=FALSE,MyRowHidden(ROW()-1)=TRUE),0,(G585-G584)*unitsOfExo+J584)</f>
        <v>79875</v>
      </c>
      <c r="K585" s="9">
        <f t="shared" si="26"/>
        <v>20125</v>
      </c>
      <c r="L585">
        <f t="shared" si="27"/>
        <v>396705</v>
      </c>
    </row>
    <row r="586" spans="1:12" x14ac:dyDescent="0.25">
      <c r="A586" s="1"/>
      <c r="C586" s="1"/>
      <c r="D586" s="1">
        <v>41529</v>
      </c>
      <c r="E586">
        <v>26811</v>
      </c>
      <c r="F586" s="1">
        <v>41529</v>
      </c>
      <c r="G586">
        <v>2537.5</v>
      </c>
      <c r="H586" s="1">
        <f t="shared" si="25"/>
        <v>41529</v>
      </c>
      <c r="I586">
        <f>IF(AND(MyRowHidden(ROW())=FALSE,MyRowHidden(ROW()-1)=TRUE),0,(E586-E585)*unitsOfDHp+I585)</f>
        <v>318110</v>
      </c>
      <c r="J586">
        <f>IF(AND(MyRowHidden(ROW())=FALSE,MyRowHidden(ROW()-1)=TRUE),0,(G586-G585)*unitsOfExo+J585)</f>
        <v>75375</v>
      </c>
      <c r="K586" s="9">
        <f t="shared" si="26"/>
        <v>24625</v>
      </c>
      <c r="L586">
        <f t="shared" si="27"/>
        <v>393485</v>
      </c>
    </row>
    <row r="587" spans="1:12" x14ac:dyDescent="0.25">
      <c r="A587" s="1"/>
      <c r="C587" s="1"/>
      <c r="D587" s="1">
        <v>41530</v>
      </c>
      <c r="E587">
        <v>26943</v>
      </c>
      <c r="F587" s="1">
        <v>41530</v>
      </c>
      <c r="G587">
        <v>2525</v>
      </c>
      <c r="H587" s="1">
        <f t="shared" si="25"/>
        <v>41530</v>
      </c>
      <c r="I587">
        <f>IF(AND(MyRowHidden(ROW())=FALSE,MyRowHidden(ROW()-1)=TRUE),0,(E587-E586)*unitsOfDHp+I586)</f>
        <v>319430</v>
      </c>
      <c r="J587">
        <f>IF(AND(MyRowHidden(ROW())=FALSE,MyRowHidden(ROW()-1)=TRUE),0,(G587-G586)*unitsOfExo+J586)</f>
        <v>75250</v>
      </c>
      <c r="K587" s="9">
        <f t="shared" si="26"/>
        <v>24750</v>
      </c>
      <c r="L587">
        <f t="shared" si="27"/>
        <v>394680</v>
      </c>
    </row>
    <row r="588" spans="1:12" x14ac:dyDescent="0.25">
      <c r="A588" s="1"/>
      <c r="C588" s="1"/>
      <c r="D588" s="1">
        <v>41533</v>
      </c>
      <c r="E588">
        <v>26696</v>
      </c>
      <c r="F588" s="1">
        <v>41533</v>
      </c>
      <c r="G588">
        <v>2337.5</v>
      </c>
      <c r="H588" s="1">
        <f t="shared" si="25"/>
        <v>41533</v>
      </c>
      <c r="I588">
        <f>IF(AND(MyRowHidden(ROW())=FALSE,MyRowHidden(ROW()-1)=TRUE),0,(E588-E587)*unitsOfDHp+I587)</f>
        <v>316960</v>
      </c>
      <c r="J588">
        <f>IF(AND(MyRowHidden(ROW())=FALSE,MyRowHidden(ROW()-1)=TRUE),0,(G588-G587)*unitsOfExo+J587)</f>
        <v>73375</v>
      </c>
      <c r="K588" s="9">
        <f t="shared" si="26"/>
        <v>26625</v>
      </c>
      <c r="L588">
        <f t="shared" si="27"/>
        <v>390335</v>
      </c>
    </row>
    <row r="589" spans="1:12" x14ac:dyDescent="0.25">
      <c r="A589" s="1"/>
      <c r="C589" s="1"/>
      <c r="D589" s="1">
        <v>41534</v>
      </c>
      <c r="E589">
        <v>26624</v>
      </c>
      <c r="F589" s="1">
        <v>41534</v>
      </c>
      <c r="G589">
        <v>2300</v>
      </c>
      <c r="H589" s="1">
        <f t="shared" ref="H589:H652" si="28">D589</f>
        <v>41534</v>
      </c>
      <c r="I589">
        <f>IF(AND(MyRowHidden(ROW())=FALSE,MyRowHidden(ROW()-1)=TRUE),0,(E589-E588)*unitsOfDHp+I588)</f>
        <v>316240</v>
      </c>
      <c r="J589">
        <f>IF(AND(MyRowHidden(ROW())=FALSE,MyRowHidden(ROW()-1)=TRUE),0,(G589-G588)*unitsOfExo+J588)</f>
        <v>73000</v>
      </c>
      <c r="K589" s="9">
        <f t="shared" ref="K589:K652" si="29">-(J589-J588)+K588</f>
        <v>27000</v>
      </c>
      <c r="L589">
        <f t="shared" ref="L589:L652" si="30">I589+J589</f>
        <v>389240</v>
      </c>
    </row>
    <row r="590" spans="1:12" x14ac:dyDescent="0.25">
      <c r="A590" s="1"/>
      <c r="C590" s="1"/>
      <c r="D590" s="1">
        <v>41535</v>
      </c>
      <c r="E590">
        <v>26486</v>
      </c>
      <c r="F590" s="1">
        <v>41535</v>
      </c>
      <c r="G590">
        <v>2225</v>
      </c>
      <c r="H590" s="1">
        <f t="shared" si="28"/>
        <v>41535</v>
      </c>
      <c r="I590">
        <f>IF(AND(MyRowHidden(ROW())=FALSE,MyRowHidden(ROW()-1)=TRUE),0,(E590-E589)*unitsOfDHp+I589)</f>
        <v>314860</v>
      </c>
      <c r="J590">
        <f>IF(AND(MyRowHidden(ROW())=FALSE,MyRowHidden(ROW()-1)=TRUE),0,(G590-G589)*unitsOfExo+J589)</f>
        <v>72250</v>
      </c>
      <c r="K590" s="9">
        <f t="shared" si="29"/>
        <v>27750</v>
      </c>
      <c r="L590">
        <f t="shared" si="30"/>
        <v>387110</v>
      </c>
    </row>
    <row r="591" spans="1:12" x14ac:dyDescent="0.25">
      <c r="A591" s="1"/>
      <c r="C591" s="1"/>
      <c r="D591" s="1">
        <v>41536</v>
      </c>
      <c r="E591">
        <v>26633</v>
      </c>
      <c r="F591" s="1">
        <v>41536</v>
      </c>
      <c r="G591">
        <v>2375</v>
      </c>
      <c r="H591" s="1">
        <f t="shared" si="28"/>
        <v>41536</v>
      </c>
      <c r="I591">
        <f>IF(AND(MyRowHidden(ROW())=FALSE,MyRowHidden(ROW()-1)=TRUE),0,(E591-E590)*unitsOfDHp+I590)</f>
        <v>316330</v>
      </c>
      <c r="J591">
        <f>IF(AND(MyRowHidden(ROW())=FALSE,MyRowHidden(ROW()-1)=TRUE),0,(G591-G590)*unitsOfExo+J590)</f>
        <v>73750</v>
      </c>
      <c r="K591" s="9">
        <f t="shared" si="29"/>
        <v>26250</v>
      </c>
      <c r="L591">
        <f t="shared" si="30"/>
        <v>390080</v>
      </c>
    </row>
    <row r="592" spans="1:12" x14ac:dyDescent="0.25">
      <c r="A592" s="1"/>
      <c r="C592" s="1"/>
      <c r="D592" s="1">
        <v>41537</v>
      </c>
      <c r="E592">
        <v>26362</v>
      </c>
      <c r="F592" s="1">
        <v>41537</v>
      </c>
      <c r="G592">
        <v>2075</v>
      </c>
      <c r="H592" s="1">
        <f t="shared" si="28"/>
        <v>41537</v>
      </c>
      <c r="I592">
        <f>IF(AND(MyRowHidden(ROW())=FALSE,MyRowHidden(ROW()-1)=TRUE),0,(E592-E591)*unitsOfDHp+I591)</f>
        <v>313620</v>
      </c>
      <c r="J592">
        <f>IF(AND(MyRowHidden(ROW())=FALSE,MyRowHidden(ROW()-1)=TRUE),0,(G592-G591)*unitsOfExo+J591)</f>
        <v>70750</v>
      </c>
      <c r="K592" s="9">
        <f t="shared" si="29"/>
        <v>29250</v>
      </c>
      <c r="L592">
        <f t="shared" si="30"/>
        <v>384370</v>
      </c>
    </row>
    <row r="593" spans="1:12" x14ac:dyDescent="0.25">
      <c r="A593" s="1"/>
      <c r="C593" s="1"/>
      <c r="D593" s="1">
        <v>41540</v>
      </c>
      <c r="E593">
        <v>26365</v>
      </c>
      <c r="F593" s="1">
        <v>41540</v>
      </c>
      <c r="G593">
        <v>2125</v>
      </c>
      <c r="H593" s="1">
        <f t="shared" si="28"/>
        <v>41540</v>
      </c>
      <c r="I593">
        <f>IF(AND(MyRowHidden(ROW())=FALSE,MyRowHidden(ROW()-1)=TRUE),0,(E593-E592)*unitsOfDHp+I592)</f>
        <v>313650</v>
      </c>
      <c r="J593">
        <f>IF(AND(MyRowHidden(ROW())=FALSE,MyRowHidden(ROW()-1)=TRUE),0,(G593-G592)*unitsOfExo+J592)</f>
        <v>71250</v>
      </c>
      <c r="K593" s="9">
        <f t="shared" si="29"/>
        <v>28750</v>
      </c>
      <c r="L593">
        <f t="shared" si="30"/>
        <v>384900</v>
      </c>
    </row>
    <row r="594" spans="1:12" x14ac:dyDescent="0.25">
      <c r="A594" s="1"/>
      <c r="C594" s="1"/>
      <c r="D594" s="1">
        <v>41541</v>
      </c>
      <c r="E594">
        <v>26274</v>
      </c>
      <c r="F594" s="1">
        <v>41541</v>
      </c>
      <c r="G594">
        <v>1937.5</v>
      </c>
      <c r="H594" s="1">
        <f t="shared" si="28"/>
        <v>41541</v>
      </c>
      <c r="I594">
        <f>IF(AND(MyRowHidden(ROW())=FALSE,MyRowHidden(ROW()-1)=TRUE),0,(E594-E593)*unitsOfDHp+I593)</f>
        <v>312740</v>
      </c>
      <c r="J594">
        <f>IF(AND(MyRowHidden(ROW())=FALSE,MyRowHidden(ROW()-1)=TRUE),0,(G594-G593)*unitsOfExo+J593)</f>
        <v>69375</v>
      </c>
      <c r="K594" s="9">
        <f t="shared" si="29"/>
        <v>30625</v>
      </c>
      <c r="L594">
        <f t="shared" si="30"/>
        <v>382115</v>
      </c>
    </row>
    <row r="595" spans="1:12" x14ac:dyDescent="0.25">
      <c r="A595" s="1"/>
      <c r="C595" s="1"/>
      <c r="D595" s="1">
        <v>41542</v>
      </c>
      <c r="E595">
        <v>26288</v>
      </c>
      <c r="F595" s="1">
        <v>41542</v>
      </c>
      <c r="G595">
        <v>2337.5</v>
      </c>
      <c r="H595" s="1">
        <f t="shared" si="28"/>
        <v>41542</v>
      </c>
      <c r="I595">
        <f>IF(AND(MyRowHidden(ROW())=FALSE,MyRowHidden(ROW()-1)=TRUE),0,(E595-E594)*unitsOfDHp+I594)</f>
        <v>312880</v>
      </c>
      <c r="J595">
        <f>IF(AND(MyRowHidden(ROW())=FALSE,MyRowHidden(ROW()-1)=TRUE),0,(G595-G594)*unitsOfExo+J594)</f>
        <v>73375</v>
      </c>
      <c r="K595" s="9">
        <f t="shared" si="29"/>
        <v>26625</v>
      </c>
      <c r="L595">
        <f t="shared" si="30"/>
        <v>386255</v>
      </c>
    </row>
    <row r="596" spans="1:12" x14ac:dyDescent="0.25">
      <c r="A596" s="1"/>
      <c r="C596" s="1"/>
      <c r="D596" s="1">
        <v>41543</v>
      </c>
      <c r="E596">
        <v>26284</v>
      </c>
      <c r="F596" s="1">
        <v>41543</v>
      </c>
      <c r="G596">
        <v>2275</v>
      </c>
      <c r="H596" s="1">
        <f t="shared" si="28"/>
        <v>41543</v>
      </c>
      <c r="I596">
        <f>IF(AND(MyRowHidden(ROW())=FALSE,MyRowHidden(ROW()-1)=TRUE),0,(E596-E595)*unitsOfDHp+I595)</f>
        <v>312840</v>
      </c>
      <c r="J596">
        <f>IF(AND(MyRowHidden(ROW())=FALSE,MyRowHidden(ROW()-1)=TRUE),0,(G596-G595)*unitsOfExo+J595)</f>
        <v>72750</v>
      </c>
      <c r="K596" s="9">
        <f t="shared" si="29"/>
        <v>27250</v>
      </c>
      <c r="L596">
        <f t="shared" si="30"/>
        <v>385590</v>
      </c>
    </row>
    <row r="597" spans="1:12" x14ac:dyDescent="0.25">
      <c r="A597" s="1"/>
      <c r="C597" s="1"/>
      <c r="D597" s="1">
        <v>41544</v>
      </c>
      <c r="E597">
        <v>26286</v>
      </c>
      <c r="F597" s="1">
        <v>41544</v>
      </c>
      <c r="G597">
        <v>2237.5</v>
      </c>
      <c r="H597" s="1">
        <f t="shared" si="28"/>
        <v>41544</v>
      </c>
      <c r="I597">
        <f>IF(AND(MyRowHidden(ROW())=FALSE,MyRowHidden(ROW()-1)=TRUE),0,(E597-E596)*unitsOfDHp+I596)</f>
        <v>312860</v>
      </c>
      <c r="J597">
        <f>IF(AND(MyRowHidden(ROW())=FALSE,MyRowHidden(ROW()-1)=TRUE),0,(G597-G596)*unitsOfExo+J596)</f>
        <v>72375</v>
      </c>
      <c r="K597" s="9">
        <f t="shared" si="29"/>
        <v>27625</v>
      </c>
      <c r="L597">
        <f t="shared" si="30"/>
        <v>385235</v>
      </c>
    </row>
    <row r="598" spans="1:12" x14ac:dyDescent="0.25">
      <c r="A598" s="1"/>
      <c r="C598" s="1"/>
      <c r="D598" s="1">
        <v>41547</v>
      </c>
      <c r="E598">
        <v>26008</v>
      </c>
      <c r="F598" s="1">
        <v>41547</v>
      </c>
      <c r="G598">
        <v>1750</v>
      </c>
      <c r="H598" s="1">
        <f t="shared" si="28"/>
        <v>41547</v>
      </c>
      <c r="I598">
        <f>IF(AND(MyRowHidden(ROW())=FALSE,MyRowHidden(ROW()-1)=TRUE),0,(E598-E597)*unitsOfDHp+I597)</f>
        <v>310080</v>
      </c>
      <c r="J598">
        <f>IF(AND(MyRowHidden(ROW())=FALSE,MyRowHidden(ROW()-1)=TRUE),0,(G598-G597)*unitsOfExo+J597)</f>
        <v>67500</v>
      </c>
      <c r="K598" s="9">
        <f t="shared" si="29"/>
        <v>32500</v>
      </c>
      <c r="L598">
        <f t="shared" si="30"/>
        <v>377580</v>
      </c>
    </row>
    <row r="599" spans="1:12" x14ac:dyDescent="0.25">
      <c r="A599" s="1"/>
      <c r="C599" s="1"/>
      <c r="D599" s="1">
        <v>41548</v>
      </c>
      <c r="E599">
        <v>25453</v>
      </c>
      <c r="F599" s="1">
        <v>41548</v>
      </c>
      <c r="G599">
        <v>1387.5</v>
      </c>
      <c r="H599" s="1">
        <f t="shared" si="28"/>
        <v>41548</v>
      </c>
      <c r="I599">
        <f>IF(AND(MyRowHidden(ROW())=FALSE,MyRowHidden(ROW()-1)=TRUE),0,(E599-E598)*unitsOfDHp+I598)</f>
        <v>304530</v>
      </c>
      <c r="J599">
        <f>IF(AND(MyRowHidden(ROW())=FALSE,MyRowHidden(ROW()-1)=TRUE),0,(G599-G598)*unitsOfExo+J598)</f>
        <v>63875</v>
      </c>
      <c r="K599" s="9">
        <f t="shared" si="29"/>
        <v>36125</v>
      </c>
      <c r="L599">
        <f t="shared" si="30"/>
        <v>368405</v>
      </c>
    </row>
    <row r="600" spans="1:12" x14ac:dyDescent="0.25">
      <c r="A600" s="1"/>
      <c r="C600" s="1"/>
      <c r="D600" s="1">
        <v>41549</v>
      </c>
      <c r="E600">
        <v>25581</v>
      </c>
      <c r="F600" s="1">
        <v>41549</v>
      </c>
      <c r="G600">
        <v>1487.5</v>
      </c>
      <c r="H600" s="1">
        <f t="shared" si="28"/>
        <v>41549</v>
      </c>
      <c r="I600">
        <f>IF(AND(MyRowHidden(ROW())=FALSE,MyRowHidden(ROW()-1)=TRUE),0,(E600-E599)*unitsOfDHp+I599)</f>
        <v>305810</v>
      </c>
      <c r="J600">
        <f>IF(AND(MyRowHidden(ROW())=FALSE,MyRowHidden(ROW()-1)=TRUE),0,(G600-G599)*unitsOfExo+J599)</f>
        <v>64875</v>
      </c>
      <c r="K600" s="9">
        <f t="shared" si="29"/>
        <v>35125</v>
      </c>
      <c r="L600">
        <f t="shared" si="30"/>
        <v>370685</v>
      </c>
    </row>
    <row r="601" spans="1:12" x14ac:dyDescent="0.25">
      <c r="A601" s="1"/>
      <c r="C601" s="1"/>
      <c r="D601" s="1">
        <v>41550</v>
      </c>
      <c r="E601">
        <v>25733</v>
      </c>
      <c r="F601" s="1">
        <v>41550</v>
      </c>
      <c r="G601">
        <v>1587.5</v>
      </c>
      <c r="H601" s="1">
        <f t="shared" si="28"/>
        <v>41550</v>
      </c>
      <c r="I601">
        <f>IF(AND(MyRowHidden(ROW())=FALSE,MyRowHidden(ROW()-1)=TRUE),0,(E601-E600)*unitsOfDHp+I600)</f>
        <v>307330</v>
      </c>
      <c r="J601">
        <f>IF(AND(MyRowHidden(ROW())=FALSE,MyRowHidden(ROW()-1)=TRUE),0,(G601-G600)*unitsOfExo+J600)</f>
        <v>65875</v>
      </c>
      <c r="K601" s="9">
        <f t="shared" si="29"/>
        <v>34125</v>
      </c>
      <c r="L601">
        <f t="shared" si="30"/>
        <v>373205</v>
      </c>
    </row>
    <row r="602" spans="1:12" x14ac:dyDescent="0.25">
      <c r="A602" s="1"/>
      <c r="C602" s="1"/>
      <c r="D602" s="1">
        <v>41551</v>
      </c>
      <c r="E602">
        <v>25903</v>
      </c>
      <c r="F602" s="1">
        <v>41551</v>
      </c>
      <c r="G602">
        <v>1700</v>
      </c>
      <c r="H602" s="1">
        <f t="shared" si="28"/>
        <v>41551</v>
      </c>
      <c r="I602">
        <f>IF(AND(MyRowHidden(ROW())=FALSE,MyRowHidden(ROW()-1)=TRUE),0,(E602-E601)*unitsOfDHp+I601)</f>
        <v>309030</v>
      </c>
      <c r="J602">
        <f>IF(AND(MyRowHidden(ROW())=FALSE,MyRowHidden(ROW()-1)=TRUE),0,(G602-G601)*unitsOfExo+J601)</f>
        <v>67000</v>
      </c>
      <c r="K602" s="9">
        <f t="shared" si="29"/>
        <v>33000</v>
      </c>
      <c r="L602">
        <f t="shared" si="30"/>
        <v>376030</v>
      </c>
    </row>
    <row r="603" spans="1:12" x14ac:dyDescent="0.25">
      <c r="A603" s="1"/>
      <c r="C603" s="1"/>
      <c r="D603" s="1">
        <v>41554</v>
      </c>
      <c r="E603">
        <v>26242</v>
      </c>
      <c r="F603" s="1">
        <v>41554</v>
      </c>
      <c r="G603">
        <v>1912.5</v>
      </c>
      <c r="H603" s="1">
        <f t="shared" si="28"/>
        <v>41554</v>
      </c>
      <c r="I603">
        <f>IF(AND(MyRowHidden(ROW())=FALSE,MyRowHidden(ROW()-1)=TRUE),0,(E603-E602)*unitsOfDHp+I602)</f>
        <v>312420</v>
      </c>
      <c r="J603">
        <f>IF(AND(MyRowHidden(ROW())=FALSE,MyRowHidden(ROW()-1)=TRUE),0,(G603-G602)*unitsOfExo+J602)</f>
        <v>69125</v>
      </c>
      <c r="K603" s="9">
        <f t="shared" si="29"/>
        <v>30875</v>
      </c>
      <c r="L603">
        <f t="shared" si="30"/>
        <v>381545</v>
      </c>
    </row>
    <row r="604" spans="1:12" x14ac:dyDescent="0.25">
      <c r="A604" s="1"/>
      <c r="C604" s="1"/>
      <c r="D604" s="1">
        <v>41555</v>
      </c>
      <c r="E604">
        <v>26052</v>
      </c>
      <c r="F604" s="1">
        <v>41555</v>
      </c>
      <c r="G604">
        <v>1600</v>
      </c>
      <c r="H604" s="1">
        <f t="shared" si="28"/>
        <v>41555</v>
      </c>
      <c r="I604">
        <f>IF(AND(MyRowHidden(ROW())=FALSE,MyRowHidden(ROW()-1)=TRUE),0,(E604-E603)*unitsOfDHp+I603)</f>
        <v>310520</v>
      </c>
      <c r="J604">
        <f>IF(AND(MyRowHidden(ROW())=FALSE,MyRowHidden(ROW()-1)=TRUE),0,(G604-G603)*unitsOfExo+J603)</f>
        <v>66000</v>
      </c>
      <c r="K604" s="9">
        <f t="shared" si="29"/>
        <v>34000</v>
      </c>
      <c r="L604">
        <f t="shared" si="30"/>
        <v>376520</v>
      </c>
    </row>
    <row r="605" spans="1:12" x14ac:dyDescent="0.25">
      <c r="A605" s="1"/>
      <c r="C605" s="1"/>
      <c r="D605" s="1">
        <v>41556</v>
      </c>
      <c r="E605">
        <v>26003</v>
      </c>
      <c r="F605" s="1">
        <v>41556</v>
      </c>
      <c r="G605">
        <v>1700</v>
      </c>
      <c r="H605" s="1">
        <f t="shared" si="28"/>
        <v>41556</v>
      </c>
      <c r="I605">
        <f>IF(AND(MyRowHidden(ROW())=FALSE,MyRowHidden(ROW()-1)=TRUE),0,(E605-E604)*unitsOfDHp+I604)</f>
        <v>310030</v>
      </c>
      <c r="J605">
        <f>IF(AND(MyRowHidden(ROW())=FALSE,MyRowHidden(ROW()-1)=TRUE),0,(G605-G604)*unitsOfExo+J604)</f>
        <v>67000</v>
      </c>
      <c r="K605" s="9">
        <f t="shared" si="29"/>
        <v>33000</v>
      </c>
      <c r="L605">
        <f t="shared" si="30"/>
        <v>377030</v>
      </c>
    </row>
    <row r="606" spans="1:12" x14ac:dyDescent="0.25">
      <c r="A606" s="1"/>
      <c r="C606" s="1"/>
      <c r="D606" s="1">
        <v>41557</v>
      </c>
      <c r="E606">
        <v>25998</v>
      </c>
      <c r="F606" s="1">
        <v>41557</v>
      </c>
      <c r="G606">
        <v>1412.5</v>
      </c>
      <c r="H606" s="1">
        <f t="shared" si="28"/>
        <v>41557</v>
      </c>
      <c r="I606">
        <f>IF(AND(MyRowHidden(ROW())=FALSE,MyRowHidden(ROW()-1)=TRUE),0,(E606-E605)*unitsOfDHp+I605)</f>
        <v>309980</v>
      </c>
      <c r="J606">
        <f>IF(AND(MyRowHidden(ROW())=FALSE,MyRowHidden(ROW()-1)=TRUE),0,(G606-G605)*unitsOfExo+J605)</f>
        <v>64125</v>
      </c>
      <c r="K606" s="9">
        <f t="shared" si="29"/>
        <v>35875</v>
      </c>
      <c r="L606">
        <f t="shared" si="30"/>
        <v>374105</v>
      </c>
    </row>
    <row r="607" spans="1:12" x14ac:dyDescent="0.25">
      <c r="A607" s="1"/>
      <c r="C607" s="1"/>
      <c r="D607" s="1">
        <v>41558</v>
      </c>
      <c r="E607">
        <v>26050</v>
      </c>
      <c r="F607" s="1">
        <v>41558</v>
      </c>
      <c r="G607">
        <v>1237.5</v>
      </c>
      <c r="H607" s="1">
        <f t="shared" si="28"/>
        <v>41558</v>
      </c>
      <c r="I607">
        <f>IF(AND(MyRowHidden(ROW())=FALSE,MyRowHidden(ROW()-1)=TRUE),0,(E607-E606)*unitsOfDHp+I606)</f>
        <v>310500</v>
      </c>
      <c r="J607">
        <f>IF(AND(MyRowHidden(ROW())=FALSE,MyRowHidden(ROW()-1)=TRUE),0,(G607-G606)*unitsOfExo+J606)</f>
        <v>62375</v>
      </c>
      <c r="K607" s="9">
        <f t="shared" si="29"/>
        <v>37625</v>
      </c>
      <c r="L607">
        <f t="shared" si="30"/>
        <v>372875</v>
      </c>
    </row>
    <row r="608" spans="1:12" x14ac:dyDescent="0.25">
      <c r="A608" s="1"/>
      <c r="C608" s="1"/>
      <c r="D608" s="1">
        <v>41562</v>
      </c>
      <c r="E608">
        <v>26552</v>
      </c>
      <c r="F608" s="1">
        <v>41562</v>
      </c>
      <c r="G608">
        <v>1662.5</v>
      </c>
      <c r="H608" s="1">
        <f t="shared" si="28"/>
        <v>41562</v>
      </c>
      <c r="I608">
        <f>IF(AND(MyRowHidden(ROW())=FALSE,MyRowHidden(ROW()-1)=TRUE),0,(E608-E607)*unitsOfDHp+I607)</f>
        <v>315520</v>
      </c>
      <c r="J608">
        <f>IF(AND(MyRowHidden(ROW())=FALSE,MyRowHidden(ROW()-1)=TRUE),0,(G608-G607)*unitsOfExo+J607)</f>
        <v>66625</v>
      </c>
      <c r="K608" s="9">
        <f t="shared" si="29"/>
        <v>33375</v>
      </c>
      <c r="L608">
        <f t="shared" si="30"/>
        <v>382145</v>
      </c>
    </row>
    <row r="609" spans="1:12" x14ac:dyDescent="0.25">
      <c r="A609" s="1"/>
      <c r="C609" s="1"/>
      <c r="D609" s="1">
        <v>41563</v>
      </c>
      <c r="E609">
        <v>26556</v>
      </c>
      <c r="F609" s="1">
        <v>41563</v>
      </c>
      <c r="G609">
        <v>1637.5</v>
      </c>
      <c r="H609" s="1">
        <f t="shared" si="28"/>
        <v>41563</v>
      </c>
      <c r="I609">
        <f>IF(AND(MyRowHidden(ROW())=FALSE,MyRowHidden(ROW()-1)=TRUE),0,(E609-E608)*unitsOfDHp+I608)</f>
        <v>315560</v>
      </c>
      <c r="J609">
        <f>IF(AND(MyRowHidden(ROW())=FALSE,MyRowHidden(ROW()-1)=TRUE),0,(G609-G608)*unitsOfExo+J608)</f>
        <v>66375</v>
      </c>
      <c r="K609" s="9">
        <f t="shared" si="29"/>
        <v>33625</v>
      </c>
      <c r="L609">
        <f t="shared" si="30"/>
        <v>381935</v>
      </c>
    </row>
    <row r="610" spans="1:12" x14ac:dyDescent="0.25">
      <c r="A610" s="1"/>
      <c r="C610" s="1"/>
      <c r="D610" s="1">
        <v>41564</v>
      </c>
      <c r="E610">
        <v>26582</v>
      </c>
      <c r="F610" s="1">
        <v>41564</v>
      </c>
      <c r="G610">
        <v>1637.5</v>
      </c>
      <c r="H610" s="1">
        <f t="shared" si="28"/>
        <v>41564</v>
      </c>
      <c r="I610">
        <f>IF(AND(MyRowHidden(ROW())=FALSE,MyRowHidden(ROW()-1)=TRUE),0,(E610-E609)*unitsOfDHp+I609)</f>
        <v>315820</v>
      </c>
      <c r="J610">
        <f>IF(AND(MyRowHidden(ROW())=FALSE,MyRowHidden(ROW()-1)=TRUE),0,(G610-G609)*unitsOfExo+J609)</f>
        <v>66375</v>
      </c>
      <c r="K610" s="9">
        <f t="shared" si="29"/>
        <v>33625</v>
      </c>
      <c r="L610">
        <f t="shared" si="30"/>
        <v>382195</v>
      </c>
    </row>
    <row r="611" spans="1:12" x14ac:dyDescent="0.25">
      <c r="A611" s="1"/>
      <c r="C611" s="1"/>
      <c r="D611" s="1">
        <v>41565</v>
      </c>
      <c r="E611">
        <v>26620</v>
      </c>
      <c r="F611" s="1">
        <v>41565</v>
      </c>
      <c r="G611">
        <v>1675</v>
      </c>
      <c r="H611" s="1">
        <f t="shared" si="28"/>
        <v>41565</v>
      </c>
      <c r="I611">
        <f>IF(AND(MyRowHidden(ROW())=FALSE,MyRowHidden(ROW()-1)=TRUE),0,(E611-E610)*unitsOfDHp+I610)</f>
        <v>316200</v>
      </c>
      <c r="J611">
        <f>IF(AND(MyRowHidden(ROW())=FALSE,MyRowHidden(ROW()-1)=TRUE),0,(G611-G610)*unitsOfExo+J610)</f>
        <v>66750</v>
      </c>
      <c r="K611" s="9">
        <f t="shared" si="29"/>
        <v>33250</v>
      </c>
      <c r="L611">
        <f t="shared" si="30"/>
        <v>382950</v>
      </c>
    </row>
    <row r="612" spans="1:12" x14ac:dyDescent="0.25">
      <c r="A612" s="1"/>
      <c r="C612" s="1"/>
      <c r="D612" s="1">
        <v>41568</v>
      </c>
      <c r="E612">
        <v>26619</v>
      </c>
      <c r="F612" s="1">
        <v>41568</v>
      </c>
      <c r="G612">
        <v>1687.5</v>
      </c>
      <c r="H612" s="1">
        <f t="shared" si="28"/>
        <v>41568</v>
      </c>
      <c r="I612">
        <f>IF(AND(MyRowHidden(ROW())=FALSE,MyRowHidden(ROW()-1)=TRUE),0,(E612-E611)*unitsOfDHp+I611)</f>
        <v>316190</v>
      </c>
      <c r="J612">
        <f>IF(AND(MyRowHidden(ROW())=FALSE,MyRowHidden(ROW()-1)=TRUE),0,(G612-G611)*unitsOfExo+J611)</f>
        <v>66875</v>
      </c>
      <c r="K612" s="9">
        <f t="shared" si="29"/>
        <v>33125</v>
      </c>
      <c r="L612">
        <f t="shared" si="30"/>
        <v>383065</v>
      </c>
    </row>
    <row r="613" spans="1:12" x14ac:dyDescent="0.25">
      <c r="A613" s="1"/>
      <c r="C613" s="1"/>
      <c r="D613" s="1">
        <v>41569</v>
      </c>
      <c r="E613">
        <v>26433</v>
      </c>
      <c r="F613" s="1">
        <v>41569</v>
      </c>
      <c r="G613">
        <v>1537.5</v>
      </c>
      <c r="H613" s="1">
        <f t="shared" si="28"/>
        <v>41569</v>
      </c>
      <c r="I613">
        <f>IF(AND(MyRowHidden(ROW())=FALSE,MyRowHidden(ROW()-1)=TRUE),0,(E613-E612)*unitsOfDHp+I612)</f>
        <v>314330</v>
      </c>
      <c r="J613">
        <f>IF(AND(MyRowHidden(ROW())=FALSE,MyRowHidden(ROW()-1)=TRUE),0,(G613-G612)*unitsOfExo+J612)</f>
        <v>65375</v>
      </c>
      <c r="K613" s="9">
        <f t="shared" si="29"/>
        <v>34625</v>
      </c>
      <c r="L613">
        <f t="shared" si="30"/>
        <v>379705</v>
      </c>
    </row>
    <row r="614" spans="1:12" x14ac:dyDescent="0.25">
      <c r="A614" s="1"/>
      <c r="C614" s="1"/>
      <c r="D614" s="1">
        <v>41570</v>
      </c>
      <c r="E614">
        <v>26480</v>
      </c>
      <c r="F614" s="1">
        <v>41570</v>
      </c>
      <c r="G614">
        <v>1687.5</v>
      </c>
      <c r="H614" s="1">
        <f t="shared" si="28"/>
        <v>41570</v>
      </c>
      <c r="I614">
        <f>IF(AND(MyRowHidden(ROW())=FALSE,MyRowHidden(ROW()-1)=TRUE),0,(E614-E613)*unitsOfDHp+I613)</f>
        <v>314800</v>
      </c>
      <c r="J614">
        <f>IF(AND(MyRowHidden(ROW())=FALSE,MyRowHidden(ROW()-1)=TRUE),0,(G614-G613)*unitsOfExo+J613)</f>
        <v>66875</v>
      </c>
      <c r="K614" s="9">
        <f t="shared" si="29"/>
        <v>33125</v>
      </c>
      <c r="L614">
        <f t="shared" si="30"/>
        <v>381675</v>
      </c>
    </row>
    <row r="615" spans="1:12" x14ac:dyDescent="0.25">
      <c r="A615" s="1"/>
      <c r="C615" s="1"/>
      <c r="D615" s="1">
        <v>41571</v>
      </c>
      <c r="E615">
        <v>26528</v>
      </c>
      <c r="F615" s="1">
        <v>41571</v>
      </c>
      <c r="G615">
        <v>1512.5</v>
      </c>
      <c r="H615" s="1">
        <f t="shared" si="28"/>
        <v>41571</v>
      </c>
      <c r="I615">
        <f>IF(AND(MyRowHidden(ROW())=FALSE,MyRowHidden(ROW()-1)=TRUE),0,(E615-E614)*unitsOfDHp+I614)</f>
        <v>315280</v>
      </c>
      <c r="J615">
        <f>IF(AND(MyRowHidden(ROW())=FALSE,MyRowHidden(ROW()-1)=TRUE),0,(G615-G614)*unitsOfExo+J614)</f>
        <v>65125</v>
      </c>
      <c r="K615" s="9">
        <f t="shared" si="29"/>
        <v>34875</v>
      </c>
      <c r="L615">
        <f t="shared" si="30"/>
        <v>380405</v>
      </c>
    </row>
    <row r="616" spans="1:12" x14ac:dyDescent="0.25">
      <c r="A616" s="1"/>
      <c r="C616" s="1"/>
      <c r="D616" s="1">
        <v>41572</v>
      </c>
      <c r="E616">
        <v>26495</v>
      </c>
      <c r="F616" s="1">
        <v>41572</v>
      </c>
      <c r="G616">
        <v>1550</v>
      </c>
      <c r="H616" s="1">
        <f t="shared" si="28"/>
        <v>41572</v>
      </c>
      <c r="I616">
        <f>IF(AND(MyRowHidden(ROW())=FALSE,MyRowHidden(ROW()-1)=TRUE),0,(E616-E615)*unitsOfDHp+I615)</f>
        <v>314950</v>
      </c>
      <c r="J616">
        <f>IF(AND(MyRowHidden(ROW())=FALSE,MyRowHidden(ROW()-1)=TRUE),0,(G616-G615)*unitsOfExo+J615)</f>
        <v>65500</v>
      </c>
      <c r="K616" s="9">
        <f t="shared" si="29"/>
        <v>34500</v>
      </c>
      <c r="L616">
        <f t="shared" si="30"/>
        <v>380450</v>
      </c>
    </row>
    <row r="617" spans="1:12" x14ac:dyDescent="0.25">
      <c r="A617" s="1"/>
      <c r="C617" s="1"/>
      <c r="D617" s="1">
        <v>41575</v>
      </c>
      <c r="E617">
        <v>26661</v>
      </c>
      <c r="F617" s="1">
        <v>41575</v>
      </c>
      <c r="G617">
        <v>1087.5</v>
      </c>
      <c r="H617" s="1">
        <f t="shared" si="28"/>
        <v>41575</v>
      </c>
      <c r="I617">
        <f>IF(AND(MyRowHidden(ROW())=FALSE,MyRowHidden(ROW()-1)=TRUE),0,(E617-E616)*unitsOfDHp+I616)</f>
        <v>316610</v>
      </c>
      <c r="J617">
        <f>IF(AND(MyRowHidden(ROW())=FALSE,MyRowHidden(ROW()-1)=TRUE),0,(G617-G616)*unitsOfExo+J616)</f>
        <v>60875</v>
      </c>
      <c r="K617" s="9">
        <f t="shared" si="29"/>
        <v>39125</v>
      </c>
      <c r="L617">
        <f t="shared" si="30"/>
        <v>377485</v>
      </c>
    </row>
    <row r="618" spans="1:12" x14ac:dyDescent="0.25">
      <c r="A618" s="1"/>
      <c r="C618" s="1"/>
      <c r="D618" s="1">
        <v>41576</v>
      </c>
      <c r="E618">
        <v>26610</v>
      </c>
      <c r="F618" s="1">
        <v>41576</v>
      </c>
      <c r="G618">
        <v>1062.5</v>
      </c>
      <c r="H618" s="1">
        <f t="shared" si="28"/>
        <v>41576</v>
      </c>
      <c r="I618">
        <f>IF(AND(MyRowHidden(ROW())=FALSE,MyRowHidden(ROW()-1)=TRUE),0,(E618-E617)*unitsOfDHp+I617)</f>
        <v>316100</v>
      </c>
      <c r="J618">
        <f>IF(AND(MyRowHidden(ROW())=FALSE,MyRowHidden(ROW()-1)=TRUE),0,(G618-G617)*unitsOfExo+J617)</f>
        <v>60625</v>
      </c>
      <c r="K618" s="9">
        <f t="shared" si="29"/>
        <v>39375</v>
      </c>
      <c r="L618">
        <f t="shared" si="30"/>
        <v>376725</v>
      </c>
    </row>
    <row r="619" spans="1:12" x14ac:dyDescent="0.25">
      <c r="A619" s="1"/>
      <c r="C619" s="1"/>
      <c r="D619" s="1">
        <v>41577</v>
      </c>
      <c r="E619">
        <v>26618</v>
      </c>
      <c r="F619" s="1">
        <v>41577</v>
      </c>
      <c r="G619">
        <v>1062.5</v>
      </c>
      <c r="H619" s="1">
        <f t="shared" si="28"/>
        <v>41577</v>
      </c>
      <c r="I619">
        <f>IF(AND(MyRowHidden(ROW())=FALSE,MyRowHidden(ROW()-1)=TRUE),0,(E619-E618)*unitsOfDHp+I618)</f>
        <v>316180</v>
      </c>
      <c r="J619">
        <f>IF(AND(MyRowHidden(ROW())=FALSE,MyRowHidden(ROW()-1)=TRUE),0,(G619-G618)*unitsOfExo+J618)</f>
        <v>60625</v>
      </c>
      <c r="K619" s="9">
        <f t="shared" si="29"/>
        <v>39375</v>
      </c>
      <c r="L619">
        <f t="shared" si="30"/>
        <v>376805</v>
      </c>
    </row>
    <row r="620" spans="1:12" x14ac:dyDescent="0.25">
      <c r="A620" s="1"/>
      <c r="C620" s="1"/>
      <c r="D620" s="1">
        <v>41578</v>
      </c>
      <c r="E620">
        <v>26575</v>
      </c>
      <c r="F620" s="1">
        <v>41578</v>
      </c>
      <c r="G620">
        <v>887.5</v>
      </c>
      <c r="H620" s="1">
        <f t="shared" si="28"/>
        <v>41578</v>
      </c>
      <c r="I620">
        <f>IF(AND(MyRowHidden(ROW())=FALSE,MyRowHidden(ROW()-1)=TRUE),0,(E620-E619)*unitsOfDHp+I619)</f>
        <v>315750</v>
      </c>
      <c r="J620">
        <f>IF(AND(MyRowHidden(ROW())=FALSE,MyRowHidden(ROW()-1)=TRUE),0,(G620-G619)*unitsOfExo+J619)</f>
        <v>58875</v>
      </c>
      <c r="K620" s="9">
        <f t="shared" si="29"/>
        <v>41125</v>
      </c>
      <c r="L620">
        <f t="shared" si="30"/>
        <v>374625</v>
      </c>
    </row>
    <row r="621" spans="1:12" x14ac:dyDescent="0.25">
      <c r="A621" s="1"/>
      <c r="C621" s="1"/>
      <c r="D621" s="1">
        <v>41579</v>
      </c>
      <c r="E621">
        <v>26585</v>
      </c>
      <c r="F621" s="1">
        <v>41579</v>
      </c>
      <c r="G621">
        <v>912.5</v>
      </c>
      <c r="H621" s="1">
        <f t="shared" si="28"/>
        <v>41579</v>
      </c>
      <c r="I621">
        <f>IF(AND(MyRowHidden(ROW())=FALSE,MyRowHidden(ROW()-1)=TRUE),0,(E621-E620)*unitsOfDHp+I620)</f>
        <v>315850</v>
      </c>
      <c r="J621">
        <f>IF(AND(MyRowHidden(ROW())=FALSE,MyRowHidden(ROW()-1)=TRUE),0,(G621-G620)*unitsOfExo+J620)</f>
        <v>59125</v>
      </c>
      <c r="K621" s="9">
        <f t="shared" si="29"/>
        <v>40875</v>
      </c>
      <c r="L621">
        <f t="shared" si="30"/>
        <v>374975</v>
      </c>
    </row>
    <row r="622" spans="1:12" x14ac:dyDescent="0.25">
      <c r="A622" s="1"/>
      <c r="C622" s="1"/>
      <c r="D622" s="1">
        <v>41582</v>
      </c>
      <c r="E622">
        <v>26552</v>
      </c>
      <c r="F622" s="1">
        <v>41582</v>
      </c>
      <c r="G622">
        <v>862.5</v>
      </c>
      <c r="H622" s="1">
        <f t="shared" si="28"/>
        <v>41582</v>
      </c>
      <c r="I622">
        <f>IF(AND(MyRowHidden(ROW())=FALSE,MyRowHidden(ROW()-1)=TRUE),0,(E622-E621)*unitsOfDHp+I621)</f>
        <v>315520</v>
      </c>
      <c r="J622">
        <f>IF(AND(MyRowHidden(ROW())=FALSE,MyRowHidden(ROW()-1)=TRUE),0,(G622-G621)*unitsOfExo+J621)</f>
        <v>58625</v>
      </c>
      <c r="K622" s="9">
        <f t="shared" si="29"/>
        <v>41375</v>
      </c>
      <c r="L622">
        <f t="shared" si="30"/>
        <v>374145</v>
      </c>
    </row>
    <row r="623" spans="1:12" x14ac:dyDescent="0.25">
      <c r="A623" s="1"/>
      <c r="C623" s="1"/>
      <c r="D623" s="1">
        <v>41583</v>
      </c>
      <c r="E623">
        <v>26530</v>
      </c>
      <c r="F623" s="1">
        <v>41583</v>
      </c>
      <c r="G623">
        <v>762.5</v>
      </c>
      <c r="H623" s="1">
        <f t="shared" si="28"/>
        <v>41583</v>
      </c>
      <c r="I623">
        <f>IF(AND(MyRowHidden(ROW())=FALSE,MyRowHidden(ROW()-1)=TRUE),0,(E623-E622)*unitsOfDHp+I622)</f>
        <v>315300</v>
      </c>
      <c r="J623">
        <f>IF(AND(MyRowHidden(ROW())=FALSE,MyRowHidden(ROW()-1)=TRUE),0,(G623-G622)*unitsOfExo+J622)</f>
        <v>57625</v>
      </c>
      <c r="K623" s="9">
        <f t="shared" si="29"/>
        <v>42375</v>
      </c>
      <c r="L623">
        <f t="shared" si="30"/>
        <v>372925</v>
      </c>
    </row>
    <row r="624" spans="1:12" x14ac:dyDescent="0.25">
      <c r="A624" s="1"/>
      <c r="C624" s="1"/>
      <c r="D624" s="1">
        <v>41584</v>
      </c>
      <c r="E624">
        <v>26465</v>
      </c>
      <c r="F624" s="1">
        <v>41584</v>
      </c>
      <c r="G624">
        <v>587.5</v>
      </c>
      <c r="H624" s="1">
        <f t="shared" si="28"/>
        <v>41584</v>
      </c>
      <c r="I624">
        <f>IF(AND(MyRowHidden(ROW())=FALSE,MyRowHidden(ROW()-1)=TRUE),0,(E624-E623)*unitsOfDHp+I623)</f>
        <v>314650</v>
      </c>
      <c r="J624">
        <f>IF(AND(MyRowHidden(ROW())=FALSE,MyRowHidden(ROW()-1)=TRUE),0,(G624-G623)*unitsOfExo+J623)</f>
        <v>55875</v>
      </c>
      <c r="K624" s="9">
        <f t="shared" si="29"/>
        <v>44125</v>
      </c>
      <c r="L624">
        <f t="shared" si="30"/>
        <v>370525</v>
      </c>
    </row>
    <row r="625" spans="1:12" x14ac:dyDescent="0.25">
      <c r="A625" s="1"/>
      <c r="C625" s="1"/>
      <c r="D625" s="1">
        <v>41585</v>
      </c>
      <c r="E625">
        <v>26477</v>
      </c>
      <c r="F625" s="1">
        <v>41585</v>
      </c>
      <c r="G625">
        <v>587.5</v>
      </c>
      <c r="H625" s="1">
        <f t="shared" si="28"/>
        <v>41585</v>
      </c>
      <c r="I625">
        <f>IF(AND(MyRowHidden(ROW())=FALSE,MyRowHidden(ROW()-1)=TRUE),0,(E625-E624)*unitsOfDHp+I624)</f>
        <v>314770</v>
      </c>
      <c r="J625">
        <f>IF(AND(MyRowHidden(ROW())=FALSE,MyRowHidden(ROW()-1)=TRUE),0,(G625-G624)*unitsOfExo+J624)</f>
        <v>55875</v>
      </c>
      <c r="K625" s="9">
        <f t="shared" si="29"/>
        <v>44125</v>
      </c>
      <c r="L625">
        <f t="shared" si="30"/>
        <v>370645</v>
      </c>
    </row>
    <row r="626" spans="1:12" x14ac:dyDescent="0.25">
      <c r="A626" s="1"/>
      <c r="C626" s="1"/>
      <c r="D626" s="1">
        <v>41586</v>
      </c>
      <c r="E626">
        <v>26506</v>
      </c>
      <c r="F626" s="1">
        <v>41586</v>
      </c>
      <c r="G626">
        <v>762.5</v>
      </c>
      <c r="H626" s="1">
        <f t="shared" si="28"/>
        <v>41586</v>
      </c>
      <c r="I626">
        <f>IF(AND(MyRowHidden(ROW())=FALSE,MyRowHidden(ROW()-1)=TRUE),0,(E626-E625)*unitsOfDHp+I625)</f>
        <v>315060</v>
      </c>
      <c r="J626">
        <f>IF(AND(MyRowHidden(ROW())=FALSE,MyRowHidden(ROW()-1)=TRUE),0,(G626-G625)*unitsOfExo+J625)</f>
        <v>57625</v>
      </c>
      <c r="K626" s="9">
        <f t="shared" si="29"/>
        <v>42375</v>
      </c>
      <c r="L626">
        <f t="shared" si="30"/>
        <v>372685</v>
      </c>
    </row>
    <row r="627" spans="1:12" x14ac:dyDescent="0.25">
      <c r="A627" s="1"/>
      <c r="C627" s="1"/>
      <c r="D627" s="1">
        <v>41590</v>
      </c>
      <c r="E627">
        <v>26889</v>
      </c>
      <c r="F627" s="1">
        <v>41590</v>
      </c>
      <c r="G627">
        <v>1225</v>
      </c>
      <c r="H627" s="1">
        <f t="shared" si="28"/>
        <v>41590</v>
      </c>
      <c r="I627">
        <f>IF(AND(MyRowHidden(ROW())=FALSE,MyRowHidden(ROW()-1)=TRUE),0,(E627-E626)*unitsOfDHp+I626)</f>
        <v>318890</v>
      </c>
      <c r="J627">
        <f>IF(AND(MyRowHidden(ROW())=FALSE,MyRowHidden(ROW()-1)=TRUE),0,(G627-G626)*unitsOfExo+J626)</f>
        <v>62250</v>
      </c>
      <c r="K627" s="9">
        <f t="shared" si="29"/>
        <v>37750</v>
      </c>
      <c r="L627">
        <f t="shared" si="30"/>
        <v>381140</v>
      </c>
    </row>
    <row r="628" spans="1:12" x14ac:dyDescent="0.25">
      <c r="A628" s="1"/>
      <c r="C628" s="1"/>
      <c r="D628" s="1">
        <v>41591</v>
      </c>
      <c r="E628">
        <v>26869</v>
      </c>
      <c r="F628" s="1">
        <v>41591</v>
      </c>
      <c r="G628">
        <v>1037.5</v>
      </c>
      <c r="H628" s="1">
        <f t="shared" si="28"/>
        <v>41591</v>
      </c>
      <c r="I628">
        <f>IF(AND(MyRowHidden(ROW())=FALSE,MyRowHidden(ROW()-1)=TRUE),0,(E628-E627)*unitsOfDHp+I627)</f>
        <v>318690</v>
      </c>
      <c r="J628">
        <f>IF(AND(MyRowHidden(ROW())=FALSE,MyRowHidden(ROW()-1)=TRUE),0,(G628-G627)*unitsOfExo+J627)</f>
        <v>60375</v>
      </c>
      <c r="K628" s="9">
        <f t="shared" si="29"/>
        <v>39625</v>
      </c>
      <c r="L628">
        <f t="shared" si="30"/>
        <v>379065</v>
      </c>
    </row>
    <row r="629" spans="1:12" x14ac:dyDescent="0.25">
      <c r="A629" s="1"/>
      <c r="C629" s="1"/>
      <c r="D629" s="1">
        <v>41592</v>
      </c>
      <c r="E629">
        <v>26825</v>
      </c>
      <c r="F629" s="1">
        <v>41592</v>
      </c>
      <c r="G629">
        <v>825</v>
      </c>
      <c r="H629" s="1">
        <f t="shared" si="28"/>
        <v>41592</v>
      </c>
      <c r="I629">
        <f>IF(AND(MyRowHidden(ROW())=FALSE,MyRowHidden(ROW()-1)=TRUE),0,(E629-E628)*unitsOfDHp+I628)</f>
        <v>318250</v>
      </c>
      <c r="J629">
        <f>IF(AND(MyRowHidden(ROW())=FALSE,MyRowHidden(ROW()-1)=TRUE),0,(G629-G628)*unitsOfExo+J628)</f>
        <v>58250</v>
      </c>
      <c r="K629" s="9">
        <f t="shared" si="29"/>
        <v>41750</v>
      </c>
      <c r="L629">
        <f t="shared" si="30"/>
        <v>376500</v>
      </c>
    </row>
    <row r="630" spans="1:12" x14ac:dyDescent="0.25">
      <c r="A630" s="1"/>
      <c r="C630" s="1"/>
      <c r="D630" s="1">
        <v>41593</v>
      </c>
      <c r="E630">
        <v>26768</v>
      </c>
      <c r="F630" s="1">
        <v>41593</v>
      </c>
      <c r="G630">
        <v>737.5</v>
      </c>
      <c r="H630" s="1">
        <f t="shared" si="28"/>
        <v>41593</v>
      </c>
      <c r="I630">
        <f>IF(AND(MyRowHidden(ROW())=FALSE,MyRowHidden(ROW()-1)=TRUE),0,(E630-E629)*unitsOfDHp+I629)</f>
        <v>317680</v>
      </c>
      <c r="J630">
        <f>IF(AND(MyRowHidden(ROW())=FALSE,MyRowHidden(ROW()-1)=TRUE),0,(G630-G629)*unitsOfExo+J629)</f>
        <v>57375</v>
      </c>
      <c r="K630" s="9">
        <f t="shared" si="29"/>
        <v>42625</v>
      </c>
      <c r="L630">
        <f t="shared" si="30"/>
        <v>375055</v>
      </c>
    </row>
    <row r="631" spans="1:12" x14ac:dyDescent="0.25">
      <c r="A631" s="1"/>
      <c r="C631" s="1"/>
      <c r="D631" s="1">
        <v>41596</v>
      </c>
      <c r="E631">
        <v>26324</v>
      </c>
      <c r="F631" s="1">
        <v>41596</v>
      </c>
      <c r="G631">
        <v>187.5</v>
      </c>
      <c r="H631" s="1">
        <f t="shared" si="28"/>
        <v>41596</v>
      </c>
      <c r="I631">
        <f>IF(AND(MyRowHidden(ROW())=FALSE,MyRowHidden(ROW()-1)=TRUE),0,(E631-E630)*unitsOfDHp+I630)</f>
        <v>313240</v>
      </c>
      <c r="J631">
        <f>IF(AND(MyRowHidden(ROW())=FALSE,MyRowHidden(ROW()-1)=TRUE),0,(G631-G630)*unitsOfExo+J630)</f>
        <v>51875</v>
      </c>
      <c r="K631" s="9">
        <f t="shared" si="29"/>
        <v>48125</v>
      </c>
      <c r="L631">
        <f t="shared" si="30"/>
        <v>365115</v>
      </c>
    </row>
    <row r="632" spans="1:12" x14ac:dyDescent="0.25">
      <c r="A632" s="1"/>
      <c r="C632" s="1"/>
      <c r="D632" s="1">
        <v>41597</v>
      </c>
      <c r="E632">
        <v>26501</v>
      </c>
      <c r="F632" s="1">
        <v>41597</v>
      </c>
      <c r="G632">
        <v>300</v>
      </c>
      <c r="H632" s="1">
        <f t="shared" si="28"/>
        <v>41597</v>
      </c>
      <c r="I632">
        <f>IF(AND(MyRowHidden(ROW())=FALSE,MyRowHidden(ROW()-1)=TRUE),0,(E632-E631)*unitsOfDHp+I631)</f>
        <v>315010</v>
      </c>
      <c r="J632">
        <f>IF(AND(MyRowHidden(ROW())=FALSE,MyRowHidden(ROW()-1)=TRUE),0,(G632-G631)*unitsOfExo+J631)</f>
        <v>53000</v>
      </c>
      <c r="K632" s="9">
        <f t="shared" si="29"/>
        <v>47000</v>
      </c>
      <c r="L632">
        <f t="shared" si="30"/>
        <v>368010</v>
      </c>
    </row>
    <row r="633" spans="1:12" x14ac:dyDescent="0.25">
      <c r="A633" s="1"/>
      <c r="C633" s="1"/>
      <c r="D633" s="1">
        <v>41598</v>
      </c>
      <c r="E633">
        <v>26614</v>
      </c>
      <c r="F633" s="1">
        <v>41598</v>
      </c>
      <c r="G633">
        <v>400</v>
      </c>
      <c r="H633" s="1">
        <f t="shared" si="28"/>
        <v>41598</v>
      </c>
      <c r="I633">
        <f>IF(AND(MyRowHidden(ROW())=FALSE,MyRowHidden(ROW()-1)=TRUE),0,(E633-E632)*unitsOfDHp+I632)</f>
        <v>316140</v>
      </c>
      <c r="J633">
        <f>IF(AND(MyRowHidden(ROW())=FALSE,MyRowHidden(ROW()-1)=TRUE),0,(G633-G632)*unitsOfExo+J632)</f>
        <v>54000</v>
      </c>
      <c r="K633" s="9">
        <f t="shared" si="29"/>
        <v>46000</v>
      </c>
      <c r="L633">
        <f t="shared" si="30"/>
        <v>370140</v>
      </c>
    </row>
    <row r="634" spans="1:12" x14ac:dyDescent="0.25">
      <c r="A634" s="1"/>
      <c r="C634" s="1"/>
      <c r="D634" s="1">
        <v>41599</v>
      </c>
      <c r="E634">
        <v>26696</v>
      </c>
      <c r="F634" s="1">
        <v>41599</v>
      </c>
      <c r="G634">
        <v>612.5</v>
      </c>
      <c r="H634" s="1">
        <f t="shared" si="28"/>
        <v>41599</v>
      </c>
      <c r="I634">
        <f>IF(AND(MyRowHidden(ROW())=FALSE,MyRowHidden(ROW()-1)=TRUE),0,(E634-E633)*unitsOfDHp+I633)</f>
        <v>316960</v>
      </c>
      <c r="J634">
        <f>IF(AND(MyRowHidden(ROW())=FALSE,MyRowHidden(ROW()-1)=TRUE),0,(G634-G633)*unitsOfExo+J633)</f>
        <v>56125</v>
      </c>
      <c r="K634" s="9">
        <f t="shared" si="29"/>
        <v>43875</v>
      </c>
      <c r="L634">
        <f t="shared" si="30"/>
        <v>373085</v>
      </c>
    </row>
    <row r="635" spans="1:12" x14ac:dyDescent="0.25">
      <c r="A635" s="1"/>
      <c r="C635" s="1"/>
      <c r="D635" s="1">
        <v>41600</v>
      </c>
      <c r="E635">
        <v>26777</v>
      </c>
      <c r="F635" s="1">
        <v>41600</v>
      </c>
      <c r="G635">
        <v>612.5</v>
      </c>
      <c r="H635" s="1">
        <f t="shared" si="28"/>
        <v>41600</v>
      </c>
      <c r="I635">
        <f>IF(AND(MyRowHidden(ROW())=FALSE,MyRowHidden(ROW()-1)=TRUE),0,(E635-E634)*unitsOfDHp+I634)</f>
        <v>317770</v>
      </c>
      <c r="J635">
        <f>IF(AND(MyRowHidden(ROW())=FALSE,MyRowHidden(ROW()-1)=TRUE),0,(G635-G634)*unitsOfExo+J634)</f>
        <v>56125</v>
      </c>
      <c r="K635" s="9">
        <f t="shared" si="29"/>
        <v>43875</v>
      </c>
      <c r="L635">
        <f t="shared" si="30"/>
        <v>373895</v>
      </c>
    </row>
    <row r="636" spans="1:12" x14ac:dyDescent="0.25">
      <c r="A636" s="1"/>
      <c r="C636" s="1"/>
      <c r="D636" s="1">
        <v>41603</v>
      </c>
      <c r="E636">
        <v>26816</v>
      </c>
      <c r="F636" s="1">
        <v>41603</v>
      </c>
      <c r="G636">
        <v>675</v>
      </c>
      <c r="H636" s="1">
        <f t="shared" si="28"/>
        <v>41603</v>
      </c>
      <c r="I636">
        <f>IF(AND(MyRowHidden(ROW())=FALSE,MyRowHidden(ROW()-1)=TRUE),0,(E636-E635)*unitsOfDHp+I635)</f>
        <v>318160</v>
      </c>
      <c r="J636">
        <f>IF(AND(MyRowHidden(ROW())=FALSE,MyRowHidden(ROW()-1)=TRUE),0,(G636-G635)*unitsOfExo+J635)</f>
        <v>56750</v>
      </c>
      <c r="K636" s="9">
        <f t="shared" si="29"/>
        <v>43250</v>
      </c>
      <c r="L636">
        <f t="shared" si="30"/>
        <v>374910</v>
      </c>
    </row>
    <row r="637" spans="1:12" x14ac:dyDescent="0.25">
      <c r="A637" s="1"/>
      <c r="C637" s="1"/>
      <c r="D637" s="1">
        <v>41604</v>
      </c>
      <c r="E637">
        <v>26945</v>
      </c>
      <c r="F637" s="1">
        <v>41604</v>
      </c>
      <c r="G637">
        <v>412.5</v>
      </c>
      <c r="H637" s="1">
        <f t="shared" si="28"/>
        <v>41604</v>
      </c>
      <c r="I637">
        <f>IF(AND(MyRowHidden(ROW())=FALSE,MyRowHidden(ROW()-1)=TRUE),0,(E637-E636)*unitsOfDHp+I636)</f>
        <v>319450</v>
      </c>
      <c r="J637">
        <f>IF(AND(MyRowHidden(ROW())=FALSE,MyRowHidden(ROW()-1)=TRUE),0,(G637-G636)*unitsOfExo+J636)</f>
        <v>54125</v>
      </c>
      <c r="K637" s="9">
        <f t="shared" si="29"/>
        <v>45875</v>
      </c>
      <c r="L637">
        <f t="shared" si="30"/>
        <v>373575</v>
      </c>
    </row>
    <row r="638" spans="1:12" x14ac:dyDescent="0.25">
      <c r="A638" s="1"/>
      <c r="C638" s="1"/>
      <c r="D638" s="1">
        <v>41605</v>
      </c>
      <c r="E638">
        <v>26932</v>
      </c>
      <c r="F638" s="1">
        <v>41605</v>
      </c>
      <c r="G638">
        <v>400</v>
      </c>
      <c r="H638" s="1">
        <f t="shared" si="28"/>
        <v>41605</v>
      </c>
      <c r="I638">
        <f>IF(AND(MyRowHidden(ROW())=FALSE,MyRowHidden(ROW()-1)=TRUE),0,(E638-E637)*unitsOfDHp+I637)</f>
        <v>319320</v>
      </c>
      <c r="J638">
        <f>IF(AND(MyRowHidden(ROW())=FALSE,MyRowHidden(ROW()-1)=TRUE),0,(G638-G637)*unitsOfExo+J637)</f>
        <v>54000</v>
      </c>
      <c r="K638" s="9">
        <f t="shared" si="29"/>
        <v>46000</v>
      </c>
      <c r="L638">
        <f t="shared" si="30"/>
        <v>373320</v>
      </c>
    </row>
    <row r="639" spans="1:12" x14ac:dyDescent="0.25">
      <c r="A639" s="1"/>
      <c r="C639" s="1"/>
      <c r="D639" s="1">
        <v>41607</v>
      </c>
      <c r="E639">
        <v>26819</v>
      </c>
      <c r="F639" s="1">
        <v>41607</v>
      </c>
      <c r="G639">
        <v>275</v>
      </c>
      <c r="H639" s="1">
        <f t="shared" si="28"/>
        <v>41607</v>
      </c>
      <c r="I639">
        <f>IF(AND(MyRowHidden(ROW())=FALSE,MyRowHidden(ROW()-1)=TRUE),0,(E639-E638)*unitsOfDHp+I638)</f>
        <v>318190</v>
      </c>
      <c r="J639">
        <f>IF(AND(MyRowHidden(ROW())=FALSE,MyRowHidden(ROW()-1)=TRUE),0,(G639-G638)*unitsOfExo+J638)</f>
        <v>52750</v>
      </c>
      <c r="K639" s="9">
        <f t="shared" si="29"/>
        <v>47250</v>
      </c>
      <c r="L639">
        <f t="shared" si="30"/>
        <v>370940</v>
      </c>
    </row>
    <row r="640" spans="1:12" x14ac:dyDescent="0.25">
      <c r="A640" s="1"/>
      <c r="C640" s="1"/>
      <c r="D640" s="1">
        <v>41610</v>
      </c>
      <c r="E640">
        <v>26792</v>
      </c>
      <c r="F640" s="1">
        <v>41610</v>
      </c>
      <c r="G640">
        <v>300</v>
      </c>
      <c r="H640" s="1">
        <f t="shared" si="28"/>
        <v>41610</v>
      </c>
      <c r="I640">
        <f>IF(AND(MyRowHidden(ROW())=FALSE,MyRowHidden(ROW()-1)=TRUE),0,(E640-E639)*unitsOfDHp+I639)</f>
        <v>317920</v>
      </c>
      <c r="J640">
        <f>IF(AND(MyRowHidden(ROW())=FALSE,MyRowHidden(ROW()-1)=TRUE),0,(G640-G639)*unitsOfExo+J639)</f>
        <v>53000</v>
      </c>
      <c r="K640" s="9">
        <f t="shared" si="29"/>
        <v>47000</v>
      </c>
      <c r="L640">
        <f t="shared" si="30"/>
        <v>370920</v>
      </c>
    </row>
    <row r="641" spans="1:12" x14ac:dyDescent="0.25">
      <c r="A641" s="1"/>
      <c r="C641" s="1"/>
      <c r="D641" s="1">
        <v>41611</v>
      </c>
      <c r="E641">
        <v>26986</v>
      </c>
      <c r="F641" s="1">
        <v>41611</v>
      </c>
      <c r="G641">
        <v>562.5</v>
      </c>
      <c r="H641" s="1">
        <f t="shared" si="28"/>
        <v>41611</v>
      </c>
      <c r="I641">
        <f>IF(AND(MyRowHidden(ROW())=FALSE,MyRowHidden(ROW()-1)=TRUE),0,(E641-E640)*unitsOfDHp+I640)</f>
        <v>319860</v>
      </c>
      <c r="J641">
        <f>IF(AND(MyRowHidden(ROW())=FALSE,MyRowHidden(ROW()-1)=TRUE),0,(G641-G640)*unitsOfExo+J640)</f>
        <v>55625</v>
      </c>
      <c r="K641" s="9">
        <f t="shared" si="29"/>
        <v>44375</v>
      </c>
      <c r="L641">
        <f t="shared" si="30"/>
        <v>375485</v>
      </c>
    </row>
    <row r="642" spans="1:12" x14ac:dyDescent="0.25">
      <c r="A642" s="1"/>
      <c r="C642" s="1"/>
      <c r="D642" s="1">
        <v>41612</v>
      </c>
      <c r="E642">
        <v>26992</v>
      </c>
      <c r="F642" s="1">
        <v>41612</v>
      </c>
      <c r="G642">
        <v>737.5</v>
      </c>
      <c r="H642" s="1">
        <f t="shared" si="28"/>
        <v>41612</v>
      </c>
      <c r="I642">
        <f>IF(AND(MyRowHidden(ROW())=FALSE,MyRowHidden(ROW()-1)=TRUE),0,(E642-E641)*unitsOfDHp+I641)</f>
        <v>319920</v>
      </c>
      <c r="J642">
        <f>IF(AND(MyRowHidden(ROW())=FALSE,MyRowHidden(ROW()-1)=TRUE),0,(G642-G641)*unitsOfExo+J641)</f>
        <v>57375</v>
      </c>
      <c r="K642" s="9">
        <f t="shared" si="29"/>
        <v>42625</v>
      </c>
      <c r="L642">
        <f t="shared" si="30"/>
        <v>377295</v>
      </c>
    </row>
    <row r="643" spans="1:12" x14ac:dyDescent="0.25">
      <c r="A643" s="1"/>
      <c r="C643" s="1"/>
      <c r="D643" s="1">
        <v>41613</v>
      </c>
      <c r="E643">
        <v>27038</v>
      </c>
      <c r="F643" s="1">
        <v>41613</v>
      </c>
      <c r="G643">
        <v>712.5</v>
      </c>
      <c r="H643" s="1">
        <f t="shared" si="28"/>
        <v>41613</v>
      </c>
      <c r="I643">
        <f>IF(AND(MyRowHidden(ROW())=FALSE,MyRowHidden(ROW()-1)=TRUE),0,(E643-E642)*unitsOfDHp+I642)</f>
        <v>320380</v>
      </c>
      <c r="J643">
        <f>IF(AND(MyRowHidden(ROW())=FALSE,MyRowHidden(ROW()-1)=TRUE),0,(G643-G642)*unitsOfExo+J642)</f>
        <v>57125</v>
      </c>
      <c r="K643" s="9">
        <f t="shared" si="29"/>
        <v>42875</v>
      </c>
      <c r="L643">
        <f t="shared" si="30"/>
        <v>377505</v>
      </c>
    </row>
    <row r="644" spans="1:12" x14ac:dyDescent="0.25">
      <c r="A644" s="1"/>
      <c r="C644" s="1"/>
      <c r="D644" s="1">
        <v>41614</v>
      </c>
      <c r="E644">
        <v>27329</v>
      </c>
      <c r="F644" s="1">
        <v>41614</v>
      </c>
      <c r="G644">
        <v>600</v>
      </c>
      <c r="H644" s="1">
        <f t="shared" si="28"/>
        <v>41614</v>
      </c>
      <c r="I644">
        <f>IF(AND(MyRowHidden(ROW())=FALSE,MyRowHidden(ROW()-1)=TRUE),0,(E644-E643)*unitsOfDHp+I643)</f>
        <v>323290</v>
      </c>
      <c r="J644">
        <f>IF(AND(MyRowHidden(ROW())=FALSE,MyRowHidden(ROW()-1)=TRUE),0,(G644-G643)*unitsOfExo+J643)</f>
        <v>56000</v>
      </c>
      <c r="K644" s="9">
        <f t="shared" si="29"/>
        <v>44000</v>
      </c>
      <c r="L644">
        <f t="shared" si="30"/>
        <v>379290</v>
      </c>
    </row>
    <row r="645" spans="1:12" x14ac:dyDescent="0.25">
      <c r="A645" s="1"/>
      <c r="C645" s="1"/>
      <c r="D645" s="1">
        <v>41617</v>
      </c>
      <c r="E645">
        <v>26919</v>
      </c>
      <c r="F645" s="1">
        <v>41617</v>
      </c>
      <c r="G645">
        <v>912.5</v>
      </c>
      <c r="H645" s="1">
        <f t="shared" si="28"/>
        <v>41617</v>
      </c>
      <c r="I645">
        <f>IF(AND(MyRowHidden(ROW())=FALSE,MyRowHidden(ROW()-1)=TRUE),0,(E645-E644)*unitsOfDHp+I644)</f>
        <v>319190</v>
      </c>
      <c r="J645">
        <f>IF(AND(MyRowHidden(ROW())=FALSE,MyRowHidden(ROW()-1)=TRUE),0,(G645-G644)*unitsOfExo+J644)</f>
        <v>59125</v>
      </c>
      <c r="K645" s="9">
        <f t="shared" si="29"/>
        <v>40875</v>
      </c>
      <c r="L645">
        <f t="shared" si="30"/>
        <v>378315</v>
      </c>
    </row>
    <row r="646" spans="1:12" x14ac:dyDescent="0.25">
      <c r="A646" s="1"/>
      <c r="C646" s="1"/>
      <c r="D646" s="1">
        <v>41618</v>
      </c>
      <c r="E646">
        <v>26996</v>
      </c>
      <c r="F646" s="1">
        <v>41618</v>
      </c>
      <c r="G646">
        <v>887.5</v>
      </c>
      <c r="H646" s="1">
        <f t="shared" si="28"/>
        <v>41618</v>
      </c>
      <c r="I646">
        <f>IF(AND(MyRowHidden(ROW())=FALSE,MyRowHidden(ROW()-1)=TRUE),0,(E646-E645)*unitsOfDHp+I645)</f>
        <v>319960</v>
      </c>
      <c r="J646">
        <f>IF(AND(MyRowHidden(ROW())=FALSE,MyRowHidden(ROW()-1)=TRUE),0,(G646-G645)*unitsOfExo+J645)</f>
        <v>58875</v>
      </c>
      <c r="K646" s="9">
        <f t="shared" si="29"/>
        <v>41125</v>
      </c>
      <c r="L646">
        <f t="shared" si="30"/>
        <v>378835</v>
      </c>
    </row>
    <row r="647" spans="1:12" x14ac:dyDescent="0.25">
      <c r="A647" s="1"/>
      <c r="C647" s="1"/>
      <c r="D647" s="1">
        <v>41619</v>
      </c>
      <c r="E647">
        <v>26726</v>
      </c>
      <c r="F647" s="1">
        <v>41619</v>
      </c>
      <c r="G647">
        <v>1087.5</v>
      </c>
      <c r="H647" s="1">
        <f t="shared" si="28"/>
        <v>41619</v>
      </c>
      <c r="I647">
        <f>IF(AND(MyRowHidden(ROW())=FALSE,MyRowHidden(ROW()-1)=TRUE),0,(E647-E646)*unitsOfDHp+I646)</f>
        <v>317260</v>
      </c>
      <c r="J647">
        <f>IF(AND(MyRowHidden(ROW())=FALSE,MyRowHidden(ROW()-1)=TRUE),0,(G647-G646)*unitsOfExo+J646)</f>
        <v>60875</v>
      </c>
      <c r="K647" s="9">
        <f t="shared" si="29"/>
        <v>39125</v>
      </c>
      <c r="L647">
        <f t="shared" si="30"/>
        <v>378135</v>
      </c>
    </row>
    <row r="648" spans="1:12" x14ac:dyDescent="0.25">
      <c r="A648" s="1"/>
      <c r="C648" s="1"/>
      <c r="D648" s="1">
        <v>41620</v>
      </c>
      <c r="E648">
        <v>27017</v>
      </c>
      <c r="F648" s="1">
        <v>41620</v>
      </c>
      <c r="G648">
        <v>800</v>
      </c>
      <c r="H648" s="1">
        <f t="shared" si="28"/>
        <v>41620</v>
      </c>
      <c r="I648">
        <f>IF(AND(MyRowHidden(ROW())=FALSE,MyRowHidden(ROW()-1)=TRUE),0,(E648-E647)*unitsOfDHp+I647)</f>
        <v>320170</v>
      </c>
      <c r="J648">
        <f>IF(AND(MyRowHidden(ROW())=FALSE,MyRowHidden(ROW()-1)=TRUE),0,(G648-G647)*unitsOfExo+J647)</f>
        <v>58000</v>
      </c>
      <c r="K648" s="9">
        <f t="shared" si="29"/>
        <v>42000</v>
      </c>
      <c r="L648">
        <f t="shared" si="30"/>
        <v>378170</v>
      </c>
    </row>
    <row r="649" spans="1:12" x14ac:dyDescent="0.25">
      <c r="A649" s="1"/>
      <c r="C649" s="1"/>
      <c r="D649" s="1">
        <v>41621</v>
      </c>
      <c r="E649">
        <v>27073</v>
      </c>
      <c r="F649" s="1">
        <v>41621</v>
      </c>
      <c r="G649">
        <v>462.5</v>
      </c>
      <c r="H649" s="1">
        <f t="shared" si="28"/>
        <v>41621</v>
      </c>
      <c r="I649">
        <f>IF(AND(MyRowHidden(ROW())=FALSE,MyRowHidden(ROW()-1)=TRUE),0,(E649-E648)*unitsOfDHp+I648)</f>
        <v>320730</v>
      </c>
      <c r="J649">
        <f>IF(AND(MyRowHidden(ROW())=FALSE,MyRowHidden(ROW()-1)=TRUE),0,(G649-G648)*unitsOfExo+J648)</f>
        <v>54625</v>
      </c>
      <c r="K649" s="9">
        <f t="shared" si="29"/>
        <v>45375</v>
      </c>
      <c r="L649">
        <f t="shared" si="30"/>
        <v>375355</v>
      </c>
    </row>
    <row r="650" spans="1:12" x14ac:dyDescent="0.25">
      <c r="A650" s="1"/>
      <c r="C650" s="1"/>
      <c r="D650" s="1">
        <v>41624</v>
      </c>
      <c r="E650">
        <v>27166</v>
      </c>
      <c r="F650" s="1">
        <v>41624</v>
      </c>
      <c r="G650">
        <v>400</v>
      </c>
      <c r="H650" s="1">
        <f t="shared" si="28"/>
        <v>41624</v>
      </c>
      <c r="I650">
        <f>IF(AND(MyRowHidden(ROW())=FALSE,MyRowHidden(ROW()-1)=TRUE),0,(E650-E649)*unitsOfDHp+I649)</f>
        <v>321660</v>
      </c>
      <c r="J650">
        <f>IF(AND(MyRowHidden(ROW())=FALSE,MyRowHidden(ROW()-1)=TRUE),0,(G650-G649)*unitsOfExo+J649)</f>
        <v>54000</v>
      </c>
      <c r="K650" s="9">
        <f t="shared" si="29"/>
        <v>46000</v>
      </c>
      <c r="L650">
        <f t="shared" si="30"/>
        <v>375660</v>
      </c>
    </row>
    <row r="651" spans="1:12" x14ac:dyDescent="0.25">
      <c r="A651" s="1"/>
      <c r="C651" s="1"/>
      <c r="D651" s="1">
        <v>41625</v>
      </c>
      <c r="E651">
        <v>27207</v>
      </c>
      <c r="F651" s="1">
        <v>41625</v>
      </c>
      <c r="G651">
        <v>500</v>
      </c>
      <c r="H651" s="1">
        <f t="shared" si="28"/>
        <v>41625</v>
      </c>
      <c r="I651">
        <f>IF(AND(MyRowHidden(ROW())=FALSE,MyRowHidden(ROW()-1)=TRUE),0,(E651-E650)*unitsOfDHp+I650)</f>
        <v>322070</v>
      </c>
      <c r="J651">
        <f>IF(AND(MyRowHidden(ROW())=FALSE,MyRowHidden(ROW()-1)=TRUE),0,(G651-G650)*unitsOfExo+J650)</f>
        <v>55000</v>
      </c>
      <c r="K651" s="9">
        <f t="shared" si="29"/>
        <v>45000</v>
      </c>
      <c r="L651">
        <f t="shared" si="30"/>
        <v>377070</v>
      </c>
    </row>
    <row r="652" spans="1:12" x14ac:dyDescent="0.25">
      <c r="A652" s="1"/>
      <c r="C652" s="1"/>
      <c r="D652" s="1">
        <v>41626</v>
      </c>
      <c r="E652">
        <v>27116</v>
      </c>
      <c r="F652" s="1">
        <v>41626</v>
      </c>
      <c r="G652">
        <v>400</v>
      </c>
      <c r="H652" s="1">
        <f t="shared" si="28"/>
        <v>41626</v>
      </c>
      <c r="I652">
        <f>IF(AND(MyRowHidden(ROW())=FALSE,MyRowHidden(ROW()-1)=TRUE),0,(E652-E651)*unitsOfDHp+I651)</f>
        <v>321160</v>
      </c>
      <c r="J652">
        <f>IF(AND(MyRowHidden(ROW())=FALSE,MyRowHidden(ROW()-1)=TRUE),0,(G652-G651)*unitsOfExo+J651)</f>
        <v>54000</v>
      </c>
      <c r="K652" s="9">
        <f t="shared" si="29"/>
        <v>46000</v>
      </c>
      <c r="L652">
        <f t="shared" si="30"/>
        <v>375160</v>
      </c>
    </row>
    <row r="653" spans="1:12" x14ac:dyDescent="0.25">
      <c r="A653" s="1"/>
      <c r="C653" s="1"/>
      <c r="D653" s="1">
        <v>41627</v>
      </c>
      <c r="E653">
        <v>27100</v>
      </c>
      <c r="F653" s="1">
        <v>41627</v>
      </c>
      <c r="G653">
        <v>612.5</v>
      </c>
      <c r="H653" s="1">
        <f t="shared" ref="H653:H716" si="31">D653</f>
        <v>41627</v>
      </c>
      <c r="I653">
        <f>IF(AND(MyRowHidden(ROW())=FALSE,MyRowHidden(ROW()-1)=TRUE),0,(E653-E652)*unitsOfDHp+I652)</f>
        <v>321000</v>
      </c>
      <c r="J653">
        <f>IF(AND(MyRowHidden(ROW())=FALSE,MyRowHidden(ROW()-1)=TRUE),0,(G653-G652)*unitsOfExo+J652)</f>
        <v>56125</v>
      </c>
      <c r="K653" s="9">
        <f t="shared" ref="K653:K716" si="32">-(J653-J652)+K652</f>
        <v>43875</v>
      </c>
      <c r="L653">
        <f t="shared" ref="L653:L716" si="33">I653+J653</f>
        <v>377125</v>
      </c>
    </row>
    <row r="654" spans="1:12" x14ac:dyDescent="0.25">
      <c r="A654" s="1"/>
      <c r="C654" s="1"/>
      <c r="D654" s="1">
        <v>41628</v>
      </c>
      <c r="E654">
        <v>27215</v>
      </c>
      <c r="F654" s="1">
        <v>41628</v>
      </c>
      <c r="G654">
        <v>775</v>
      </c>
      <c r="H654" s="1">
        <f t="shared" si="31"/>
        <v>41628</v>
      </c>
      <c r="I654">
        <f>IF(AND(MyRowHidden(ROW())=FALSE,MyRowHidden(ROW()-1)=TRUE),0,(E654-E653)*unitsOfDHp+I653)</f>
        <v>322150</v>
      </c>
      <c r="J654">
        <f>IF(AND(MyRowHidden(ROW())=FALSE,MyRowHidden(ROW()-1)=TRUE),0,(G654-G653)*unitsOfExo+J653)</f>
        <v>57750</v>
      </c>
      <c r="K654" s="9">
        <f t="shared" si="32"/>
        <v>42250</v>
      </c>
      <c r="L654">
        <f t="shared" si="33"/>
        <v>379900</v>
      </c>
    </row>
    <row r="655" spans="1:12" x14ac:dyDescent="0.25">
      <c r="A655" s="1"/>
      <c r="C655" s="1"/>
      <c r="D655" s="1">
        <v>41631</v>
      </c>
      <c r="E655">
        <v>27262</v>
      </c>
      <c r="F655" s="1">
        <v>41631</v>
      </c>
      <c r="G655">
        <v>862.5</v>
      </c>
      <c r="H655" s="1">
        <f t="shared" si="31"/>
        <v>41631</v>
      </c>
      <c r="I655">
        <f>IF(AND(MyRowHidden(ROW())=FALSE,MyRowHidden(ROW()-1)=TRUE),0,(E655-E654)*unitsOfDHp+I654)</f>
        <v>322620</v>
      </c>
      <c r="J655">
        <f>IF(AND(MyRowHidden(ROW())=FALSE,MyRowHidden(ROW()-1)=TRUE),0,(G655-G654)*unitsOfExo+J654)</f>
        <v>58625</v>
      </c>
      <c r="K655" s="9">
        <f t="shared" si="32"/>
        <v>41375</v>
      </c>
      <c r="L655">
        <f t="shared" si="33"/>
        <v>381245</v>
      </c>
    </row>
    <row r="656" spans="1:12" x14ac:dyDescent="0.25">
      <c r="A656" s="1"/>
      <c r="C656" s="1"/>
      <c r="D656" s="1">
        <v>41632</v>
      </c>
      <c r="E656">
        <v>27217</v>
      </c>
      <c r="F656" s="1">
        <v>41632</v>
      </c>
      <c r="G656">
        <v>875</v>
      </c>
      <c r="H656" s="1">
        <f t="shared" si="31"/>
        <v>41632</v>
      </c>
      <c r="I656">
        <f>IF(AND(MyRowHidden(ROW())=FALSE,MyRowHidden(ROW()-1)=TRUE),0,(E656-E655)*unitsOfDHp+I655)</f>
        <v>322170</v>
      </c>
      <c r="J656">
        <f>IF(AND(MyRowHidden(ROW())=FALSE,MyRowHidden(ROW()-1)=TRUE),0,(G656-G655)*unitsOfExo+J655)</f>
        <v>58750</v>
      </c>
      <c r="K656" s="9">
        <f t="shared" si="32"/>
        <v>41250</v>
      </c>
      <c r="L656">
        <f t="shared" si="33"/>
        <v>380920</v>
      </c>
    </row>
    <row r="657" spans="1:12" x14ac:dyDescent="0.25">
      <c r="A657" s="1"/>
      <c r="C657" s="1"/>
      <c r="D657" s="1">
        <v>41634</v>
      </c>
      <c r="E657">
        <v>27690</v>
      </c>
      <c r="F657" s="1">
        <v>41634</v>
      </c>
      <c r="G657">
        <v>512.5</v>
      </c>
      <c r="H657" s="1">
        <f t="shared" si="31"/>
        <v>41634</v>
      </c>
      <c r="I657">
        <f>IF(AND(MyRowHidden(ROW())=FALSE,MyRowHidden(ROW()-1)=TRUE),0,(E657-E656)*unitsOfDHp+I656)</f>
        <v>326900</v>
      </c>
      <c r="J657">
        <f>IF(AND(MyRowHidden(ROW())=FALSE,MyRowHidden(ROW()-1)=TRUE),0,(G657-G656)*unitsOfExo+J656)</f>
        <v>55125</v>
      </c>
      <c r="K657" s="9">
        <f t="shared" si="32"/>
        <v>44875</v>
      </c>
      <c r="L657">
        <f t="shared" si="33"/>
        <v>382025</v>
      </c>
    </row>
    <row r="658" spans="1:12" x14ac:dyDescent="0.25">
      <c r="A658" s="1"/>
      <c r="C658" s="1"/>
      <c r="D658" s="1">
        <v>41635</v>
      </c>
      <c r="E658">
        <v>27661</v>
      </c>
      <c r="F658" s="1">
        <v>41635</v>
      </c>
      <c r="G658">
        <v>500</v>
      </c>
      <c r="H658" s="1">
        <f t="shared" si="31"/>
        <v>41635</v>
      </c>
      <c r="I658">
        <f>IF(AND(MyRowHidden(ROW())=FALSE,MyRowHidden(ROW()-1)=TRUE),0,(E658-E657)*unitsOfDHp+I657)</f>
        <v>326610</v>
      </c>
      <c r="J658">
        <f>IF(AND(MyRowHidden(ROW())=FALSE,MyRowHidden(ROW()-1)=TRUE),0,(G658-G657)*unitsOfExo+J657)</f>
        <v>55000</v>
      </c>
      <c r="K658" s="9">
        <f t="shared" si="32"/>
        <v>45000</v>
      </c>
      <c r="L658">
        <f t="shared" si="33"/>
        <v>381610</v>
      </c>
    </row>
    <row r="659" spans="1:12" x14ac:dyDescent="0.25">
      <c r="A659" s="1"/>
      <c r="C659" s="1"/>
      <c r="D659" s="1">
        <v>41638</v>
      </c>
      <c r="E659">
        <v>27550</v>
      </c>
      <c r="F659" s="1">
        <v>41638</v>
      </c>
      <c r="G659">
        <v>325</v>
      </c>
      <c r="H659" s="1">
        <f t="shared" si="31"/>
        <v>41638</v>
      </c>
      <c r="I659">
        <f>IF(AND(MyRowHidden(ROW())=FALSE,MyRowHidden(ROW()-1)=TRUE),0,(E659-E658)*unitsOfDHp+I658)</f>
        <v>325500</v>
      </c>
      <c r="J659">
        <f>IF(AND(MyRowHidden(ROW())=FALSE,MyRowHidden(ROW()-1)=TRUE),0,(G659-G658)*unitsOfExo+J658)</f>
        <v>53250</v>
      </c>
      <c r="K659" s="9">
        <f t="shared" si="32"/>
        <v>46750</v>
      </c>
      <c r="L659">
        <f t="shared" si="33"/>
        <v>378750</v>
      </c>
    </row>
    <row r="660" spans="1:12" x14ac:dyDescent="0.25">
      <c r="A660" s="1"/>
      <c r="C660" s="1"/>
      <c r="D660" s="1">
        <v>41639</v>
      </c>
      <c r="E660">
        <v>27550</v>
      </c>
      <c r="F660" s="1">
        <v>41639</v>
      </c>
      <c r="G660">
        <v>275</v>
      </c>
      <c r="H660" s="1">
        <f t="shared" si="31"/>
        <v>41639</v>
      </c>
      <c r="I660">
        <f>IF(AND(MyRowHidden(ROW())=FALSE,MyRowHidden(ROW()-1)=TRUE),0,(E660-E659)*unitsOfDHp+I659)</f>
        <v>325500</v>
      </c>
      <c r="J660">
        <f>IF(AND(MyRowHidden(ROW())=FALSE,MyRowHidden(ROW()-1)=TRUE),0,(G660-G659)*unitsOfExo+J659)</f>
        <v>52750</v>
      </c>
      <c r="K660" s="9">
        <f t="shared" si="32"/>
        <v>47250</v>
      </c>
      <c r="L660">
        <f t="shared" si="33"/>
        <v>378250</v>
      </c>
    </row>
    <row r="661" spans="1:12" x14ac:dyDescent="0.25">
      <c r="A661" s="1"/>
      <c r="C661" s="1"/>
      <c r="D661" s="1">
        <v>41641</v>
      </c>
      <c r="E661">
        <v>27539</v>
      </c>
      <c r="F661" s="1">
        <v>41641</v>
      </c>
      <c r="G661">
        <v>75</v>
      </c>
      <c r="H661" s="1">
        <f t="shared" si="31"/>
        <v>41641</v>
      </c>
      <c r="I661">
        <f>IF(AND(MyRowHidden(ROW())=FALSE,MyRowHidden(ROW()-1)=TRUE),0,(E661-E660)*unitsOfDHp+I660)</f>
        <v>325390</v>
      </c>
      <c r="J661">
        <f>IF(AND(MyRowHidden(ROW())=FALSE,MyRowHidden(ROW()-1)=TRUE),0,(G661-G660)*unitsOfExo+J660)</f>
        <v>50750</v>
      </c>
      <c r="K661" s="9">
        <f t="shared" si="32"/>
        <v>49250</v>
      </c>
      <c r="L661">
        <f t="shared" si="33"/>
        <v>376140</v>
      </c>
    </row>
    <row r="662" spans="1:12" x14ac:dyDescent="0.25">
      <c r="A662" s="1"/>
      <c r="C662" s="1"/>
      <c r="D662" s="1">
        <v>41642</v>
      </c>
      <c r="E662">
        <v>27802</v>
      </c>
      <c r="F662" s="1">
        <v>41642</v>
      </c>
      <c r="G662">
        <v>325</v>
      </c>
      <c r="H662" s="1">
        <f t="shared" si="31"/>
        <v>41642</v>
      </c>
      <c r="I662">
        <f>IF(AND(MyRowHidden(ROW())=FALSE,MyRowHidden(ROW()-1)=TRUE),0,(E662-E661)*unitsOfDHp+I661)</f>
        <v>328020</v>
      </c>
      <c r="J662">
        <f>IF(AND(MyRowHidden(ROW())=FALSE,MyRowHidden(ROW()-1)=TRUE),0,(G662-G661)*unitsOfExo+J661)</f>
        <v>53250</v>
      </c>
      <c r="K662" s="9">
        <f t="shared" si="32"/>
        <v>46750</v>
      </c>
      <c r="L662">
        <f t="shared" si="33"/>
        <v>381270</v>
      </c>
    </row>
    <row r="663" spans="1:12" x14ac:dyDescent="0.25">
      <c r="A663" s="1"/>
      <c r="C663" s="1"/>
      <c r="D663" s="1">
        <v>41645</v>
      </c>
      <c r="E663">
        <v>27936</v>
      </c>
      <c r="F663" s="1">
        <v>41645</v>
      </c>
      <c r="G663">
        <v>475</v>
      </c>
      <c r="H663" s="1">
        <f t="shared" si="31"/>
        <v>41645</v>
      </c>
      <c r="I663">
        <f>IF(AND(MyRowHidden(ROW())=FALSE,MyRowHidden(ROW()-1)=TRUE),0,(E663-E662)*unitsOfDHp+I662)</f>
        <v>329360</v>
      </c>
      <c r="J663">
        <f>IF(AND(MyRowHidden(ROW())=FALSE,MyRowHidden(ROW()-1)=TRUE),0,(G663-G662)*unitsOfExo+J662)</f>
        <v>54750</v>
      </c>
      <c r="K663" s="9">
        <f t="shared" si="32"/>
        <v>45250</v>
      </c>
      <c r="L663">
        <f t="shared" si="33"/>
        <v>384110</v>
      </c>
    </row>
    <row r="664" spans="1:12" x14ac:dyDescent="0.25">
      <c r="A664" s="1"/>
      <c r="C664" s="1"/>
      <c r="D664" s="1">
        <v>41646</v>
      </c>
      <c r="E664">
        <v>27925</v>
      </c>
      <c r="F664" s="1">
        <v>41646</v>
      </c>
      <c r="G664">
        <v>487.5</v>
      </c>
      <c r="H664" s="1">
        <f t="shared" si="31"/>
        <v>41646</v>
      </c>
      <c r="I664">
        <f>IF(AND(MyRowHidden(ROW())=FALSE,MyRowHidden(ROW()-1)=TRUE),0,(E664-E663)*unitsOfDHp+I663)</f>
        <v>329250</v>
      </c>
      <c r="J664">
        <f>IF(AND(MyRowHidden(ROW())=FALSE,MyRowHidden(ROW()-1)=TRUE),0,(G664-G663)*unitsOfExo+J663)</f>
        <v>54875</v>
      </c>
      <c r="K664" s="9">
        <f t="shared" si="32"/>
        <v>45125</v>
      </c>
      <c r="L664">
        <f t="shared" si="33"/>
        <v>384125</v>
      </c>
    </row>
    <row r="665" spans="1:12" x14ac:dyDescent="0.25">
      <c r="A665" s="1"/>
      <c r="C665" s="1"/>
      <c r="D665" s="1">
        <v>41647</v>
      </c>
      <c r="E665">
        <v>27868</v>
      </c>
      <c r="F665" s="1">
        <v>41647</v>
      </c>
      <c r="G665">
        <v>87.5</v>
      </c>
      <c r="H665" s="1">
        <f t="shared" si="31"/>
        <v>41647</v>
      </c>
      <c r="I665">
        <f>IF(AND(MyRowHidden(ROW())=FALSE,MyRowHidden(ROW()-1)=TRUE),0,(E665-E664)*unitsOfDHp+I664)</f>
        <v>328680</v>
      </c>
      <c r="J665">
        <f>IF(AND(MyRowHidden(ROW())=FALSE,MyRowHidden(ROW()-1)=TRUE),0,(G665-G664)*unitsOfExo+J664)</f>
        <v>50875</v>
      </c>
      <c r="K665" s="9">
        <f t="shared" si="32"/>
        <v>49125</v>
      </c>
      <c r="L665">
        <f t="shared" si="33"/>
        <v>379555</v>
      </c>
    </row>
    <row r="666" spans="1:12" x14ac:dyDescent="0.25">
      <c r="A666" s="1"/>
      <c r="C666" s="1"/>
      <c r="D666" s="1">
        <v>41648</v>
      </c>
      <c r="E666">
        <v>27857</v>
      </c>
      <c r="F666" s="1">
        <v>41648</v>
      </c>
      <c r="G666">
        <v>-287.5</v>
      </c>
      <c r="H666" s="1">
        <f t="shared" si="31"/>
        <v>41648</v>
      </c>
      <c r="I666">
        <f>IF(AND(MyRowHidden(ROW())=FALSE,MyRowHidden(ROW()-1)=TRUE),0,(E666-E665)*unitsOfDHp+I665)</f>
        <v>328570</v>
      </c>
      <c r="J666">
        <f>IF(AND(MyRowHidden(ROW())=FALSE,MyRowHidden(ROW()-1)=TRUE),0,(G666-G665)*unitsOfExo+J665)</f>
        <v>47125</v>
      </c>
      <c r="K666" s="9">
        <f t="shared" si="32"/>
        <v>52875</v>
      </c>
      <c r="L666">
        <f t="shared" si="33"/>
        <v>375695</v>
      </c>
    </row>
    <row r="667" spans="1:12" x14ac:dyDescent="0.25">
      <c r="A667" s="1"/>
      <c r="C667" s="1"/>
      <c r="D667" s="1">
        <v>41649</v>
      </c>
      <c r="E667">
        <v>29015</v>
      </c>
      <c r="F667" s="1">
        <v>41649</v>
      </c>
      <c r="G667">
        <v>575</v>
      </c>
      <c r="H667" s="1">
        <f t="shared" si="31"/>
        <v>41649</v>
      </c>
      <c r="I667">
        <f>IF(AND(MyRowHidden(ROW())=FALSE,MyRowHidden(ROW()-1)=TRUE),0,(E667-E666)*unitsOfDHp+I666)</f>
        <v>340150</v>
      </c>
      <c r="J667">
        <f>IF(AND(MyRowHidden(ROW())=FALSE,MyRowHidden(ROW()-1)=TRUE),0,(G667-G666)*unitsOfExo+J666)</f>
        <v>55750</v>
      </c>
      <c r="K667" s="9">
        <f t="shared" si="32"/>
        <v>44250</v>
      </c>
      <c r="L667">
        <f t="shared" si="33"/>
        <v>395900</v>
      </c>
    </row>
    <row r="668" spans="1:12" x14ac:dyDescent="0.25">
      <c r="A668" s="1"/>
      <c r="C668" s="1"/>
      <c r="D668" s="1">
        <v>41652</v>
      </c>
      <c r="E668">
        <v>29033</v>
      </c>
      <c r="F668" s="1">
        <v>41652</v>
      </c>
      <c r="G668">
        <v>862.5</v>
      </c>
      <c r="H668" s="1">
        <f t="shared" si="31"/>
        <v>41652</v>
      </c>
      <c r="I668">
        <f>IF(AND(MyRowHidden(ROW())=FALSE,MyRowHidden(ROW()-1)=TRUE),0,(E668-E667)*unitsOfDHp+I667)</f>
        <v>340330</v>
      </c>
      <c r="J668">
        <f>IF(AND(MyRowHidden(ROW())=FALSE,MyRowHidden(ROW()-1)=TRUE),0,(G668-G667)*unitsOfExo+J667)</f>
        <v>58625</v>
      </c>
      <c r="K668" s="9">
        <f t="shared" si="32"/>
        <v>41375</v>
      </c>
      <c r="L668">
        <f t="shared" si="33"/>
        <v>398955</v>
      </c>
    </row>
    <row r="669" spans="1:12" x14ac:dyDescent="0.25">
      <c r="A669" s="1"/>
      <c r="C669" s="1"/>
      <c r="D669" s="1">
        <v>41653</v>
      </c>
      <c r="E669">
        <v>28779</v>
      </c>
      <c r="F669" s="1">
        <v>41653</v>
      </c>
      <c r="G669">
        <v>687.5</v>
      </c>
      <c r="H669" s="1">
        <f t="shared" si="31"/>
        <v>41653</v>
      </c>
      <c r="I669">
        <f>IF(AND(MyRowHidden(ROW())=FALSE,MyRowHidden(ROW()-1)=TRUE),0,(E669-E668)*unitsOfDHp+I668)</f>
        <v>337790</v>
      </c>
      <c r="J669">
        <f>IF(AND(MyRowHidden(ROW())=FALSE,MyRowHidden(ROW()-1)=TRUE),0,(G669-G668)*unitsOfExo+J668)</f>
        <v>56875</v>
      </c>
      <c r="K669" s="9">
        <f t="shared" si="32"/>
        <v>43125</v>
      </c>
      <c r="L669">
        <f t="shared" si="33"/>
        <v>394665</v>
      </c>
    </row>
    <row r="670" spans="1:12" x14ac:dyDescent="0.25">
      <c r="A670" s="1"/>
      <c r="C670" s="1"/>
      <c r="D670" s="1">
        <v>41654</v>
      </c>
      <c r="E670">
        <v>28538</v>
      </c>
      <c r="F670" s="1">
        <v>41654</v>
      </c>
      <c r="G670">
        <v>475</v>
      </c>
      <c r="H670" s="1">
        <f t="shared" si="31"/>
        <v>41654</v>
      </c>
      <c r="I670">
        <f>IF(AND(MyRowHidden(ROW())=FALSE,MyRowHidden(ROW()-1)=TRUE),0,(E670-E669)*unitsOfDHp+I669)</f>
        <v>335380</v>
      </c>
      <c r="J670">
        <f>IF(AND(MyRowHidden(ROW())=FALSE,MyRowHidden(ROW()-1)=TRUE),0,(G670-G669)*unitsOfExo+J669)</f>
        <v>54750</v>
      </c>
      <c r="K670" s="9">
        <f t="shared" si="32"/>
        <v>45250</v>
      </c>
      <c r="L670">
        <f t="shared" si="33"/>
        <v>390130</v>
      </c>
    </row>
    <row r="671" spans="1:12" x14ac:dyDescent="0.25">
      <c r="A671" s="1"/>
      <c r="C671" s="1"/>
      <c r="D671" s="1">
        <v>41655</v>
      </c>
      <c r="E671">
        <v>28530</v>
      </c>
      <c r="F671" s="1">
        <v>41655</v>
      </c>
      <c r="G671">
        <v>475</v>
      </c>
      <c r="H671" s="1">
        <f t="shared" si="31"/>
        <v>41655</v>
      </c>
      <c r="I671">
        <f>IF(AND(MyRowHidden(ROW())=FALSE,MyRowHidden(ROW()-1)=TRUE),0,(E671-E670)*unitsOfDHp+I670)</f>
        <v>335300</v>
      </c>
      <c r="J671">
        <f>IF(AND(MyRowHidden(ROW())=FALSE,MyRowHidden(ROW()-1)=TRUE),0,(G671-G670)*unitsOfExo+J670)</f>
        <v>54750</v>
      </c>
      <c r="K671" s="9">
        <f t="shared" si="32"/>
        <v>45250</v>
      </c>
      <c r="L671">
        <f t="shared" si="33"/>
        <v>390050</v>
      </c>
    </row>
    <row r="672" spans="1:12" x14ac:dyDescent="0.25">
      <c r="A672" s="1"/>
      <c r="C672" s="1"/>
      <c r="D672" s="1">
        <v>41656</v>
      </c>
      <c r="E672">
        <v>28586</v>
      </c>
      <c r="F672" s="1">
        <v>41656</v>
      </c>
      <c r="G672">
        <v>337.5</v>
      </c>
      <c r="H672" s="1">
        <f t="shared" si="31"/>
        <v>41656</v>
      </c>
      <c r="I672">
        <f>IF(AND(MyRowHidden(ROW())=FALSE,MyRowHidden(ROW()-1)=TRUE),0,(E672-E671)*unitsOfDHp+I671)</f>
        <v>335860</v>
      </c>
      <c r="J672">
        <f>IF(AND(MyRowHidden(ROW())=FALSE,MyRowHidden(ROW()-1)=TRUE),0,(G672-G671)*unitsOfExo+J671)</f>
        <v>53375</v>
      </c>
      <c r="K672" s="9">
        <f t="shared" si="32"/>
        <v>46625</v>
      </c>
      <c r="L672">
        <f t="shared" si="33"/>
        <v>389235</v>
      </c>
    </row>
    <row r="673" spans="1:12" x14ac:dyDescent="0.25">
      <c r="A673" s="1"/>
      <c r="C673" s="1"/>
      <c r="D673" s="1">
        <v>41660</v>
      </c>
      <c r="E673">
        <v>28586</v>
      </c>
      <c r="F673" s="1">
        <v>41660</v>
      </c>
      <c r="G673">
        <v>325</v>
      </c>
      <c r="H673" s="1">
        <f t="shared" si="31"/>
        <v>41660</v>
      </c>
      <c r="I673">
        <f>IF(AND(MyRowHidden(ROW())=FALSE,MyRowHidden(ROW()-1)=TRUE),0,(E673-E672)*unitsOfDHp+I672)</f>
        <v>335860</v>
      </c>
      <c r="J673">
        <f>IF(AND(MyRowHidden(ROW())=FALSE,MyRowHidden(ROW()-1)=TRUE),0,(G673-G672)*unitsOfExo+J672)</f>
        <v>53250</v>
      </c>
      <c r="K673" s="9">
        <f t="shared" si="32"/>
        <v>46750</v>
      </c>
      <c r="L673">
        <f t="shared" si="33"/>
        <v>389110</v>
      </c>
    </row>
    <row r="674" spans="1:12" x14ac:dyDescent="0.25">
      <c r="A674" s="1"/>
      <c r="C674" s="1"/>
      <c r="D674" s="1">
        <v>41661</v>
      </c>
      <c r="E674">
        <v>28548</v>
      </c>
      <c r="F674" s="1">
        <v>41661</v>
      </c>
      <c r="G674">
        <v>450</v>
      </c>
      <c r="H674" s="1">
        <f t="shared" si="31"/>
        <v>41661</v>
      </c>
      <c r="I674">
        <f>IF(AND(MyRowHidden(ROW())=FALSE,MyRowHidden(ROW()-1)=TRUE),0,(E674-E673)*unitsOfDHp+I673)</f>
        <v>335480</v>
      </c>
      <c r="J674">
        <f>IF(AND(MyRowHidden(ROW())=FALSE,MyRowHidden(ROW()-1)=TRUE),0,(G674-G673)*unitsOfExo+J673)</f>
        <v>54500</v>
      </c>
      <c r="K674" s="9">
        <f t="shared" si="32"/>
        <v>45500</v>
      </c>
      <c r="L674">
        <f t="shared" si="33"/>
        <v>389980</v>
      </c>
    </row>
    <row r="675" spans="1:12" x14ac:dyDescent="0.25">
      <c r="A675" s="1"/>
      <c r="C675" s="1"/>
      <c r="D675" s="1">
        <v>41662</v>
      </c>
      <c r="E675">
        <v>28455</v>
      </c>
      <c r="F675" s="1">
        <v>41662</v>
      </c>
      <c r="G675">
        <v>612.5</v>
      </c>
      <c r="H675" s="1">
        <f t="shared" si="31"/>
        <v>41662</v>
      </c>
      <c r="I675">
        <f>IF(AND(MyRowHidden(ROW())=FALSE,MyRowHidden(ROW()-1)=TRUE),0,(E675-E674)*unitsOfDHp+I674)</f>
        <v>334550</v>
      </c>
      <c r="J675">
        <f>IF(AND(MyRowHidden(ROW())=FALSE,MyRowHidden(ROW()-1)=TRUE),0,(G675-G674)*unitsOfExo+J674)</f>
        <v>56125</v>
      </c>
      <c r="K675" s="9">
        <f t="shared" si="32"/>
        <v>43875</v>
      </c>
      <c r="L675">
        <f t="shared" si="33"/>
        <v>390675</v>
      </c>
    </row>
    <row r="676" spans="1:12" x14ac:dyDescent="0.25">
      <c r="A676" s="1"/>
      <c r="C676" s="1"/>
      <c r="D676" s="1">
        <v>41663</v>
      </c>
      <c r="E676">
        <v>28489</v>
      </c>
      <c r="F676" s="1">
        <v>41663</v>
      </c>
      <c r="G676">
        <v>625</v>
      </c>
      <c r="H676" s="1">
        <f t="shared" si="31"/>
        <v>41663</v>
      </c>
      <c r="I676">
        <f>IF(AND(MyRowHidden(ROW())=FALSE,MyRowHidden(ROW()-1)=TRUE),0,(E676-E675)*unitsOfDHp+I675)</f>
        <v>334890</v>
      </c>
      <c r="J676">
        <f>IF(AND(MyRowHidden(ROW())=FALSE,MyRowHidden(ROW()-1)=TRUE),0,(G676-G675)*unitsOfExo+J675)</f>
        <v>56250</v>
      </c>
      <c r="K676" s="9">
        <f t="shared" si="32"/>
        <v>43750</v>
      </c>
      <c r="L676">
        <f t="shared" si="33"/>
        <v>391140</v>
      </c>
    </row>
    <row r="677" spans="1:12" x14ac:dyDescent="0.25">
      <c r="A677" s="1"/>
      <c r="C677" s="1"/>
      <c r="D677" s="1">
        <v>41666</v>
      </c>
      <c r="E677">
        <v>28615</v>
      </c>
      <c r="F677" s="1">
        <v>41666</v>
      </c>
      <c r="G677">
        <v>737.5</v>
      </c>
      <c r="H677" s="1">
        <f t="shared" si="31"/>
        <v>41666</v>
      </c>
      <c r="I677">
        <f>IF(AND(MyRowHidden(ROW())=FALSE,MyRowHidden(ROW()-1)=TRUE),0,(E677-E676)*unitsOfDHp+I676)</f>
        <v>336150</v>
      </c>
      <c r="J677">
        <f>IF(AND(MyRowHidden(ROW())=FALSE,MyRowHidden(ROW()-1)=TRUE),0,(G677-G676)*unitsOfExo+J676)</f>
        <v>57375</v>
      </c>
      <c r="K677" s="9">
        <f t="shared" si="32"/>
        <v>42625</v>
      </c>
      <c r="L677">
        <f t="shared" si="33"/>
        <v>393525</v>
      </c>
    </row>
    <row r="678" spans="1:12" x14ac:dyDescent="0.25">
      <c r="A678" s="1"/>
      <c r="C678" s="1"/>
      <c r="D678" s="1">
        <v>41667</v>
      </c>
      <c r="E678">
        <v>28592</v>
      </c>
      <c r="F678" s="1">
        <v>41667</v>
      </c>
      <c r="G678">
        <v>775</v>
      </c>
      <c r="H678" s="1">
        <f t="shared" si="31"/>
        <v>41667</v>
      </c>
      <c r="I678">
        <f>IF(AND(MyRowHidden(ROW())=FALSE,MyRowHidden(ROW()-1)=TRUE),0,(E678-E677)*unitsOfDHp+I677)</f>
        <v>335920</v>
      </c>
      <c r="J678">
        <f>IF(AND(MyRowHidden(ROW())=FALSE,MyRowHidden(ROW()-1)=TRUE),0,(G678-G677)*unitsOfExo+J677)</f>
        <v>57750</v>
      </c>
      <c r="K678" s="9">
        <f t="shared" si="32"/>
        <v>42250</v>
      </c>
      <c r="L678">
        <f t="shared" si="33"/>
        <v>393670</v>
      </c>
    </row>
    <row r="679" spans="1:12" x14ac:dyDescent="0.25">
      <c r="A679" s="1"/>
      <c r="C679" s="1"/>
      <c r="D679" s="1">
        <v>41668</v>
      </c>
      <c r="E679">
        <v>28889</v>
      </c>
      <c r="F679" s="1">
        <v>41668</v>
      </c>
      <c r="G679">
        <v>537.5</v>
      </c>
      <c r="H679" s="1">
        <f t="shared" si="31"/>
        <v>41668</v>
      </c>
      <c r="I679">
        <f>IF(AND(MyRowHidden(ROW())=FALSE,MyRowHidden(ROW()-1)=TRUE),0,(E679-E678)*unitsOfDHp+I678)</f>
        <v>338890</v>
      </c>
      <c r="J679">
        <f>IF(AND(MyRowHidden(ROW())=FALSE,MyRowHidden(ROW()-1)=TRUE),0,(G679-G678)*unitsOfExo+J678)</f>
        <v>55375</v>
      </c>
      <c r="K679" s="9">
        <f t="shared" si="32"/>
        <v>44625</v>
      </c>
      <c r="L679">
        <f t="shared" si="33"/>
        <v>394265</v>
      </c>
    </row>
    <row r="680" spans="1:12" x14ac:dyDescent="0.25">
      <c r="A680" s="1"/>
      <c r="C680" s="1"/>
      <c r="D680" s="1">
        <v>41669</v>
      </c>
      <c r="E680">
        <v>28825</v>
      </c>
      <c r="F680" s="1">
        <v>41669</v>
      </c>
      <c r="G680">
        <v>800</v>
      </c>
      <c r="H680" s="1">
        <f t="shared" si="31"/>
        <v>41669</v>
      </c>
      <c r="I680">
        <f>IF(AND(MyRowHidden(ROW())=FALSE,MyRowHidden(ROW()-1)=TRUE),0,(E680-E679)*unitsOfDHp+I679)</f>
        <v>338250</v>
      </c>
      <c r="J680">
        <f>IF(AND(MyRowHidden(ROW())=FALSE,MyRowHidden(ROW()-1)=TRUE),0,(G680-G679)*unitsOfExo+J679)</f>
        <v>58000</v>
      </c>
      <c r="K680" s="9">
        <f t="shared" si="32"/>
        <v>42000</v>
      </c>
      <c r="L680">
        <f t="shared" si="33"/>
        <v>396250</v>
      </c>
    </row>
    <row r="681" spans="1:12" x14ac:dyDescent="0.25">
      <c r="A681" s="1"/>
      <c r="C681" s="1"/>
      <c r="D681" s="1">
        <v>41670</v>
      </c>
      <c r="E681">
        <v>28860</v>
      </c>
      <c r="F681" s="1">
        <v>41670</v>
      </c>
      <c r="G681">
        <v>737.5</v>
      </c>
      <c r="H681" s="1">
        <f t="shared" si="31"/>
        <v>41670</v>
      </c>
      <c r="I681">
        <f>IF(AND(MyRowHidden(ROW())=FALSE,MyRowHidden(ROW()-1)=TRUE),0,(E681-E680)*unitsOfDHp+I680)</f>
        <v>338600</v>
      </c>
      <c r="J681">
        <f>IF(AND(MyRowHidden(ROW())=FALSE,MyRowHidden(ROW()-1)=TRUE),0,(G681-G680)*unitsOfExo+J680)</f>
        <v>57375</v>
      </c>
      <c r="K681" s="9">
        <f t="shared" si="32"/>
        <v>42625</v>
      </c>
      <c r="L681">
        <f t="shared" si="33"/>
        <v>395975</v>
      </c>
    </row>
    <row r="682" spans="1:12" x14ac:dyDescent="0.25">
      <c r="A682" s="1"/>
      <c r="C682" s="1"/>
      <c r="D682" s="1">
        <v>41673</v>
      </c>
      <c r="E682">
        <v>28425</v>
      </c>
      <c r="F682" s="1">
        <v>41673</v>
      </c>
      <c r="G682">
        <v>950</v>
      </c>
      <c r="H682" s="1">
        <f t="shared" si="31"/>
        <v>41673</v>
      </c>
      <c r="I682">
        <f>IF(AND(MyRowHidden(ROW())=FALSE,MyRowHidden(ROW()-1)=TRUE),0,(E682-E681)*unitsOfDHp+I681)</f>
        <v>334250</v>
      </c>
      <c r="J682">
        <f>IF(AND(MyRowHidden(ROW())=FALSE,MyRowHidden(ROW()-1)=TRUE),0,(G682-G681)*unitsOfExo+J681)</f>
        <v>59500</v>
      </c>
      <c r="K682" s="9">
        <f t="shared" si="32"/>
        <v>40500</v>
      </c>
      <c r="L682">
        <f t="shared" si="33"/>
        <v>393750</v>
      </c>
    </row>
    <row r="683" spans="1:12" x14ac:dyDescent="0.25">
      <c r="A683" s="1"/>
      <c r="C683" s="1"/>
      <c r="D683" s="1">
        <v>41674</v>
      </c>
      <c r="E683">
        <v>27727</v>
      </c>
      <c r="F683" s="1">
        <v>41674</v>
      </c>
      <c r="G683">
        <v>1187.5</v>
      </c>
      <c r="H683" s="1">
        <f t="shared" si="31"/>
        <v>41674</v>
      </c>
      <c r="I683">
        <f>IF(AND(MyRowHidden(ROW())=FALSE,MyRowHidden(ROW()-1)=TRUE),0,(E683-E682)*unitsOfDHp+I682)</f>
        <v>327270</v>
      </c>
      <c r="J683">
        <f>IF(AND(MyRowHidden(ROW())=FALSE,MyRowHidden(ROW()-1)=TRUE),0,(G683-G682)*unitsOfExo+J682)</f>
        <v>61875</v>
      </c>
      <c r="K683" s="9">
        <f t="shared" si="32"/>
        <v>38125</v>
      </c>
      <c r="L683">
        <f t="shared" si="33"/>
        <v>389145</v>
      </c>
    </row>
    <row r="684" spans="1:12" x14ac:dyDescent="0.25">
      <c r="A684" s="1"/>
      <c r="C684" s="1"/>
      <c r="D684" s="1">
        <v>41675</v>
      </c>
      <c r="E684">
        <v>27296</v>
      </c>
      <c r="F684" s="1">
        <v>41675</v>
      </c>
      <c r="G684">
        <v>1325</v>
      </c>
      <c r="H684" s="1">
        <f t="shared" si="31"/>
        <v>41675</v>
      </c>
      <c r="I684">
        <f>IF(AND(MyRowHidden(ROW())=FALSE,MyRowHidden(ROW()-1)=TRUE),0,(E684-E683)*unitsOfDHp+I683)</f>
        <v>322960</v>
      </c>
      <c r="J684">
        <f>IF(AND(MyRowHidden(ROW())=FALSE,MyRowHidden(ROW()-1)=TRUE),0,(G684-G683)*unitsOfExo+J683)</f>
        <v>63250</v>
      </c>
      <c r="K684" s="9">
        <f t="shared" si="32"/>
        <v>36750</v>
      </c>
      <c r="L684">
        <f t="shared" si="33"/>
        <v>386210</v>
      </c>
    </row>
    <row r="685" spans="1:12" x14ac:dyDescent="0.25">
      <c r="A685" s="1"/>
      <c r="C685" s="1"/>
      <c r="D685" s="1">
        <v>41676</v>
      </c>
      <c r="E685">
        <v>27402</v>
      </c>
      <c r="F685" s="1">
        <v>41676</v>
      </c>
      <c r="G685">
        <v>1287.5</v>
      </c>
      <c r="H685" s="1">
        <f t="shared" si="31"/>
        <v>41676</v>
      </c>
      <c r="I685">
        <f>IF(AND(MyRowHidden(ROW())=FALSE,MyRowHidden(ROW()-1)=TRUE),0,(E685-E684)*unitsOfDHp+I684)</f>
        <v>324020</v>
      </c>
      <c r="J685">
        <f>IF(AND(MyRowHidden(ROW())=FALSE,MyRowHidden(ROW()-1)=TRUE),0,(G685-G684)*unitsOfExo+J684)</f>
        <v>62875</v>
      </c>
      <c r="K685" s="9">
        <f t="shared" si="32"/>
        <v>37125</v>
      </c>
      <c r="L685">
        <f t="shared" si="33"/>
        <v>386895</v>
      </c>
    </row>
    <row r="686" spans="1:12" x14ac:dyDescent="0.25">
      <c r="A686" s="1"/>
      <c r="C686" s="1"/>
      <c r="D686" s="1">
        <v>41677</v>
      </c>
      <c r="E686">
        <v>27260</v>
      </c>
      <c r="F686" s="1">
        <v>41677</v>
      </c>
      <c r="G686">
        <v>1325</v>
      </c>
      <c r="H686" s="1">
        <f t="shared" si="31"/>
        <v>41677</v>
      </c>
      <c r="I686">
        <f>IF(AND(MyRowHidden(ROW())=FALSE,MyRowHidden(ROW()-1)=TRUE),0,(E686-E685)*unitsOfDHp+I685)</f>
        <v>322600</v>
      </c>
      <c r="J686">
        <f>IF(AND(MyRowHidden(ROW())=FALSE,MyRowHidden(ROW()-1)=TRUE),0,(G686-G685)*unitsOfExo+J685)</f>
        <v>63250</v>
      </c>
      <c r="K686" s="9">
        <f t="shared" si="32"/>
        <v>36750</v>
      </c>
      <c r="L686">
        <f t="shared" si="33"/>
        <v>385850</v>
      </c>
    </row>
    <row r="687" spans="1:12" x14ac:dyDescent="0.25">
      <c r="A687" s="1"/>
      <c r="C687" s="1"/>
      <c r="D687" s="1">
        <v>41680</v>
      </c>
      <c r="E687">
        <v>27583</v>
      </c>
      <c r="F687" s="1">
        <v>41680</v>
      </c>
      <c r="G687">
        <v>1200</v>
      </c>
      <c r="H687" s="1">
        <f t="shared" si="31"/>
        <v>41680</v>
      </c>
      <c r="I687">
        <f>IF(AND(MyRowHidden(ROW())=FALSE,MyRowHidden(ROW()-1)=TRUE),0,(E687-E686)*unitsOfDHp+I686)</f>
        <v>325830</v>
      </c>
      <c r="J687">
        <f>IF(AND(MyRowHidden(ROW())=FALSE,MyRowHidden(ROW()-1)=TRUE),0,(G687-G686)*unitsOfExo+J686)</f>
        <v>62000</v>
      </c>
      <c r="K687" s="9">
        <f t="shared" si="32"/>
        <v>38000</v>
      </c>
      <c r="L687">
        <f t="shared" si="33"/>
        <v>387830</v>
      </c>
    </row>
    <row r="688" spans="1:12" x14ac:dyDescent="0.25">
      <c r="A688" s="1"/>
      <c r="C688" s="1"/>
      <c r="D688" s="1">
        <v>41681</v>
      </c>
      <c r="E688">
        <v>27513</v>
      </c>
      <c r="F688" s="1">
        <v>41681</v>
      </c>
      <c r="G688">
        <v>1237.5</v>
      </c>
      <c r="H688" s="1">
        <f t="shared" si="31"/>
        <v>41681</v>
      </c>
      <c r="I688">
        <f>IF(AND(MyRowHidden(ROW())=FALSE,MyRowHidden(ROW()-1)=TRUE),0,(E688-E687)*unitsOfDHp+I687)</f>
        <v>325130</v>
      </c>
      <c r="J688">
        <f>IF(AND(MyRowHidden(ROW())=FALSE,MyRowHidden(ROW()-1)=TRUE),0,(G688-G687)*unitsOfExo+J687)</f>
        <v>62375</v>
      </c>
      <c r="K688" s="9">
        <f t="shared" si="32"/>
        <v>37625</v>
      </c>
      <c r="L688">
        <f t="shared" si="33"/>
        <v>387505</v>
      </c>
    </row>
    <row r="689" spans="1:12" x14ac:dyDescent="0.25">
      <c r="A689" s="1"/>
      <c r="C689" s="1"/>
      <c r="D689" s="1">
        <v>41682</v>
      </c>
      <c r="E689">
        <v>27527</v>
      </c>
      <c r="F689" s="1">
        <v>41682</v>
      </c>
      <c r="G689">
        <v>1150</v>
      </c>
      <c r="H689" s="1">
        <f t="shared" si="31"/>
        <v>41682</v>
      </c>
      <c r="I689">
        <f>IF(AND(MyRowHidden(ROW())=FALSE,MyRowHidden(ROW()-1)=TRUE),0,(E689-E688)*unitsOfDHp+I688)</f>
        <v>325270</v>
      </c>
      <c r="J689">
        <f>IF(AND(MyRowHidden(ROW())=FALSE,MyRowHidden(ROW()-1)=TRUE),0,(G689-G688)*unitsOfExo+J688)</f>
        <v>61500</v>
      </c>
      <c r="K689" s="9">
        <f t="shared" si="32"/>
        <v>38500</v>
      </c>
      <c r="L689">
        <f t="shared" si="33"/>
        <v>386770</v>
      </c>
    </row>
    <row r="690" spans="1:12" x14ac:dyDescent="0.25">
      <c r="A690" s="1"/>
      <c r="C690" s="1"/>
      <c r="D690" s="1">
        <v>41683</v>
      </c>
      <c r="E690">
        <v>27509</v>
      </c>
      <c r="F690" s="1">
        <v>41683</v>
      </c>
      <c r="G690">
        <v>1112.5</v>
      </c>
      <c r="H690" s="1">
        <f t="shared" si="31"/>
        <v>41683</v>
      </c>
      <c r="I690">
        <f>IF(AND(MyRowHidden(ROW())=FALSE,MyRowHidden(ROW()-1)=TRUE),0,(E690-E689)*unitsOfDHp+I689)</f>
        <v>325090</v>
      </c>
      <c r="J690">
        <f>IF(AND(MyRowHidden(ROW())=FALSE,MyRowHidden(ROW()-1)=TRUE),0,(G690-G689)*unitsOfExo+J689)</f>
        <v>61125</v>
      </c>
      <c r="K690" s="9">
        <f t="shared" si="32"/>
        <v>38875</v>
      </c>
      <c r="L690">
        <f t="shared" si="33"/>
        <v>386215</v>
      </c>
    </row>
    <row r="691" spans="1:12" x14ac:dyDescent="0.25">
      <c r="A691" s="1"/>
      <c r="C691" s="1"/>
      <c r="D691" s="1">
        <v>41684</v>
      </c>
      <c r="E691">
        <v>27356</v>
      </c>
      <c r="F691" s="1">
        <v>41684</v>
      </c>
      <c r="G691">
        <v>1350</v>
      </c>
      <c r="H691" s="1">
        <f t="shared" si="31"/>
        <v>41684</v>
      </c>
      <c r="I691">
        <f>IF(AND(MyRowHidden(ROW())=FALSE,MyRowHidden(ROW()-1)=TRUE),0,(E691-E690)*unitsOfDHp+I690)</f>
        <v>323560</v>
      </c>
      <c r="J691">
        <f>IF(AND(MyRowHidden(ROW())=FALSE,MyRowHidden(ROW()-1)=TRUE),0,(G691-G690)*unitsOfExo+J690)</f>
        <v>63500</v>
      </c>
      <c r="K691" s="9">
        <f t="shared" si="32"/>
        <v>36500</v>
      </c>
      <c r="L691">
        <f t="shared" si="33"/>
        <v>387060</v>
      </c>
    </row>
    <row r="692" spans="1:12" x14ac:dyDescent="0.25">
      <c r="A692" s="1"/>
      <c r="C692" s="1"/>
      <c r="D692" s="1">
        <v>41688</v>
      </c>
      <c r="E692">
        <v>27002</v>
      </c>
      <c r="F692" s="1">
        <v>41688</v>
      </c>
      <c r="G692">
        <v>1562.5</v>
      </c>
      <c r="H692" s="1">
        <f t="shared" si="31"/>
        <v>41688</v>
      </c>
      <c r="I692">
        <f>IF(AND(MyRowHidden(ROW())=FALSE,MyRowHidden(ROW()-1)=TRUE),0,(E692-E691)*unitsOfDHp+I691)</f>
        <v>320020</v>
      </c>
      <c r="J692">
        <f>IF(AND(MyRowHidden(ROW())=FALSE,MyRowHidden(ROW()-1)=TRUE),0,(G692-G691)*unitsOfExo+J691)</f>
        <v>65625</v>
      </c>
      <c r="K692" s="9">
        <f t="shared" si="32"/>
        <v>34375</v>
      </c>
      <c r="L692">
        <f t="shared" si="33"/>
        <v>385645</v>
      </c>
    </row>
    <row r="693" spans="1:12" x14ac:dyDescent="0.25">
      <c r="A693" s="1"/>
      <c r="C693" s="1"/>
      <c r="D693" s="1">
        <v>41689</v>
      </c>
      <c r="E693">
        <v>26552</v>
      </c>
      <c r="F693" s="1">
        <v>41689</v>
      </c>
      <c r="G693">
        <v>1812.5</v>
      </c>
      <c r="H693" s="1">
        <f t="shared" si="31"/>
        <v>41689</v>
      </c>
      <c r="I693">
        <f>IF(AND(MyRowHidden(ROW())=FALSE,MyRowHidden(ROW()-1)=TRUE),0,(E693-E692)*unitsOfDHp+I692)</f>
        <v>315520</v>
      </c>
      <c r="J693">
        <f>IF(AND(MyRowHidden(ROW())=FALSE,MyRowHidden(ROW()-1)=TRUE),0,(G693-G692)*unitsOfExo+J692)</f>
        <v>68125</v>
      </c>
      <c r="K693" s="9">
        <f t="shared" si="32"/>
        <v>31875</v>
      </c>
      <c r="L693">
        <f t="shared" si="33"/>
        <v>383645</v>
      </c>
    </row>
    <row r="694" spans="1:12" x14ac:dyDescent="0.25">
      <c r="A694" s="1"/>
      <c r="C694" s="1"/>
      <c r="D694" s="1">
        <v>41690</v>
      </c>
      <c r="E694">
        <v>26322</v>
      </c>
      <c r="F694" s="1">
        <v>41690</v>
      </c>
      <c r="G694">
        <v>1912.5</v>
      </c>
      <c r="H694" s="1">
        <f t="shared" si="31"/>
        <v>41690</v>
      </c>
      <c r="I694">
        <f>IF(AND(MyRowHidden(ROW())=FALSE,MyRowHidden(ROW()-1)=TRUE),0,(E694-E693)*unitsOfDHp+I693)</f>
        <v>313220</v>
      </c>
      <c r="J694">
        <f>IF(AND(MyRowHidden(ROW())=FALSE,MyRowHidden(ROW()-1)=TRUE),0,(G694-G693)*unitsOfExo+J693)</f>
        <v>69125</v>
      </c>
      <c r="K694" s="9">
        <f t="shared" si="32"/>
        <v>30875</v>
      </c>
      <c r="L694">
        <f t="shared" si="33"/>
        <v>382345</v>
      </c>
    </row>
    <row r="695" spans="1:12" x14ac:dyDescent="0.25">
      <c r="A695" s="1"/>
      <c r="C695" s="1"/>
      <c r="D695" s="1">
        <v>41691</v>
      </c>
      <c r="E695">
        <v>26394</v>
      </c>
      <c r="F695" s="1">
        <v>41691</v>
      </c>
      <c r="G695">
        <v>1887.5</v>
      </c>
      <c r="H695" s="1">
        <f t="shared" si="31"/>
        <v>41691</v>
      </c>
      <c r="I695">
        <f>IF(AND(MyRowHidden(ROW())=FALSE,MyRowHidden(ROW()-1)=TRUE),0,(E695-E694)*unitsOfDHp+I694)</f>
        <v>313940</v>
      </c>
      <c r="J695">
        <f>IF(AND(MyRowHidden(ROW())=FALSE,MyRowHidden(ROW()-1)=TRUE),0,(G695-G694)*unitsOfExo+J694)</f>
        <v>68875</v>
      </c>
      <c r="K695" s="9">
        <f t="shared" si="32"/>
        <v>31125</v>
      </c>
      <c r="L695">
        <f t="shared" si="33"/>
        <v>382815</v>
      </c>
    </row>
    <row r="696" spans="1:12" x14ac:dyDescent="0.25">
      <c r="A696" s="1"/>
      <c r="C696" s="1"/>
      <c r="D696" s="1">
        <v>41694</v>
      </c>
      <c r="E696">
        <v>26961</v>
      </c>
      <c r="F696" s="1">
        <v>41694</v>
      </c>
      <c r="G696">
        <v>1662.5</v>
      </c>
      <c r="H696" s="1">
        <f t="shared" si="31"/>
        <v>41694</v>
      </c>
      <c r="I696">
        <f>IF(AND(MyRowHidden(ROW())=FALSE,MyRowHidden(ROW()-1)=TRUE),0,(E696-E695)*unitsOfDHp+I695)</f>
        <v>319610</v>
      </c>
      <c r="J696">
        <f>IF(AND(MyRowHidden(ROW())=FALSE,MyRowHidden(ROW()-1)=TRUE),0,(G696-G695)*unitsOfExo+J695)</f>
        <v>66625</v>
      </c>
      <c r="K696" s="9">
        <f t="shared" si="32"/>
        <v>33375</v>
      </c>
      <c r="L696">
        <f t="shared" si="33"/>
        <v>386235</v>
      </c>
    </row>
    <row r="697" spans="1:12" x14ac:dyDescent="0.25">
      <c r="A697" s="1"/>
      <c r="C697" s="1"/>
      <c r="D697" s="1">
        <v>41695</v>
      </c>
      <c r="E697">
        <v>26815</v>
      </c>
      <c r="F697" s="1">
        <v>41695</v>
      </c>
      <c r="G697">
        <v>1787.5</v>
      </c>
      <c r="H697" s="1">
        <f t="shared" si="31"/>
        <v>41695</v>
      </c>
      <c r="I697">
        <f>IF(AND(MyRowHidden(ROW())=FALSE,MyRowHidden(ROW()-1)=TRUE),0,(E697-E696)*unitsOfDHp+I696)</f>
        <v>318150</v>
      </c>
      <c r="J697">
        <f>IF(AND(MyRowHidden(ROW())=FALSE,MyRowHidden(ROW()-1)=TRUE),0,(G697-G696)*unitsOfExo+J696)</f>
        <v>67875</v>
      </c>
      <c r="K697" s="9">
        <f t="shared" si="32"/>
        <v>32125</v>
      </c>
      <c r="L697">
        <f t="shared" si="33"/>
        <v>386025</v>
      </c>
    </row>
    <row r="698" spans="1:12" x14ac:dyDescent="0.25">
      <c r="A698" s="1"/>
      <c r="C698" s="1"/>
      <c r="D698" s="1">
        <v>41696</v>
      </c>
      <c r="E698">
        <v>26685</v>
      </c>
      <c r="F698" s="1">
        <v>41696</v>
      </c>
      <c r="G698">
        <v>2037.5</v>
      </c>
      <c r="H698" s="1">
        <f t="shared" si="31"/>
        <v>41696</v>
      </c>
      <c r="I698">
        <f>IF(AND(MyRowHidden(ROW())=FALSE,MyRowHidden(ROW()-1)=TRUE),0,(E698-E697)*unitsOfDHp+I697)</f>
        <v>316850</v>
      </c>
      <c r="J698">
        <f>IF(AND(MyRowHidden(ROW())=FALSE,MyRowHidden(ROW()-1)=TRUE),0,(G698-G697)*unitsOfExo+J697)</f>
        <v>70375</v>
      </c>
      <c r="K698" s="9">
        <f t="shared" si="32"/>
        <v>29625</v>
      </c>
      <c r="L698">
        <f t="shared" si="33"/>
        <v>387225</v>
      </c>
    </row>
    <row r="699" spans="1:12" x14ac:dyDescent="0.25">
      <c r="A699" s="1"/>
      <c r="C699" s="1"/>
      <c r="D699" s="1">
        <v>41697</v>
      </c>
      <c r="E699">
        <v>27079</v>
      </c>
      <c r="F699" s="1">
        <v>41697</v>
      </c>
      <c r="G699">
        <v>1687.5</v>
      </c>
      <c r="H699" s="1">
        <f t="shared" si="31"/>
        <v>41697</v>
      </c>
      <c r="I699">
        <f>IF(AND(MyRowHidden(ROW())=FALSE,MyRowHidden(ROW()-1)=TRUE),0,(E699-E698)*unitsOfDHp+I698)</f>
        <v>320790</v>
      </c>
      <c r="J699">
        <f>IF(AND(MyRowHidden(ROW())=FALSE,MyRowHidden(ROW()-1)=TRUE),0,(G699-G698)*unitsOfExo+J698)</f>
        <v>66875</v>
      </c>
      <c r="K699" s="9">
        <f t="shared" si="32"/>
        <v>33125</v>
      </c>
      <c r="L699">
        <f t="shared" si="33"/>
        <v>387665</v>
      </c>
    </row>
    <row r="700" spans="1:12" x14ac:dyDescent="0.25">
      <c r="A700" s="1"/>
      <c r="C700" s="1"/>
      <c r="D700" s="1">
        <v>41698</v>
      </c>
      <c r="E700">
        <v>26858</v>
      </c>
      <c r="F700" s="1">
        <v>41698</v>
      </c>
      <c r="G700">
        <v>2025</v>
      </c>
      <c r="H700" s="1">
        <f t="shared" si="31"/>
        <v>41698</v>
      </c>
      <c r="I700">
        <f>IF(AND(MyRowHidden(ROW())=FALSE,MyRowHidden(ROW()-1)=TRUE),0,(E700-E699)*unitsOfDHp+I699)</f>
        <v>318580</v>
      </c>
      <c r="J700">
        <f>IF(AND(MyRowHidden(ROW())=FALSE,MyRowHidden(ROW()-1)=TRUE),0,(G700-G699)*unitsOfExo+J699)</f>
        <v>70250</v>
      </c>
      <c r="K700" s="9">
        <f t="shared" si="32"/>
        <v>29750</v>
      </c>
      <c r="L700">
        <f t="shared" si="33"/>
        <v>388830</v>
      </c>
    </row>
    <row r="701" spans="1:12" x14ac:dyDescent="0.25">
      <c r="A701" s="1"/>
      <c r="C701" s="1"/>
      <c r="D701" s="1">
        <v>41701</v>
      </c>
      <c r="E701">
        <v>26861</v>
      </c>
      <c r="F701" s="1">
        <v>41701</v>
      </c>
      <c r="G701">
        <v>2162.5</v>
      </c>
      <c r="H701" s="1">
        <f t="shared" si="31"/>
        <v>41701</v>
      </c>
      <c r="I701">
        <f>IF(AND(MyRowHidden(ROW())=FALSE,MyRowHidden(ROW()-1)=TRUE),0,(E701-E700)*unitsOfDHp+I700)</f>
        <v>318610</v>
      </c>
      <c r="J701">
        <f>IF(AND(MyRowHidden(ROW())=FALSE,MyRowHidden(ROW()-1)=TRUE),0,(G701-G700)*unitsOfExo+J700)</f>
        <v>71625</v>
      </c>
      <c r="K701" s="9">
        <f t="shared" si="32"/>
        <v>28375</v>
      </c>
      <c r="L701">
        <f t="shared" si="33"/>
        <v>390235</v>
      </c>
    </row>
    <row r="702" spans="1:12" x14ac:dyDescent="0.25">
      <c r="A702" s="1"/>
      <c r="C702" s="1"/>
      <c r="D702" s="1">
        <v>41702</v>
      </c>
      <c r="E702">
        <v>25795</v>
      </c>
      <c r="F702" s="1">
        <v>41702</v>
      </c>
      <c r="G702">
        <v>2800</v>
      </c>
      <c r="H702" s="1">
        <f t="shared" si="31"/>
        <v>41702</v>
      </c>
      <c r="I702">
        <f>IF(AND(MyRowHidden(ROW())=FALSE,MyRowHidden(ROW()-1)=TRUE),0,(E702-E701)*unitsOfDHp+I701)</f>
        <v>307950</v>
      </c>
      <c r="J702">
        <f>IF(AND(MyRowHidden(ROW())=FALSE,MyRowHidden(ROW()-1)=TRUE),0,(G702-G701)*unitsOfExo+J701)</f>
        <v>78000</v>
      </c>
      <c r="K702" s="9">
        <f t="shared" si="32"/>
        <v>22000</v>
      </c>
      <c r="L702">
        <f t="shared" si="33"/>
        <v>385950</v>
      </c>
    </row>
    <row r="703" spans="1:12" x14ac:dyDescent="0.25">
      <c r="A703" s="1"/>
      <c r="C703" s="1"/>
      <c r="D703" s="1">
        <v>41703</v>
      </c>
      <c r="E703">
        <v>25768</v>
      </c>
      <c r="F703" s="1">
        <v>41703</v>
      </c>
      <c r="G703">
        <v>2850</v>
      </c>
      <c r="H703" s="1">
        <f t="shared" si="31"/>
        <v>41703</v>
      </c>
      <c r="I703">
        <f>IF(AND(MyRowHidden(ROW())=FALSE,MyRowHidden(ROW()-1)=TRUE),0,(E703-E702)*unitsOfDHp+I702)</f>
        <v>307680</v>
      </c>
      <c r="J703">
        <f>IF(AND(MyRowHidden(ROW())=FALSE,MyRowHidden(ROW()-1)=TRUE),0,(G703-G702)*unitsOfExo+J702)</f>
        <v>78500</v>
      </c>
      <c r="K703" s="9">
        <f t="shared" si="32"/>
        <v>21500</v>
      </c>
      <c r="L703">
        <f t="shared" si="33"/>
        <v>386180</v>
      </c>
    </row>
    <row r="704" spans="1:12" x14ac:dyDescent="0.25">
      <c r="A704" s="1"/>
      <c r="C704" s="1"/>
      <c r="D704" s="1">
        <v>41704</v>
      </c>
      <c r="E704">
        <v>25250</v>
      </c>
      <c r="F704" s="1">
        <v>41704</v>
      </c>
      <c r="G704">
        <v>3512.5</v>
      </c>
      <c r="H704" s="1">
        <f t="shared" si="31"/>
        <v>41704</v>
      </c>
      <c r="I704">
        <f>IF(AND(MyRowHidden(ROW())=FALSE,MyRowHidden(ROW()-1)=TRUE),0,(E704-E703)*unitsOfDHp+I703)</f>
        <v>302500</v>
      </c>
      <c r="J704">
        <f>IF(AND(MyRowHidden(ROW())=FALSE,MyRowHidden(ROW()-1)=TRUE),0,(G704-G703)*unitsOfExo+J703)</f>
        <v>85125</v>
      </c>
      <c r="K704" s="9">
        <f t="shared" si="32"/>
        <v>14875</v>
      </c>
      <c r="L704">
        <f t="shared" si="33"/>
        <v>387625</v>
      </c>
    </row>
    <row r="705" spans="1:12" x14ac:dyDescent="0.25">
      <c r="A705" s="1"/>
      <c r="C705" s="1"/>
      <c r="D705" s="1">
        <v>41705</v>
      </c>
      <c r="E705">
        <v>25264</v>
      </c>
      <c r="F705" s="1">
        <v>41705</v>
      </c>
      <c r="G705">
        <v>3275</v>
      </c>
      <c r="H705" s="1">
        <f t="shared" si="31"/>
        <v>41705</v>
      </c>
      <c r="I705">
        <f>IF(AND(MyRowHidden(ROW())=FALSE,MyRowHidden(ROW()-1)=TRUE),0,(E705-E704)*unitsOfDHp+I704)</f>
        <v>302640</v>
      </c>
      <c r="J705">
        <f>IF(AND(MyRowHidden(ROW())=FALSE,MyRowHidden(ROW()-1)=TRUE),0,(G705-G704)*unitsOfExo+J704)</f>
        <v>82750</v>
      </c>
      <c r="K705" s="9">
        <f t="shared" si="32"/>
        <v>17250</v>
      </c>
      <c r="L705">
        <f t="shared" si="33"/>
        <v>385390</v>
      </c>
    </row>
    <row r="706" spans="1:12" x14ac:dyDescent="0.25">
      <c r="A706" s="1"/>
      <c r="C706" s="1"/>
      <c r="D706" s="1">
        <v>41708</v>
      </c>
      <c r="E706">
        <v>26188</v>
      </c>
      <c r="F706" s="1">
        <v>41708</v>
      </c>
      <c r="G706">
        <v>2775</v>
      </c>
      <c r="H706" s="1">
        <f t="shared" si="31"/>
        <v>41708</v>
      </c>
      <c r="I706">
        <f>IF(AND(MyRowHidden(ROW())=FALSE,MyRowHidden(ROW()-1)=TRUE),0,(E706-E705)*unitsOfDHp+I705)</f>
        <v>311880</v>
      </c>
      <c r="J706">
        <f>IF(AND(MyRowHidden(ROW())=FALSE,MyRowHidden(ROW()-1)=TRUE),0,(G706-G705)*unitsOfExo+J705)</f>
        <v>77750</v>
      </c>
      <c r="K706" s="9">
        <f t="shared" si="32"/>
        <v>22250</v>
      </c>
      <c r="L706">
        <f t="shared" si="33"/>
        <v>389630</v>
      </c>
    </row>
    <row r="707" spans="1:12" x14ac:dyDescent="0.25">
      <c r="A707" s="1"/>
      <c r="C707" s="1"/>
      <c r="D707" s="1">
        <v>41709</v>
      </c>
      <c r="E707">
        <v>25979</v>
      </c>
      <c r="F707" s="1">
        <v>41709</v>
      </c>
      <c r="G707">
        <v>3025</v>
      </c>
      <c r="H707" s="1">
        <f t="shared" si="31"/>
        <v>41709</v>
      </c>
      <c r="I707">
        <f>IF(AND(MyRowHidden(ROW())=FALSE,MyRowHidden(ROW()-1)=TRUE),0,(E707-E706)*unitsOfDHp+I706)</f>
        <v>309790</v>
      </c>
      <c r="J707">
        <f>IF(AND(MyRowHidden(ROW())=FALSE,MyRowHidden(ROW()-1)=TRUE),0,(G707-G706)*unitsOfExo+J706)</f>
        <v>80250</v>
      </c>
      <c r="K707" s="9">
        <f t="shared" si="32"/>
        <v>19750</v>
      </c>
      <c r="L707">
        <f t="shared" si="33"/>
        <v>390040</v>
      </c>
    </row>
    <row r="708" spans="1:12" x14ac:dyDescent="0.25">
      <c r="A708" s="1"/>
      <c r="C708" s="1"/>
      <c r="D708" s="1">
        <v>41710</v>
      </c>
      <c r="E708">
        <v>25974</v>
      </c>
      <c r="F708" s="1">
        <v>41710</v>
      </c>
      <c r="G708">
        <v>3350</v>
      </c>
      <c r="H708" s="1">
        <f t="shared" si="31"/>
        <v>41710</v>
      </c>
      <c r="I708">
        <f>IF(AND(MyRowHidden(ROW())=FALSE,MyRowHidden(ROW()-1)=TRUE),0,(E708-E707)*unitsOfDHp+I707)</f>
        <v>309740</v>
      </c>
      <c r="J708">
        <f>IF(AND(MyRowHidden(ROW())=FALSE,MyRowHidden(ROW()-1)=TRUE),0,(G708-G707)*unitsOfExo+J707)</f>
        <v>83500</v>
      </c>
      <c r="K708" s="9">
        <f t="shared" si="32"/>
        <v>16500</v>
      </c>
      <c r="L708">
        <f t="shared" si="33"/>
        <v>393240</v>
      </c>
    </row>
    <row r="709" spans="1:12" x14ac:dyDescent="0.25">
      <c r="A709" s="1"/>
      <c r="C709" s="1"/>
      <c r="D709" s="1">
        <v>41711</v>
      </c>
      <c r="E709">
        <v>25991</v>
      </c>
      <c r="F709" s="1">
        <v>41711</v>
      </c>
      <c r="G709">
        <v>3312.5</v>
      </c>
      <c r="H709" s="1">
        <f t="shared" si="31"/>
        <v>41711</v>
      </c>
      <c r="I709">
        <f>IF(AND(MyRowHidden(ROW())=FALSE,MyRowHidden(ROW()-1)=TRUE),0,(E709-E708)*unitsOfDHp+I708)</f>
        <v>309910</v>
      </c>
      <c r="J709">
        <f>IF(AND(MyRowHidden(ROW())=FALSE,MyRowHidden(ROW()-1)=TRUE),0,(G709-G708)*unitsOfExo+J708)</f>
        <v>83125</v>
      </c>
      <c r="K709" s="9">
        <f t="shared" si="32"/>
        <v>16875</v>
      </c>
      <c r="L709">
        <f t="shared" si="33"/>
        <v>393035</v>
      </c>
    </row>
    <row r="710" spans="1:12" x14ac:dyDescent="0.25">
      <c r="A710" s="1"/>
      <c r="C710" s="1"/>
      <c r="D710" s="1">
        <v>41712</v>
      </c>
      <c r="E710">
        <v>26158</v>
      </c>
      <c r="F710" s="1">
        <v>41712</v>
      </c>
      <c r="G710">
        <v>3112.5</v>
      </c>
      <c r="H710" s="1">
        <f t="shared" si="31"/>
        <v>41712</v>
      </c>
      <c r="I710">
        <f>IF(AND(MyRowHidden(ROW())=FALSE,MyRowHidden(ROW()-1)=TRUE),0,(E710-E709)*unitsOfDHp+I709)</f>
        <v>311580</v>
      </c>
      <c r="J710">
        <f>IF(AND(MyRowHidden(ROW())=FALSE,MyRowHidden(ROW()-1)=TRUE),0,(G710-G709)*unitsOfExo+J709)</f>
        <v>81125</v>
      </c>
      <c r="K710" s="9">
        <f t="shared" si="32"/>
        <v>18875</v>
      </c>
      <c r="L710">
        <f t="shared" si="33"/>
        <v>392705</v>
      </c>
    </row>
    <row r="711" spans="1:12" x14ac:dyDescent="0.25">
      <c r="A711" s="1"/>
      <c r="C711" s="1"/>
      <c r="D711" s="1">
        <v>41715</v>
      </c>
      <c r="E711">
        <v>26214</v>
      </c>
      <c r="F711" s="1">
        <v>41715</v>
      </c>
      <c r="G711">
        <v>3012.5</v>
      </c>
      <c r="H711" s="1">
        <f t="shared" si="31"/>
        <v>41715</v>
      </c>
      <c r="I711">
        <f>IF(AND(MyRowHidden(ROW())=FALSE,MyRowHidden(ROW()-1)=TRUE),0,(E711-E710)*unitsOfDHp+I710)</f>
        <v>312140</v>
      </c>
      <c r="J711">
        <f>IF(AND(MyRowHidden(ROW())=FALSE,MyRowHidden(ROW()-1)=TRUE),0,(G711-G710)*unitsOfExo+J710)</f>
        <v>80125</v>
      </c>
      <c r="K711" s="9">
        <f t="shared" si="32"/>
        <v>19875</v>
      </c>
      <c r="L711">
        <f t="shared" si="33"/>
        <v>392265</v>
      </c>
    </row>
    <row r="712" spans="1:12" x14ac:dyDescent="0.25">
      <c r="A712" s="1"/>
      <c r="C712" s="1"/>
      <c r="D712" s="1">
        <v>41716</v>
      </c>
      <c r="E712">
        <v>25941</v>
      </c>
      <c r="F712" s="1">
        <v>41716</v>
      </c>
      <c r="G712">
        <v>3325</v>
      </c>
      <c r="H712" s="1">
        <f t="shared" si="31"/>
        <v>41716</v>
      </c>
      <c r="I712">
        <f>IF(AND(MyRowHidden(ROW())=FALSE,MyRowHidden(ROW()-1)=TRUE),0,(E712-E711)*unitsOfDHp+I711)</f>
        <v>309410</v>
      </c>
      <c r="J712">
        <f>IF(AND(MyRowHidden(ROW())=FALSE,MyRowHidden(ROW()-1)=TRUE),0,(G712-G711)*unitsOfExo+J711)</f>
        <v>83250</v>
      </c>
      <c r="K712" s="9">
        <f t="shared" si="32"/>
        <v>16750</v>
      </c>
      <c r="L712">
        <f t="shared" si="33"/>
        <v>392660</v>
      </c>
    </row>
    <row r="713" spans="1:12" x14ac:dyDescent="0.25">
      <c r="A713" s="1"/>
      <c r="C713" s="1"/>
      <c r="D713" s="1">
        <v>41717</v>
      </c>
      <c r="E713">
        <v>25888</v>
      </c>
      <c r="F713" s="1">
        <v>41717</v>
      </c>
      <c r="G713">
        <v>3487.5</v>
      </c>
      <c r="H713" s="1">
        <f t="shared" si="31"/>
        <v>41717</v>
      </c>
      <c r="I713">
        <f>IF(AND(MyRowHidden(ROW())=FALSE,MyRowHidden(ROW()-1)=TRUE),0,(E713-E712)*unitsOfDHp+I712)</f>
        <v>308880</v>
      </c>
      <c r="J713">
        <f>IF(AND(MyRowHidden(ROW())=FALSE,MyRowHidden(ROW()-1)=TRUE),0,(G713-G712)*unitsOfExo+J712)</f>
        <v>84875</v>
      </c>
      <c r="K713" s="9">
        <f t="shared" si="32"/>
        <v>15125</v>
      </c>
      <c r="L713">
        <f t="shared" si="33"/>
        <v>393755</v>
      </c>
    </row>
    <row r="714" spans="1:12" x14ac:dyDescent="0.25">
      <c r="A714" s="1"/>
      <c r="C714" s="1"/>
      <c r="D714" s="1">
        <v>41718</v>
      </c>
      <c r="E714">
        <v>26302</v>
      </c>
      <c r="F714" s="1">
        <v>41718</v>
      </c>
      <c r="G714">
        <v>2937.5</v>
      </c>
      <c r="H714" s="1">
        <f t="shared" si="31"/>
        <v>41718</v>
      </c>
      <c r="I714">
        <f>IF(AND(MyRowHidden(ROW())=FALSE,MyRowHidden(ROW()-1)=TRUE),0,(E714-E713)*unitsOfDHp+I713)</f>
        <v>313020</v>
      </c>
      <c r="J714">
        <f>IF(AND(MyRowHidden(ROW())=FALSE,MyRowHidden(ROW()-1)=TRUE),0,(G714-G713)*unitsOfExo+J713)</f>
        <v>79375</v>
      </c>
      <c r="K714" s="9">
        <f t="shared" si="32"/>
        <v>20625</v>
      </c>
      <c r="L714">
        <f t="shared" si="33"/>
        <v>392395</v>
      </c>
    </row>
    <row r="715" spans="1:12" x14ac:dyDescent="0.25">
      <c r="A715" s="1"/>
      <c r="C715" s="1"/>
      <c r="D715" s="1">
        <v>41719</v>
      </c>
      <c r="E715">
        <v>26289</v>
      </c>
      <c r="F715" s="1">
        <v>41719</v>
      </c>
      <c r="G715">
        <v>3012.5</v>
      </c>
      <c r="H715" s="1">
        <f t="shared" si="31"/>
        <v>41719</v>
      </c>
      <c r="I715">
        <f>IF(AND(MyRowHidden(ROW())=FALSE,MyRowHidden(ROW()-1)=TRUE),0,(E715-E714)*unitsOfDHp+I714)</f>
        <v>312890</v>
      </c>
      <c r="J715">
        <f>IF(AND(MyRowHidden(ROW())=FALSE,MyRowHidden(ROW()-1)=TRUE),0,(G715-G714)*unitsOfExo+J714)</f>
        <v>80125</v>
      </c>
      <c r="K715" s="9">
        <f t="shared" si="32"/>
        <v>19875</v>
      </c>
      <c r="L715">
        <f t="shared" si="33"/>
        <v>393015</v>
      </c>
    </row>
    <row r="716" spans="1:12" x14ac:dyDescent="0.25">
      <c r="A716" s="1"/>
      <c r="C716" s="1"/>
      <c r="D716" s="1">
        <v>41722</v>
      </c>
      <c r="E716">
        <v>25986</v>
      </c>
      <c r="F716" s="1">
        <v>41722</v>
      </c>
      <c r="G716">
        <v>3437.5</v>
      </c>
      <c r="H716" s="1">
        <f t="shared" si="31"/>
        <v>41722</v>
      </c>
      <c r="I716">
        <f>IF(AND(MyRowHidden(ROW())=FALSE,MyRowHidden(ROW()-1)=TRUE),0,(E716-E715)*unitsOfDHp+I715)</f>
        <v>309860</v>
      </c>
      <c r="J716">
        <f>IF(AND(MyRowHidden(ROW())=FALSE,MyRowHidden(ROW()-1)=TRUE),0,(G716-G715)*unitsOfExo+J715)</f>
        <v>84375</v>
      </c>
      <c r="K716" s="9">
        <f t="shared" si="32"/>
        <v>15625</v>
      </c>
      <c r="L716">
        <f t="shared" si="33"/>
        <v>394235</v>
      </c>
    </row>
    <row r="717" spans="1:12" x14ac:dyDescent="0.25">
      <c r="A717" s="1"/>
      <c r="C717" s="1"/>
      <c r="D717" s="1">
        <v>41723</v>
      </c>
      <c r="E717">
        <v>26015</v>
      </c>
      <c r="F717" s="1">
        <v>41723</v>
      </c>
      <c r="G717">
        <v>3287.5</v>
      </c>
      <c r="H717" s="1">
        <f t="shared" ref="H717:H780" si="34">D717</f>
        <v>41723</v>
      </c>
      <c r="I717">
        <f>IF(AND(MyRowHidden(ROW())=FALSE,MyRowHidden(ROW()-1)=TRUE),0,(E717-E716)*unitsOfDHp+I716)</f>
        <v>310150</v>
      </c>
      <c r="J717">
        <f>IF(AND(MyRowHidden(ROW())=FALSE,MyRowHidden(ROW()-1)=TRUE),0,(G717-G716)*unitsOfExo+J716)</f>
        <v>82875</v>
      </c>
      <c r="K717" s="9">
        <f t="shared" ref="K717:K780" si="35">-(J717-J716)+K716</f>
        <v>17125</v>
      </c>
      <c r="L717">
        <f t="shared" ref="L717:L780" si="36">I717+J717</f>
        <v>393025</v>
      </c>
    </row>
    <row r="718" spans="1:12" x14ac:dyDescent="0.25">
      <c r="A718" s="1"/>
      <c r="C718" s="1"/>
      <c r="D718" s="1">
        <v>41724</v>
      </c>
      <c r="E718">
        <v>26117</v>
      </c>
      <c r="F718" s="1">
        <v>41724</v>
      </c>
      <c r="G718">
        <v>3175</v>
      </c>
      <c r="H718" s="1">
        <f t="shared" si="34"/>
        <v>41724</v>
      </c>
      <c r="I718">
        <f>IF(AND(MyRowHidden(ROW())=FALSE,MyRowHidden(ROW()-1)=TRUE),0,(E718-E717)*unitsOfDHp+I717)</f>
        <v>311170</v>
      </c>
      <c r="J718">
        <f>IF(AND(MyRowHidden(ROW())=FALSE,MyRowHidden(ROW()-1)=TRUE),0,(G718-G717)*unitsOfExo+J717)</f>
        <v>81750</v>
      </c>
      <c r="K718" s="9">
        <f t="shared" si="35"/>
        <v>18250</v>
      </c>
      <c r="L718">
        <f t="shared" si="36"/>
        <v>392920</v>
      </c>
    </row>
    <row r="719" spans="1:12" x14ac:dyDescent="0.25">
      <c r="A719" s="1"/>
      <c r="C719" s="1"/>
      <c r="D719" s="1">
        <v>41725</v>
      </c>
      <c r="E719">
        <v>25458</v>
      </c>
      <c r="F719" s="1">
        <v>41725</v>
      </c>
      <c r="G719">
        <v>3575</v>
      </c>
      <c r="H719" s="1">
        <f t="shared" si="34"/>
        <v>41725</v>
      </c>
      <c r="I719">
        <f>IF(AND(MyRowHidden(ROW())=FALSE,MyRowHidden(ROW()-1)=TRUE),0,(E719-E718)*unitsOfDHp+I718)</f>
        <v>304580</v>
      </c>
      <c r="J719">
        <f>IF(AND(MyRowHidden(ROW())=FALSE,MyRowHidden(ROW()-1)=TRUE),0,(G719-G718)*unitsOfExo+J718)</f>
        <v>85750</v>
      </c>
      <c r="K719" s="9">
        <f t="shared" si="35"/>
        <v>14250</v>
      </c>
      <c r="L719">
        <f t="shared" si="36"/>
        <v>390330</v>
      </c>
    </row>
    <row r="720" spans="1:12" x14ac:dyDescent="0.25">
      <c r="A720" s="1"/>
      <c r="C720" s="1"/>
      <c r="D720" s="1">
        <v>41726</v>
      </c>
      <c r="E720">
        <v>25284</v>
      </c>
      <c r="F720" s="1">
        <v>41726</v>
      </c>
      <c r="G720">
        <v>3675</v>
      </c>
      <c r="H720" s="1">
        <f t="shared" si="34"/>
        <v>41726</v>
      </c>
      <c r="I720">
        <f>IF(AND(MyRowHidden(ROW())=FALSE,MyRowHidden(ROW()-1)=TRUE),0,(E720-E719)*unitsOfDHp+I719)</f>
        <v>302840</v>
      </c>
      <c r="J720">
        <f>IF(AND(MyRowHidden(ROW())=FALSE,MyRowHidden(ROW()-1)=TRUE),0,(G720-G719)*unitsOfExo+J719)</f>
        <v>86750</v>
      </c>
      <c r="K720" s="9">
        <f t="shared" si="35"/>
        <v>13250</v>
      </c>
      <c r="L720">
        <f t="shared" si="36"/>
        <v>389590</v>
      </c>
    </row>
    <row r="721" spans="1:12" x14ac:dyDescent="0.25">
      <c r="A721" s="1"/>
      <c r="C721" s="1"/>
      <c r="D721" s="1">
        <v>41729</v>
      </c>
      <c r="E721">
        <v>24765</v>
      </c>
      <c r="F721" s="1">
        <v>41729</v>
      </c>
      <c r="G721">
        <v>4050</v>
      </c>
      <c r="H721" s="1">
        <f t="shared" si="34"/>
        <v>41729</v>
      </c>
      <c r="I721">
        <f>IF(AND(MyRowHidden(ROW())=FALSE,MyRowHidden(ROW()-1)=TRUE),0,(E721-E720)*unitsOfDHp+I720)</f>
        <v>297650</v>
      </c>
      <c r="J721">
        <f>IF(AND(MyRowHidden(ROW())=FALSE,MyRowHidden(ROW()-1)=TRUE),0,(G721-G720)*unitsOfExo+J720)</f>
        <v>90500</v>
      </c>
      <c r="K721" s="9">
        <f t="shared" si="35"/>
        <v>9500</v>
      </c>
      <c r="L721">
        <f t="shared" si="36"/>
        <v>388150</v>
      </c>
    </row>
    <row r="722" spans="1:12" x14ac:dyDescent="0.25">
      <c r="A722" s="1"/>
      <c r="C722" s="1"/>
      <c r="D722" s="1">
        <v>41730</v>
      </c>
      <c r="E722">
        <v>24390</v>
      </c>
      <c r="F722" s="1">
        <v>41730</v>
      </c>
      <c r="G722">
        <v>4387.5</v>
      </c>
      <c r="H722" s="1">
        <f t="shared" si="34"/>
        <v>41730</v>
      </c>
      <c r="I722">
        <f>IF(AND(MyRowHidden(ROW())=FALSE,MyRowHidden(ROW()-1)=TRUE),0,(E722-E721)*unitsOfDHp+I721)</f>
        <v>293900</v>
      </c>
      <c r="J722">
        <f>IF(AND(MyRowHidden(ROW())=FALSE,MyRowHidden(ROW()-1)=TRUE),0,(G722-G721)*unitsOfExo+J721)</f>
        <v>93875</v>
      </c>
      <c r="K722" s="9">
        <f t="shared" si="35"/>
        <v>6125</v>
      </c>
      <c r="L722">
        <f t="shared" si="36"/>
        <v>387775</v>
      </c>
    </row>
    <row r="723" spans="1:12" x14ac:dyDescent="0.25">
      <c r="A723" s="1"/>
      <c r="C723" s="1"/>
      <c r="D723" s="1">
        <v>41731</v>
      </c>
      <c r="E723">
        <v>24938</v>
      </c>
      <c r="F723" s="1">
        <v>41731</v>
      </c>
      <c r="G723">
        <v>3712.5</v>
      </c>
      <c r="H723" s="1">
        <f t="shared" si="34"/>
        <v>41731</v>
      </c>
      <c r="I723">
        <f>IF(AND(MyRowHidden(ROW())=FALSE,MyRowHidden(ROW()-1)=TRUE),0,(E723-E722)*unitsOfDHp+I722)</f>
        <v>299380</v>
      </c>
      <c r="J723">
        <f>IF(AND(MyRowHidden(ROW())=FALSE,MyRowHidden(ROW()-1)=TRUE),0,(G723-G722)*unitsOfExo+J722)</f>
        <v>87125</v>
      </c>
      <c r="K723" s="9">
        <f t="shared" si="35"/>
        <v>12875</v>
      </c>
      <c r="L723">
        <f t="shared" si="36"/>
        <v>386505</v>
      </c>
    </row>
    <row r="724" spans="1:12" x14ac:dyDescent="0.25">
      <c r="A724" s="1"/>
      <c r="C724" s="1"/>
      <c r="D724" s="1">
        <v>41732</v>
      </c>
      <c r="E724">
        <v>24802</v>
      </c>
      <c r="F724" s="1">
        <v>41732</v>
      </c>
      <c r="G724">
        <v>3850</v>
      </c>
      <c r="H724" s="1">
        <f t="shared" si="34"/>
        <v>41732</v>
      </c>
      <c r="I724">
        <f>IF(AND(MyRowHidden(ROW())=FALSE,MyRowHidden(ROW()-1)=TRUE),0,(E724-E723)*unitsOfDHp+I723)</f>
        <v>298020</v>
      </c>
      <c r="J724">
        <f>IF(AND(MyRowHidden(ROW())=FALSE,MyRowHidden(ROW()-1)=TRUE),0,(G724-G723)*unitsOfExo+J723)</f>
        <v>88500</v>
      </c>
      <c r="K724" s="9">
        <f t="shared" si="35"/>
        <v>11500</v>
      </c>
      <c r="L724">
        <f t="shared" si="36"/>
        <v>386520</v>
      </c>
    </row>
    <row r="725" spans="1:12" x14ac:dyDescent="0.25">
      <c r="A725" s="1"/>
      <c r="C725" s="1"/>
      <c r="D725" s="1">
        <v>41733</v>
      </c>
      <c r="E725">
        <v>24713</v>
      </c>
      <c r="F725" s="1">
        <v>41733</v>
      </c>
      <c r="G725">
        <v>3962.5</v>
      </c>
      <c r="H725" s="1">
        <f t="shared" si="34"/>
        <v>41733</v>
      </c>
      <c r="I725">
        <f>IF(AND(MyRowHidden(ROW())=FALSE,MyRowHidden(ROW()-1)=TRUE),0,(E725-E724)*unitsOfDHp+I724)</f>
        <v>297130</v>
      </c>
      <c r="J725">
        <f>IF(AND(MyRowHidden(ROW())=FALSE,MyRowHidden(ROW()-1)=TRUE),0,(G725-G724)*unitsOfExo+J724)</f>
        <v>89625</v>
      </c>
      <c r="K725" s="9">
        <f t="shared" si="35"/>
        <v>10375</v>
      </c>
      <c r="L725">
        <f t="shared" si="36"/>
        <v>386755</v>
      </c>
    </row>
    <row r="726" spans="1:12" x14ac:dyDescent="0.25">
      <c r="A726" s="1"/>
      <c r="C726" s="1"/>
      <c r="D726" s="1">
        <v>41736</v>
      </c>
      <c r="E726">
        <v>24663</v>
      </c>
      <c r="F726" s="1">
        <v>41736</v>
      </c>
      <c r="G726">
        <v>3900</v>
      </c>
      <c r="H726" s="1">
        <f t="shared" si="34"/>
        <v>41736</v>
      </c>
      <c r="I726">
        <f>IF(AND(MyRowHidden(ROW())=FALSE,MyRowHidden(ROW()-1)=TRUE),0,(E726-E725)*unitsOfDHp+I725)</f>
        <v>296630</v>
      </c>
      <c r="J726">
        <f>IF(AND(MyRowHidden(ROW())=FALSE,MyRowHidden(ROW()-1)=TRUE),0,(G726-G725)*unitsOfExo+J725)</f>
        <v>89000</v>
      </c>
      <c r="K726" s="9">
        <f t="shared" si="35"/>
        <v>11000</v>
      </c>
      <c r="L726">
        <f t="shared" si="36"/>
        <v>385630</v>
      </c>
    </row>
    <row r="727" spans="1:12" x14ac:dyDescent="0.25">
      <c r="A727" s="1"/>
      <c r="C727" s="1"/>
      <c r="D727" s="1">
        <v>41737</v>
      </c>
      <c r="E727">
        <v>24213</v>
      </c>
      <c r="F727" s="1">
        <v>41737</v>
      </c>
      <c r="G727">
        <v>4337.5</v>
      </c>
      <c r="H727" s="1">
        <f t="shared" si="34"/>
        <v>41737</v>
      </c>
      <c r="I727">
        <f>IF(AND(MyRowHidden(ROW())=FALSE,MyRowHidden(ROW()-1)=TRUE),0,(E727-E726)*unitsOfDHp+I726)</f>
        <v>292130</v>
      </c>
      <c r="J727">
        <f>IF(AND(MyRowHidden(ROW())=FALSE,MyRowHidden(ROW()-1)=TRUE),0,(G727-G726)*unitsOfExo+J726)</f>
        <v>93375</v>
      </c>
      <c r="K727" s="9">
        <f t="shared" si="35"/>
        <v>6625</v>
      </c>
      <c r="L727">
        <f t="shared" si="36"/>
        <v>385505</v>
      </c>
    </row>
    <row r="728" spans="1:12" x14ac:dyDescent="0.25">
      <c r="A728" s="1"/>
      <c r="C728" s="1"/>
      <c r="D728" s="1">
        <v>41738</v>
      </c>
      <c r="E728">
        <v>24245</v>
      </c>
      <c r="F728" s="1">
        <v>41738</v>
      </c>
      <c r="G728">
        <v>4212.5</v>
      </c>
      <c r="H728" s="1">
        <f t="shared" si="34"/>
        <v>41738</v>
      </c>
      <c r="I728">
        <f>IF(AND(MyRowHidden(ROW())=FALSE,MyRowHidden(ROW()-1)=TRUE),0,(E728-E727)*unitsOfDHp+I727)</f>
        <v>292450</v>
      </c>
      <c r="J728">
        <f>IF(AND(MyRowHidden(ROW())=FALSE,MyRowHidden(ROW()-1)=TRUE),0,(G728-G727)*unitsOfExo+J727)</f>
        <v>92125</v>
      </c>
      <c r="K728" s="9">
        <f t="shared" si="35"/>
        <v>7875</v>
      </c>
      <c r="L728">
        <f t="shared" si="36"/>
        <v>384575</v>
      </c>
    </row>
    <row r="729" spans="1:12" x14ac:dyDescent="0.25">
      <c r="A729" s="1"/>
      <c r="C729" s="1"/>
      <c r="D729" s="1">
        <v>41739</v>
      </c>
      <c r="E729">
        <v>24359</v>
      </c>
      <c r="F729" s="1">
        <v>41739</v>
      </c>
      <c r="G729">
        <v>4112.5</v>
      </c>
      <c r="H729" s="1">
        <f t="shared" si="34"/>
        <v>41739</v>
      </c>
      <c r="I729">
        <f>IF(AND(MyRowHidden(ROW())=FALSE,MyRowHidden(ROW()-1)=TRUE),0,(E729-E728)*unitsOfDHp+I728)</f>
        <v>293590</v>
      </c>
      <c r="J729">
        <f>IF(AND(MyRowHidden(ROW())=FALSE,MyRowHidden(ROW()-1)=TRUE),0,(G729-G728)*unitsOfExo+J728)</f>
        <v>91125</v>
      </c>
      <c r="K729" s="9">
        <f t="shared" si="35"/>
        <v>8875</v>
      </c>
      <c r="L729">
        <f t="shared" si="36"/>
        <v>384715</v>
      </c>
    </row>
    <row r="730" spans="1:12" x14ac:dyDescent="0.25">
      <c r="A730" s="1"/>
      <c r="C730" s="1"/>
      <c r="D730" s="1">
        <v>41740</v>
      </c>
      <c r="E730">
        <v>24543</v>
      </c>
      <c r="F730" s="1">
        <v>41740</v>
      </c>
      <c r="G730">
        <v>3950</v>
      </c>
      <c r="H730" s="1">
        <f t="shared" si="34"/>
        <v>41740</v>
      </c>
      <c r="I730">
        <f>IF(AND(MyRowHidden(ROW())=FALSE,MyRowHidden(ROW()-1)=TRUE),0,(E730-E729)*unitsOfDHp+I729)</f>
        <v>295430</v>
      </c>
      <c r="J730">
        <f>IF(AND(MyRowHidden(ROW())=FALSE,MyRowHidden(ROW()-1)=TRUE),0,(G730-G729)*unitsOfExo+J729)</f>
        <v>89500</v>
      </c>
      <c r="K730" s="9">
        <f t="shared" si="35"/>
        <v>10500</v>
      </c>
      <c r="L730">
        <f t="shared" si="36"/>
        <v>384930</v>
      </c>
    </row>
    <row r="731" spans="1:12" x14ac:dyDescent="0.25">
      <c r="A731" s="1"/>
      <c r="C731" s="1"/>
      <c r="D731" s="1">
        <v>41743</v>
      </c>
      <c r="E731">
        <v>24082</v>
      </c>
      <c r="F731" s="1">
        <v>41743</v>
      </c>
      <c r="G731">
        <v>4200</v>
      </c>
      <c r="H731" s="1">
        <f t="shared" si="34"/>
        <v>41743</v>
      </c>
      <c r="I731">
        <f>IF(AND(MyRowHidden(ROW())=FALSE,MyRowHidden(ROW()-1)=TRUE),0,(E731-E730)*unitsOfDHp+I730)</f>
        <v>290820</v>
      </c>
      <c r="J731">
        <f>IF(AND(MyRowHidden(ROW())=FALSE,MyRowHidden(ROW()-1)=TRUE),0,(G731-G730)*unitsOfExo+J730)</f>
        <v>92000</v>
      </c>
      <c r="K731" s="9">
        <f t="shared" si="35"/>
        <v>8000</v>
      </c>
      <c r="L731">
        <f t="shared" si="36"/>
        <v>382820</v>
      </c>
    </row>
    <row r="732" spans="1:12" x14ac:dyDescent="0.25">
      <c r="A732" s="1"/>
      <c r="C732" s="1"/>
      <c r="D732" s="1">
        <v>41744</v>
      </c>
      <c r="E732">
        <v>24094</v>
      </c>
      <c r="F732" s="1">
        <v>41744</v>
      </c>
      <c r="G732">
        <v>4137.5</v>
      </c>
      <c r="H732" s="1">
        <f t="shared" si="34"/>
        <v>41744</v>
      </c>
      <c r="I732">
        <f>IF(AND(MyRowHidden(ROW())=FALSE,MyRowHidden(ROW()-1)=TRUE),0,(E732-E731)*unitsOfDHp+I731)</f>
        <v>290940</v>
      </c>
      <c r="J732">
        <f>IF(AND(MyRowHidden(ROW())=FALSE,MyRowHidden(ROW()-1)=TRUE),0,(G732-G731)*unitsOfExo+J731)</f>
        <v>91375</v>
      </c>
      <c r="K732" s="9">
        <f t="shared" si="35"/>
        <v>8625</v>
      </c>
      <c r="L732">
        <f t="shared" si="36"/>
        <v>382315</v>
      </c>
    </row>
    <row r="733" spans="1:12" x14ac:dyDescent="0.25">
      <c r="A733" s="1"/>
      <c r="C733" s="1"/>
      <c r="D733" s="1">
        <v>41745</v>
      </c>
      <c r="E733">
        <v>24570</v>
      </c>
      <c r="F733" s="1">
        <v>41745</v>
      </c>
      <c r="G733">
        <v>3825</v>
      </c>
      <c r="H733" s="1">
        <f t="shared" si="34"/>
        <v>41745</v>
      </c>
      <c r="I733">
        <f>IF(AND(MyRowHidden(ROW())=FALSE,MyRowHidden(ROW()-1)=TRUE),0,(E733-E732)*unitsOfDHp+I732)</f>
        <v>295700</v>
      </c>
      <c r="J733">
        <f>IF(AND(MyRowHidden(ROW())=FALSE,MyRowHidden(ROW()-1)=TRUE),0,(G733-G732)*unitsOfExo+J732)</f>
        <v>88250</v>
      </c>
      <c r="K733" s="9">
        <f t="shared" si="35"/>
        <v>11750</v>
      </c>
      <c r="L733">
        <f t="shared" si="36"/>
        <v>383950</v>
      </c>
    </row>
    <row r="734" spans="1:12" x14ac:dyDescent="0.25">
      <c r="A734" s="1"/>
      <c r="C734" s="1"/>
      <c r="D734" s="1">
        <v>41746</v>
      </c>
      <c r="E734">
        <v>24689</v>
      </c>
      <c r="F734" s="1">
        <v>41746</v>
      </c>
      <c r="G734">
        <v>3675</v>
      </c>
      <c r="H734" s="1">
        <f t="shared" si="34"/>
        <v>41746</v>
      </c>
      <c r="I734">
        <f>IF(AND(MyRowHidden(ROW())=FALSE,MyRowHidden(ROW()-1)=TRUE),0,(E734-E733)*unitsOfDHp+I733)</f>
        <v>296890</v>
      </c>
      <c r="J734">
        <f>IF(AND(MyRowHidden(ROW())=FALSE,MyRowHidden(ROW()-1)=TRUE),0,(G734-G733)*unitsOfExo+J733)</f>
        <v>86750</v>
      </c>
      <c r="K734" s="9">
        <f t="shared" si="35"/>
        <v>13250</v>
      </c>
      <c r="L734">
        <f t="shared" si="36"/>
        <v>383640</v>
      </c>
    </row>
    <row r="735" spans="1:12" x14ac:dyDescent="0.25">
      <c r="A735" s="1"/>
      <c r="C735" s="1"/>
      <c r="D735" s="1">
        <v>41747</v>
      </c>
      <c r="E735">
        <v>24612</v>
      </c>
      <c r="F735" s="1">
        <v>41747</v>
      </c>
      <c r="G735">
        <v>3737.5</v>
      </c>
      <c r="H735" s="1">
        <f t="shared" si="34"/>
        <v>41747</v>
      </c>
      <c r="I735">
        <f>IF(AND(MyRowHidden(ROW())=FALSE,MyRowHidden(ROW()-1)=TRUE),0,(E735-E734)*unitsOfDHp+I734)</f>
        <v>296120</v>
      </c>
      <c r="J735">
        <f>IF(AND(MyRowHidden(ROW())=FALSE,MyRowHidden(ROW()-1)=TRUE),0,(G735-G734)*unitsOfExo+J734)</f>
        <v>87375</v>
      </c>
      <c r="K735" s="9">
        <f t="shared" si="35"/>
        <v>12625</v>
      </c>
      <c r="L735">
        <f t="shared" si="36"/>
        <v>383495</v>
      </c>
    </row>
    <row r="736" spans="1:12" x14ac:dyDescent="0.25">
      <c r="A736" s="1"/>
      <c r="C736" s="1"/>
      <c r="D736" s="1">
        <v>41750</v>
      </c>
      <c r="E736">
        <v>24233</v>
      </c>
      <c r="F736" s="1">
        <v>41750</v>
      </c>
      <c r="G736">
        <v>3362.5</v>
      </c>
      <c r="H736" s="1">
        <f t="shared" si="34"/>
        <v>41750</v>
      </c>
      <c r="I736">
        <f>IF(AND(MyRowHidden(ROW())=FALSE,MyRowHidden(ROW()-1)=TRUE),0,(E736-E735)*unitsOfDHp+I735)</f>
        <v>292330</v>
      </c>
      <c r="J736">
        <f>IF(AND(MyRowHidden(ROW())=FALSE,MyRowHidden(ROW()-1)=TRUE),0,(G736-G735)*unitsOfExo+J735)</f>
        <v>83625</v>
      </c>
      <c r="K736" s="9">
        <f t="shared" si="35"/>
        <v>16375</v>
      </c>
      <c r="L736">
        <f t="shared" si="36"/>
        <v>375955</v>
      </c>
    </row>
    <row r="737" spans="1:12" x14ac:dyDescent="0.25">
      <c r="A737" s="1"/>
      <c r="C737" s="1"/>
      <c r="D737" s="1">
        <v>41751</v>
      </c>
      <c r="E737">
        <v>24040</v>
      </c>
      <c r="F737" s="1">
        <v>41751</v>
      </c>
      <c r="G737">
        <v>3900</v>
      </c>
      <c r="H737" s="1">
        <f t="shared" si="34"/>
        <v>41751</v>
      </c>
      <c r="I737">
        <f>IF(AND(MyRowHidden(ROW())=FALSE,MyRowHidden(ROW()-1)=TRUE),0,(E737-E736)*unitsOfDHp+I736)</f>
        <v>290400</v>
      </c>
      <c r="J737">
        <f>IF(AND(MyRowHidden(ROW())=FALSE,MyRowHidden(ROW()-1)=TRUE),0,(G737-G736)*unitsOfExo+J736)</f>
        <v>89000</v>
      </c>
      <c r="K737" s="9">
        <f t="shared" si="35"/>
        <v>11000</v>
      </c>
      <c r="L737">
        <f t="shared" si="36"/>
        <v>379400</v>
      </c>
    </row>
    <row r="738" spans="1:12" x14ac:dyDescent="0.25">
      <c r="A738" s="1"/>
      <c r="C738" s="1"/>
      <c r="D738" s="1">
        <v>41752</v>
      </c>
      <c r="E738">
        <v>24206</v>
      </c>
      <c r="F738" s="1">
        <v>41752</v>
      </c>
      <c r="G738">
        <v>4125</v>
      </c>
      <c r="H738" s="1">
        <f t="shared" si="34"/>
        <v>41752</v>
      </c>
      <c r="I738">
        <f>IF(AND(MyRowHidden(ROW())=FALSE,MyRowHidden(ROW()-1)=TRUE),0,(E738-E737)*unitsOfDHp+I737)</f>
        <v>292060</v>
      </c>
      <c r="J738">
        <f>IF(AND(MyRowHidden(ROW())=FALSE,MyRowHidden(ROW()-1)=TRUE),0,(G738-G737)*unitsOfExo+J737)</f>
        <v>91250</v>
      </c>
      <c r="K738" s="9">
        <f t="shared" si="35"/>
        <v>8750</v>
      </c>
      <c r="L738">
        <f t="shared" si="36"/>
        <v>383310</v>
      </c>
    </row>
    <row r="739" spans="1:12" x14ac:dyDescent="0.25">
      <c r="A739" s="1"/>
      <c r="C739" s="1"/>
      <c r="D739" s="1">
        <v>41753</v>
      </c>
      <c r="E739">
        <v>24199</v>
      </c>
      <c r="F739" s="1">
        <v>41753</v>
      </c>
      <c r="G739">
        <v>4062.5</v>
      </c>
      <c r="H739" s="1">
        <f t="shared" si="34"/>
        <v>41753</v>
      </c>
      <c r="I739">
        <f>IF(AND(MyRowHidden(ROW())=FALSE,MyRowHidden(ROW()-1)=TRUE),0,(E739-E738)*unitsOfDHp+I738)</f>
        <v>291990</v>
      </c>
      <c r="J739">
        <f>IF(AND(MyRowHidden(ROW())=FALSE,MyRowHidden(ROW()-1)=TRUE),0,(G739-G738)*unitsOfExo+J738)</f>
        <v>90625</v>
      </c>
      <c r="K739" s="9">
        <f t="shared" si="35"/>
        <v>9375</v>
      </c>
      <c r="L739">
        <f t="shared" si="36"/>
        <v>382615</v>
      </c>
    </row>
    <row r="740" spans="1:12" x14ac:dyDescent="0.25">
      <c r="A740" s="1"/>
      <c r="C740" s="1"/>
      <c r="D740" s="1">
        <v>41754</v>
      </c>
      <c r="E740">
        <v>24030</v>
      </c>
      <c r="F740" s="1">
        <v>41754</v>
      </c>
      <c r="G740">
        <v>4350</v>
      </c>
      <c r="H740" s="1">
        <f t="shared" si="34"/>
        <v>41754</v>
      </c>
      <c r="I740">
        <f>IF(AND(MyRowHidden(ROW())=FALSE,MyRowHidden(ROW()-1)=TRUE),0,(E740-E739)*unitsOfDHp+I739)</f>
        <v>290300</v>
      </c>
      <c r="J740">
        <f>IF(AND(MyRowHidden(ROW())=FALSE,MyRowHidden(ROW()-1)=TRUE),0,(G740-G739)*unitsOfExo+J739)</f>
        <v>93500</v>
      </c>
      <c r="K740" s="9">
        <f t="shared" si="35"/>
        <v>6500</v>
      </c>
      <c r="L740">
        <f t="shared" si="36"/>
        <v>383800</v>
      </c>
    </row>
    <row r="741" spans="1:12" x14ac:dyDescent="0.25">
      <c r="A741" s="1"/>
      <c r="C741" s="1"/>
      <c r="D741" s="1">
        <v>41757</v>
      </c>
      <c r="E741">
        <v>23956</v>
      </c>
      <c r="F741" s="1">
        <v>41757</v>
      </c>
      <c r="G741">
        <v>4437.5</v>
      </c>
      <c r="H741" s="1">
        <f t="shared" si="34"/>
        <v>41757</v>
      </c>
      <c r="I741">
        <f>IF(AND(MyRowHidden(ROW())=FALSE,MyRowHidden(ROW()-1)=TRUE),0,(E741-E740)*unitsOfDHp+I740)</f>
        <v>289560</v>
      </c>
      <c r="J741">
        <f>IF(AND(MyRowHidden(ROW())=FALSE,MyRowHidden(ROW()-1)=TRUE),0,(G741-G740)*unitsOfExo+J740)</f>
        <v>94375</v>
      </c>
      <c r="K741" s="9">
        <f t="shared" si="35"/>
        <v>5625</v>
      </c>
      <c r="L741">
        <f t="shared" si="36"/>
        <v>383935</v>
      </c>
    </row>
    <row r="742" spans="1:12" x14ac:dyDescent="0.25">
      <c r="A742" s="1"/>
      <c r="C742" s="1"/>
      <c r="D742" s="1">
        <v>41758</v>
      </c>
      <c r="E742">
        <v>23810</v>
      </c>
      <c r="F742" s="1">
        <v>41758</v>
      </c>
      <c r="G742">
        <v>4712.5</v>
      </c>
      <c r="H742" s="1">
        <f t="shared" si="34"/>
        <v>41758</v>
      </c>
      <c r="I742">
        <f>IF(AND(MyRowHidden(ROW())=FALSE,MyRowHidden(ROW()-1)=TRUE),0,(E742-E741)*unitsOfDHp+I741)</f>
        <v>288100</v>
      </c>
      <c r="J742">
        <f>IF(AND(MyRowHidden(ROW())=FALSE,MyRowHidden(ROW()-1)=TRUE),0,(G742-G741)*unitsOfExo+J741)</f>
        <v>97125</v>
      </c>
      <c r="K742" s="9">
        <f t="shared" si="35"/>
        <v>2875</v>
      </c>
      <c r="L742">
        <f t="shared" si="36"/>
        <v>385225</v>
      </c>
    </row>
    <row r="743" spans="1:12" x14ac:dyDescent="0.25">
      <c r="A743" s="1"/>
      <c r="C743" s="1"/>
      <c r="D743" s="1">
        <v>41759</v>
      </c>
      <c r="E743">
        <v>23846</v>
      </c>
      <c r="F743" s="1">
        <v>41759</v>
      </c>
      <c r="G743">
        <v>4650</v>
      </c>
      <c r="H743" s="1">
        <f t="shared" si="34"/>
        <v>41759</v>
      </c>
      <c r="I743">
        <f>IF(AND(MyRowHidden(ROW())=FALSE,MyRowHidden(ROW()-1)=TRUE),0,(E743-E742)*unitsOfDHp+I742)</f>
        <v>288460</v>
      </c>
      <c r="J743">
        <f>IF(AND(MyRowHidden(ROW())=FALSE,MyRowHidden(ROW()-1)=TRUE),0,(G743-G742)*unitsOfExo+J742)</f>
        <v>96500</v>
      </c>
      <c r="K743" s="9">
        <f t="shared" si="35"/>
        <v>3500</v>
      </c>
      <c r="L743">
        <f t="shared" si="36"/>
        <v>384960</v>
      </c>
    </row>
    <row r="744" spans="1:12" x14ac:dyDescent="0.25">
      <c r="A744" s="1"/>
      <c r="C744" s="1"/>
      <c r="D744" s="1">
        <v>41760</v>
      </c>
      <c r="E744">
        <v>24388</v>
      </c>
      <c r="F744" s="1">
        <v>41760</v>
      </c>
      <c r="G744">
        <v>4175</v>
      </c>
      <c r="H744" s="1">
        <f t="shared" si="34"/>
        <v>41760</v>
      </c>
      <c r="I744">
        <f>IF(AND(MyRowHidden(ROW())=FALSE,MyRowHidden(ROW()-1)=TRUE),0,(E744-E743)*unitsOfDHp+I743)</f>
        <v>293880</v>
      </c>
      <c r="J744">
        <f>IF(AND(MyRowHidden(ROW())=FALSE,MyRowHidden(ROW()-1)=TRUE),0,(G744-G743)*unitsOfExo+J743)</f>
        <v>91750</v>
      </c>
      <c r="K744" s="9">
        <f t="shared" si="35"/>
        <v>8250</v>
      </c>
      <c r="L744">
        <f t="shared" si="36"/>
        <v>385630</v>
      </c>
    </row>
    <row r="745" spans="1:12" x14ac:dyDescent="0.25">
      <c r="A745" s="1"/>
      <c r="C745" s="1"/>
      <c r="D745" s="1">
        <v>41761</v>
      </c>
      <c r="E745">
        <v>24385</v>
      </c>
      <c r="F745" s="1">
        <v>41761</v>
      </c>
      <c r="G745">
        <v>3637.5</v>
      </c>
      <c r="H745" s="1">
        <f t="shared" si="34"/>
        <v>41761</v>
      </c>
      <c r="I745">
        <f>IF(AND(MyRowHidden(ROW())=FALSE,MyRowHidden(ROW()-1)=TRUE),0,(E745-E744)*unitsOfDHp+I744)</f>
        <v>293850</v>
      </c>
      <c r="J745">
        <f>IF(AND(MyRowHidden(ROW())=FALSE,MyRowHidden(ROW()-1)=TRUE),0,(G745-G744)*unitsOfExo+J744)</f>
        <v>86375</v>
      </c>
      <c r="K745" s="9">
        <f t="shared" si="35"/>
        <v>13625</v>
      </c>
      <c r="L745">
        <f t="shared" si="36"/>
        <v>380225</v>
      </c>
    </row>
    <row r="746" spans="1:12" x14ac:dyDescent="0.25">
      <c r="A746" s="1"/>
      <c r="C746" s="1"/>
      <c r="D746" s="1">
        <v>41764</v>
      </c>
      <c r="E746">
        <v>24544</v>
      </c>
      <c r="F746" s="1">
        <v>41764</v>
      </c>
      <c r="G746">
        <v>4175</v>
      </c>
      <c r="H746" s="1">
        <f t="shared" si="34"/>
        <v>41764</v>
      </c>
      <c r="I746">
        <f>IF(AND(MyRowHidden(ROW())=FALSE,MyRowHidden(ROW()-1)=TRUE),0,(E746-E745)*unitsOfDHp+I745)</f>
        <v>295440</v>
      </c>
      <c r="J746">
        <f>IF(AND(MyRowHidden(ROW())=FALSE,MyRowHidden(ROW()-1)=TRUE),0,(G746-G745)*unitsOfExo+J745)</f>
        <v>91750</v>
      </c>
      <c r="K746" s="9">
        <f t="shared" si="35"/>
        <v>8250</v>
      </c>
      <c r="L746">
        <f t="shared" si="36"/>
        <v>387190</v>
      </c>
    </row>
    <row r="747" spans="1:12" x14ac:dyDescent="0.25">
      <c r="A747" s="1"/>
      <c r="C747" s="1"/>
      <c r="D747" s="1">
        <v>41765</v>
      </c>
      <c r="E747">
        <v>24994</v>
      </c>
      <c r="F747" s="1">
        <v>41765</v>
      </c>
      <c r="G747">
        <v>4662.5</v>
      </c>
      <c r="H747" s="1">
        <f t="shared" si="34"/>
        <v>41765</v>
      </c>
      <c r="I747">
        <f>IF(AND(MyRowHidden(ROW())=FALSE,MyRowHidden(ROW()-1)=TRUE),0,(E747-E746)*unitsOfDHp+I746)</f>
        <v>299940</v>
      </c>
      <c r="J747">
        <f>IF(AND(MyRowHidden(ROW())=FALSE,MyRowHidden(ROW()-1)=TRUE),0,(G747-G746)*unitsOfExo+J746)</f>
        <v>96625</v>
      </c>
      <c r="K747" s="9">
        <f t="shared" si="35"/>
        <v>3375</v>
      </c>
      <c r="L747">
        <f t="shared" si="36"/>
        <v>396565</v>
      </c>
    </row>
    <row r="748" spans="1:12" x14ac:dyDescent="0.25">
      <c r="A748" s="1"/>
      <c r="C748" s="1"/>
      <c r="D748" s="1">
        <v>41766</v>
      </c>
      <c r="E748">
        <v>24838</v>
      </c>
      <c r="F748" s="1">
        <v>41766</v>
      </c>
      <c r="G748">
        <v>4362.5</v>
      </c>
      <c r="H748" s="1">
        <f t="shared" si="34"/>
        <v>41766</v>
      </c>
      <c r="I748">
        <f>IF(AND(MyRowHidden(ROW())=FALSE,MyRowHidden(ROW()-1)=TRUE),0,(E748-E747)*unitsOfDHp+I747)</f>
        <v>298380</v>
      </c>
      <c r="J748">
        <f>IF(AND(MyRowHidden(ROW())=FALSE,MyRowHidden(ROW()-1)=TRUE),0,(G748-G747)*unitsOfExo+J747)</f>
        <v>93625</v>
      </c>
      <c r="K748" s="9">
        <f t="shared" si="35"/>
        <v>6375</v>
      </c>
      <c r="L748">
        <f t="shared" si="36"/>
        <v>392005</v>
      </c>
    </row>
    <row r="749" spans="1:12" x14ac:dyDescent="0.25">
      <c r="A749" s="1"/>
      <c r="C749" s="1"/>
      <c r="D749" s="1">
        <v>41767</v>
      </c>
      <c r="E749">
        <v>24558</v>
      </c>
      <c r="F749" s="1">
        <v>41767</v>
      </c>
      <c r="G749">
        <v>4662.5</v>
      </c>
      <c r="H749" s="1">
        <f t="shared" si="34"/>
        <v>41767</v>
      </c>
      <c r="I749">
        <f>IF(AND(MyRowHidden(ROW())=FALSE,MyRowHidden(ROW()-1)=TRUE),0,(E749-E748)*unitsOfDHp+I748)</f>
        <v>295580</v>
      </c>
      <c r="J749">
        <f>IF(AND(MyRowHidden(ROW())=FALSE,MyRowHidden(ROW()-1)=TRUE),0,(G749-G748)*unitsOfExo+J748)</f>
        <v>96625</v>
      </c>
      <c r="K749" s="9">
        <f t="shared" si="35"/>
        <v>3375</v>
      </c>
      <c r="L749">
        <f t="shared" si="36"/>
        <v>392205</v>
      </c>
    </row>
    <row r="750" spans="1:12" x14ac:dyDescent="0.25">
      <c r="A750" s="1"/>
      <c r="C750" s="1"/>
      <c r="D750" s="1">
        <v>41768</v>
      </c>
      <c r="E750">
        <v>24660</v>
      </c>
      <c r="F750" s="1">
        <v>41768</v>
      </c>
      <c r="G750">
        <v>4337.5</v>
      </c>
      <c r="H750" s="1">
        <f t="shared" si="34"/>
        <v>41768</v>
      </c>
      <c r="I750">
        <f>IF(AND(MyRowHidden(ROW())=FALSE,MyRowHidden(ROW()-1)=TRUE),0,(E750-E749)*unitsOfDHp+I749)</f>
        <v>296600</v>
      </c>
      <c r="J750">
        <f>IF(AND(MyRowHidden(ROW())=FALSE,MyRowHidden(ROW()-1)=TRUE),0,(G750-G749)*unitsOfExo+J749)</f>
        <v>93375</v>
      </c>
      <c r="K750" s="9">
        <f t="shared" si="35"/>
        <v>6625</v>
      </c>
      <c r="L750">
        <f t="shared" si="36"/>
        <v>389975</v>
      </c>
    </row>
    <row r="751" spans="1:12" x14ac:dyDescent="0.25">
      <c r="A751" s="1"/>
      <c r="C751" s="1"/>
      <c r="D751" s="1">
        <v>41771</v>
      </c>
      <c r="E751">
        <v>25685</v>
      </c>
      <c r="F751" s="1">
        <v>41771</v>
      </c>
      <c r="G751">
        <v>3887.5</v>
      </c>
      <c r="H751" s="1">
        <f t="shared" si="34"/>
        <v>41771</v>
      </c>
      <c r="I751">
        <f>IF(AND(MyRowHidden(ROW())=FALSE,MyRowHidden(ROW()-1)=TRUE),0,(E751-E750)*unitsOfDHp+I750)</f>
        <v>306850</v>
      </c>
      <c r="J751">
        <f>IF(AND(MyRowHidden(ROW())=FALSE,MyRowHidden(ROW()-1)=TRUE),0,(G751-G750)*unitsOfExo+J750)</f>
        <v>88875</v>
      </c>
      <c r="K751" s="9">
        <f t="shared" si="35"/>
        <v>11125</v>
      </c>
      <c r="L751">
        <f t="shared" si="36"/>
        <v>395725</v>
      </c>
    </row>
    <row r="752" spans="1:12" x14ac:dyDescent="0.25">
      <c r="A752" s="1"/>
      <c r="C752" s="1"/>
      <c r="D752" s="1">
        <v>41772</v>
      </c>
      <c r="E752">
        <v>25556</v>
      </c>
      <c r="F752" s="1">
        <v>41772</v>
      </c>
      <c r="G752">
        <v>3987.5</v>
      </c>
      <c r="H752" s="1">
        <f t="shared" si="34"/>
        <v>41772</v>
      </c>
      <c r="I752">
        <f>IF(AND(MyRowHidden(ROW())=FALSE,MyRowHidden(ROW()-1)=TRUE),0,(E752-E751)*unitsOfDHp+I751)</f>
        <v>305560</v>
      </c>
      <c r="J752">
        <f>IF(AND(MyRowHidden(ROW())=FALSE,MyRowHidden(ROW()-1)=TRUE),0,(G752-G751)*unitsOfExo+J751)</f>
        <v>89875</v>
      </c>
      <c r="K752" s="9">
        <f t="shared" si="35"/>
        <v>10125</v>
      </c>
      <c r="L752">
        <f t="shared" si="36"/>
        <v>395435</v>
      </c>
    </row>
    <row r="753" spans="1:12" x14ac:dyDescent="0.25">
      <c r="A753" s="1"/>
      <c r="C753" s="1"/>
      <c r="D753" s="1">
        <v>41773</v>
      </c>
      <c r="E753">
        <v>25659</v>
      </c>
      <c r="F753" s="1">
        <v>41773</v>
      </c>
      <c r="G753">
        <v>3725</v>
      </c>
      <c r="H753" s="1">
        <f t="shared" si="34"/>
        <v>41773</v>
      </c>
      <c r="I753">
        <f>IF(AND(MyRowHidden(ROW())=FALSE,MyRowHidden(ROW()-1)=TRUE),0,(E753-E752)*unitsOfDHp+I752)</f>
        <v>306590</v>
      </c>
      <c r="J753">
        <f>IF(AND(MyRowHidden(ROW())=FALSE,MyRowHidden(ROW()-1)=TRUE),0,(G753-G752)*unitsOfExo+J752)</f>
        <v>87250</v>
      </c>
      <c r="K753" s="9">
        <f t="shared" si="35"/>
        <v>12750</v>
      </c>
      <c r="L753">
        <f t="shared" si="36"/>
        <v>393840</v>
      </c>
    </row>
    <row r="754" spans="1:12" x14ac:dyDescent="0.25">
      <c r="A754" s="1"/>
      <c r="C754" s="1"/>
      <c r="D754" s="1">
        <v>41774</v>
      </c>
      <c r="E754">
        <v>27869</v>
      </c>
      <c r="F754" s="1">
        <v>41774</v>
      </c>
      <c r="G754">
        <v>3125</v>
      </c>
      <c r="H754" s="1">
        <f t="shared" si="34"/>
        <v>41774</v>
      </c>
      <c r="I754">
        <f>IF(AND(MyRowHidden(ROW())=FALSE,MyRowHidden(ROW()-1)=TRUE),0,(E754-E753)*unitsOfDHp+I753)</f>
        <v>328690</v>
      </c>
      <c r="J754">
        <f>IF(AND(MyRowHidden(ROW())=FALSE,MyRowHidden(ROW()-1)=TRUE),0,(G754-G753)*unitsOfExo+J753)</f>
        <v>81250</v>
      </c>
      <c r="K754" s="9">
        <f t="shared" si="35"/>
        <v>18750</v>
      </c>
      <c r="L754">
        <f t="shared" si="36"/>
        <v>409940</v>
      </c>
    </row>
    <row r="755" spans="1:12" x14ac:dyDescent="0.25">
      <c r="A755" s="1"/>
      <c r="C755" s="1"/>
      <c r="D755" s="1">
        <v>41775</v>
      </c>
      <c r="E755">
        <v>27951</v>
      </c>
      <c r="F755" s="1">
        <v>41775</v>
      </c>
      <c r="G755">
        <v>3025</v>
      </c>
      <c r="H755" s="1">
        <f t="shared" si="34"/>
        <v>41775</v>
      </c>
      <c r="I755">
        <f>IF(AND(MyRowHidden(ROW())=FALSE,MyRowHidden(ROW()-1)=TRUE),0,(E755-E754)*unitsOfDHp+I754)</f>
        <v>329510</v>
      </c>
      <c r="J755">
        <f>IF(AND(MyRowHidden(ROW())=FALSE,MyRowHidden(ROW()-1)=TRUE),0,(G755-G754)*unitsOfExo+J754)</f>
        <v>80250</v>
      </c>
      <c r="K755" s="9">
        <f t="shared" si="35"/>
        <v>19750</v>
      </c>
      <c r="L755">
        <f t="shared" si="36"/>
        <v>409760</v>
      </c>
    </row>
    <row r="756" spans="1:12" x14ac:dyDescent="0.25">
      <c r="A756" s="1"/>
      <c r="C756" s="1"/>
      <c r="D756" s="1">
        <v>41778</v>
      </c>
      <c r="E756">
        <v>28171</v>
      </c>
      <c r="F756" s="1">
        <v>41778</v>
      </c>
      <c r="G756">
        <v>2775</v>
      </c>
      <c r="H756" s="1">
        <f t="shared" si="34"/>
        <v>41778</v>
      </c>
      <c r="I756">
        <f>IF(AND(MyRowHidden(ROW())=FALSE,MyRowHidden(ROW()-1)=TRUE),0,(E756-E755)*unitsOfDHp+I755)</f>
        <v>331710</v>
      </c>
      <c r="J756">
        <f>IF(AND(MyRowHidden(ROW())=FALSE,MyRowHidden(ROW()-1)=TRUE),0,(G756-G755)*unitsOfExo+J755)</f>
        <v>77750</v>
      </c>
      <c r="K756" s="9">
        <f t="shared" si="35"/>
        <v>22250</v>
      </c>
      <c r="L756">
        <f t="shared" si="36"/>
        <v>409460</v>
      </c>
    </row>
    <row r="757" spans="1:12" x14ac:dyDescent="0.25">
      <c r="A757" s="1"/>
      <c r="C757" s="1"/>
      <c r="D757" s="1">
        <v>41779</v>
      </c>
      <c r="E757">
        <v>28243</v>
      </c>
      <c r="F757" s="1">
        <v>41779</v>
      </c>
      <c r="G757">
        <v>2625</v>
      </c>
      <c r="H757" s="1">
        <f t="shared" si="34"/>
        <v>41779</v>
      </c>
      <c r="I757">
        <f>IF(AND(MyRowHidden(ROW())=FALSE,MyRowHidden(ROW()-1)=TRUE),0,(E757-E756)*unitsOfDHp+I756)</f>
        <v>332430</v>
      </c>
      <c r="J757">
        <f>IF(AND(MyRowHidden(ROW())=FALSE,MyRowHidden(ROW()-1)=TRUE),0,(G757-G756)*unitsOfExo+J756)</f>
        <v>76250</v>
      </c>
      <c r="K757" s="9">
        <f t="shared" si="35"/>
        <v>23750</v>
      </c>
      <c r="L757">
        <f t="shared" si="36"/>
        <v>408680</v>
      </c>
    </row>
    <row r="758" spans="1:12" x14ac:dyDescent="0.25">
      <c r="A758" s="1"/>
      <c r="C758" s="1"/>
      <c r="D758" s="1">
        <v>41780</v>
      </c>
      <c r="E758">
        <v>28206</v>
      </c>
      <c r="F758" s="1">
        <v>41780</v>
      </c>
      <c r="G758">
        <v>2637.5</v>
      </c>
      <c r="H758" s="1">
        <f t="shared" si="34"/>
        <v>41780</v>
      </c>
      <c r="I758">
        <f>IF(AND(MyRowHidden(ROW())=FALSE,MyRowHidden(ROW()-1)=TRUE),0,(E758-E757)*unitsOfDHp+I757)</f>
        <v>332060</v>
      </c>
      <c r="J758">
        <f>IF(AND(MyRowHidden(ROW())=FALSE,MyRowHidden(ROW()-1)=TRUE),0,(G758-G757)*unitsOfExo+J757)</f>
        <v>76375</v>
      </c>
      <c r="K758" s="9">
        <f t="shared" si="35"/>
        <v>23625</v>
      </c>
      <c r="L758">
        <f t="shared" si="36"/>
        <v>408435</v>
      </c>
    </row>
    <row r="759" spans="1:12" x14ac:dyDescent="0.25">
      <c r="A759" s="1"/>
      <c r="C759" s="1"/>
      <c r="D759" s="1">
        <v>41781</v>
      </c>
      <c r="E759">
        <v>28188</v>
      </c>
      <c r="F759" s="1">
        <v>41781</v>
      </c>
      <c r="G759">
        <v>2700</v>
      </c>
      <c r="H759" s="1">
        <f t="shared" si="34"/>
        <v>41781</v>
      </c>
      <c r="I759">
        <f>IF(AND(MyRowHidden(ROW())=FALSE,MyRowHidden(ROW()-1)=TRUE),0,(E759-E758)*unitsOfDHp+I758)</f>
        <v>331880</v>
      </c>
      <c r="J759">
        <f>IF(AND(MyRowHidden(ROW())=FALSE,MyRowHidden(ROW()-1)=TRUE),0,(G759-G758)*unitsOfExo+J758)</f>
        <v>77000</v>
      </c>
      <c r="K759" s="9">
        <f t="shared" si="35"/>
        <v>23000</v>
      </c>
      <c r="L759">
        <f t="shared" si="36"/>
        <v>408880</v>
      </c>
    </row>
    <row r="760" spans="1:12" x14ac:dyDescent="0.25">
      <c r="A760" s="1"/>
      <c r="C760" s="1"/>
      <c r="D760" s="1">
        <v>41782</v>
      </c>
      <c r="E760">
        <v>28197</v>
      </c>
      <c r="F760" s="1">
        <v>41782</v>
      </c>
      <c r="G760">
        <v>2787.5</v>
      </c>
      <c r="H760" s="1">
        <f t="shared" si="34"/>
        <v>41782</v>
      </c>
      <c r="I760">
        <f>IF(AND(MyRowHidden(ROW())=FALSE,MyRowHidden(ROW()-1)=TRUE),0,(E760-E759)*unitsOfDHp+I759)</f>
        <v>331970</v>
      </c>
      <c r="J760">
        <f>IF(AND(MyRowHidden(ROW())=FALSE,MyRowHidden(ROW()-1)=TRUE),0,(G760-G759)*unitsOfExo+J759)</f>
        <v>77875</v>
      </c>
      <c r="K760" s="9">
        <f t="shared" si="35"/>
        <v>22125</v>
      </c>
      <c r="L760">
        <f t="shared" si="36"/>
        <v>409845</v>
      </c>
    </row>
    <row r="761" spans="1:12" x14ac:dyDescent="0.25">
      <c r="A761" s="1"/>
      <c r="C761" s="1"/>
      <c r="D761" s="1">
        <v>41786</v>
      </c>
      <c r="E761">
        <v>27983</v>
      </c>
      <c r="F761" s="1">
        <v>41786</v>
      </c>
      <c r="G761">
        <v>2437.5</v>
      </c>
      <c r="H761" s="1">
        <f t="shared" si="34"/>
        <v>41786</v>
      </c>
      <c r="I761">
        <f>IF(AND(MyRowHidden(ROW())=FALSE,MyRowHidden(ROW()-1)=TRUE),0,(E761-E760)*unitsOfDHp+I760)</f>
        <v>329830</v>
      </c>
      <c r="J761">
        <f>IF(AND(MyRowHidden(ROW())=FALSE,MyRowHidden(ROW()-1)=TRUE),0,(G761-G760)*unitsOfExo+J760)</f>
        <v>74375</v>
      </c>
      <c r="K761" s="9">
        <f t="shared" si="35"/>
        <v>25625</v>
      </c>
      <c r="L761">
        <f t="shared" si="36"/>
        <v>404205</v>
      </c>
    </row>
    <row r="762" spans="1:12" x14ac:dyDescent="0.25">
      <c r="A762" s="1"/>
      <c r="C762" s="1"/>
      <c r="D762" s="1">
        <v>41787</v>
      </c>
      <c r="E762">
        <v>27936</v>
      </c>
      <c r="F762" s="1">
        <v>41787</v>
      </c>
      <c r="G762">
        <v>2512.5</v>
      </c>
      <c r="H762" s="1">
        <f t="shared" si="34"/>
        <v>41787</v>
      </c>
      <c r="I762">
        <f>IF(AND(MyRowHidden(ROW())=FALSE,MyRowHidden(ROW()-1)=TRUE),0,(E762-E761)*unitsOfDHp+I761)</f>
        <v>329360</v>
      </c>
      <c r="J762">
        <f>IF(AND(MyRowHidden(ROW())=FALSE,MyRowHidden(ROW()-1)=TRUE),0,(G762-G761)*unitsOfExo+J761)</f>
        <v>75125</v>
      </c>
      <c r="K762" s="9">
        <f t="shared" si="35"/>
        <v>24875</v>
      </c>
      <c r="L762">
        <f t="shared" si="36"/>
        <v>404485</v>
      </c>
    </row>
    <row r="763" spans="1:12" x14ac:dyDescent="0.25">
      <c r="A763" s="1"/>
      <c r="C763" s="1"/>
      <c r="D763" s="1">
        <v>41788</v>
      </c>
      <c r="E763">
        <v>27995</v>
      </c>
      <c r="F763" s="1">
        <v>41788</v>
      </c>
      <c r="G763">
        <v>2350</v>
      </c>
      <c r="H763" s="1">
        <f t="shared" si="34"/>
        <v>41788</v>
      </c>
      <c r="I763">
        <f>IF(AND(MyRowHidden(ROW())=FALSE,MyRowHidden(ROW()-1)=TRUE),0,(E763-E762)*unitsOfDHp+I762)</f>
        <v>329950</v>
      </c>
      <c r="J763">
        <f>IF(AND(MyRowHidden(ROW())=FALSE,MyRowHidden(ROW()-1)=TRUE),0,(G763-G762)*unitsOfExo+J762)</f>
        <v>73500</v>
      </c>
      <c r="K763" s="9">
        <f t="shared" si="35"/>
        <v>26500</v>
      </c>
      <c r="L763">
        <f t="shared" si="36"/>
        <v>403450</v>
      </c>
    </row>
    <row r="764" spans="1:12" x14ac:dyDescent="0.25">
      <c r="A764" s="1"/>
      <c r="C764" s="1"/>
      <c r="D764" s="1">
        <v>41789</v>
      </c>
      <c r="E764">
        <v>28102</v>
      </c>
      <c r="F764" s="1">
        <v>41789</v>
      </c>
      <c r="G764">
        <v>2262.5</v>
      </c>
      <c r="H764" s="1">
        <f t="shared" si="34"/>
        <v>41789</v>
      </c>
      <c r="I764">
        <f>IF(AND(MyRowHidden(ROW())=FALSE,MyRowHidden(ROW()-1)=TRUE),0,(E764-E763)*unitsOfDHp+I763)</f>
        <v>331020</v>
      </c>
      <c r="J764">
        <f>IF(AND(MyRowHidden(ROW())=FALSE,MyRowHidden(ROW()-1)=TRUE),0,(G764-G763)*unitsOfExo+J763)</f>
        <v>72625</v>
      </c>
      <c r="K764" s="9">
        <f t="shared" si="35"/>
        <v>27375</v>
      </c>
      <c r="L764">
        <f t="shared" si="36"/>
        <v>403645</v>
      </c>
    </row>
    <row r="765" spans="1:12" x14ac:dyDescent="0.25">
      <c r="A765" s="1"/>
      <c r="C765" s="1"/>
      <c r="D765" s="1">
        <v>41792</v>
      </c>
      <c r="E765">
        <v>28113</v>
      </c>
      <c r="F765" s="1">
        <v>41792</v>
      </c>
      <c r="G765">
        <v>2262.5</v>
      </c>
      <c r="H765" s="1">
        <f t="shared" si="34"/>
        <v>41792</v>
      </c>
      <c r="I765">
        <f>IF(AND(MyRowHidden(ROW())=FALSE,MyRowHidden(ROW()-1)=TRUE),0,(E765-E764)*unitsOfDHp+I764)</f>
        <v>331130</v>
      </c>
      <c r="J765">
        <f>IF(AND(MyRowHidden(ROW())=FALSE,MyRowHidden(ROW()-1)=TRUE),0,(G765-G764)*unitsOfExo+J764)</f>
        <v>72625</v>
      </c>
      <c r="K765" s="9">
        <f t="shared" si="35"/>
        <v>27375</v>
      </c>
      <c r="L765">
        <f t="shared" si="36"/>
        <v>403755</v>
      </c>
    </row>
    <row r="766" spans="1:12" x14ac:dyDescent="0.25">
      <c r="A766" s="1"/>
      <c r="C766" s="1"/>
      <c r="D766" s="1">
        <v>41793</v>
      </c>
      <c r="E766">
        <v>28587</v>
      </c>
      <c r="F766" s="1">
        <v>41793</v>
      </c>
      <c r="G766">
        <v>1787.5</v>
      </c>
      <c r="H766" s="1">
        <f t="shared" si="34"/>
        <v>41793</v>
      </c>
      <c r="I766">
        <f>IF(AND(MyRowHidden(ROW())=FALSE,MyRowHidden(ROW()-1)=TRUE),0,(E766-E765)*unitsOfDHp+I765)</f>
        <v>335870</v>
      </c>
      <c r="J766">
        <f>IF(AND(MyRowHidden(ROW())=FALSE,MyRowHidden(ROW()-1)=TRUE),0,(G766-G765)*unitsOfExo+J765)</f>
        <v>67875</v>
      </c>
      <c r="K766" s="9">
        <f t="shared" si="35"/>
        <v>32125</v>
      </c>
      <c r="L766">
        <f t="shared" si="36"/>
        <v>403745</v>
      </c>
    </row>
    <row r="767" spans="1:12" x14ac:dyDescent="0.25">
      <c r="A767" s="1"/>
      <c r="C767" s="1"/>
      <c r="D767" s="1">
        <v>41794</v>
      </c>
      <c r="E767">
        <v>28607</v>
      </c>
      <c r="F767" s="1">
        <v>41794</v>
      </c>
      <c r="G767">
        <v>1737.5</v>
      </c>
      <c r="H767" s="1">
        <f t="shared" si="34"/>
        <v>41794</v>
      </c>
      <c r="I767">
        <f>IF(AND(MyRowHidden(ROW())=FALSE,MyRowHidden(ROW()-1)=TRUE),0,(E767-E766)*unitsOfDHp+I766)</f>
        <v>336070</v>
      </c>
      <c r="J767">
        <f>IF(AND(MyRowHidden(ROW())=FALSE,MyRowHidden(ROW()-1)=TRUE),0,(G767-G766)*unitsOfExo+J766)</f>
        <v>67375</v>
      </c>
      <c r="K767" s="9">
        <f t="shared" si="35"/>
        <v>32625</v>
      </c>
      <c r="L767">
        <f t="shared" si="36"/>
        <v>403445</v>
      </c>
    </row>
    <row r="768" spans="1:12" x14ac:dyDescent="0.25">
      <c r="A768" s="1"/>
      <c r="C768" s="1"/>
      <c r="D768" s="1">
        <v>41795</v>
      </c>
      <c r="E768">
        <v>28768</v>
      </c>
      <c r="F768" s="1">
        <v>41795</v>
      </c>
      <c r="G768">
        <v>1437.5</v>
      </c>
      <c r="H768" s="1">
        <f t="shared" si="34"/>
        <v>41795</v>
      </c>
      <c r="I768">
        <f>IF(AND(MyRowHidden(ROW())=FALSE,MyRowHidden(ROW()-1)=TRUE),0,(E768-E767)*unitsOfDHp+I767)</f>
        <v>337680</v>
      </c>
      <c r="J768">
        <f>IF(AND(MyRowHidden(ROW())=FALSE,MyRowHidden(ROW()-1)=TRUE),0,(G768-G767)*unitsOfExo+J767)</f>
        <v>64375</v>
      </c>
      <c r="K768" s="9">
        <f t="shared" si="35"/>
        <v>35625</v>
      </c>
      <c r="L768">
        <f t="shared" si="36"/>
        <v>402055</v>
      </c>
    </row>
    <row r="769" spans="1:12" x14ac:dyDescent="0.25">
      <c r="A769" s="1"/>
      <c r="C769" s="1"/>
      <c r="D769" s="1">
        <v>41796</v>
      </c>
      <c r="E769">
        <v>28624</v>
      </c>
      <c r="F769" s="1">
        <v>41796</v>
      </c>
      <c r="G769">
        <v>1762.5</v>
      </c>
      <c r="H769" s="1">
        <f t="shared" si="34"/>
        <v>41796</v>
      </c>
      <c r="I769">
        <f>IF(AND(MyRowHidden(ROW())=FALSE,MyRowHidden(ROW()-1)=TRUE),0,(E769-E768)*unitsOfDHp+I768)</f>
        <v>336240</v>
      </c>
      <c r="J769">
        <f>IF(AND(MyRowHidden(ROW())=FALSE,MyRowHidden(ROW()-1)=TRUE),0,(G769-G768)*unitsOfExo+J768)</f>
        <v>67625</v>
      </c>
      <c r="K769" s="9">
        <f t="shared" si="35"/>
        <v>32375</v>
      </c>
      <c r="L769">
        <f t="shared" si="36"/>
        <v>403865</v>
      </c>
    </row>
    <row r="770" spans="1:12" x14ac:dyDescent="0.25">
      <c r="A770" s="1"/>
      <c r="C770" s="1"/>
      <c r="D770" s="1">
        <v>41799</v>
      </c>
      <c r="E770">
        <v>28866</v>
      </c>
      <c r="F770" s="1">
        <v>41799</v>
      </c>
      <c r="G770">
        <v>1287.5</v>
      </c>
      <c r="H770" s="1">
        <f t="shared" si="34"/>
        <v>41799</v>
      </c>
      <c r="I770">
        <f>IF(AND(MyRowHidden(ROW())=FALSE,MyRowHidden(ROW()-1)=TRUE),0,(E770-E769)*unitsOfDHp+I769)</f>
        <v>338660</v>
      </c>
      <c r="J770">
        <f>IF(AND(MyRowHidden(ROW())=FALSE,MyRowHidden(ROW()-1)=TRUE),0,(G770-G769)*unitsOfExo+J769)</f>
        <v>62875</v>
      </c>
      <c r="K770" s="9">
        <f t="shared" si="35"/>
        <v>37125</v>
      </c>
      <c r="L770">
        <f t="shared" si="36"/>
        <v>401535</v>
      </c>
    </row>
    <row r="771" spans="1:12" x14ac:dyDescent="0.25">
      <c r="A771" s="1"/>
      <c r="C771" s="1"/>
      <c r="D771" s="1">
        <v>41800</v>
      </c>
      <c r="E771">
        <v>28873</v>
      </c>
      <c r="F771" s="1">
        <v>41800</v>
      </c>
      <c r="G771">
        <v>1237.5</v>
      </c>
      <c r="H771" s="1">
        <f t="shared" si="34"/>
        <v>41800</v>
      </c>
      <c r="I771">
        <f>IF(AND(MyRowHidden(ROW())=FALSE,MyRowHidden(ROW()-1)=TRUE),0,(E771-E770)*unitsOfDHp+I770)</f>
        <v>338730</v>
      </c>
      <c r="J771">
        <f>IF(AND(MyRowHidden(ROW())=FALSE,MyRowHidden(ROW()-1)=TRUE),0,(G771-G770)*unitsOfExo+J770)</f>
        <v>62375</v>
      </c>
      <c r="K771" s="9">
        <f t="shared" si="35"/>
        <v>37625</v>
      </c>
      <c r="L771">
        <f t="shared" si="36"/>
        <v>401105</v>
      </c>
    </row>
    <row r="772" spans="1:12" x14ac:dyDescent="0.25">
      <c r="A772" s="1"/>
      <c r="C772" s="1"/>
      <c r="D772" s="1">
        <v>41801</v>
      </c>
      <c r="E772">
        <v>29012</v>
      </c>
      <c r="F772" s="1">
        <v>41801</v>
      </c>
      <c r="G772">
        <v>925</v>
      </c>
      <c r="H772" s="1">
        <f t="shared" si="34"/>
        <v>41801</v>
      </c>
      <c r="I772">
        <f>IF(AND(MyRowHidden(ROW())=FALSE,MyRowHidden(ROW()-1)=TRUE),0,(E772-E771)*unitsOfDHp+I771)</f>
        <v>340120</v>
      </c>
      <c r="J772">
        <f>IF(AND(MyRowHidden(ROW())=FALSE,MyRowHidden(ROW()-1)=TRUE),0,(G772-G771)*unitsOfExo+J771)</f>
        <v>59250</v>
      </c>
      <c r="K772" s="9">
        <f t="shared" si="35"/>
        <v>40750</v>
      </c>
      <c r="L772">
        <f t="shared" si="36"/>
        <v>399370</v>
      </c>
    </row>
    <row r="773" spans="1:12" x14ac:dyDescent="0.25">
      <c r="A773" s="1"/>
      <c r="C773" s="1"/>
      <c r="D773" s="1">
        <v>41802</v>
      </c>
      <c r="E773">
        <v>29006</v>
      </c>
      <c r="F773" s="1">
        <v>41802</v>
      </c>
      <c r="G773">
        <v>1037.5</v>
      </c>
      <c r="H773" s="1">
        <f t="shared" si="34"/>
        <v>41802</v>
      </c>
      <c r="I773">
        <f>IF(AND(MyRowHidden(ROW())=FALSE,MyRowHidden(ROW()-1)=TRUE),0,(E773-E772)*unitsOfDHp+I772)</f>
        <v>340060</v>
      </c>
      <c r="J773">
        <f>IF(AND(MyRowHidden(ROW())=FALSE,MyRowHidden(ROW()-1)=TRUE),0,(G773-G772)*unitsOfExo+J772)</f>
        <v>60375</v>
      </c>
      <c r="K773" s="9">
        <f t="shared" si="35"/>
        <v>39625</v>
      </c>
      <c r="L773">
        <f t="shared" si="36"/>
        <v>400435</v>
      </c>
    </row>
    <row r="774" spans="1:12" x14ac:dyDescent="0.25">
      <c r="A774" s="1"/>
      <c r="C774" s="1"/>
      <c r="D774" s="1">
        <v>41803</v>
      </c>
      <c r="E774">
        <v>28987</v>
      </c>
      <c r="F774" s="1">
        <v>41803</v>
      </c>
      <c r="G774">
        <v>1162.5</v>
      </c>
      <c r="H774" s="1">
        <f t="shared" si="34"/>
        <v>41803</v>
      </c>
      <c r="I774">
        <f>IF(AND(MyRowHidden(ROW())=FALSE,MyRowHidden(ROW()-1)=TRUE),0,(E774-E773)*unitsOfDHp+I773)</f>
        <v>339870</v>
      </c>
      <c r="J774">
        <f>IF(AND(MyRowHidden(ROW())=FALSE,MyRowHidden(ROW()-1)=TRUE),0,(G774-G773)*unitsOfExo+J773)</f>
        <v>61625</v>
      </c>
      <c r="K774" s="9">
        <f t="shared" si="35"/>
        <v>38375</v>
      </c>
      <c r="L774">
        <f t="shared" si="36"/>
        <v>401495</v>
      </c>
    </row>
    <row r="775" spans="1:12" x14ac:dyDescent="0.25">
      <c r="A775" s="1"/>
      <c r="C775" s="1"/>
      <c r="D775" s="1">
        <v>41806</v>
      </c>
      <c r="E775">
        <v>29124</v>
      </c>
      <c r="F775" s="1">
        <v>41806</v>
      </c>
      <c r="G775">
        <v>987.5</v>
      </c>
      <c r="H775" s="1">
        <f t="shared" si="34"/>
        <v>41806</v>
      </c>
      <c r="I775">
        <f>IF(AND(MyRowHidden(ROW())=FALSE,MyRowHidden(ROW()-1)=TRUE),0,(E775-E774)*unitsOfDHp+I774)</f>
        <v>341240</v>
      </c>
      <c r="J775">
        <f>IF(AND(MyRowHidden(ROW())=FALSE,MyRowHidden(ROW()-1)=TRUE),0,(G775-G774)*unitsOfExo+J774)</f>
        <v>59875</v>
      </c>
      <c r="K775" s="9">
        <f t="shared" si="35"/>
        <v>40125</v>
      </c>
      <c r="L775">
        <f t="shared" si="36"/>
        <v>401115</v>
      </c>
    </row>
    <row r="776" spans="1:12" x14ac:dyDescent="0.25">
      <c r="A776" s="1"/>
      <c r="C776" s="1"/>
      <c r="D776" s="1">
        <v>41807</v>
      </c>
      <c r="E776">
        <v>29154</v>
      </c>
      <c r="F776" s="1">
        <v>41807</v>
      </c>
      <c r="G776">
        <v>862.5</v>
      </c>
      <c r="H776" s="1">
        <f t="shared" si="34"/>
        <v>41807</v>
      </c>
      <c r="I776">
        <f>IF(AND(MyRowHidden(ROW())=FALSE,MyRowHidden(ROW()-1)=TRUE),0,(E776-E775)*unitsOfDHp+I775)</f>
        <v>341540</v>
      </c>
      <c r="J776">
        <f>IF(AND(MyRowHidden(ROW())=FALSE,MyRowHidden(ROW()-1)=TRUE),0,(G776-G775)*unitsOfExo+J775)</f>
        <v>58625</v>
      </c>
      <c r="K776" s="9">
        <f t="shared" si="35"/>
        <v>41375</v>
      </c>
      <c r="L776">
        <f t="shared" si="36"/>
        <v>400165</v>
      </c>
    </row>
    <row r="777" spans="1:12" x14ac:dyDescent="0.25">
      <c r="A777" s="1"/>
      <c r="C777" s="1"/>
      <c r="D777" s="1">
        <v>41808</v>
      </c>
      <c r="E777">
        <v>29223</v>
      </c>
      <c r="F777" s="1">
        <v>41808</v>
      </c>
      <c r="G777">
        <v>1037.5</v>
      </c>
      <c r="H777" s="1">
        <f t="shared" si="34"/>
        <v>41808</v>
      </c>
      <c r="I777">
        <f>IF(AND(MyRowHidden(ROW())=FALSE,MyRowHidden(ROW()-1)=TRUE),0,(E777-E776)*unitsOfDHp+I776)</f>
        <v>342230</v>
      </c>
      <c r="J777">
        <f>IF(AND(MyRowHidden(ROW())=FALSE,MyRowHidden(ROW()-1)=TRUE),0,(G777-G776)*unitsOfExo+J776)</f>
        <v>60375</v>
      </c>
      <c r="K777" s="9">
        <f t="shared" si="35"/>
        <v>39625</v>
      </c>
      <c r="L777">
        <f t="shared" si="36"/>
        <v>402605</v>
      </c>
    </row>
    <row r="778" spans="1:12" x14ac:dyDescent="0.25">
      <c r="A778" s="1"/>
      <c r="C778" s="1"/>
      <c r="D778" s="1">
        <v>41809</v>
      </c>
      <c r="E778">
        <v>29201</v>
      </c>
      <c r="F778" s="1">
        <v>41809</v>
      </c>
      <c r="G778">
        <v>1412.5</v>
      </c>
      <c r="H778" s="1">
        <f t="shared" si="34"/>
        <v>41809</v>
      </c>
      <c r="I778">
        <f>IF(AND(MyRowHidden(ROW())=FALSE,MyRowHidden(ROW()-1)=TRUE),0,(E778-E777)*unitsOfDHp+I777)</f>
        <v>342010</v>
      </c>
      <c r="J778">
        <f>IF(AND(MyRowHidden(ROW())=FALSE,MyRowHidden(ROW()-1)=TRUE),0,(G778-G777)*unitsOfExo+J777)</f>
        <v>64125</v>
      </c>
      <c r="K778" s="9">
        <f t="shared" si="35"/>
        <v>35875</v>
      </c>
      <c r="L778">
        <f t="shared" si="36"/>
        <v>406135</v>
      </c>
    </row>
    <row r="779" spans="1:12" x14ac:dyDescent="0.25">
      <c r="A779" s="1"/>
      <c r="C779" s="1"/>
      <c r="D779" s="1">
        <v>41810</v>
      </c>
      <c r="E779">
        <v>28813</v>
      </c>
      <c r="F779" s="1">
        <v>41810</v>
      </c>
      <c r="G779">
        <v>1525</v>
      </c>
      <c r="H779" s="1">
        <f t="shared" si="34"/>
        <v>41810</v>
      </c>
      <c r="I779">
        <f>IF(AND(MyRowHidden(ROW())=FALSE,MyRowHidden(ROW()-1)=TRUE),0,(E779-E778)*unitsOfDHp+I778)</f>
        <v>338130</v>
      </c>
      <c r="J779">
        <f>IF(AND(MyRowHidden(ROW())=FALSE,MyRowHidden(ROW()-1)=TRUE),0,(G779-G778)*unitsOfExo+J778)</f>
        <v>65250</v>
      </c>
      <c r="K779" s="9">
        <f t="shared" si="35"/>
        <v>34750</v>
      </c>
      <c r="L779">
        <f t="shared" si="36"/>
        <v>403380</v>
      </c>
    </row>
    <row r="780" spans="1:12" x14ac:dyDescent="0.25">
      <c r="A780" s="1"/>
      <c r="C780" s="1"/>
      <c r="D780" s="1">
        <v>41813</v>
      </c>
      <c r="E780">
        <v>28976</v>
      </c>
      <c r="F780" s="1">
        <v>41813</v>
      </c>
      <c r="G780">
        <v>1187.5</v>
      </c>
      <c r="H780" s="1">
        <f t="shared" si="34"/>
        <v>41813</v>
      </c>
      <c r="I780">
        <f>IF(AND(MyRowHidden(ROW())=FALSE,MyRowHidden(ROW()-1)=TRUE),0,(E780-E779)*unitsOfDHp+I779)</f>
        <v>339760</v>
      </c>
      <c r="J780">
        <f>IF(AND(MyRowHidden(ROW())=FALSE,MyRowHidden(ROW()-1)=TRUE),0,(G780-G779)*unitsOfExo+J779)</f>
        <v>61875</v>
      </c>
      <c r="K780" s="9">
        <f t="shared" si="35"/>
        <v>38125</v>
      </c>
      <c r="L780">
        <f t="shared" si="36"/>
        <v>401635</v>
      </c>
    </row>
    <row r="781" spans="1:12" x14ac:dyDescent="0.25">
      <c r="A781" s="1"/>
      <c r="C781" s="1"/>
      <c r="D781" s="1">
        <v>41814</v>
      </c>
      <c r="E781">
        <v>29060</v>
      </c>
      <c r="F781" s="1">
        <v>41814</v>
      </c>
      <c r="G781">
        <v>1050</v>
      </c>
      <c r="H781" s="1">
        <f t="shared" ref="H781:H844" si="37">D781</f>
        <v>41814</v>
      </c>
      <c r="I781">
        <f>IF(AND(MyRowHidden(ROW())=FALSE,MyRowHidden(ROW()-1)=TRUE),0,(E781-E780)*unitsOfDHp+I780)</f>
        <v>340600</v>
      </c>
      <c r="J781">
        <f>IF(AND(MyRowHidden(ROW())=FALSE,MyRowHidden(ROW()-1)=TRUE),0,(G781-G780)*unitsOfExo+J780)</f>
        <v>60500</v>
      </c>
      <c r="K781" s="9">
        <f t="shared" ref="K781:K844" si="38">-(J781-J780)+K780</f>
        <v>39500</v>
      </c>
      <c r="L781">
        <f t="shared" ref="L781:L844" si="39">I781+J781</f>
        <v>401100</v>
      </c>
    </row>
    <row r="782" spans="1:12" x14ac:dyDescent="0.25">
      <c r="A782" s="1"/>
      <c r="C782" s="1"/>
      <c r="D782" s="1">
        <v>41815</v>
      </c>
      <c r="E782">
        <v>29057</v>
      </c>
      <c r="F782" s="1">
        <v>41815</v>
      </c>
      <c r="G782">
        <v>937.5</v>
      </c>
      <c r="H782" s="1">
        <f t="shared" si="37"/>
        <v>41815</v>
      </c>
      <c r="I782">
        <f>IF(AND(MyRowHidden(ROW())=FALSE,MyRowHidden(ROW()-1)=TRUE),0,(E782-E781)*unitsOfDHp+I781)</f>
        <v>340570</v>
      </c>
      <c r="J782">
        <f>IF(AND(MyRowHidden(ROW())=FALSE,MyRowHidden(ROW()-1)=TRUE),0,(G782-G781)*unitsOfExo+J781)</f>
        <v>59375</v>
      </c>
      <c r="K782" s="9">
        <f t="shared" si="38"/>
        <v>40625</v>
      </c>
      <c r="L782">
        <f t="shared" si="39"/>
        <v>399945</v>
      </c>
    </row>
    <row r="783" spans="1:12" x14ac:dyDescent="0.25">
      <c r="A783" s="1"/>
      <c r="C783" s="1"/>
      <c r="D783" s="1">
        <v>41816</v>
      </c>
      <c r="E783">
        <v>29175</v>
      </c>
      <c r="F783" s="1">
        <v>41816</v>
      </c>
      <c r="G783">
        <v>1150</v>
      </c>
      <c r="H783" s="1">
        <f t="shared" si="37"/>
        <v>41816</v>
      </c>
      <c r="I783">
        <f>IF(AND(MyRowHidden(ROW())=FALSE,MyRowHidden(ROW()-1)=TRUE),0,(E783-E782)*unitsOfDHp+I782)</f>
        <v>341750</v>
      </c>
      <c r="J783">
        <f>IF(AND(MyRowHidden(ROW())=FALSE,MyRowHidden(ROW()-1)=TRUE),0,(G783-G782)*unitsOfExo+J782)</f>
        <v>61500</v>
      </c>
      <c r="K783" s="9">
        <f t="shared" si="38"/>
        <v>38500</v>
      </c>
      <c r="L783">
        <f t="shared" si="39"/>
        <v>403250</v>
      </c>
    </row>
    <row r="784" spans="1:12" x14ac:dyDescent="0.25">
      <c r="A784" s="1"/>
      <c r="C784" s="1"/>
      <c r="D784" s="1">
        <v>41817</v>
      </c>
      <c r="E784">
        <v>29202</v>
      </c>
      <c r="F784" s="1">
        <v>41817</v>
      </c>
      <c r="G784">
        <v>987.5</v>
      </c>
      <c r="H784" s="1">
        <f t="shared" si="37"/>
        <v>41817</v>
      </c>
      <c r="I784">
        <f>IF(AND(MyRowHidden(ROW())=FALSE,MyRowHidden(ROW()-1)=TRUE),0,(E784-E783)*unitsOfDHp+I783)</f>
        <v>342020</v>
      </c>
      <c r="J784">
        <f>IF(AND(MyRowHidden(ROW())=FALSE,MyRowHidden(ROW()-1)=TRUE),0,(G784-G783)*unitsOfExo+J783)</f>
        <v>59875</v>
      </c>
      <c r="K784" s="9">
        <f t="shared" si="38"/>
        <v>40125</v>
      </c>
      <c r="L784">
        <f t="shared" si="39"/>
        <v>401895</v>
      </c>
    </row>
    <row r="785" spans="1:12" x14ac:dyDescent="0.25">
      <c r="A785" s="1"/>
      <c r="C785" s="1"/>
      <c r="D785" s="1">
        <v>41820</v>
      </c>
      <c r="E785">
        <v>28158</v>
      </c>
      <c r="F785" s="1">
        <v>41820</v>
      </c>
      <c r="G785">
        <v>162.5</v>
      </c>
      <c r="H785" s="1">
        <f t="shared" si="37"/>
        <v>41820</v>
      </c>
      <c r="I785">
        <f>IF(AND(MyRowHidden(ROW())=FALSE,MyRowHidden(ROW()-1)=TRUE),0,(E785-E784)*unitsOfDHp+I784)</f>
        <v>331580</v>
      </c>
      <c r="J785">
        <f>IF(AND(MyRowHidden(ROW())=FALSE,MyRowHidden(ROW()-1)=TRUE),0,(G785-G784)*unitsOfExo+J784)</f>
        <v>51625</v>
      </c>
      <c r="K785" s="9">
        <f t="shared" si="38"/>
        <v>48375</v>
      </c>
      <c r="L785">
        <f t="shared" si="39"/>
        <v>383205</v>
      </c>
    </row>
    <row r="786" spans="1:12" x14ac:dyDescent="0.25">
      <c r="A786" s="1"/>
      <c r="C786" s="1"/>
      <c r="D786" s="1">
        <v>41821</v>
      </c>
      <c r="E786">
        <v>28212</v>
      </c>
      <c r="F786" s="1">
        <v>41821</v>
      </c>
      <c r="G786">
        <v>0</v>
      </c>
      <c r="H786" s="1">
        <f t="shared" si="37"/>
        <v>41821</v>
      </c>
      <c r="I786">
        <f>IF(AND(MyRowHidden(ROW())=FALSE,MyRowHidden(ROW()-1)=TRUE),0,(E786-E785)*unitsOfDHp+I785)</f>
        <v>332120</v>
      </c>
      <c r="J786">
        <f>IF(AND(MyRowHidden(ROW())=FALSE,MyRowHidden(ROW()-1)=TRUE),0,(G786-G785)*unitsOfExo+J785)</f>
        <v>50000</v>
      </c>
      <c r="K786" s="9">
        <f t="shared" si="38"/>
        <v>50000</v>
      </c>
      <c r="L786">
        <f t="shared" si="39"/>
        <v>382120</v>
      </c>
    </row>
    <row r="787" spans="1:12" x14ac:dyDescent="0.25">
      <c r="A787" s="1"/>
      <c r="C787" s="1"/>
      <c r="D787" s="1">
        <v>41822</v>
      </c>
      <c r="E787">
        <v>28172</v>
      </c>
      <c r="F787" s="1">
        <v>41822</v>
      </c>
      <c r="G787">
        <v>-175</v>
      </c>
      <c r="H787" s="1">
        <f t="shared" si="37"/>
        <v>41822</v>
      </c>
      <c r="I787">
        <f>IF(AND(MyRowHidden(ROW())=FALSE,MyRowHidden(ROW()-1)=TRUE),0,(E787-E786)*unitsOfDHp+I786)</f>
        <v>331720</v>
      </c>
      <c r="J787">
        <f>IF(AND(MyRowHidden(ROW())=FALSE,MyRowHidden(ROW()-1)=TRUE),0,(G787-G786)*unitsOfExo+J786)</f>
        <v>48250</v>
      </c>
      <c r="K787" s="9">
        <f t="shared" si="38"/>
        <v>51750</v>
      </c>
      <c r="L787">
        <f t="shared" si="39"/>
        <v>379970</v>
      </c>
    </row>
    <row r="788" spans="1:12" x14ac:dyDescent="0.25">
      <c r="A788" s="1"/>
      <c r="C788" s="1"/>
      <c r="D788" s="1">
        <v>41823</v>
      </c>
      <c r="E788">
        <v>28149</v>
      </c>
      <c r="F788" s="1">
        <v>41823</v>
      </c>
      <c r="G788">
        <v>-225</v>
      </c>
      <c r="H788" s="1">
        <f t="shared" si="37"/>
        <v>41823</v>
      </c>
      <c r="I788">
        <f>IF(AND(MyRowHidden(ROW())=FALSE,MyRowHidden(ROW()-1)=TRUE),0,(E788-E787)*unitsOfDHp+I787)</f>
        <v>331490</v>
      </c>
      <c r="J788">
        <f>IF(AND(MyRowHidden(ROW())=FALSE,MyRowHidden(ROW()-1)=TRUE),0,(G788-G787)*unitsOfExo+J787)</f>
        <v>47750</v>
      </c>
      <c r="K788" s="9">
        <f t="shared" si="38"/>
        <v>52250</v>
      </c>
      <c r="L788">
        <f t="shared" si="39"/>
        <v>379240</v>
      </c>
    </row>
    <row r="789" spans="1:12" x14ac:dyDescent="0.25">
      <c r="A789" s="1"/>
      <c r="C789" s="1"/>
      <c r="D789" s="1">
        <v>41827</v>
      </c>
      <c r="E789">
        <v>27856</v>
      </c>
      <c r="F789" s="1">
        <v>41827</v>
      </c>
      <c r="G789">
        <v>-625</v>
      </c>
      <c r="H789" s="1">
        <f t="shared" si="37"/>
        <v>41827</v>
      </c>
      <c r="I789">
        <f>IF(AND(MyRowHidden(ROW())=FALSE,MyRowHidden(ROW()-1)=TRUE),0,(E789-E788)*unitsOfDHp+I788)</f>
        <v>328560</v>
      </c>
      <c r="J789">
        <f>IF(AND(MyRowHidden(ROW())=FALSE,MyRowHidden(ROW()-1)=TRUE),0,(G789-G788)*unitsOfExo+J788)</f>
        <v>43750</v>
      </c>
      <c r="K789" s="9">
        <f t="shared" si="38"/>
        <v>56250</v>
      </c>
      <c r="L789">
        <f t="shared" si="39"/>
        <v>372310</v>
      </c>
    </row>
    <row r="790" spans="1:12" x14ac:dyDescent="0.25">
      <c r="A790" s="1"/>
      <c r="C790" s="1"/>
      <c r="D790" s="1">
        <v>41828</v>
      </c>
      <c r="E790">
        <v>27695</v>
      </c>
      <c r="F790" s="1">
        <v>41828</v>
      </c>
      <c r="G790">
        <v>-650</v>
      </c>
      <c r="H790" s="1">
        <f t="shared" si="37"/>
        <v>41828</v>
      </c>
      <c r="I790">
        <f>IF(AND(MyRowHidden(ROW())=FALSE,MyRowHidden(ROW()-1)=TRUE),0,(E790-E789)*unitsOfDHp+I789)</f>
        <v>326950</v>
      </c>
      <c r="J790">
        <f>IF(AND(MyRowHidden(ROW())=FALSE,MyRowHidden(ROW()-1)=TRUE),0,(G790-G789)*unitsOfExo+J789)</f>
        <v>43500</v>
      </c>
      <c r="K790" s="9">
        <f t="shared" si="38"/>
        <v>56500</v>
      </c>
      <c r="L790">
        <f t="shared" si="39"/>
        <v>370450</v>
      </c>
    </row>
    <row r="791" spans="1:12" x14ac:dyDescent="0.25">
      <c r="A791" s="1"/>
      <c r="C791" s="1"/>
      <c r="D791" s="1">
        <v>41829</v>
      </c>
      <c r="E791">
        <v>27394</v>
      </c>
      <c r="F791" s="1">
        <v>41829</v>
      </c>
      <c r="G791">
        <v>-862.5</v>
      </c>
      <c r="H791" s="1">
        <f t="shared" si="37"/>
        <v>41829</v>
      </c>
      <c r="I791">
        <f>IF(AND(MyRowHidden(ROW())=FALSE,MyRowHidden(ROW()-1)=TRUE),0,(E791-E790)*unitsOfDHp+I790)</f>
        <v>323940</v>
      </c>
      <c r="J791">
        <f>IF(AND(MyRowHidden(ROW())=FALSE,MyRowHidden(ROW()-1)=TRUE),0,(G791-G790)*unitsOfExo+J790)</f>
        <v>41375</v>
      </c>
      <c r="K791" s="9">
        <f t="shared" si="38"/>
        <v>58625</v>
      </c>
      <c r="L791">
        <f t="shared" si="39"/>
        <v>365315</v>
      </c>
    </row>
    <row r="792" spans="1:12" x14ac:dyDescent="0.25">
      <c r="A792" s="1"/>
      <c r="C792" s="1"/>
      <c r="D792" s="1">
        <v>41830</v>
      </c>
      <c r="E792">
        <v>27253</v>
      </c>
      <c r="F792" s="1">
        <v>41830</v>
      </c>
      <c r="G792">
        <v>-1025</v>
      </c>
      <c r="H792" s="1">
        <f t="shared" si="37"/>
        <v>41830</v>
      </c>
      <c r="I792">
        <f>IF(AND(MyRowHidden(ROW())=FALSE,MyRowHidden(ROW()-1)=TRUE),0,(E792-E791)*unitsOfDHp+I791)</f>
        <v>322530</v>
      </c>
      <c r="J792">
        <f>IF(AND(MyRowHidden(ROW())=FALSE,MyRowHidden(ROW()-1)=TRUE),0,(G792-G791)*unitsOfExo+J791)</f>
        <v>39750</v>
      </c>
      <c r="K792" s="9">
        <f t="shared" si="38"/>
        <v>60250</v>
      </c>
      <c r="L792">
        <f t="shared" si="39"/>
        <v>362280</v>
      </c>
    </row>
    <row r="793" spans="1:12" x14ac:dyDescent="0.25">
      <c r="A793" s="1"/>
      <c r="C793" s="1"/>
      <c r="D793" s="1">
        <v>41831</v>
      </c>
      <c r="E793">
        <v>27205</v>
      </c>
      <c r="F793" s="1">
        <v>41831</v>
      </c>
      <c r="G793">
        <v>-1325</v>
      </c>
      <c r="H793" s="1">
        <f t="shared" si="37"/>
        <v>41831</v>
      </c>
      <c r="I793">
        <f>IF(AND(MyRowHidden(ROW())=FALSE,MyRowHidden(ROW()-1)=TRUE),0,(E793-E792)*unitsOfDHp+I792)</f>
        <v>322050</v>
      </c>
      <c r="J793">
        <f>IF(AND(MyRowHidden(ROW())=FALSE,MyRowHidden(ROW()-1)=TRUE),0,(G793-G792)*unitsOfExo+J792)</f>
        <v>36750</v>
      </c>
      <c r="K793" s="9">
        <f t="shared" si="38"/>
        <v>63250</v>
      </c>
      <c r="L793">
        <f t="shared" si="39"/>
        <v>358800</v>
      </c>
    </row>
    <row r="794" spans="1:12" x14ac:dyDescent="0.25">
      <c r="A794" s="1"/>
      <c r="C794" s="1"/>
      <c r="D794" s="1">
        <v>41834</v>
      </c>
      <c r="E794">
        <v>27098</v>
      </c>
      <c r="F794" s="1">
        <v>41834</v>
      </c>
      <c r="G794">
        <v>-950</v>
      </c>
      <c r="H794" s="1">
        <f t="shared" si="37"/>
        <v>41834</v>
      </c>
      <c r="I794">
        <f>IF(AND(MyRowHidden(ROW())=FALSE,MyRowHidden(ROW()-1)=TRUE),0,(E794-E793)*unitsOfDHp+I793)</f>
        <v>320980</v>
      </c>
      <c r="J794">
        <f>IF(AND(MyRowHidden(ROW())=FALSE,MyRowHidden(ROW()-1)=TRUE),0,(G794-G793)*unitsOfExo+J793)</f>
        <v>40500</v>
      </c>
      <c r="K794" s="9">
        <f t="shared" si="38"/>
        <v>59500</v>
      </c>
      <c r="L794">
        <f t="shared" si="39"/>
        <v>361480</v>
      </c>
    </row>
    <row r="795" spans="1:12" x14ac:dyDescent="0.25">
      <c r="A795" s="1"/>
      <c r="C795" s="1"/>
      <c r="D795" s="1">
        <v>41835</v>
      </c>
      <c r="E795">
        <v>27154</v>
      </c>
      <c r="F795" s="1">
        <v>41835</v>
      </c>
      <c r="G795">
        <v>-1262.5</v>
      </c>
      <c r="H795" s="1">
        <f t="shared" si="37"/>
        <v>41835</v>
      </c>
      <c r="I795">
        <f>IF(AND(MyRowHidden(ROW())=FALSE,MyRowHidden(ROW()-1)=TRUE),0,(E795-E794)*unitsOfDHp+I794)</f>
        <v>321540</v>
      </c>
      <c r="J795">
        <f>IF(AND(MyRowHidden(ROW())=FALSE,MyRowHidden(ROW()-1)=TRUE),0,(G795-G794)*unitsOfExo+J794)</f>
        <v>37375</v>
      </c>
      <c r="K795" s="9">
        <f t="shared" si="38"/>
        <v>62625</v>
      </c>
      <c r="L795">
        <f t="shared" si="39"/>
        <v>358915</v>
      </c>
    </row>
    <row r="796" spans="1:12" x14ac:dyDescent="0.25">
      <c r="A796" s="1"/>
      <c r="C796" s="1"/>
      <c r="D796" s="1">
        <v>41836</v>
      </c>
      <c r="E796">
        <v>27150</v>
      </c>
      <c r="F796" s="1">
        <v>41836</v>
      </c>
      <c r="G796">
        <v>-1200</v>
      </c>
      <c r="H796" s="1">
        <f t="shared" si="37"/>
        <v>41836</v>
      </c>
      <c r="I796">
        <f>IF(AND(MyRowHidden(ROW())=FALSE,MyRowHidden(ROW()-1)=TRUE),0,(E796-E795)*unitsOfDHp+I795)</f>
        <v>321500</v>
      </c>
      <c r="J796">
        <f>IF(AND(MyRowHidden(ROW())=FALSE,MyRowHidden(ROW()-1)=TRUE),0,(G796-G795)*unitsOfExo+J795)</f>
        <v>38000</v>
      </c>
      <c r="K796" s="9">
        <f t="shared" si="38"/>
        <v>62000</v>
      </c>
      <c r="L796">
        <f t="shared" si="39"/>
        <v>359500</v>
      </c>
    </row>
    <row r="797" spans="1:12" x14ac:dyDescent="0.25">
      <c r="A797" s="1"/>
      <c r="C797" s="1"/>
      <c r="D797" s="1">
        <v>41837</v>
      </c>
      <c r="E797">
        <v>27068</v>
      </c>
      <c r="F797" s="1">
        <v>41837</v>
      </c>
      <c r="G797">
        <v>-1025</v>
      </c>
      <c r="H797" s="1">
        <f t="shared" si="37"/>
        <v>41837</v>
      </c>
      <c r="I797">
        <f>IF(AND(MyRowHidden(ROW())=FALSE,MyRowHidden(ROW()-1)=TRUE),0,(E797-E796)*unitsOfDHp+I796)</f>
        <v>320680</v>
      </c>
      <c r="J797">
        <f>IF(AND(MyRowHidden(ROW())=FALSE,MyRowHidden(ROW()-1)=TRUE),0,(G797-G796)*unitsOfExo+J796)</f>
        <v>39750</v>
      </c>
      <c r="K797" s="9">
        <f t="shared" si="38"/>
        <v>60250</v>
      </c>
      <c r="L797">
        <f t="shared" si="39"/>
        <v>360430</v>
      </c>
    </row>
    <row r="798" spans="1:12" x14ac:dyDescent="0.25">
      <c r="A798" s="1"/>
      <c r="C798" s="1"/>
      <c r="D798" s="1">
        <v>41838</v>
      </c>
      <c r="E798">
        <v>27189</v>
      </c>
      <c r="F798" s="1">
        <v>41838</v>
      </c>
      <c r="G798">
        <v>-1400</v>
      </c>
      <c r="H798" s="1">
        <f t="shared" si="37"/>
        <v>41838</v>
      </c>
      <c r="I798">
        <f>IF(AND(MyRowHidden(ROW())=FALSE,MyRowHidden(ROW()-1)=TRUE),0,(E798-E797)*unitsOfDHp+I797)</f>
        <v>321890</v>
      </c>
      <c r="J798">
        <f>IF(AND(MyRowHidden(ROW())=FALSE,MyRowHidden(ROW()-1)=TRUE),0,(G798-G797)*unitsOfExo+J797)</f>
        <v>36000</v>
      </c>
      <c r="K798" s="9">
        <f t="shared" si="38"/>
        <v>64000</v>
      </c>
      <c r="L798">
        <f t="shared" si="39"/>
        <v>357890</v>
      </c>
    </row>
    <row r="799" spans="1:12" x14ac:dyDescent="0.25">
      <c r="A799" s="1"/>
      <c r="C799" s="1"/>
      <c r="D799" s="1">
        <v>41841</v>
      </c>
      <c r="E799">
        <v>27429</v>
      </c>
      <c r="F799" s="1">
        <v>41841</v>
      </c>
      <c r="G799">
        <v>-1750</v>
      </c>
      <c r="H799" s="1">
        <f t="shared" si="37"/>
        <v>41841</v>
      </c>
      <c r="I799">
        <f>IF(AND(MyRowHidden(ROW())=FALSE,MyRowHidden(ROW()-1)=TRUE),0,(E799-E798)*unitsOfDHp+I798)</f>
        <v>324290</v>
      </c>
      <c r="J799">
        <f>IF(AND(MyRowHidden(ROW())=FALSE,MyRowHidden(ROW()-1)=TRUE),0,(G799-G798)*unitsOfExo+J798)</f>
        <v>32500</v>
      </c>
      <c r="K799" s="9">
        <f t="shared" si="38"/>
        <v>67500</v>
      </c>
      <c r="L799">
        <f t="shared" si="39"/>
        <v>356790</v>
      </c>
    </row>
    <row r="800" spans="1:12" x14ac:dyDescent="0.25">
      <c r="A800" s="1"/>
      <c r="C800" s="1"/>
      <c r="D800" s="1">
        <v>41842</v>
      </c>
      <c r="E800">
        <v>27502</v>
      </c>
      <c r="F800" s="1">
        <v>41842</v>
      </c>
      <c r="G800">
        <v>-1950</v>
      </c>
      <c r="H800" s="1">
        <f t="shared" si="37"/>
        <v>41842</v>
      </c>
      <c r="I800">
        <f>IF(AND(MyRowHidden(ROW())=FALSE,MyRowHidden(ROW()-1)=TRUE),0,(E800-E799)*unitsOfDHp+I799)</f>
        <v>325020</v>
      </c>
      <c r="J800">
        <f>IF(AND(MyRowHidden(ROW())=FALSE,MyRowHidden(ROW()-1)=TRUE),0,(G800-G799)*unitsOfExo+J799)</f>
        <v>30500</v>
      </c>
      <c r="K800" s="9">
        <f t="shared" si="38"/>
        <v>69500</v>
      </c>
      <c r="L800">
        <f t="shared" si="39"/>
        <v>355520</v>
      </c>
    </row>
    <row r="801" spans="1:12" x14ac:dyDescent="0.25">
      <c r="A801" s="1"/>
      <c r="C801" s="1"/>
      <c r="D801" s="1">
        <v>41843</v>
      </c>
      <c r="E801">
        <v>27478</v>
      </c>
      <c r="F801" s="1">
        <v>41843</v>
      </c>
      <c r="G801">
        <v>-1900</v>
      </c>
      <c r="H801" s="1">
        <f t="shared" si="37"/>
        <v>41843</v>
      </c>
      <c r="I801">
        <f>IF(AND(MyRowHidden(ROW())=FALSE,MyRowHidden(ROW()-1)=TRUE),0,(E801-E800)*unitsOfDHp+I800)</f>
        <v>324780</v>
      </c>
      <c r="J801">
        <f>IF(AND(MyRowHidden(ROW())=FALSE,MyRowHidden(ROW()-1)=TRUE),0,(G801-G800)*unitsOfExo+J800)</f>
        <v>31000</v>
      </c>
      <c r="K801" s="9">
        <f t="shared" si="38"/>
        <v>69000</v>
      </c>
      <c r="L801">
        <f t="shared" si="39"/>
        <v>355780</v>
      </c>
    </row>
    <row r="802" spans="1:12" x14ac:dyDescent="0.25">
      <c r="A802" s="1"/>
      <c r="C802" s="1"/>
      <c r="D802" s="1">
        <v>41844</v>
      </c>
      <c r="E802">
        <v>27503</v>
      </c>
      <c r="F802" s="1">
        <v>41844</v>
      </c>
      <c r="G802">
        <v>-1975</v>
      </c>
      <c r="H802" s="1">
        <f t="shared" si="37"/>
        <v>41844</v>
      </c>
      <c r="I802">
        <f>IF(AND(MyRowHidden(ROW())=FALSE,MyRowHidden(ROW()-1)=TRUE),0,(E802-E801)*unitsOfDHp+I801)</f>
        <v>325030</v>
      </c>
      <c r="J802">
        <f>IF(AND(MyRowHidden(ROW())=FALSE,MyRowHidden(ROW()-1)=TRUE),0,(G802-G801)*unitsOfExo+J801)</f>
        <v>30250</v>
      </c>
      <c r="K802" s="9">
        <f t="shared" si="38"/>
        <v>69750</v>
      </c>
      <c r="L802">
        <f t="shared" si="39"/>
        <v>355280</v>
      </c>
    </row>
    <row r="803" spans="1:12" x14ac:dyDescent="0.25">
      <c r="A803" s="1"/>
      <c r="C803" s="1"/>
      <c r="D803" s="1">
        <v>41845</v>
      </c>
      <c r="E803">
        <v>27457</v>
      </c>
      <c r="F803" s="1">
        <v>41845</v>
      </c>
      <c r="G803">
        <v>-1887.5</v>
      </c>
      <c r="H803" s="1">
        <f t="shared" si="37"/>
        <v>41845</v>
      </c>
      <c r="I803">
        <f>IF(AND(MyRowHidden(ROW())=FALSE,MyRowHidden(ROW()-1)=TRUE),0,(E803-E802)*unitsOfDHp+I802)</f>
        <v>324570</v>
      </c>
      <c r="J803">
        <f>IF(AND(MyRowHidden(ROW())=FALSE,MyRowHidden(ROW()-1)=TRUE),0,(G803-G802)*unitsOfExo+J802)</f>
        <v>31125</v>
      </c>
      <c r="K803" s="9">
        <f t="shared" si="38"/>
        <v>68875</v>
      </c>
      <c r="L803">
        <f t="shared" si="39"/>
        <v>355695</v>
      </c>
    </row>
    <row r="804" spans="1:12" x14ac:dyDescent="0.25">
      <c r="A804" s="1"/>
      <c r="C804" s="1"/>
      <c r="D804" s="1">
        <v>41848</v>
      </c>
      <c r="E804">
        <v>27276</v>
      </c>
      <c r="F804" s="1">
        <v>41848</v>
      </c>
      <c r="G804">
        <v>-1600</v>
      </c>
      <c r="H804" s="1">
        <f t="shared" si="37"/>
        <v>41848</v>
      </c>
      <c r="I804">
        <f>IF(AND(MyRowHidden(ROW())=FALSE,MyRowHidden(ROW()-1)=TRUE),0,(E804-E803)*unitsOfDHp+I803)</f>
        <v>322760</v>
      </c>
      <c r="J804">
        <f>IF(AND(MyRowHidden(ROW())=FALSE,MyRowHidden(ROW()-1)=TRUE),0,(G804-G803)*unitsOfExo+J803)</f>
        <v>34000</v>
      </c>
      <c r="K804" s="9">
        <f t="shared" si="38"/>
        <v>66000</v>
      </c>
      <c r="L804">
        <f t="shared" si="39"/>
        <v>356760</v>
      </c>
    </row>
    <row r="805" spans="1:12" x14ac:dyDescent="0.25">
      <c r="A805" s="1"/>
      <c r="C805" s="1"/>
      <c r="D805" s="1">
        <v>41849</v>
      </c>
      <c r="E805">
        <v>28154</v>
      </c>
      <c r="F805" s="1">
        <v>41849</v>
      </c>
      <c r="G805">
        <v>-1950</v>
      </c>
      <c r="H805" s="1">
        <f t="shared" si="37"/>
        <v>41849</v>
      </c>
      <c r="I805">
        <f>IF(AND(MyRowHidden(ROW())=FALSE,MyRowHidden(ROW()-1)=TRUE),0,(E805-E804)*unitsOfDHp+I804)</f>
        <v>331540</v>
      </c>
      <c r="J805">
        <f>IF(AND(MyRowHidden(ROW())=FALSE,MyRowHidden(ROW()-1)=TRUE),0,(G805-G804)*unitsOfExo+J804)</f>
        <v>30500</v>
      </c>
      <c r="K805" s="9">
        <f t="shared" si="38"/>
        <v>69500</v>
      </c>
      <c r="L805">
        <f t="shared" si="39"/>
        <v>362040</v>
      </c>
    </row>
    <row r="806" spans="1:12" x14ac:dyDescent="0.25">
      <c r="A806" s="1"/>
      <c r="C806" s="1"/>
      <c r="D806" s="1">
        <v>41850</v>
      </c>
      <c r="E806">
        <v>28275</v>
      </c>
      <c r="F806" s="1">
        <v>41850</v>
      </c>
      <c r="G806">
        <v>-1975</v>
      </c>
      <c r="H806" s="1">
        <f t="shared" si="37"/>
        <v>41850</v>
      </c>
      <c r="I806">
        <f>IF(AND(MyRowHidden(ROW())=FALSE,MyRowHidden(ROW()-1)=TRUE),0,(E806-E805)*unitsOfDHp+I805)</f>
        <v>332750</v>
      </c>
      <c r="J806">
        <f>IF(AND(MyRowHidden(ROW())=FALSE,MyRowHidden(ROW()-1)=TRUE),0,(G806-G805)*unitsOfExo+J805)</f>
        <v>30250</v>
      </c>
      <c r="K806" s="9">
        <f t="shared" si="38"/>
        <v>69750</v>
      </c>
      <c r="L806">
        <f t="shared" si="39"/>
        <v>363000</v>
      </c>
    </row>
    <row r="807" spans="1:12" x14ac:dyDescent="0.25">
      <c r="A807" s="1"/>
      <c r="C807" s="1"/>
      <c r="D807" s="1">
        <v>41851</v>
      </c>
      <c r="E807">
        <v>28423</v>
      </c>
      <c r="F807" s="1">
        <v>41851</v>
      </c>
      <c r="G807">
        <v>-2112.5</v>
      </c>
      <c r="H807" s="1">
        <f t="shared" si="37"/>
        <v>41851</v>
      </c>
      <c r="I807">
        <f>IF(AND(MyRowHidden(ROW())=FALSE,MyRowHidden(ROW()-1)=TRUE),0,(E807-E806)*unitsOfDHp+I806)</f>
        <v>334230</v>
      </c>
      <c r="J807">
        <f>IF(AND(MyRowHidden(ROW())=FALSE,MyRowHidden(ROW()-1)=TRUE),0,(G807-G806)*unitsOfExo+J806)</f>
        <v>28875</v>
      </c>
      <c r="K807" s="9">
        <f t="shared" si="38"/>
        <v>71125</v>
      </c>
      <c r="L807">
        <f t="shared" si="39"/>
        <v>363105</v>
      </c>
    </row>
    <row r="808" spans="1:12" x14ac:dyDescent="0.25">
      <c r="A808" s="1"/>
      <c r="C808" s="1"/>
      <c r="D808" s="1">
        <v>41852</v>
      </c>
      <c r="E808">
        <v>28541</v>
      </c>
      <c r="F808" s="1">
        <v>41852</v>
      </c>
      <c r="G808">
        <v>-2300</v>
      </c>
      <c r="H808" s="1">
        <f t="shared" si="37"/>
        <v>41852</v>
      </c>
      <c r="I808">
        <f>IF(AND(MyRowHidden(ROW())=FALSE,MyRowHidden(ROW()-1)=TRUE),0,(E808-E807)*unitsOfDHp+I807)</f>
        <v>335410</v>
      </c>
      <c r="J808">
        <f>IF(AND(MyRowHidden(ROW())=FALSE,MyRowHidden(ROW()-1)=TRUE),0,(G808-G807)*unitsOfExo+J807)</f>
        <v>27000</v>
      </c>
      <c r="K808" s="9">
        <f t="shared" si="38"/>
        <v>73000</v>
      </c>
      <c r="L808">
        <f t="shared" si="39"/>
        <v>362410</v>
      </c>
    </row>
    <row r="809" spans="1:12" x14ac:dyDescent="0.25">
      <c r="A809" s="1"/>
      <c r="C809" s="1"/>
      <c r="D809" s="1">
        <v>41855</v>
      </c>
      <c r="E809">
        <v>28410</v>
      </c>
      <c r="F809" s="1">
        <v>41855</v>
      </c>
      <c r="G809">
        <v>-2037.5</v>
      </c>
      <c r="H809" s="1">
        <f t="shared" si="37"/>
        <v>41855</v>
      </c>
      <c r="I809">
        <f>IF(AND(MyRowHidden(ROW())=FALSE,MyRowHidden(ROW()-1)=TRUE),0,(E809-E808)*unitsOfDHp+I808)</f>
        <v>334100</v>
      </c>
      <c r="J809">
        <f>IF(AND(MyRowHidden(ROW())=FALSE,MyRowHidden(ROW()-1)=TRUE),0,(G809-G808)*unitsOfExo+J808)</f>
        <v>29625</v>
      </c>
      <c r="K809" s="9">
        <f t="shared" si="38"/>
        <v>70375</v>
      </c>
      <c r="L809">
        <f t="shared" si="39"/>
        <v>363725</v>
      </c>
    </row>
    <row r="810" spans="1:12" x14ac:dyDescent="0.25">
      <c r="A810" s="1"/>
      <c r="C810" s="1"/>
      <c r="D810" s="1">
        <v>41856</v>
      </c>
      <c r="E810">
        <v>28381</v>
      </c>
      <c r="F810" s="1">
        <v>41856</v>
      </c>
      <c r="G810">
        <v>-2262.5</v>
      </c>
      <c r="H810" s="1">
        <f t="shared" si="37"/>
        <v>41856</v>
      </c>
      <c r="I810">
        <f>IF(AND(MyRowHidden(ROW())=FALSE,MyRowHidden(ROW()-1)=TRUE),0,(E810-E809)*unitsOfDHp+I809)</f>
        <v>333810</v>
      </c>
      <c r="J810">
        <f>IF(AND(MyRowHidden(ROW())=FALSE,MyRowHidden(ROW()-1)=TRUE),0,(G810-G809)*unitsOfExo+J809)</f>
        <v>27375</v>
      </c>
      <c r="K810" s="9">
        <f t="shared" si="38"/>
        <v>72625</v>
      </c>
      <c r="L810">
        <f t="shared" si="39"/>
        <v>361185</v>
      </c>
    </row>
    <row r="811" spans="1:12" x14ac:dyDescent="0.25">
      <c r="A811" s="1"/>
      <c r="C811" s="1"/>
      <c r="D811" s="1">
        <v>41857</v>
      </c>
      <c r="E811">
        <v>27985</v>
      </c>
      <c r="F811" s="1">
        <v>41857</v>
      </c>
      <c r="G811">
        <v>-1912.5</v>
      </c>
      <c r="H811" s="1">
        <f t="shared" si="37"/>
        <v>41857</v>
      </c>
      <c r="I811">
        <f>IF(AND(MyRowHidden(ROW())=FALSE,MyRowHidden(ROW()-1)=TRUE),0,(E811-E810)*unitsOfDHp+I810)</f>
        <v>329850</v>
      </c>
      <c r="J811">
        <f>IF(AND(MyRowHidden(ROW())=FALSE,MyRowHidden(ROW()-1)=TRUE),0,(G811-G810)*unitsOfExo+J810)</f>
        <v>30875</v>
      </c>
      <c r="K811" s="9">
        <f t="shared" si="38"/>
        <v>69125</v>
      </c>
      <c r="L811">
        <f t="shared" si="39"/>
        <v>360725</v>
      </c>
    </row>
    <row r="812" spans="1:12" x14ac:dyDescent="0.25">
      <c r="A812" s="1"/>
      <c r="C812" s="1"/>
      <c r="D812" s="1">
        <v>41858</v>
      </c>
      <c r="E812">
        <v>28322</v>
      </c>
      <c r="F812" s="1">
        <v>41858</v>
      </c>
      <c r="G812">
        <v>-2112.5</v>
      </c>
      <c r="H812" s="1">
        <f t="shared" si="37"/>
        <v>41858</v>
      </c>
      <c r="I812">
        <f>IF(AND(MyRowHidden(ROW())=FALSE,MyRowHidden(ROW()-1)=TRUE),0,(E812-E811)*unitsOfDHp+I811)</f>
        <v>333220</v>
      </c>
      <c r="J812">
        <f>IF(AND(MyRowHidden(ROW())=FALSE,MyRowHidden(ROW()-1)=TRUE),0,(G812-G811)*unitsOfExo+J811)</f>
        <v>28875</v>
      </c>
      <c r="K812" s="9">
        <f t="shared" si="38"/>
        <v>71125</v>
      </c>
      <c r="L812">
        <f t="shared" si="39"/>
        <v>362095</v>
      </c>
    </row>
    <row r="813" spans="1:12" x14ac:dyDescent="0.25">
      <c r="A813" s="1"/>
      <c r="C813" s="1"/>
      <c r="D813" s="1">
        <v>41859</v>
      </c>
      <c r="E813">
        <v>29038</v>
      </c>
      <c r="F813" s="1">
        <v>41859</v>
      </c>
      <c r="G813">
        <v>-2400</v>
      </c>
      <c r="H813" s="1">
        <f t="shared" si="37"/>
        <v>41859</v>
      </c>
      <c r="I813">
        <f>IF(AND(MyRowHidden(ROW())=FALSE,MyRowHidden(ROW()-1)=TRUE),0,(E813-E812)*unitsOfDHp+I812)</f>
        <v>340380</v>
      </c>
      <c r="J813">
        <f>IF(AND(MyRowHidden(ROW())=FALSE,MyRowHidden(ROW()-1)=TRUE),0,(G813-G812)*unitsOfExo+J812)</f>
        <v>26000</v>
      </c>
      <c r="K813" s="9">
        <f t="shared" si="38"/>
        <v>74000</v>
      </c>
      <c r="L813">
        <f t="shared" si="39"/>
        <v>366380</v>
      </c>
    </row>
    <row r="814" spans="1:12" x14ac:dyDescent="0.25">
      <c r="A814" s="1"/>
      <c r="C814" s="1"/>
      <c r="D814" s="1">
        <v>41862</v>
      </c>
      <c r="E814">
        <v>28988</v>
      </c>
      <c r="F814" s="1">
        <v>41862</v>
      </c>
      <c r="G814">
        <v>-2225</v>
      </c>
      <c r="H814" s="1">
        <f t="shared" si="37"/>
        <v>41862</v>
      </c>
      <c r="I814">
        <f>IF(AND(MyRowHidden(ROW())=FALSE,MyRowHidden(ROW()-1)=TRUE),0,(E814-E813)*unitsOfDHp+I813)</f>
        <v>339880</v>
      </c>
      <c r="J814">
        <f>IF(AND(MyRowHidden(ROW())=FALSE,MyRowHidden(ROW()-1)=TRUE),0,(G814-G813)*unitsOfExo+J813)</f>
        <v>27750</v>
      </c>
      <c r="K814" s="9">
        <f t="shared" si="38"/>
        <v>72250</v>
      </c>
      <c r="L814">
        <f t="shared" si="39"/>
        <v>367630</v>
      </c>
    </row>
    <row r="815" spans="1:12" x14ac:dyDescent="0.25">
      <c r="A815" s="1"/>
      <c r="C815" s="1"/>
      <c r="D815" s="1">
        <v>41863</v>
      </c>
      <c r="E815">
        <v>29013</v>
      </c>
      <c r="F815" s="1">
        <v>41863</v>
      </c>
      <c r="G815">
        <v>-2050</v>
      </c>
      <c r="H815" s="1">
        <f t="shared" si="37"/>
        <v>41863</v>
      </c>
      <c r="I815">
        <f>IF(AND(MyRowHidden(ROW())=FALSE,MyRowHidden(ROW()-1)=TRUE),0,(E815-E814)*unitsOfDHp+I814)</f>
        <v>340130</v>
      </c>
      <c r="J815">
        <f>IF(AND(MyRowHidden(ROW())=FALSE,MyRowHidden(ROW()-1)=TRUE),0,(G815-G814)*unitsOfExo+J814)</f>
        <v>29500</v>
      </c>
      <c r="K815" s="9">
        <f t="shared" si="38"/>
        <v>70500</v>
      </c>
      <c r="L815">
        <f t="shared" si="39"/>
        <v>369630</v>
      </c>
    </row>
    <row r="816" spans="1:12" x14ac:dyDescent="0.25">
      <c r="A816" s="1"/>
      <c r="C816" s="1"/>
      <c r="D816" s="1">
        <v>41864</v>
      </c>
      <c r="E816">
        <v>29011</v>
      </c>
      <c r="F816" s="1">
        <v>41864</v>
      </c>
      <c r="G816">
        <v>-2087.5</v>
      </c>
      <c r="H816" s="1">
        <f t="shared" si="37"/>
        <v>41864</v>
      </c>
      <c r="I816">
        <f>IF(AND(MyRowHidden(ROW())=FALSE,MyRowHidden(ROW()-1)=TRUE),0,(E816-E815)*unitsOfDHp+I815)</f>
        <v>340110</v>
      </c>
      <c r="J816">
        <f>IF(AND(MyRowHidden(ROW())=FALSE,MyRowHidden(ROW()-1)=TRUE),0,(G816-G815)*unitsOfExo+J815)</f>
        <v>29125</v>
      </c>
      <c r="K816" s="9">
        <f t="shared" si="38"/>
        <v>70875</v>
      </c>
      <c r="L816">
        <f t="shared" si="39"/>
        <v>369235</v>
      </c>
    </row>
    <row r="817" spans="1:12" x14ac:dyDescent="0.25">
      <c r="A817" s="1"/>
      <c r="C817" s="1"/>
      <c r="D817" s="1">
        <v>41865</v>
      </c>
      <c r="E817">
        <v>29106</v>
      </c>
      <c r="F817" s="1">
        <v>41865</v>
      </c>
      <c r="G817">
        <v>-1900</v>
      </c>
      <c r="H817" s="1">
        <f t="shared" si="37"/>
        <v>41865</v>
      </c>
      <c r="I817">
        <f>IF(AND(MyRowHidden(ROW())=FALSE,MyRowHidden(ROW()-1)=TRUE),0,(E817-E816)*unitsOfDHp+I816)</f>
        <v>341060</v>
      </c>
      <c r="J817">
        <f>IF(AND(MyRowHidden(ROW())=FALSE,MyRowHidden(ROW()-1)=TRUE),0,(G817-G816)*unitsOfExo+J816)</f>
        <v>31000</v>
      </c>
      <c r="K817" s="9">
        <f t="shared" si="38"/>
        <v>69000</v>
      </c>
      <c r="L817">
        <f t="shared" si="39"/>
        <v>372060</v>
      </c>
    </row>
    <row r="818" spans="1:12" x14ac:dyDescent="0.25">
      <c r="A818" s="1"/>
      <c r="C818" s="1"/>
      <c r="D818" s="1">
        <v>41866</v>
      </c>
      <c r="E818">
        <v>29050</v>
      </c>
      <c r="F818" s="1">
        <v>41866</v>
      </c>
      <c r="G818">
        <v>-1712.5</v>
      </c>
      <c r="H818" s="1">
        <f t="shared" si="37"/>
        <v>41866</v>
      </c>
      <c r="I818">
        <f>IF(AND(MyRowHidden(ROW())=FALSE,MyRowHidden(ROW()-1)=TRUE),0,(E818-E817)*unitsOfDHp+I817)</f>
        <v>340500</v>
      </c>
      <c r="J818">
        <f>IF(AND(MyRowHidden(ROW())=FALSE,MyRowHidden(ROW()-1)=TRUE),0,(G818-G817)*unitsOfExo+J817)</f>
        <v>32875</v>
      </c>
      <c r="K818" s="9">
        <f t="shared" si="38"/>
        <v>67125</v>
      </c>
      <c r="L818">
        <f t="shared" si="39"/>
        <v>373375</v>
      </c>
    </row>
    <row r="819" spans="1:12" x14ac:dyDescent="0.25">
      <c r="A819" s="1"/>
      <c r="C819" s="1"/>
      <c r="D819" s="1">
        <v>41869</v>
      </c>
      <c r="E819">
        <v>29526</v>
      </c>
      <c r="F819" s="1">
        <v>41869</v>
      </c>
      <c r="G819">
        <v>-1937.5</v>
      </c>
      <c r="H819" s="1">
        <f t="shared" si="37"/>
        <v>41869</v>
      </c>
      <c r="I819">
        <f>IF(AND(MyRowHidden(ROW())=FALSE,MyRowHidden(ROW()-1)=TRUE),0,(E819-E818)*unitsOfDHp+I818)</f>
        <v>345260</v>
      </c>
      <c r="J819">
        <f>IF(AND(MyRowHidden(ROW())=FALSE,MyRowHidden(ROW()-1)=TRUE),0,(G819-G818)*unitsOfExo+J818)</f>
        <v>30625</v>
      </c>
      <c r="K819" s="9">
        <f t="shared" si="38"/>
        <v>69375</v>
      </c>
      <c r="L819">
        <f t="shared" si="39"/>
        <v>375885</v>
      </c>
    </row>
    <row r="820" spans="1:12" x14ac:dyDescent="0.25">
      <c r="A820" s="1"/>
      <c r="C820" s="1"/>
      <c r="D820" s="1">
        <v>41870</v>
      </c>
      <c r="E820">
        <v>29471</v>
      </c>
      <c r="F820" s="1">
        <v>41870</v>
      </c>
      <c r="G820">
        <v>-1925</v>
      </c>
      <c r="H820" s="1">
        <f t="shared" si="37"/>
        <v>41870</v>
      </c>
      <c r="I820">
        <f>IF(AND(MyRowHidden(ROW())=FALSE,MyRowHidden(ROW()-1)=TRUE),0,(E820-E819)*unitsOfDHp+I819)</f>
        <v>344710</v>
      </c>
      <c r="J820">
        <f>IF(AND(MyRowHidden(ROW())=FALSE,MyRowHidden(ROW()-1)=TRUE),0,(G820-G819)*unitsOfExo+J819)</f>
        <v>30750</v>
      </c>
      <c r="K820" s="9">
        <f t="shared" si="38"/>
        <v>69250</v>
      </c>
      <c r="L820">
        <f t="shared" si="39"/>
        <v>375460</v>
      </c>
    </row>
    <row r="821" spans="1:12" x14ac:dyDescent="0.25">
      <c r="A821" s="1"/>
      <c r="C821" s="1"/>
      <c r="D821" s="1">
        <v>41871</v>
      </c>
      <c r="E821">
        <v>29921</v>
      </c>
      <c r="F821" s="1">
        <v>41871</v>
      </c>
      <c r="G821">
        <v>-2075</v>
      </c>
      <c r="H821" s="1">
        <f t="shared" si="37"/>
        <v>41871</v>
      </c>
      <c r="I821">
        <f>IF(AND(MyRowHidden(ROW())=FALSE,MyRowHidden(ROW()-1)=TRUE),0,(E821-E820)*unitsOfDHp+I820)</f>
        <v>349210</v>
      </c>
      <c r="J821">
        <f>IF(AND(MyRowHidden(ROW())=FALSE,MyRowHidden(ROW()-1)=TRUE),0,(G821-G820)*unitsOfExo+J820)</f>
        <v>29250</v>
      </c>
      <c r="K821" s="9">
        <f t="shared" si="38"/>
        <v>70750</v>
      </c>
      <c r="L821">
        <f t="shared" si="39"/>
        <v>378460</v>
      </c>
    </row>
    <row r="822" spans="1:12" x14ac:dyDescent="0.25">
      <c r="A822" s="1"/>
      <c r="C822" s="1"/>
      <c r="D822" s="1">
        <v>41872</v>
      </c>
      <c r="E822">
        <v>29775</v>
      </c>
      <c r="F822" s="1">
        <v>41872</v>
      </c>
      <c r="G822">
        <v>-1850</v>
      </c>
      <c r="H822" s="1">
        <f t="shared" si="37"/>
        <v>41872</v>
      </c>
      <c r="I822">
        <f>IF(AND(MyRowHidden(ROW())=FALSE,MyRowHidden(ROW()-1)=TRUE),0,(E822-E821)*unitsOfDHp+I821)</f>
        <v>347750</v>
      </c>
      <c r="J822">
        <f>IF(AND(MyRowHidden(ROW())=FALSE,MyRowHidden(ROW()-1)=TRUE),0,(G822-G821)*unitsOfExo+J821)</f>
        <v>31500</v>
      </c>
      <c r="K822" s="9">
        <f t="shared" si="38"/>
        <v>68500</v>
      </c>
      <c r="L822">
        <f t="shared" si="39"/>
        <v>379250</v>
      </c>
    </row>
    <row r="823" spans="1:12" x14ac:dyDescent="0.25">
      <c r="A823" s="1"/>
      <c r="C823" s="1"/>
      <c r="D823" s="1">
        <v>41873</v>
      </c>
      <c r="E823">
        <v>29697</v>
      </c>
      <c r="F823" s="1">
        <v>41873</v>
      </c>
      <c r="G823">
        <v>-1687.5</v>
      </c>
      <c r="H823" s="1">
        <f t="shared" si="37"/>
        <v>41873</v>
      </c>
      <c r="I823">
        <f>IF(AND(MyRowHidden(ROW())=FALSE,MyRowHidden(ROW()-1)=TRUE),0,(E823-E822)*unitsOfDHp+I822)</f>
        <v>346970</v>
      </c>
      <c r="J823">
        <f>IF(AND(MyRowHidden(ROW())=FALSE,MyRowHidden(ROW()-1)=TRUE),0,(G823-G822)*unitsOfExo+J822)</f>
        <v>33125</v>
      </c>
      <c r="K823" s="9">
        <f t="shared" si="38"/>
        <v>66875</v>
      </c>
      <c r="L823">
        <f t="shared" si="39"/>
        <v>380095</v>
      </c>
    </row>
    <row r="824" spans="1:12" x14ac:dyDescent="0.25">
      <c r="A824" s="1"/>
      <c r="C824" s="1"/>
      <c r="D824" s="1">
        <v>41876</v>
      </c>
      <c r="E824">
        <v>29830</v>
      </c>
      <c r="F824" s="1">
        <v>41876</v>
      </c>
      <c r="G824">
        <v>-1987.5</v>
      </c>
      <c r="H824" s="1">
        <f t="shared" si="37"/>
        <v>41876</v>
      </c>
      <c r="I824">
        <f>IF(AND(MyRowHidden(ROW())=FALSE,MyRowHidden(ROW()-1)=TRUE),0,(E824-E823)*unitsOfDHp+I823)</f>
        <v>348300</v>
      </c>
      <c r="J824">
        <f>IF(AND(MyRowHidden(ROW())=FALSE,MyRowHidden(ROW()-1)=TRUE),0,(G824-G823)*unitsOfExo+J823)</f>
        <v>30125</v>
      </c>
      <c r="K824" s="9">
        <f t="shared" si="38"/>
        <v>69875</v>
      </c>
      <c r="L824">
        <f t="shared" si="39"/>
        <v>378425</v>
      </c>
    </row>
    <row r="825" spans="1:12" x14ac:dyDescent="0.25">
      <c r="A825" s="1"/>
      <c r="C825" s="1"/>
      <c r="D825" s="1">
        <v>41877</v>
      </c>
      <c r="E825">
        <v>30199</v>
      </c>
      <c r="F825" s="1">
        <v>41877</v>
      </c>
      <c r="G825">
        <v>-2262.5</v>
      </c>
      <c r="H825" s="1">
        <f t="shared" si="37"/>
        <v>41877</v>
      </c>
      <c r="I825">
        <f>IF(AND(MyRowHidden(ROW())=FALSE,MyRowHidden(ROW()-1)=TRUE),0,(E825-E824)*unitsOfDHp+I824)</f>
        <v>351990</v>
      </c>
      <c r="J825">
        <f>IF(AND(MyRowHidden(ROW())=FALSE,MyRowHidden(ROW()-1)=TRUE),0,(G825-G824)*unitsOfExo+J824)</f>
        <v>27375</v>
      </c>
      <c r="K825" s="9">
        <f t="shared" si="38"/>
        <v>72625</v>
      </c>
      <c r="L825">
        <f t="shared" si="39"/>
        <v>379365</v>
      </c>
    </row>
    <row r="826" spans="1:12" x14ac:dyDescent="0.25">
      <c r="A826" s="1"/>
      <c r="C826" s="1"/>
      <c r="D826" s="1">
        <v>41878</v>
      </c>
      <c r="E826">
        <v>30204</v>
      </c>
      <c r="F826" s="1">
        <v>41878</v>
      </c>
      <c r="G826">
        <v>-2262.5</v>
      </c>
      <c r="H826" s="1">
        <f t="shared" si="37"/>
        <v>41878</v>
      </c>
      <c r="I826">
        <f>IF(AND(MyRowHidden(ROW())=FALSE,MyRowHidden(ROW()-1)=TRUE),0,(E826-E825)*unitsOfDHp+I825)</f>
        <v>352040</v>
      </c>
      <c r="J826">
        <f>IF(AND(MyRowHidden(ROW())=FALSE,MyRowHidden(ROW()-1)=TRUE),0,(G826-G825)*unitsOfExo+J825)</f>
        <v>27375</v>
      </c>
      <c r="K826" s="9">
        <f t="shared" si="38"/>
        <v>72625</v>
      </c>
      <c r="L826">
        <f t="shared" si="39"/>
        <v>379415</v>
      </c>
    </row>
    <row r="827" spans="1:12" x14ac:dyDescent="0.25">
      <c r="A827" s="1"/>
      <c r="C827" s="1"/>
      <c r="D827" s="1">
        <v>41879</v>
      </c>
      <c r="E827">
        <v>30207</v>
      </c>
      <c r="F827" s="1">
        <v>41879</v>
      </c>
      <c r="G827">
        <v>-1987.5</v>
      </c>
      <c r="H827" s="1">
        <f t="shared" si="37"/>
        <v>41879</v>
      </c>
      <c r="I827">
        <f>IF(AND(MyRowHidden(ROW())=FALSE,MyRowHidden(ROW()-1)=TRUE),0,(E827-E826)*unitsOfDHp+I826)</f>
        <v>352070</v>
      </c>
      <c r="J827">
        <f>IF(AND(MyRowHidden(ROW())=FALSE,MyRowHidden(ROW()-1)=TRUE),0,(G827-G826)*unitsOfExo+J826)</f>
        <v>30125</v>
      </c>
      <c r="K827" s="9">
        <f t="shared" si="38"/>
        <v>69875</v>
      </c>
      <c r="L827">
        <f t="shared" si="39"/>
        <v>382195</v>
      </c>
    </row>
    <row r="828" spans="1:12" x14ac:dyDescent="0.25">
      <c r="A828" s="1"/>
      <c r="C828" s="1"/>
      <c r="D828" s="1">
        <v>41880</v>
      </c>
      <c r="E828">
        <v>30178</v>
      </c>
      <c r="F828" s="1">
        <v>41880</v>
      </c>
      <c r="G828">
        <v>-2162.5</v>
      </c>
      <c r="H828" s="1">
        <f t="shared" si="37"/>
        <v>41880</v>
      </c>
      <c r="I828">
        <f>IF(AND(MyRowHidden(ROW())=FALSE,MyRowHidden(ROW()-1)=TRUE),0,(E828-E827)*unitsOfDHp+I827)</f>
        <v>351780</v>
      </c>
      <c r="J828">
        <f>IF(AND(MyRowHidden(ROW())=FALSE,MyRowHidden(ROW()-1)=TRUE),0,(G828-G827)*unitsOfExo+J827)</f>
        <v>28375</v>
      </c>
      <c r="K828" s="9">
        <f t="shared" si="38"/>
        <v>71625</v>
      </c>
      <c r="L828">
        <f t="shared" si="39"/>
        <v>380155</v>
      </c>
    </row>
    <row r="829" spans="1:12" x14ac:dyDescent="0.25">
      <c r="A829" s="1"/>
      <c r="C829" s="1"/>
      <c r="D829" s="1">
        <v>41884</v>
      </c>
      <c r="E829">
        <v>30150</v>
      </c>
      <c r="F829" s="1">
        <v>41884</v>
      </c>
      <c r="G829">
        <v>-2212.5</v>
      </c>
      <c r="H829" s="1">
        <f t="shared" si="37"/>
        <v>41884</v>
      </c>
      <c r="I829">
        <f>IF(AND(MyRowHidden(ROW())=FALSE,MyRowHidden(ROW()-1)=TRUE),0,(E829-E828)*unitsOfDHp+I828)</f>
        <v>351500</v>
      </c>
      <c r="J829">
        <f>IF(AND(MyRowHidden(ROW())=FALSE,MyRowHidden(ROW()-1)=TRUE),0,(G829-G828)*unitsOfExo+J828)</f>
        <v>27875</v>
      </c>
      <c r="K829" s="9">
        <f t="shared" si="38"/>
        <v>72125</v>
      </c>
      <c r="L829">
        <f t="shared" si="39"/>
        <v>379375</v>
      </c>
    </row>
    <row r="830" spans="1:12" x14ac:dyDescent="0.25">
      <c r="A830" s="1"/>
      <c r="C830" s="1"/>
      <c r="D830" s="1">
        <v>41885</v>
      </c>
      <c r="E830">
        <v>30440</v>
      </c>
      <c r="F830" s="1">
        <v>41885</v>
      </c>
      <c r="G830">
        <v>-2875</v>
      </c>
      <c r="H830" s="1">
        <f t="shared" si="37"/>
        <v>41885</v>
      </c>
      <c r="I830">
        <f>IF(AND(MyRowHidden(ROW())=FALSE,MyRowHidden(ROW()-1)=TRUE),0,(E830-E829)*unitsOfDHp+I829)</f>
        <v>354400</v>
      </c>
      <c r="J830">
        <f>IF(AND(MyRowHidden(ROW())=FALSE,MyRowHidden(ROW()-1)=TRUE),0,(G830-G829)*unitsOfExo+J829)</f>
        <v>21250</v>
      </c>
      <c r="K830" s="9">
        <f t="shared" si="38"/>
        <v>78750</v>
      </c>
      <c r="L830">
        <f t="shared" si="39"/>
        <v>375650</v>
      </c>
    </row>
    <row r="831" spans="1:12" x14ac:dyDescent="0.25">
      <c r="A831" s="1"/>
      <c r="C831" s="1"/>
      <c r="D831" s="1">
        <v>41886</v>
      </c>
      <c r="E831">
        <v>30490</v>
      </c>
      <c r="F831" s="1">
        <v>41886</v>
      </c>
      <c r="G831">
        <v>-3200</v>
      </c>
      <c r="H831" s="1">
        <f t="shared" si="37"/>
        <v>41886</v>
      </c>
      <c r="I831">
        <f>IF(AND(MyRowHidden(ROW())=FALSE,MyRowHidden(ROW()-1)=TRUE),0,(E831-E830)*unitsOfDHp+I830)</f>
        <v>354900</v>
      </c>
      <c r="J831">
        <f>IF(AND(MyRowHidden(ROW())=FALSE,MyRowHidden(ROW()-1)=TRUE),0,(G831-G830)*unitsOfExo+J830)</f>
        <v>18000</v>
      </c>
      <c r="K831" s="9">
        <f t="shared" si="38"/>
        <v>82000</v>
      </c>
      <c r="L831">
        <f t="shared" si="39"/>
        <v>372900</v>
      </c>
    </row>
    <row r="832" spans="1:12" x14ac:dyDescent="0.25">
      <c r="A832" s="1"/>
      <c r="C832" s="1"/>
      <c r="D832" s="1">
        <v>41887</v>
      </c>
      <c r="E832">
        <v>30400</v>
      </c>
      <c r="F832" s="1">
        <v>41887</v>
      </c>
      <c r="G832">
        <v>-2737.5</v>
      </c>
      <c r="H832" s="1">
        <f t="shared" si="37"/>
        <v>41887</v>
      </c>
      <c r="I832">
        <f>IF(AND(MyRowHidden(ROW())=FALSE,MyRowHidden(ROW()-1)=TRUE),0,(E832-E831)*unitsOfDHp+I831)</f>
        <v>354000</v>
      </c>
      <c r="J832">
        <f>IF(AND(MyRowHidden(ROW())=FALSE,MyRowHidden(ROW()-1)=TRUE),0,(G832-G831)*unitsOfExo+J831)</f>
        <v>22625</v>
      </c>
      <c r="K832" s="9">
        <f t="shared" si="38"/>
        <v>77375</v>
      </c>
      <c r="L832">
        <f t="shared" si="39"/>
        <v>376625</v>
      </c>
    </row>
    <row r="833" spans="1:12" x14ac:dyDescent="0.25">
      <c r="A833" s="1"/>
      <c r="C833" s="1"/>
      <c r="D833" s="1">
        <v>41890</v>
      </c>
      <c r="E833">
        <v>30333</v>
      </c>
      <c r="F833" s="1">
        <v>41890</v>
      </c>
      <c r="G833">
        <v>-3075</v>
      </c>
      <c r="H833" s="1">
        <f t="shared" si="37"/>
        <v>41890</v>
      </c>
      <c r="I833">
        <f>IF(AND(MyRowHidden(ROW())=FALSE,MyRowHidden(ROW()-1)=TRUE),0,(E833-E832)*unitsOfDHp+I832)</f>
        <v>353330</v>
      </c>
      <c r="J833">
        <f>IF(AND(MyRowHidden(ROW())=FALSE,MyRowHidden(ROW()-1)=TRUE),0,(G833-G832)*unitsOfExo+J832)</f>
        <v>19250</v>
      </c>
      <c r="K833" s="9">
        <f t="shared" si="38"/>
        <v>80750</v>
      </c>
      <c r="L833">
        <f t="shared" si="39"/>
        <v>372580</v>
      </c>
    </row>
    <row r="834" spans="1:12" x14ac:dyDescent="0.25">
      <c r="A834" s="1"/>
      <c r="C834" s="1"/>
      <c r="D834" s="1">
        <v>41891</v>
      </c>
      <c r="E834">
        <v>30370</v>
      </c>
      <c r="F834" s="1">
        <v>41891</v>
      </c>
      <c r="G834">
        <v>-3200</v>
      </c>
      <c r="H834" s="1">
        <f t="shared" si="37"/>
        <v>41891</v>
      </c>
      <c r="I834">
        <f>IF(AND(MyRowHidden(ROW())=FALSE,MyRowHidden(ROW()-1)=TRUE),0,(E834-E833)*unitsOfDHp+I833)</f>
        <v>353700</v>
      </c>
      <c r="J834">
        <f>IF(AND(MyRowHidden(ROW())=FALSE,MyRowHidden(ROW()-1)=TRUE),0,(G834-G833)*unitsOfExo+J833)</f>
        <v>18000</v>
      </c>
      <c r="K834" s="9">
        <f t="shared" si="38"/>
        <v>82000</v>
      </c>
      <c r="L834">
        <f t="shared" si="39"/>
        <v>371700</v>
      </c>
    </row>
    <row r="835" spans="1:12" x14ac:dyDescent="0.25">
      <c r="A835" s="1"/>
      <c r="C835" s="1"/>
      <c r="D835" s="1">
        <v>41892</v>
      </c>
      <c r="E835">
        <v>30375</v>
      </c>
      <c r="F835" s="1">
        <v>41892</v>
      </c>
      <c r="G835">
        <v>-3012.5</v>
      </c>
      <c r="H835" s="1">
        <f t="shared" si="37"/>
        <v>41892</v>
      </c>
      <c r="I835">
        <f>IF(AND(MyRowHidden(ROW())=FALSE,MyRowHidden(ROW()-1)=TRUE),0,(E835-E834)*unitsOfDHp+I834)</f>
        <v>353750</v>
      </c>
      <c r="J835">
        <f>IF(AND(MyRowHidden(ROW())=FALSE,MyRowHidden(ROW()-1)=TRUE),0,(G835-G834)*unitsOfExo+J834)</f>
        <v>19875</v>
      </c>
      <c r="K835" s="9">
        <f t="shared" si="38"/>
        <v>80125</v>
      </c>
      <c r="L835">
        <f t="shared" si="39"/>
        <v>373625</v>
      </c>
    </row>
    <row r="836" spans="1:12" x14ac:dyDescent="0.25">
      <c r="A836" s="1"/>
      <c r="C836" s="1"/>
      <c r="D836" s="1">
        <v>41893</v>
      </c>
      <c r="E836">
        <v>30297</v>
      </c>
      <c r="F836" s="1">
        <v>41893</v>
      </c>
      <c r="G836">
        <v>-3387.5</v>
      </c>
      <c r="H836" s="1">
        <f t="shared" si="37"/>
        <v>41893</v>
      </c>
      <c r="I836">
        <f>IF(AND(MyRowHidden(ROW())=FALSE,MyRowHidden(ROW()-1)=TRUE),0,(E836-E835)*unitsOfDHp+I835)</f>
        <v>352970</v>
      </c>
      <c r="J836">
        <f>IF(AND(MyRowHidden(ROW())=FALSE,MyRowHidden(ROW()-1)=TRUE),0,(G836-G835)*unitsOfExo+J835)</f>
        <v>16125</v>
      </c>
      <c r="K836" s="9">
        <f t="shared" si="38"/>
        <v>83875</v>
      </c>
      <c r="L836">
        <f t="shared" si="39"/>
        <v>369095</v>
      </c>
    </row>
    <row r="837" spans="1:12" x14ac:dyDescent="0.25">
      <c r="A837" s="1"/>
      <c r="C837" s="1"/>
      <c r="D837" s="1">
        <v>41894</v>
      </c>
      <c r="E837">
        <v>30352</v>
      </c>
      <c r="F837" s="1">
        <v>41894</v>
      </c>
      <c r="G837">
        <v>-3425</v>
      </c>
      <c r="H837" s="1">
        <f t="shared" si="37"/>
        <v>41894</v>
      </c>
      <c r="I837">
        <f>IF(AND(MyRowHidden(ROW())=FALSE,MyRowHidden(ROW()-1)=TRUE),0,(E837-E836)*unitsOfDHp+I836)</f>
        <v>353520</v>
      </c>
      <c r="J837">
        <f>IF(AND(MyRowHidden(ROW())=FALSE,MyRowHidden(ROW()-1)=TRUE),0,(G837-G836)*unitsOfExo+J836)</f>
        <v>15750</v>
      </c>
      <c r="K837" s="9">
        <f t="shared" si="38"/>
        <v>84250</v>
      </c>
      <c r="L837">
        <f t="shared" si="39"/>
        <v>369270</v>
      </c>
    </row>
    <row r="838" spans="1:12" x14ac:dyDescent="0.25">
      <c r="A838" s="1"/>
      <c r="C838" s="1"/>
      <c r="D838" s="1">
        <v>41897</v>
      </c>
      <c r="E838">
        <v>30428</v>
      </c>
      <c r="F838" s="1">
        <v>41897</v>
      </c>
      <c r="G838">
        <v>-3200</v>
      </c>
      <c r="H838" s="1">
        <f t="shared" si="37"/>
        <v>41897</v>
      </c>
      <c r="I838">
        <f>IF(AND(MyRowHidden(ROW())=FALSE,MyRowHidden(ROW()-1)=TRUE),0,(E838-E837)*unitsOfDHp+I837)</f>
        <v>354280</v>
      </c>
      <c r="J838">
        <f>IF(AND(MyRowHidden(ROW())=FALSE,MyRowHidden(ROW()-1)=TRUE),0,(G838-G837)*unitsOfExo+J837)</f>
        <v>18000</v>
      </c>
      <c r="K838" s="9">
        <f t="shared" si="38"/>
        <v>82000</v>
      </c>
      <c r="L838">
        <f t="shared" si="39"/>
        <v>372280</v>
      </c>
    </row>
    <row r="839" spans="1:12" x14ac:dyDescent="0.25">
      <c r="A839" s="1"/>
      <c r="C839" s="1"/>
      <c r="D839" s="1">
        <v>41898</v>
      </c>
      <c r="E839">
        <v>30425</v>
      </c>
      <c r="F839" s="1">
        <v>41898</v>
      </c>
      <c r="G839">
        <v>-3112.5</v>
      </c>
      <c r="H839" s="1">
        <f t="shared" si="37"/>
        <v>41898</v>
      </c>
      <c r="I839">
        <f>IF(AND(MyRowHidden(ROW())=FALSE,MyRowHidden(ROW()-1)=TRUE),0,(E839-E838)*unitsOfDHp+I838)</f>
        <v>354250</v>
      </c>
      <c r="J839">
        <f>IF(AND(MyRowHidden(ROW())=FALSE,MyRowHidden(ROW()-1)=TRUE),0,(G839-G838)*unitsOfExo+J838)</f>
        <v>18875</v>
      </c>
      <c r="K839" s="9">
        <f t="shared" si="38"/>
        <v>81125</v>
      </c>
      <c r="L839">
        <f t="shared" si="39"/>
        <v>373125</v>
      </c>
    </row>
    <row r="840" spans="1:12" x14ac:dyDescent="0.25">
      <c r="A840" s="1"/>
      <c r="C840" s="1"/>
      <c r="D840" s="1">
        <v>41899</v>
      </c>
      <c r="E840">
        <v>30399</v>
      </c>
      <c r="F840" s="1">
        <v>41899</v>
      </c>
      <c r="G840">
        <v>-3275</v>
      </c>
      <c r="H840" s="1">
        <f t="shared" si="37"/>
        <v>41899</v>
      </c>
      <c r="I840">
        <f>IF(AND(MyRowHidden(ROW())=FALSE,MyRowHidden(ROW()-1)=TRUE),0,(E840-E839)*unitsOfDHp+I839)</f>
        <v>353990</v>
      </c>
      <c r="J840">
        <f>IF(AND(MyRowHidden(ROW())=FALSE,MyRowHidden(ROW()-1)=TRUE),0,(G840-G839)*unitsOfExo+J839)</f>
        <v>17250</v>
      </c>
      <c r="K840" s="9">
        <f t="shared" si="38"/>
        <v>82750</v>
      </c>
      <c r="L840">
        <f t="shared" si="39"/>
        <v>371240</v>
      </c>
    </row>
    <row r="841" spans="1:12" x14ac:dyDescent="0.25">
      <c r="A841" s="1"/>
      <c r="C841" s="1"/>
      <c r="D841" s="1">
        <v>41900</v>
      </c>
      <c r="E841">
        <v>30410</v>
      </c>
      <c r="F841" s="1">
        <v>41900</v>
      </c>
      <c r="G841">
        <v>-3412.5</v>
      </c>
      <c r="H841" s="1">
        <f t="shared" si="37"/>
        <v>41900</v>
      </c>
      <c r="I841">
        <f>IF(AND(MyRowHidden(ROW())=FALSE,MyRowHidden(ROW()-1)=TRUE),0,(E841-E840)*unitsOfDHp+I840)</f>
        <v>354100</v>
      </c>
      <c r="J841">
        <f>IF(AND(MyRowHidden(ROW())=FALSE,MyRowHidden(ROW()-1)=TRUE),0,(G841-G840)*unitsOfExo+J840)</f>
        <v>15875</v>
      </c>
      <c r="K841" s="9">
        <f t="shared" si="38"/>
        <v>84125</v>
      </c>
      <c r="L841">
        <f t="shared" si="39"/>
        <v>369975</v>
      </c>
    </row>
    <row r="842" spans="1:12" x14ac:dyDescent="0.25">
      <c r="A842" s="1"/>
      <c r="C842" s="1"/>
      <c r="D842" s="1">
        <v>41901</v>
      </c>
      <c r="E842">
        <v>30320</v>
      </c>
      <c r="F842" s="1">
        <v>41901</v>
      </c>
      <c r="G842">
        <v>-3712.5</v>
      </c>
      <c r="H842" s="1">
        <f t="shared" si="37"/>
        <v>41901</v>
      </c>
      <c r="I842">
        <f>IF(AND(MyRowHidden(ROW())=FALSE,MyRowHidden(ROW()-1)=TRUE),0,(E842-E841)*unitsOfDHp+I841)</f>
        <v>353200</v>
      </c>
      <c r="J842">
        <f>IF(AND(MyRowHidden(ROW())=FALSE,MyRowHidden(ROW()-1)=TRUE),0,(G842-G841)*unitsOfExo+J841)</f>
        <v>12875</v>
      </c>
      <c r="K842" s="9">
        <f t="shared" si="38"/>
        <v>87125</v>
      </c>
      <c r="L842">
        <f t="shared" si="39"/>
        <v>366075</v>
      </c>
    </row>
    <row r="843" spans="1:12" x14ac:dyDescent="0.25">
      <c r="A843" s="1"/>
      <c r="C843" s="1"/>
      <c r="D843" s="1">
        <v>41904</v>
      </c>
      <c r="E843">
        <v>30157</v>
      </c>
      <c r="F843" s="1">
        <v>41904</v>
      </c>
      <c r="G843">
        <v>-3825</v>
      </c>
      <c r="H843" s="1">
        <f t="shared" si="37"/>
        <v>41904</v>
      </c>
      <c r="I843">
        <f>IF(AND(MyRowHidden(ROW())=FALSE,MyRowHidden(ROW()-1)=TRUE),0,(E843-E842)*unitsOfDHp+I842)</f>
        <v>351570</v>
      </c>
      <c r="J843">
        <f>IF(AND(MyRowHidden(ROW())=FALSE,MyRowHidden(ROW()-1)=TRUE),0,(G843-G842)*unitsOfExo+J842)</f>
        <v>11750</v>
      </c>
      <c r="K843" s="9">
        <f t="shared" si="38"/>
        <v>88250</v>
      </c>
      <c r="L843">
        <f t="shared" si="39"/>
        <v>363320</v>
      </c>
    </row>
    <row r="844" spans="1:12" x14ac:dyDescent="0.25">
      <c r="A844" s="1"/>
      <c r="C844" s="1"/>
      <c r="D844" s="1">
        <v>41905</v>
      </c>
      <c r="E844">
        <v>29602</v>
      </c>
      <c r="F844" s="1">
        <v>41905</v>
      </c>
      <c r="G844">
        <v>-4062.5</v>
      </c>
      <c r="H844" s="1">
        <f t="shared" si="37"/>
        <v>41905</v>
      </c>
      <c r="I844">
        <f>IF(AND(MyRowHidden(ROW())=FALSE,MyRowHidden(ROW()-1)=TRUE),0,(E844-E843)*unitsOfDHp+I843)</f>
        <v>346020</v>
      </c>
      <c r="J844">
        <f>IF(AND(MyRowHidden(ROW())=FALSE,MyRowHidden(ROW()-1)=TRUE),0,(G844-G843)*unitsOfExo+J843)</f>
        <v>9375</v>
      </c>
      <c r="K844" s="9">
        <f t="shared" si="38"/>
        <v>90625</v>
      </c>
      <c r="L844">
        <f t="shared" si="39"/>
        <v>355395</v>
      </c>
    </row>
    <row r="845" spans="1:12" x14ac:dyDescent="0.25">
      <c r="A845" s="1"/>
      <c r="C845" s="1"/>
      <c r="D845" s="1">
        <v>41906</v>
      </c>
      <c r="E845">
        <v>29872</v>
      </c>
      <c r="F845" s="1">
        <v>41906</v>
      </c>
      <c r="G845">
        <v>-3875</v>
      </c>
      <c r="H845" s="1">
        <f t="shared" ref="H845:H908" si="40">D845</f>
        <v>41906</v>
      </c>
      <c r="I845">
        <f>IF(AND(MyRowHidden(ROW())=FALSE,MyRowHidden(ROW()-1)=TRUE),0,(E845-E844)*unitsOfDHp+I844)</f>
        <v>348720</v>
      </c>
      <c r="J845">
        <f>IF(AND(MyRowHidden(ROW())=FALSE,MyRowHidden(ROW()-1)=TRUE),0,(G845-G844)*unitsOfExo+J844)</f>
        <v>11250</v>
      </c>
      <c r="K845" s="9">
        <f t="shared" ref="K845:K908" si="41">-(J845-J844)+K844</f>
        <v>88750</v>
      </c>
      <c r="L845">
        <f t="shared" ref="L845:L908" si="42">I845+J845</f>
        <v>359970</v>
      </c>
    </row>
    <row r="846" spans="1:12" x14ac:dyDescent="0.25">
      <c r="A846" s="1"/>
      <c r="C846" s="1"/>
      <c r="D846" s="1">
        <v>41907</v>
      </c>
      <c r="E846">
        <v>29665</v>
      </c>
      <c r="F846" s="1">
        <v>41907</v>
      </c>
      <c r="G846">
        <v>-4050</v>
      </c>
      <c r="H846" s="1">
        <f t="shared" si="40"/>
        <v>41907</v>
      </c>
      <c r="I846">
        <f>IF(AND(MyRowHidden(ROW())=FALSE,MyRowHidden(ROW()-1)=TRUE),0,(E846-E845)*unitsOfDHp+I845)</f>
        <v>346650</v>
      </c>
      <c r="J846">
        <f>IF(AND(MyRowHidden(ROW())=FALSE,MyRowHidden(ROW()-1)=TRUE),0,(G846-G845)*unitsOfExo+J845)</f>
        <v>9500</v>
      </c>
      <c r="K846" s="9">
        <f t="shared" si="41"/>
        <v>90500</v>
      </c>
      <c r="L846">
        <f t="shared" si="42"/>
        <v>356150</v>
      </c>
    </row>
    <row r="847" spans="1:12" x14ac:dyDescent="0.25">
      <c r="A847" s="1"/>
      <c r="C847" s="1"/>
      <c r="D847" s="1">
        <v>41908</v>
      </c>
      <c r="E847">
        <v>29637</v>
      </c>
      <c r="F847" s="1">
        <v>41908</v>
      </c>
      <c r="G847">
        <v>-4175</v>
      </c>
      <c r="H847" s="1">
        <f t="shared" si="40"/>
        <v>41908</v>
      </c>
      <c r="I847">
        <f>IF(AND(MyRowHidden(ROW())=FALSE,MyRowHidden(ROW()-1)=TRUE),0,(E847-E846)*unitsOfDHp+I846)</f>
        <v>346370</v>
      </c>
      <c r="J847">
        <f>IF(AND(MyRowHidden(ROW())=FALSE,MyRowHidden(ROW()-1)=TRUE),0,(G847-G846)*unitsOfExo+J846)</f>
        <v>8250</v>
      </c>
      <c r="K847" s="9">
        <f t="shared" si="41"/>
        <v>91750</v>
      </c>
      <c r="L847">
        <f t="shared" si="42"/>
        <v>354620</v>
      </c>
    </row>
    <row r="848" spans="1:12" x14ac:dyDescent="0.25">
      <c r="A848" s="1"/>
      <c r="C848" s="1"/>
      <c r="D848" s="1">
        <v>41911</v>
      </c>
      <c r="E848">
        <v>29723</v>
      </c>
      <c r="F848" s="1">
        <v>41911</v>
      </c>
      <c r="G848">
        <v>-4075</v>
      </c>
      <c r="H848" s="1">
        <f t="shared" si="40"/>
        <v>41911</v>
      </c>
      <c r="I848">
        <f>IF(AND(MyRowHidden(ROW())=FALSE,MyRowHidden(ROW()-1)=TRUE),0,(E848-E847)*unitsOfDHp+I847)</f>
        <v>347230</v>
      </c>
      <c r="J848">
        <f>IF(AND(MyRowHidden(ROW())=FALSE,MyRowHidden(ROW()-1)=TRUE),0,(G848-G847)*unitsOfExo+J847)</f>
        <v>9250</v>
      </c>
      <c r="K848" s="9">
        <f t="shared" si="41"/>
        <v>90750</v>
      </c>
      <c r="L848">
        <f t="shared" si="42"/>
        <v>356480</v>
      </c>
    </row>
    <row r="849" spans="1:12" x14ac:dyDescent="0.25">
      <c r="A849" s="1"/>
      <c r="C849" s="1"/>
      <c r="D849" s="1">
        <v>41912</v>
      </c>
      <c r="E849">
        <v>29591</v>
      </c>
      <c r="F849" s="1">
        <v>41912</v>
      </c>
      <c r="G849">
        <v>-4262.5</v>
      </c>
      <c r="H849" s="1">
        <f t="shared" si="40"/>
        <v>41912</v>
      </c>
      <c r="I849">
        <f>IF(AND(MyRowHidden(ROW())=FALSE,MyRowHidden(ROW()-1)=TRUE),0,(E849-E848)*unitsOfDHp+I848)</f>
        <v>345910</v>
      </c>
      <c r="J849">
        <f>IF(AND(MyRowHidden(ROW())=FALSE,MyRowHidden(ROW()-1)=TRUE),0,(G849-G848)*unitsOfExo+J848)</f>
        <v>7375</v>
      </c>
      <c r="K849" s="9">
        <f t="shared" si="41"/>
        <v>92625</v>
      </c>
      <c r="L849">
        <f t="shared" si="42"/>
        <v>353285</v>
      </c>
    </row>
    <row r="850" spans="1:12" x14ac:dyDescent="0.25">
      <c r="A850" s="1"/>
      <c r="C850" s="1"/>
      <c r="D850" s="1">
        <v>41913</v>
      </c>
      <c r="E850">
        <v>29662</v>
      </c>
      <c r="F850" s="1">
        <v>41913</v>
      </c>
      <c r="G850">
        <v>-4287.5</v>
      </c>
      <c r="H850" s="1">
        <f t="shared" si="40"/>
        <v>41913</v>
      </c>
      <c r="I850">
        <f>IF(AND(MyRowHidden(ROW())=FALSE,MyRowHidden(ROW()-1)=TRUE),0,(E850-E849)*unitsOfDHp+I849)</f>
        <v>346620</v>
      </c>
      <c r="J850">
        <f>IF(AND(MyRowHidden(ROW())=FALSE,MyRowHidden(ROW()-1)=TRUE),0,(G850-G849)*unitsOfExo+J849)</f>
        <v>7125</v>
      </c>
      <c r="K850" s="9">
        <f t="shared" si="41"/>
        <v>92875</v>
      </c>
      <c r="L850">
        <f t="shared" si="42"/>
        <v>353745</v>
      </c>
    </row>
    <row r="851" spans="1:12" x14ac:dyDescent="0.25">
      <c r="A851" s="1"/>
      <c r="C851" s="1"/>
      <c r="D851" s="1">
        <v>41914</v>
      </c>
      <c r="E851">
        <v>29669</v>
      </c>
      <c r="F851" s="1">
        <v>41914</v>
      </c>
      <c r="G851">
        <v>-4275</v>
      </c>
      <c r="H851" s="1">
        <f t="shared" si="40"/>
        <v>41914</v>
      </c>
      <c r="I851">
        <f>IF(AND(MyRowHidden(ROW())=FALSE,MyRowHidden(ROW()-1)=TRUE),0,(E851-E850)*unitsOfDHp+I850)</f>
        <v>346690</v>
      </c>
      <c r="J851">
        <f>IF(AND(MyRowHidden(ROW())=FALSE,MyRowHidden(ROW()-1)=TRUE),0,(G851-G850)*unitsOfExo+J850)</f>
        <v>7250</v>
      </c>
      <c r="K851" s="9">
        <f t="shared" si="41"/>
        <v>92750</v>
      </c>
      <c r="L851">
        <f t="shared" si="42"/>
        <v>353940</v>
      </c>
    </row>
    <row r="852" spans="1:12" x14ac:dyDescent="0.25">
      <c r="A852" s="1"/>
      <c r="C852" s="1"/>
      <c r="D852" s="1">
        <v>41915</v>
      </c>
      <c r="E852">
        <v>29715</v>
      </c>
      <c r="F852" s="1">
        <v>41915</v>
      </c>
      <c r="G852">
        <v>-4200</v>
      </c>
      <c r="H852" s="1">
        <f t="shared" si="40"/>
        <v>41915</v>
      </c>
      <c r="I852">
        <f>IF(AND(MyRowHidden(ROW())=FALSE,MyRowHidden(ROW()-1)=TRUE),0,(E852-E851)*unitsOfDHp+I851)</f>
        <v>347150</v>
      </c>
      <c r="J852">
        <f>IF(AND(MyRowHidden(ROW())=FALSE,MyRowHidden(ROW()-1)=TRUE),0,(G852-G851)*unitsOfExo+J851)</f>
        <v>8000</v>
      </c>
      <c r="K852" s="9">
        <f t="shared" si="41"/>
        <v>92000</v>
      </c>
      <c r="L852">
        <f t="shared" si="42"/>
        <v>355150</v>
      </c>
    </row>
    <row r="853" spans="1:12" x14ac:dyDescent="0.25">
      <c r="A853" s="1"/>
      <c r="C853" s="1"/>
      <c r="D853" s="1">
        <v>41918</v>
      </c>
      <c r="E853">
        <v>29721</v>
      </c>
      <c r="F853" s="1">
        <v>41918</v>
      </c>
      <c r="G853">
        <v>-3750</v>
      </c>
      <c r="H853" s="1">
        <f t="shared" si="40"/>
        <v>41918</v>
      </c>
      <c r="I853">
        <f>IF(AND(MyRowHidden(ROW())=FALSE,MyRowHidden(ROW()-1)=TRUE),0,(E853-E852)*unitsOfDHp+I852)</f>
        <v>347210</v>
      </c>
      <c r="J853">
        <f>IF(AND(MyRowHidden(ROW())=FALSE,MyRowHidden(ROW()-1)=TRUE),0,(G853-G852)*unitsOfExo+J852)</f>
        <v>12500</v>
      </c>
      <c r="K853" s="9">
        <f t="shared" si="41"/>
        <v>87500</v>
      </c>
      <c r="L853">
        <f t="shared" si="42"/>
        <v>359710</v>
      </c>
    </row>
    <row r="854" spans="1:12" x14ac:dyDescent="0.25">
      <c r="A854" s="1"/>
      <c r="C854" s="1"/>
      <c r="D854" s="1">
        <v>41919</v>
      </c>
      <c r="E854">
        <v>28792</v>
      </c>
      <c r="F854" s="1">
        <v>41919</v>
      </c>
      <c r="G854">
        <v>-3375</v>
      </c>
      <c r="H854" s="1">
        <f t="shared" si="40"/>
        <v>41919</v>
      </c>
      <c r="I854">
        <f>IF(AND(MyRowHidden(ROW())=FALSE,MyRowHidden(ROW()-1)=TRUE),0,(E854-E853)*unitsOfDHp+I853)</f>
        <v>337920</v>
      </c>
      <c r="J854">
        <f>IF(AND(MyRowHidden(ROW())=FALSE,MyRowHidden(ROW()-1)=TRUE),0,(G854-G853)*unitsOfExo+J853)</f>
        <v>16250</v>
      </c>
      <c r="K854" s="9">
        <f t="shared" si="41"/>
        <v>83750</v>
      </c>
      <c r="L854">
        <f t="shared" si="42"/>
        <v>354170</v>
      </c>
    </row>
    <row r="855" spans="1:12" x14ac:dyDescent="0.25">
      <c r="A855" s="1"/>
      <c r="C855" s="1"/>
      <c r="D855" s="1">
        <v>41920</v>
      </c>
      <c r="E855">
        <v>28567</v>
      </c>
      <c r="F855" s="1">
        <v>41920</v>
      </c>
      <c r="G855">
        <v>-3237.5</v>
      </c>
      <c r="H855" s="1">
        <f t="shared" si="40"/>
        <v>41920</v>
      </c>
      <c r="I855">
        <f>IF(AND(MyRowHidden(ROW())=FALSE,MyRowHidden(ROW()-1)=TRUE),0,(E855-E854)*unitsOfDHp+I854)</f>
        <v>335670</v>
      </c>
      <c r="J855">
        <f>IF(AND(MyRowHidden(ROW())=FALSE,MyRowHidden(ROW()-1)=TRUE),0,(G855-G854)*unitsOfExo+J854)</f>
        <v>17625</v>
      </c>
      <c r="K855" s="9">
        <f t="shared" si="41"/>
        <v>82375</v>
      </c>
      <c r="L855">
        <f t="shared" si="42"/>
        <v>353295</v>
      </c>
    </row>
    <row r="856" spans="1:12" x14ac:dyDescent="0.25">
      <c r="A856" s="1"/>
      <c r="C856" s="1"/>
      <c r="D856" s="1">
        <v>41921</v>
      </c>
      <c r="E856">
        <v>28392</v>
      </c>
      <c r="F856" s="1">
        <v>41921</v>
      </c>
      <c r="G856">
        <v>-3075</v>
      </c>
      <c r="H856" s="1">
        <f t="shared" si="40"/>
        <v>41921</v>
      </c>
      <c r="I856">
        <f>IF(AND(MyRowHidden(ROW())=FALSE,MyRowHidden(ROW()-1)=TRUE),0,(E856-E855)*unitsOfDHp+I855)</f>
        <v>333920</v>
      </c>
      <c r="J856">
        <f>IF(AND(MyRowHidden(ROW())=FALSE,MyRowHidden(ROW()-1)=TRUE),0,(G856-G855)*unitsOfExo+J855)</f>
        <v>19250</v>
      </c>
      <c r="K856" s="9">
        <f t="shared" si="41"/>
        <v>80750</v>
      </c>
      <c r="L856">
        <f t="shared" si="42"/>
        <v>353170</v>
      </c>
    </row>
    <row r="857" spans="1:12" x14ac:dyDescent="0.25">
      <c r="A857" s="1"/>
      <c r="C857" s="1"/>
      <c r="D857" s="1">
        <v>41922</v>
      </c>
      <c r="E857">
        <v>29001</v>
      </c>
      <c r="F857" s="1">
        <v>41922</v>
      </c>
      <c r="G857">
        <v>-3712.5</v>
      </c>
      <c r="H857" s="1">
        <f t="shared" si="40"/>
        <v>41922</v>
      </c>
      <c r="I857">
        <f>IF(AND(MyRowHidden(ROW())=FALSE,MyRowHidden(ROW()-1)=TRUE),0,(E857-E856)*unitsOfDHp+I856)</f>
        <v>340010</v>
      </c>
      <c r="J857">
        <f>IF(AND(MyRowHidden(ROW())=FALSE,MyRowHidden(ROW()-1)=TRUE),0,(G857-G856)*unitsOfExo+J856)</f>
        <v>12875</v>
      </c>
      <c r="K857" s="9">
        <f t="shared" si="41"/>
        <v>87125</v>
      </c>
      <c r="L857">
        <f t="shared" si="42"/>
        <v>352885</v>
      </c>
    </row>
    <row r="858" spans="1:12" x14ac:dyDescent="0.25">
      <c r="A858" s="1"/>
      <c r="C858" s="1"/>
      <c r="D858" s="1">
        <v>41926</v>
      </c>
      <c r="E858">
        <v>28217</v>
      </c>
      <c r="F858" s="1">
        <v>41926</v>
      </c>
      <c r="G858">
        <v>-2612.5</v>
      </c>
      <c r="H858" s="1">
        <f t="shared" si="40"/>
        <v>41926</v>
      </c>
      <c r="I858">
        <f>IF(AND(MyRowHidden(ROW())=FALSE,MyRowHidden(ROW()-1)=TRUE),0,(E858-E857)*unitsOfDHp+I857)</f>
        <v>332170</v>
      </c>
      <c r="J858">
        <f>IF(AND(MyRowHidden(ROW())=FALSE,MyRowHidden(ROW()-1)=TRUE),0,(G858-G857)*unitsOfExo+J857)</f>
        <v>23875</v>
      </c>
      <c r="K858" s="9">
        <f t="shared" si="41"/>
        <v>76125</v>
      </c>
      <c r="L858">
        <f t="shared" si="42"/>
        <v>356045</v>
      </c>
    </row>
    <row r="859" spans="1:12" x14ac:dyDescent="0.25">
      <c r="A859" s="1"/>
      <c r="C859" s="1"/>
      <c r="D859" s="1">
        <v>41927</v>
      </c>
      <c r="E859">
        <v>28798</v>
      </c>
      <c r="F859" s="1">
        <v>41927</v>
      </c>
      <c r="G859">
        <v>-2925</v>
      </c>
      <c r="H859" s="1">
        <f t="shared" si="40"/>
        <v>41927</v>
      </c>
      <c r="I859">
        <f>IF(AND(MyRowHidden(ROW())=FALSE,MyRowHidden(ROW()-1)=TRUE),0,(E859-E858)*unitsOfDHp+I858)</f>
        <v>337980</v>
      </c>
      <c r="J859">
        <f>IF(AND(MyRowHidden(ROW())=FALSE,MyRowHidden(ROW()-1)=TRUE),0,(G859-G858)*unitsOfExo+J858)</f>
        <v>20750</v>
      </c>
      <c r="K859" s="9">
        <f t="shared" si="41"/>
        <v>79250</v>
      </c>
      <c r="L859">
        <f t="shared" si="42"/>
        <v>358730</v>
      </c>
    </row>
    <row r="860" spans="1:12" x14ac:dyDescent="0.25">
      <c r="A860" s="1"/>
      <c r="C860" s="1"/>
      <c r="D860" s="1">
        <v>41928</v>
      </c>
      <c r="E860">
        <v>28473</v>
      </c>
      <c r="F860" s="1">
        <v>41928</v>
      </c>
      <c r="G860">
        <v>-2787.5</v>
      </c>
      <c r="H860" s="1">
        <f t="shared" si="40"/>
        <v>41928</v>
      </c>
      <c r="I860">
        <f>IF(AND(MyRowHidden(ROW())=FALSE,MyRowHidden(ROW()-1)=TRUE),0,(E860-E859)*unitsOfDHp+I859)</f>
        <v>334730</v>
      </c>
      <c r="J860">
        <f>IF(AND(MyRowHidden(ROW())=FALSE,MyRowHidden(ROW()-1)=TRUE),0,(G860-G859)*unitsOfExo+J859)</f>
        <v>22125</v>
      </c>
      <c r="K860" s="9">
        <f t="shared" si="41"/>
        <v>77875</v>
      </c>
      <c r="L860">
        <f t="shared" si="42"/>
        <v>356855</v>
      </c>
    </row>
    <row r="861" spans="1:12" x14ac:dyDescent="0.25">
      <c r="A861" s="1"/>
      <c r="C861" s="1"/>
      <c r="D861" s="1">
        <v>41929</v>
      </c>
      <c r="E861">
        <v>28813</v>
      </c>
      <c r="F861" s="1">
        <v>41929</v>
      </c>
      <c r="G861">
        <v>-2962.5</v>
      </c>
      <c r="H861" s="1">
        <f t="shared" si="40"/>
        <v>41929</v>
      </c>
      <c r="I861">
        <f>IF(AND(MyRowHidden(ROW())=FALSE,MyRowHidden(ROW()-1)=TRUE),0,(E861-E860)*unitsOfDHp+I860)</f>
        <v>338130</v>
      </c>
      <c r="J861">
        <f>IF(AND(MyRowHidden(ROW())=FALSE,MyRowHidden(ROW()-1)=TRUE),0,(G861-G860)*unitsOfExo+J860)</f>
        <v>20375</v>
      </c>
      <c r="K861" s="9">
        <f t="shared" si="41"/>
        <v>79625</v>
      </c>
      <c r="L861">
        <f t="shared" si="42"/>
        <v>358505</v>
      </c>
    </row>
    <row r="862" spans="1:12" x14ac:dyDescent="0.25">
      <c r="A862" s="1"/>
      <c r="C862" s="1"/>
      <c r="D862" s="1">
        <v>41932</v>
      </c>
      <c r="E862">
        <v>28921</v>
      </c>
      <c r="F862" s="1">
        <v>41932</v>
      </c>
      <c r="G862">
        <v>-2987.5</v>
      </c>
      <c r="H862" s="1">
        <f t="shared" si="40"/>
        <v>41932</v>
      </c>
      <c r="I862">
        <f>IF(AND(MyRowHidden(ROW())=FALSE,MyRowHidden(ROW()-1)=TRUE),0,(E862-E861)*unitsOfDHp+I861)</f>
        <v>339210</v>
      </c>
      <c r="J862">
        <f>IF(AND(MyRowHidden(ROW())=FALSE,MyRowHidden(ROW()-1)=TRUE),0,(G862-G861)*unitsOfExo+J861)</f>
        <v>20125</v>
      </c>
      <c r="K862" s="9">
        <f t="shared" si="41"/>
        <v>79875</v>
      </c>
      <c r="L862">
        <f t="shared" si="42"/>
        <v>359335</v>
      </c>
    </row>
    <row r="863" spans="1:12" x14ac:dyDescent="0.25">
      <c r="A863" s="1"/>
      <c r="C863" s="1"/>
      <c r="D863" s="1">
        <v>41933</v>
      </c>
      <c r="E863">
        <v>28383</v>
      </c>
      <c r="F863" s="1">
        <v>41933</v>
      </c>
      <c r="G863">
        <v>-2512.5</v>
      </c>
      <c r="H863" s="1">
        <f t="shared" si="40"/>
        <v>41933</v>
      </c>
      <c r="I863">
        <f>IF(AND(MyRowHidden(ROW())=FALSE,MyRowHidden(ROW()-1)=TRUE),0,(E863-E862)*unitsOfDHp+I862)</f>
        <v>333830</v>
      </c>
      <c r="J863">
        <f>IF(AND(MyRowHidden(ROW())=FALSE,MyRowHidden(ROW()-1)=TRUE),0,(G863-G862)*unitsOfExo+J862)</f>
        <v>24875</v>
      </c>
      <c r="K863" s="9">
        <f t="shared" si="41"/>
        <v>75125</v>
      </c>
      <c r="L863">
        <f t="shared" si="42"/>
        <v>358705</v>
      </c>
    </row>
    <row r="864" spans="1:12" x14ac:dyDescent="0.25">
      <c r="A864" s="1"/>
      <c r="C864" s="1"/>
      <c r="D864" s="1">
        <v>41934</v>
      </c>
      <c r="E864">
        <v>28393</v>
      </c>
      <c r="F864" s="1">
        <v>41934</v>
      </c>
      <c r="G864">
        <v>-2675</v>
      </c>
      <c r="H864" s="1">
        <f t="shared" si="40"/>
        <v>41934</v>
      </c>
      <c r="I864">
        <f>IF(AND(MyRowHidden(ROW())=FALSE,MyRowHidden(ROW()-1)=TRUE),0,(E864-E863)*unitsOfDHp+I863)</f>
        <v>333930</v>
      </c>
      <c r="J864">
        <f>IF(AND(MyRowHidden(ROW())=FALSE,MyRowHidden(ROW()-1)=TRUE),0,(G864-G863)*unitsOfExo+J863)</f>
        <v>23250</v>
      </c>
      <c r="K864" s="9">
        <f t="shared" si="41"/>
        <v>76750</v>
      </c>
      <c r="L864">
        <f t="shared" si="42"/>
        <v>357180</v>
      </c>
    </row>
    <row r="865" spans="1:12" x14ac:dyDescent="0.25">
      <c r="A865" s="1"/>
      <c r="C865" s="1"/>
      <c r="D865" s="1">
        <v>41935</v>
      </c>
      <c r="E865">
        <v>28442</v>
      </c>
      <c r="F865" s="1">
        <v>41935</v>
      </c>
      <c r="G865">
        <v>-2387.5</v>
      </c>
      <c r="H865" s="1">
        <f t="shared" si="40"/>
        <v>41935</v>
      </c>
      <c r="I865">
        <f>IF(AND(MyRowHidden(ROW())=FALSE,MyRowHidden(ROW()-1)=TRUE),0,(E865-E864)*unitsOfDHp+I864)</f>
        <v>334420</v>
      </c>
      <c r="J865">
        <f>IF(AND(MyRowHidden(ROW())=FALSE,MyRowHidden(ROW()-1)=TRUE),0,(G865-G864)*unitsOfExo+J864)</f>
        <v>26125</v>
      </c>
      <c r="K865" s="9">
        <f t="shared" si="41"/>
        <v>73875</v>
      </c>
      <c r="L865">
        <f t="shared" si="42"/>
        <v>360545</v>
      </c>
    </row>
    <row r="866" spans="1:12" x14ac:dyDescent="0.25">
      <c r="A866" s="1"/>
      <c r="C866" s="1"/>
      <c r="D866" s="1">
        <v>41936</v>
      </c>
      <c r="E866">
        <v>28448</v>
      </c>
      <c r="F866" s="1">
        <v>41936</v>
      </c>
      <c r="G866">
        <v>-2687.5</v>
      </c>
      <c r="H866" s="1">
        <f t="shared" si="40"/>
        <v>41936</v>
      </c>
      <c r="I866">
        <f>IF(AND(MyRowHidden(ROW())=FALSE,MyRowHidden(ROW()-1)=TRUE),0,(E866-E865)*unitsOfDHp+I865)</f>
        <v>334480</v>
      </c>
      <c r="J866">
        <f>IF(AND(MyRowHidden(ROW())=FALSE,MyRowHidden(ROW()-1)=TRUE),0,(G866-G865)*unitsOfExo+J865)</f>
        <v>23125</v>
      </c>
      <c r="K866" s="9">
        <f t="shared" si="41"/>
        <v>76875</v>
      </c>
      <c r="L866">
        <f t="shared" si="42"/>
        <v>357605</v>
      </c>
    </row>
    <row r="867" spans="1:12" x14ac:dyDescent="0.25">
      <c r="A867" s="1"/>
      <c r="C867" s="1"/>
      <c r="D867" s="1">
        <v>41939</v>
      </c>
      <c r="E867">
        <v>28521</v>
      </c>
      <c r="F867" s="1">
        <v>41939</v>
      </c>
      <c r="G867">
        <v>-2312.5</v>
      </c>
      <c r="H867" s="1">
        <f t="shared" si="40"/>
        <v>41939</v>
      </c>
      <c r="I867">
        <f>IF(AND(MyRowHidden(ROW())=FALSE,MyRowHidden(ROW()-1)=TRUE),0,(E867-E866)*unitsOfDHp+I866)</f>
        <v>335210</v>
      </c>
      <c r="J867">
        <f>IF(AND(MyRowHidden(ROW())=FALSE,MyRowHidden(ROW()-1)=TRUE),0,(G867-G866)*unitsOfExo+J866)</f>
        <v>26875</v>
      </c>
      <c r="K867" s="9">
        <f t="shared" si="41"/>
        <v>73125</v>
      </c>
      <c r="L867">
        <f t="shared" si="42"/>
        <v>362085</v>
      </c>
    </row>
    <row r="868" spans="1:12" x14ac:dyDescent="0.25">
      <c r="A868" s="1"/>
      <c r="C868" s="1"/>
      <c r="D868" s="1">
        <v>41940</v>
      </c>
      <c r="E868">
        <v>28384</v>
      </c>
      <c r="F868" s="1">
        <v>41940</v>
      </c>
      <c r="G868">
        <v>-2137.5</v>
      </c>
      <c r="H868" s="1">
        <f t="shared" si="40"/>
        <v>41940</v>
      </c>
      <c r="I868">
        <f>IF(AND(MyRowHidden(ROW())=FALSE,MyRowHidden(ROW()-1)=TRUE),0,(E868-E867)*unitsOfDHp+I867)</f>
        <v>333840</v>
      </c>
      <c r="J868">
        <f>IF(AND(MyRowHidden(ROW())=FALSE,MyRowHidden(ROW()-1)=TRUE),0,(G868-G867)*unitsOfExo+J867)</f>
        <v>28625</v>
      </c>
      <c r="K868" s="9">
        <f t="shared" si="41"/>
        <v>71375</v>
      </c>
      <c r="L868">
        <f t="shared" si="42"/>
        <v>362465</v>
      </c>
    </row>
    <row r="869" spans="1:12" x14ac:dyDescent="0.25">
      <c r="A869" s="1"/>
      <c r="C869" s="1"/>
      <c r="D869" s="1">
        <v>41941</v>
      </c>
      <c r="E869">
        <v>28050</v>
      </c>
      <c r="F869" s="1">
        <v>41941</v>
      </c>
      <c r="G869">
        <v>-1712.5</v>
      </c>
      <c r="H869" s="1">
        <f t="shared" si="40"/>
        <v>41941</v>
      </c>
      <c r="I869">
        <f>IF(AND(MyRowHidden(ROW())=FALSE,MyRowHidden(ROW()-1)=TRUE),0,(E869-E868)*unitsOfDHp+I868)</f>
        <v>330500</v>
      </c>
      <c r="J869">
        <f>IF(AND(MyRowHidden(ROW())=FALSE,MyRowHidden(ROW()-1)=TRUE),0,(G869-G868)*unitsOfExo+J868)</f>
        <v>32875</v>
      </c>
      <c r="K869" s="9">
        <f t="shared" si="41"/>
        <v>67125</v>
      </c>
      <c r="L869">
        <f t="shared" si="42"/>
        <v>363375</v>
      </c>
    </row>
    <row r="870" spans="1:12" x14ac:dyDescent="0.25">
      <c r="A870" s="1"/>
      <c r="C870" s="1"/>
      <c r="D870" s="1">
        <v>41942</v>
      </c>
      <c r="E870">
        <v>27906</v>
      </c>
      <c r="F870" s="1">
        <v>41942</v>
      </c>
      <c r="G870">
        <v>-1562.5</v>
      </c>
      <c r="H870" s="1">
        <f t="shared" si="40"/>
        <v>41942</v>
      </c>
      <c r="I870">
        <f>IF(AND(MyRowHidden(ROW())=FALSE,MyRowHidden(ROW()-1)=TRUE),0,(E870-E869)*unitsOfDHp+I869)</f>
        <v>329060</v>
      </c>
      <c r="J870">
        <f>IF(AND(MyRowHidden(ROW())=FALSE,MyRowHidden(ROW()-1)=TRUE),0,(G870-G869)*unitsOfExo+J869)</f>
        <v>34375</v>
      </c>
      <c r="K870" s="9">
        <f t="shared" si="41"/>
        <v>65625</v>
      </c>
      <c r="L870">
        <f t="shared" si="42"/>
        <v>363435</v>
      </c>
    </row>
    <row r="871" spans="1:12" x14ac:dyDescent="0.25">
      <c r="A871" s="1"/>
      <c r="C871" s="1"/>
      <c r="D871" s="1">
        <v>41943</v>
      </c>
      <c r="E871">
        <v>27999</v>
      </c>
      <c r="F871" s="1">
        <v>41943</v>
      </c>
      <c r="G871">
        <v>-1712.5</v>
      </c>
      <c r="H871" s="1">
        <f t="shared" si="40"/>
        <v>41943</v>
      </c>
      <c r="I871">
        <f>IF(AND(MyRowHidden(ROW())=FALSE,MyRowHidden(ROW()-1)=TRUE),0,(E871-E870)*unitsOfDHp+I870)</f>
        <v>329990</v>
      </c>
      <c r="J871">
        <f>IF(AND(MyRowHidden(ROW())=FALSE,MyRowHidden(ROW()-1)=TRUE),0,(G871-G870)*unitsOfExo+J870)</f>
        <v>32875</v>
      </c>
      <c r="K871" s="9">
        <f t="shared" si="41"/>
        <v>67125</v>
      </c>
      <c r="L871">
        <f t="shared" si="42"/>
        <v>362865</v>
      </c>
    </row>
    <row r="872" spans="1:12" x14ac:dyDescent="0.25">
      <c r="A872" s="1"/>
      <c r="C872" s="1"/>
      <c r="D872" s="1">
        <v>41946</v>
      </c>
      <c r="E872">
        <v>28109</v>
      </c>
      <c r="F872" s="1">
        <v>41946</v>
      </c>
      <c r="G872">
        <v>-1775</v>
      </c>
      <c r="H872" s="1">
        <f t="shared" si="40"/>
        <v>41946</v>
      </c>
      <c r="I872">
        <f>IF(AND(MyRowHidden(ROW())=FALSE,MyRowHidden(ROW()-1)=TRUE),0,(E872-E871)*unitsOfDHp+I871)</f>
        <v>331090</v>
      </c>
      <c r="J872">
        <f>IF(AND(MyRowHidden(ROW())=FALSE,MyRowHidden(ROW()-1)=TRUE),0,(G872-G871)*unitsOfExo+J871)</f>
        <v>32250</v>
      </c>
      <c r="K872" s="9">
        <f t="shared" si="41"/>
        <v>67750</v>
      </c>
      <c r="L872">
        <f t="shared" si="42"/>
        <v>363340</v>
      </c>
    </row>
    <row r="873" spans="1:12" x14ac:dyDescent="0.25">
      <c r="A873" s="1"/>
      <c r="C873" s="1"/>
      <c r="D873" s="1">
        <v>41947</v>
      </c>
      <c r="E873">
        <v>28363</v>
      </c>
      <c r="F873" s="1">
        <v>41947</v>
      </c>
      <c r="G873">
        <v>-2062.5</v>
      </c>
      <c r="H873" s="1">
        <f t="shared" si="40"/>
        <v>41947</v>
      </c>
      <c r="I873">
        <f>IF(AND(MyRowHidden(ROW())=FALSE,MyRowHidden(ROW()-1)=TRUE),0,(E873-E872)*unitsOfDHp+I872)</f>
        <v>333630</v>
      </c>
      <c r="J873">
        <f>IF(AND(MyRowHidden(ROW())=FALSE,MyRowHidden(ROW()-1)=TRUE),0,(G873-G872)*unitsOfExo+J872)</f>
        <v>29375</v>
      </c>
      <c r="K873" s="9">
        <f t="shared" si="41"/>
        <v>70625</v>
      </c>
      <c r="L873">
        <f t="shared" si="42"/>
        <v>363005</v>
      </c>
    </row>
    <row r="874" spans="1:12" x14ac:dyDescent="0.25">
      <c r="A874" s="1"/>
      <c r="C874" s="1"/>
      <c r="D874" s="1">
        <v>41948</v>
      </c>
      <c r="E874">
        <v>28248</v>
      </c>
      <c r="F874" s="1">
        <v>41948</v>
      </c>
      <c r="G874">
        <v>-1887.5</v>
      </c>
      <c r="H874" s="1">
        <f t="shared" si="40"/>
        <v>41948</v>
      </c>
      <c r="I874">
        <f>IF(AND(MyRowHidden(ROW())=FALSE,MyRowHidden(ROW()-1)=TRUE),0,(E874-E873)*unitsOfDHp+I873)</f>
        <v>332480</v>
      </c>
      <c r="J874">
        <f>IF(AND(MyRowHidden(ROW())=FALSE,MyRowHidden(ROW()-1)=TRUE),0,(G874-G873)*unitsOfExo+J873)</f>
        <v>31125</v>
      </c>
      <c r="K874" s="9">
        <f t="shared" si="41"/>
        <v>68875</v>
      </c>
      <c r="L874">
        <f t="shared" si="42"/>
        <v>363605</v>
      </c>
    </row>
    <row r="875" spans="1:12" x14ac:dyDescent="0.25">
      <c r="A875" s="1"/>
      <c r="C875" s="1"/>
      <c r="D875" s="1">
        <v>41949</v>
      </c>
      <c r="E875">
        <v>28248</v>
      </c>
      <c r="F875" s="1">
        <v>41949</v>
      </c>
      <c r="G875">
        <v>-1762.5</v>
      </c>
      <c r="H875" s="1">
        <f t="shared" si="40"/>
        <v>41949</v>
      </c>
      <c r="I875">
        <f>IF(AND(MyRowHidden(ROW())=FALSE,MyRowHidden(ROW()-1)=TRUE),0,(E875-E874)*unitsOfDHp+I874)</f>
        <v>332480</v>
      </c>
      <c r="J875">
        <f>IF(AND(MyRowHidden(ROW())=FALSE,MyRowHidden(ROW()-1)=TRUE),0,(G875-G874)*unitsOfExo+J874)</f>
        <v>32375</v>
      </c>
      <c r="K875" s="9">
        <f t="shared" si="41"/>
        <v>67625</v>
      </c>
      <c r="L875">
        <f t="shared" si="42"/>
        <v>364855</v>
      </c>
    </row>
    <row r="876" spans="1:12" x14ac:dyDescent="0.25">
      <c r="A876" s="1"/>
      <c r="C876" s="1"/>
      <c r="D876" s="1">
        <v>41950</v>
      </c>
      <c r="E876">
        <v>28274</v>
      </c>
      <c r="F876" s="1">
        <v>41950</v>
      </c>
      <c r="G876">
        <v>-1937.5</v>
      </c>
      <c r="H876" s="1">
        <f t="shared" si="40"/>
        <v>41950</v>
      </c>
      <c r="I876">
        <f>IF(AND(MyRowHidden(ROW())=FALSE,MyRowHidden(ROW()-1)=TRUE),0,(E876-E875)*unitsOfDHp+I875)</f>
        <v>332740</v>
      </c>
      <c r="J876">
        <f>IF(AND(MyRowHidden(ROW())=FALSE,MyRowHidden(ROW()-1)=TRUE),0,(G876-G875)*unitsOfExo+J875)</f>
        <v>30625</v>
      </c>
      <c r="K876" s="9">
        <f t="shared" si="41"/>
        <v>69375</v>
      </c>
      <c r="L876">
        <f t="shared" si="42"/>
        <v>363365</v>
      </c>
    </row>
    <row r="877" spans="1:12" x14ac:dyDescent="0.25">
      <c r="A877" s="1"/>
      <c r="C877" s="1"/>
      <c r="D877" s="1">
        <v>41953</v>
      </c>
      <c r="E877">
        <v>28182</v>
      </c>
      <c r="F877" s="1">
        <v>41953</v>
      </c>
      <c r="G877">
        <v>-1812.5</v>
      </c>
      <c r="H877" s="1">
        <f t="shared" si="40"/>
        <v>41953</v>
      </c>
      <c r="I877">
        <f>IF(AND(MyRowHidden(ROW())=FALSE,MyRowHidden(ROW()-1)=TRUE),0,(E877-E876)*unitsOfDHp+I876)</f>
        <v>331820</v>
      </c>
      <c r="J877">
        <f>IF(AND(MyRowHidden(ROW())=FALSE,MyRowHidden(ROW()-1)=TRUE),0,(G877-G876)*unitsOfExo+J876)</f>
        <v>31875</v>
      </c>
      <c r="K877" s="9">
        <f t="shared" si="41"/>
        <v>68125</v>
      </c>
      <c r="L877">
        <f t="shared" si="42"/>
        <v>363695</v>
      </c>
    </row>
    <row r="878" spans="1:12" x14ac:dyDescent="0.25">
      <c r="A878" s="1"/>
      <c r="C878" s="1"/>
      <c r="D878" s="1">
        <v>41955</v>
      </c>
      <c r="E878">
        <v>28147</v>
      </c>
      <c r="F878" s="1">
        <v>41955</v>
      </c>
      <c r="G878">
        <v>-1450</v>
      </c>
      <c r="H878" s="1">
        <f t="shared" si="40"/>
        <v>41955</v>
      </c>
      <c r="I878">
        <f>IF(AND(MyRowHidden(ROW())=FALSE,MyRowHidden(ROW()-1)=TRUE),0,(E878-E877)*unitsOfDHp+I877)</f>
        <v>331470</v>
      </c>
      <c r="J878">
        <f>IF(AND(MyRowHidden(ROW())=FALSE,MyRowHidden(ROW()-1)=TRUE),0,(G878-G877)*unitsOfExo+J877)</f>
        <v>35500</v>
      </c>
      <c r="K878" s="9">
        <f t="shared" si="41"/>
        <v>64500</v>
      </c>
      <c r="L878">
        <f t="shared" si="42"/>
        <v>366970</v>
      </c>
    </row>
    <row r="879" spans="1:12" x14ac:dyDescent="0.25">
      <c r="A879" s="1"/>
      <c r="C879" s="1"/>
      <c r="D879" s="1">
        <v>41956</v>
      </c>
      <c r="E879">
        <v>27854</v>
      </c>
      <c r="F879" s="1">
        <v>41956</v>
      </c>
      <c r="G879">
        <v>-1187.5</v>
      </c>
      <c r="H879" s="1">
        <f t="shared" si="40"/>
        <v>41956</v>
      </c>
      <c r="I879">
        <f>IF(AND(MyRowHidden(ROW())=FALSE,MyRowHidden(ROW()-1)=TRUE),0,(E879-E878)*unitsOfDHp+I878)</f>
        <v>328540</v>
      </c>
      <c r="J879">
        <f>IF(AND(MyRowHidden(ROW())=FALSE,MyRowHidden(ROW()-1)=TRUE),0,(G879-G878)*unitsOfExo+J878)</f>
        <v>38125</v>
      </c>
      <c r="K879" s="9">
        <f t="shared" si="41"/>
        <v>61875</v>
      </c>
      <c r="L879">
        <f t="shared" si="42"/>
        <v>366665</v>
      </c>
    </row>
    <row r="880" spans="1:12" x14ac:dyDescent="0.25">
      <c r="A880" s="1"/>
      <c r="C880" s="1"/>
      <c r="D880" s="1">
        <v>41957</v>
      </c>
      <c r="E880">
        <v>27837</v>
      </c>
      <c r="F880" s="1">
        <v>41957</v>
      </c>
      <c r="G880">
        <v>-1187.5</v>
      </c>
      <c r="H880" s="1">
        <f t="shared" si="40"/>
        <v>41957</v>
      </c>
      <c r="I880">
        <f>IF(AND(MyRowHidden(ROW())=FALSE,MyRowHidden(ROW()-1)=TRUE),0,(E880-E879)*unitsOfDHp+I879)</f>
        <v>328370</v>
      </c>
      <c r="J880">
        <f>IF(AND(MyRowHidden(ROW())=FALSE,MyRowHidden(ROW()-1)=TRUE),0,(G880-G879)*unitsOfExo+J879)</f>
        <v>38125</v>
      </c>
      <c r="K880" s="9">
        <f t="shared" si="41"/>
        <v>61875</v>
      </c>
      <c r="L880">
        <f t="shared" si="42"/>
        <v>366495</v>
      </c>
    </row>
    <row r="881" spans="1:12" x14ac:dyDescent="0.25">
      <c r="A881" s="1"/>
      <c r="C881" s="1"/>
      <c r="D881" s="1">
        <v>41960</v>
      </c>
      <c r="E881">
        <v>28198</v>
      </c>
      <c r="F881" s="1">
        <v>41960</v>
      </c>
      <c r="G881">
        <v>-1487.5</v>
      </c>
      <c r="H881" s="1">
        <f t="shared" si="40"/>
        <v>41960</v>
      </c>
      <c r="I881">
        <f>IF(AND(MyRowHidden(ROW())=FALSE,MyRowHidden(ROW()-1)=TRUE),0,(E881-E880)*unitsOfDHp+I880)</f>
        <v>331980</v>
      </c>
      <c r="J881">
        <f>IF(AND(MyRowHidden(ROW())=FALSE,MyRowHidden(ROW()-1)=TRUE),0,(G881-G880)*unitsOfExo+J880)</f>
        <v>35125</v>
      </c>
      <c r="K881" s="9">
        <f t="shared" si="41"/>
        <v>64875</v>
      </c>
      <c r="L881">
        <f t="shared" si="42"/>
        <v>367105</v>
      </c>
    </row>
    <row r="882" spans="1:12" x14ac:dyDescent="0.25">
      <c r="A882" s="1"/>
      <c r="C882" s="1"/>
      <c r="D882" s="1">
        <v>41961</v>
      </c>
      <c r="E882">
        <v>28379</v>
      </c>
      <c r="F882" s="1">
        <v>41961</v>
      </c>
      <c r="G882">
        <v>-1675</v>
      </c>
      <c r="H882" s="1">
        <f t="shared" si="40"/>
        <v>41961</v>
      </c>
      <c r="I882">
        <f>IF(AND(MyRowHidden(ROW())=FALSE,MyRowHidden(ROW()-1)=TRUE),0,(E882-E881)*unitsOfDHp+I881)</f>
        <v>333790</v>
      </c>
      <c r="J882">
        <f>IF(AND(MyRowHidden(ROW())=FALSE,MyRowHidden(ROW()-1)=TRUE),0,(G882-G881)*unitsOfExo+J881)</f>
        <v>33250</v>
      </c>
      <c r="K882" s="9">
        <f t="shared" si="41"/>
        <v>66750</v>
      </c>
      <c r="L882">
        <f t="shared" si="42"/>
        <v>367040</v>
      </c>
    </row>
    <row r="883" spans="1:12" x14ac:dyDescent="0.25">
      <c r="A883" s="1"/>
      <c r="C883" s="1"/>
      <c r="D883" s="1">
        <v>41962</v>
      </c>
      <c r="E883">
        <v>28877</v>
      </c>
      <c r="F883" s="1">
        <v>41962</v>
      </c>
      <c r="G883">
        <v>-2162.5</v>
      </c>
      <c r="H883" s="1">
        <f t="shared" si="40"/>
        <v>41962</v>
      </c>
      <c r="I883">
        <f>IF(AND(MyRowHidden(ROW())=FALSE,MyRowHidden(ROW()-1)=TRUE),0,(E883-E882)*unitsOfDHp+I882)</f>
        <v>338770</v>
      </c>
      <c r="J883">
        <f>IF(AND(MyRowHidden(ROW())=FALSE,MyRowHidden(ROW()-1)=TRUE),0,(G883-G882)*unitsOfExo+J882)</f>
        <v>28375</v>
      </c>
      <c r="K883" s="9">
        <f t="shared" si="41"/>
        <v>71625</v>
      </c>
      <c r="L883">
        <f t="shared" si="42"/>
        <v>367145</v>
      </c>
    </row>
    <row r="884" spans="1:12" x14ac:dyDescent="0.25">
      <c r="A884" s="1"/>
      <c r="C884" s="1"/>
      <c r="D884" s="1">
        <v>41963</v>
      </c>
      <c r="E884">
        <v>29408</v>
      </c>
      <c r="F884" s="1">
        <v>41963</v>
      </c>
      <c r="G884">
        <v>-1700</v>
      </c>
      <c r="H884" s="1">
        <f t="shared" si="40"/>
        <v>41963</v>
      </c>
      <c r="I884">
        <f>IF(AND(MyRowHidden(ROW())=FALSE,MyRowHidden(ROW()-1)=TRUE),0,(E884-E883)*unitsOfDHp+I883)</f>
        <v>344080</v>
      </c>
      <c r="J884">
        <f>IF(AND(MyRowHidden(ROW())=FALSE,MyRowHidden(ROW()-1)=TRUE),0,(G884-G883)*unitsOfExo+J883)</f>
        <v>33000</v>
      </c>
      <c r="K884" s="9">
        <f t="shared" si="41"/>
        <v>67000</v>
      </c>
      <c r="L884">
        <f t="shared" si="42"/>
        <v>377080</v>
      </c>
    </row>
    <row r="885" spans="1:12" x14ac:dyDescent="0.25">
      <c r="A885" s="1"/>
      <c r="C885" s="1"/>
      <c r="D885" s="1">
        <v>41964</v>
      </c>
      <c r="E885">
        <v>29707</v>
      </c>
      <c r="F885" s="1">
        <v>41964</v>
      </c>
      <c r="G885">
        <v>-1500</v>
      </c>
      <c r="H885" s="1">
        <f t="shared" si="40"/>
        <v>41964</v>
      </c>
      <c r="I885">
        <f>IF(AND(MyRowHidden(ROW())=FALSE,MyRowHidden(ROW()-1)=TRUE),0,(E885-E884)*unitsOfDHp+I884)</f>
        <v>347070</v>
      </c>
      <c r="J885">
        <f>IF(AND(MyRowHidden(ROW())=FALSE,MyRowHidden(ROW()-1)=TRUE),0,(G885-G884)*unitsOfExo+J884)</f>
        <v>35000</v>
      </c>
      <c r="K885" s="9">
        <f t="shared" si="41"/>
        <v>65000</v>
      </c>
      <c r="L885">
        <f t="shared" si="42"/>
        <v>382070</v>
      </c>
    </row>
    <row r="886" spans="1:12" x14ac:dyDescent="0.25">
      <c r="A886" s="1"/>
      <c r="C886" s="1"/>
      <c r="D886" s="1">
        <v>41967</v>
      </c>
      <c r="E886">
        <v>29447</v>
      </c>
      <c r="F886" s="1">
        <v>41967</v>
      </c>
      <c r="G886">
        <v>-2012.5</v>
      </c>
      <c r="H886" s="1">
        <f t="shared" si="40"/>
        <v>41967</v>
      </c>
      <c r="I886">
        <f>IF(AND(MyRowHidden(ROW())=FALSE,MyRowHidden(ROW()-1)=TRUE),0,(E886-E885)*unitsOfDHp+I885)</f>
        <v>344470</v>
      </c>
      <c r="J886">
        <f>IF(AND(MyRowHidden(ROW())=FALSE,MyRowHidden(ROW()-1)=TRUE),0,(G886-G885)*unitsOfExo+J885)</f>
        <v>29875</v>
      </c>
      <c r="K886" s="9">
        <f t="shared" si="41"/>
        <v>70125</v>
      </c>
      <c r="L886">
        <f t="shared" si="42"/>
        <v>374345</v>
      </c>
    </row>
    <row r="887" spans="1:12" x14ac:dyDescent="0.25">
      <c r="A887" s="1"/>
      <c r="C887" s="1"/>
      <c r="D887" s="1">
        <v>41968</v>
      </c>
      <c r="E887">
        <v>29397</v>
      </c>
      <c r="F887" s="1">
        <v>41968</v>
      </c>
      <c r="G887">
        <v>-1725</v>
      </c>
      <c r="H887" s="1">
        <f t="shared" si="40"/>
        <v>41968</v>
      </c>
      <c r="I887">
        <f>IF(AND(MyRowHidden(ROW())=FALSE,MyRowHidden(ROW()-1)=TRUE),0,(E887-E886)*unitsOfDHp+I886)</f>
        <v>343970</v>
      </c>
      <c r="J887">
        <f>IF(AND(MyRowHidden(ROW())=FALSE,MyRowHidden(ROW()-1)=TRUE),0,(G887-G886)*unitsOfExo+J886)</f>
        <v>32750</v>
      </c>
      <c r="K887" s="9">
        <f t="shared" si="41"/>
        <v>67250</v>
      </c>
      <c r="L887">
        <f t="shared" si="42"/>
        <v>376720</v>
      </c>
    </row>
    <row r="888" spans="1:12" x14ac:dyDescent="0.25">
      <c r="A888" s="1"/>
      <c r="C888" s="1"/>
      <c r="D888" s="1">
        <v>41969</v>
      </c>
      <c r="E888">
        <v>29226</v>
      </c>
      <c r="F888" s="1">
        <v>41969</v>
      </c>
      <c r="G888">
        <v>-1425</v>
      </c>
      <c r="H888" s="1">
        <f t="shared" si="40"/>
        <v>41969</v>
      </c>
      <c r="I888">
        <f>IF(AND(MyRowHidden(ROW())=FALSE,MyRowHidden(ROW()-1)=TRUE),0,(E888-E887)*unitsOfDHp+I887)</f>
        <v>342260</v>
      </c>
      <c r="J888">
        <f>IF(AND(MyRowHidden(ROW())=FALSE,MyRowHidden(ROW()-1)=TRUE),0,(G888-G887)*unitsOfExo+J887)</f>
        <v>35750</v>
      </c>
      <c r="K888" s="9">
        <f t="shared" si="41"/>
        <v>64250</v>
      </c>
      <c r="L888">
        <f t="shared" si="42"/>
        <v>378010</v>
      </c>
    </row>
    <row r="889" spans="1:12" x14ac:dyDescent="0.25">
      <c r="A889" s="1"/>
      <c r="C889" s="1"/>
      <c r="D889" s="1">
        <v>41971</v>
      </c>
      <c r="E889">
        <v>29281</v>
      </c>
      <c r="F889" s="1">
        <v>41971</v>
      </c>
      <c r="G889">
        <v>-1550</v>
      </c>
      <c r="H889" s="1">
        <f t="shared" si="40"/>
        <v>41971</v>
      </c>
      <c r="I889">
        <f>IF(AND(MyRowHidden(ROW())=FALSE,MyRowHidden(ROW()-1)=TRUE),0,(E889-E888)*unitsOfDHp+I888)</f>
        <v>342810</v>
      </c>
      <c r="J889">
        <f>IF(AND(MyRowHidden(ROW())=FALSE,MyRowHidden(ROW()-1)=TRUE),0,(G889-G888)*unitsOfExo+J888)</f>
        <v>34500</v>
      </c>
      <c r="K889" s="9">
        <f t="shared" si="41"/>
        <v>65500</v>
      </c>
      <c r="L889">
        <f t="shared" si="42"/>
        <v>377310</v>
      </c>
    </row>
    <row r="890" spans="1:12" x14ac:dyDescent="0.25">
      <c r="A890" s="1"/>
      <c r="C890" s="1"/>
      <c r="D890" s="1">
        <v>41974</v>
      </c>
      <c r="E890">
        <v>29364</v>
      </c>
      <c r="F890" s="1">
        <v>41974</v>
      </c>
      <c r="G890">
        <v>-1625</v>
      </c>
      <c r="H890" s="1">
        <f t="shared" si="40"/>
        <v>41974</v>
      </c>
      <c r="I890">
        <f>IF(AND(MyRowHidden(ROW())=FALSE,MyRowHidden(ROW()-1)=TRUE),0,(E890-E889)*unitsOfDHp+I889)</f>
        <v>343640</v>
      </c>
      <c r="J890">
        <f>IF(AND(MyRowHidden(ROW())=FALSE,MyRowHidden(ROW()-1)=TRUE),0,(G890-G889)*unitsOfExo+J889)</f>
        <v>33750</v>
      </c>
      <c r="K890" s="9">
        <f t="shared" si="41"/>
        <v>66250</v>
      </c>
      <c r="L890">
        <f t="shared" si="42"/>
        <v>377390</v>
      </c>
    </row>
    <row r="891" spans="1:12" x14ac:dyDescent="0.25">
      <c r="A891" s="1"/>
      <c r="C891" s="1"/>
      <c r="D891" s="1">
        <v>41975</v>
      </c>
      <c r="E891">
        <v>29810</v>
      </c>
      <c r="F891" s="1">
        <v>41975</v>
      </c>
      <c r="G891">
        <v>-1900</v>
      </c>
      <c r="H891" s="1">
        <f t="shared" si="40"/>
        <v>41975</v>
      </c>
      <c r="I891">
        <f>IF(AND(MyRowHidden(ROW())=FALSE,MyRowHidden(ROW()-1)=TRUE),0,(E891-E890)*unitsOfDHp+I890)</f>
        <v>348100</v>
      </c>
      <c r="J891">
        <f>IF(AND(MyRowHidden(ROW())=FALSE,MyRowHidden(ROW()-1)=TRUE),0,(G891-G890)*unitsOfExo+J890)</f>
        <v>31000</v>
      </c>
      <c r="K891" s="9">
        <f t="shared" si="41"/>
        <v>69000</v>
      </c>
      <c r="L891">
        <f t="shared" si="42"/>
        <v>379100</v>
      </c>
    </row>
    <row r="892" spans="1:12" x14ac:dyDescent="0.25">
      <c r="A892" s="1"/>
      <c r="C892" s="1"/>
      <c r="D892" s="1">
        <v>41976</v>
      </c>
      <c r="E892">
        <v>29963</v>
      </c>
      <c r="F892" s="1">
        <v>41976</v>
      </c>
      <c r="G892">
        <v>-2000</v>
      </c>
      <c r="H892" s="1">
        <f t="shared" si="40"/>
        <v>41976</v>
      </c>
      <c r="I892">
        <f>IF(AND(MyRowHidden(ROW())=FALSE,MyRowHidden(ROW()-1)=TRUE),0,(E892-E891)*unitsOfDHp+I891)</f>
        <v>349630</v>
      </c>
      <c r="J892">
        <f>IF(AND(MyRowHidden(ROW())=FALSE,MyRowHidden(ROW()-1)=TRUE),0,(G892-G891)*unitsOfExo+J891)</f>
        <v>30000</v>
      </c>
      <c r="K892" s="9">
        <f t="shared" si="41"/>
        <v>70000</v>
      </c>
      <c r="L892">
        <f t="shared" si="42"/>
        <v>379630</v>
      </c>
    </row>
    <row r="893" spans="1:12" x14ac:dyDescent="0.25">
      <c r="A893" s="1"/>
      <c r="C893" s="1"/>
      <c r="D893" s="1">
        <v>41977</v>
      </c>
      <c r="E893">
        <v>29868</v>
      </c>
      <c r="F893" s="1">
        <v>41977</v>
      </c>
      <c r="G893">
        <v>-1562.5</v>
      </c>
      <c r="H893" s="1">
        <f t="shared" si="40"/>
        <v>41977</v>
      </c>
      <c r="I893">
        <f>IF(AND(MyRowHidden(ROW())=FALSE,MyRowHidden(ROW()-1)=TRUE),0,(E893-E892)*unitsOfDHp+I892)</f>
        <v>348680</v>
      </c>
      <c r="J893">
        <f>IF(AND(MyRowHidden(ROW())=FALSE,MyRowHidden(ROW()-1)=TRUE),0,(G893-G892)*unitsOfExo+J892)</f>
        <v>34375</v>
      </c>
      <c r="K893" s="9">
        <f t="shared" si="41"/>
        <v>65625</v>
      </c>
      <c r="L893">
        <f t="shared" si="42"/>
        <v>383055</v>
      </c>
    </row>
    <row r="894" spans="1:12" x14ac:dyDescent="0.25">
      <c r="A894" s="1"/>
      <c r="C894" s="1"/>
      <c r="D894" s="1">
        <v>41978</v>
      </c>
      <c r="E894">
        <v>30243</v>
      </c>
      <c r="F894" s="1">
        <v>41978</v>
      </c>
      <c r="G894">
        <v>-1250</v>
      </c>
      <c r="H894" s="1">
        <f t="shared" si="40"/>
        <v>41978</v>
      </c>
      <c r="I894">
        <f>IF(AND(MyRowHidden(ROW())=FALSE,MyRowHidden(ROW()-1)=TRUE),0,(E894-E893)*unitsOfDHp+I893)</f>
        <v>352430</v>
      </c>
      <c r="J894">
        <f>IF(AND(MyRowHidden(ROW())=FALSE,MyRowHidden(ROW()-1)=TRUE),0,(G894-G893)*unitsOfExo+J893)</f>
        <v>37500</v>
      </c>
      <c r="K894" s="9">
        <f t="shared" si="41"/>
        <v>62500</v>
      </c>
      <c r="L894">
        <f t="shared" si="42"/>
        <v>389930</v>
      </c>
    </row>
    <row r="895" spans="1:12" x14ac:dyDescent="0.25">
      <c r="A895" s="1"/>
      <c r="C895" s="1"/>
      <c r="D895" s="1">
        <v>41981</v>
      </c>
      <c r="E895">
        <v>30264</v>
      </c>
      <c r="F895" s="1">
        <v>41981</v>
      </c>
      <c r="G895">
        <v>-1362.5</v>
      </c>
      <c r="H895" s="1">
        <f t="shared" si="40"/>
        <v>41981</v>
      </c>
      <c r="I895">
        <f>IF(AND(MyRowHidden(ROW())=FALSE,MyRowHidden(ROW()-1)=TRUE),0,(E895-E894)*unitsOfDHp+I894)</f>
        <v>352640</v>
      </c>
      <c r="J895">
        <f>IF(AND(MyRowHidden(ROW())=FALSE,MyRowHidden(ROW()-1)=TRUE),0,(G895-G894)*unitsOfExo+J894)</f>
        <v>36375</v>
      </c>
      <c r="K895" s="9">
        <f t="shared" si="41"/>
        <v>63625</v>
      </c>
      <c r="L895">
        <f t="shared" si="42"/>
        <v>389015</v>
      </c>
    </row>
    <row r="896" spans="1:12" x14ac:dyDescent="0.25">
      <c r="A896" s="1"/>
      <c r="D896" s="1">
        <v>41982</v>
      </c>
      <c r="E896">
        <v>30173</v>
      </c>
      <c r="F896" s="1">
        <v>41982</v>
      </c>
      <c r="G896">
        <v>-1212.5</v>
      </c>
      <c r="H896" s="1">
        <f t="shared" si="40"/>
        <v>41982</v>
      </c>
      <c r="I896">
        <f>IF(AND(MyRowHidden(ROW())=FALSE,MyRowHidden(ROW()-1)=TRUE),0,(E896-E895)*unitsOfDHp+I895)</f>
        <v>351730</v>
      </c>
      <c r="J896">
        <f>IF(AND(MyRowHidden(ROW())=FALSE,MyRowHidden(ROW()-1)=TRUE),0,(G896-G895)*unitsOfExo+J895)</f>
        <v>37875</v>
      </c>
      <c r="K896" s="9">
        <f t="shared" si="41"/>
        <v>62125</v>
      </c>
      <c r="L896">
        <f t="shared" si="42"/>
        <v>389605</v>
      </c>
    </row>
    <row r="897" spans="1:12" x14ac:dyDescent="0.25">
      <c r="A897" s="1"/>
      <c r="D897" s="1">
        <v>41983</v>
      </c>
      <c r="E897">
        <v>30163</v>
      </c>
      <c r="F897" s="1">
        <v>41983</v>
      </c>
      <c r="G897">
        <v>-1300</v>
      </c>
      <c r="H897" s="1">
        <f t="shared" si="40"/>
        <v>41983</v>
      </c>
      <c r="I897">
        <f>IF(AND(MyRowHidden(ROW())=FALSE,MyRowHidden(ROW()-1)=TRUE),0,(E897-E896)*unitsOfDHp+I896)</f>
        <v>351630</v>
      </c>
      <c r="J897">
        <f>IF(AND(MyRowHidden(ROW())=FALSE,MyRowHidden(ROW()-1)=TRUE),0,(G897-G896)*unitsOfExo+J896)</f>
        <v>37000</v>
      </c>
      <c r="K897" s="9">
        <f t="shared" si="41"/>
        <v>63000</v>
      </c>
      <c r="L897">
        <f t="shared" si="42"/>
        <v>388630</v>
      </c>
    </row>
    <row r="898" spans="1:12" x14ac:dyDescent="0.25">
      <c r="D898" s="1">
        <v>41984</v>
      </c>
      <c r="E898">
        <v>29707</v>
      </c>
      <c r="F898" s="1">
        <v>41984</v>
      </c>
      <c r="G898">
        <v>-1062.5</v>
      </c>
      <c r="H898" s="1">
        <f t="shared" si="40"/>
        <v>41984</v>
      </c>
      <c r="I898">
        <f>IF(AND(MyRowHidden(ROW())=FALSE,MyRowHidden(ROW()-1)=TRUE),0,(E898-E897)*unitsOfDHp+I897)</f>
        <v>347070</v>
      </c>
      <c r="J898">
        <f>IF(AND(MyRowHidden(ROW())=FALSE,MyRowHidden(ROW()-1)=TRUE),0,(G898-G897)*unitsOfExo+J897)</f>
        <v>39375</v>
      </c>
      <c r="K898" s="9">
        <f t="shared" si="41"/>
        <v>60625</v>
      </c>
      <c r="L898">
        <f t="shared" si="42"/>
        <v>386445</v>
      </c>
    </row>
    <row r="899" spans="1:12" x14ac:dyDescent="0.25">
      <c r="D899" s="1">
        <v>41985</v>
      </c>
      <c r="E899">
        <v>28774</v>
      </c>
      <c r="F899" s="1">
        <v>41985</v>
      </c>
      <c r="G899">
        <v>-425</v>
      </c>
      <c r="H899" s="1">
        <f t="shared" si="40"/>
        <v>41985</v>
      </c>
      <c r="I899">
        <f>IF(AND(MyRowHidden(ROW())=FALSE,MyRowHidden(ROW()-1)=TRUE),0,(E899-E898)*unitsOfDHp+I898)</f>
        <v>337740</v>
      </c>
      <c r="J899">
        <f>IF(AND(MyRowHidden(ROW())=FALSE,MyRowHidden(ROW()-1)=TRUE),0,(G899-G898)*unitsOfExo+J898)</f>
        <v>45750</v>
      </c>
      <c r="K899" s="9">
        <f t="shared" si="41"/>
        <v>54250</v>
      </c>
      <c r="L899">
        <f t="shared" si="42"/>
        <v>383490</v>
      </c>
    </row>
    <row r="900" spans="1:12" x14ac:dyDescent="0.25">
      <c r="D900" s="1">
        <v>41988</v>
      </c>
      <c r="E900">
        <v>28899</v>
      </c>
      <c r="F900" s="1">
        <v>41988</v>
      </c>
      <c r="G900">
        <v>-500</v>
      </c>
      <c r="H900" s="1">
        <f t="shared" si="40"/>
        <v>41988</v>
      </c>
      <c r="I900">
        <f>IF(AND(MyRowHidden(ROW())=FALSE,MyRowHidden(ROW()-1)=TRUE),0,(E900-E899)*unitsOfDHp+I899)</f>
        <v>338990</v>
      </c>
      <c r="J900">
        <f>IF(AND(MyRowHidden(ROW())=FALSE,MyRowHidden(ROW()-1)=TRUE),0,(G900-G899)*unitsOfExo+J899)</f>
        <v>45000</v>
      </c>
      <c r="K900" s="9">
        <f t="shared" si="41"/>
        <v>55000</v>
      </c>
      <c r="L900">
        <f t="shared" si="42"/>
        <v>383990</v>
      </c>
    </row>
    <row r="901" spans="1:12" x14ac:dyDescent="0.25">
      <c r="D901" s="1">
        <v>41989</v>
      </c>
      <c r="E901">
        <v>29027</v>
      </c>
      <c r="F901" s="1">
        <v>41989</v>
      </c>
      <c r="G901">
        <v>-575</v>
      </c>
      <c r="H901" s="1">
        <f t="shared" si="40"/>
        <v>41989</v>
      </c>
      <c r="I901">
        <f>IF(AND(MyRowHidden(ROW())=FALSE,MyRowHidden(ROW()-1)=TRUE),0,(E901-E900)*unitsOfDHp+I900)</f>
        <v>340270</v>
      </c>
      <c r="J901">
        <f>IF(AND(MyRowHidden(ROW())=FALSE,MyRowHidden(ROW()-1)=TRUE),0,(G901-G900)*unitsOfExo+J900)</f>
        <v>44250</v>
      </c>
      <c r="K901" s="9">
        <f t="shared" si="41"/>
        <v>55750</v>
      </c>
      <c r="L901">
        <f t="shared" si="42"/>
        <v>384520</v>
      </c>
    </row>
    <row r="902" spans="1:12" x14ac:dyDescent="0.25">
      <c r="D902" s="1">
        <v>41990</v>
      </c>
      <c r="E902">
        <v>28881</v>
      </c>
      <c r="F902" s="1">
        <v>41990</v>
      </c>
      <c r="G902">
        <v>-512.5</v>
      </c>
      <c r="H902" s="1">
        <f t="shared" si="40"/>
        <v>41990</v>
      </c>
      <c r="I902">
        <f>IF(AND(MyRowHidden(ROW())=FALSE,MyRowHidden(ROW()-1)=TRUE),0,(E902-E901)*unitsOfDHp+I901)</f>
        <v>338810</v>
      </c>
      <c r="J902">
        <f>IF(AND(MyRowHidden(ROW())=FALSE,MyRowHidden(ROW()-1)=TRUE),0,(G902-G901)*unitsOfExo+J901)</f>
        <v>44875</v>
      </c>
      <c r="K902" s="9">
        <f t="shared" si="41"/>
        <v>55125</v>
      </c>
      <c r="L902">
        <f t="shared" si="42"/>
        <v>383685</v>
      </c>
    </row>
    <row r="903" spans="1:12" x14ac:dyDescent="0.25">
      <c r="D903" s="1">
        <v>41991</v>
      </c>
      <c r="E903">
        <v>28628</v>
      </c>
      <c r="F903" s="1">
        <v>41991</v>
      </c>
      <c r="G903">
        <v>-362.5</v>
      </c>
      <c r="H903" s="1">
        <f t="shared" si="40"/>
        <v>41991</v>
      </c>
      <c r="I903">
        <f>IF(AND(MyRowHidden(ROW())=FALSE,MyRowHidden(ROW()-1)=TRUE),0,(E903-E902)*unitsOfDHp+I902)</f>
        <v>336280</v>
      </c>
      <c r="J903">
        <f>IF(AND(MyRowHidden(ROW())=FALSE,MyRowHidden(ROW()-1)=TRUE),0,(G903-G902)*unitsOfExo+J902)</f>
        <v>46375</v>
      </c>
      <c r="K903" s="9">
        <f t="shared" si="41"/>
        <v>53625</v>
      </c>
      <c r="L903">
        <f t="shared" si="42"/>
        <v>382655</v>
      </c>
    </row>
    <row r="904" spans="1:12" x14ac:dyDescent="0.25">
      <c r="D904" s="1">
        <v>41992</v>
      </c>
      <c r="E904">
        <v>28709</v>
      </c>
      <c r="F904" s="1">
        <v>41992</v>
      </c>
      <c r="G904">
        <v>-462.5</v>
      </c>
      <c r="H904" s="1">
        <f t="shared" si="40"/>
        <v>41992</v>
      </c>
      <c r="I904">
        <f>IF(AND(MyRowHidden(ROW())=FALSE,MyRowHidden(ROW()-1)=TRUE),0,(E904-E903)*unitsOfDHp+I903)</f>
        <v>337090</v>
      </c>
      <c r="J904">
        <f>IF(AND(MyRowHidden(ROW())=FALSE,MyRowHidden(ROW()-1)=TRUE),0,(G904-G903)*unitsOfExo+J903)</f>
        <v>45375</v>
      </c>
      <c r="K904" s="9">
        <f t="shared" si="41"/>
        <v>54625</v>
      </c>
      <c r="L904">
        <f t="shared" si="42"/>
        <v>382465</v>
      </c>
    </row>
    <row r="905" spans="1:12" x14ac:dyDescent="0.25">
      <c r="D905" s="1">
        <v>41995</v>
      </c>
      <c r="E905">
        <v>28232</v>
      </c>
      <c r="F905" s="1">
        <v>41995</v>
      </c>
      <c r="G905">
        <v>-300</v>
      </c>
      <c r="H905" s="1">
        <f t="shared" si="40"/>
        <v>41995</v>
      </c>
      <c r="I905">
        <f>IF(AND(MyRowHidden(ROW())=FALSE,MyRowHidden(ROW()-1)=TRUE),0,(E905-E904)*unitsOfDHp+I904)</f>
        <v>332320</v>
      </c>
      <c r="J905">
        <f>IF(AND(MyRowHidden(ROW())=FALSE,MyRowHidden(ROW()-1)=TRUE),0,(G905-G904)*unitsOfExo+J904)</f>
        <v>47000</v>
      </c>
      <c r="K905" s="9">
        <f t="shared" si="41"/>
        <v>53000</v>
      </c>
      <c r="L905">
        <f t="shared" si="42"/>
        <v>379320</v>
      </c>
    </row>
    <row r="906" spans="1:12" x14ac:dyDescent="0.25">
      <c r="D906" s="1">
        <v>41996</v>
      </c>
      <c r="E906">
        <v>28099</v>
      </c>
      <c r="F906" s="1">
        <v>41996</v>
      </c>
      <c r="G906">
        <v>-225</v>
      </c>
      <c r="H906" s="1">
        <f t="shared" si="40"/>
        <v>41996</v>
      </c>
      <c r="I906">
        <f>IF(AND(MyRowHidden(ROW())=FALSE,MyRowHidden(ROW()-1)=TRUE),0,(E906-E905)*unitsOfDHp+I905)</f>
        <v>330990</v>
      </c>
      <c r="J906">
        <f>IF(AND(MyRowHidden(ROW())=FALSE,MyRowHidden(ROW()-1)=TRUE),0,(G906-G905)*unitsOfExo+J905)</f>
        <v>47750</v>
      </c>
      <c r="K906" s="9">
        <f t="shared" si="41"/>
        <v>52250</v>
      </c>
      <c r="L906">
        <f t="shared" si="42"/>
        <v>378740</v>
      </c>
    </row>
    <row r="907" spans="1:12" x14ac:dyDescent="0.25">
      <c r="D907" s="1">
        <v>41997</v>
      </c>
      <c r="E907">
        <v>28374</v>
      </c>
      <c r="F907" s="1">
        <v>41997</v>
      </c>
      <c r="G907">
        <v>-512.5</v>
      </c>
      <c r="H907" s="1">
        <f t="shared" si="40"/>
        <v>41997</v>
      </c>
      <c r="I907">
        <f>IF(AND(MyRowHidden(ROW())=FALSE,MyRowHidden(ROW()-1)=TRUE),0,(E907-E906)*unitsOfDHp+I906)</f>
        <v>333740</v>
      </c>
      <c r="J907">
        <f>IF(AND(MyRowHidden(ROW())=FALSE,MyRowHidden(ROW()-1)=TRUE),0,(G907-G906)*unitsOfExo+J906)</f>
        <v>44875</v>
      </c>
      <c r="K907" s="9">
        <f t="shared" si="41"/>
        <v>55125</v>
      </c>
      <c r="L907">
        <f t="shared" si="42"/>
        <v>378615</v>
      </c>
    </row>
    <row r="908" spans="1:12" x14ac:dyDescent="0.25">
      <c r="D908" s="1">
        <v>41999</v>
      </c>
      <c r="E908">
        <v>27889</v>
      </c>
      <c r="F908" s="1">
        <v>41999</v>
      </c>
      <c r="G908">
        <v>-250</v>
      </c>
      <c r="H908" s="1">
        <f t="shared" si="40"/>
        <v>41999</v>
      </c>
      <c r="I908">
        <f>IF(AND(MyRowHidden(ROW())=FALSE,MyRowHidden(ROW()-1)=TRUE),0,(E908-E907)*unitsOfDHp+I907)</f>
        <v>328890</v>
      </c>
      <c r="J908">
        <f>IF(AND(MyRowHidden(ROW())=FALSE,MyRowHidden(ROW()-1)=TRUE),0,(G908-G907)*unitsOfExo+J907)</f>
        <v>47500</v>
      </c>
      <c r="K908" s="9">
        <f t="shared" si="41"/>
        <v>52500</v>
      </c>
      <c r="L908">
        <f t="shared" si="42"/>
        <v>376390</v>
      </c>
    </row>
    <row r="909" spans="1:12" x14ac:dyDescent="0.25">
      <c r="D909" s="1">
        <v>42002</v>
      </c>
      <c r="E909">
        <v>27943</v>
      </c>
      <c r="F909" s="1">
        <v>42002</v>
      </c>
      <c r="G909">
        <v>-287.5</v>
      </c>
      <c r="H909" s="1">
        <f t="shared" ref="H909:H972" si="43">D909</f>
        <v>42002</v>
      </c>
      <c r="I909">
        <f>IF(AND(MyRowHidden(ROW())=FALSE,MyRowHidden(ROW()-1)=TRUE),0,(E909-E908)*unitsOfDHp+I908)</f>
        <v>329430</v>
      </c>
      <c r="J909">
        <f>IF(AND(MyRowHidden(ROW())=FALSE,MyRowHidden(ROW()-1)=TRUE),0,(G909-G908)*unitsOfExo+J908)</f>
        <v>47125</v>
      </c>
      <c r="K909" s="9">
        <f t="shared" ref="K909:K972" si="44">-(J909-J908)+K908</f>
        <v>52875</v>
      </c>
      <c r="L909">
        <f t="shared" ref="L909:L972" si="45">I909+J909</f>
        <v>376555</v>
      </c>
    </row>
    <row r="910" spans="1:12" x14ac:dyDescent="0.25">
      <c r="D910" s="1">
        <v>42003</v>
      </c>
      <c r="E910">
        <v>28512</v>
      </c>
      <c r="F910" s="1">
        <v>42003</v>
      </c>
      <c r="G910">
        <v>-575</v>
      </c>
      <c r="H910" s="1">
        <f t="shared" si="43"/>
        <v>42003</v>
      </c>
      <c r="I910">
        <f>IF(AND(MyRowHidden(ROW())=FALSE,MyRowHidden(ROW()-1)=TRUE),0,(E910-E909)*unitsOfDHp+I909)</f>
        <v>335120</v>
      </c>
      <c r="J910">
        <f>IF(AND(MyRowHidden(ROW())=FALSE,MyRowHidden(ROW()-1)=TRUE),0,(G910-G909)*unitsOfExo+J909)</f>
        <v>44250</v>
      </c>
      <c r="K910" s="9">
        <f t="shared" si="44"/>
        <v>55750</v>
      </c>
      <c r="L910">
        <f t="shared" si="45"/>
        <v>379370</v>
      </c>
    </row>
    <row r="911" spans="1:12" x14ac:dyDescent="0.25">
      <c r="D911" s="1">
        <v>42004</v>
      </c>
      <c r="E911">
        <v>28791</v>
      </c>
      <c r="F911" s="1">
        <v>42004</v>
      </c>
      <c r="G911">
        <v>-1075</v>
      </c>
      <c r="H911" s="1">
        <f t="shared" si="43"/>
        <v>42004</v>
      </c>
      <c r="I911">
        <f>IF(AND(MyRowHidden(ROW())=FALSE,MyRowHidden(ROW()-1)=TRUE),0,(E911-E910)*unitsOfDHp+I910)</f>
        <v>337910</v>
      </c>
      <c r="J911">
        <f>IF(AND(MyRowHidden(ROW())=FALSE,MyRowHidden(ROW()-1)=TRUE),0,(G911-G910)*unitsOfExo+J910)</f>
        <v>39250</v>
      </c>
      <c r="K911" s="9">
        <f t="shared" si="44"/>
        <v>60750</v>
      </c>
      <c r="L911">
        <f t="shared" si="45"/>
        <v>377160</v>
      </c>
    </row>
    <row r="912" spans="1:12" x14ac:dyDescent="0.25">
      <c r="D912" s="1">
        <v>42006</v>
      </c>
      <c r="E912">
        <v>28830</v>
      </c>
      <c r="F912" s="1">
        <v>42006</v>
      </c>
      <c r="G912">
        <v>-1125</v>
      </c>
      <c r="H912" s="1">
        <f t="shared" si="43"/>
        <v>42006</v>
      </c>
      <c r="I912">
        <f>IF(AND(MyRowHidden(ROW())=FALSE,MyRowHidden(ROW()-1)=TRUE),0,(E912-E911)*unitsOfDHp+I911)</f>
        <v>338300</v>
      </c>
      <c r="J912">
        <f>IF(AND(MyRowHidden(ROW())=FALSE,MyRowHidden(ROW()-1)=TRUE),0,(G912-G911)*unitsOfExo+J911)</f>
        <v>38750</v>
      </c>
      <c r="K912" s="9">
        <f t="shared" si="44"/>
        <v>61250</v>
      </c>
      <c r="L912">
        <f t="shared" si="45"/>
        <v>377050</v>
      </c>
    </row>
    <row r="913" spans="4:12" x14ac:dyDescent="0.25">
      <c r="D913" s="1">
        <v>42009</v>
      </c>
      <c r="E913">
        <v>28474</v>
      </c>
      <c r="F913" s="1">
        <v>42009</v>
      </c>
      <c r="G913">
        <v>-625</v>
      </c>
      <c r="H913" s="1">
        <f t="shared" si="43"/>
        <v>42009</v>
      </c>
      <c r="I913">
        <f>IF(AND(MyRowHidden(ROW())=FALSE,MyRowHidden(ROW()-1)=TRUE),0,(E913-E912)*unitsOfDHp+I912)</f>
        <v>334740</v>
      </c>
      <c r="J913">
        <f>IF(AND(MyRowHidden(ROW())=FALSE,MyRowHidden(ROW()-1)=TRUE),0,(G913-G912)*unitsOfExo+J912)</f>
        <v>43750</v>
      </c>
      <c r="K913" s="9">
        <f t="shared" si="44"/>
        <v>56250</v>
      </c>
      <c r="L913">
        <f t="shared" si="45"/>
        <v>378490</v>
      </c>
    </row>
    <row r="914" spans="4:12" x14ac:dyDescent="0.25">
      <c r="D914" s="1">
        <v>42010</v>
      </c>
      <c r="E914">
        <v>28468</v>
      </c>
      <c r="F914" s="1">
        <v>42010</v>
      </c>
      <c r="G914">
        <v>-662.5</v>
      </c>
      <c r="H914" s="1">
        <f t="shared" si="43"/>
        <v>42010</v>
      </c>
      <c r="I914">
        <f>IF(AND(MyRowHidden(ROW())=FALSE,MyRowHidden(ROW()-1)=TRUE),0,(E914-E913)*unitsOfDHp+I913)</f>
        <v>334680</v>
      </c>
      <c r="J914">
        <f>IF(AND(MyRowHidden(ROW())=FALSE,MyRowHidden(ROW()-1)=TRUE),0,(G914-G913)*unitsOfExo+J913)</f>
        <v>43375</v>
      </c>
      <c r="K914" s="9">
        <f t="shared" si="44"/>
        <v>56625</v>
      </c>
      <c r="L914">
        <f t="shared" si="45"/>
        <v>378055</v>
      </c>
    </row>
    <row r="915" spans="4:12" x14ac:dyDescent="0.25">
      <c r="D915" s="1">
        <v>42011</v>
      </c>
      <c r="E915">
        <v>29044</v>
      </c>
      <c r="F915" s="1">
        <v>42011</v>
      </c>
      <c r="G915">
        <v>-1075</v>
      </c>
      <c r="H915" s="1">
        <f t="shared" si="43"/>
        <v>42011</v>
      </c>
      <c r="I915">
        <f>IF(AND(MyRowHidden(ROW())=FALSE,MyRowHidden(ROW()-1)=TRUE),0,(E915-E914)*unitsOfDHp+I914)</f>
        <v>340440</v>
      </c>
      <c r="J915">
        <f>IF(AND(MyRowHidden(ROW())=FALSE,MyRowHidden(ROW()-1)=TRUE),0,(G915-G914)*unitsOfExo+J914)</f>
        <v>39250</v>
      </c>
      <c r="K915" s="9">
        <f t="shared" si="44"/>
        <v>60750</v>
      </c>
      <c r="L915">
        <f t="shared" si="45"/>
        <v>379690</v>
      </c>
    </row>
    <row r="916" spans="4:12" x14ac:dyDescent="0.25">
      <c r="D916" s="1">
        <v>42012</v>
      </c>
      <c r="E916">
        <v>29254</v>
      </c>
      <c r="F916" s="1">
        <v>42012</v>
      </c>
      <c r="G916">
        <v>-1175</v>
      </c>
      <c r="H916" s="1">
        <f t="shared" si="43"/>
        <v>42012</v>
      </c>
      <c r="I916">
        <f>IF(AND(MyRowHidden(ROW())=FALSE,MyRowHidden(ROW()-1)=TRUE),0,(E916-E915)*unitsOfDHp+I915)</f>
        <v>342540</v>
      </c>
      <c r="J916">
        <f>IF(AND(MyRowHidden(ROW())=FALSE,MyRowHidden(ROW()-1)=TRUE),0,(G916-G915)*unitsOfExo+J915)</f>
        <v>38250</v>
      </c>
      <c r="K916" s="9">
        <f t="shared" si="44"/>
        <v>61750</v>
      </c>
      <c r="L916">
        <f t="shared" si="45"/>
        <v>380790</v>
      </c>
    </row>
    <row r="917" spans="4:12" x14ac:dyDescent="0.25">
      <c r="D917" s="1">
        <v>42013</v>
      </c>
      <c r="E917">
        <v>29126</v>
      </c>
      <c r="F917" s="1">
        <v>42013</v>
      </c>
      <c r="G917">
        <v>-862.5</v>
      </c>
      <c r="H917" s="1">
        <f t="shared" si="43"/>
        <v>42013</v>
      </c>
      <c r="I917">
        <f>IF(AND(MyRowHidden(ROW())=FALSE,MyRowHidden(ROW()-1)=TRUE),0,(E917-E916)*unitsOfDHp+I916)</f>
        <v>341260</v>
      </c>
      <c r="J917">
        <f>IF(AND(MyRowHidden(ROW())=FALSE,MyRowHidden(ROW()-1)=TRUE),0,(G917-G916)*unitsOfExo+J916)</f>
        <v>41375</v>
      </c>
      <c r="K917" s="9">
        <f t="shared" si="44"/>
        <v>58625</v>
      </c>
      <c r="L917">
        <f t="shared" si="45"/>
        <v>382635</v>
      </c>
    </row>
    <row r="918" spans="4:12" x14ac:dyDescent="0.25">
      <c r="D918" s="1">
        <v>42016</v>
      </c>
      <c r="E918">
        <v>29044</v>
      </c>
      <c r="F918" s="1">
        <v>42016</v>
      </c>
      <c r="G918">
        <v>-762.5</v>
      </c>
      <c r="H918" s="1">
        <f t="shared" si="43"/>
        <v>42016</v>
      </c>
      <c r="I918">
        <f>IF(AND(MyRowHidden(ROW())=FALSE,MyRowHidden(ROW()-1)=TRUE),0,(E918-E917)*unitsOfDHp+I917)</f>
        <v>340440</v>
      </c>
      <c r="J918">
        <f>IF(AND(MyRowHidden(ROW())=FALSE,MyRowHidden(ROW()-1)=TRUE),0,(G918-G917)*unitsOfExo+J917)</f>
        <v>42375</v>
      </c>
      <c r="K918" s="9">
        <f t="shared" si="44"/>
        <v>57625</v>
      </c>
      <c r="L918">
        <f t="shared" si="45"/>
        <v>382815</v>
      </c>
    </row>
    <row r="919" spans="4:12" x14ac:dyDescent="0.25">
      <c r="D919" s="1">
        <v>42017</v>
      </c>
      <c r="E919">
        <v>29565</v>
      </c>
      <c r="F919" s="1">
        <v>42017</v>
      </c>
      <c r="G919">
        <v>-1587.5</v>
      </c>
      <c r="H919" s="1">
        <f t="shared" si="43"/>
        <v>42017</v>
      </c>
      <c r="I919">
        <f>IF(AND(MyRowHidden(ROW())=FALSE,MyRowHidden(ROW()-1)=TRUE),0,(E919-E918)*unitsOfDHp+I918)</f>
        <v>345650</v>
      </c>
      <c r="J919">
        <f>IF(AND(MyRowHidden(ROW())=FALSE,MyRowHidden(ROW()-1)=TRUE),0,(G919-G918)*unitsOfExo+J918)</f>
        <v>34125</v>
      </c>
      <c r="K919" s="9">
        <f t="shared" si="44"/>
        <v>65875</v>
      </c>
      <c r="L919">
        <f t="shared" si="45"/>
        <v>379775</v>
      </c>
    </row>
    <row r="920" spans="4:12" x14ac:dyDescent="0.25">
      <c r="D920" s="1">
        <v>42018</v>
      </c>
      <c r="E920">
        <v>29679</v>
      </c>
      <c r="F920" s="1">
        <v>42018</v>
      </c>
      <c r="G920">
        <v>-1912.5</v>
      </c>
      <c r="H920" s="1">
        <f t="shared" si="43"/>
        <v>42018</v>
      </c>
      <c r="I920">
        <f>IF(AND(MyRowHidden(ROW())=FALSE,MyRowHidden(ROW()-1)=TRUE),0,(E920-E919)*unitsOfDHp+I919)</f>
        <v>346790</v>
      </c>
      <c r="J920">
        <f>IF(AND(MyRowHidden(ROW())=FALSE,MyRowHidden(ROW()-1)=TRUE),0,(G920-G919)*unitsOfExo+J919)</f>
        <v>30875</v>
      </c>
      <c r="K920" s="9">
        <f t="shared" si="44"/>
        <v>69125</v>
      </c>
      <c r="L920">
        <f t="shared" si="45"/>
        <v>377665</v>
      </c>
    </row>
    <row r="921" spans="4:12" x14ac:dyDescent="0.25">
      <c r="D921" s="1">
        <v>42019</v>
      </c>
      <c r="E921">
        <v>29783</v>
      </c>
      <c r="F921" s="1">
        <v>42019</v>
      </c>
      <c r="G921">
        <v>-1987.5</v>
      </c>
      <c r="H921" s="1">
        <f t="shared" si="43"/>
        <v>42019</v>
      </c>
      <c r="I921">
        <f>IF(AND(MyRowHidden(ROW())=FALSE,MyRowHidden(ROW()-1)=TRUE),0,(E921-E920)*unitsOfDHp+I920)</f>
        <v>347830</v>
      </c>
      <c r="J921">
        <f>IF(AND(MyRowHidden(ROW())=FALSE,MyRowHidden(ROW()-1)=TRUE),0,(G921-G920)*unitsOfExo+J920)</f>
        <v>30125</v>
      </c>
      <c r="K921" s="9">
        <f t="shared" si="44"/>
        <v>69875</v>
      </c>
      <c r="L921">
        <f t="shared" si="45"/>
        <v>377955</v>
      </c>
    </row>
    <row r="922" spans="4:12" x14ac:dyDescent="0.25">
      <c r="D922" s="1">
        <v>42020</v>
      </c>
      <c r="E922">
        <v>29575</v>
      </c>
      <c r="F922" s="1">
        <v>42020</v>
      </c>
      <c r="G922">
        <v>-1550</v>
      </c>
      <c r="H922" s="1">
        <f t="shared" si="43"/>
        <v>42020</v>
      </c>
      <c r="I922">
        <f>IF(AND(MyRowHidden(ROW())=FALSE,MyRowHidden(ROW()-1)=TRUE),0,(E922-E921)*unitsOfDHp+I921)</f>
        <v>345750</v>
      </c>
      <c r="J922">
        <f>IF(AND(MyRowHidden(ROW())=FALSE,MyRowHidden(ROW()-1)=TRUE),0,(G922-G921)*unitsOfExo+J921)</f>
        <v>34500</v>
      </c>
      <c r="K922" s="9">
        <f t="shared" si="44"/>
        <v>65500</v>
      </c>
      <c r="L922">
        <f t="shared" si="45"/>
        <v>380250</v>
      </c>
    </row>
    <row r="923" spans="4:12" x14ac:dyDescent="0.25">
      <c r="D923" s="1">
        <v>42024</v>
      </c>
      <c r="E923">
        <v>29546</v>
      </c>
      <c r="F923" s="1">
        <v>42024</v>
      </c>
      <c r="G923">
        <v>-1425</v>
      </c>
      <c r="H923" s="1">
        <f t="shared" si="43"/>
        <v>42024</v>
      </c>
      <c r="I923">
        <f>IF(AND(MyRowHidden(ROW())=FALSE,MyRowHidden(ROW()-1)=TRUE),0,(E923-E922)*unitsOfDHp+I922)</f>
        <v>345460</v>
      </c>
      <c r="J923">
        <f>IF(AND(MyRowHidden(ROW())=FALSE,MyRowHidden(ROW()-1)=TRUE),0,(G923-G922)*unitsOfExo+J922)</f>
        <v>35750</v>
      </c>
      <c r="K923" s="9">
        <f t="shared" si="44"/>
        <v>64250</v>
      </c>
      <c r="L923">
        <f t="shared" si="45"/>
        <v>381210</v>
      </c>
    </row>
    <row r="924" spans="4:12" x14ac:dyDescent="0.25">
      <c r="D924" s="1">
        <v>42025</v>
      </c>
      <c r="E924">
        <v>29503</v>
      </c>
      <c r="F924" s="1">
        <v>42025</v>
      </c>
      <c r="G924">
        <v>-1512.5</v>
      </c>
      <c r="H924" s="1">
        <f t="shared" si="43"/>
        <v>42025</v>
      </c>
      <c r="I924">
        <f>IF(AND(MyRowHidden(ROW())=FALSE,MyRowHidden(ROW()-1)=TRUE),0,(E924-E923)*unitsOfDHp+I923)</f>
        <v>345030</v>
      </c>
      <c r="J924">
        <f>IF(AND(MyRowHidden(ROW())=FALSE,MyRowHidden(ROW()-1)=TRUE),0,(G924-G923)*unitsOfExo+J923)</f>
        <v>34875</v>
      </c>
      <c r="K924" s="9">
        <f t="shared" si="44"/>
        <v>65125</v>
      </c>
      <c r="L924">
        <f t="shared" si="45"/>
        <v>379905</v>
      </c>
    </row>
    <row r="925" spans="4:12" x14ac:dyDescent="0.25">
      <c r="D925" s="1">
        <v>42026</v>
      </c>
      <c r="E925">
        <v>29503</v>
      </c>
      <c r="F925" s="1">
        <v>42026</v>
      </c>
      <c r="G925">
        <v>-1712.5</v>
      </c>
      <c r="H925" s="1">
        <f t="shared" si="43"/>
        <v>42026</v>
      </c>
      <c r="I925">
        <f>IF(AND(MyRowHidden(ROW())=FALSE,MyRowHidden(ROW()-1)=TRUE),0,(E925-E924)*unitsOfDHp+I924)</f>
        <v>345030</v>
      </c>
      <c r="J925">
        <f>IF(AND(MyRowHidden(ROW())=FALSE,MyRowHidden(ROW()-1)=TRUE),0,(G925-G924)*unitsOfExo+J924)</f>
        <v>32875</v>
      </c>
      <c r="K925" s="9">
        <f t="shared" si="44"/>
        <v>67125</v>
      </c>
      <c r="L925">
        <f t="shared" si="45"/>
        <v>377905</v>
      </c>
    </row>
    <row r="926" spans="4:12" x14ac:dyDescent="0.25">
      <c r="D926" s="1">
        <v>42027</v>
      </c>
      <c r="E926">
        <v>29498</v>
      </c>
      <c r="F926" s="1">
        <v>42027</v>
      </c>
      <c r="G926">
        <v>-1625</v>
      </c>
      <c r="H926" s="1">
        <f t="shared" si="43"/>
        <v>42027</v>
      </c>
      <c r="I926">
        <f>IF(AND(MyRowHidden(ROW())=FALSE,MyRowHidden(ROW()-1)=TRUE),0,(E926-E925)*unitsOfDHp+I925)</f>
        <v>344980</v>
      </c>
      <c r="J926">
        <f>IF(AND(MyRowHidden(ROW())=FALSE,MyRowHidden(ROW()-1)=TRUE),0,(G926-G925)*unitsOfExo+J925)</f>
        <v>33750</v>
      </c>
      <c r="K926" s="9">
        <f t="shared" si="44"/>
        <v>66250</v>
      </c>
      <c r="L926">
        <f t="shared" si="45"/>
        <v>378730</v>
      </c>
    </row>
    <row r="927" spans="4:12" x14ac:dyDescent="0.25">
      <c r="D927" s="1">
        <v>42030</v>
      </c>
      <c r="E927">
        <v>29421</v>
      </c>
      <c r="F927" s="1">
        <v>42030</v>
      </c>
      <c r="G927">
        <v>-1675</v>
      </c>
      <c r="H927" s="1">
        <f t="shared" si="43"/>
        <v>42030</v>
      </c>
      <c r="I927">
        <f>IF(AND(MyRowHidden(ROW())=FALSE,MyRowHidden(ROW()-1)=TRUE),0,(E927-E926)*unitsOfDHp+I926)</f>
        <v>344210</v>
      </c>
      <c r="J927">
        <f>IF(AND(MyRowHidden(ROW())=FALSE,MyRowHidden(ROW()-1)=TRUE),0,(G927-G926)*unitsOfExo+J926)</f>
        <v>33250</v>
      </c>
      <c r="K927" s="9">
        <f t="shared" si="44"/>
        <v>66750</v>
      </c>
      <c r="L927">
        <f t="shared" si="45"/>
        <v>377460</v>
      </c>
    </row>
    <row r="928" spans="4:12" x14ac:dyDescent="0.25">
      <c r="D928" s="1">
        <v>42031</v>
      </c>
      <c r="E928">
        <v>29410</v>
      </c>
      <c r="F928" s="1">
        <v>42031</v>
      </c>
      <c r="G928">
        <v>-1762.5</v>
      </c>
      <c r="H928" s="1">
        <f t="shared" si="43"/>
        <v>42031</v>
      </c>
      <c r="I928">
        <f>IF(AND(MyRowHidden(ROW())=FALSE,MyRowHidden(ROW()-1)=TRUE),0,(E928-E927)*unitsOfDHp+I927)</f>
        <v>344100</v>
      </c>
      <c r="J928">
        <f>IF(AND(MyRowHidden(ROW())=FALSE,MyRowHidden(ROW()-1)=TRUE),0,(G928-G927)*unitsOfExo+J927)</f>
        <v>32375</v>
      </c>
      <c r="K928" s="9">
        <f t="shared" si="44"/>
        <v>67625</v>
      </c>
      <c r="L928">
        <f t="shared" si="45"/>
        <v>376475</v>
      </c>
    </row>
    <row r="929" spans="4:12" x14ac:dyDescent="0.25">
      <c r="D929" s="1">
        <v>42032</v>
      </c>
      <c r="E929">
        <v>29040</v>
      </c>
      <c r="F929" s="1">
        <v>42032</v>
      </c>
      <c r="G929">
        <v>-2087.5</v>
      </c>
      <c r="H929" s="1">
        <f t="shared" si="43"/>
        <v>42032</v>
      </c>
      <c r="I929">
        <f>IF(AND(MyRowHidden(ROW())=FALSE,MyRowHidden(ROW()-1)=TRUE),0,(E929-E928)*unitsOfDHp+I928)</f>
        <v>340400</v>
      </c>
      <c r="J929">
        <f>IF(AND(MyRowHidden(ROW())=FALSE,MyRowHidden(ROW()-1)=TRUE),0,(G929-G928)*unitsOfExo+J928)</f>
        <v>29125</v>
      </c>
      <c r="K929" s="9">
        <f t="shared" si="44"/>
        <v>70875</v>
      </c>
      <c r="L929">
        <f t="shared" si="45"/>
        <v>369525</v>
      </c>
    </row>
    <row r="930" spans="4:12" x14ac:dyDescent="0.25">
      <c r="D930" s="1">
        <v>42033</v>
      </c>
      <c r="E930">
        <v>28407</v>
      </c>
      <c r="F930" s="1">
        <v>42033</v>
      </c>
      <c r="G930">
        <v>-2387.5</v>
      </c>
      <c r="H930" s="1">
        <f t="shared" si="43"/>
        <v>42033</v>
      </c>
      <c r="I930">
        <f>IF(AND(MyRowHidden(ROW())=FALSE,MyRowHidden(ROW()-1)=TRUE),0,(E930-E929)*unitsOfDHp+I929)</f>
        <v>334070</v>
      </c>
      <c r="J930">
        <f>IF(AND(MyRowHidden(ROW())=FALSE,MyRowHidden(ROW()-1)=TRUE),0,(G930-G929)*unitsOfExo+J929)</f>
        <v>26125</v>
      </c>
      <c r="K930" s="9">
        <f t="shared" si="44"/>
        <v>73875</v>
      </c>
      <c r="L930">
        <f t="shared" si="45"/>
        <v>360195</v>
      </c>
    </row>
    <row r="931" spans="4:12" x14ac:dyDescent="0.25">
      <c r="D931" s="1">
        <v>42034</v>
      </c>
      <c r="E931">
        <v>28393</v>
      </c>
      <c r="F931" s="1">
        <v>42034</v>
      </c>
      <c r="G931">
        <v>-2400</v>
      </c>
      <c r="H931" s="1">
        <f t="shared" si="43"/>
        <v>42034</v>
      </c>
      <c r="I931">
        <f>IF(AND(MyRowHidden(ROW())=FALSE,MyRowHidden(ROW()-1)=TRUE),0,(E931-E930)*unitsOfDHp+I930)</f>
        <v>333930</v>
      </c>
      <c r="J931">
        <f>IF(AND(MyRowHidden(ROW())=FALSE,MyRowHidden(ROW()-1)=TRUE),0,(G931-G930)*unitsOfExo+J930)</f>
        <v>26000</v>
      </c>
      <c r="K931" s="9">
        <f t="shared" si="44"/>
        <v>74000</v>
      </c>
      <c r="L931">
        <f t="shared" si="45"/>
        <v>359930</v>
      </c>
    </row>
    <row r="932" spans="4:12" x14ac:dyDescent="0.25">
      <c r="D932" s="1">
        <v>42037</v>
      </c>
      <c r="E932">
        <v>28408</v>
      </c>
      <c r="F932" s="1">
        <v>42037</v>
      </c>
      <c r="G932">
        <v>-2375</v>
      </c>
      <c r="H932" s="1">
        <f t="shared" si="43"/>
        <v>42037</v>
      </c>
      <c r="I932">
        <f>IF(AND(MyRowHidden(ROW())=FALSE,MyRowHidden(ROW()-1)=TRUE),0,(E932-E931)*unitsOfDHp+I931)</f>
        <v>334080</v>
      </c>
      <c r="J932">
        <f>IF(AND(MyRowHidden(ROW())=FALSE,MyRowHidden(ROW()-1)=TRUE),0,(G932-G931)*unitsOfExo+J931)</f>
        <v>26250</v>
      </c>
      <c r="K932" s="9">
        <f t="shared" si="44"/>
        <v>73750</v>
      </c>
      <c r="L932">
        <f t="shared" si="45"/>
        <v>360330</v>
      </c>
    </row>
    <row r="933" spans="4:12" x14ac:dyDescent="0.25">
      <c r="D933" s="1">
        <v>42038</v>
      </c>
      <c r="E933">
        <v>28948</v>
      </c>
      <c r="F933" s="1">
        <v>42038</v>
      </c>
      <c r="G933">
        <v>-1600</v>
      </c>
      <c r="H933" s="1">
        <f t="shared" si="43"/>
        <v>42038</v>
      </c>
      <c r="I933">
        <f>IF(AND(MyRowHidden(ROW())=FALSE,MyRowHidden(ROW()-1)=TRUE),0,(E933-E932)*unitsOfDHp+I932)</f>
        <v>339480</v>
      </c>
      <c r="J933">
        <f>IF(AND(MyRowHidden(ROW())=FALSE,MyRowHidden(ROW()-1)=TRUE),0,(G933-G932)*unitsOfExo+J932)</f>
        <v>34000</v>
      </c>
      <c r="K933" s="9">
        <f t="shared" si="44"/>
        <v>66000</v>
      </c>
      <c r="L933">
        <f t="shared" si="45"/>
        <v>373480</v>
      </c>
    </row>
    <row r="934" spans="4:12" x14ac:dyDescent="0.25">
      <c r="D934" s="1">
        <v>42039</v>
      </c>
      <c r="E934">
        <v>28773</v>
      </c>
      <c r="F934" s="1">
        <v>42039</v>
      </c>
      <c r="G934">
        <v>-1862.5</v>
      </c>
      <c r="H934" s="1">
        <f t="shared" si="43"/>
        <v>42039</v>
      </c>
      <c r="I934">
        <f>IF(AND(MyRowHidden(ROW())=FALSE,MyRowHidden(ROW()-1)=TRUE),0,(E934-E933)*unitsOfDHp+I933)</f>
        <v>337730</v>
      </c>
      <c r="J934">
        <f>IF(AND(MyRowHidden(ROW())=FALSE,MyRowHidden(ROW()-1)=TRUE),0,(G934-G933)*unitsOfExo+J933)</f>
        <v>31375</v>
      </c>
      <c r="K934" s="9">
        <f t="shared" si="44"/>
        <v>68625</v>
      </c>
      <c r="L934">
        <f t="shared" si="45"/>
        <v>369105</v>
      </c>
    </row>
    <row r="935" spans="4:12" x14ac:dyDescent="0.25">
      <c r="D935" s="1">
        <v>42040</v>
      </c>
      <c r="E935">
        <v>28685</v>
      </c>
      <c r="F935" s="1">
        <v>42040</v>
      </c>
      <c r="G935">
        <v>-1712.5</v>
      </c>
      <c r="H935" s="1">
        <f t="shared" si="43"/>
        <v>42040</v>
      </c>
      <c r="I935">
        <f>IF(AND(MyRowHidden(ROW())=FALSE,MyRowHidden(ROW()-1)=TRUE),0,(E935-E934)*unitsOfDHp+I934)</f>
        <v>336850</v>
      </c>
      <c r="J935">
        <f>IF(AND(MyRowHidden(ROW())=FALSE,MyRowHidden(ROW()-1)=TRUE),0,(G935-G934)*unitsOfExo+J934)</f>
        <v>32875</v>
      </c>
      <c r="K935" s="9">
        <f t="shared" si="44"/>
        <v>67125</v>
      </c>
      <c r="L935">
        <f t="shared" si="45"/>
        <v>369725</v>
      </c>
    </row>
    <row r="936" spans="4:12" x14ac:dyDescent="0.25">
      <c r="D936" s="1">
        <v>42041</v>
      </c>
      <c r="E936">
        <v>28653</v>
      </c>
      <c r="F936" s="1">
        <v>42041</v>
      </c>
      <c r="G936">
        <v>-1775</v>
      </c>
      <c r="H936" s="1">
        <f t="shared" si="43"/>
        <v>42041</v>
      </c>
      <c r="I936">
        <f>IF(AND(MyRowHidden(ROW())=FALSE,MyRowHidden(ROW()-1)=TRUE),0,(E936-E935)*unitsOfDHp+I935)</f>
        <v>336530</v>
      </c>
      <c r="J936">
        <f>IF(AND(MyRowHidden(ROW())=FALSE,MyRowHidden(ROW()-1)=TRUE),0,(G936-G935)*unitsOfExo+J935)</f>
        <v>32250</v>
      </c>
      <c r="K936" s="9">
        <f t="shared" si="44"/>
        <v>67750</v>
      </c>
      <c r="L936">
        <f t="shared" si="45"/>
        <v>368780</v>
      </c>
    </row>
    <row r="937" spans="4:12" x14ac:dyDescent="0.25">
      <c r="D937" s="1">
        <v>42044</v>
      </c>
      <c r="E937">
        <v>28422</v>
      </c>
      <c r="F937" s="1">
        <v>42044</v>
      </c>
      <c r="G937">
        <v>-1375</v>
      </c>
      <c r="H937" s="1">
        <f t="shared" si="43"/>
        <v>42044</v>
      </c>
      <c r="I937">
        <f>IF(AND(MyRowHidden(ROW())=FALSE,MyRowHidden(ROW()-1)=TRUE),0,(E937-E936)*unitsOfDHp+I936)</f>
        <v>334220</v>
      </c>
      <c r="J937">
        <f>IF(AND(MyRowHidden(ROW())=FALSE,MyRowHidden(ROW()-1)=TRUE),0,(G937-G936)*unitsOfExo+J936)</f>
        <v>36250</v>
      </c>
      <c r="K937" s="9">
        <f t="shared" si="44"/>
        <v>63750</v>
      </c>
      <c r="L937">
        <f t="shared" si="45"/>
        <v>370470</v>
      </c>
    </row>
    <row r="938" spans="4:12" x14ac:dyDescent="0.25">
      <c r="D938" s="1">
        <v>42045</v>
      </c>
      <c r="E938">
        <v>28601</v>
      </c>
      <c r="F938" s="1">
        <v>42045</v>
      </c>
      <c r="G938">
        <v>-1550</v>
      </c>
      <c r="H938" s="1">
        <f t="shared" si="43"/>
        <v>42045</v>
      </c>
      <c r="I938">
        <f>IF(AND(MyRowHidden(ROW())=FALSE,MyRowHidden(ROW()-1)=TRUE),0,(E938-E937)*unitsOfDHp+I937)</f>
        <v>336010</v>
      </c>
      <c r="J938">
        <f>IF(AND(MyRowHidden(ROW())=FALSE,MyRowHidden(ROW()-1)=TRUE),0,(G938-G937)*unitsOfExo+J937)</f>
        <v>34500</v>
      </c>
      <c r="K938" s="9">
        <f t="shared" si="44"/>
        <v>65500</v>
      </c>
      <c r="L938">
        <f t="shared" si="45"/>
        <v>370510</v>
      </c>
    </row>
    <row r="939" spans="4:12" x14ac:dyDescent="0.25">
      <c r="D939" s="1">
        <v>42046</v>
      </c>
      <c r="E939">
        <v>28646</v>
      </c>
      <c r="F939" s="1">
        <v>42046</v>
      </c>
      <c r="G939">
        <v>-1550</v>
      </c>
      <c r="H939" s="1">
        <f t="shared" si="43"/>
        <v>42046</v>
      </c>
      <c r="I939">
        <f>IF(AND(MyRowHidden(ROW())=FALSE,MyRowHidden(ROW()-1)=TRUE),0,(E939-E938)*unitsOfDHp+I938)</f>
        <v>336460</v>
      </c>
      <c r="J939">
        <f>IF(AND(MyRowHidden(ROW())=FALSE,MyRowHidden(ROW()-1)=TRUE),0,(G939-G938)*unitsOfExo+J938)</f>
        <v>34500</v>
      </c>
      <c r="K939" s="9">
        <f t="shared" si="44"/>
        <v>65500</v>
      </c>
      <c r="L939">
        <f t="shared" si="45"/>
        <v>370960</v>
      </c>
    </row>
    <row r="940" spans="4:12" x14ac:dyDescent="0.25">
      <c r="D940" s="1">
        <v>42047</v>
      </c>
      <c r="E940">
        <v>29167</v>
      </c>
      <c r="F940" s="1">
        <v>42047</v>
      </c>
      <c r="G940">
        <v>-1762.5</v>
      </c>
      <c r="H940" s="1">
        <f t="shared" si="43"/>
        <v>42047</v>
      </c>
      <c r="I940">
        <f>IF(AND(MyRowHidden(ROW())=FALSE,MyRowHidden(ROW()-1)=TRUE),0,(E940-E939)*unitsOfDHp+I939)</f>
        <v>341670</v>
      </c>
      <c r="J940">
        <f>IF(AND(MyRowHidden(ROW())=FALSE,MyRowHidden(ROW()-1)=TRUE),0,(G940-G939)*unitsOfExo+J939)</f>
        <v>32375</v>
      </c>
      <c r="K940" s="9">
        <f t="shared" si="44"/>
        <v>67625</v>
      </c>
      <c r="L940">
        <f t="shared" si="45"/>
        <v>374045</v>
      </c>
    </row>
    <row r="941" spans="4:12" x14ac:dyDescent="0.25">
      <c r="D941" s="1">
        <v>42048</v>
      </c>
      <c r="E941">
        <v>29162</v>
      </c>
      <c r="F941" s="1">
        <v>42048</v>
      </c>
      <c r="G941">
        <v>-1637.5</v>
      </c>
      <c r="H941" s="1">
        <f t="shared" si="43"/>
        <v>42048</v>
      </c>
      <c r="I941">
        <f>IF(AND(MyRowHidden(ROW())=FALSE,MyRowHidden(ROW()-1)=TRUE),0,(E941-E940)*unitsOfDHp+I940)</f>
        <v>341620</v>
      </c>
      <c r="J941">
        <f>IF(AND(MyRowHidden(ROW())=FALSE,MyRowHidden(ROW()-1)=TRUE),0,(G941-G940)*unitsOfExo+J940)</f>
        <v>33625</v>
      </c>
      <c r="K941" s="9">
        <f t="shared" si="44"/>
        <v>66375</v>
      </c>
      <c r="L941">
        <f t="shared" si="45"/>
        <v>375245</v>
      </c>
    </row>
    <row r="942" spans="4:12" x14ac:dyDescent="0.25">
      <c r="D942" s="1">
        <v>42052</v>
      </c>
      <c r="E942">
        <v>29188</v>
      </c>
      <c r="F942" s="1">
        <v>42052</v>
      </c>
      <c r="G942">
        <v>-1462.5</v>
      </c>
      <c r="H942" s="1">
        <f t="shared" si="43"/>
        <v>42052</v>
      </c>
      <c r="I942">
        <f>IF(AND(MyRowHidden(ROW())=FALSE,MyRowHidden(ROW()-1)=TRUE),0,(E942-E941)*unitsOfDHp+I941)</f>
        <v>341880</v>
      </c>
      <c r="J942">
        <f>IF(AND(MyRowHidden(ROW())=FALSE,MyRowHidden(ROW()-1)=TRUE),0,(G942-G941)*unitsOfExo+J941)</f>
        <v>35375</v>
      </c>
      <c r="K942" s="9">
        <f t="shared" si="44"/>
        <v>64625</v>
      </c>
      <c r="L942">
        <f t="shared" si="45"/>
        <v>377255</v>
      </c>
    </row>
    <row r="943" spans="4:12" x14ac:dyDescent="0.25">
      <c r="D943" s="1">
        <v>42053</v>
      </c>
      <c r="E943">
        <v>29058</v>
      </c>
      <c r="F943" s="1">
        <v>42053</v>
      </c>
      <c r="G943">
        <v>-1725</v>
      </c>
      <c r="H943" s="1">
        <f t="shared" si="43"/>
        <v>42053</v>
      </c>
      <c r="I943">
        <f>IF(AND(MyRowHidden(ROW())=FALSE,MyRowHidden(ROW()-1)=TRUE),0,(E943-E942)*unitsOfDHp+I942)</f>
        <v>340580</v>
      </c>
      <c r="J943">
        <f>IF(AND(MyRowHidden(ROW())=FALSE,MyRowHidden(ROW()-1)=TRUE),0,(G943-G942)*unitsOfExo+J942)</f>
        <v>32750</v>
      </c>
      <c r="K943" s="9">
        <f t="shared" si="44"/>
        <v>67250</v>
      </c>
      <c r="L943">
        <f t="shared" si="45"/>
        <v>373330</v>
      </c>
    </row>
    <row r="944" spans="4:12" x14ac:dyDescent="0.25">
      <c r="D944" s="1">
        <v>42054</v>
      </c>
      <c r="E944">
        <v>29021</v>
      </c>
      <c r="F944" s="1">
        <v>42054</v>
      </c>
      <c r="G944">
        <v>-1462.5</v>
      </c>
      <c r="H944" s="1">
        <f t="shared" si="43"/>
        <v>42054</v>
      </c>
      <c r="I944">
        <f>IF(AND(MyRowHidden(ROW())=FALSE,MyRowHidden(ROW()-1)=TRUE),0,(E944-E943)*unitsOfDHp+I943)</f>
        <v>340210</v>
      </c>
      <c r="J944">
        <f>IF(AND(MyRowHidden(ROW())=FALSE,MyRowHidden(ROW()-1)=TRUE),0,(G944-G943)*unitsOfExo+J943)</f>
        <v>35375</v>
      </c>
      <c r="K944" s="9">
        <f t="shared" si="44"/>
        <v>64625</v>
      </c>
      <c r="L944">
        <f t="shared" si="45"/>
        <v>375585</v>
      </c>
    </row>
    <row r="945" spans="4:12" x14ac:dyDescent="0.25">
      <c r="D945" s="1">
        <v>42055</v>
      </c>
      <c r="E945">
        <v>28807</v>
      </c>
      <c r="F945" s="1">
        <v>42055</v>
      </c>
      <c r="G945">
        <v>-1712.5</v>
      </c>
      <c r="H945" s="1">
        <f t="shared" si="43"/>
        <v>42055</v>
      </c>
      <c r="I945">
        <f>IF(AND(MyRowHidden(ROW())=FALSE,MyRowHidden(ROW()-1)=TRUE),0,(E945-E944)*unitsOfDHp+I944)</f>
        <v>338070</v>
      </c>
      <c r="J945">
        <f>IF(AND(MyRowHidden(ROW())=FALSE,MyRowHidden(ROW()-1)=TRUE),0,(G945-G944)*unitsOfExo+J944)</f>
        <v>32875</v>
      </c>
      <c r="K945" s="9">
        <f t="shared" si="44"/>
        <v>67125</v>
      </c>
      <c r="L945">
        <f t="shared" si="45"/>
        <v>370945</v>
      </c>
    </row>
    <row r="946" spans="4:12" x14ac:dyDescent="0.25">
      <c r="D946" s="1">
        <v>42058</v>
      </c>
      <c r="E946">
        <v>28588</v>
      </c>
      <c r="F946" s="1">
        <v>42058</v>
      </c>
      <c r="G946">
        <v>-1937.5</v>
      </c>
      <c r="H946" s="1">
        <f t="shared" si="43"/>
        <v>42058</v>
      </c>
      <c r="I946">
        <f>IF(AND(MyRowHidden(ROW())=FALSE,MyRowHidden(ROW()-1)=TRUE),0,(E946-E945)*unitsOfDHp+I945)</f>
        <v>335880</v>
      </c>
      <c r="J946">
        <f>IF(AND(MyRowHidden(ROW())=FALSE,MyRowHidden(ROW()-1)=TRUE),0,(G946-G945)*unitsOfExo+J945)</f>
        <v>30625</v>
      </c>
      <c r="K946" s="9">
        <f t="shared" si="44"/>
        <v>69375</v>
      </c>
      <c r="L946">
        <f t="shared" si="45"/>
        <v>366505</v>
      </c>
    </row>
    <row r="947" spans="4:12" x14ac:dyDescent="0.25">
      <c r="D947" s="1">
        <v>42059</v>
      </c>
      <c r="E947">
        <v>28577</v>
      </c>
      <c r="F947" s="1">
        <v>42059</v>
      </c>
      <c r="G947">
        <v>-1975</v>
      </c>
      <c r="H947" s="1">
        <f t="shared" si="43"/>
        <v>42059</v>
      </c>
      <c r="I947">
        <f>IF(AND(MyRowHidden(ROW())=FALSE,MyRowHidden(ROW()-1)=TRUE),0,(E947-E946)*unitsOfDHp+I946)</f>
        <v>335770</v>
      </c>
      <c r="J947">
        <f>IF(AND(MyRowHidden(ROW())=FALSE,MyRowHidden(ROW()-1)=TRUE),0,(G947-G946)*unitsOfExo+J946)</f>
        <v>30250</v>
      </c>
      <c r="K947" s="9">
        <f t="shared" si="44"/>
        <v>69750</v>
      </c>
      <c r="L947">
        <f t="shared" si="45"/>
        <v>366020</v>
      </c>
    </row>
    <row r="948" spans="4:12" x14ac:dyDescent="0.25">
      <c r="D948" s="1">
        <v>42060</v>
      </c>
      <c r="E948">
        <v>28393</v>
      </c>
      <c r="F948" s="1">
        <v>42060</v>
      </c>
      <c r="G948">
        <v>-2262.5</v>
      </c>
      <c r="H948" s="1">
        <f t="shared" si="43"/>
        <v>42060</v>
      </c>
      <c r="I948">
        <f>IF(AND(MyRowHidden(ROW())=FALSE,MyRowHidden(ROW()-1)=TRUE),0,(E948-E947)*unitsOfDHp+I947)</f>
        <v>333930</v>
      </c>
      <c r="J948">
        <f>IF(AND(MyRowHidden(ROW())=FALSE,MyRowHidden(ROW()-1)=TRUE),0,(G948-G947)*unitsOfExo+J947)</f>
        <v>27375</v>
      </c>
      <c r="K948" s="9">
        <f t="shared" si="44"/>
        <v>72625</v>
      </c>
      <c r="L948">
        <f t="shared" si="45"/>
        <v>361305</v>
      </c>
    </row>
    <row r="949" spans="4:12" x14ac:dyDescent="0.25">
      <c r="D949" s="1">
        <v>42061</v>
      </c>
      <c r="E949">
        <v>28626</v>
      </c>
      <c r="F949" s="1">
        <v>42061</v>
      </c>
      <c r="G949">
        <v>-1925</v>
      </c>
      <c r="H949" s="1">
        <f t="shared" si="43"/>
        <v>42061</v>
      </c>
      <c r="I949">
        <f>IF(AND(MyRowHidden(ROW())=FALSE,MyRowHidden(ROW()-1)=TRUE),0,(E949-E948)*unitsOfDHp+I948)</f>
        <v>336260</v>
      </c>
      <c r="J949">
        <f>IF(AND(MyRowHidden(ROW())=FALSE,MyRowHidden(ROW()-1)=TRUE),0,(G949-G948)*unitsOfExo+J948)</f>
        <v>30750</v>
      </c>
      <c r="K949" s="9">
        <f t="shared" si="44"/>
        <v>69250</v>
      </c>
      <c r="L949">
        <f t="shared" si="45"/>
        <v>367010</v>
      </c>
    </row>
    <row r="950" spans="4:12" x14ac:dyDescent="0.25">
      <c r="D950" s="1">
        <v>42062</v>
      </c>
      <c r="E950">
        <v>29249</v>
      </c>
      <c r="F950" s="1">
        <v>42062</v>
      </c>
      <c r="G950">
        <v>-1562.5</v>
      </c>
      <c r="H950" s="1">
        <f t="shared" si="43"/>
        <v>42062</v>
      </c>
      <c r="I950">
        <f>IF(AND(MyRowHidden(ROW())=FALSE,MyRowHidden(ROW()-1)=TRUE),0,(E950-E949)*unitsOfDHp+I949)</f>
        <v>342490</v>
      </c>
      <c r="J950">
        <f>IF(AND(MyRowHidden(ROW())=FALSE,MyRowHidden(ROW()-1)=TRUE),0,(G950-G949)*unitsOfExo+J949)</f>
        <v>34375</v>
      </c>
      <c r="K950" s="9">
        <f t="shared" si="44"/>
        <v>65625</v>
      </c>
      <c r="L950">
        <f t="shared" si="45"/>
        <v>376865</v>
      </c>
    </row>
    <row r="951" spans="4:12" x14ac:dyDescent="0.25">
      <c r="D951" s="1">
        <v>42065</v>
      </c>
      <c r="E951">
        <v>29012</v>
      </c>
      <c r="F951" s="1">
        <v>42065</v>
      </c>
      <c r="G951">
        <v>-1975</v>
      </c>
      <c r="H951" s="1">
        <f t="shared" si="43"/>
        <v>42065</v>
      </c>
      <c r="I951">
        <f>IF(AND(MyRowHidden(ROW())=FALSE,MyRowHidden(ROW()-1)=TRUE),0,(E951-E950)*unitsOfDHp+I950)</f>
        <v>340120</v>
      </c>
      <c r="J951">
        <f>IF(AND(MyRowHidden(ROW())=FALSE,MyRowHidden(ROW()-1)=TRUE),0,(G951-G950)*unitsOfExo+J950)</f>
        <v>30250</v>
      </c>
      <c r="K951" s="9">
        <f t="shared" si="44"/>
        <v>69750</v>
      </c>
      <c r="L951">
        <f t="shared" si="45"/>
        <v>370370</v>
      </c>
    </row>
    <row r="952" spans="4:12" x14ac:dyDescent="0.25">
      <c r="D952" s="1">
        <v>42066</v>
      </c>
      <c r="E952">
        <v>28961</v>
      </c>
      <c r="F952" s="1">
        <v>42066</v>
      </c>
      <c r="G952">
        <v>-1850</v>
      </c>
      <c r="H952" s="1">
        <f t="shared" si="43"/>
        <v>42066</v>
      </c>
      <c r="I952">
        <f>IF(AND(MyRowHidden(ROW())=FALSE,MyRowHidden(ROW()-1)=TRUE),0,(E952-E951)*unitsOfDHp+I951)</f>
        <v>339610</v>
      </c>
      <c r="J952">
        <f>IF(AND(MyRowHidden(ROW())=FALSE,MyRowHidden(ROW()-1)=TRUE),0,(G952-G951)*unitsOfExo+J951)</f>
        <v>31500</v>
      </c>
      <c r="K952" s="9">
        <f t="shared" si="44"/>
        <v>68500</v>
      </c>
      <c r="L952">
        <f t="shared" si="45"/>
        <v>371110</v>
      </c>
    </row>
    <row r="953" spans="4:12" x14ac:dyDescent="0.25">
      <c r="D953" s="1">
        <v>42067</v>
      </c>
      <c r="E953">
        <v>28955</v>
      </c>
      <c r="F953" s="1">
        <v>42067</v>
      </c>
      <c r="G953">
        <v>-1875</v>
      </c>
      <c r="H953" s="1">
        <f t="shared" si="43"/>
        <v>42067</v>
      </c>
      <c r="I953">
        <f>IF(AND(MyRowHidden(ROW())=FALSE,MyRowHidden(ROW()-1)=TRUE),0,(E953-E952)*unitsOfDHp+I952)</f>
        <v>339550</v>
      </c>
      <c r="J953">
        <f>IF(AND(MyRowHidden(ROW())=FALSE,MyRowHidden(ROW()-1)=TRUE),0,(G953-G952)*unitsOfExo+J952)</f>
        <v>31250</v>
      </c>
      <c r="K953" s="9">
        <f t="shared" si="44"/>
        <v>68750</v>
      </c>
      <c r="L953">
        <f t="shared" si="45"/>
        <v>370800</v>
      </c>
    </row>
    <row r="954" spans="4:12" x14ac:dyDescent="0.25">
      <c r="D954" s="1">
        <v>42068</v>
      </c>
      <c r="E954">
        <v>28927</v>
      </c>
      <c r="F954" s="1">
        <v>42068</v>
      </c>
      <c r="G954">
        <v>-1750</v>
      </c>
      <c r="H954" s="1">
        <f t="shared" si="43"/>
        <v>42068</v>
      </c>
      <c r="I954">
        <f>IF(AND(MyRowHidden(ROW())=FALSE,MyRowHidden(ROW()-1)=TRUE),0,(E954-E953)*unitsOfDHp+I953)</f>
        <v>339270</v>
      </c>
      <c r="J954">
        <f>IF(AND(MyRowHidden(ROW())=FALSE,MyRowHidden(ROW()-1)=TRUE),0,(G954-G953)*unitsOfExo+J953)</f>
        <v>32500</v>
      </c>
      <c r="K954" s="9">
        <f t="shared" si="44"/>
        <v>67500</v>
      </c>
      <c r="L954">
        <f t="shared" si="45"/>
        <v>371770</v>
      </c>
    </row>
    <row r="955" spans="4:12" x14ac:dyDescent="0.25">
      <c r="D955" s="1">
        <v>42069</v>
      </c>
      <c r="E955">
        <v>28890</v>
      </c>
      <c r="F955" s="1">
        <v>42069</v>
      </c>
      <c r="G955">
        <v>-2050</v>
      </c>
      <c r="H955" s="1">
        <f t="shared" si="43"/>
        <v>42069</v>
      </c>
      <c r="I955">
        <f>IF(AND(MyRowHidden(ROW())=FALSE,MyRowHidden(ROW()-1)=TRUE),0,(E955-E954)*unitsOfDHp+I954)</f>
        <v>338900</v>
      </c>
      <c r="J955">
        <f>IF(AND(MyRowHidden(ROW())=FALSE,MyRowHidden(ROW()-1)=TRUE),0,(G955-G954)*unitsOfExo+J954)</f>
        <v>29500</v>
      </c>
      <c r="K955" s="9">
        <f t="shared" si="44"/>
        <v>70500</v>
      </c>
      <c r="L955">
        <f t="shared" si="45"/>
        <v>368400</v>
      </c>
    </row>
    <row r="956" spans="4:12" x14ac:dyDescent="0.25">
      <c r="D956" s="1">
        <v>42072</v>
      </c>
      <c r="E956">
        <v>29109</v>
      </c>
      <c r="F956" s="1">
        <v>42072</v>
      </c>
      <c r="G956">
        <v>-1700</v>
      </c>
      <c r="H956" s="1">
        <f t="shared" si="43"/>
        <v>42072</v>
      </c>
      <c r="I956">
        <f>IF(AND(MyRowHidden(ROW())=FALSE,MyRowHidden(ROW()-1)=TRUE),0,(E956-E955)*unitsOfDHp+I955)</f>
        <v>341090</v>
      </c>
      <c r="J956">
        <f>IF(AND(MyRowHidden(ROW())=FALSE,MyRowHidden(ROW()-1)=TRUE),0,(G956-G955)*unitsOfExo+J955)</f>
        <v>33000</v>
      </c>
      <c r="K956" s="9">
        <f t="shared" si="44"/>
        <v>67000</v>
      </c>
      <c r="L956">
        <f t="shared" si="45"/>
        <v>374090</v>
      </c>
    </row>
    <row r="957" spans="4:12" x14ac:dyDescent="0.25">
      <c r="D957" s="1">
        <v>42073</v>
      </c>
      <c r="E957">
        <v>28958</v>
      </c>
      <c r="F957" s="1">
        <v>42073</v>
      </c>
      <c r="G957">
        <v>-1900</v>
      </c>
      <c r="H957" s="1">
        <f t="shared" si="43"/>
        <v>42073</v>
      </c>
      <c r="I957">
        <f>IF(AND(MyRowHidden(ROW())=FALSE,MyRowHidden(ROW()-1)=TRUE),0,(E957-E956)*unitsOfDHp+I956)</f>
        <v>339580</v>
      </c>
      <c r="J957">
        <f>IF(AND(MyRowHidden(ROW())=FALSE,MyRowHidden(ROW()-1)=TRUE),0,(G957-G956)*unitsOfExo+J956)</f>
        <v>31000</v>
      </c>
      <c r="K957" s="9">
        <f t="shared" si="44"/>
        <v>69000</v>
      </c>
      <c r="L957">
        <f t="shared" si="45"/>
        <v>370580</v>
      </c>
    </row>
    <row r="958" spans="4:12" x14ac:dyDescent="0.25">
      <c r="D958" s="1">
        <v>42074</v>
      </c>
      <c r="E958">
        <v>29107</v>
      </c>
      <c r="F958" s="1">
        <v>42074</v>
      </c>
      <c r="G958">
        <v>-1675</v>
      </c>
      <c r="H958" s="1">
        <f t="shared" si="43"/>
        <v>42074</v>
      </c>
      <c r="I958">
        <f>IF(AND(MyRowHidden(ROW())=FALSE,MyRowHidden(ROW()-1)=TRUE),0,(E958-E957)*unitsOfDHp+I957)</f>
        <v>341070</v>
      </c>
      <c r="J958">
        <f>IF(AND(MyRowHidden(ROW())=FALSE,MyRowHidden(ROW()-1)=TRUE),0,(G958-G957)*unitsOfExo+J957)</f>
        <v>33250</v>
      </c>
      <c r="K958" s="9">
        <f t="shared" si="44"/>
        <v>66750</v>
      </c>
      <c r="L958">
        <f t="shared" si="45"/>
        <v>374320</v>
      </c>
    </row>
    <row r="959" spans="4:12" x14ac:dyDescent="0.25">
      <c r="D959" s="1">
        <v>42075</v>
      </c>
      <c r="E959">
        <v>29106</v>
      </c>
      <c r="F959" s="1">
        <v>42075</v>
      </c>
      <c r="G959">
        <v>-1775</v>
      </c>
      <c r="H959" s="1">
        <f t="shared" si="43"/>
        <v>42075</v>
      </c>
      <c r="I959">
        <f>IF(AND(MyRowHidden(ROW())=FALSE,MyRowHidden(ROW()-1)=TRUE),0,(E959-E958)*unitsOfDHp+I958)</f>
        <v>341060</v>
      </c>
      <c r="J959">
        <f>IF(AND(MyRowHidden(ROW())=FALSE,MyRowHidden(ROW()-1)=TRUE),0,(G959-G958)*unitsOfExo+J958)</f>
        <v>32250</v>
      </c>
      <c r="K959" s="9">
        <f t="shared" si="44"/>
        <v>67750</v>
      </c>
      <c r="L959">
        <f t="shared" si="45"/>
        <v>373310</v>
      </c>
    </row>
    <row r="960" spans="4:12" x14ac:dyDescent="0.25">
      <c r="D960" s="1">
        <v>42076</v>
      </c>
      <c r="E960">
        <v>29273</v>
      </c>
      <c r="F960" s="1">
        <v>42076</v>
      </c>
      <c r="G960">
        <v>-2187.5</v>
      </c>
      <c r="H960" s="1">
        <f t="shared" si="43"/>
        <v>42076</v>
      </c>
      <c r="I960">
        <f>IF(AND(MyRowHidden(ROW())=FALSE,MyRowHidden(ROW()-1)=TRUE),0,(E960-E959)*unitsOfDHp+I959)</f>
        <v>342730</v>
      </c>
      <c r="J960">
        <f>IF(AND(MyRowHidden(ROW())=FALSE,MyRowHidden(ROW()-1)=TRUE),0,(G960-G959)*unitsOfExo+J959)</f>
        <v>28125</v>
      </c>
      <c r="K960" s="9">
        <f t="shared" si="44"/>
        <v>71875</v>
      </c>
      <c r="L960">
        <f t="shared" si="45"/>
        <v>370855</v>
      </c>
    </row>
    <row r="961" spans="4:12" x14ac:dyDescent="0.25">
      <c r="D961" s="1">
        <v>42079</v>
      </c>
      <c r="E961">
        <v>28974</v>
      </c>
      <c r="F961" s="1">
        <v>42079</v>
      </c>
      <c r="G961">
        <v>-2312.5</v>
      </c>
      <c r="H961" s="1">
        <f t="shared" si="43"/>
        <v>42079</v>
      </c>
      <c r="I961">
        <f>IF(AND(MyRowHidden(ROW())=FALSE,MyRowHidden(ROW()-1)=TRUE),0,(E961-E960)*unitsOfDHp+I960)</f>
        <v>339740</v>
      </c>
      <c r="J961">
        <f>IF(AND(MyRowHidden(ROW())=FALSE,MyRowHidden(ROW()-1)=TRUE),0,(G961-G960)*unitsOfExo+J960)</f>
        <v>26875</v>
      </c>
      <c r="K961" s="9">
        <f t="shared" si="44"/>
        <v>73125</v>
      </c>
      <c r="L961">
        <f t="shared" si="45"/>
        <v>366615</v>
      </c>
    </row>
    <row r="962" spans="4:12" x14ac:dyDescent="0.25">
      <c r="D962" s="1">
        <v>42080</v>
      </c>
      <c r="E962">
        <v>27890</v>
      </c>
      <c r="F962" s="1">
        <v>42080</v>
      </c>
      <c r="G962">
        <v>-2712.5</v>
      </c>
      <c r="H962" s="1">
        <f t="shared" si="43"/>
        <v>42080</v>
      </c>
      <c r="I962">
        <f>IF(AND(MyRowHidden(ROW())=FALSE,MyRowHidden(ROW()-1)=TRUE),0,(E962-E961)*unitsOfDHp+I961)</f>
        <v>328900</v>
      </c>
      <c r="J962">
        <f>IF(AND(MyRowHidden(ROW())=FALSE,MyRowHidden(ROW()-1)=TRUE),0,(G962-G961)*unitsOfExo+J961)</f>
        <v>22875</v>
      </c>
      <c r="K962" s="9">
        <f t="shared" si="44"/>
        <v>77125</v>
      </c>
      <c r="L962">
        <f t="shared" si="45"/>
        <v>351775</v>
      </c>
    </row>
    <row r="963" spans="4:12" x14ac:dyDescent="0.25">
      <c r="D963" s="1">
        <v>42081</v>
      </c>
      <c r="E963">
        <v>28127</v>
      </c>
      <c r="F963" s="1">
        <v>42081</v>
      </c>
      <c r="G963">
        <v>-2612.5</v>
      </c>
      <c r="H963" s="1">
        <f t="shared" si="43"/>
        <v>42081</v>
      </c>
      <c r="I963">
        <f>IF(AND(MyRowHidden(ROW())=FALSE,MyRowHidden(ROW()-1)=TRUE),0,(E963-E962)*unitsOfDHp+I962)</f>
        <v>331270</v>
      </c>
      <c r="J963">
        <f>IF(AND(MyRowHidden(ROW())=FALSE,MyRowHidden(ROW()-1)=TRUE),0,(G963-G962)*unitsOfExo+J962)</f>
        <v>23875</v>
      </c>
      <c r="K963" s="9">
        <f t="shared" si="44"/>
        <v>76125</v>
      </c>
      <c r="L963">
        <f t="shared" si="45"/>
        <v>355145</v>
      </c>
    </row>
    <row r="964" spans="4:12" x14ac:dyDescent="0.25">
      <c r="D964" s="1">
        <v>42082</v>
      </c>
      <c r="E964">
        <v>28140</v>
      </c>
      <c r="F964" s="1">
        <v>42082</v>
      </c>
      <c r="G964">
        <v>-2612.5</v>
      </c>
      <c r="H964" s="1">
        <f t="shared" si="43"/>
        <v>42082</v>
      </c>
      <c r="I964">
        <f>IF(AND(MyRowHidden(ROW())=FALSE,MyRowHidden(ROW()-1)=TRUE),0,(E964-E963)*unitsOfDHp+I963)</f>
        <v>331400</v>
      </c>
      <c r="J964">
        <f>IF(AND(MyRowHidden(ROW())=FALSE,MyRowHidden(ROW()-1)=TRUE),0,(G964-G963)*unitsOfExo+J963)</f>
        <v>23875</v>
      </c>
      <c r="K964" s="9">
        <f t="shared" si="44"/>
        <v>76125</v>
      </c>
      <c r="L964">
        <f t="shared" si="45"/>
        <v>355275</v>
      </c>
    </row>
    <row r="965" spans="4:12" x14ac:dyDescent="0.25">
      <c r="D965" s="1">
        <v>42083</v>
      </c>
      <c r="E965">
        <v>29898</v>
      </c>
      <c r="F965" s="1">
        <v>42083</v>
      </c>
      <c r="G965">
        <v>-1937.5</v>
      </c>
      <c r="H965" s="1">
        <f t="shared" si="43"/>
        <v>42083</v>
      </c>
      <c r="I965">
        <f>IF(AND(MyRowHidden(ROW())=FALSE,MyRowHidden(ROW()-1)=TRUE),0,(E965-E964)*unitsOfDHp+I964)</f>
        <v>348980</v>
      </c>
      <c r="J965">
        <f>IF(AND(MyRowHidden(ROW())=FALSE,MyRowHidden(ROW()-1)=TRUE),0,(G965-G964)*unitsOfExo+J964)</f>
        <v>30625</v>
      </c>
      <c r="K965" s="9">
        <f t="shared" si="44"/>
        <v>69375</v>
      </c>
      <c r="L965">
        <f t="shared" si="45"/>
        <v>379605</v>
      </c>
    </row>
    <row r="966" spans="4:12" x14ac:dyDescent="0.25">
      <c r="D966" s="1">
        <v>42086</v>
      </c>
      <c r="E966">
        <v>30272</v>
      </c>
      <c r="F966" s="1">
        <v>42086</v>
      </c>
      <c r="G966">
        <v>-1700</v>
      </c>
      <c r="H966" s="1">
        <f t="shared" si="43"/>
        <v>42086</v>
      </c>
      <c r="I966">
        <f>IF(AND(MyRowHidden(ROW())=FALSE,MyRowHidden(ROW()-1)=TRUE),0,(E966-E965)*unitsOfDHp+I965)</f>
        <v>352720</v>
      </c>
      <c r="J966">
        <f>IF(AND(MyRowHidden(ROW())=FALSE,MyRowHidden(ROW()-1)=TRUE),0,(G966-G965)*unitsOfExo+J965)</f>
        <v>33000</v>
      </c>
      <c r="K966" s="9">
        <f t="shared" si="44"/>
        <v>67000</v>
      </c>
      <c r="L966">
        <f t="shared" si="45"/>
        <v>385720</v>
      </c>
    </row>
    <row r="967" spans="4:12" x14ac:dyDescent="0.25">
      <c r="D967" s="1">
        <v>42087</v>
      </c>
      <c r="E967">
        <v>30549</v>
      </c>
      <c r="F967" s="1">
        <v>42087</v>
      </c>
      <c r="G967">
        <v>-1600</v>
      </c>
      <c r="H967" s="1">
        <f t="shared" si="43"/>
        <v>42087</v>
      </c>
      <c r="I967">
        <f>IF(AND(MyRowHidden(ROW())=FALSE,MyRowHidden(ROW()-1)=TRUE),0,(E967-E966)*unitsOfDHp+I966)</f>
        <v>355490</v>
      </c>
      <c r="J967">
        <f>IF(AND(MyRowHidden(ROW())=FALSE,MyRowHidden(ROW()-1)=TRUE),0,(G967-G966)*unitsOfExo+J966)</f>
        <v>34000</v>
      </c>
      <c r="K967" s="9">
        <f t="shared" si="44"/>
        <v>66000</v>
      </c>
      <c r="L967">
        <f t="shared" si="45"/>
        <v>389490</v>
      </c>
    </row>
    <row r="968" spans="4:12" x14ac:dyDescent="0.25">
      <c r="D968" s="1">
        <v>42088</v>
      </c>
      <c r="E968">
        <v>30403</v>
      </c>
      <c r="F968" s="1">
        <v>42088</v>
      </c>
      <c r="G968">
        <v>-1475</v>
      </c>
      <c r="H968" s="1">
        <f t="shared" si="43"/>
        <v>42088</v>
      </c>
      <c r="I968">
        <f>IF(AND(MyRowHidden(ROW())=FALSE,MyRowHidden(ROW()-1)=TRUE),0,(E968-E967)*unitsOfDHp+I967)</f>
        <v>354030</v>
      </c>
      <c r="J968">
        <f>IF(AND(MyRowHidden(ROW())=FALSE,MyRowHidden(ROW()-1)=TRUE),0,(G968-G967)*unitsOfExo+J967)</f>
        <v>35250</v>
      </c>
      <c r="K968" s="9">
        <f t="shared" si="44"/>
        <v>64750</v>
      </c>
      <c r="L968">
        <f t="shared" si="45"/>
        <v>389280</v>
      </c>
    </row>
    <row r="969" spans="4:12" x14ac:dyDescent="0.25">
      <c r="D969" s="1">
        <v>42089</v>
      </c>
      <c r="E969">
        <v>30417</v>
      </c>
      <c r="F969" s="1">
        <v>42089</v>
      </c>
      <c r="G969">
        <v>-1687.5</v>
      </c>
      <c r="H969" s="1">
        <f t="shared" si="43"/>
        <v>42089</v>
      </c>
      <c r="I969">
        <f>IF(AND(MyRowHidden(ROW())=FALSE,MyRowHidden(ROW()-1)=TRUE),0,(E969-E968)*unitsOfDHp+I968)</f>
        <v>354170</v>
      </c>
      <c r="J969">
        <f>IF(AND(MyRowHidden(ROW())=FALSE,MyRowHidden(ROW()-1)=TRUE),0,(G969-G968)*unitsOfExo+J968)</f>
        <v>33125</v>
      </c>
      <c r="K969" s="9">
        <f t="shared" si="44"/>
        <v>66875</v>
      </c>
      <c r="L969">
        <f t="shared" si="45"/>
        <v>387295</v>
      </c>
    </row>
    <row r="970" spans="4:12" x14ac:dyDescent="0.25">
      <c r="D970" s="1">
        <v>42090</v>
      </c>
      <c r="E970">
        <v>30482</v>
      </c>
      <c r="F970" s="1">
        <v>42090</v>
      </c>
      <c r="G970">
        <v>-1700</v>
      </c>
      <c r="H970" s="1">
        <f t="shared" si="43"/>
        <v>42090</v>
      </c>
      <c r="I970">
        <f>IF(AND(MyRowHidden(ROW())=FALSE,MyRowHidden(ROW()-1)=TRUE),0,(E970-E969)*unitsOfDHp+I969)</f>
        <v>354820</v>
      </c>
      <c r="J970">
        <f>IF(AND(MyRowHidden(ROW())=FALSE,MyRowHidden(ROW()-1)=TRUE),0,(G970-G969)*unitsOfExo+J969)</f>
        <v>33000</v>
      </c>
      <c r="K970" s="9">
        <f t="shared" si="44"/>
        <v>67000</v>
      </c>
      <c r="L970">
        <f t="shared" si="45"/>
        <v>387820</v>
      </c>
    </row>
    <row r="971" spans="4:12" x14ac:dyDescent="0.25">
      <c r="D971" s="1">
        <v>42093</v>
      </c>
      <c r="E971">
        <v>30674</v>
      </c>
      <c r="F971" s="1">
        <v>42093</v>
      </c>
      <c r="G971">
        <v>-1550</v>
      </c>
      <c r="H971" s="1">
        <f t="shared" si="43"/>
        <v>42093</v>
      </c>
      <c r="I971">
        <f>IF(AND(MyRowHidden(ROW())=FALSE,MyRowHidden(ROW()-1)=TRUE),0,(E971-E970)*unitsOfDHp+I970)</f>
        <v>356740</v>
      </c>
      <c r="J971">
        <f>IF(AND(MyRowHidden(ROW())=FALSE,MyRowHidden(ROW()-1)=TRUE),0,(G971-G970)*unitsOfExo+J970)</f>
        <v>34500</v>
      </c>
      <c r="K971" s="9">
        <f t="shared" si="44"/>
        <v>65500</v>
      </c>
      <c r="L971">
        <f t="shared" si="45"/>
        <v>391240</v>
      </c>
    </row>
    <row r="972" spans="4:12" x14ac:dyDescent="0.25">
      <c r="D972" s="1">
        <v>42094</v>
      </c>
      <c r="E972">
        <v>30100</v>
      </c>
      <c r="F972" s="1">
        <v>42094</v>
      </c>
      <c r="G972">
        <v>-2400</v>
      </c>
      <c r="H972" s="1">
        <f t="shared" si="43"/>
        <v>42094</v>
      </c>
      <c r="I972">
        <f>IF(AND(MyRowHidden(ROW())=FALSE,MyRowHidden(ROW()-1)=TRUE),0,(E972-E971)*unitsOfDHp+I971)</f>
        <v>351000</v>
      </c>
      <c r="J972">
        <f>IF(AND(MyRowHidden(ROW())=FALSE,MyRowHidden(ROW()-1)=TRUE),0,(G972-G971)*unitsOfExo+J971)</f>
        <v>26000</v>
      </c>
      <c r="K972" s="9">
        <f t="shared" si="44"/>
        <v>74000</v>
      </c>
      <c r="L972">
        <f t="shared" si="45"/>
        <v>377000</v>
      </c>
    </row>
    <row r="973" spans="4:12" x14ac:dyDescent="0.25">
      <c r="D973" s="1">
        <v>42095</v>
      </c>
      <c r="E973">
        <v>29782</v>
      </c>
      <c r="F973" s="1">
        <v>42095</v>
      </c>
      <c r="G973">
        <v>-2175</v>
      </c>
      <c r="H973" s="1">
        <f t="shared" ref="H973:H1036" si="46">D973</f>
        <v>42095</v>
      </c>
      <c r="I973">
        <f>IF(AND(MyRowHidden(ROW())=FALSE,MyRowHidden(ROW()-1)=TRUE),0,(E973-E972)*unitsOfDHp+I972)</f>
        <v>347820</v>
      </c>
      <c r="J973">
        <f>IF(AND(MyRowHidden(ROW())=FALSE,MyRowHidden(ROW()-1)=TRUE),0,(G973-G972)*unitsOfExo+J972)</f>
        <v>28250</v>
      </c>
      <c r="K973" s="9">
        <f t="shared" ref="K973:K1036" si="47">-(J973-J972)+K972</f>
        <v>71750</v>
      </c>
      <c r="L973">
        <f t="shared" ref="L973:L1036" si="48">I973+J973</f>
        <v>376070</v>
      </c>
    </row>
    <row r="974" spans="4:12" x14ac:dyDescent="0.25">
      <c r="D974" s="1">
        <v>42096</v>
      </c>
      <c r="E974">
        <v>29600</v>
      </c>
      <c r="F974" s="1">
        <v>42096</v>
      </c>
      <c r="G974">
        <v>-1887.5</v>
      </c>
      <c r="H974" s="1">
        <f t="shared" si="46"/>
        <v>42096</v>
      </c>
      <c r="I974">
        <f>IF(AND(MyRowHidden(ROW())=FALSE,MyRowHidden(ROW()-1)=TRUE),0,(E974-E973)*unitsOfDHp+I973)</f>
        <v>346000</v>
      </c>
      <c r="J974">
        <f>IF(AND(MyRowHidden(ROW())=FALSE,MyRowHidden(ROW()-1)=TRUE),0,(G974-G973)*unitsOfExo+J973)</f>
        <v>31125</v>
      </c>
      <c r="K974" s="9">
        <f t="shared" si="47"/>
        <v>68875</v>
      </c>
      <c r="L974">
        <f t="shared" si="48"/>
        <v>377125</v>
      </c>
    </row>
    <row r="975" spans="4:12" x14ac:dyDescent="0.25">
      <c r="D975" s="1">
        <v>42097</v>
      </c>
      <c r="E975">
        <v>29571</v>
      </c>
      <c r="F975" s="1">
        <v>42097</v>
      </c>
      <c r="G975">
        <v>-1887.5</v>
      </c>
      <c r="H975" s="1">
        <f t="shared" si="46"/>
        <v>42097</v>
      </c>
      <c r="I975">
        <f>IF(AND(MyRowHidden(ROW())=FALSE,MyRowHidden(ROW()-1)=TRUE),0,(E975-E974)*unitsOfDHp+I974)</f>
        <v>345710</v>
      </c>
      <c r="J975">
        <f>IF(AND(MyRowHidden(ROW())=FALSE,MyRowHidden(ROW()-1)=TRUE),0,(G975-G974)*unitsOfExo+J974)</f>
        <v>31125</v>
      </c>
      <c r="K975" s="9">
        <f t="shared" si="47"/>
        <v>68875</v>
      </c>
      <c r="L975">
        <f t="shared" si="48"/>
        <v>376835</v>
      </c>
    </row>
    <row r="976" spans="4:12" x14ac:dyDescent="0.25">
      <c r="D976" s="1">
        <v>42100</v>
      </c>
      <c r="E976">
        <v>29703</v>
      </c>
      <c r="F976" s="1">
        <v>42100</v>
      </c>
      <c r="G976">
        <v>-1975</v>
      </c>
      <c r="H976" s="1">
        <f t="shared" si="46"/>
        <v>42100</v>
      </c>
      <c r="I976">
        <f>IF(AND(MyRowHidden(ROW())=FALSE,MyRowHidden(ROW()-1)=TRUE),0,(E976-E975)*unitsOfDHp+I975)</f>
        <v>347030</v>
      </c>
      <c r="J976">
        <f>IF(AND(MyRowHidden(ROW())=FALSE,MyRowHidden(ROW()-1)=TRUE),0,(G976-G975)*unitsOfExo+J975)</f>
        <v>30250</v>
      </c>
      <c r="K976" s="9">
        <f t="shared" si="47"/>
        <v>69750</v>
      </c>
      <c r="L976">
        <f t="shared" si="48"/>
        <v>377280</v>
      </c>
    </row>
    <row r="977" spans="4:12" x14ac:dyDescent="0.25">
      <c r="D977" s="1">
        <v>42101</v>
      </c>
      <c r="E977">
        <v>29812</v>
      </c>
      <c r="F977" s="1">
        <v>42101</v>
      </c>
      <c r="G977">
        <v>-2100</v>
      </c>
      <c r="H977" s="1">
        <f t="shared" si="46"/>
        <v>42101</v>
      </c>
      <c r="I977">
        <f>IF(AND(MyRowHidden(ROW())=FALSE,MyRowHidden(ROW()-1)=TRUE),0,(E977-E976)*unitsOfDHp+I976)</f>
        <v>348120</v>
      </c>
      <c r="J977">
        <f>IF(AND(MyRowHidden(ROW())=FALSE,MyRowHidden(ROW()-1)=TRUE),0,(G977-G976)*unitsOfExo+J976)</f>
        <v>29000</v>
      </c>
      <c r="K977" s="9">
        <f t="shared" si="47"/>
        <v>71000</v>
      </c>
      <c r="L977">
        <f t="shared" si="48"/>
        <v>377120</v>
      </c>
    </row>
    <row r="978" spans="4:12" x14ac:dyDescent="0.25">
      <c r="D978" s="1">
        <v>42102</v>
      </c>
      <c r="E978">
        <v>30005</v>
      </c>
      <c r="F978" s="1">
        <v>42102</v>
      </c>
      <c r="G978">
        <v>-2337.5</v>
      </c>
      <c r="H978" s="1">
        <f t="shared" si="46"/>
        <v>42102</v>
      </c>
      <c r="I978">
        <f>IF(AND(MyRowHidden(ROW())=FALSE,MyRowHidden(ROW()-1)=TRUE),0,(E978-E977)*unitsOfDHp+I977)</f>
        <v>350050</v>
      </c>
      <c r="J978">
        <f>IF(AND(MyRowHidden(ROW())=FALSE,MyRowHidden(ROW()-1)=TRUE),0,(G978-G977)*unitsOfExo+J977)</f>
        <v>26625</v>
      </c>
      <c r="K978" s="9">
        <f t="shared" si="47"/>
        <v>73375</v>
      </c>
      <c r="L978">
        <f t="shared" si="48"/>
        <v>376675</v>
      </c>
    </row>
    <row r="979" spans="4:12" x14ac:dyDescent="0.25">
      <c r="D979" s="1">
        <v>42103</v>
      </c>
      <c r="E979">
        <v>29984</v>
      </c>
      <c r="F979" s="1">
        <v>42103</v>
      </c>
      <c r="G979">
        <v>-2312.5</v>
      </c>
      <c r="H979" s="1">
        <f t="shared" si="46"/>
        <v>42103</v>
      </c>
      <c r="I979">
        <f>IF(AND(MyRowHidden(ROW())=FALSE,MyRowHidden(ROW()-1)=TRUE),0,(E979-E978)*unitsOfDHp+I978)</f>
        <v>349840</v>
      </c>
      <c r="J979">
        <f>IF(AND(MyRowHidden(ROW())=FALSE,MyRowHidden(ROW()-1)=TRUE),0,(G979-G978)*unitsOfExo+J978)</f>
        <v>26875</v>
      </c>
      <c r="K979" s="9">
        <f t="shared" si="47"/>
        <v>73125</v>
      </c>
      <c r="L979">
        <f t="shared" si="48"/>
        <v>376715</v>
      </c>
    </row>
    <row r="980" spans="4:12" x14ac:dyDescent="0.25">
      <c r="D980" s="1">
        <v>42104</v>
      </c>
      <c r="E980">
        <v>30128</v>
      </c>
      <c r="F980" s="1">
        <v>42104</v>
      </c>
      <c r="G980">
        <v>-2437.5</v>
      </c>
      <c r="H980" s="1">
        <f t="shared" si="46"/>
        <v>42104</v>
      </c>
      <c r="I980">
        <f>IF(AND(MyRowHidden(ROW())=FALSE,MyRowHidden(ROW()-1)=TRUE),0,(E980-E979)*unitsOfDHp+I979)</f>
        <v>351280</v>
      </c>
      <c r="J980">
        <f>IF(AND(MyRowHidden(ROW())=FALSE,MyRowHidden(ROW()-1)=TRUE),0,(G980-G979)*unitsOfExo+J979)</f>
        <v>25625</v>
      </c>
      <c r="K980" s="9">
        <f t="shared" si="47"/>
        <v>74375</v>
      </c>
      <c r="L980">
        <f t="shared" si="48"/>
        <v>376905</v>
      </c>
    </row>
    <row r="981" spans="4:12" x14ac:dyDescent="0.25">
      <c r="D981" s="1">
        <v>42107</v>
      </c>
      <c r="E981">
        <v>30159</v>
      </c>
      <c r="F981" s="1">
        <v>42107</v>
      </c>
      <c r="G981">
        <v>-2650</v>
      </c>
      <c r="H981" s="1">
        <f t="shared" si="46"/>
        <v>42107</v>
      </c>
      <c r="I981">
        <f>IF(AND(MyRowHidden(ROW())=FALSE,MyRowHidden(ROW()-1)=TRUE),0,(E981-E980)*unitsOfDHp+I980)</f>
        <v>351590</v>
      </c>
      <c r="J981">
        <f>IF(AND(MyRowHidden(ROW())=FALSE,MyRowHidden(ROW()-1)=TRUE),0,(G981-G980)*unitsOfExo+J980)</f>
        <v>23500</v>
      </c>
      <c r="K981" s="9">
        <f t="shared" si="47"/>
        <v>76500</v>
      </c>
      <c r="L981">
        <f t="shared" si="48"/>
        <v>375090</v>
      </c>
    </row>
    <row r="982" spans="4:12" x14ac:dyDescent="0.25">
      <c r="D982" s="1">
        <v>42108</v>
      </c>
      <c r="E982">
        <v>30132</v>
      </c>
      <c r="F982" s="1">
        <v>42108</v>
      </c>
      <c r="G982">
        <v>-2525</v>
      </c>
      <c r="H982" s="1">
        <f t="shared" si="46"/>
        <v>42108</v>
      </c>
      <c r="I982">
        <f>IF(AND(MyRowHidden(ROW())=FALSE,MyRowHidden(ROW()-1)=TRUE),0,(E982-E981)*unitsOfDHp+I981)</f>
        <v>351320</v>
      </c>
      <c r="J982">
        <f>IF(AND(MyRowHidden(ROW())=FALSE,MyRowHidden(ROW()-1)=TRUE),0,(G982-G981)*unitsOfExo+J981)</f>
        <v>24750</v>
      </c>
      <c r="K982" s="9">
        <f t="shared" si="47"/>
        <v>75250</v>
      </c>
      <c r="L982">
        <f t="shared" si="48"/>
        <v>376070</v>
      </c>
    </row>
    <row r="983" spans="4:12" x14ac:dyDescent="0.25">
      <c r="D983" s="1">
        <v>42109</v>
      </c>
      <c r="E983">
        <v>30127</v>
      </c>
      <c r="F983" s="1">
        <v>42109</v>
      </c>
      <c r="G983">
        <v>-2475</v>
      </c>
      <c r="H983" s="1">
        <f t="shared" si="46"/>
        <v>42109</v>
      </c>
      <c r="I983">
        <f>IF(AND(MyRowHidden(ROW())=FALSE,MyRowHidden(ROW()-1)=TRUE),0,(E983-E982)*unitsOfDHp+I982)</f>
        <v>351270</v>
      </c>
      <c r="J983">
        <f>IF(AND(MyRowHidden(ROW())=FALSE,MyRowHidden(ROW()-1)=TRUE),0,(G983-G982)*unitsOfExo+J982)</f>
        <v>25250</v>
      </c>
      <c r="K983" s="9">
        <f t="shared" si="47"/>
        <v>74750</v>
      </c>
      <c r="L983">
        <f t="shared" si="48"/>
        <v>376520</v>
      </c>
    </row>
    <row r="984" spans="4:12" x14ac:dyDescent="0.25">
      <c r="D984" s="1">
        <v>42110</v>
      </c>
      <c r="E984">
        <v>30117</v>
      </c>
      <c r="F984" s="1">
        <v>42110</v>
      </c>
      <c r="G984">
        <v>-2362.5</v>
      </c>
      <c r="H984" s="1">
        <f t="shared" si="46"/>
        <v>42110</v>
      </c>
      <c r="I984">
        <f>IF(AND(MyRowHidden(ROW())=FALSE,MyRowHidden(ROW()-1)=TRUE),0,(E984-E983)*unitsOfDHp+I983)</f>
        <v>351170</v>
      </c>
      <c r="J984">
        <f>IF(AND(MyRowHidden(ROW())=FALSE,MyRowHidden(ROW()-1)=TRUE),0,(G984-G983)*unitsOfExo+J983)</f>
        <v>26375</v>
      </c>
      <c r="K984" s="9">
        <f t="shared" si="47"/>
        <v>73625</v>
      </c>
      <c r="L984">
        <f t="shared" si="48"/>
        <v>377545</v>
      </c>
    </row>
    <row r="985" spans="4:12" x14ac:dyDescent="0.25">
      <c r="D985" s="1">
        <v>42111</v>
      </c>
      <c r="E985">
        <v>30101</v>
      </c>
      <c r="F985" s="1">
        <v>42111</v>
      </c>
      <c r="G985">
        <v>-2312.5</v>
      </c>
      <c r="H985" s="1">
        <f t="shared" si="46"/>
        <v>42111</v>
      </c>
      <c r="I985">
        <f>IF(AND(MyRowHidden(ROW())=FALSE,MyRowHidden(ROW()-1)=TRUE),0,(E985-E984)*unitsOfDHp+I984)</f>
        <v>351010</v>
      </c>
      <c r="J985">
        <f>IF(AND(MyRowHidden(ROW())=FALSE,MyRowHidden(ROW()-1)=TRUE),0,(G985-G984)*unitsOfExo+J984)</f>
        <v>26875</v>
      </c>
      <c r="K985" s="9">
        <f t="shared" si="47"/>
        <v>73125</v>
      </c>
      <c r="L985">
        <f t="shared" si="48"/>
        <v>377885</v>
      </c>
    </row>
    <row r="986" spans="4:12" x14ac:dyDescent="0.25">
      <c r="D986" s="1">
        <v>42114</v>
      </c>
      <c r="E986">
        <v>30030</v>
      </c>
      <c r="F986" s="1">
        <v>42114</v>
      </c>
      <c r="G986">
        <v>-2300</v>
      </c>
      <c r="H986" s="1">
        <f t="shared" si="46"/>
        <v>42114</v>
      </c>
      <c r="I986">
        <f>IF(AND(MyRowHidden(ROW())=FALSE,MyRowHidden(ROW()-1)=TRUE),0,(E986-E985)*unitsOfDHp+I985)</f>
        <v>350300</v>
      </c>
      <c r="J986">
        <f>IF(AND(MyRowHidden(ROW())=FALSE,MyRowHidden(ROW()-1)=TRUE),0,(G986-G985)*unitsOfExo+J985)</f>
        <v>27000</v>
      </c>
      <c r="K986" s="9">
        <f t="shared" si="47"/>
        <v>73000</v>
      </c>
      <c r="L986">
        <f t="shared" si="48"/>
        <v>377300</v>
      </c>
    </row>
    <row r="987" spans="4:12" x14ac:dyDescent="0.25">
      <c r="D987" s="1">
        <v>42115</v>
      </c>
      <c r="E987">
        <v>30009</v>
      </c>
      <c r="F987" s="1">
        <v>42115</v>
      </c>
      <c r="G987">
        <v>-2587.5</v>
      </c>
      <c r="H987" s="1">
        <f t="shared" si="46"/>
        <v>42115</v>
      </c>
      <c r="I987">
        <f>IF(AND(MyRowHidden(ROW())=FALSE,MyRowHidden(ROW()-1)=TRUE),0,(E987-E986)*unitsOfDHp+I986)</f>
        <v>350090</v>
      </c>
      <c r="J987">
        <f>IF(AND(MyRowHidden(ROW())=FALSE,MyRowHidden(ROW()-1)=TRUE),0,(G987-G986)*unitsOfExo+J986)</f>
        <v>24125</v>
      </c>
      <c r="K987" s="9">
        <f t="shared" si="47"/>
        <v>75875</v>
      </c>
      <c r="L987">
        <f t="shared" si="48"/>
        <v>374215</v>
      </c>
    </row>
    <row r="988" spans="4:12" x14ac:dyDescent="0.25">
      <c r="D988" s="1">
        <v>42116</v>
      </c>
      <c r="E988">
        <v>29972</v>
      </c>
      <c r="F988" s="1">
        <v>42116</v>
      </c>
      <c r="G988">
        <v>-2612.5</v>
      </c>
      <c r="H988" s="1">
        <f t="shared" si="46"/>
        <v>42116</v>
      </c>
      <c r="I988">
        <f>IF(AND(MyRowHidden(ROW())=FALSE,MyRowHidden(ROW()-1)=TRUE),0,(E988-E987)*unitsOfDHp+I987)</f>
        <v>349720</v>
      </c>
      <c r="J988">
        <f>IF(AND(MyRowHidden(ROW())=FALSE,MyRowHidden(ROW()-1)=TRUE),0,(G988-G987)*unitsOfExo+J987)</f>
        <v>23875</v>
      </c>
      <c r="K988" s="9">
        <f t="shared" si="47"/>
        <v>76125</v>
      </c>
      <c r="L988">
        <f t="shared" si="48"/>
        <v>373595</v>
      </c>
    </row>
    <row r="989" spans="4:12" x14ac:dyDescent="0.25">
      <c r="D989" s="1">
        <v>42117</v>
      </c>
      <c r="E989">
        <v>29961</v>
      </c>
      <c r="F989" s="1">
        <v>42117</v>
      </c>
      <c r="G989">
        <v>-2475</v>
      </c>
      <c r="H989" s="1">
        <f t="shared" si="46"/>
        <v>42117</v>
      </c>
      <c r="I989">
        <f>IF(AND(MyRowHidden(ROW())=FALSE,MyRowHidden(ROW()-1)=TRUE),0,(E989-E988)*unitsOfDHp+I988)</f>
        <v>349610</v>
      </c>
      <c r="J989">
        <f>IF(AND(MyRowHidden(ROW())=FALSE,MyRowHidden(ROW()-1)=TRUE),0,(G989-G988)*unitsOfExo+J988)</f>
        <v>25250</v>
      </c>
      <c r="K989" s="9">
        <f t="shared" si="47"/>
        <v>74750</v>
      </c>
      <c r="L989">
        <f t="shared" si="48"/>
        <v>374860</v>
      </c>
    </row>
    <row r="990" spans="4:12" x14ac:dyDescent="0.25">
      <c r="D990" s="1">
        <v>42118</v>
      </c>
      <c r="E990">
        <v>30523</v>
      </c>
      <c r="F990" s="1">
        <v>42118</v>
      </c>
      <c r="G990">
        <v>-2962.5</v>
      </c>
      <c r="H990" s="1">
        <f t="shared" si="46"/>
        <v>42118</v>
      </c>
      <c r="I990">
        <f>IF(AND(MyRowHidden(ROW())=FALSE,MyRowHidden(ROW()-1)=TRUE),0,(E990-E989)*unitsOfDHp+I989)</f>
        <v>355230</v>
      </c>
      <c r="J990">
        <f>IF(AND(MyRowHidden(ROW())=FALSE,MyRowHidden(ROW()-1)=TRUE),0,(G990-G989)*unitsOfExo+J989)</f>
        <v>20375</v>
      </c>
      <c r="K990" s="9">
        <f t="shared" si="47"/>
        <v>79625</v>
      </c>
      <c r="L990">
        <f t="shared" si="48"/>
        <v>375605</v>
      </c>
    </row>
    <row r="991" spans="4:12" x14ac:dyDescent="0.25">
      <c r="D991" s="1">
        <v>42121</v>
      </c>
      <c r="E991">
        <v>30445</v>
      </c>
      <c r="F991" s="1">
        <v>42121</v>
      </c>
      <c r="G991">
        <v>-3150</v>
      </c>
      <c r="H991" s="1">
        <f t="shared" si="46"/>
        <v>42121</v>
      </c>
      <c r="I991">
        <f>IF(AND(MyRowHidden(ROW())=FALSE,MyRowHidden(ROW()-1)=TRUE),0,(E991-E990)*unitsOfDHp+I990)</f>
        <v>354450</v>
      </c>
      <c r="J991">
        <f>IF(AND(MyRowHidden(ROW())=FALSE,MyRowHidden(ROW()-1)=TRUE),0,(G991-G990)*unitsOfExo+J990)</f>
        <v>18500</v>
      </c>
      <c r="K991" s="9">
        <f t="shared" si="47"/>
        <v>81500</v>
      </c>
      <c r="L991">
        <f t="shared" si="48"/>
        <v>372950</v>
      </c>
    </row>
    <row r="992" spans="4:12" x14ac:dyDescent="0.25">
      <c r="D992" s="1">
        <v>42122</v>
      </c>
      <c r="E992">
        <v>30458</v>
      </c>
      <c r="F992" s="1">
        <v>42122</v>
      </c>
      <c r="G992">
        <v>-3112.5</v>
      </c>
      <c r="H992" s="1">
        <f t="shared" si="46"/>
        <v>42122</v>
      </c>
      <c r="I992">
        <f>IF(AND(MyRowHidden(ROW())=FALSE,MyRowHidden(ROW()-1)=TRUE),0,(E992-E991)*unitsOfDHp+I991)</f>
        <v>354580</v>
      </c>
      <c r="J992">
        <f>IF(AND(MyRowHidden(ROW())=FALSE,MyRowHidden(ROW()-1)=TRUE),0,(G992-G991)*unitsOfExo+J991)</f>
        <v>18875</v>
      </c>
      <c r="K992" s="9">
        <f t="shared" si="47"/>
        <v>81125</v>
      </c>
      <c r="L992">
        <f t="shared" si="48"/>
        <v>373455</v>
      </c>
    </row>
    <row r="993" spans="4:12" x14ac:dyDescent="0.25">
      <c r="D993" s="1">
        <v>42123</v>
      </c>
      <c r="E993">
        <v>30581</v>
      </c>
      <c r="F993" s="1">
        <v>42123</v>
      </c>
      <c r="G993">
        <v>-3075</v>
      </c>
      <c r="H993" s="1">
        <f t="shared" si="46"/>
        <v>42123</v>
      </c>
      <c r="I993">
        <f>IF(AND(MyRowHidden(ROW())=FALSE,MyRowHidden(ROW()-1)=TRUE),0,(E993-E992)*unitsOfDHp+I992)</f>
        <v>355810</v>
      </c>
      <c r="J993">
        <f>IF(AND(MyRowHidden(ROW())=FALSE,MyRowHidden(ROW()-1)=TRUE),0,(G993-G992)*unitsOfExo+J992)</f>
        <v>19250</v>
      </c>
      <c r="K993" s="9">
        <f t="shared" si="47"/>
        <v>80750</v>
      </c>
      <c r="L993">
        <f t="shared" si="48"/>
        <v>375060</v>
      </c>
    </row>
    <row r="994" spans="4:12" x14ac:dyDescent="0.25">
      <c r="D994" s="1">
        <v>42124</v>
      </c>
      <c r="E994">
        <v>30431</v>
      </c>
      <c r="F994" s="1">
        <v>42124</v>
      </c>
      <c r="G994">
        <v>-3175</v>
      </c>
      <c r="H994" s="1">
        <f t="shared" si="46"/>
        <v>42124</v>
      </c>
      <c r="I994">
        <f>IF(AND(MyRowHidden(ROW())=FALSE,MyRowHidden(ROW()-1)=TRUE),0,(E994-E993)*unitsOfDHp+I993)</f>
        <v>354310</v>
      </c>
      <c r="J994">
        <f>IF(AND(MyRowHidden(ROW())=FALSE,MyRowHidden(ROW()-1)=TRUE),0,(G994-G993)*unitsOfExo+J993)</f>
        <v>18250</v>
      </c>
      <c r="K994" s="9">
        <f t="shared" si="47"/>
        <v>81750</v>
      </c>
      <c r="L994">
        <f t="shared" si="48"/>
        <v>372560</v>
      </c>
    </row>
    <row r="995" spans="4:12" x14ac:dyDescent="0.25">
      <c r="D995" s="1">
        <v>42125</v>
      </c>
      <c r="E995">
        <v>30371</v>
      </c>
      <c r="F995" s="1">
        <v>42125</v>
      </c>
      <c r="G995">
        <v>-3300</v>
      </c>
      <c r="H995" s="1">
        <f t="shared" si="46"/>
        <v>42125</v>
      </c>
      <c r="I995">
        <f>IF(AND(MyRowHidden(ROW())=FALSE,MyRowHidden(ROW()-1)=TRUE),0,(E995-E994)*unitsOfDHp+I994)</f>
        <v>353710</v>
      </c>
      <c r="J995">
        <f>IF(AND(MyRowHidden(ROW())=FALSE,MyRowHidden(ROW()-1)=TRUE),0,(G995-G994)*unitsOfExo+J994)</f>
        <v>17000</v>
      </c>
      <c r="K995" s="9">
        <f t="shared" si="47"/>
        <v>83000</v>
      </c>
      <c r="L995">
        <f t="shared" si="48"/>
        <v>370710</v>
      </c>
    </row>
    <row r="996" spans="4:12" x14ac:dyDescent="0.25">
      <c r="D996" s="1">
        <v>42128</v>
      </c>
      <c r="E996">
        <v>30436</v>
      </c>
      <c r="F996" s="1">
        <v>42128</v>
      </c>
      <c r="G996">
        <v>-3225</v>
      </c>
      <c r="H996" s="1">
        <f t="shared" si="46"/>
        <v>42128</v>
      </c>
      <c r="I996">
        <f>IF(AND(MyRowHidden(ROW())=FALSE,MyRowHidden(ROW()-1)=TRUE),0,(E996-E995)*unitsOfDHp+I995)</f>
        <v>354360</v>
      </c>
      <c r="J996">
        <f>IF(AND(MyRowHidden(ROW())=FALSE,MyRowHidden(ROW()-1)=TRUE),0,(G996-G995)*unitsOfExo+J995)</f>
        <v>17750</v>
      </c>
      <c r="K996" s="9">
        <f t="shared" si="47"/>
        <v>82250</v>
      </c>
      <c r="L996">
        <f t="shared" si="48"/>
        <v>372110</v>
      </c>
    </row>
    <row r="997" spans="4:12" x14ac:dyDescent="0.25">
      <c r="D997" s="1">
        <v>42129</v>
      </c>
      <c r="E997">
        <v>30199</v>
      </c>
      <c r="F997" s="1">
        <v>42129</v>
      </c>
      <c r="G997">
        <v>-3287.5</v>
      </c>
      <c r="H997" s="1">
        <f t="shared" si="46"/>
        <v>42129</v>
      </c>
      <c r="I997">
        <f>IF(AND(MyRowHidden(ROW())=FALSE,MyRowHidden(ROW()-1)=TRUE),0,(E997-E996)*unitsOfDHp+I996)</f>
        <v>351990</v>
      </c>
      <c r="J997">
        <f>IF(AND(MyRowHidden(ROW())=FALSE,MyRowHidden(ROW()-1)=TRUE),0,(G997-G996)*unitsOfExo+J996)</f>
        <v>17125</v>
      </c>
      <c r="K997" s="9">
        <f t="shared" si="47"/>
        <v>82875</v>
      </c>
      <c r="L997">
        <f t="shared" si="48"/>
        <v>369115</v>
      </c>
    </row>
    <row r="998" spans="4:12" x14ac:dyDescent="0.25">
      <c r="D998" s="1">
        <v>42130</v>
      </c>
      <c r="E998">
        <v>30540</v>
      </c>
      <c r="F998" s="1">
        <v>42130</v>
      </c>
      <c r="G998">
        <v>-2950</v>
      </c>
      <c r="H998" s="1">
        <f t="shared" si="46"/>
        <v>42130</v>
      </c>
      <c r="I998">
        <f>IF(AND(MyRowHidden(ROW())=FALSE,MyRowHidden(ROW()-1)=TRUE),0,(E998-E997)*unitsOfDHp+I997)</f>
        <v>355400</v>
      </c>
      <c r="J998">
        <f>IF(AND(MyRowHidden(ROW())=FALSE,MyRowHidden(ROW()-1)=TRUE),0,(G998-G997)*unitsOfExo+J997)</f>
        <v>20500</v>
      </c>
      <c r="K998" s="9">
        <f t="shared" si="47"/>
        <v>79500</v>
      </c>
      <c r="L998">
        <f t="shared" si="48"/>
        <v>375900</v>
      </c>
    </row>
    <row r="999" spans="4:12" x14ac:dyDescent="0.25">
      <c r="D999" s="1">
        <v>42131</v>
      </c>
      <c r="E999">
        <v>29842</v>
      </c>
      <c r="F999" s="1">
        <v>42131</v>
      </c>
      <c r="G999">
        <v>-3325</v>
      </c>
      <c r="H999" s="1">
        <f t="shared" si="46"/>
        <v>42131</v>
      </c>
      <c r="I999">
        <f>IF(AND(MyRowHidden(ROW())=FALSE,MyRowHidden(ROW()-1)=TRUE),0,(E999-E998)*unitsOfDHp+I998)</f>
        <v>348420</v>
      </c>
      <c r="J999">
        <f>IF(AND(MyRowHidden(ROW())=FALSE,MyRowHidden(ROW()-1)=TRUE),0,(G999-G998)*unitsOfExo+J998)</f>
        <v>16750</v>
      </c>
      <c r="K999" s="9">
        <f t="shared" si="47"/>
        <v>83250</v>
      </c>
      <c r="L999">
        <f t="shared" si="48"/>
        <v>365170</v>
      </c>
    </row>
    <row r="1000" spans="4:12" x14ac:dyDescent="0.25">
      <c r="D1000" s="1">
        <v>42132</v>
      </c>
      <c r="E1000">
        <v>29855</v>
      </c>
      <c r="F1000" s="1">
        <v>42132</v>
      </c>
      <c r="G1000">
        <v>-3400</v>
      </c>
      <c r="H1000" s="1">
        <f t="shared" si="46"/>
        <v>42132</v>
      </c>
      <c r="I1000">
        <f>IF(AND(MyRowHidden(ROW())=FALSE,MyRowHidden(ROW()-1)=TRUE),0,(E1000-E999)*unitsOfDHp+I999)</f>
        <v>348550</v>
      </c>
      <c r="J1000">
        <f>IF(AND(MyRowHidden(ROW())=FALSE,MyRowHidden(ROW()-1)=TRUE),0,(G1000-G999)*unitsOfExo+J999)</f>
        <v>16000</v>
      </c>
      <c r="K1000" s="9">
        <f t="shared" si="47"/>
        <v>84000</v>
      </c>
      <c r="L1000">
        <f t="shared" si="48"/>
        <v>364550</v>
      </c>
    </row>
    <row r="1001" spans="4:12" x14ac:dyDescent="0.25">
      <c r="D1001" s="1">
        <v>42135</v>
      </c>
      <c r="E1001">
        <v>29351</v>
      </c>
      <c r="F1001" s="1">
        <v>42135</v>
      </c>
      <c r="G1001">
        <v>-3362.5</v>
      </c>
      <c r="H1001" s="1">
        <f t="shared" si="46"/>
        <v>42135</v>
      </c>
      <c r="I1001">
        <f>IF(AND(MyRowHidden(ROW())=FALSE,MyRowHidden(ROW()-1)=TRUE),0,(E1001-E1000)*unitsOfDHp+I1000)</f>
        <v>343510</v>
      </c>
      <c r="J1001">
        <f>IF(AND(MyRowHidden(ROW())=FALSE,MyRowHidden(ROW()-1)=TRUE),0,(G1001-G1000)*unitsOfExo+J1000)</f>
        <v>16375</v>
      </c>
      <c r="K1001" s="9">
        <f t="shared" si="47"/>
        <v>83625</v>
      </c>
      <c r="L1001">
        <f t="shared" si="48"/>
        <v>359885</v>
      </c>
    </row>
    <row r="1002" spans="4:12" x14ac:dyDescent="0.25">
      <c r="D1002" s="1">
        <v>42136</v>
      </c>
      <c r="E1002">
        <v>29843</v>
      </c>
      <c r="F1002" s="1">
        <v>42136</v>
      </c>
      <c r="G1002">
        <v>-3300</v>
      </c>
      <c r="H1002" s="1">
        <f t="shared" si="46"/>
        <v>42136</v>
      </c>
      <c r="I1002">
        <f>IF(AND(MyRowHidden(ROW())=FALSE,MyRowHidden(ROW()-1)=TRUE),0,(E1002-E1001)*unitsOfDHp+I1001)</f>
        <v>348430</v>
      </c>
      <c r="J1002">
        <f>IF(AND(MyRowHidden(ROW())=FALSE,MyRowHidden(ROW()-1)=TRUE),0,(G1002-G1001)*unitsOfExo+J1001)</f>
        <v>17000</v>
      </c>
      <c r="K1002" s="9">
        <f t="shared" si="47"/>
        <v>83000</v>
      </c>
      <c r="L1002">
        <f t="shared" si="48"/>
        <v>365430</v>
      </c>
    </row>
    <row r="1003" spans="4:12" x14ac:dyDescent="0.25">
      <c r="D1003" s="1">
        <v>42137</v>
      </c>
      <c r="E1003">
        <v>29553</v>
      </c>
      <c r="F1003" s="1">
        <v>42137</v>
      </c>
      <c r="G1003">
        <v>-3387.5</v>
      </c>
      <c r="H1003" s="1">
        <f t="shared" si="46"/>
        <v>42137</v>
      </c>
      <c r="I1003">
        <f>IF(AND(MyRowHidden(ROW())=FALSE,MyRowHidden(ROW()-1)=TRUE),0,(E1003-E1002)*unitsOfDHp+I1002)</f>
        <v>345530</v>
      </c>
      <c r="J1003">
        <f>IF(AND(MyRowHidden(ROW())=FALSE,MyRowHidden(ROW()-1)=TRUE),0,(G1003-G1002)*unitsOfExo+J1002)</f>
        <v>16125</v>
      </c>
      <c r="K1003" s="9">
        <f t="shared" si="47"/>
        <v>83875</v>
      </c>
      <c r="L1003">
        <f t="shared" si="48"/>
        <v>361655</v>
      </c>
    </row>
    <row r="1004" spans="4:12" x14ac:dyDescent="0.25">
      <c r="D1004" s="1">
        <v>42138</v>
      </c>
      <c r="E1004">
        <v>30201</v>
      </c>
      <c r="F1004" s="1">
        <v>42138</v>
      </c>
      <c r="G1004">
        <v>-3062.5</v>
      </c>
      <c r="H1004" s="1">
        <f t="shared" si="46"/>
        <v>42138</v>
      </c>
      <c r="I1004">
        <f>IF(AND(MyRowHidden(ROW())=FALSE,MyRowHidden(ROW()-1)=TRUE),0,(E1004-E1003)*unitsOfDHp+I1003)</f>
        <v>352010</v>
      </c>
      <c r="J1004">
        <f>IF(AND(MyRowHidden(ROW())=FALSE,MyRowHidden(ROW()-1)=TRUE),0,(G1004-G1003)*unitsOfExo+J1003)</f>
        <v>19375</v>
      </c>
      <c r="K1004" s="9">
        <f t="shared" si="47"/>
        <v>80625</v>
      </c>
      <c r="L1004">
        <f t="shared" si="48"/>
        <v>371385</v>
      </c>
    </row>
    <row r="1005" spans="4:12" x14ac:dyDescent="0.25">
      <c r="D1005" s="1">
        <v>42139</v>
      </c>
      <c r="E1005">
        <v>29823</v>
      </c>
      <c r="F1005" s="1">
        <v>42139</v>
      </c>
      <c r="G1005">
        <v>-3212.5</v>
      </c>
      <c r="H1005" s="1">
        <f t="shared" si="46"/>
        <v>42139</v>
      </c>
      <c r="I1005">
        <f>IF(AND(MyRowHidden(ROW())=FALSE,MyRowHidden(ROW()-1)=TRUE),0,(E1005-E1004)*unitsOfDHp+I1004)</f>
        <v>348230</v>
      </c>
      <c r="J1005">
        <f>IF(AND(MyRowHidden(ROW())=FALSE,MyRowHidden(ROW()-1)=TRUE),0,(G1005-G1004)*unitsOfExo+J1004)</f>
        <v>17875</v>
      </c>
      <c r="K1005" s="9">
        <f t="shared" si="47"/>
        <v>82125</v>
      </c>
      <c r="L1005">
        <f t="shared" si="48"/>
        <v>366105</v>
      </c>
    </row>
    <row r="1006" spans="4:12" x14ac:dyDescent="0.25">
      <c r="D1006" s="1">
        <v>42142</v>
      </c>
      <c r="E1006">
        <v>30014</v>
      </c>
      <c r="F1006" s="1">
        <v>42142</v>
      </c>
      <c r="G1006">
        <v>-2937.5</v>
      </c>
      <c r="H1006" s="1">
        <f t="shared" si="46"/>
        <v>42142</v>
      </c>
      <c r="I1006">
        <f>IF(AND(MyRowHidden(ROW())=FALSE,MyRowHidden(ROW()-1)=TRUE),0,(E1006-E1005)*unitsOfDHp+I1005)</f>
        <v>350140</v>
      </c>
      <c r="J1006">
        <f>IF(AND(MyRowHidden(ROW())=FALSE,MyRowHidden(ROW()-1)=TRUE),0,(G1006-G1005)*unitsOfExo+J1005)</f>
        <v>20625</v>
      </c>
      <c r="K1006" s="9">
        <f t="shared" si="47"/>
        <v>79375</v>
      </c>
      <c r="L1006">
        <f t="shared" si="48"/>
        <v>370765</v>
      </c>
    </row>
    <row r="1007" spans="4:12" x14ac:dyDescent="0.25">
      <c r="D1007" s="1">
        <v>42143</v>
      </c>
      <c r="E1007">
        <v>29576</v>
      </c>
      <c r="F1007" s="1">
        <v>42143</v>
      </c>
      <c r="G1007">
        <v>-3350</v>
      </c>
      <c r="H1007" s="1">
        <f t="shared" si="46"/>
        <v>42143</v>
      </c>
      <c r="I1007">
        <f>IF(AND(MyRowHidden(ROW())=FALSE,MyRowHidden(ROW()-1)=TRUE),0,(E1007-E1006)*unitsOfDHp+I1006)</f>
        <v>345760</v>
      </c>
      <c r="J1007">
        <f>IF(AND(MyRowHidden(ROW())=FALSE,MyRowHidden(ROW()-1)=TRUE),0,(G1007-G1006)*unitsOfExo+J1006)</f>
        <v>16500</v>
      </c>
      <c r="K1007" s="9">
        <f t="shared" si="47"/>
        <v>83500</v>
      </c>
      <c r="L1007">
        <f t="shared" si="48"/>
        <v>362260</v>
      </c>
    </row>
    <row r="1008" spans="4:12" x14ac:dyDescent="0.25">
      <c r="D1008" s="1">
        <v>42144</v>
      </c>
      <c r="E1008">
        <v>29539</v>
      </c>
      <c r="F1008" s="1">
        <v>42144</v>
      </c>
      <c r="G1008">
        <v>-3450</v>
      </c>
      <c r="H1008" s="1">
        <f t="shared" si="46"/>
        <v>42144</v>
      </c>
      <c r="I1008">
        <f>IF(AND(MyRowHidden(ROW())=FALSE,MyRowHidden(ROW()-1)=TRUE),0,(E1008-E1007)*unitsOfDHp+I1007)</f>
        <v>345390</v>
      </c>
      <c r="J1008">
        <f>IF(AND(MyRowHidden(ROW())=FALSE,MyRowHidden(ROW()-1)=TRUE),0,(G1008-G1007)*unitsOfExo+J1007)</f>
        <v>15500</v>
      </c>
      <c r="K1008" s="9">
        <f t="shared" si="47"/>
        <v>84500</v>
      </c>
      <c r="L1008">
        <f t="shared" si="48"/>
        <v>360890</v>
      </c>
    </row>
    <row r="1009" spans="4:12" x14ac:dyDescent="0.25">
      <c r="D1009" s="1">
        <v>42145</v>
      </c>
      <c r="E1009">
        <v>29385</v>
      </c>
      <c r="F1009" s="1">
        <v>42145</v>
      </c>
      <c r="G1009">
        <v>-3200</v>
      </c>
      <c r="H1009" s="1">
        <f t="shared" si="46"/>
        <v>42145</v>
      </c>
      <c r="I1009">
        <f>IF(AND(MyRowHidden(ROW())=FALSE,MyRowHidden(ROW()-1)=TRUE),0,(E1009-E1008)*unitsOfDHp+I1008)</f>
        <v>343850</v>
      </c>
      <c r="J1009">
        <f>IF(AND(MyRowHidden(ROW())=FALSE,MyRowHidden(ROW()-1)=TRUE),0,(G1009-G1008)*unitsOfExo+J1008)</f>
        <v>18000</v>
      </c>
      <c r="K1009" s="9">
        <f t="shared" si="47"/>
        <v>82000</v>
      </c>
      <c r="L1009">
        <f t="shared" si="48"/>
        <v>361850</v>
      </c>
    </row>
    <row r="1010" spans="4:12" x14ac:dyDescent="0.25">
      <c r="D1010" s="1">
        <v>42146</v>
      </c>
      <c r="E1010">
        <v>29590</v>
      </c>
      <c r="F1010" s="1">
        <v>42146</v>
      </c>
      <c r="G1010">
        <v>-3400</v>
      </c>
      <c r="H1010" s="1">
        <f t="shared" si="46"/>
        <v>42146</v>
      </c>
      <c r="I1010">
        <f>IF(AND(MyRowHidden(ROW())=FALSE,MyRowHidden(ROW()-1)=TRUE),0,(E1010-E1009)*unitsOfDHp+I1009)</f>
        <v>345900</v>
      </c>
      <c r="J1010">
        <f>IF(AND(MyRowHidden(ROW())=FALSE,MyRowHidden(ROW()-1)=TRUE),0,(G1010-G1009)*unitsOfExo+J1009)</f>
        <v>16000</v>
      </c>
      <c r="K1010" s="9">
        <f t="shared" si="47"/>
        <v>84000</v>
      </c>
      <c r="L1010">
        <f t="shared" si="48"/>
        <v>361900</v>
      </c>
    </row>
    <row r="1011" spans="4:12" x14ac:dyDescent="0.25">
      <c r="D1011" s="1">
        <v>42150</v>
      </c>
      <c r="E1011">
        <v>30133</v>
      </c>
      <c r="F1011" s="1">
        <v>42150</v>
      </c>
      <c r="G1011">
        <v>-3737.5</v>
      </c>
      <c r="H1011" s="1">
        <f t="shared" si="46"/>
        <v>42150</v>
      </c>
      <c r="I1011">
        <f>IF(AND(MyRowHidden(ROW())=FALSE,MyRowHidden(ROW()-1)=TRUE),0,(E1011-E1010)*unitsOfDHp+I1010)</f>
        <v>351330</v>
      </c>
      <c r="J1011">
        <f>IF(AND(MyRowHidden(ROW())=FALSE,MyRowHidden(ROW()-1)=TRUE),0,(G1011-G1010)*unitsOfExo+J1010)</f>
        <v>12625</v>
      </c>
      <c r="K1011" s="9">
        <f t="shared" si="47"/>
        <v>87375</v>
      </c>
      <c r="L1011">
        <f t="shared" si="48"/>
        <v>363955</v>
      </c>
    </row>
    <row r="1012" spans="4:12" x14ac:dyDescent="0.25">
      <c r="D1012" s="1">
        <v>42151</v>
      </c>
      <c r="E1012">
        <v>29972</v>
      </c>
      <c r="F1012" s="1">
        <v>42151</v>
      </c>
      <c r="G1012">
        <v>-3937.5</v>
      </c>
      <c r="H1012" s="1">
        <f t="shared" si="46"/>
        <v>42151</v>
      </c>
      <c r="I1012">
        <f>IF(AND(MyRowHidden(ROW())=FALSE,MyRowHidden(ROW()-1)=TRUE),0,(E1012-E1011)*unitsOfDHp+I1011)</f>
        <v>349720</v>
      </c>
      <c r="J1012">
        <f>IF(AND(MyRowHidden(ROW())=FALSE,MyRowHidden(ROW()-1)=TRUE),0,(G1012-G1011)*unitsOfExo+J1011)</f>
        <v>10625</v>
      </c>
      <c r="K1012" s="9">
        <f t="shared" si="47"/>
        <v>89375</v>
      </c>
      <c r="L1012">
        <f t="shared" si="48"/>
        <v>360345</v>
      </c>
    </row>
    <row r="1013" spans="4:12" x14ac:dyDescent="0.25">
      <c r="D1013" s="1">
        <v>42152</v>
      </c>
      <c r="E1013">
        <v>30179</v>
      </c>
      <c r="F1013" s="1">
        <v>42152</v>
      </c>
      <c r="G1013">
        <v>-3750</v>
      </c>
      <c r="H1013" s="1">
        <f t="shared" si="46"/>
        <v>42152</v>
      </c>
      <c r="I1013">
        <f>IF(AND(MyRowHidden(ROW())=FALSE,MyRowHidden(ROW()-1)=TRUE),0,(E1013-E1012)*unitsOfDHp+I1012)</f>
        <v>351790</v>
      </c>
      <c r="J1013">
        <f>IF(AND(MyRowHidden(ROW())=FALSE,MyRowHidden(ROW()-1)=TRUE),0,(G1013-G1012)*unitsOfExo+J1012)</f>
        <v>12500</v>
      </c>
      <c r="K1013" s="9">
        <f t="shared" si="47"/>
        <v>87500</v>
      </c>
      <c r="L1013">
        <f t="shared" si="48"/>
        <v>364290</v>
      </c>
    </row>
    <row r="1014" spans="4:12" x14ac:dyDescent="0.25">
      <c r="D1014" s="1">
        <v>42153</v>
      </c>
      <c r="E1014">
        <v>29966</v>
      </c>
      <c r="F1014" s="1">
        <v>42153</v>
      </c>
      <c r="G1014">
        <v>-3912.5</v>
      </c>
      <c r="H1014" s="1">
        <f t="shared" si="46"/>
        <v>42153</v>
      </c>
      <c r="I1014">
        <f>IF(AND(MyRowHidden(ROW())=FALSE,MyRowHidden(ROW()-1)=TRUE),0,(E1014-E1013)*unitsOfDHp+I1013)</f>
        <v>349660</v>
      </c>
      <c r="J1014">
        <f>IF(AND(MyRowHidden(ROW())=FALSE,MyRowHidden(ROW()-1)=TRUE),0,(G1014-G1013)*unitsOfExo+J1013)</f>
        <v>10875</v>
      </c>
      <c r="K1014" s="9">
        <f t="shared" si="47"/>
        <v>89125</v>
      </c>
      <c r="L1014">
        <f t="shared" si="48"/>
        <v>360535</v>
      </c>
    </row>
    <row r="1015" spans="4:12" x14ac:dyDescent="0.25">
      <c r="D1015" s="1">
        <v>42156</v>
      </c>
      <c r="E1015">
        <v>29997</v>
      </c>
      <c r="F1015" s="1">
        <v>42156</v>
      </c>
      <c r="G1015">
        <v>-3837.5</v>
      </c>
      <c r="H1015" s="1">
        <f t="shared" si="46"/>
        <v>42156</v>
      </c>
      <c r="I1015">
        <f>IF(AND(MyRowHidden(ROW())=FALSE,MyRowHidden(ROW()-1)=TRUE),0,(E1015-E1014)*unitsOfDHp+I1014)</f>
        <v>349970</v>
      </c>
      <c r="J1015">
        <f>IF(AND(MyRowHidden(ROW())=FALSE,MyRowHidden(ROW()-1)=TRUE),0,(G1015-G1014)*unitsOfExo+J1014)</f>
        <v>11625</v>
      </c>
      <c r="K1015" s="9">
        <f t="shared" si="47"/>
        <v>88375</v>
      </c>
      <c r="L1015">
        <f t="shared" si="48"/>
        <v>361595</v>
      </c>
    </row>
    <row r="1016" spans="4:12" x14ac:dyDescent="0.25">
      <c r="D1016" s="1">
        <v>42157</v>
      </c>
      <c r="E1016">
        <v>30221</v>
      </c>
      <c r="F1016" s="1">
        <v>42157</v>
      </c>
      <c r="G1016">
        <v>-3475</v>
      </c>
      <c r="H1016" s="1">
        <f t="shared" si="46"/>
        <v>42157</v>
      </c>
      <c r="I1016">
        <f>IF(AND(MyRowHidden(ROW())=FALSE,MyRowHidden(ROW()-1)=TRUE),0,(E1016-E1015)*unitsOfDHp+I1015)</f>
        <v>352210</v>
      </c>
      <c r="J1016">
        <f>IF(AND(MyRowHidden(ROW())=FALSE,MyRowHidden(ROW()-1)=TRUE),0,(G1016-G1015)*unitsOfExo+J1015)</f>
        <v>15250</v>
      </c>
      <c r="K1016" s="9">
        <f t="shared" si="47"/>
        <v>84750</v>
      </c>
      <c r="L1016">
        <f t="shared" si="48"/>
        <v>367460</v>
      </c>
    </row>
    <row r="1017" spans="4:12" x14ac:dyDescent="0.25">
      <c r="D1017" s="1">
        <v>42158</v>
      </c>
      <c r="E1017">
        <v>30207</v>
      </c>
      <c r="F1017" s="1">
        <v>42158</v>
      </c>
      <c r="G1017">
        <v>-3562.5</v>
      </c>
      <c r="H1017" s="1">
        <f t="shared" si="46"/>
        <v>42158</v>
      </c>
      <c r="I1017">
        <f>IF(AND(MyRowHidden(ROW())=FALSE,MyRowHidden(ROW()-1)=TRUE),0,(E1017-E1016)*unitsOfDHp+I1016)</f>
        <v>352070</v>
      </c>
      <c r="J1017">
        <f>IF(AND(MyRowHidden(ROW())=FALSE,MyRowHidden(ROW()-1)=TRUE),0,(G1017-G1016)*unitsOfExo+J1016)</f>
        <v>14375</v>
      </c>
      <c r="K1017" s="9">
        <f t="shared" si="47"/>
        <v>85625</v>
      </c>
      <c r="L1017">
        <f t="shared" si="48"/>
        <v>366445</v>
      </c>
    </row>
    <row r="1018" spans="4:12" x14ac:dyDescent="0.25">
      <c r="D1018" s="1">
        <v>42159</v>
      </c>
      <c r="E1018">
        <v>30051</v>
      </c>
      <c r="F1018" s="1">
        <v>42159</v>
      </c>
      <c r="G1018">
        <v>-3262.5</v>
      </c>
      <c r="H1018" s="1">
        <f t="shared" si="46"/>
        <v>42159</v>
      </c>
      <c r="I1018">
        <f>IF(AND(MyRowHidden(ROW())=FALSE,MyRowHidden(ROW()-1)=TRUE),0,(E1018-E1017)*unitsOfDHp+I1017)</f>
        <v>350510</v>
      </c>
      <c r="J1018">
        <f>IF(AND(MyRowHidden(ROW())=FALSE,MyRowHidden(ROW()-1)=TRUE),0,(G1018-G1017)*unitsOfExo+J1017)</f>
        <v>17375</v>
      </c>
      <c r="K1018" s="9">
        <f t="shared" si="47"/>
        <v>82625</v>
      </c>
      <c r="L1018">
        <f t="shared" si="48"/>
        <v>367885</v>
      </c>
    </row>
    <row r="1019" spans="4:12" x14ac:dyDescent="0.25">
      <c r="D1019" s="1">
        <v>42160</v>
      </c>
      <c r="E1019">
        <v>30215</v>
      </c>
      <c r="F1019" s="1">
        <v>42160</v>
      </c>
      <c r="G1019">
        <v>-3425</v>
      </c>
      <c r="H1019" s="1">
        <f t="shared" si="46"/>
        <v>42160</v>
      </c>
      <c r="I1019">
        <f>IF(AND(MyRowHidden(ROW())=FALSE,MyRowHidden(ROW()-1)=TRUE),0,(E1019-E1018)*unitsOfDHp+I1018)</f>
        <v>352150</v>
      </c>
      <c r="J1019">
        <f>IF(AND(MyRowHidden(ROW())=FALSE,MyRowHidden(ROW()-1)=TRUE),0,(G1019-G1018)*unitsOfExo+J1018)</f>
        <v>15750</v>
      </c>
      <c r="K1019" s="9">
        <f t="shared" si="47"/>
        <v>84250</v>
      </c>
      <c r="L1019">
        <f t="shared" si="48"/>
        <v>367900</v>
      </c>
    </row>
    <row r="1020" spans="4:12" x14ac:dyDescent="0.25">
      <c r="D1020" s="1">
        <v>42163</v>
      </c>
      <c r="E1020">
        <v>29872</v>
      </c>
      <c r="F1020" s="1">
        <v>42163</v>
      </c>
      <c r="G1020">
        <v>-3212.5</v>
      </c>
      <c r="H1020" s="1">
        <f t="shared" si="46"/>
        <v>42163</v>
      </c>
      <c r="I1020">
        <f>IF(AND(MyRowHidden(ROW())=FALSE,MyRowHidden(ROW()-1)=TRUE),0,(E1020-E1019)*unitsOfDHp+I1019)</f>
        <v>348720</v>
      </c>
      <c r="J1020">
        <f>IF(AND(MyRowHidden(ROW())=FALSE,MyRowHidden(ROW()-1)=TRUE),0,(G1020-G1019)*unitsOfExo+J1019)</f>
        <v>17875</v>
      </c>
      <c r="K1020" s="9">
        <f t="shared" si="47"/>
        <v>82125</v>
      </c>
      <c r="L1020">
        <f t="shared" si="48"/>
        <v>366595</v>
      </c>
    </row>
    <row r="1021" spans="4:12" x14ac:dyDescent="0.25">
      <c r="D1021" s="1">
        <v>42164</v>
      </c>
      <c r="E1021">
        <v>29812</v>
      </c>
      <c r="F1021" s="1">
        <v>42164</v>
      </c>
      <c r="G1021">
        <v>-3175</v>
      </c>
      <c r="H1021" s="1">
        <f t="shared" si="46"/>
        <v>42164</v>
      </c>
      <c r="I1021">
        <f>IF(AND(MyRowHidden(ROW())=FALSE,MyRowHidden(ROW()-1)=TRUE),0,(E1021-E1020)*unitsOfDHp+I1020)</f>
        <v>348120</v>
      </c>
      <c r="J1021">
        <f>IF(AND(MyRowHidden(ROW())=FALSE,MyRowHidden(ROW()-1)=TRUE),0,(G1021-G1020)*unitsOfExo+J1020)</f>
        <v>18250</v>
      </c>
      <c r="K1021" s="9">
        <f t="shared" si="47"/>
        <v>81750</v>
      </c>
      <c r="L1021">
        <f t="shared" si="48"/>
        <v>366370</v>
      </c>
    </row>
    <row r="1022" spans="4:12" x14ac:dyDescent="0.25">
      <c r="D1022" s="1">
        <v>42165</v>
      </c>
      <c r="E1022">
        <v>30200</v>
      </c>
      <c r="F1022" s="1">
        <v>42165</v>
      </c>
      <c r="G1022">
        <v>-3475</v>
      </c>
      <c r="H1022" s="1">
        <f t="shared" si="46"/>
        <v>42165</v>
      </c>
      <c r="I1022">
        <f>IF(AND(MyRowHidden(ROW())=FALSE,MyRowHidden(ROW()-1)=TRUE),0,(E1022-E1021)*unitsOfDHp+I1021)</f>
        <v>352000</v>
      </c>
      <c r="J1022">
        <f>IF(AND(MyRowHidden(ROW())=FALSE,MyRowHidden(ROW()-1)=TRUE),0,(G1022-G1021)*unitsOfExo+J1021)</f>
        <v>15250</v>
      </c>
      <c r="K1022" s="9">
        <f t="shared" si="47"/>
        <v>84750</v>
      </c>
      <c r="L1022">
        <f t="shared" si="48"/>
        <v>367250</v>
      </c>
    </row>
    <row r="1023" spans="4:12" x14ac:dyDescent="0.25">
      <c r="D1023" s="1">
        <v>42166</v>
      </c>
      <c r="E1023">
        <v>30264</v>
      </c>
      <c r="F1023" s="1">
        <v>42166</v>
      </c>
      <c r="G1023">
        <v>-3675</v>
      </c>
      <c r="H1023" s="1">
        <f t="shared" si="46"/>
        <v>42166</v>
      </c>
      <c r="I1023">
        <f>IF(AND(MyRowHidden(ROW())=FALSE,MyRowHidden(ROW()-1)=TRUE),0,(E1023-E1022)*unitsOfDHp+I1022)</f>
        <v>352640</v>
      </c>
      <c r="J1023">
        <f>IF(AND(MyRowHidden(ROW())=FALSE,MyRowHidden(ROW()-1)=TRUE),0,(G1023-G1022)*unitsOfExo+J1022)</f>
        <v>13250</v>
      </c>
      <c r="K1023" s="9">
        <f t="shared" si="47"/>
        <v>86750</v>
      </c>
      <c r="L1023">
        <f t="shared" si="48"/>
        <v>365890</v>
      </c>
    </row>
    <row r="1024" spans="4:12" x14ac:dyDescent="0.25">
      <c r="D1024" s="1">
        <v>42167</v>
      </c>
      <c r="E1024">
        <v>30318</v>
      </c>
      <c r="F1024" s="1">
        <v>42167</v>
      </c>
      <c r="G1024">
        <v>-3775</v>
      </c>
      <c r="H1024" s="1">
        <f t="shared" si="46"/>
        <v>42167</v>
      </c>
      <c r="I1024">
        <f>IF(AND(MyRowHidden(ROW())=FALSE,MyRowHidden(ROW()-1)=TRUE),0,(E1024-E1023)*unitsOfDHp+I1023)</f>
        <v>353180</v>
      </c>
      <c r="J1024">
        <f>IF(AND(MyRowHidden(ROW())=FALSE,MyRowHidden(ROW()-1)=TRUE),0,(G1024-G1023)*unitsOfExo+J1023)</f>
        <v>12250</v>
      </c>
      <c r="K1024" s="9">
        <f t="shared" si="47"/>
        <v>87750</v>
      </c>
      <c r="L1024">
        <f t="shared" si="48"/>
        <v>365430</v>
      </c>
    </row>
    <row r="1025" spans="4:12" x14ac:dyDescent="0.25">
      <c r="D1025" s="1">
        <v>42170</v>
      </c>
      <c r="E1025">
        <v>30046</v>
      </c>
      <c r="F1025" s="1">
        <v>42170</v>
      </c>
      <c r="G1025">
        <v>-4050</v>
      </c>
      <c r="H1025" s="1">
        <f t="shared" si="46"/>
        <v>42170</v>
      </c>
      <c r="I1025">
        <f>IF(AND(MyRowHidden(ROW())=FALSE,MyRowHidden(ROW()-1)=TRUE),0,(E1025-E1024)*unitsOfDHp+I1024)</f>
        <v>350460</v>
      </c>
      <c r="J1025">
        <f>IF(AND(MyRowHidden(ROW())=FALSE,MyRowHidden(ROW()-1)=TRUE),0,(G1025-G1024)*unitsOfExo+J1024)</f>
        <v>9500</v>
      </c>
      <c r="K1025" s="9">
        <f t="shared" si="47"/>
        <v>90500</v>
      </c>
      <c r="L1025">
        <f t="shared" si="48"/>
        <v>359960</v>
      </c>
    </row>
    <row r="1026" spans="4:12" x14ac:dyDescent="0.25">
      <c r="D1026" s="1">
        <v>42171</v>
      </c>
      <c r="E1026">
        <v>30239</v>
      </c>
      <c r="F1026" s="1">
        <v>42171</v>
      </c>
      <c r="G1026">
        <v>-3862.5</v>
      </c>
      <c r="H1026" s="1">
        <f t="shared" si="46"/>
        <v>42171</v>
      </c>
      <c r="I1026">
        <f>IF(AND(MyRowHidden(ROW())=FALSE,MyRowHidden(ROW()-1)=TRUE),0,(E1026-E1025)*unitsOfDHp+I1025)</f>
        <v>352390</v>
      </c>
      <c r="J1026">
        <f>IF(AND(MyRowHidden(ROW())=FALSE,MyRowHidden(ROW()-1)=TRUE),0,(G1026-G1025)*unitsOfExo+J1025)</f>
        <v>11375</v>
      </c>
      <c r="K1026" s="9">
        <f t="shared" si="47"/>
        <v>88625</v>
      </c>
      <c r="L1026">
        <f t="shared" si="48"/>
        <v>363765</v>
      </c>
    </row>
    <row r="1027" spans="4:12" x14ac:dyDescent="0.25">
      <c r="D1027" s="1">
        <v>42172</v>
      </c>
      <c r="E1027">
        <v>30751</v>
      </c>
      <c r="F1027" s="1">
        <v>42172</v>
      </c>
      <c r="G1027">
        <v>-3537.5</v>
      </c>
      <c r="H1027" s="1">
        <f t="shared" si="46"/>
        <v>42172</v>
      </c>
      <c r="I1027">
        <f>IF(AND(MyRowHidden(ROW())=FALSE,MyRowHidden(ROW()-1)=TRUE),0,(E1027-E1026)*unitsOfDHp+I1026)</f>
        <v>357510</v>
      </c>
      <c r="J1027">
        <f>IF(AND(MyRowHidden(ROW())=FALSE,MyRowHidden(ROW()-1)=TRUE),0,(G1027-G1026)*unitsOfExo+J1026)</f>
        <v>14625</v>
      </c>
      <c r="K1027" s="9">
        <f t="shared" si="47"/>
        <v>85375</v>
      </c>
      <c r="L1027">
        <f t="shared" si="48"/>
        <v>372135</v>
      </c>
    </row>
    <row r="1028" spans="4:12" x14ac:dyDescent="0.25">
      <c r="D1028" s="1">
        <v>42173</v>
      </c>
      <c r="E1028">
        <v>30837</v>
      </c>
      <c r="F1028" s="1">
        <v>42173</v>
      </c>
      <c r="G1028">
        <v>-3487.5</v>
      </c>
      <c r="H1028" s="1">
        <f t="shared" si="46"/>
        <v>42173</v>
      </c>
      <c r="I1028">
        <f>IF(AND(MyRowHidden(ROW())=FALSE,MyRowHidden(ROW()-1)=TRUE),0,(E1028-E1027)*unitsOfDHp+I1027)</f>
        <v>358370</v>
      </c>
      <c r="J1028">
        <f>IF(AND(MyRowHidden(ROW())=FALSE,MyRowHidden(ROW()-1)=TRUE),0,(G1028-G1027)*unitsOfExo+J1027)</f>
        <v>15125</v>
      </c>
      <c r="K1028" s="9">
        <f t="shared" si="47"/>
        <v>84875</v>
      </c>
      <c r="L1028">
        <f t="shared" si="48"/>
        <v>373495</v>
      </c>
    </row>
    <row r="1029" spans="4:12" x14ac:dyDescent="0.25">
      <c r="D1029" s="1">
        <v>42174</v>
      </c>
      <c r="E1029">
        <v>30697</v>
      </c>
      <c r="F1029" s="1">
        <v>42174</v>
      </c>
      <c r="G1029">
        <v>-3712.5</v>
      </c>
      <c r="H1029" s="1">
        <f t="shared" si="46"/>
        <v>42174</v>
      </c>
      <c r="I1029">
        <f>IF(AND(MyRowHidden(ROW())=FALSE,MyRowHidden(ROW()-1)=TRUE),0,(E1029-E1028)*unitsOfDHp+I1028)</f>
        <v>356970</v>
      </c>
      <c r="J1029">
        <f>IF(AND(MyRowHidden(ROW())=FALSE,MyRowHidden(ROW()-1)=TRUE),0,(G1029-G1028)*unitsOfExo+J1028)</f>
        <v>12875</v>
      </c>
      <c r="K1029" s="9">
        <f t="shared" si="47"/>
        <v>87125</v>
      </c>
      <c r="L1029">
        <f t="shared" si="48"/>
        <v>369845</v>
      </c>
    </row>
    <row r="1030" spans="4:12" x14ac:dyDescent="0.25">
      <c r="D1030" s="1">
        <v>42177</v>
      </c>
      <c r="E1030">
        <v>30758</v>
      </c>
      <c r="F1030" s="1">
        <v>42177</v>
      </c>
      <c r="G1030">
        <v>-3525</v>
      </c>
      <c r="H1030" s="1">
        <f t="shared" si="46"/>
        <v>42177</v>
      </c>
      <c r="I1030">
        <f>IF(AND(MyRowHidden(ROW())=FALSE,MyRowHidden(ROW()-1)=TRUE),0,(E1030-E1029)*unitsOfDHp+I1029)</f>
        <v>357580</v>
      </c>
      <c r="J1030">
        <f>IF(AND(MyRowHidden(ROW())=FALSE,MyRowHidden(ROW()-1)=TRUE),0,(G1030-G1029)*unitsOfExo+J1029)</f>
        <v>14750</v>
      </c>
      <c r="K1030" s="9">
        <f t="shared" si="47"/>
        <v>85250</v>
      </c>
      <c r="L1030">
        <f t="shared" si="48"/>
        <v>372330</v>
      </c>
    </row>
    <row r="1031" spans="4:12" x14ac:dyDescent="0.25">
      <c r="D1031" s="1">
        <v>42178</v>
      </c>
      <c r="E1031">
        <v>30723</v>
      </c>
      <c r="F1031" s="1">
        <v>42178</v>
      </c>
      <c r="G1031">
        <v>-3100</v>
      </c>
      <c r="H1031" s="1">
        <f t="shared" si="46"/>
        <v>42178</v>
      </c>
      <c r="I1031">
        <f>IF(AND(MyRowHidden(ROW())=FALSE,MyRowHidden(ROW()-1)=TRUE),0,(E1031-E1030)*unitsOfDHp+I1030)</f>
        <v>357230</v>
      </c>
      <c r="J1031">
        <f>IF(AND(MyRowHidden(ROW())=FALSE,MyRowHidden(ROW()-1)=TRUE),0,(G1031-G1030)*unitsOfExo+J1030)</f>
        <v>19000</v>
      </c>
      <c r="K1031" s="9">
        <f t="shared" si="47"/>
        <v>81000</v>
      </c>
      <c r="L1031">
        <f t="shared" si="48"/>
        <v>376230</v>
      </c>
    </row>
    <row r="1032" spans="4:12" x14ac:dyDescent="0.25">
      <c r="D1032" s="1">
        <v>42179</v>
      </c>
      <c r="E1032">
        <v>30592</v>
      </c>
      <c r="F1032" s="1">
        <v>42179</v>
      </c>
      <c r="G1032">
        <v>-3062.5</v>
      </c>
      <c r="H1032" s="1">
        <f t="shared" si="46"/>
        <v>42179</v>
      </c>
      <c r="I1032">
        <f>IF(AND(MyRowHidden(ROW())=FALSE,MyRowHidden(ROW()-1)=TRUE),0,(E1032-E1031)*unitsOfDHp+I1031)</f>
        <v>355920</v>
      </c>
      <c r="J1032">
        <f>IF(AND(MyRowHidden(ROW())=FALSE,MyRowHidden(ROW()-1)=TRUE),0,(G1032-G1031)*unitsOfExo+J1031)</f>
        <v>19375</v>
      </c>
      <c r="K1032" s="9">
        <f t="shared" si="47"/>
        <v>80625</v>
      </c>
      <c r="L1032">
        <f t="shared" si="48"/>
        <v>375295</v>
      </c>
    </row>
    <row r="1033" spans="4:12" x14ac:dyDescent="0.25">
      <c r="D1033" s="1">
        <v>42180</v>
      </c>
      <c r="E1033">
        <v>30265</v>
      </c>
      <c r="F1033" s="1">
        <v>42180</v>
      </c>
      <c r="G1033">
        <v>-2675</v>
      </c>
      <c r="H1033" s="1">
        <f t="shared" si="46"/>
        <v>42180</v>
      </c>
      <c r="I1033">
        <f>IF(AND(MyRowHidden(ROW())=FALSE,MyRowHidden(ROW()-1)=TRUE),0,(E1033-E1032)*unitsOfDHp+I1032)</f>
        <v>352650</v>
      </c>
      <c r="J1033">
        <f>IF(AND(MyRowHidden(ROW())=FALSE,MyRowHidden(ROW()-1)=TRUE),0,(G1033-G1032)*unitsOfExo+J1032)</f>
        <v>23250</v>
      </c>
      <c r="K1033" s="9">
        <f t="shared" si="47"/>
        <v>76750</v>
      </c>
      <c r="L1033">
        <f t="shared" si="48"/>
        <v>375900</v>
      </c>
    </row>
    <row r="1034" spans="4:12" x14ac:dyDescent="0.25">
      <c r="D1034" s="1">
        <v>42181</v>
      </c>
      <c r="E1034">
        <v>30742</v>
      </c>
      <c r="F1034" s="1">
        <v>42181</v>
      </c>
      <c r="G1034">
        <v>-2175</v>
      </c>
      <c r="H1034" s="1">
        <f t="shared" si="46"/>
        <v>42181</v>
      </c>
      <c r="I1034">
        <f>IF(AND(MyRowHidden(ROW())=FALSE,MyRowHidden(ROW()-1)=TRUE),0,(E1034-E1033)*unitsOfDHp+I1033)</f>
        <v>357420</v>
      </c>
      <c r="J1034">
        <f>IF(AND(MyRowHidden(ROW())=FALSE,MyRowHidden(ROW()-1)=TRUE),0,(G1034-G1033)*unitsOfExo+J1033)</f>
        <v>28250</v>
      </c>
      <c r="K1034" s="9">
        <f t="shared" si="47"/>
        <v>71750</v>
      </c>
      <c r="L1034">
        <f t="shared" si="48"/>
        <v>385670</v>
      </c>
    </row>
    <row r="1035" spans="4:12" x14ac:dyDescent="0.25">
      <c r="D1035" s="1">
        <v>42184</v>
      </c>
      <c r="E1035">
        <v>30691</v>
      </c>
      <c r="F1035" s="1">
        <v>42184</v>
      </c>
      <c r="G1035">
        <v>-2175</v>
      </c>
      <c r="H1035" s="1">
        <f t="shared" si="46"/>
        <v>42184</v>
      </c>
      <c r="I1035">
        <f>IF(AND(MyRowHidden(ROW())=FALSE,MyRowHidden(ROW()-1)=TRUE),0,(E1035-E1034)*unitsOfDHp+I1034)</f>
        <v>356910</v>
      </c>
      <c r="J1035">
        <f>IF(AND(MyRowHidden(ROW())=FALSE,MyRowHidden(ROW()-1)=TRUE),0,(G1035-G1034)*unitsOfExo+J1034)</f>
        <v>28250</v>
      </c>
      <c r="K1035" s="9">
        <f t="shared" si="47"/>
        <v>71750</v>
      </c>
      <c r="L1035">
        <f t="shared" si="48"/>
        <v>385160</v>
      </c>
    </row>
    <row r="1036" spans="4:12" x14ac:dyDescent="0.25">
      <c r="D1036" s="1">
        <v>42185</v>
      </c>
      <c r="E1036">
        <v>30070</v>
      </c>
      <c r="F1036" s="1">
        <v>42185</v>
      </c>
      <c r="G1036">
        <v>-950</v>
      </c>
      <c r="H1036" s="1">
        <f t="shared" si="46"/>
        <v>42185</v>
      </c>
      <c r="I1036">
        <f>IF(AND(MyRowHidden(ROW())=FALSE,MyRowHidden(ROW()-1)=TRUE),0,(E1036-E1035)*unitsOfDHp+I1035)</f>
        <v>350700</v>
      </c>
      <c r="J1036">
        <f>IF(AND(MyRowHidden(ROW())=FALSE,MyRowHidden(ROW()-1)=TRUE),0,(G1036-G1035)*unitsOfExo+J1035)</f>
        <v>40500</v>
      </c>
      <c r="K1036" s="9">
        <f t="shared" si="47"/>
        <v>59500</v>
      </c>
      <c r="L1036">
        <f t="shared" si="48"/>
        <v>391200</v>
      </c>
    </row>
    <row r="1037" spans="4:12" x14ac:dyDescent="0.25">
      <c r="D1037" s="1">
        <v>42186</v>
      </c>
      <c r="E1037">
        <v>30060</v>
      </c>
      <c r="F1037" s="1">
        <v>42186</v>
      </c>
      <c r="G1037">
        <v>-1075</v>
      </c>
      <c r="H1037" s="1">
        <f t="shared" ref="H1037:H1100" si="49">D1037</f>
        <v>42186</v>
      </c>
      <c r="I1037">
        <f>IF(AND(MyRowHidden(ROW())=FALSE,MyRowHidden(ROW()-1)=TRUE),0,(E1037-E1036)*unitsOfDHp+I1036)</f>
        <v>350600</v>
      </c>
      <c r="J1037">
        <f>IF(AND(MyRowHidden(ROW())=FALSE,MyRowHidden(ROW()-1)=TRUE),0,(G1037-G1036)*unitsOfExo+J1036)</f>
        <v>39250</v>
      </c>
      <c r="K1037" s="9">
        <f t="shared" ref="K1037:K1100" si="50">-(J1037-J1036)+K1036</f>
        <v>60750</v>
      </c>
      <c r="L1037">
        <f t="shared" ref="L1037:L1100" si="51">I1037+J1037</f>
        <v>389850</v>
      </c>
    </row>
    <row r="1038" spans="4:12" x14ac:dyDescent="0.25">
      <c r="D1038" s="1">
        <v>42187</v>
      </c>
      <c r="E1038">
        <v>29787</v>
      </c>
      <c r="F1038" s="1">
        <v>42187</v>
      </c>
      <c r="G1038">
        <v>-450</v>
      </c>
      <c r="H1038" s="1">
        <f t="shared" si="49"/>
        <v>42187</v>
      </c>
      <c r="I1038">
        <f>IF(AND(MyRowHidden(ROW())=FALSE,MyRowHidden(ROW()-1)=TRUE),0,(E1038-E1037)*unitsOfDHp+I1037)</f>
        <v>347870</v>
      </c>
      <c r="J1038">
        <f>IF(AND(MyRowHidden(ROW())=FALSE,MyRowHidden(ROW()-1)=TRUE),0,(G1038-G1037)*unitsOfExo+J1037)</f>
        <v>45500</v>
      </c>
      <c r="K1038" s="9">
        <f t="shared" si="50"/>
        <v>54500</v>
      </c>
      <c r="L1038">
        <f t="shared" si="51"/>
        <v>393370</v>
      </c>
    </row>
    <row r="1039" spans="4:12" x14ac:dyDescent="0.25">
      <c r="D1039" s="1">
        <v>42191</v>
      </c>
      <c r="E1039">
        <v>29795</v>
      </c>
      <c r="F1039" s="1">
        <v>42191</v>
      </c>
      <c r="G1039">
        <v>-525</v>
      </c>
      <c r="H1039" s="1">
        <f t="shared" si="49"/>
        <v>42191</v>
      </c>
      <c r="I1039">
        <f>IF(AND(MyRowHidden(ROW())=FALSE,MyRowHidden(ROW()-1)=TRUE),0,(E1039-E1038)*unitsOfDHp+I1038)</f>
        <v>347950</v>
      </c>
      <c r="J1039">
        <f>IF(AND(MyRowHidden(ROW())=FALSE,MyRowHidden(ROW()-1)=TRUE),0,(G1039-G1038)*unitsOfExo+J1038)</f>
        <v>44750</v>
      </c>
      <c r="K1039" s="9">
        <f t="shared" si="50"/>
        <v>55250</v>
      </c>
      <c r="L1039">
        <f t="shared" si="51"/>
        <v>392700</v>
      </c>
    </row>
    <row r="1040" spans="4:12" x14ac:dyDescent="0.25">
      <c r="D1040" s="1">
        <v>42192</v>
      </c>
      <c r="E1040">
        <v>29938</v>
      </c>
      <c r="F1040" s="1">
        <v>42192</v>
      </c>
      <c r="G1040">
        <v>-637.5</v>
      </c>
      <c r="H1040" s="1">
        <f t="shared" si="49"/>
        <v>42192</v>
      </c>
      <c r="I1040">
        <f>IF(AND(MyRowHidden(ROW())=FALSE,MyRowHidden(ROW()-1)=TRUE),0,(E1040-E1039)*unitsOfDHp+I1039)</f>
        <v>349380</v>
      </c>
      <c r="J1040">
        <f>IF(AND(MyRowHidden(ROW())=FALSE,MyRowHidden(ROW()-1)=TRUE),0,(G1040-G1039)*unitsOfExo+J1039)</f>
        <v>43625</v>
      </c>
      <c r="K1040" s="9">
        <f t="shared" si="50"/>
        <v>56375</v>
      </c>
      <c r="L1040">
        <f t="shared" si="51"/>
        <v>393005</v>
      </c>
    </row>
    <row r="1041" spans="4:12" x14ac:dyDescent="0.25">
      <c r="D1041" s="1">
        <v>42193</v>
      </c>
      <c r="E1041">
        <v>29684</v>
      </c>
      <c r="F1041" s="1">
        <v>42193</v>
      </c>
      <c r="G1041">
        <v>-612.5</v>
      </c>
      <c r="H1041" s="1">
        <f t="shared" si="49"/>
        <v>42193</v>
      </c>
      <c r="I1041">
        <f>IF(AND(MyRowHidden(ROW())=FALSE,MyRowHidden(ROW()-1)=TRUE),0,(E1041-E1040)*unitsOfDHp+I1040)</f>
        <v>346840</v>
      </c>
      <c r="J1041">
        <f>IF(AND(MyRowHidden(ROW())=FALSE,MyRowHidden(ROW()-1)=TRUE),0,(G1041-G1040)*unitsOfExo+J1040)</f>
        <v>43875</v>
      </c>
      <c r="K1041" s="9">
        <f t="shared" si="50"/>
        <v>56125</v>
      </c>
      <c r="L1041">
        <f t="shared" si="51"/>
        <v>390715</v>
      </c>
    </row>
    <row r="1042" spans="4:12" x14ac:dyDescent="0.25">
      <c r="D1042" s="1">
        <v>42194</v>
      </c>
      <c r="E1042">
        <v>29528</v>
      </c>
      <c r="F1042" s="1">
        <v>42194</v>
      </c>
      <c r="G1042">
        <v>-275</v>
      </c>
      <c r="H1042" s="1">
        <f t="shared" si="49"/>
        <v>42194</v>
      </c>
      <c r="I1042">
        <f>IF(AND(MyRowHidden(ROW())=FALSE,MyRowHidden(ROW()-1)=TRUE),0,(E1042-E1041)*unitsOfDHp+I1041)</f>
        <v>345280</v>
      </c>
      <c r="J1042">
        <f>IF(AND(MyRowHidden(ROW())=FALSE,MyRowHidden(ROW()-1)=TRUE),0,(G1042-G1041)*unitsOfExo+J1041)</f>
        <v>47250</v>
      </c>
      <c r="K1042" s="9">
        <f t="shared" si="50"/>
        <v>52750</v>
      </c>
      <c r="L1042">
        <f t="shared" si="51"/>
        <v>392530</v>
      </c>
    </row>
    <row r="1043" spans="4:12" x14ac:dyDescent="0.25">
      <c r="D1043" s="1">
        <v>42195</v>
      </c>
      <c r="E1043">
        <v>29445</v>
      </c>
      <c r="F1043" s="1">
        <v>42195</v>
      </c>
      <c r="G1043">
        <v>-37.5</v>
      </c>
      <c r="H1043" s="1">
        <f t="shared" si="49"/>
        <v>42195</v>
      </c>
      <c r="I1043">
        <f>IF(AND(MyRowHidden(ROW())=FALSE,MyRowHidden(ROW()-1)=TRUE),0,(E1043-E1042)*unitsOfDHp+I1042)</f>
        <v>344450</v>
      </c>
      <c r="J1043">
        <f>IF(AND(MyRowHidden(ROW())=FALSE,MyRowHidden(ROW()-1)=TRUE),0,(G1043-G1042)*unitsOfExo+J1042)</f>
        <v>49625</v>
      </c>
      <c r="K1043" s="9">
        <f t="shared" si="50"/>
        <v>50375</v>
      </c>
      <c r="L1043">
        <f t="shared" si="51"/>
        <v>394075</v>
      </c>
    </row>
    <row r="1044" spans="4:12" x14ac:dyDescent="0.25">
      <c r="D1044" s="1">
        <v>42198</v>
      </c>
      <c r="E1044">
        <v>29268</v>
      </c>
      <c r="F1044" s="1">
        <v>42198</v>
      </c>
      <c r="G1044">
        <v>250</v>
      </c>
      <c r="H1044" s="1">
        <f t="shared" si="49"/>
        <v>42198</v>
      </c>
      <c r="I1044">
        <f>IF(AND(MyRowHidden(ROW())=FALSE,MyRowHidden(ROW()-1)=TRUE),0,(E1044-E1043)*unitsOfDHp+I1043)</f>
        <v>342680</v>
      </c>
      <c r="J1044">
        <f>IF(AND(MyRowHidden(ROW())=FALSE,MyRowHidden(ROW()-1)=TRUE),0,(G1044-G1043)*unitsOfExo+J1043)</f>
        <v>52500</v>
      </c>
      <c r="K1044" s="9">
        <f t="shared" si="50"/>
        <v>47500</v>
      </c>
      <c r="L1044">
        <f t="shared" si="51"/>
        <v>395180</v>
      </c>
    </row>
    <row r="1045" spans="4:12" x14ac:dyDescent="0.25">
      <c r="D1045" s="1">
        <v>42199</v>
      </c>
      <c r="E1045">
        <v>29399</v>
      </c>
      <c r="F1045" s="1">
        <v>42199</v>
      </c>
      <c r="G1045">
        <v>-237.5</v>
      </c>
      <c r="H1045" s="1">
        <f t="shared" si="49"/>
        <v>42199</v>
      </c>
      <c r="I1045">
        <f>IF(AND(MyRowHidden(ROW())=FALSE,MyRowHidden(ROW()-1)=TRUE),0,(E1045-E1044)*unitsOfDHp+I1044)</f>
        <v>343990</v>
      </c>
      <c r="J1045">
        <f>IF(AND(MyRowHidden(ROW())=FALSE,MyRowHidden(ROW()-1)=TRUE),0,(G1045-G1044)*unitsOfExo+J1044)</f>
        <v>47625</v>
      </c>
      <c r="K1045" s="9">
        <f t="shared" si="50"/>
        <v>52375</v>
      </c>
      <c r="L1045">
        <f t="shared" si="51"/>
        <v>391615</v>
      </c>
    </row>
    <row r="1046" spans="4:12" x14ac:dyDescent="0.25">
      <c r="D1046" s="1">
        <v>42200</v>
      </c>
      <c r="E1046">
        <v>29472</v>
      </c>
      <c r="F1046" s="1">
        <v>42200</v>
      </c>
      <c r="G1046">
        <v>-437.5</v>
      </c>
      <c r="H1046" s="1">
        <f t="shared" si="49"/>
        <v>42200</v>
      </c>
      <c r="I1046">
        <f>IF(AND(MyRowHidden(ROW())=FALSE,MyRowHidden(ROW()-1)=TRUE),0,(E1046-E1045)*unitsOfDHp+I1045)</f>
        <v>344720</v>
      </c>
      <c r="J1046">
        <f>IF(AND(MyRowHidden(ROW())=FALSE,MyRowHidden(ROW()-1)=TRUE),0,(G1046-G1045)*unitsOfExo+J1045)</f>
        <v>45625</v>
      </c>
      <c r="K1046" s="9">
        <f t="shared" si="50"/>
        <v>54375</v>
      </c>
      <c r="L1046">
        <f t="shared" si="51"/>
        <v>390345</v>
      </c>
    </row>
    <row r="1047" spans="4:12" x14ac:dyDescent="0.25">
      <c r="D1047" s="1">
        <v>42201</v>
      </c>
      <c r="E1047">
        <v>29284</v>
      </c>
      <c r="F1047" s="1">
        <v>42201</v>
      </c>
      <c r="G1047">
        <v>-275</v>
      </c>
      <c r="H1047" s="1">
        <f t="shared" si="49"/>
        <v>42201</v>
      </c>
      <c r="I1047">
        <f>IF(AND(MyRowHidden(ROW())=FALSE,MyRowHidden(ROW()-1)=TRUE),0,(E1047-E1046)*unitsOfDHp+I1046)</f>
        <v>342840</v>
      </c>
      <c r="J1047">
        <f>IF(AND(MyRowHidden(ROW())=FALSE,MyRowHidden(ROW()-1)=TRUE),0,(G1047-G1046)*unitsOfExo+J1046)</f>
        <v>47250</v>
      </c>
      <c r="K1047" s="9">
        <f t="shared" si="50"/>
        <v>52750</v>
      </c>
      <c r="L1047">
        <f t="shared" si="51"/>
        <v>390090</v>
      </c>
    </row>
    <row r="1048" spans="4:12" x14ac:dyDescent="0.25">
      <c r="D1048" s="1">
        <v>42202</v>
      </c>
      <c r="E1048">
        <v>29489</v>
      </c>
      <c r="F1048" s="1">
        <v>42202</v>
      </c>
      <c r="G1048">
        <v>-812.5</v>
      </c>
      <c r="H1048" s="1">
        <f t="shared" si="49"/>
        <v>42202</v>
      </c>
      <c r="I1048">
        <f>IF(AND(MyRowHidden(ROW())=FALSE,MyRowHidden(ROW()-1)=TRUE),0,(E1048-E1047)*unitsOfDHp+I1047)</f>
        <v>344890</v>
      </c>
      <c r="J1048">
        <f>IF(AND(MyRowHidden(ROW())=FALSE,MyRowHidden(ROW()-1)=TRUE),0,(G1048-G1047)*unitsOfExo+J1047)</f>
        <v>41875</v>
      </c>
      <c r="K1048" s="9">
        <f t="shared" si="50"/>
        <v>58125</v>
      </c>
      <c r="L1048">
        <f t="shared" si="51"/>
        <v>386765</v>
      </c>
    </row>
    <row r="1049" spans="4:12" x14ac:dyDescent="0.25">
      <c r="D1049" s="1">
        <v>42205</v>
      </c>
      <c r="E1049">
        <v>28944</v>
      </c>
      <c r="F1049" s="1">
        <v>42205</v>
      </c>
      <c r="G1049">
        <v>-1500</v>
      </c>
      <c r="H1049" s="1">
        <f t="shared" si="49"/>
        <v>42205</v>
      </c>
      <c r="I1049">
        <f>IF(AND(MyRowHidden(ROW())=FALSE,MyRowHidden(ROW()-1)=TRUE),0,(E1049-E1048)*unitsOfDHp+I1048)</f>
        <v>339440</v>
      </c>
      <c r="J1049">
        <f>IF(AND(MyRowHidden(ROW())=FALSE,MyRowHidden(ROW()-1)=TRUE),0,(G1049-G1048)*unitsOfExo+J1048)</f>
        <v>35000</v>
      </c>
      <c r="K1049" s="9">
        <f t="shared" si="50"/>
        <v>65000</v>
      </c>
      <c r="L1049">
        <f t="shared" si="51"/>
        <v>374440</v>
      </c>
    </row>
    <row r="1050" spans="4:12" x14ac:dyDescent="0.25">
      <c r="D1050" s="1">
        <v>42206</v>
      </c>
      <c r="E1050">
        <v>28931</v>
      </c>
      <c r="F1050" s="1">
        <v>42206</v>
      </c>
      <c r="G1050">
        <v>-1437.5</v>
      </c>
      <c r="H1050" s="1">
        <f t="shared" si="49"/>
        <v>42206</v>
      </c>
      <c r="I1050">
        <f>IF(AND(MyRowHidden(ROW())=FALSE,MyRowHidden(ROW()-1)=TRUE),0,(E1050-E1049)*unitsOfDHp+I1049)</f>
        <v>339310</v>
      </c>
      <c r="J1050">
        <f>IF(AND(MyRowHidden(ROW())=FALSE,MyRowHidden(ROW()-1)=TRUE),0,(G1050-G1049)*unitsOfExo+J1049)</f>
        <v>35625</v>
      </c>
      <c r="K1050" s="9">
        <f t="shared" si="50"/>
        <v>64375</v>
      </c>
      <c r="L1050">
        <f t="shared" si="51"/>
        <v>374935</v>
      </c>
    </row>
    <row r="1051" spans="4:12" x14ac:dyDescent="0.25">
      <c r="D1051" s="1">
        <v>42207</v>
      </c>
      <c r="E1051">
        <v>28505</v>
      </c>
      <c r="F1051" s="1">
        <v>42207</v>
      </c>
      <c r="G1051">
        <v>-1700</v>
      </c>
      <c r="H1051" s="1">
        <f t="shared" si="49"/>
        <v>42207</v>
      </c>
      <c r="I1051">
        <f>IF(AND(MyRowHidden(ROW())=FALSE,MyRowHidden(ROW()-1)=TRUE),0,(E1051-E1050)*unitsOfDHp+I1050)</f>
        <v>335050</v>
      </c>
      <c r="J1051">
        <f>IF(AND(MyRowHidden(ROW())=FALSE,MyRowHidden(ROW()-1)=TRUE),0,(G1051-G1050)*unitsOfExo+J1050)</f>
        <v>33000</v>
      </c>
      <c r="K1051" s="9">
        <f t="shared" si="50"/>
        <v>67000</v>
      </c>
      <c r="L1051">
        <f t="shared" si="51"/>
        <v>368050</v>
      </c>
    </row>
    <row r="1052" spans="4:12" x14ac:dyDescent="0.25">
      <c r="D1052" s="1">
        <v>42208</v>
      </c>
      <c r="E1052">
        <v>28465</v>
      </c>
      <c r="F1052" s="1">
        <v>42208</v>
      </c>
      <c r="G1052">
        <v>-1762.5</v>
      </c>
      <c r="H1052" s="1">
        <f t="shared" si="49"/>
        <v>42208</v>
      </c>
      <c r="I1052">
        <f>IF(AND(MyRowHidden(ROW())=FALSE,MyRowHidden(ROW()-1)=TRUE),0,(E1052-E1051)*unitsOfDHp+I1051)</f>
        <v>334650</v>
      </c>
      <c r="J1052">
        <f>IF(AND(MyRowHidden(ROW())=FALSE,MyRowHidden(ROW()-1)=TRUE),0,(G1052-G1051)*unitsOfExo+J1051)</f>
        <v>32375</v>
      </c>
      <c r="K1052" s="9">
        <f t="shared" si="50"/>
        <v>67625</v>
      </c>
      <c r="L1052">
        <f t="shared" si="51"/>
        <v>367025</v>
      </c>
    </row>
    <row r="1053" spans="4:12" x14ac:dyDescent="0.25">
      <c r="D1053" s="1">
        <v>42209</v>
      </c>
      <c r="E1053">
        <v>28180</v>
      </c>
      <c r="F1053" s="1">
        <v>42209</v>
      </c>
      <c r="G1053">
        <v>-2075</v>
      </c>
      <c r="H1053" s="1">
        <f t="shared" si="49"/>
        <v>42209</v>
      </c>
      <c r="I1053">
        <f>IF(AND(MyRowHidden(ROW())=FALSE,MyRowHidden(ROW()-1)=TRUE),0,(E1053-E1052)*unitsOfDHp+I1052)</f>
        <v>331800</v>
      </c>
      <c r="J1053">
        <f>IF(AND(MyRowHidden(ROW())=FALSE,MyRowHidden(ROW()-1)=TRUE),0,(G1053-G1052)*unitsOfExo+J1052)</f>
        <v>29250</v>
      </c>
      <c r="K1053" s="9">
        <f t="shared" si="50"/>
        <v>70750</v>
      </c>
      <c r="L1053">
        <f t="shared" si="51"/>
        <v>361050</v>
      </c>
    </row>
    <row r="1054" spans="4:12" x14ac:dyDescent="0.25">
      <c r="D1054" s="1">
        <v>42212</v>
      </c>
      <c r="E1054">
        <v>27599</v>
      </c>
      <c r="F1054" s="1">
        <v>42212</v>
      </c>
      <c r="G1054">
        <v>-2962.5</v>
      </c>
      <c r="H1054" s="1">
        <f t="shared" si="49"/>
        <v>42212</v>
      </c>
      <c r="I1054">
        <f>IF(AND(MyRowHidden(ROW())=FALSE,MyRowHidden(ROW()-1)=TRUE),0,(E1054-E1053)*unitsOfDHp+I1053)</f>
        <v>325990</v>
      </c>
      <c r="J1054">
        <f>IF(AND(MyRowHidden(ROW())=FALSE,MyRowHidden(ROW()-1)=TRUE),0,(G1054-G1053)*unitsOfExo+J1053)</f>
        <v>20375</v>
      </c>
      <c r="K1054" s="9">
        <f t="shared" si="50"/>
        <v>79625</v>
      </c>
      <c r="L1054">
        <f t="shared" si="51"/>
        <v>346365</v>
      </c>
    </row>
    <row r="1055" spans="4:12" x14ac:dyDescent="0.25">
      <c r="D1055" s="1">
        <v>42213</v>
      </c>
      <c r="E1055">
        <v>27314</v>
      </c>
      <c r="F1055" s="1">
        <v>42213</v>
      </c>
      <c r="G1055">
        <v>-3262.5</v>
      </c>
      <c r="H1055" s="1">
        <f t="shared" si="49"/>
        <v>42213</v>
      </c>
      <c r="I1055">
        <f>IF(AND(MyRowHidden(ROW())=FALSE,MyRowHidden(ROW()-1)=TRUE),0,(E1055-E1054)*unitsOfDHp+I1054)</f>
        <v>323140</v>
      </c>
      <c r="J1055">
        <f>IF(AND(MyRowHidden(ROW())=FALSE,MyRowHidden(ROW()-1)=TRUE),0,(G1055-G1054)*unitsOfExo+J1054)</f>
        <v>17375</v>
      </c>
      <c r="K1055" s="9">
        <f t="shared" si="50"/>
        <v>82625</v>
      </c>
      <c r="L1055">
        <f t="shared" si="51"/>
        <v>340515</v>
      </c>
    </row>
    <row r="1056" spans="4:12" x14ac:dyDescent="0.25">
      <c r="D1056" s="1">
        <v>42214</v>
      </c>
      <c r="E1056">
        <v>27112</v>
      </c>
      <c r="F1056" s="1">
        <v>42214</v>
      </c>
      <c r="G1056">
        <v>-3362.5</v>
      </c>
      <c r="H1056" s="1">
        <f t="shared" si="49"/>
        <v>42214</v>
      </c>
      <c r="I1056">
        <f>IF(AND(MyRowHidden(ROW())=FALSE,MyRowHidden(ROW()-1)=TRUE),0,(E1056-E1055)*unitsOfDHp+I1055)</f>
        <v>321120</v>
      </c>
      <c r="J1056">
        <f>IF(AND(MyRowHidden(ROW())=FALSE,MyRowHidden(ROW()-1)=TRUE),0,(G1056-G1055)*unitsOfExo+J1055)</f>
        <v>16375</v>
      </c>
      <c r="K1056" s="9">
        <f t="shared" si="50"/>
        <v>83625</v>
      </c>
      <c r="L1056">
        <f t="shared" si="51"/>
        <v>337495</v>
      </c>
    </row>
    <row r="1057" spans="4:12" x14ac:dyDescent="0.25">
      <c r="D1057" s="1">
        <v>42215</v>
      </c>
      <c r="E1057">
        <v>27182</v>
      </c>
      <c r="F1057" s="1">
        <v>42215</v>
      </c>
      <c r="G1057">
        <v>-3262.5</v>
      </c>
      <c r="H1057" s="1">
        <f t="shared" si="49"/>
        <v>42215</v>
      </c>
      <c r="I1057">
        <f>IF(AND(MyRowHidden(ROW())=FALSE,MyRowHidden(ROW()-1)=TRUE),0,(E1057-E1056)*unitsOfDHp+I1056)</f>
        <v>321820</v>
      </c>
      <c r="J1057">
        <f>IF(AND(MyRowHidden(ROW())=FALSE,MyRowHidden(ROW()-1)=TRUE),0,(G1057-G1056)*unitsOfExo+J1056)</f>
        <v>17375</v>
      </c>
      <c r="K1057" s="9">
        <f t="shared" si="50"/>
        <v>82625</v>
      </c>
      <c r="L1057">
        <f t="shared" si="51"/>
        <v>339195</v>
      </c>
    </row>
    <row r="1058" spans="4:12" x14ac:dyDescent="0.25">
      <c r="D1058" s="1">
        <v>42216</v>
      </c>
      <c r="E1058">
        <v>27430</v>
      </c>
      <c r="F1058" s="1">
        <v>42216</v>
      </c>
      <c r="G1058">
        <v>-3087.5</v>
      </c>
      <c r="H1058" s="1">
        <f t="shared" si="49"/>
        <v>42216</v>
      </c>
      <c r="I1058">
        <f>IF(AND(MyRowHidden(ROW())=FALSE,MyRowHidden(ROW()-1)=TRUE),0,(E1058-E1057)*unitsOfDHp+I1057)</f>
        <v>324300</v>
      </c>
      <c r="J1058">
        <f>IF(AND(MyRowHidden(ROW())=FALSE,MyRowHidden(ROW()-1)=TRUE),0,(G1058-G1057)*unitsOfExo+J1057)</f>
        <v>19125</v>
      </c>
      <c r="K1058" s="9">
        <f t="shared" si="50"/>
        <v>80875</v>
      </c>
      <c r="L1058">
        <f t="shared" si="51"/>
        <v>343425</v>
      </c>
    </row>
    <row r="1059" spans="4:12" x14ac:dyDescent="0.25">
      <c r="D1059" s="1">
        <v>42219</v>
      </c>
      <c r="E1059">
        <v>27128</v>
      </c>
      <c r="F1059" s="1">
        <v>42219</v>
      </c>
      <c r="G1059">
        <v>-3387.5</v>
      </c>
      <c r="H1059" s="1">
        <f t="shared" si="49"/>
        <v>42219</v>
      </c>
      <c r="I1059">
        <f>IF(AND(MyRowHidden(ROW())=FALSE,MyRowHidden(ROW()-1)=TRUE),0,(E1059-E1058)*unitsOfDHp+I1058)</f>
        <v>321280</v>
      </c>
      <c r="J1059">
        <f>IF(AND(MyRowHidden(ROW())=FALSE,MyRowHidden(ROW()-1)=TRUE),0,(G1059-G1058)*unitsOfExo+J1058)</f>
        <v>16125</v>
      </c>
      <c r="K1059" s="9">
        <f t="shared" si="50"/>
        <v>83875</v>
      </c>
      <c r="L1059">
        <f t="shared" si="51"/>
        <v>337405</v>
      </c>
    </row>
    <row r="1060" spans="4:12" x14ac:dyDescent="0.25">
      <c r="D1060" s="1">
        <v>42220</v>
      </c>
      <c r="E1060">
        <v>27239</v>
      </c>
      <c r="F1060" s="1">
        <v>42220</v>
      </c>
      <c r="G1060">
        <v>-3462.5</v>
      </c>
      <c r="H1060" s="1">
        <f t="shared" si="49"/>
        <v>42220</v>
      </c>
      <c r="I1060">
        <f>IF(AND(MyRowHidden(ROW())=FALSE,MyRowHidden(ROW()-1)=TRUE),0,(E1060-E1059)*unitsOfDHp+I1059)</f>
        <v>322390</v>
      </c>
      <c r="J1060">
        <f>IF(AND(MyRowHidden(ROW())=FALSE,MyRowHidden(ROW()-1)=TRUE),0,(G1060-G1059)*unitsOfExo+J1059)</f>
        <v>15375</v>
      </c>
      <c r="K1060" s="9">
        <f t="shared" si="50"/>
        <v>84625</v>
      </c>
      <c r="L1060">
        <f t="shared" si="51"/>
        <v>337765</v>
      </c>
    </row>
    <row r="1061" spans="4:12" x14ac:dyDescent="0.25">
      <c r="D1061" s="1">
        <v>42221</v>
      </c>
      <c r="E1061">
        <v>26963</v>
      </c>
      <c r="F1061" s="1">
        <v>42221</v>
      </c>
      <c r="G1061">
        <v>-3212.5</v>
      </c>
      <c r="H1061" s="1">
        <f t="shared" si="49"/>
        <v>42221</v>
      </c>
      <c r="I1061">
        <f>IF(AND(MyRowHidden(ROW())=FALSE,MyRowHidden(ROW()-1)=TRUE),0,(E1061-E1060)*unitsOfDHp+I1060)</f>
        <v>319630</v>
      </c>
      <c r="J1061">
        <f>IF(AND(MyRowHidden(ROW())=FALSE,MyRowHidden(ROW()-1)=TRUE),0,(G1061-G1060)*unitsOfExo+J1060)</f>
        <v>17875</v>
      </c>
      <c r="K1061" s="9">
        <f t="shared" si="50"/>
        <v>82125</v>
      </c>
      <c r="L1061">
        <f t="shared" si="51"/>
        <v>337505</v>
      </c>
    </row>
    <row r="1062" spans="4:12" x14ac:dyDescent="0.25">
      <c r="D1062" s="1">
        <v>42222</v>
      </c>
      <c r="E1062">
        <v>26925</v>
      </c>
      <c r="F1062" s="1">
        <v>42222</v>
      </c>
      <c r="G1062">
        <v>-3250</v>
      </c>
      <c r="H1062" s="1">
        <f t="shared" si="49"/>
        <v>42222</v>
      </c>
      <c r="I1062">
        <f>IF(AND(MyRowHidden(ROW())=FALSE,MyRowHidden(ROW()-1)=TRUE),0,(E1062-E1061)*unitsOfDHp+I1061)</f>
        <v>319250</v>
      </c>
      <c r="J1062">
        <f>IF(AND(MyRowHidden(ROW())=FALSE,MyRowHidden(ROW()-1)=TRUE),0,(G1062-G1061)*unitsOfExo+J1061)</f>
        <v>17500</v>
      </c>
      <c r="K1062" s="9">
        <f t="shared" si="50"/>
        <v>82500</v>
      </c>
      <c r="L1062">
        <f t="shared" si="51"/>
        <v>336750</v>
      </c>
    </row>
    <row r="1063" spans="4:12" x14ac:dyDescent="0.25">
      <c r="D1063" s="1">
        <v>42223</v>
      </c>
      <c r="E1063">
        <v>26832</v>
      </c>
      <c r="F1063" s="1">
        <v>42223</v>
      </c>
      <c r="G1063">
        <v>-3175</v>
      </c>
      <c r="H1063" s="1">
        <f t="shared" si="49"/>
        <v>42223</v>
      </c>
      <c r="I1063">
        <f>IF(AND(MyRowHidden(ROW())=FALSE,MyRowHidden(ROW()-1)=TRUE),0,(E1063-E1062)*unitsOfDHp+I1062)</f>
        <v>318320</v>
      </c>
      <c r="J1063">
        <f>IF(AND(MyRowHidden(ROW())=FALSE,MyRowHidden(ROW()-1)=TRUE),0,(G1063-G1062)*unitsOfExo+J1062)</f>
        <v>18250</v>
      </c>
      <c r="K1063" s="9">
        <f t="shared" si="50"/>
        <v>81750</v>
      </c>
      <c r="L1063">
        <f t="shared" si="51"/>
        <v>336570</v>
      </c>
    </row>
    <row r="1064" spans="4:12" x14ac:dyDescent="0.25">
      <c r="D1064" s="1">
        <v>42226</v>
      </c>
      <c r="E1064">
        <v>26796</v>
      </c>
      <c r="F1064" s="1">
        <v>42226</v>
      </c>
      <c r="G1064">
        <v>-2487.5</v>
      </c>
      <c r="H1064" s="1">
        <f t="shared" si="49"/>
        <v>42226</v>
      </c>
      <c r="I1064">
        <f>IF(AND(MyRowHidden(ROW())=FALSE,MyRowHidden(ROW()-1)=TRUE),0,(E1064-E1063)*unitsOfDHp+I1063)</f>
        <v>317960</v>
      </c>
      <c r="J1064">
        <f>IF(AND(MyRowHidden(ROW())=FALSE,MyRowHidden(ROW()-1)=TRUE),0,(G1064-G1063)*unitsOfExo+J1063)</f>
        <v>25125</v>
      </c>
      <c r="K1064" s="9">
        <f t="shared" si="50"/>
        <v>74875</v>
      </c>
      <c r="L1064">
        <f t="shared" si="51"/>
        <v>343085</v>
      </c>
    </row>
    <row r="1065" spans="4:12" x14ac:dyDescent="0.25">
      <c r="D1065" s="1">
        <v>42227</v>
      </c>
      <c r="E1065">
        <v>27004</v>
      </c>
      <c r="F1065" s="1">
        <v>42227</v>
      </c>
      <c r="G1065">
        <v>-2800</v>
      </c>
      <c r="H1065" s="1">
        <f t="shared" si="49"/>
        <v>42227</v>
      </c>
      <c r="I1065">
        <f>IF(AND(MyRowHidden(ROW())=FALSE,MyRowHidden(ROW()-1)=TRUE),0,(E1065-E1064)*unitsOfDHp+I1064)</f>
        <v>320040</v>
      </c>
      <c r="J1065">
        <f>IF(AND(MyRowHidden(ROW())=FALSE,MyRowHidden(ROW()-1)=TRUE),0,(G1065-G1064)*unitsOfExo+J1064)</f>
        <v>22000</v>
      </c>
      <c r="K1065" s="9">
        <f t="shared" si="50"/>
        <v>78000</v>
      </c>
      <c r="L1065">
        <f t="shared" si="51"/>
        <v>342040</v>
      </c>
    </row>
    <row r="1066" spans="4:12" x14ac:dyDescent="0.25">
      <c r="D1066" s="1">
        <v>42228</v>
      </c>
      <c r="E1066">
        <v>27994</v>
      </c>
      <c r="F1066" s="1">
        <v>42228</v>
      </c>
      <c r="G1066">
        <v>-3950</v>
      </c>
      <c r="H1066" s="1">
        <f t="shared" si="49"/>
        <v>42228</v>
      </c>
      <c r="I1066">
        <f>IF(AND(MyRowHidden(ROW())=FALSE,MyRowHidden(ROW()-1)=TRUE),0,(E1066-E1065)*unitsOfDHp+I1065)</f>
        <v>329940</v>
      </c>
      <c r="J1066">
        <f>IF(AND(MyRowHidden(ROW())=FALSE,MyRowHidden(ROW()-1)=TRUE),0,(G1066-G1065)*unitsOfExo+J1065)</f>
        <v>10500</v>
      </c>
      <c r="K1066" s="9">
        <f t="shared" si="50"/>
        <v>89500</v>
      </c>
      <c r="L1066">
        <f t="shared" si="51"/>
        <v>340440</v>
      </c>
    </row>
    <row r="1067" spans="4:12" x14ac:dyDescent="0.25">
      <c r="D1067" s="1">
        <v>42229</v>
      </c>
      <c r="E1067">
        <v>28205</v>
      </c>
      <c r="F1067" s="1">
        <v>42229</v>
      </c>
      <c r="G1067">
        <v>-3737.5</v>
      </c>
      <c r="H1067" s="1">
        <f t="shared" si="49"/>
        <v>42229</v>
      </c>
      <c r="I1067">
        <f>IF(AND(MyRowHidden(ROW())=FALSE,MyRowHidden(ROW()-1)=TRUE),0,(E1067-E1066)*unitsOfDHp+I1066)</f>
        <v>332050</v>
      </c>
      <c r="J1067">
        <f>IF(AND(MyRowHidden(ROW())=FALSE,MyRowHidden(ROW()-1)=TRUE),0,(G1067-G1066)*unitsOfExo+J1066)</f>
        <v>12625</v>
      </c>
      <c r="K1067" s="9">
        <f t="shared" si="50"/>
        <v>87375</v>
      </c>
      <c r="L1067">
        <f t="shared" si="51"/>
        <v>344675</v>
      </c>
    </row>
    <row r="1068" spans="4:12" x14ac:dyDescent="0.25">
      <c r="D1068" s="1">
        <v>42230</v>
      </c>
      <c r="E1068">
        <v>28301</v>
      </c>
      <c r="F1068" s="1">
        <v>42230</v>
      </c>
      <c r="G1068">
        <v>-3675</v>
      </c>
      <c r="H1068" s="1">
        <f t="shared" si="49"/>
        <v>42230</v>
      </c>
      <c r="I1068">
        <f>IF(AND(MyRowHidden(ROW())=FALSE,MyRowHidden(ROW()-1)=TRUE),0,(E1068-E1067)*unitsOfDHp+I1067)</f>
        <v>333010</v>
      </c>
      <c r="J1068">
        <f>IF(AND(MyRowHidden(ROW())=FALSE,MyRowHidden(ROW()-1)=TRUE),0,(G1068-G1067)*unitsOfExo+J1067)</f>
        <v>13250</v>
      </c>
      <c r="K1068" s="9">
        <f t="shared" si="50"/>
        <v>86750</v>
      </c>
      <c r="L1068">
        <f t="shared" si="51"/>
        <v>346260</v>
      </c>
    </row>
    <row r="1069" spans="4:12" x14ac:dyDescent="0.25">
      <c r="D1069" s="1">
        <v>42233</v>
      </c>
      <c r="E1069">
        <v>28376</v>
      </c>
      <c r="F1069" s="1">
        <v>42233</v>
      </c>
      <c r="G1069">
        <v>-3625</v>
      </c>
      <c r="H1069" s="1">
        <f t="shared" si="49"/>
        <v>42233</v>
      </c>
      <c r="I1069">
        <f>IF(AND(MyRowHidden(ROW())=FALSE,MyRowHidden(ROW()-1)=TRUE),0,(E1069-E1068)*unitsOfDHp+I1068)</f>
        <v>333760</v>
      </c>
      <c r="J1069">
        <f>IF(AND(MyRowHidden(ROW())=FALSE,MyRowHidden(ROW()-1)=TRUE),0,(G1069-G1068)*unitsOfExo+J1068)</f>
        <v>13750</v>
      </c>
      <c r="K1069" s="9">
        <f t="shared" si="50"/>
        <v>86250</v>
      </c>
      <c r="L1069">
        <f t="shared" si="51"/>
        <v>347510</v>
      </c>
    </row>
    <row r="1070" spans="4:12" x14ac:dyDescent="0.25">
      <c r="D1070" s="1">
        <v>42234</v>
      </c>
      <c r="E1070">
        <v>28618</v>
      </c>
      <c r="F1070" s="1">
        <v>42234</v>
      </c>
      <c r="G1070">
        <v>-3512.5</v>
      </c>
      <c r="H1070" s="1">
        <f t="shared" si="49"/>
        <v>42234</v>
      </c>
      <c r="I1070">
        <f>IF(AND(MyRowHidden(ROW())=FALSE,MyRowHidden(ROW()-1)=TRUE),0,(E1070-E1069)*unitsOfDHp+I1069)</f>
        <v>336180</v>
      </c>
      <c r="J1070">
        <f>IF(AND(MyRowHidden(ROW())=FALSE,MyRowHidden(ROW()-1)=TRUE),0,(G1070-G1069)*unitsOfExo+J1069)</f>
        <v>14875</v>
      </c>
      <c r="K1070" s="9">
        <f t="shared" si="50"/>
        <v>85125</v>
      </c>
      <c r="L1070">
        <f t="shared" si="51"/>
        <v>351055</v>
      </c>
    </row>
    <row r="1071" spans="4:12" x14ac:dyDescent="0.25">
      <c r="D1071" s="1">
        <v>42235</v>
      </c>
      <c r="E1071">
        <v>28664</v>
      </c>
      <c r="F1071" s="1">
        <v>42235</v>
      </c>
      <c r="G1071">
        <v>-3450</v>
      </c>
      <c r="H1071" s="1">
        <f t="shared" si="49"/>
        <v>42235</v>
      </c>
      <c r="I1071">
        <f>IF(AND(MyRowHidden(ROW())=FALSE,MyRowHidden(ROW()-1)=TRUE),0,(E1071-E1070)*unitsOfDHp+I1070)</f>
        <v>336640</v>
      </c>
      <c r="J1071">
        <f>IF(AND(MyRowHidden(ROW())=FALSE,MyRowHidden(ROW()-1)=TRUE),0,(G1071-G1070)*unitsOfExo+J1070)</f>
        <v>15500</v>
      </c>
      <c r="K1071" s="9">
        <f t="shared" si="50"/>
        <v>84500</v>
      </c>
      <c r="L1071">
        <f t="shared" si="51"/>
        <v>352140</v>
      </c>
    </row>
    <row r="1072" spans="4:12" x14ac:dyDescent="0.25">
      <c r="D1072" s="1">
        <v>42236</v>
      </c>
      <c r="E1072">
        <v>28556</v>
      </c>
      <c r="F1072" s="1">
        <v>42236</v>
      </c>
      <c r="G1072">
        <v>-3287.5</v>
      </c>
      <c r="H1072" s="1">
        <f t="shared" si="49"/>
        <v>42236</v>
      </c>
      <c r="I1072">
        <f>IF(AND(MyRowHidden(ROW())=FALSE,MyRowHidden(ROW()-1)=TRUE),0,(E1072-E1071)*unitsOfDHp+I1071)</f>
        <v>335560</v>
      </c>
      <c r="J1072">
        <f>IF(AND(MyRowHidden(ROW())=FALSE,MyRowHidden(ROW()-1)=TRUE),0,(G1072-G1071)*unitsOfExo+J1071)</f>
        <v>17125</v>
      </c>
      <c r="K1072" s="9">
        <f t="shared" si="50"/>
        <v>82875</v>
      </c>
      <c r="L1072">
        <f t="shared" si="51"/>
        <v>352685</v>
      </c>
    </row>
    <row r="1073" spans="4:12" x14ac:dyDescent="0.25">
      <c r="D1073" s="1">
        <v>42237</v>
      </c>
      <c r="E1073">
        <v>28523</v>
      </c>
      <c r="F1073" s="1">
        <v>42237</v>
      </c>
      <c r="G1073">
        <v>-3575</v>
      </c>
      <c r="H1073" s="1">
        <f t="shared" si="49"/>
        <v>42237</v>
      </c>
      <c r="I1073">
        <f>IF(AND(MyRowHidden(ROW())=FALSE,MyRowHidden(ROW()-1)=TRUE),0,(E1073-E1072)*unitsOfDHp+I1072)</f>
        <v>335230</v>
      </c>
      <c r="J1073">
        <f>IF(AND(MyRowHidden(ROW())=FALSE,MyRowHidden(ROW()-1)=TRUE),0,(G1073-G1072)*unitsOfExo+J1072)</f>
        <v>14250</v>
      </c>
      <c r="K1073" s="9">
        <f t="shared" si="50"/>
        <v>85750</v>
      </c>
      <c r="L1073">
        <f t="shared" si="51"/>
        <v>349480</v>
      </c>
    </row>
    <row r="1074" spans="4:12" x14ac:dyDescent="0.25">
      <c r="D1074" s="1">
        <v>42240</v>
      </c>
      <c r="E1074">
        <v>28539</v>
      </c>
      <c r="F1074" s="1">
        <v>42240</v>
      </c>
      <c r="G1074">
        <v>-3425</v>
      </c>
      <c r="H1074" s="1">
        <f t="shared" si="49"/>
        <v>42240</v>
      </c>
      <c r="I1074">
        <f>IF(AND(MyRowHidden(ROW())=FALSE,MyRowHidden(ROW()-1)=TRUE),0,(E1074-E1073)*unitsOfDHp+I1073)</f>
        <v>335390</v>
      </c>
      <c r="J1074">
        <f>IF(AND(MyRowHidden(ROW())=FALSE,MyRowHidden(ROW()-1)=TRUE),0,(G1074-G1073)*unitsOfExo+J1073)</f>
        <v>15750</v>
      </c>
      <c r="K1074" s="9">
        <f t="shared" si="50"/>
        <v>84250</v>
      </c>
      <c r="L1074">
        <f t="shared" si="51"/>
        <v>351140</v>
      </c>
    </row>
    <row r="1075" spans="4:12" x14ac:dyDescent="0.25">
      <c r="D1075" s="1">
        <v>42241</v>
      </c>
      <c r="E1075">
        <v>28466</v>
      </c>
      <c r="F1075" s="1">
        <v>42241</v>
      </c>
      <c r="G1075">
        <v>-3587.5</v>
      </c>
      <c r="H1075" s="1">
        <f t="shared" si="49"/>
        <v>42241</v>
      </c>
      <c r="I1075">
        <f>IF(AND(MyRowHidden(ROW())=FALSE,MyRowHidden(ROW()-1)=TRUE),0,(E1075-E1074)*unitsOfDHp+I1074)</f>
        <v>334660</v>
      </c>
      <c r="J1075">
        <f>IF(AND(MyRowHidden(ROW())=FALSE,MyRowHidden(ROW()-1)=TRUE),0,(G1075-G1074)*unitsOfExo+J1074)</f>
        <v>14125</v>
      </c>
      <c r="K1075" s="9">
        <f t="shared" si="50"/>
        <v>85875</v>
      </c>
      <c r="L1075">
        <f t="shared" si="51"/>
        <v>348785</v>
      </c>
    </row>
    <row r="1076" spans="4:12" x14ac:dyDescent="0.25">
      <c r="D1076" s="1">
        <v>42242</v>
      </c>
      <c r="E1076">
        <v>28506</v>
      </c>
      <c r="F1076" s="1">
        <v>42242</v>
      </c>
      <c r="G1076">
        <v>-3712.5</v>
      </c>
      <c r="H1076" s="1">
        <f t="shared" si="49"/>
        <v>42242</v>
      </c>
      <c r="I1076">
        <f>IF(AND(MyRowHidden(ROW())=FALSE,MyRowHidden(ROW()-1)=TRUE),0,(E1076-E1075)*unitsOfDHp+I1075)</f>
        <v>335060</v>
      </c>
      <c r="J1076">
        <f>IF(AND(MyRowHidden(ROW())=FALSE,MyRowHidden(ROW()-1)=TRUE),0,(G1076-G1075)*unitsOfExo+J1075)</f>
        <v>12875</v>
      </c>
      <c r="K1076" s="9">
        <f t="shared" si="50"/>
        <v>87125</v>
      </c>
      <c r="L1076">
        <f t="shared" si="51"/>
        <v>347935</v>
      </c>
    </row>
    <row r="1077" spans="4:12" x14ac:dyDescent="0.25">
      <c r="D1077" s="1">
        <v>42243</v>
      </c>
      <c r="E1077">
        <v>28500</v>
      </c>
      <c r="F1077" s="1">
        <v>42243</v>
      </c>
      <c r="G1077">
        <v>-3700</v>
      </c>
      <c r="H1077" s="1">
        <f t="shared" si="49"/>
        <v>42243</v>
      </c>
      <c r="I1077">
        <f>IF(AND(MyRowHidden(ROW())=FALSE,MyRowHidden(ROW()-1)=TRUE),0,(E1077-E1076)*unitsOfDHp+I1076)</f>
        <v>335000</v>
      </c>
      <c r="J1077">
        <f>IF(AND(MyRowHidden(ROW())=FALSE,MyRowHidden(ROW()-1)=TRUE),0,(G1077-G1076)*unitsOfExo+J1076)</f>
        <v>13000</v>
      </c>
      <c r="K1077" s="9">
        <f t="shared" si="50"/>
        <v>87000</v>
      </c>
      <c r="L1077">
        <f t="shared" si="51"/>
        <v>348000</v>
      </c>
    </row>
    <row r="1078" spans="4:12" x14ac:dyDescent="0.25">
      <c r="D1078" s="1">
        <v>42244</v>
      </c>
      <c r="E1078">
        <v>28594</v>
      </c>
      <c r="F1078" s="1">
        <v>42244</v>
      </c>
      <c r="G1078">
        <v>-3650</v>
      </c>
      <c r="H1078" s="1">
        <f t="shared" si="49"/>
        <v>42244</v>
      </c>
      <c r="I1078">
        <f>IF(AND(MyRowHidden(ROW())=FALSE,MyRowHidden(ROW()-1)=TRUE),0,(E1078-E1077)*unitsOfDHp+I1077)</f>
        <v>335940</v>
      </c>
      <c r="J1078">
        <f>IF(AND(MyRowHidden(ROW())=FALSE,MyRowHidden(ROW()-1)=TRUE),0,(G1078-G1077)*unitsOfExo+J1077)</f>
        <v>13500</v>
      </c>
      <c r="K1078" s="9">
        <f t="shared" si="50"/>
        <v>86500</v>
      </c>
      <c r="L1078">
        <f t="shared" si="51"/>
        <v>349440</v>
      </c>
    </row>
    <row r="1079" spans="4:12" x14ac:dyDescent="0.25">
      <c r="D1079" s="1">
        <v>42247</v>
      </c>
      <c r="E1079">
        <v>28488</v>
      </c>
      <c r="F1079" s="1">
        <v>42247</v>
      </c>
      <c r="G1079">
        <v>-3712.5</v>
      </c>
      <c r="H1079" s="1">
        <f t="shared" si="49"/>
        <v>42247</v>
      </c>
      <c r="I1079">
        <f>IF(AND(MyRowHidden(ROW())=FALSE,MyRowHidden(ROW()-1)=TRUE),0,(E1079-E1078)*unitsOfDHp+I1078)</f>
        <v>334880</v>
      </c>
      <c r="J1079">
        <f>IF(AND(MyRowHidden(ROW())=FALSE,MyRowHidden(ROW()-1)=TRUE),0,(G1079-G1078)*unitsOfExo+J1078)</f>
        <v>12875</v>
      </c>
      <c r="K1079" s="9">
        <f t="shared" si="50"/>
        <v>87125</v>
      </c>
      <c r="L1079">
        <f t="shared" si="51"/>
        <v>347755</v>
      </c>
    </row>
    <row r="1080" spans="4:12" x14ac:dyDescent="0.25">
      <c r="D1080" s="1">
        <v>42248</v>
      </c>
      <c r="E1080">
        <v>28279</v>
      </c>
      <c r="F1080" s="1">
        <v>42248</v>
      </c>
      <c r="G1080">
        <v>-4000</v>
      </c>
      <c r="H1080" s="1">
        <f t="shared" si="49"/>
        <v>42248</v>
      </c>
      <c r="I1080">
        <f>IF(AND(MyRowHidden(ROW())=FALSE,MyRowHidden(ROW()-1)=TRUE),0,(E1080-E1079)*unitsOfDHp+I1079)</f>
        <v>332790</v>
      </c>
      <c r="J1080">
        <f>IF(AND(MyRowHidden(ROW())=FALSE,MyRowHidden(ROW()-1)=TRUE),0,(G1080-G1079)*unitsOfExo+J1079)</f>
        <v>10000</v>
      </c>
      <c r="K1080" s="9">
        <f t="shared" si="50"/>
        <v>90000</v>
      </c>
      <c r="L1080">
        <f t="shared" si="51"/>
        <v>342790</v>
      </c>
    </row>
    <row r="1081" spans="4:12" x14ac:dyDescent="0.25">
      <c r="D1081" s="1">
        <v>42249</v>
      </c>
      <c r="E1081">
        <v>28233</v>
      </c>
      <c r="F1081" s="1">
        <v>42249</v>
      </c>
      <c r="G1081">
        <v>-4212.5</v>
      </c>
      <c r="H1081" s="1">
        <f t="shared" si="49"/>
        <v>42249</v>
      </c>
      <c r="I1081">
        <f>IF(AND(MyRowHidden(ROW())=FALSE,MyRowHidden(ROW()-1)=TRUE),0,(E1081-E1080)*unitsOfDHp+I1080)</f>
        <v>332330</v>
      </c>
      <c r="J1081">
        <f>IF(AND(MyRowHidden(ROW())=FALSE,MyRowHidden(ROW()-1)=TRUE),0,(G1081-G1080)*unitsOfExo+J1080)</f>
        <v>7875</v>
      </c>
      <c r="K1081" s="9">
        <f t="shared" si="50"/>
        <v>92125</v>
      </c>
      <c r="L1081">
        <f t="shared" si="51"/>
        <v>340205</v>
      </c>
    </row>
    <row r="1082" spans="4:12" x14ac:dyDescent="0.25">
      <c r="D1082" s="1">
        <v>42250</v>
      </c>
      <c r="E1082">
        <v>28044</v>
      </c>
      <c r="F1082" s="1">
        <v>42250</v>
      </c>
      <c r="G1082">
        <v>-4450</v>
      </c>
      <c r="H1082" s="1">
        <f t="shared" si="49"/>
        <v>42250</v>
      </c>
      <c r="I1082">
        <f>IF(AND(MyRowHidden(ROW())=FALSE,MyRowHidden(ROW()-1)=TRUE),0,(E1082-E1081)*unitsOfDHp+I1081)</f>
        <v>330440</v>
      </c>
      <c r="J1082">
        <f>IF(AND(MyRowHidden(ROW())=FALSE,MyRowHidden(ROW()-1)=TRUE),0,(G1082-G1081)*unitsOfExo+J1081)</f>
        <v>5500</v>
      </c>
      <c r="K1082" s="9">
        <f t="shared" si="50"/>
        <v>94500</v>
      </c>
      <c r="L1082">
        <f t="shared" si="51"/>
        <v>335940</v>
      </c>
    </row>
    <row r="1083" spans="4:12" x14ac:dyDescent="0.25">
      <c r="D1083" s="1">
        <v>42251</v>
      </c>
      <c r="E1083">
        <v>28189</v>
      </c>
      <c r="F1083" s="1">
        <v>42251</v>
      </c>
      <c r="G1083">
        <v>-4375</v>
      </c>
      <c r="H1083" s="1">
        <f t="shared" si="49"/>
        <v>42251</v>
      </c>
      <c r="I1083">
        <f>IF(AND(MyRowHidden(ROW())=FALSE,MyRowHidden(ROW()-1)=TRUE),0,(E1083-E1082)*unitsOfDHp+I1082)</f>
        <v>331890</v>
      </c>
      <c r="J1083">
        <f>IF(AND(MyRowHidden(ROW())=FALSE,MyRowHidden(ROW()-1)=TRUE),0,(G1083-G1082)*unitsOfExo+J1082)</f>
        <v>6250</v>
      </c>
      <c r="K1083" s="9">
        <f t="shared" si="50"/>
        <v>93750</v>
      </c>
      <c r="L1083">
        <f t="shared" si="51"/>
        <v>338140</v>
      </c>
    </row>
    <row r="1084" spans="4:12" x14ac:dyDescent="0.25">
      <c r="D1084" s="1">
        <v>42255</v>
      </c>
      <c r="E1084">
        <v>28561</v>
      </c>
      <c r="F1084" s="1">
        <v>42255</v>
      </c>
      <c r="G1084">
        <v>-4187.5</v>
      </c>
      <c r="H1084" s="1">
        <f t="shared" si="49"/>
        <v>42255</v>
      </c>
      <c r="I1084">
        <f>IF(AND(MyRowHidden(ROW())=FALSE,MyRowHidden(ROW()-1)=TRUE),0,(E1084-E1083)*unitsOfDHp+I1083)</f>
        <v>335610</v>
      </c>
      <c r="J1084">
        <f>IF(AND(MyRowHidden(ROW())=FALSE,MyRowHidden(ROW()-1)=TRUE),0,(G1084-G1083)*unitsOfExo+J1083)</f>
        <v>8125</v>
      </c>
      <c r="K1084" s="9">
        <f t="shared" si="50"/>
        <v>91875</v>
      </c>
      <c r="L1084">
        <f t="shared" si="51"/>
        <v>343735</v>
      </c>
    </row>
    <row r="1085" spans="4:12" x14ac:dyDescent="0.25">
      <c r="D1085" s="1">
        <v>42256</v>
      </c>
      <c r="E1085">
        <v>29038</v>
      </c>
      <c r="F1085" s="1">
        <v>42256</v>
      </c>
      <c r="G1085">
        <v>-4000</v>
      </c>
      <c r="H1085" s="1">
        <f t="shared" si="49"/>
        <v>42256</v>
      </c>
      <c r="I1085">
        <f>IF(AND(MyRowHidden(ROW())=FALSE,MyRowHidden(ROW()-1)=TRUE),0,(E1085-E1084)*unitsOfDHp+I1084)</f>
        <v>340380</v>
      </c>
      <c r="J1085">
        <f>IF(AND(MyRowHidden(ROW())=FALSE,MyRowHidden(ROW()-1)=TRUE),0,(G1085-G1084)*unitsOfExo+J1084)</f>
        <v>10000</v>
      </c>
      <c r="K1085" s="9">
        <f t="shared" si="50"/>
        <v>90000</v>
      </c>
      <c r="L1085">
        <f t="shared" si="51"/>
        <v>350380</v>
      </c>
    </row>
    <row r="1086" spans="4:12" x14ac:dyDescent="0.25">
      <c r="D1086" s="1">
        <v>42257</v>
      </c>
      <c r="E1086">
        <v>29803</v>
      </c>
      <c r="F1086" s="1">
        <v>42257</v>
      </c>
      <c r="G1086">
        <v>-3750</v>
      </c>
      <c r="H1086" s="1">
        <f t="shared" si="49"/>
        <v>42257</v>
      </c>
      <c r="I1086">
        <f>IF(AND(MyRowHidden(ROW())=FALSE,MyRowHidden(ROW()-1)=TRUE),0,(E1086-E1085)*unitsOfDHp+I1085)</f>
        <v>348030</v>
      </c>
      <c r="J1086">
        <f>IF(AND(MyRowHidden(ROW())=FALSE,MyRowHidden(ROW()-1)=TRUE),0,(G1086-G1085)*unitsOfExo+J1085)</f>
        <v>12500</v>
      </c>
      <c r="K1086" s="9">
        <f t="shared" si="50"/>
        <v>87500</v>
      </c>
      <c r="L1086">
        <f t="shared" si="51"/>
        <v>360530</v>
      </c>
    </row>
    <row r="1087" spans="4:12" x14ac:dyDescent="0.25">
      <c r="D1087" s="1">
        <v>42258</v>
      </c>
      <c r="E1087">
        <v>30601</v>
      </c>
      <c r="F1087" s="1">
        <v>42258</v>
      </c>
      <c r="G1087">
        <v>-3250</v>
      </c>
      <c r="H1087" s="1">
        <f t="shared" si="49"/>
        <v>42258</v>
      </c>
      <c r="I1087">
        <f>IF(AND(MyRowHidden(ROW())=FALSE,MyRowHidden(ROW()-1)=TRUE),0,(E1087-E1086)*unitsOfDHp+I1086)</f>
        <v>356010</v>
      </c>
      <c r="J1087">
        <f>IF(AND(MyRowHidden(ROW())=FALSE,MyRowHidden(ROW()-1)=TRUE),0,(G1087-G1086)*unitsOfExo+J1086)</f>
        <v>17500</v>
      </c>
      <c r="K1087" s="9">
        <f t="shared" si="50"/>
        <v>82500</v>
      </c>
      <c r="L1087">
        <f t="shared" si="51"/>
        <v>373510</v>
      </c>
    </row>
    <row r="1088" spans="4:12" x14ac:dyDescent="0.25">
      <c r="D1088" s="1">
        <v>42261</v>
      </c>
      <c r="E1088">
        <v>31426</v>
      </c>
      <c r="F1088" s="1">
        <v>42261</v>
      </c>
      <c r="G1088">
        <v>-2787.5</v>
      </c>
      <c r="H1088" s="1">
        <f t="shared" si="49"/>
        <v>42261</v>
      </c>
      <c r="I1088">
        <f>IF(AND(MyRowHidden(ROW())=FALSE,MyRowHidden(ROW()-1)=TRUE),0,(E1088-E1087)*unitsOfDHp+I1087)</f>
        <v>364260</v>
      </c>
      <c r="J1088">
        <f>IF(AND(MyRowHidden(ROW())=FALSE,MyRowHidden(ROW()-1)=TRUE),0,(G1088-G1087)*unitsOfExo+J1087)</f>
        <v>22125</v>
      </c>
      <c r="K1088" s="9">
        <f t="shared" si="50"/>
        <v>77875</v>
      </c>
      <c r="L1088">
        <f t="shared" si="51"/>
        <v>386385</v>
      </c>
    </row>
    <row r="1089" spans="4:12" x14ac:dyDescent="0.25">
      <c r="D1089" s="1">
        <v>42262</v>
      </c>
      <c r="E1089">
        <v>31395</v>
      </c>
      <c r="F1089" s="1">
        <v>42262</v>
      </c>
      <c r="G1089">
        <v>-2887.5</v>
      </c>
      <c r="H1089" s="1">
        <f t="shared" si="49"/>
        <v>42262</v>
      </c>
      <c r="I1089">
        <f>IF(AND(MyRowHidden(ROW())=FALSE,MyRowHidden(ROW()-1)=TRUE),0,(E1089-E1088)*unitsOfDHp+I1088)</f>
        <v>363950</v>
      </c>
      <c r="J1089">
        <f>IF(AND(MyRowHidden(ROW())=FALSE,MyRowHidden(ROW()-1)=TRUE),0,(G1089-G1088)*unitsOfExo+J1088)</f>
        <v>21125</v>
      </c>
      <c r="K1089" s="9">
        <f t="shared" si="50"/>
        <v>78875</v>
      </c>
      <c r="L1089">
        <f t="shared" si="51"/>
        <v>385075</v>
      </c>
    </row>
    <row r="1090" spans="4:12" x14ac:dyDescent="0.25">
      <c r="D1090" s="1">
        <v>42263</v>
      </c>
      <c r="E1090">
        <v>31519</v>
      </c>
      <c r="F1090" s="1">
        <v>42263</v>
      </c>
      <c r="G1090">
        <v>-3137.5</v>
      </c>
      <c r="H1090" s="1">
        <f t="shared" si="49"/>
        <v>42263</v>
      </c>
      <c r="I1090">
        <f>IF(AND(MyRowHidden(ROW())=FALSE,MyRowHidden(ROW()-1)=TRUE),0,(E1090-E1089)*unitsOfDHp+I1089)</f>
        <v>365190</v>
      </c>
      <c r="J1090">
        <f>IF(AND(MyRowHidden(ROW())=FALSE,MyRowHidden(ROW()-1)=TRUE),0,(G1090-G1089)*unitsOfExo+J1089)</f>
        <v>18625</v>
      </c>
      <c r="K1090" s="9">
        <f t="shared" si="50"/>
        <v>81375</v>
      </c>
      <c r="L1090">
        <f t="shared" si="51"/>
        <v>383815</v>
      </c>
    </row>
    <row r="1091" spans="4:12" x14ac:dyDescent="0.25">
      <c r="D1091" s="1">
        <v>42264</v>
      </c>
      <c r="E1091">
        <v>31036</v>
      </c>
      <c r="F1091" s="1">
        <v>42264</v>
      </c>
      <c r="G1091">
        <v>-3362.5</v>
      </c>
      <c r="H1091" s="1">
        <f t="shared" si="49"/>
        <v>42264</v>
      </c>
      <c r="I1091">
        <f>IF(AND(MyRowHidden(ROW())=FALSE,MyRowHidden(ROW()-1)=TRUE),0,(E1091-E1090)*unitsOfDHp+I1090)</f>
        <v>360360</v>
      </c>
      <c r="J1091">
        <f>IF(AND(MyRowHidden(ROW())=FALSE,MyRowHidden(ROW()-1)=TRUE),0,(G1091-G1090)*unitsOfExo+J1090)</f>
        <v>16375</v>
      </c>
      <c r="K1091" s="9">
        <f t="shared" si="50"/>
        <v>83625</v>
      </c>
      <c r="L1091">
        <f t="shared" si="51"/>
        <v>376735</v>
      </c>
    </row>
    <row r="1092" spans="4:12" x14ac:dyDescent="0.25">
      <c r="D1092" s="1">
        <v>42265</v>
      </c>
      <c r="E1092">
        <v>30612</v>
      </c>
      <c r="F1092" s="1">
        <v>42265</v>
      </c>
      <c r="G1092">
        <v>-3537.5</v>
      </c>
      <c r="H1092" s="1">
        <f t="shared" si="49"/>
        <v>42265</v>
      </c>
      <c r="I1092">
        <f>IF(AND(MyRowHidden(ROW())=FALSE,MyRowHidden(ROW()-1)=TRUE),0,(E1092-E1091)*unitsOfDHp+I1091)</f>
        <v>356120</v>
      </c>
      <c r="J1092">
        <f>IF(AND(MyRowHidden(ROW())=FALSE,MyRowHidden(ROW()-1)=TRUE),0,(G1092-G1091)*unitsOfExo+J1091)</f>
        <v>14625</v>
      </c>
      <c r="K1092" s="9">
        <f t="shared" si="50"/>
        <v>85375</v>
      </c>
      <c r="L1092">
        <f t="shared" si="51"/>
        <v>370745</v>
      </c>
    </row>
    <row r="1093" spans="4:12" x14ac:dyDescent="0.25">
      <c r="D1093" s="1">
        <v>42268</v>
      </c>
      <c r="E1093">
        <v>31312</v>
      </c>
      <c r="F1093" s="1">
        <v>42268</v>
      </c>
      <c r="G1093">
        <v>-3237.5</v>
      </c>
      <c r="H1093" s="1">
        <f t="shared" si="49"/>
        <v>42268</v>
      </c>
      <c r="I1093">
        <f>IF(AND(MyRowHidden(ROW())=FALSE,MyRowHidden(ROW()-1)=TRUE),0,(E1093-E1092)*unitsOfDHp+I1092)</f>
        <v>363120</v>
      </c>
      <c r="J1093">
        <f>IF(AND(MyRowHidden(ROW())=FALSE,MyRowHidden(ROW()-1)=TRUE),0,(G1093-G1092)*unitsOfExo+J1092)</f>
        <v>17625</v>
      </c>
      <c r="K1093" s="9">
        <f t="shared" si="50"/>
        <v>82375</v>
      </c>
      <c r="L1093">
        <f t="shared" si="51"/>
        <v>380745</v>
      </c>
    </row>
    <row r="1094" spans="4:12" x14ac:dyDescent="0.25">
      <c r="D1094" s="1">
        <v>42269</v>
      </c>
      <c r="E1094">
        <v>30851</v>
      </c>
      <c r="F1094" s="1">
        <v>42269</v>
      </c>
      <c r="G1094">
        <v>-3450</v>
      </c>
      <c r="H1094" s="1">
        <f t="shared" si="49"/>
        <v>42269</v>
      </c>
      <c r="I1094">
        <f>IF(AND(MyRowHidden(ROW())=FALSE,MyRowHidden(ROW()-1)=TRUE),0,(E1094-E1093)*unitsOfDHp+I1093)</f>
        <v>358510</v>
      </c>
      <c r="J1094">
        <f>IF(AND(MyRowHidden(ROW())=FALSE,MyRowHidden(ROW()-1)=TRUE),0,(G1094-G1093)*unitsOfExo+J1093)</f>
        <v>15500</v>
      </c>
      <c r="K1094" s="9">
        <f t="shared" si="50"/>
        <v>84500</v>
      </c>
      <c r="L1094">
        <f t="shared" si="51"/>
        <v>374010</v>
      </c>
    </row>
    <row r="1095" spans="4:12" x14ac:dyDescent="0.25">
      <c r="D1095" s="1">
        <v>42270</v>
      </c>
      <c r="E1095">
        <v>31205</v>
      </c>
      <c r="F1095" s="1">
        <v>42270</v>
      </c>
      <c r="G1095">
        <v>-3325</v>
      </c>
      <c r="H1095" s="1">
        <f t="shared" si="49"/>
        <v>42270</v>
      </c>
      <c r="I1095">
        <f>IF(AND(MyRowHidden(ROW())=FALSE,MyRowHidden(ROW()-1)=TRUE),0,(E1095-E1094)*unitsOfDHp+I1094)</f>
        <v>362050</v>
      </c>
      <c r="J1095">
        <f>IF(AND(MyRowHidden(ROW())=FALSE,MyRowHidden(ROW()-1)=TRUE),0,(G1095-G1094)*unitsOfExo+J1094)</f>
        <v>16750</v>
      </c>
      <c r="K1095" s="9">
        <f t="shared" si="50"/>
        <v>83250</v>
      </c>
      <c r="L1095">
        <f t="shared" si="51"/>
        <v>378800</v>
      </c>
    </row>
    <row r="1096" spans="4:12" x14ac:dyDescent="0.25">
      <c r="D1096" s="1">
        <v>42271</v>
      </c>
      <c r="E1096">
        <v>31010</v>
      </c>
      <c r="F1096" s="1">
        <v>42271</v>
      </c>
      <c r="G1096">
        <v>-3412.5</v>
      </c>
      <c r="H1096" s="1">
        <f t="shared" si="49"/>
        <v>42271</v>
      </c>
      <c r="I1096">
        <f>IF(AND(MyRowHidden(ROW())=FALSE,MyRowHidden(ROW()-1)=TRUE),0,(E1096-E1095)*unitsOfDHp+I1095)</f>
        <v>360100</v>
      </c>
      <c r="J1096">
        <f>IF(AND(MyRowHidden(ROW())=FALSE,MyRowHidden(ROW()-1)=TRUE),0,(G1096-G1095)*unitsOfExo+J1095)</f>
        <v>15875</v>
      </c>
      <c r="K1096" s="9">
        <f t="shared" si="50"/>
        <v>84125</v>
      </c>
      <c r="L1096">
        <f t="shared" si="51"/>
        <v>375975</v>
      </c>
    </row>
    <row r="1097" spans="4:12" x14ac:dyDescent="0.25">
      <c r="D1097" s="1">
        <v>42272</v>
      </c>
      <c r="E1097">
        <v>31436</v>
      </c>
      <c r="F1097" s="1">
        <v>42272</v>
      </c>
      <c r="G1097">
        <v>-3037.5</v>
      </c>
      <c r="H1097" s="1">
        <f t="shared" si="49"/>
        <v>42272</v>
      </c>
      <c r="I1097">
        <f>IF(AND(MyRowHidden(ROW())=FALSE,MyRowHidden(ROW()-1)=TRUE),0,(E1097-E1096)*unitsOfDHp+I1096)</f>
        <v>364360</v>
      </c>
      <c r="J1097">
        <f>IF(AND(MyRowHidden(ROW())=FALSE,MyRowHidden(ROW()-1)=TRUE),0,(G1097-G1096)*unitsOfExo+J1096)</f>
        <v>19625</v>
      </c>
      <c r="K1097" s="9">
        <f t="shared" si="50"/>
        <v>80375</v>
      </c>
      <c r="L1097">
        <f t="shared" si="51"/>
        <v>383985</v>
      </c>
    </row>
    <row r="1098" spans="4:12" x14ac:dyDescent="0.25">
      <c r="D1098" s="1">
        <v>42275</v>
      </c>
      <c r="E1098">
        <v>31345</v>
      </c>
      <c r="F1098" s="1">
        <v>42275</v>
      </c>
      <c r="G1098">
        <v>-3137.5</v>
      </c>
      <c r="H1098" s="1">
        <f t="shared" si="49"/>
        <v>42275</v>
      </c>
      <c r="I1098">
        <f>IF(AND(MyRowHidden(ROW())=FALSE,MyRowHidden(ROW()-1)=TRUE),0,(E1098-E1097)*unitsOfDHp+I1097)</f>
        <v>363450</v>
      </c>
      <c r="J1098">
        <f>IF(AND(MyRowHidden(ROW())=FALSE,MyRowHidden(ROW()-1)=TRUE),0,(G1098-G1097)*unitsOfExo+J1097)</f>
        <v>18625</v>
      </c>
      <c r="K1098" s="9">
        <f t="shared" si="50"/>
        <v>81375</v>
      </c>
      <c r="L1098">
        <f t="shared" si="51"/>
        <v>382075</v>
      </c>
    </row>
    <row r="1099" spans="4:12" x14ac:dyDescent="0.25">
      <c r="D1099" s="1">
        <v>42276</v>
      </c>
      <c r="E1099">
        <v>31391</v>
      </c>
      <c r="F1099" s="1">
        <v>42276</v>
      </c>
      <c r="G1099">
        <v>-3012.5</v>
      </c>
      <c r="H1099" s="1">
        <f t="shared" si="49"/>
        <v>42276</v>
      </c>
      <c r="I1099">
        <f>IF(AND(MyRowHidden(ROW())=FALSE,MyRowHidden(ROW()-1)=TRUE),0,(E1099-E1098)*unitsOfDHp+I1098)</f>
        <v>363910</v>
      </c>
      <c r="J1099">
        <f>IF(AND(MyRowHidden(ROW())=FALSE,MyRowHidden(ROW()-1)=TRUE),0,(G1099-G1098)*unitsOfExo+J1098)</f>
        <v>19875</v>
      </c>
      <c r="K1099" s="9">
        <f t="shared" si="50"/>
        <v>80125</v>
      </c>
      <c r="L1099">
        <f t="shared" si="51"/>
        <v>383785</v>
      </c>
    </row>
    <row r="1100" spans="4:12" x14ac:dyDescent="0.25">
      <c r="D1100" s="1">
        <v>42277</v>
      </c>
      <c r="E1100">
        <v>31338</v>
      </c>
      <c r="F1100" s="1">
        <v>42277</v>
      </c>
      <c r="G1100">
        <v>-3175</v>
      </c>
      <c r="H1100" s="1">
        <f t="shared" si="49"/>
        <v>42277</v>
      </c>
      <c r="I1100">
        <f>IF(AND(MyRowHidden(ROW())=FALSE,MyRowHidden(ROW()-1)=TRUE),0,(E1100-E1099)*unitsOfDHp+I1099)</f>
        <v>363380</v>
      </c>
      <c r="J1100">
        <f>IF(AND(MyRowHidden(ROW())=FALSE,MyRowHidden(ROW()-1)=TRUE),0,(G1100-G1099)*unitsOfExo+J1099)</f>
        <v>18250</v>
      </c>
      <c r="K1100" s="9">
        <f t="shared" si="50"/>
        <v>81750</v>
      </c>
      <c r="L1100">
        <f t="shared" si="51"/>
        <v>381630</v>
      </c>
    </row>
    <row r="1101" spans="4:12" x14ac:dyDescent="0.25">
      <c r="D1101" s="1">
        <v>42278</v>
      </c>
      <c r="E1101">
        <v>31910</v>
      </c>
      <c r="F1101" s="1">
        <v>42278</v>
      </c>
      <c r="G1101">
        <v>-2937.5</v>
      </c>
      <c r="H1101" s="1">
        <f t="shared" ref="H1101:H1164" si="52">D1101</f>
        <v>42278</v>
      </c>
      <c r="I1101">
        <f>IF(AND(MyRowHidden(ROW())=FALSE,MyRowHidden(ROW()-1)=TRUE),0,(E1101-E1100)*unitsOfDHp+I1100)</f>
        <v>369100</v>
      </c>
      <c r="J1101">
        <f>IF(AND(MyRowHidden(ROW())=FALSE,MyRowHidden(ROW()-1)=TRUE),0,(G1101-G1100)*unitsOfExo+J1100)</f>
        <v>20625</v>
      </c>
      <c r="K1101" s="9">
        <f t="shared" ref="K1101:K1164" si="53">-(J1101-J1100)+K1100</f>
        <v>79375</v>
      </c>
      <c r="L1101">
        <f t="shared" ref="L1101:L1164" si="54">I1101+J1101</f>
        <v>389725</v>
      </c>
    </row>
    <row r="1102" spans="4:12" x14ac:dyDescent="0.25">
      <c r="D1102" s="1">
        <v>42279</v>
      </c>
      <c r="E1102">
        <v>31935</v>
      </c>
      <c r="F1102" s="1">
        <v>42279</v>
      </c>
      <c r="G1102">
        <v>-2937.5</v>
      </c>
      <c r="H1102" s="1">
        <f t="shared" si="52"/>
        <v>42279</v>
      </c>
      <c r="I1102">
        <f>IF(AND(MyRowHidden(ROW())=FALSE,MyRowHidden(ROW()-1)=TRUE),0,(E1102-E1101)*unitsOfDHp+I1101)</f>
        <v>369350</v>
      </c>
      <c r="J1102">
        <f>IF(AND(MyRowHidden(ROW())=FALSE,MyRowHidden(ROW()-1)=TRUE),0,(G1102-G1101)*unitsOfExo+J1101)</f>
        <v>20625</v>
      </c>
      <c r="K1102" s="9">
        <f t="shared" si="53"/>
        <v>79375</v>
      </c>
      <c r="L1102">
        <f t="shared" si="54"/>
        <v>389975</v>
      </c>
    </row>
    <row r="1103" spans="4:12" x14ac:dyDescent="0.25">
      <c r="D1103" s="1">
        <v>42282</v>
      </c>
      <c r="E1103">
        <v>31805</v>
      </c>
      <c r="F1103" s="1">
        <v>42282</v>
      </c>
      <c r="G1103">
        <v>-2800</v>
      </c>
      <c r="H1103" s="1">
        <f t="shared" si="52"/>
        <v>42282</v>
      </c>
      <c r="I1103">
        <f>IF(AND(MyRowHidden(ROW())=FALSE,MyRowHidden(ROW()-1)=TRUE),0,(E1103-E1102)*unitsOfDHp+I1102)</f>
        <v>368050</v>
      </c>
      <c r="J1103">
        <f>IF(AND(MyRowHidden(ROW())=FALSE,MyRowHidden(ROW()-1)=TRUE),0,(G1103-G1102)*unitsOfExo+J1102)</f>
        <v>22000</v>
      </c>
      <c r="K1103" s="9">
        <f t="shared" si="53"/>
        <v>78000</v>
      </c>
      <c r="L1103">
        <f t="shared" si="54"/>
        <v>390050</v>
      </c>
    </row>
    <row r="1104" spans="4:12" x14ac:dyDescent="0.25">
      <c r="D1104" s="1">
        <v>42283</v>
      </c>
      <c r="E1104">
        <v>31311</v>
      </c>
      <c r="F1104" s="1">
        <v>42283</v>
      </c>
      <c r="G1104">
        <v>-2562.5</v>
      </c>
      <c r="H1104" s="1">
        <f t="shared" si="52"/>
        <v>42283</v>
      </c>
      <c r="I1104">
        <f>IF(AND(MyRowHidden(ROW())=FALSE,MyRowHidden(ROW()-1)=TRUE),0,(E1104-E1103)*unitsOfDHp+I1103)</f>
        <v>363110</v>
      </c>
      <c r="J1104">
        <f>IF(AND(MyRowHidden(ROW())=FALSE,MyRowHidden(ROW()-1)=TRUE),0,(G1104-G1103)*unitsOfExo+J1103)</f>
        <v>24375</v>
      </c>
      <c r="K1104" s="9">
        <f t="shared" si="53"/>
        <v>75625</v>
      </c>
      <c r="L1104">
        <f t="shared" si="54"/>
        <v>387485</v>
      </c>
    </row>
    <row r="1105" spans="4:12" x14ac:dyDescent="0.25">
      <c r="D1105" s="1">
        <v>42284</v>
      </c>
      <c r="E1105">
        <v>31381</v>
      </c>
      <c r="F1105" s="1">
        <v>42284</v>
      </c>
      <c r="G1105">
        <v>-2650</v>
      </c>
      <c r="H1105" s="1">
        <f t="shared" si="52"/>
        <v>42284</v>
      </c>
      <c r="I1105">
        <f>IF(AND(MyRowHidden(ROW())=FALSE,MyRowHidden(ROW()-1)=TRUE),0,(E1105-E1104)*unitsOfDHp+I1104)</f>
        <v>363810</v>
      </c>
      <c r="J1105">
        <f>IF(AND(MyRowHidden(ROW())=FALSE,MyRowHidden(ROW()-1)=TRUE),0,(G1105-G1104)*unitsOfExo+J1104)</f>
        <v>23500</v>
      </c>
      <c r="K1105" s="9">
        <f t="shared" si="53"/>
        <v>76500</v>
      </c>
      <c r="L1105">
        <f t="shared" si="54"/>
        <v>387310</v>
      </c>
    </row>
    <row r="1106" spans="4:12" x14ac:dyDescent="0.25">
      <c r="D1106" s="1">
        <v>42285</v>
      </c>
      <c r="E1106">
        <v>31696</v>
      </c>
      <c r="F1106" s="1">
        <v>42285</v>
      </c>
      <c r="G1106">
        <v>-2850</v>
      </c>
      <c r="H1106" s="1">
        <f t="shared" si="52"/>
        <v>42285</v>
      </c>
      <c r="I1106">
        <f>IF(AND(MyRowHidden(ROW())=FALSE,MyRowHidden(ROW()-1)=TRUE),0,(E1106-E1105)*unitsOfDHp+I1105)</f>
        <v>366960</v>
      </c>
      <c r="J1106">
        <f>IF(AND(MyRowHidden(ROW())=FALSE,MyRowHidden(ROW()-1)=TRUE),0,(G1106-G1105)*unitsOfExo+J1105)</f>
        <v>21500</v>
      </c>
      <c r="K1106" s="9">
        <f t="shared" si="53"/>
        <v>78500</v>
      </c>
      <c r="L1106">
        <f t="shared" si="54"/>
        <v>388460</v>
      </c>
    </row>
    <row r="1107" spans="4:12" x14ac:dyDescent="0.25">
      <c r="D1107" s="1">
        <v>42286</v>
      </c>
      <c r="E1107">
        <v>31935</v>
      </c>
      <c r="F1107" s="1">
        <v>42286</v>
      </c>
      <c r="G1107">
        <v>-3175</v>
      </c>
      <c r="H1107" s="1">
        <f t="shared" si="52"/>
        <v>42286</v>
      </c>
      <c r="I1107">
        <f>IF(AND(MyRowHidden(ROW())=FALSE,MyRowHidden(ROW()-1)=TRUE),0,(E1107-E1106)*unitsOfDHp+I1106)</f>
        <v>369350</v>
      </c>
      <c r="J1107">
        <f>IF(AND(MyRowHidden(ROW())=FALSE,MyRowHidden(ROW()-1)=TRUE),0,(G1107-G1106)*unitsOfExo+J1106)</f>
        <v>18250</v>
      </c>
      <c r="K1107" s="9">
        <f t="shared" si="53"/>
        <v>81750</v>
      </c>
      <c r="L1107">
        <f t="shared" si="54"/>
        <v>387600</v>
      </c>
    </row>
    <row r="1108" spans="4:12" x14ac:dyDescent="0.25">
      <c r="D1108" s="1">
        <v>42290</v>
      </c>
      <c r="E1108">
        <v>32021</v>
      </c>
      <c r="F1108" s="1">
        <v>42290</v>
      </c>
      <c r="G1108">
        <v>-3237.5</v>
      </c>
      <c r="H1108" s="1">
        <f t="shared" si="52"/>
        <v>42290</v>
      </c>
      <c r="I1108">
        <f>IF(AND(MyRowHidden(ROW())=FALSE,MyRowHidden(ROW()-1)=TRUE),0,(E1108-E1107)*unitsOfDHp+I1107)</f>
        <v>370210</v>
      </c>
      <c r="J1108">
        <f>IF(AND(MyRowHidden(ROW())=FALSE,MyRowHidden(ROW()-1)=TRUE),0,(G1108-G1107)*unitsOfExo+J1107)</f>
        <v>17625</v>
      </c>
      <c r="K1108" s="9">
        <f t="shared" si="53"/>
        <v>82375</v>
      </c>
      <c r="L1108">
        <f t="shared" si="54"/>
        <v>387835</v>
      </c>
    </row>
    <row r="1109" spans="4:12" x14ac:dyDescent="0.25">
      <c r="D1109" s="1">
        <v>42291</v>
      </c>
      <c r="E1109">
        <v>31735</v>
      </c>
      <c r="F1109" s="1">
        <v>42291</v>
      </c>
      <c r="G1109">
        <v>-3487.5</v>
      </c>
      <c r="H1109" s="1">
        <f t="shared" si="52"/>
        <v>42291</v>
      </c>
      <c r="I1109">
        <f>IF(AND(MyRowHidden(ROW())=FALSE,MyRowHidden(ROW()-1)=TRUE),0,(E1109-E1108)*unitsOfDHp+I1108)</f>
        <v>367350</v>
      </c>
      <c r="J1109">
        <f>IF(AND(MyRowHidden(ROW())=FALSE,MyRowHidden(ROW()-1)=TRUE),0,(G1109-G1108)*unitsOfExo+J1108)</f>
        <v>15125</v>
      </c>
      <c r="K1109" s="9">
        <f t="shared" si="53"/>
        <v>84875</v>
      </c>
      <c r="L1109">
        <f t="shared" si="54"/>
        <v>382475</v>
      </c>
    </row>
    <row r="1110" spans="4:12" x14ac:dyDescent="0.25">
      <c r="D1110" s="1">
        <v>42292</v>
      </c>
      <c r="E1110">
        <v>31508</v>
      </c>
      <c r="F1110" s="1">
        <v>42292</v>
      </c>
      <c r="G1110">
        <v>-3662.5</v>
      </c>
      <c r="H1110" s="1">
        <f t="shared" si="52"/>
        <v>42292</v>
      </c>
      <c r="I1110">
        <f>IF(AND(MyRowHidden(ROW())=FALSE,MyRowHidden(ROW()-1)=TRUE),0,(E1110-E1109)*unitsOfDHp+I1109)</f>
        <v>365080</v>
      </c>
      <c r="J1110">
        <f>IF(AND(MyRowHidden(ROW())=FALSE,MyRowHidden(ROW()-1)=TRUE),0,(G1110-G1109)*unitsOfExo+J1109)</f>
        <v>13375</v>
      </c>
      <c r="K1110" s="9">
        <f t="shared" si="53"/>
        <v>86625</v>
      </c>
      <c r="L1110">
        <f t="shared" si="54"/>
        <v>378455</v>
      </c>
    </row>
    <row r="1111" spans="4:12" x14ac:dyDescent="0.25">
      <c r="D1111" s="1">
        <v>42293</v>
      </c>
      <c r="E1111">
        <v>31522</v>
      </c>
      <c r="F1111" s="1">
        <v>42293</v>
      </c>
      <c r="G1111">
        <v>-3637.5</v>
      </c>
      <c r="H1111" s="1">
        <f t="shared" si="52"/>
        <v>42293</v>
      </c>
      <c r="I1111">
        <f>IF(AND(MyRowHidden(ROW())=FALSE,MyRowHidden(ROW()-1)=TRUE),0,(E1111-E1110)*unitsOfDHp+I1110)</f>
        <v>365220</v>
      </c>
      <c r="J1111">
        <f>IF(AND(MyRowHidden(ROW())=FALSE,MyRowHidden(ROW()-1)=TRUE),0,(G1111-G1110)*unitsOfExo+J1110)</f>
        <v>13625</v>
      </c>
      <c r="K1111" s="9">
        <f t="shared" si="53"/>
        <v>86375</v>
      </c>
      <c r="L1111">
        <f t="shared" si="54"/>
        <v>378845</v>
      </c>
    </row>
    <row r="1112" spans="4:12" x14ac:dyDescent="0.25">
      <c r="D1112" s="1">
        <v>42296</v>
      </c>
      <c r="E1112">
        <v>31225</v>
      </c>
      <c r="F1112" s="1">
        <v>42296</v>
      </c>
      <c r="G1112">
        <v>-3762.5</v>
      </c>
      <c r="H1112" s="1">
        <f t="shared" si="52"/>
        <v>42296</v>
      </c>
      <c r="I1112">
        <f>IF(AND(MyRowHidden(ROW())=FALSE,MyRowHidden(ROW()-1)=TRUE),0,(E1112-E1111)*unitsOfDHp+I1111)</f>
        <v>362250</v>
      </c>
      <c r="J1112">
        <f>IF(AND(MyRowHidden(ROW())=FALSE,MyRowHidden(ROW()-1)=TRUE),0,(G1112-G1111)*unitsOfExo+J1111)</f>
        <v>12375</v>
      </c>
      <c r="K1112" s="9">
        <f t="shared" si="53"/>
        <v>87625</v>
      </c>
      <c r="L1112">
        <f t="shared" si="54"/>
        <v>374625</v>
      </c>
    </row>
    <row r="1113" spans="4:12" x14ac:dyDescent="0.25">
      <c r="D1113" s="1">
        <v>42297</v>
      </c>
      <c r="E1113">
        <v>31240</v>
      </c>
      <c r="F1113" s="1">
        <v>42297</v>
      </c>
      <c r="G1113">
        <v>-3687.5</v>
      </c>
      <c r="H1113" s="1">
        <f t="shared" si="52"/>
        <v>42297</v>
      </c>
      <c r="I1113">
        <f>IF(AND(MyRowHidden(ROW())=FALSE,MyRowHidden(ROW()-1)=TRUE),0,(E1113-E1112)*unitsOfDHp+I1112)</f>
        <v>362400</v>
      </c>
      <c r="J1113">
        <f>IF(AND(MyRowHidden(ROW())=FALSE,MyRowHidden(ROW()-1)=TRUE),0,(G1113-G1112)*unitsOfExo+J1112)</f>
        <v>13125</v>
      </c>
      <c r="K1113" s="9">
        <f t="shared" si="53"/>
        <v>86875</v>
      </c>
      <c r="L1113">
        <f t="shared" si="54"/>
        <v>375525</v>
      </c>
    </row>
    <row r="1114" spans="4:12" x14ac:dyDescent="0.25">
      <c r="D1114" s="1">
        <v>42298</v>
      </c>
      <c r="E1114">
        <v>31705</v>
      </c>
      <c r="F1114" s="1">
        <v>42298</v>
      </c>
      <c r="G1114">
        <v>-3425</v>
      </c>
      <c r="H1114" s="1">
        <f t="shared" si="52"/>
        <v>42298</v>
      </c>
      <c r="I1114">
        <f>IF(AND(MyRowHidden(ROW())=FALSE,MyRowHidden(ROW()-1)=TRUE),0,(E1114-E1113)*unitsOfDHp+I1113)</f>
        <v>367050</v>
      </c>
      <c r="J1114">
        <f>IF(AND(MyRowHidden(ROW())=FALSE,MyRowHidden(ROW()-1)=TRUE),0,(G1114-G1113)*unitsOfExo+J1113)</f>
        <v>15750</v>
      </c>
      <c r="K1114" s="9">
        <f t="shared" si="53"/>
        <v>84250</v>
      </c>
      <c r="L1114">
        <f t="shared" si="54"/>
        <v>382800</v>
      </c>
    </row>
    <row r="1115" spans="4:12" x14ac:dyDescent="0.25">
      <c r="D1115" s="1">
        <v>42299</v>
      </c>
      <c r="E1115">
        <v>31587</v>
      </c>
      <c r="F1115" s="1">
        <v>42299</v>
      </c>
      <c r="G1115">
        <v>-3487.5</v>
      </c>
      <c r="H1115" s="1">
        <f t="shared" si="52"/>
        <v>42299</v>
      </c>
      <c r="I1115">
        <f>IF(AND(MyRowHidden(ROW())=FALSE,MyRowHidden(ROW()-1)=TRUE),0,(E1115-E1114)*unitsOfDHp+I1114)</f>
        <v>365870</v>
      </c>
      <c r="J1115">
        <f>IF(AND(MyRowHidden(ROW())=FALSE,MyRowHidden(ROW()-1)=TRUE),0,(G1115-G1114)*unitsOfExo+J1114)</f>
        <v>15125</v>
      </c>
      <c r="K1115" s="9">
        <f t="shared" si="53"/>
        <v>84875</v>
      </c>
      <c r="L1115">
        <f t="shared" si="54"/>
        <v>380995</v>
      </c>
    </row>
    <row r="1116" spans="4:12" x14ac:dyDescent="0.25">
      <c r="D1116" s="1">
        <v>42300</v>
      </c>
      <c r="E1116">
        <v>31508</v>
      </c>
      <c r="F1116" s="1">
        <v>42300</v>
      </c>
      <c r="G1116">
        <v>-3537.5</v>
      </c>
      <c r="H1116" s="1">
        <f t="shared" si="52"/>
        <v>42300</v>
      </c>
      <c r="I1116">
        <f>IF(AND(MyRowHidden(ROW())=FALSE,MyRowHidden(ROW()-1)=TRUE),0,(E1116-E1115)*unitsOfDHp+I1115)</f>
        <v>365080</v>
      </c>
      <c r="J1116">
        <f>IF(AND(MyRowHidden(ROW())=FALSE,MyRowHidden(ROW()-1)=TRUE),0,(G1116-G1115)*unitsOfExo+J1115)</f>
        <v>14625</v>
      </c>
      <c r="K1116" s="9">
        <f t="shared" si="53"/>
        <v>85375</v>
      </c>
      <c r="L1116">
        <f t="shared" si="54"/>
        <v>379705</v>
      </c>
    </row>
    <row r="1117" spans="4:12" x14ac:dyDescent="0.25">
      <c r="D1117" s="1">
        <v>42303</v>
      </c>
      <c r="E1117">
        <v>31809</v>
      </c>
      <c r="F1117" s="1">
        <v>42303</v>
      </c>
      <c r="G1117">
        <v>-3237.5</v>
      </c>
      <c r="H1117" s="1">
        <f t="shared" si="52"/>
        <v>42303</v>
      </c>
      <c r="I1117">
        <f>IF(AND(MyRowHidden(ROW())=FALSE,MyRowHidden(ROW()-1)=TRUE),0,(E1117-E1116)*unitsOfDHp+I1116)</f>
        <v>368090</v>
      </c>
      <c r="J1117">
        <f>IF(AND(MyRowHidden(ROW())=FALSE,MyRowHidden(ROW()-1)=TRUE),0,(G1117-G1116)*unitsOfExo+J1116)</f>
        <v>17625</v>
      </c>
      <c r="K1117" s="9">
        <f t="shared" si="53"/>
        <v>82375</v>
      </c>
      <c r="L1117">
        <f t="shared" si="54"/>
        <v>385715</v>
      </c>
    </row>
    <row r="1118" spans="4:12" x14ac:dyDescent="0.25">
      <c r="D1118" s="1">
        <v>42304</v>
      </c>
      <c r="E1118">
        <v>31883</v>
      </c>
      <c r="F1118" s="1">
        <v>42304</v>
      </c>
      <c r="G1118">
        <v>-3375</v>
      </c>
      <c r="H1118" s="1">
        <f t="shared" si="52"/>
        <v>42304</v>
      </c>
      <c r="I1118">
        <f>IF(AND(MyRowHidden(ROW())=FALSE,MyRowHidden(ROW()-1)=TRUE),0,(E1118-E1117)*unitsOfDHp+I1117)</f>
        <v>368830</v>
      </c>
      <c r="J1118">
        <f>IF(AND(MyRowHidden(ROW())=FALSE,MyRowHidden(ROW()-1)=TRUE),0,(G1118-G1117)*unitsOfExo+J1117)</f>
        <v>16250</v>
      </c>
      <c r="K1118" s="9">
        <f t="shared" si="53"/>
        <v>83750</v>
      </c>
      <c r="L1118">
        <f t="shared" si="54"/>
        <v>385080</v>
      </c>
    </row>
    <row r="1119" spans="4:12" x14ac:dyDescent="0.25">
      <c r="D1119" s="1">
        <v>42305</v>
      </c>
      <c r="E1119">
        <v>32154</v>
      </c>
      <c r="F1119" s="1">
        <v>42305</v>
      </c>
      <c r="G1119">
        <v>-3637.5</v>
      </c>
      <c r="H1119" s="1">
        <f t="shared" si="52"/>
        <v>42305</v>
      </c>
      <c r="I1119">
        <f>IF(AND(MyRowHidden(ROW())=FALSE,MyRowHidden(ROW()-1)=TRUE),0,(E1119-E1118)*unitsOfDHp+I1118)</f>
        <v>371540</v>
      </c>
      <c r="J1119">
        <f>IF(AND(MyRowHidden(ROW())=FALSE,MyRowHidden(ROW()-1)=TRUE),0,(G1119-G1118)*unitsOfExo+J1118)</f>
        <v>13625</v>
      </c>
      <c r="K1119" s="9">
        <f t="shared" si="53"/>
        <v>86375</v>
      </c>
      <c r="L1119">
        <f t="shared" si="54"/>
        <v>385165</v>
      </c>
    </row>
    <row r="1120" spans="4:12" x14ac:dyDescent="0.25">
      <c r="D1120" s="1">
        <v>42306</v>
      </c>
      <c r="E1120">
        <v>31909</v>
      </c>
      <c r="F1120" s="1">
        <v>42306</v>
      </c>
      <c r="G1120">
        <v>-3475</v>
      </c>
      <c r="H1120" s="1">
        <f t="shared" si="52"/>
        <v>42306</v>
      </c>
      <c r="I1120">
        <f>IF(AND(MyRowHidden(ROW())=FALSE,MyRowHidden(ROW()-1)=TRUE),0,(E1120-E1119)*unitsOfDHp+I1119)</f>
        <v>369090</v>
      </c>
      <c r="J1120">
        <f>IF(AND(MyRowHidden(ROW())=FALSE,MyRowHidden(ROW()-1)=TRUE),0,(G1120-G1119)*unitsOfExo+J1119)</f>
        <v>15250</v>
      </c>
      <c r="K1120" s="9">
        <f t="shared" si="53"/>
        <v>84750</v>
      </c>
      <c r="L1120">
        <f t="shared" si="54"/>
        <v>384340</v>
      </c>
    </row>
    <row r="1121" spans="4:12" x14ac:dyDescent="0.25">
      <c r="D1121" s="1">
        <v>42307</v>
      </c>
      <c r="E1121">
        <v>31740</v>
      </c>
      <c r="F1121" s="1">
        <v>42307</v>
      </c>
      <c r="G1121">
        <v>-3337.5</v>
      </c>
      <c r="H1121" s="1">
        <f t="shared" si="52"/>
        <v>42307</v>
      </c>
      <c r="I1121">
        <f>IF(AND(MyRowHidden(ROW())=FALSE,MyRowHidden(ROW()-1)=TRUE),0,(E1121-E1120)*unitsOfDHp+I1120)</f>
        <v>367400</v>
      </c>
      <c r="J1121">
        <f>IF(AND(MyRowHidden(ROW())=FALSE,MyRowHidden(ROW()-1)=TRUE),0,(G1121-G1120)*unitsOfExo+J1120)</f>
        <v>16625</v>
      </c>
      <c r="K1121" s="9">
        <f t="shared" si="53"/>
        <v>83375</v>
      </c>
      <c r="L1121">
        <f t="shared" si="54"/>
        <v>384025</v>
      </c>
    </row>
    <row r="1122" spans="4:12" x14ac:dyDescent="0.25">
      <c r="D1122" s="1">
        <v>42310</v>
      </c>
      <c r="E1122">
        <v>31950</v>
      </c>
      <c r="F1122" s="1">
        <v>42310</v>
      </c>
      <c r="G1122">
        <v>-3612.5</v>
      </c>
      <c r="H1122" s="1">
        <f t="shared" si="52"/>
        <v>42310</v>
      </c>
      <c r="I1122">
        <f>IF(AND(MyRowHidden(ROW())=FALSE,MyRowHidden(ROW()-1)=TRUE),0,(E1122-E1121)*unitsOfDHp+I1121)</f>
        <v>369500</v>
      </c>
      <c r="J1122">
        <f>IF(AND(MyRowHidden(ROW())=FALSE,MyRowHidden(ROW()-1)=TRUE),0,(G1122-G1121)*unitsOfExo+J1121)</f>
        <v>13875</v>
      </c>
      <c r="K1122" s="9">
        <f t="shared" si="53"/>
        <v>86125</v>
      </c>
      <c r="L1122">
        <f t="shared" si="54"/>
        <v>383375</v>
      </c>
    </row>
    <row r="1123" spans="4:12" x14ac:dyDescent="0.25">
      <c r="D1123" s="1">
        <v>42311</v>
      </c>
      <c r="E1123">
        <v>31578</v>
      </c>
      <c r="F1123" s="1">
        <v>42311</v>
      </c>
      <c r="G1123">
        <v>-3462.5</v>
      </c>
      <c r="H1123" s="1">
        <f t="shared" si="52"/>
        <v>42311</v>
      </c>
      <c r="I1123">
        <f>IF(AND(MyRowHidden(ROW())=FALSE,MyRowHidden(ROW()-1)=TRUE),0,(E1123-E1122)*unitsOfDHp+I1122)</f>
        <v>365780</v>
      </c>
      <c r="J1123">
        <f>IF(AND(MyRowHidden(ROW())=FALSE,MyRowHidden(ROW()-1)=TRUE),0,(G1123-G1122)*unitsOfExo+J1122)</f>
        <v>15375</v>
      </c>
      <c r="K1123" s="9">
        <f t="shared" si="53"/>
        <v>84625</v>
      </c>
      <c r="L1123">
        <f t="shared" si="54"/>
        <v>381155</v>
      </c>
    </row>
    <row r="1124" spans="4:12" x14ac:dyDescent="0.25">
      <c r="D1124" s="1">
        <v>42312</v>
      </c>
      <c r="E1124">
        <v>31353</v>
      </c>
      <c r="F1124" s="1">
        <v>42312</v>
      </c>
      <c r="G1124">
        <v>-3275</v>
      </c>
      <c r="H1124" s="1">
        <f t="shared" si="52"/>
        <v>42312</v>
      </c>
      <c r="I1124">
        <f>IF(AND(MyRowHidden(ROW())=FALSE,MyRowHidden(ROW()-1)=TRUE),0,(E1124-E1123)*unitsOfDHp+I1123)</f>
        <v>363530</v>
      </c>
      <c r="J1124">
        <f>IF(AND(MyRowHidden(ROW())=FALSE,MyRowHidden(ROW()-1)=TRUE),0,(G1124-G1123)*unitsOfExo+J1123)</f>
        <v>17250</v>
      </c>
      <c r="K1124" s="9">
        <f t="shared" si="53"/>
        <v>82750</v>
      </c>
      <c r="L1124">
        <f t="shared" si="54"/>
        <v>380780</v>
      </c>
    </row>
    <row r="1125" spans="4:12" x14ac:dyDescent="0.25">
      <c r="D1125" s="1">
        <v>42313</v>
      </c>
      <c r="E1125">
        <v>31670</v>
      </c>
      <c r="F1125" s="1">
        <v>42313</v>
      </c>
      <c r="G1125">
        <v>-3662.5</v>
      </c>
      <c r="H1125" s="1">
        <f t="shared" si="52"/>
        <v>42313</v>
      </c>
      <c r="I1125">
        <f>IF(AND(MyRowHidden(ROW())=FALSE,MyRowHidden(ROW()-1)=TRUE),0,(E1125-E1124)*unitsOfDHp+I1124)</f>
        <v>366700</v>
      </c>
      <c r="J1125">
        <f>IF(AND(MyRowHidden(ROW())=FALSE,MyRowHidden(ROW()-1)=TRUE),0,(G1125-G1124)*unitsOfExo+J1124)</f>
        <v>13375</v>
      </c>
      <c r="K1125" s="9">
        <f t="shared" si="53"/>
        <v>86625</v>
      </c>
      <c r="L1125">
        <f t="shared" si="54"/>
        <v>380075</v>
      </c>
    </row>
    <row r="1126" spans="4:12" x14ac:dyDescent="0.25">
      <c r="D1126" s="1">
        <v>42314</v>
      </c>
      <c r="E1126">
        <v>31997</v>
      </c>
      <c r="F1126" s="1">
        <v>42314</v>
      </c>
      <c r="G1126">
        <v>-3775</v>
      </c>
      <c r="H1126" s="1">
        <f t="shared" si="52"/>
        <v>42314</v>
      </c>
      <c r="I1126">
        <f>IF(AND(MyRowHidden(ROW())=FALSE,MyRowHidden(ROW()-1)=TRUE),0,(E1126-E1125)*unitsOfDHp+I1125)</f>
        <v>369970</v>
      </c>
      <c r="J1126">
        <f>IF(AND(MyRowHidden(ROW())=FALSE,MyRowHidden(ROW()-1)=TRUE),0,(G1126-G1125)*unitsOfExo+J1125)</f>
        <v>12250</v>
      </c>
      <c r="K1126" s="9">
        <f t="shared" si="53"/>
        <v>87750</v>
      </c>
      <c r="L1126">
        <f t="shared" si="54"/>
        <v>382220</v>
      </c>
    </row>
    <row r="1127" spans="4:12" x14ac:dyDescent="0.25">
      <c r="D1127" s="1">
        <v>42317</v>
      </c>
      <c r="E1127">
        <v>32256</v>
      </c>
      <c r="F1127" s="1">
        <v>42317</v>
      </c>
      <c r="G1127">
        <v>-4000</v>
      </c>
      <c r="H1127" s="1">
        <f t="shared" si="52"/>
        <v>42317</v>
      </c>
      <c r="I1127">
        <f>IF(AND(MyRowHidden(ROW())=FALSE,MyRowHidden(ROW()-1)=TRUE),0,(E1127-E1126)*unitsOfDHp+I1126)</f>
        <v>372560</v>
      </c>
      <c r="J1127">
        <f>IF(AND(MyRowHidden(ROW())=FALSE,MyRowHidden(ROW()-1)=TRUE),0,(G1127-G1126)*unitsOfExo+J1126)</f>
        <v>10000</v>
      </c>
      <c r="K1127" s="9">
        <f t="shared" si="53"/>
        <v>90000</v>
      </c>
      <c r="L1127">
        <f t="shared" si="54"/>
        <v>382560</v>
      </c>
    </row>
    <row r="1128" spans="4:12" x14ac:dyDescent="0.25">
      <c r="D1128" s="1">
        <v>42318</v>
      </c>
      <c r="E1128">
        <v>32107</v>
      </c>
      <c r="F1128" s="1">
        <v>42318</v>
      </c>
      <c r="G1128">
        <v>-4525</v>
      </c>
      <c r="H1128" s="1">
        <f t="shared" si="52"/>
        <v>42318</v>
      </c>
      <c r="I1128">
        <f>IF(AND(MyRowHidden(ROW())=FALSE,MyRowHidden(ROW()-1)=TRUE),0,(E1128-E1127)*unitsOfDHp+I1127)</f>
        <v>371070</v>
      </c>
      <c r="J1128">
        <f>IF(AND(MyRowHidden(ROW())=FALSE,MyRowHidden(ROW()-1)=TRUE),0,(G1128-G1127)*unitsOfExo+J1127)</f>
        <v>4750</v>
      </c>
      <c r="K1128" s="9">
        <f t="shared" si="53"/>
        <v>95250</v>
      </c>
      <c r="L1128">
        <f t="shared" si="54"/>
        <v>375820</v>
      </c>
    </row>
    <row r="1129" spans="4:12" x14ac:dyDescent="0.25">
      <c r="D1129" s="1">
        <v>42320</v>
      </c>
      <c r="E1129">
        <v>32153</v>
      </c>
      <c r="F1129" s="1">
        <v>42320</v>
      </c>
      <c r="G1129">
        <v>-4375</v>
      </c>
      <c r="H1129" s="1">
        <f t="shared" si="52"/>
        <v>42320</v>
      </c>
      <c r="I1129">
        <f>IF(AND(MyRowHidden(ROW())=FALSE,MyRowHidden(ROW()-1)=TRUE),0,(E1129-E1128)*unitsOfDHp+I1128)</f>
        <v>371530</v>
      </c>
      <c r="J1129">
        <f>IF(AND(MyRowHidden(ROW())=FALSE,MyRowHidden(ROW()-1)=TRUE),0,(G1129-G1128)*unitsOfExo+J1128)</f>
        <v>6250</v>
      </c>
      <c r="K1129" s="9">
        <f t="shared" si="53"/>
        <v>93750</v>
      </c>
      <c r="L1129">
        <f t="shared" si="54"/>
        <v>377780</v>
      </c>
    </row>
    <row r="1130" spans="4:12" x14ac:dyDescent="0.25">
      <c r="D1130" s="1">
        <v>42321</v>
      </c>
      <c r="E1130">
        <v>32091</v>
      </c>
      <c r="F1130" s="1">
        <v>42321</v>
      </c>
      <c r="G1130">
        <v>-4487.5</v>
      </c>
      <c r="H1130" s="1">
        <f t="shared" si="52"/>
        <v>42321</v>
      </c>
      <c r="I1130">
        <f>IF(AND(MyRowHidden(ROW())=FALSE,MyRowHidden(ROW()-1)=TRUE),0,(E1130-E1129)*unitsOfDHp+I1129)</f>
        <v>370910</v>
      </c>
      <c r="J1130">
        <f>IF(AND(MyRowHidden(ROW())=FALSE,MyRowHidden(ROW()-1)=TRUE),0,(G1130-G1129)*unitsOfExo+J1129)</f>
        <v>5125</v>
      </c>
      <c r="K1130" s="9">
        <f t="shared" si="53"/>
        <v>94875</v>
      </c>
      <c r="L1130">
        <f t="shared" si="54"/>
        <v>376035</v>
      </c>
    </row>
    <row r="1131" spans="4:12" x14ac:dyDescent="0.25">
      <c r="D1131" s="1">
        <v>42324</v>
      </c>
      <c r="E1131">
        <v>32060</v>
      </c>
      <c r="F1131" s="1">
        <v>42324</v>
      </c>
      <c r="G1131">
        <v>-4500</v>
      </c>
      <c r="H1131" s="1">
        <f t="shared" si="52"/>
        <v>42324</v>
      </c>
      <c r="I1131">
        <f>IF(AND(MyRowHidden(ROW())=FALSE,MyRowHidden(ROW()-1)=TRUE),0,(E1131-E1130)*unitsOfDHp+I1130)</f>
        <v>370600</v>
      </c>
      <c r="J1131">
        <f>IF(AND(MyRowHidden(ROW())=FALSE,MyRowHidden(ROW()-1)=TRUE),0,(G1131-G1130)*unitsOfExo+J1130)</f>
        <v>5000</v>
      </c>
      <c r="K1131" s="9">
        <f t="shared" si="53"/>
        <v>95000</v>
      </c>
      <c r="L1131">
        <f t="shared" si="54"/>
        <v>375600</v>
      </c>
    </row>
    <row r="1132" spans="4:12" x14ac:dyDescent="0.25">
      <c r="D1132" s="1">
        <v>42325</v>
      </c>
      <c r="E1132">
        <v>32072</v>
      </c>
      <c r="F1132" s="1">
        <v>42325</v>
      </c>
      <c r="G1132">
        <v>-4437.5</v>
      </c>
      <c r="H1132" s="1">
        <f t="shared" si="52"/>
        <v>42325</v>
      </c>
      <c r="I1132">
        <f>IF(AND(MyRowHidden(ROW())=FALSE,MyRowHidden(ROW()-1)=TRUE),0,(E1132-E1131)*unitsOfDHp+I1131)</f>
        <v>370720</v>
      </c>
      <c r="J1132">
        <f>IF(AND(MyRowHidden(ROW())=FALSE,MyRowHidden(ROW()-1)=TRUE),0,(G1132-G1131)*unitsOfExo+J1131)</f>
        <v>5625</v>
      </c>
      <c r="K1132" s="9">
        <f t="shared" si="53"/>
        <v>94375</v>
      </c>
      <c r="L1132">
        <f t="shared" si="54"/>
        <v>376345</v>
      </c>
    </row>
    <row r="1133" spans="4:12" x14ac:dyDescent="0.25">
      <c r="D1133" s="1">
        <v>42326</v>
      </c>
      <c r="E1133">
        <v>32159</v>
      </c>
      <c r="F1133" s="1">
        <v>42326</v>
      </c>
      <c r="G1133">
        <v>-4362.5</v>
      </c>
      <c r="H1133" s="1">
        <f t="shared" si="52"/>
        <v>42326</v>
      </c>
      <c r="I1133">
        <f>IF(AND(MyRowHidden(ROW())=FALSE,MyRowHidden(ROW()-1)=TRUE),0,(E1133-E1132)*unitsOfDHp+I1132)</f>
        <v>371590</v>
      </c>
      <c r="J1133">
        <f>IF(AND(MyRowHidden(ROW())=FALSE,MyRowHidden(ROW()-1)=TRUE),0,(G1133-G1132)*unitsOfExo+J1132)</f>
        <v>6375</v>
      </c>
      <c r="K1133" s="9">
        <f t="shared" si="53"/>
        <v>93625</v>
      </c>
      <c r="L1133">
        <f t="shared" si="54"/>
        <v>377965</v>
      </c>
    </row>
    <row r="1134" spans="4:12" x14ac:dyDescent="0.25">
      <c r="D1134" s="1">
        <v>42327</v>
      </c>
      <c r="E1134">
        <v>32120</v>
      </c>
      <c r="F1134" s="1">
        <v>42327</v>
      </c>
      <c r="G1134">
        <v>-4225</v>
      </c>
      <c r="H1134" s="1">
        <f t="shared" si="52"/>
        <v>42327</v>
      </c>
      <c r="I1134">
        <f>IF(AND(MyRowHidden(ROW())=FALSE,MyRowHidden(ROW()-1)=TRUE),0,(E1134-E1133)*unitsOfDHp+I1133)</f>
        <v>371200</v>
      </c>
      <c r="J1134">
        <f>IF(AND(MyRowHidden(ROW())=FALSE,MyRowHidden(ROW()-1)=TRUE),0,(G1134-G1133)*unitsOfExo+J1133)</f>
        <v>7750</v>
      </c>
      <c r="K1134" s="9">
        <f t="shared" si="53"/>
        <v>92250</v>
      </c>
      <c r="L1134">
        <f t="shared" si="54"/>
        <v>378950</v>
      </c>
    </row>
    <row r="1135" spans="4:12" x14ac:dyDescent="0.25">
      <c r="D1135" s="1">
        <v>42328</v>
      </c>
      <c r="E1135">
        <v>32113</v>
      </c>
      <c r="F1135" s="1">
        <v>42328</v>
      </c>
      <c r="G1135">
        <v>-4262.5</v>
      </c>
      <c r="H1135" s="1">
        <f t="shared" si="52"/>
        <v>42328</v>
      </c>
      <c r="I1135">
        <f>IF(AND(MyRowHidden(ROW())=FALSE,MyRowHidden(ROW()-1)=TRUE),0,(E1135-E1134)*unitsOfDHp+I1134)</f>
        <v>371130</v>
      </c>
      <c r="J1135">
        <f>IF(AND(MyRowHidden(ROW())=FALSE,MyRowHidden(ROW()-1)=TRUE),0,(G1135-G1134)*unitsOfExo+J1134)</f>
        <v>7375</v>
      </c>
      <c r="K1135" s="9">
        <f t="shared" si="53"/>
        <v>92625</v>
      </c>
      <c r="L1135">
        <f t="shared" si="54"/>
        <v>378505</v>
      </c>
    </row>
    <row r="1136" spans="4:12" x14ac:dyDescent="0.25">
      <c r="D1136" s="1">
        <v>42331</v>
      </c>
      <c r="E1136">
        <v>31964</v>
      </c>
      <c r="F1136" s="1">
        <v>42331</v>
      </c>
      <c r="G1136">
        <v>-4112.5</v>
      </c>
      <c r="H1136" s="1">
        <f t="shared" si="52"/>
        <v>42331</v>
      </c>
      <c r="I1136">
        <f>IF(AND(MyRowHidden(ROW())=FALSE,MyRowHidden(ROW()-1)=TRUE),0,(E1136-E1135)*unitsOfDHp+I1135)</f>
        <v>369640</v>
      </c>
      <c r="J1136">
        <f>IF(AND(MyRowHidden(ROW())=FALSE,MyRowHidden(ROW()-1)=TRUE),0,(G1136-G1135)*unitsOfExo+J1135)</f>
        <v>8875</v>
      </c>
      <c r="K1136" s="9">
        <f t="shared" si="53"/>
        <v>91125</v>
      </c>
      <c r="L1136">
        <f t="shared" si="54"/>
        <v>378515</v>
      </c>
    </row>
    <row r="1137" spans="4:12" x14ac:dyDescent="0.25">
      <c r="D1137" s="1">
        <v>42332</v>
      </c>
      <c r="E1137">
        <v>32234</v>
      </c>
      <c r="F1137" s="1">
        <v>42332</v>
      </c>
      <c r="G1137">
        <v>-4212.5</v>
      </c>
      <c r="H1137" s="1">
        <f t="shared" si="52"/>
        <v>42332</v>
      </c>
      <c r="I1137">
        <f>IF(AND(MyRowHidden(ROW())=FALSE,MyRowHidden(ROW()-1)=TRUE),0,(E1137-E1136)*unitsOfDHp+I1136)</f>
        <v>372340</v>
      </c>
      <c r="J1137">
        <f>IF(AND(MyRowHidden(ROW())=FALSE,MyRowHidden(ROW()-1)=TRUE),0,(G1137-G1136)*unitsOfExo+J1136)</f>
        <v>7875</v>
      </c>
      <c r="K1137" s="9">
        <f t="shared" si="53"/>
        <v>92125</v>
      </c>
      <c r="L1137">
        <f t="shared" si="54"/>
        <v>380215</v>
      </c>
    </row>
    <row r="1138" spans="4:12" x14ac:dyDescent="0.25">
      <c r="D1138" s="1">
        <v>42333</v>
      </c>
      <c r="E1138">
        <v>32131</v>
      </c>
      <c r="F1138" s="1">
        <v>42333</v>
      </c>
      <c r="G1138">
        <v>-4212.5</v>
      </c>
      <c r="H1138" s="1">
        <f t="shared" si="52"/>
        <v>42333</v>
      </c>
      <c r="I1138">
        <f>IF(AND(MyRowHidden(ROW())=FALSE,MyRowHidden(ROW()-1)=TRUE),0,(E1138-E1137)*unitsOfDHp+I1137)</f>
        <v>371310</v>
      </c>
      <c r="J1138">
        <f>IF(AND(MyRowHidden(ROW())=FALSE,MyRowHidden(ROW()-1)=TRUE),0,(G1138-G1137)*unitsOfExo+J1137)</f>
        <v>7875</v>
      </c>
      <c r="K1138" s="9">
        <f t="shared" si="53"/>
        <v>92125</v>
      </c>
      <c r="L1138">
        <f t="shared" si="54"/>
        <v>379185</v>
      </c>
    </row>
    <row r="1139" spans="4:12" x14ac:dyDescent="0.25">
      <c r="D1139" s="1">
        <v>42335</v>
      </c>
      <c r="E1139">
        <v>32199</v>
      </c>
      <c r="F1139" s="1">
        <v>42335</v>
      </c>
      <c r="G1139">
        <v>-4462.5</v>
      </c>
      <c r="H1139" s="1">
        <f t="shared" si="52"/>
        <v>42335</v>
      </c>
      <c r="I1139">
        <f>IF(AND(MyRowHidden(ROW())=FALSE,MyRowHidden(ROW()-1)=TRUE),0,(E1139-E1138)*unitsOfDHp+I1138)</f>
        <v>371990</v>
      </c>
      <c r="J1139">
        <f>IF(AND(MyRowHidden(ROW())=FALSE,MyRowHidden(ROW()-1)=TRUE),0,(G1139-G1138)*unitsOfExo+J1138)</f>
        <v>5375</v>
      </c>
      <c r="K1139" s="9">
        <f t="shared" si="53"/>
        <v>94625</v>
      </c>
      <c r="L1139">
        <f t="shared" si="54"/>
        <v>377365</v>
      </c>
    </row>
    <row r="1140" spans="4:12" x14ac:dyDescent="0.25">
      <c r="D1140" s="1">
        <v>42338</v>
      </c>
      <c r="E1140">
        <v>32020</v>
      </c>
      <c r="F1140" s="1">
        <v>42338</v>
      </c>
      <c r="G1140">
        <v>-4237.5</v>
      </c>
      <c r="H1140" s="1">
        <f t="shared" si="52"/>
        <v>42338</v>
      </c>
      <c r="I1140">
        <f>IF(AND(MyRowHidden(ROW())=FALSE,MyRowHidden(ROW()-1)=TRUE),0,(E1140-E1139)*unitsOfDHp+I1139)</f>
        <v>370200</v>
      </c>
      <c r="J1140">
        <f>IF(AND(MyRowHidden(ROW())=FALSE,MyRowHidden(ROW()-1)=TRUE),0,(G1140-G1139)*unitsOfExo+J1139)</f>
        <v>7625</v>
      </c>
      <c r="K1140" s="9">
        <f t="shared" si="53"/>
        <v>92375</v>
      </c>
      <c r="L1140">
        <f t="shared" si="54"/>
        <v>377825</v>
      </c>
    </row>
    <row r="1141" spans="4:12" x14ac:dyDescent="0.25">
      <c r="D1141" s="1">
        <v>42339</v>
      </c>
      <c r="E1141">
        <v>31956</v>
      </c>
      <c r="F1141" s="1">
        <v>42339</v>
      </c>
      <c r="G1141">
        <v>-4087.5</v>
      </c>
      <c r="H1141" s="1">
        <f t="shared" si="52"/>
        <v>42339</v>
      </c>
      <c r="I1141">
        <f>IF(AND(MyRowHidden(ROW())=FALSE,MyRowHidden(ROW()-1)=TRUE),0,(E1141-E1140)*unitsOfDHp+I1140)</f>
        <v>369560</v>
      </c>
      <c r="J1141">
        <f>IF(AND(MyRowHidden(ROW())=FALSE,MyRowHidden(ROW()-1)=TRUE),0,(G1141-G1140)*unitsOfExo+J1140)</f>
        <v>9125</v>
      </c>
      <c r="K1141" s="9">
        <f t="shared" si="53"/>
        <v>90875</v>
      </c>
      <c r="L1141">
        <f t="shared" si="54"/>
        <v>378685</v>
      </c>
    </row>
    <row r="1142" spans="4:12" x14ac:dyDescent="0.25">
      <c r="D1142" s="1">
        <v>42340</v>
      </c>
      <c r="E1142">
        <v>32002</v>
      </c>
      <c r="F1142" s="1">
        <v>42340</v>
      </c>
      <c r="G1142">
        <v>-4225</v>
      </c>
      <c r="H1142" s="1">
        <f t="shared" si="52"/>
        <v>42340</v>
      </c>
      <c r="I1142">
        <f>IF(AND(MyRowHidden(ROW())=FALSE,MyRowHidden(ROW()-1)=TRUE),0,(E1142-E1141)*unitsOfDHp+I1141)</f>
        <v>370020</v>
      </c>
      <c r="J1142">
        <f>IF(AND(MyRowHidden(ROW())=FALSE,MyRowHidden(ROW()-1)=TRUE),0,(G1142-G1141)*unitsOfExo+J1141)</f>
        <v>7750</v>
      </c>
      <c r="K1142" s="9">
        <f t="shared" si="53"/>
        <v>92250</v>
      </c>
      <c r="L1142">
        <f t="shared" si="54"/>
        <v>377770</v>
      </c>
    </row>
    <row r="1143" spans="4:12" x14ac:dyDescent="0.25">
      <c r="D1143" s="1">
        <v>42341</v>
      </c>
      <c r="E1143">
        <v>31723</v>
      </c>
      <c r="F1143" s="1">
        <v>42341</v>
      </c>
      <c r="G1143">
        <v>-3912.5</v>
      </c>
      <c r="H1143" s="1">
        <f t="shared" si="52"/>
        <v>42341</v>
      </c>
      <c r="I1143">
        <f>IF(AND(MyRowHidden(ROW())=FALSE,MyRowHidden(ROW()-1)=TRUE),0,(E1143-E1142)*unitsOfDHp+I1142)</f>
        <v>367230</v>
      </c>
      <c r="J1143">
        <f>IF(AND(MyRowHidden(ROW())=FALSE,MyRowHidden(ROW()-1)=TRUE),0,(G1143-G1142)*unitsOfExo+J1142)</f>
        <v>10875</v>
      </c>
      <c r="K1143" s="9">
        <f t="shared" si="53"/>
        <v>89125</v>
      </c>
      <c r="L1143">
        <f t="shared" si="54"/>
        <v>378105</v>
      </c>
    </row>
    <row r="1144" spans="4:12" x14ac:dyDescent="0.25">
      <c r="D1144" s="1">
        <v>42342</v>
      </c>
      <c r="E1144">
        <v>31275</v>
      </c>
      <c r="F1144" s="1">
        <v>42342</v>
      </c>
      <c r="G1144">
        <v>-3675</v>
      </c>
      <c r="H1144" s="1">
        <f t="shared" si="52"/>
        <v>42342</v>
      </c>
      <c r="I1144">
        <f>IF(AND(MyRowHidden(ROW())=FALSE,MyRowHidden(ROW()-1)=TRUE),0,(E1144-E1143)*unitsOfDHp+I1143)</f>
        <v>362750</v>
      </c>
      <c r="J1144">
        <f>IF(AND(MyRowHidden(ROW())=FALSE,MyRowHidden(ROW()-1)=TRUE),0,(G1144-G1143)*unitsOfExo+J1143)</f>
        <v>13250</v>
      </c>
      <c r="K1144" s="9">
        <f t="shared" si="53"/>
        <v>86750</v>
      </c>
      <c r="L1144">
        <f t="shared" si="54"/>
        <v>376000</v>
      </c>
    </row>
    <row r="1145" spans="4:12" x14ac:dyDescent="0.25">
      <c r="D1145" s="1">
        <v>42345</v>
      </c>
      <c r="E1145">
        <v>32069</v>
      </c>
      <c r="F1145" s="1">
        <v>42345</v>
      </c>
      <c r="G1145">
        <v>-3962.5</v>
      </c>
      <c r="H1145" s="1">
        <f t="shared" si="52"/>
        <v>42345</v>
      </c>
      <c r="I1145">
        <f>IF(AND(MyRowHidden(ROW())=FALSE,MyRowHidden(ROW()-1)=TRUE),0,(E1145-E1144)*unitsOfDHp+I1144)</f>
        <v>370690</v>
      </c>
      <c r="J1145">
        <f>IF(AND(MyRowHidden(ROW())=FALSE,MyRowHidden(ROW()-1)=TRUE),0,(G1145-G1144)*unitsOfExo+J1144)</f>
        <v>10375</v>
      </c>
      <c r="K1145" s="9">
        <f t="shared" si="53"/>
        <v>89625</v>
      </c>
      <c r="L1145">
        <f t="shared" si="54"/>
        <v>381065</v>
      </c>
    </row>
    <row r="1146" spans="4:12" x14ac:dyDescent="0.25">
      <c r="D1146" s="1">
        <v>42346</v>
      </c>
      <c r="E1146">
        <v>32048</v>
      </c>
      <c r="F1146" s="1">
        <v>42346</v>
      </c>
      <c r="G1146">
        <v>-3937.5</v>
      </c>
      <c r="H1146" s="1">
        <f t="shared" si="52"/>
        <v>42346</v>
      </c>
      <c r="I1146">
        <f>IF(AND(MyRowHidden(ROW())=FALSE,MyRowHidden(ROW()-1)=TRUE),0,(E1146-E1145)*unitsOfDHp+I1145)</f>
        <v>370480</v>
      </c>
      <c r="J1146">
        <f>IF(AND(MyRowHidden(ROW())=FALSE,MyRowHidden(ROW()-1)=TRUE),0,(G1146-G1145)*unitsOfExo+J1145)</f>
        <v>10625</v>
      </c>
      <c r="K1146" s="9">
        <f t="shared" si="53"/>
        <v>89375</v>
      </c>
      <c r="L1146">
        <f t="shared" si="54"/>
        <v>381105</v>
      </c>
    </row>
    <row r="1147" spans="4:12" x14ac:dyDescent="0.25">
      <c r="D1147" s="1">
        <v>42347</v>
      </c>
      <c r="E1147">
        <v>32102</v>
      </c>
      <c r="F1147" s="1">
        <v>42347</v>
      </c>
      <c r="G1147">
        <v>-3887.5</v>
      </c>
      <c r="H1147" s="1">
        <f t="shared" si="52"/>
        <v>42347</v>
      </c>
      <c r="I1147">
        <f>IF(AND(MyRowHidden(ROW())=FALSE,MyRowHidden(ROW()-1)=TRUE),0,(E1147-E1146)*unitsOfDHp+I1146)</f>
        <v>371020</v>
      </c>
      <c r="J1147">
        <f>IF(AND(MyRowHidden(ROW())=FALSE,MyRowHidden(ROW()-1)=TRUE),0,(G1147-G1146)*unitsOfExo+J1146)</f>
        <v>11125</v>
      </c>
      <c r="K1147" s="9">
        <f t="shared" si="53"/>
        <v>88875</v>
      </c>
      <c r="L1147">
        <f t="shared" si="54"/>
        <v>382145</v>
      </c>
    </row>
    <row r="1148" spans="4:12" x14ac:dyDescent="0.25">
      <c r="D1148" s="1">
        <v>42348</v>
      </c>
      <c r="E1148">
        <v>31608</v>
      </c>
      <c r="F1148" s="1">
        <v>42348</v>
      </c>
      <c r="G1148">
        <v>-3575</v>
      </c>
      <c r="H1148" s="1">
        <f t="shared" si="52"/>
        <v>42348</v>
      </c>
      <c r="I1148">
        <f>IF(AND(MyRowHidden(ROW())=FALSE,MyRowHidden(ROW()-1)=TRUE),0,(E1148-E1147)*unitsOfDHp+I1147)</f>
        <v>366080</v>
      </c>
      <c r="J1148">
        <f>IF(AND(MyRowHidden(ROW())=FALSE,MyRowHidden(ROW()-1)=TRUE),0,(G1148-G1147)*unitsOfExo+J1147)</f>
        <v>14250</v>
      </c>
      <c r="K1148" s="9">
        <f t="shared" si="53"/>
        <v>85750</v>
      </c>
      <c r="L1148">
        <f t="shared" si="54"/>
        <v>380330</v>
      </c>
    </row>
    <row r="1149" spans="4:12" x14ac:dyDescent="0.25">
      <c r="D1149" s="1">
        <v>42349</v>
      </c>
      <c r="E1149">
        <v>31660</v>
      </c>
      <c r="F1149" s="1">
        <v>42349</v>
      </c>
      <c r="G1149">
        <v>-3737.5</v>
      </c>
      <c r="H1149" s="1">
        <f t="shared" si="52"/>
        <v>42349</v>
      </c>
      <c r="I1149">
        <f>IF(AND(MyRowHidden(ROW())=FALSE,MyRowHidden(ROW()-1)=TRUE),0,(E1149-E1148)*unitsOfDHp+I1148)</f>
        <v>366600</v>
      </c>
      <c r="J1149">
        <f>IF(AND(MyRowHidden(ROW())=FALSE,MyRowHidden(ROW()-1)=TRUE),0,(G1149-G1148)*unitsOfExo+J1148)</f>
        <v>12625</v>
      </c>
      <c r="K1149" s="9">
        <f t="shared" si="53"/>
        <v>87375</v>
      </c>
      <c r="L1149">
        <f t="shared" si="54"/>
        <v>379225</v>
      </c>
    </row>
    <row r="1150" spans="4:12" x14ac:dyDescent="0.25">
      <c r="D1150" s="1">
        <v>42352</v>
      </c>
      <c r="E1150">
        <v>31440</v>
      </c>
      <c r="F1150" s="1">
        <v>42352</v>
      </c>
      <c r="G1150">
        <v>-3662.5</v>
      </c>
      <c r="H1150" s="1">
        <f t="shared" si="52"/>
        <v>42352</v>
      </c>
      <c r="I1150">
        <f>IF(AND(MyRowHidden(ROW())=FALSE,MyRowHidden(ROW()-1)=TRUE),0,(E1150-E1149)*unitsOfDHp+I1149)</f>
        <v>364400</v>
      </c>
      <c r="J1150">
        <f>IF(AND(MyRowHidden(ROW())=FALSE,MyRowHidden(ROW()-1)=TRUE),0,(G1150-G1149)*unitsOfExo+J1149)</f>
        <v>13375</v>
      </c>
      <c r="K1150" s="9">
        <f t="shared" si="53"/>
        <v>86625</v>
      </c>
      <c r="L1150">
        <f t="shared" si="54"/>
        <v>377775</v>
      </c>
    </row>
    <row r="1151" spans="4:12" x14ac:dyDescent="0.25">
      <c r="D1151" s="1">
        <v>42353</v>
      </c>
      <c r="E1151">
        <v>31424</v>
      </c>
      <c r="F1151" s="1">
        <v>42353</v>
      </c>
      <c r="G1151">
        <v>-3650</v>
      </c>
      <c r="H1151" s="1">
        <f t="shared" si="52"/>
        <v>42353</v>
      </c>
      <c r="I1151">
        <f>IF(AND(MyRowHidden(ROW())=FALSE,MyRowHidden(ROW()-1)=TRUE),0,(E1151-E1150)*unitsOfDHp+I1150)</f>
        <v>364240</v>
      </c>
      <c r="J1151">
        <f>IF(AND(MyRowHidden(ROW())=FALSE,MyRowHidden(ROW()-1)=TRUE),0,(G1151-G1150)*unitsOfExo+J1150)</f>
        <v>13500</v>
      </c>
      <c r="K1151" s="9">
        <f t="shared" si="53"/>
        <v>86500</v>
      </c>
      <c r="L1151">
        <f t="shared" si="54"/>
        <v>377740</v>
      </c>
    </row>
    <row r="1152" spans="4:12" x14ac:dyDescent="0.25">
      <c r="D1152" s="1">
        <v>42354</v>
      </c>
      <c r="E1152">
        <v>31842</v>
      </c>
      <c r="F1152" s="1">
        <v>42354</v>
      </c>
      <c r="G1152">
        <v>-4087.5</v>
      </c>
      <c r="H1152" s="1">
        <f t="shared" si="52"/>
        <v>42354</v>
      </c>
      <c r="I1152">
        <f>IF(AND(MyRowHidden(ROW())=FALSE,MyRowHidden(ROW()-1)=TRUE),0,(E1152-E1151)*unitsOfDHp+I1151)</f>
        <v>368420</v>
      </c>
      <c r="J1152">
        <f>IF(AND(MyRowHidden(ROW())=FALSE,MyRowHidden(ROW()-1)=TRUE),0,(G1152-G1151)*unitsOfExo+J1151)</f>
        <v>9125</v>
      </c>
      <c r="K1152" s="9">
        <f t="shared" si="53"/>
        <v>90875</v>
      </c>
      <c r="L1152">
        <f t="shared" si="54"/>
        <v>377545</v>
      </c>
    </row>
    <row r="1153" spans="4:12" x14ac:dyDescent="0.25">
      <c r="D1153" s="1">
        <v>42355</v>
      </c>
      <c r="E1153">
        <v>31674</v>
      </c>
      <c r="F1153" s="1">
        <v>42355</v>
      </c>
      <c r="G1153">
        <v>-3925</v>
      </c>
      <c r="H1153" s="1">
        <f t="shared" si="52"/>
        <v>42355</v>
      </c>
      <c r="I1153">
        <f>IF(AND(MyRowHidden(ROW())=FALSE,MyRowHidden(ROW()-1)=TRUE),0,(E1153-E1152)*unitsOfDHp+I1152)</f>
        <v>366740</v>
      </c>
      <c r="J1153">
        <f>IF(AND(MyRowHidden(ROW())=FALSE,MyRowHidden(ROW()-1)=TRUE),0,(G1153-G1152)*unitsOfExo+J1152)</f>
        <v>10750</v>
      </c>
      <c r="K1153" s="9">
        <f t="shared" si="53"/>
        <v>89250</v>
      </c>
      <c r="L1153">
        <f t="shared" si="54"/>
        <v>377490</v>
      </c>
    </row>
    <row r="1154" spans="4:12" x14ac:dyDescent="0.25">
      <c r="D1154" s="1">
        <v>42356</v>
      </c>
      <c r="E1154">
        <v>31636</v>
      </c>
      <c r="F1154" s="1">
        <v>42356</v>
      </c>
      <c r="G1154">
        <v>-3862.5</v>
      </c>
      <c r="H1154" s="1">
        <f t="shared" si="52"/>
        <v>42356</v>
      </c>
      <c r="I1154">
        <f>IF(AND(MyRowHidden(ROW())=FALSE,MyRowHidden(ROW()-1)=TRUE),0,(E1154-E1153)*unitsOfDHp+I1153)</f>
        <v>366360</v>
      </c>
      <c r="J1154">
        <f>IF(AND(MyRowHidden(ROW())=FALSE,MyRowHidden(ROW()-1)=TRUE),0,(G1154-G1153)*unitsOfExo+J1153)</f>
        <v>11375</v>
      </c>
      <c r="K1154" s="9">
        <f t="shared" si="53"/>
        <v>88625</v>
      </c>
      <c r="L1154">
        <f t="shared" si="54"/>
        <v>377735</v>
      </c>
    </row>
    <row r="1155" spans="4:12" x14ac:dyDescent="0.25">
      <c r="D1155" s="1">
        <v>42359</v>
      </c>
      <c r="E1155">
        <v>31662</v>
      </c>
      <c r="F1155" s="1">
        <v>42359</v>
      </c>
      <c r="G1155">
        <v>-4012.5</v>
      </c>
      <c r="H1155" s="1">
        <f t="shared" si="52"/>
        <v>42359</v>
      </c>
      <c r="I1155">
        <f>IF(AND(MyRowHidden(ROW())=FALSE,MyRowHidden(ROW()-1)=TRUE),0,(E1155-E1154)*unitsOfDHp+I1154)</f>
        <v>366620</v>
      </c>
      <c r="J1155">
        <f>IF(AND(MyRowHidden(ROW())=FALSE,MyRowHidden(ROW()-1)=TRUE),0,(G1155-G1154)*unitsOfExo+J1154)</f>
        <v>9875</v>
      </c>
      <c r="K1155" s="9">
        <f t="shared" si="53"/>
        <v>90125</v>
      </c>
      <c r="L1155">
        <f t="shared" si="54"/>
        <v>376495</v>
      </c>
    </row>
    <row r="1156" spans="4:12" x14ac:dyDescent="0.25">
      <c r="D1156" s="1">
        <v>42360</v>
      </c>
      <c r="E1156">
        <v>31855</v>
      </c>
      <c r="F1156" s="1">
        <v>42360</v>
      </c>
      <c r="G1156">
        <v>-4262.5</v>
      </c>
      <c r="H1156" s="1">
        <f t="shared" si="52"/>
        <v>42360</v>
      </c>
      <c r="I1156">
        <f>IF(AND(MyRowHidden(ROW())=FALSE,MyRowHidden(ROW()-1)=TRUE),0,(E1156-E1155)*unitsOfDHp+I1155)</f>
        <v>368550</v>
      </c>
      <c r="J1156">
        <f>IF(AND(MyRowHidden(ROW())=FALSE,MyRowHidden(ROW()-1)=TRUE),0,(G1156-G1155)*unitsOfExo+J1155)</f>
        <v>7375</v>
      </c>
      <c r="K1156" s="9">
        <f t="shared" si="53"/>
        <v>92625</v>
      </c>
      <c r="L1156">
        <f t="shared" si="54"/>
        <v>375925</v>
      </c>
    </row>
    <row r="1157" spans="4:12" x14ac:dyDescent="0.25">
      <c r="D1157" s="1">
        <v>42361</v>
      </c>
      <c r="E1157">
        <v>31846</v>
      </c>
      <c r="F1157" s="1">
        <v>42361</v>
      </c>
      <c r="G1157">
        <v>-4312.5</v>
      </c>
      <c r="H1157" s="1">
        <f t="shared" si="52"/>
        <v>42361</v>
      </c>
      <c r="I1157">
        <f>IF(AND(MyRowHidden(ROW())=FALSE,MyRowHidden(ROW()-1)=TRUE),0,(E1157-E1156)*unitsOfDHp+I1156)</f>
        <v>368460</v>
      </c>
      <c r="J1157">
        <f>IF(AND(MyRowHidden(ROW())=FALSE,MyRowHidden(ROW()-1)=TRUE),0,(G1157-G1156)*unitsOfExo+J1156)</f>
        <v>6875</v>
      </c>
      <c r="K1157" s="9">
        <f t="shared" si="53"/>
        <v>93125</v>
      </c>
      <c r="L1157">
        <f t="shared" si="54"/>
        <v>375335</v>
      </c>
    </row>
    <row r="1158" spans="4:12" x14ac:dyDescent="0.25">
      <c r="D1158" s="1">
        <v>42362</v>
      </c>
      <c r="E1158">
        <v>31829</v>
      </c>
      <c r="F1158" s="1">
        <v>42362</v>
      </c>
      <c r="G1158">
        <v>-4362.5</v>
      </c>
      <c r="H1158" s="1">
        <f t="shared" si="52"/>
        <v>42362</v>
      </c>
      <c r="I1158">
        <f>IF(AND(MyRowHidden(ROW())=FALSE,MyRowHidden(ROW()-1)=TRUE),0,(E1158-E1157)*unitsOfDHp+I1157)</f>
        <v>368290</v>
      </c>
      <c r="J1158">
        <f>IF(AND(MyRowHidden(ROW())=FALSE,MyRowHidden(ROW()-1)=TRUE),0,(G1158-G1157)*unitsOfExo+J1157)</f>
        <v>6375</v>
      </c>
      <c r="K1158" s="9">
        <f t="shared" si="53"/>
        <v>93625</v>
      </c>
      <c r="L1158">
        <f t="shared" si="54"/>
        <v>374665</v>
      </c>
    </row>
    <row r="1159" spans="4:12" x14ac:dyDescent="0.25">
      <c r="D1159" s="1">
        <v>42366</v>
      </c>
      <c r="E1159">
        <v>31756</v>
      </c>
      <c r="F1159" s="1">
        <v>42366</v>
      </c>
      <c r="G1159">
        <v>-4550</v>
      </c>
      <c r="H1159" s="1">
        <f t="shared" si="52"/>
        <v>42366</v>
      </c>
      <c r="I1159">
        <f>IF(AND(MyRowHidden(ROW())=FALSE,MyRowHidden(ROW()-1)=TRUE),0,(E1159-E1158)*unitsOfDHp+I1158)</f>
        <v>367560</v>
      </c>
      <c r="J1159">
        <f>IF(AND(MyRowHidden(ROW())=FALSE,MyRowHidden(ROW()-1)=TRUE),0,(G1159-G1158)*unitsOfExo+J1158)</f>
        <v>4500</v>
      </c>
      <c r="K1159" s="9">
        <f t="shared" si="53"/>
        <v>95500</v>
      </c>
      <c r="L1159">
        <f t="shared" si="54"/>
        <v>372060</v>
      </c>
    </row>
    <row r="1160" spans="4:12" x14ac:dyDescent="0.25">
      <c r="D1160" s="1">
        <v>42367</v>
      </c>
      <c r="E1160">
        <v>31782</v>
      </c>
      <c r="F1160" s="1">
        <v>42367</v>
      </c>
      <c r="G1160">
        <v>-4500</v>
      </c>
      <c r="H1160" s="1">
        <f t="shared" si="52"/>
        <v>42367</v>
      </c>
      <c r="I1160">
        <f>IF(AND(MyRowHidden(ROW())=FALSE,MyRowHidden(ROW()-1)=TRUE),0,(E1160-E1159)*unitsOfDHp+I1159)</f>
        <v>367820</v>
      </c>
      <c r="J1160">
        <f>IF(AND(MyRowHidden(ROW())=FALSE,MyRowHidden(ROW()-1)=TRUE),0,(G1160-G1159)*unitsOfExo+J1159)</f>
        <v>5000</v>
      </c>
      <c r="K1160" s="9">
        <f t="shared" si="53"/>
        <v>95000</v>
      </c>
      <c r="L1160">
        <f t="shared" si="54"/>
        <v>372820</v>
      </c>
    </row>
    <row r="1161" spans="4:12" x14ac:dyDescent="0.25">
      <c r="D1161" s="1">
        <v>42368</v>
      </c>
      <c r="E1161">
        <v>31635</v>
      </c>
      <c r="F1161" s="1">
        <v>42368</v>
      </c>
      <c r="G1161">
        <v>-4625</v>
      </c>
      <c r="H1161" s="1">
        <f t="shared" si="52"/>
        <v>42368</v>
      </c>
      <c r="I1161">
        <f>IF(AND(MyRowHidden(ROW())=FALSE,MyRowHidden(ROW()-1)=TRUE),0,(E1161-E1160)*unitsOfDHp+I1160)</f>
        <v>366350</v>
      </c>
      <c r="J1161">
        <f>IF(AND(MyRowHidden(ROW())=FALSE,MyRowHidden(ROW()-1)=TRUE),0,(G1161-G1160)*unitsOfExo+J1160)</f>
        <v>3750</v>
      </c>
      <c r="K1161" s="9">
        <f t="shared" si="53"/>
        <v>96250</v>
      </c>
      <c r="L1161">
        <f t="shared" si="54"/>
        <v>370100</v>
      </c>
    </row>
    <row r="1162" spans="4:12" x14ac:dyDescent="0.25">
      <c r="D1162" s="1">
        <v>42369</v>
      </c>
      <c r="E1162">
        <v>31612</v>
      </c>
      <c r="F1162" s="1">
        <v>42369</v>
      </c>
      <c r="G1162">
        <v>-4662.5</v>
      </c>
      <c r="H1162" s="1">
        <f t="shared" si="52"/>
        <v>42369</v>
      </c>
      <c r="I1162">
        <f>IF(AND(MyRowHidden(ROW())=FALSE,MyRowHidden(ROW()-1)=TRUE),0,(E1162-E1161)*unitsOfDHp+I1161)</f>
        <v>366120</v>
      </c>
      <c r="J1162">
        <f>IF(AND(MyRowHidden(ROW())=FALSE,MyRowHidden(ROW()-1)=TRUE),0,(G1162-G1161)*unitsOfExo+J1161)</f>
        <v>3375</v>
      </c>
      <c r="K1162" s="9">
        <f t="shared" si="53"/>
        <v>96625</v>
      </c>
      <c r="L1162">
        <f t="shared" si="54"/>
        <v>369495</v>
      </c>
    </row>
    <row r="1163" spans="4:12" x14ac:dyDescent="0.25">
      <c r="D1163" s="1">
        <v>42373</v>
      </c>
      <c r="E1163">
        <v>31370</v>
      </c>
      <c r="F1163" s="1">
        <v>42373</v>
      </c>
      <c r="G1163">
        <v>-5000</v>
      </c>
      <c r="H1163" s="1">
        <f t="shared" si="52"/>
        <v>42373</v>
      </c>
      <c r="I1163">
        <f>IF(AND(MyRowHidden(ROW())=FALSE,MyRowHidden(ROW()-1)=TRUE),0,(E1163-E1162)*unitsOfDHp+I1162)</f>
        <v>363700</v>
      </c>
      <c r="J1163">
        <f>IF(AND(MyRowHidden(ROW())=FALSE,MyRowHidden(ROW()-1)=TRUE),0,(G1163-G1162)*unitsOfExo+J1162)</f>
        <v>0</v>
      </c>
      <c r="K1163" s="9">
        <f t="shared" si="53"/>
        <v>100000</v>
      </c>
      <c r="L1163">
        <f t="shared" si="54"/>
        <v>363700</v>
      </c>
    </row>
    <row r="1164" spans="4:12" x14ac:dyDescent="0.25">
      <c r="D1164" s="1">
        <v>42374</v>
      </c>
      <c r="E1164">
        <v>31320</v>
      </c>
      <c r="F1164" s="1">
        <v>42374</v>
      </c>
      <c r="G1164">
        <v>-4925</v>
      </c>
      <c r="H1164" s="1">
        <f t="shared" si="52"/>
        <v>42374</v>
      </c>
      <c r="I1164">
        <f>IF(AND(MyRowHidden(ROW())=FALSE,MyRowHidden(ROW()-1)=TRUE),0,(E1164-E1163)*unitsOfDHp+I1163)</f>
        <v>363200</v>
      </c>
      <c r="J1164">
        <f>IF(AND(MyRowHidden(ROW())=FALSE,MyRowHidden(ROW()-1)=TRUE),0,(G1164-G1163)*unitsOfExo+J1163)</f>
        <v>750</v>
      </c>
      <c r="K1164" s="9">
        <f t="shared" si="53"/>
        <v>99250</v>
      </c>
      <c r="L1164">
        <f t="shared" si="54"/>
        <v>363950</v>
      </c>
    </row>
    <row r="1165" spans="4:12" x14ac:dyDescent="0.25">
      <c r="D1165" s="1">
        <v>42375</v>
      </c>
      <c r="E1165">
        <v>31383</v>
      </c>
      <c r="F1165" s="1">
        <v>42375</v>
      </c>
      <c r="G1165">
        <v>-4875</v>
      </c>
      <c r="H1165" s="1">
        <f t="shared" ref="H1165:H1228" si="55">D1165</f>
        <v>42375</v>
      </c>
      <c r="I1165">
        <f>IF(AND(MyRowHidden(ROW())=FALSE,MyRowHidden(ROW()-1)=TRUE),0,(E1165-E1164)*unitsOfDHp+I1164)</f>
        <v>363830</v>
      </c>
      <c r="J1165">
        <f>IF(AND(MyRowHidden(ROW())=FALSE,MyRowHidden(ROW()-1)=TRUE),0,(G1165-G1164)*unitsOfExo+J1164)</f>
        <v>1250</v>
      </c>
      <c r="K1165" s="9">
        <f t="shared" ref="K1165:K1228" si="56">-(J1165-J1164)+K1164</f>
        <v>98750</v>
      </c>
      <c r="L1165">
        <f t="shared" ref="L1165:L1228" si="57">I1165+J1165</f>
        <v>365080</v>
      </c>
    </row>
    <row r="1166" spans="4:12" x14ac:dyDescent="0.25">
      <c r="D1166" s="1">
        <v>42376</v>
      </c>
      <c r="E1166">
        <v>31300</v>
      </c>
      <c r="F1166" s="1">
        <v>42376</v>
      </c>
      <c r="G1166">
        <v>-4962.5</v>
      </c>
      <c r="H1166" s="1">
        <f t="shared" si="55"/>
        <v>42376</v>
      </c>
      <c r="I1166">
        <f>IF(AND(MyRowHidden(ROW())=FALSE,MyRowHidden(ROW()-1)=TRUE),0,(E1166-E1165)*unitsOfDHp+I1165)</f>
        <v>363000</v>
      </c>
      <c r="J1166">
        <f>IF(AND(MyRowHidden(ROW())=FALSE,MyRowHidden(ROW()-1)=TRUE),0,(G1166-G1165)*unitsOfExo+J1165)</f>
        <v>375</v>
      </c>
      <c r="K1166" s="9">
        <f t="shared" si="56"/>
        <v>99625</v>
      </c>
      <c r="L1166">
        <f t="shared" si="57"/>
        <v>363375</v>
      </c>
    </row>
    <row r="1167" spans="4:12" x14ac:dyDescent="0.25">
      <c r="D1167" s="1">
        <v>42377</v>
      </c>
      <c r="E1167">
        <v>31244</v>
      </c>
      <c r="F1167" s="1">
        <v>42377</v>
      </c>
      <c r="G1167">
        <v>-4762.5</v>
      </c>
      <c r="H1167" s="1">
        <f t="shared" si="55"/>
        <v>42377</v>
      </c>
      <c r="I1167">
        <f>IF(AND(MyRowHidden(ROW())=FALSE,MyRowHidden(ROW()-1)=TRUE),0,(E1167-E1166)*unitsOfDHp+I1166)</f>
        <v>362440</v>
      </c>
      <c r="J1167">
        <f>IF(AND(MyRowHidden(ROW())=FALSE,MyRowHidden(ROW()-1)=TRUE),0,(G1167-G1166)*unitsOfExo+J1166)</f>
        <v>2375</v>
      </c>
      <c r="K1167" s="9">
        <f t="shared" si="56"/>
        <v>97625</v>
      </c>
      <c r="L1167">
        <f t="shared" si="57"/>
        <v>364815</v>
      </c>
    </row>
    <row r="1168" spans="4:12" x14ac:dyDescent="0.25">
      <c r="D1168" s="1">
        <v>42380</v>
      </c>
      <c r="E1168">
        <v>30871</v>
      </c>
      <c r="F1168" s="1">
        <v>42380</v>
      </c>
      <c r="G1168">
        <v>-5037.5</v>
      </c>
      <c r="H1168" s="1">
        <f t="shared" si="55"/>
        <v>42380</v>
      </c>
      <c r="I1168">
        <f>IF(AND(MyRowHidden(ROW())=FALSE,MyRowHidden(ROW()-1)=TRUE),0,(E1168-E1167)*unitsOfDHp+I1167)</f>
        <v>358710</v>
      </c>
      <c r="J1168">
        <f>IF(AND(MyRowHidden(ROW())=FALSE,MyRowHidden(ROW()-1)=TRUE),0,(G1168-G1167)*unitsOfExo+J1167)</f>
        <v>-375</v>
      </c>
      <c r="K1168" s="9">
        <f t="shared" si="56"/>
        <v>100375</v>
      </c>
      <c r="L1168">
        <f t="shared" si="57"/>
        <v>358335</v>
      </c>
    </row>
    <row r="1169" spans="4:12" x14ac:dyDescent="0.25">
      <c r="D1169" s="1">
        <v>42381</v>
      </c>
      <c r="E1169">
        <v>31486</v>
      </c>
      <c r="F1169" s="1">
        <v>42381</v>
      </c>
      <c r="G1169">
        <v>-4687.5</v>
      </c>
      <c r="H1169" s="1">
        <f t="shared" si="55"/>
        <v>42381</v>
      </c>
      <c r="I1169">
        <f>IF(AND(MyRowHidden(ROW())=FALSE,MyRowHidden(ROW()-1)=TRUE),0,(E1169-E1168)*unitsOfDHp+I1168)</f>
        <v>364860</v>
      </c>
      <c r="J1169">
        <f>IF(AND(MyRowHidden(ROW())=FALSE,MyRowHidden(ROW()-1)=TRUE),0,(G1169-G1168)*unitsOfExo+J1168)</f>
        <v>3125</v>
      </c>
      <c r="K1169" s="9">
        <f t="shared" si="56"/>
        <v>96875</v>
      </c>
      <c r="L1169">
        <f t="shared" si="57"/>
        <v>367985</v>
      </c>
    </row>
    <row r="1170" spans="4:12" x14ac:dyDescent="0.25">
      <c r="D1170" s="1">
        <v>42382</v>
      </c>
      <c r="E1170">
        <v>31655</v>
      </c>
      <c r="F1170" s="1">
        <v>42382</v>
      </c>
      <c r="G1170">
        <v>-4650</v>
      </c>
      <c r="H1170" s="1">
        <f t="shared" si="55"/>
        <v>42382</v>
      </c>
      <c r="I1170">
        <f>IF(AND(MyRowHidden(ROW())=FALSE,MyRowHidden(ROW()-1)=TRUE),0,(E1170-E1169)*unitsOfDHp+I1169)</f>
        <v>366550</v>
      </c>
      <c r="J1170">
        <f>IF(AND(MyRowHidden(ROW())=FALSE,MyRowHidden(ROW()-1)=TRUE),0,(G1170-G1169)*unitsOfExo+J1169)</f>
        <v>3500</v>
      </c>
      <c r="K1170" s="9">
        <f t="shared" si="56"/>
        <v>96500</v>
      </c>
      <c r="L1170">
        <f t="shared" si="57"/>
        <v>370050</v>
      </c>
    </row>
    <row r="1171" spans="4:12" x14ac:dyDescent="0.25">
      <c r="D1171" s="1">
        <v>42383</v>
      </c>
      <c r="E1171">
        <v>31713</v>
      </c>
      <c r="F1171" s="1">
        <v>42383</v>
      </c>
      <c r="G1171">
        <v>-4650</v>
      </c>
      <c r="H1171" s="1">
        <f t="shared" si="55"/>
        <v>42383</v>
      </c>
      <c r="I1171">
        <f>IF(AND(MyRowHidden(ROW())=FALSE,MyRowHidden(ROW()-1)=TRUE),0,(E1171-E1170)*unitsOfDHp+I1170)</f>
        <v>367130</v>
      </c>
      <c r="J1171">
        <f>IF(AND(MyRowHidden(ROW())=FALSE,MyRowHidden(ROW()-1)=TRUE),0,(G1171-G1170)*unitsOfExo+J1170)</f>
        <v>3500</v>
      </c>
      <c r="K1171" s="9">
        <f t="shared" si="56"/>
        <v>96500</v>
      </c>
      <c r="L1171">
        <f t="shared" si="57"/>
        <v>370630</v>
      </c>
    </row>
    <row r="1172" spans="4:12" x14ac:dyDescent="0.25">
      <c r="D1172" s="1">
        <v>42384</v>
      </c>
      <c r="E1172">
        <v>31792</v>
      </c>
      <c r="F1172" s="1">
        <v>42384</v>
      </c>
      <c r="G1172">
        <v>-4475</v>
      </c>
      <c r="H1172" s="1">
        <f t="shared" si="55"/>
        <v>42384</v>
      </c>
      <c r="I1172">
        <f>IF(AND(MyRowHidden(ROW())=FALSE,MyRowHidden(ROW()-1)=TRUE),0,(E1172-E1171)*unitsOfDHp+I1171)</f>
        <v>367920</v>
      </c>
      <c r="J1172">
        <f>IF(AND(MyRowHidden(ROW())=FALSE,MyRowHidden(ROW()-1)=TRUE),0,(G1172-G1171)*unitsOfExo+J1171)</f>
        <v>5250</v>
      </c>
      <c r="K1172" s="9">
        <f t="shared" si="56"/>
        <v>94750</v>
      </c>
      <c r="L1172">
        <f t="shared" si="57"/>
        <v>373170</v>
      </c>
    </row>
    <row r="1173" spans="4:12" x14ac:dyDescent="0.25">
      <c r="D1173" s="1">
        <v>42388</v>
      </c>
      <c r="E1173">
        <v>31728</v>
      </c>
      <c r="F1173" s="1">
        <v>42388</v>
      </c>
      <c r="G1173">
        <v>-4162.5</v>
      </c>
      <c r="H1173" s="1">
        <f t="shared" si="55"/>
        <v>42388</v>
      </c>
      <c r="I1173">
        <f>IF(AND(MyRowHidden(ROW())=FALSE,MyRowHidden(ROW()-1)=TRUE),0,(E1173-E1172)*unitsOfDHp+I1172)</f>
        <v>367280</v>
      </c>
      <c r="J1173">
        <f>IF(AND(MyRowHidden(ROW())=FALSE,MyRowHidden(ROW()-1)=TRUE),0,(G1173-G1172)*unitsOfExo+J1172)</f>
        <v>8375</v>
      </c>
      <c r="K1173" s="9">
        <f t="shared" si="56"/>
        <v>91625</v>
      </c>
      <c r="L1173">
        <f t="shared" si="57"/>
        <v>375655</v>
      </c>
    </row>
    <row r="1174" spans="4:12" x14ac:dyDescent="0.25">
      <c r="D1174" s="1">
        <v>42389</v>
      </c>
      <c r="E1174">
        <v>31705</v>
      </c>
      <c r="F1174" s="1">
        <v>42389</v>
      </c>
      <c r="G1174">
        <v>-4187.5</v>
      </c>
      <c r="H1174" s="1">
        <f t="shared" si="55"/>
        <v>42389</v>
      </c>
      <c r="I1174">
        <f>IF(AND(MyRowHidden(ROW())=FALSE,MyRowHidden(ROW()-1)=TRUE),0,(E1174-E1173)*unitsOfDHp+I1173)</f>
        <v>367050</v>
      </c>
      <c r="J1174">
        <f>IF(AND(MyRowHidden(ROW())=FALSE,MyRowHidden(ROW()-1)=TRUE),0,(G1174-G1173)*unitsOfExo+J1173)</f>
        <v>8125</v>
      </c>
      <c r="K1174" s="9">
        <f t="shared" si="56"/>
        <v>91875</v>
      </c>
      <c r="L1174">
        <f t="shared" si="57"/>
        <v>375175</v>
      </c>
    </row>
    <row r="1175" spans="4:12" x14ac:dyDescent="0.25">
      <c r="D1175" s="1">
        <v>42390</v>
      </c>
      <c r="E1175">
        <v>31823</v>
      </c>
      <c r="F1175" s="1">
        <v>42390</v>
      </c>
      <c r="G1175">
        <v>-4212.5</v>
      </c>
      <c r="H1175" s="1">
        <f t="shared" si="55"/>
        <v>42390</v>
      </c>
      <c r="I1175">
        <f>IF(AND(MyRowHidden(ROW())=FALSE,MyRowHidden(ROW()-1)=TRUE),0,(E1175-E1174)*unitsOfDHp+I1174)</f>
        <v>368230</v>
      </c>
      <c r="J1175">
        <f>IF(AND(MyRowHidden(ROW())=FALSE,MyRowHidden(ROW()-1)=TRUE),0,(G1175-G1174)*unitsOfExo+J1174)</f>
        <v>7875</v>
      </c>
      <c r="K1175" s="9">
        <f t="shared" si="56"/>
        <v>92125</v>
      </c>
      <c r="L1175">
        <f t="shared" si="57"/>
        <v>376105</v>
      </c>
    </row>
    <row r="1176" spans="4:12" x14ac:dyDescent="0.25">
      <c r="D1176" s="1">
        <v>42391</v>
      </c>
      <c r="E1176">
        <v>31836</v>
      </c>
      <c r="F1176" s="1">
        <v>42391</v>
      </c>
      <c r="G1176">
        <v>-4100</v>
      </c>
      <c r="H1176" s="1">
        <f t="shared" si="55"/>
        <v>42391</v>
      </c>
      <c r="I1176">
        <f>IF(AND(MyRowHidden(ROW())=FALSE,MyRowHidden(ROW()-1)=TRUE),0,(E1176-E1175)*unitsOfDHp+I1175)</f>
        <v>368360</v>
      </c>
      <c r="J1176">
        <f>IF(AND(MyRowHidden(ROW())=FALSE,MyRowHidden(ROW()-1)=TRUE),0,(G1176-G1175)*unitsOfExo+J1175)</f>
        <v>9000</v>
      </c>
      <c r="K1176" s="9">
        <f t="shared" si="56"/>
        <v>91000</v>
      </c>
      <c r="L1176">
        <f t="shared" si="57"/>
        <v>377360</v>
      </c>
    </row>
    <row r="1177" spans="4:12" x14ac:dyDescent="0.25">
      <c r="D1177" s="1">
        <v>42394</v>
      </c>
      <c r="E1177">
        <v>31904</v>
      </c>
      <c r="F1177" s="1">
        <v>42394</v>
      </c>
      <c r="G1177">
        <v>-4112.5</v>
      </c>
      <c r="H1177" s="1">
        <f t="shared" si="55"/>
        <v>42394</v>
      </c>
      <c r="I1177">
        <f>IF(AND(MyRowHidden(ROW())=FALSE,MyRowHidden(ROW()-1)=TRUE),0,(E1177-E1176)*unitsOfDHp+I1176)</f>
        <v>369040</v>
      </c>
      <c r="J1177">
        <f>IF(AND(MyRowHidden(ROW())=FALSE,MyRowHidden(ROW()-1)=TRUE),0,(G1177-G1176)*unitsOfExo+J1176)</f>
        <v>8875</v>
      </c>
      <c r="K1177" s="9">
        <f t="shared" si="56"/>
        <v>91125</v>
      </c>
      <c r="L1177">
        <f t="shared" si="57"/>
        <v>377915</v>
      </c>
    </row>
    <row r="1178" spans="4:12" x14ac:dyDescent="0.25">
      <c r="D1178" s="1">
        <v>42395</v>
      </c>
      <c r="E1178">
        <v>31988</v>
      </c>
      <c r="F1178" s="1">
        <v>42395</v>
      </c>
      <c r="G1178">
        <v>-4137.5</v>
      </c>
      <c r="H1178" s="1">
        <f t="shared" si="55"/>
        <v>42395</v>
      </c>
      <c r="I1178">
        <f>IF(AND(MyRowHidden(ROW())=FALSE,MyRowHidden(ROW()-1)=TRUE),0,(E1178-E1177)*unitsOfDHp+I1177)</f>
        <v>369880</v>
      </c>
      <c r="J1178">
        <f>IF(AND(MyRowHidden(ROW())=FALSE,MyRowHidden(ROW()-1)=TRUE),0,(G1178-G1177)*unitsOfExo+J1177)</f>
        <v>8625</v>
      </c>
      <c r="K1178" s="9">
        <f t="shared" si="56"/>
        <v>91375</v>
      </c>
      <c r="L1178">
        <f t="shared" si="57"/>
        <v>378505</v>
      </c>
    </row>
    <row r="1179" spans="4:12" x14ac:dyDescent="0.25">
      <c r="D1179" s="1">
        <v>42396</v>
      </c>
      <c r="E1179">
        <v>31897</v>
      </c>
      <c r="F1179" s="1">
        <v>42396</v>
      </c>
      <c r="G1179">
        <v>-4087.5</v>
      </c>
      <c r="H1179" s="1">
        <f t="shared" si="55"/>
        <v>42396</v>
      </c>
      <c r="I1179">
        <f>IF(AND(MyRowHidden(ROW())=FALSE,MyRowHidden(ROW()-1)=TRUE),0,(E1179-E1178)*unitsOfDHp+I1178)</f>
        <v>368970</v>
      </c>
      <c r="J1179">
        <f>IF(AND(MyRowHidden(ROW())=FALSE,MyRowHidden(ROW()-1)=TRUE),0,(G1179-G1178)*unitsOfExo+J1178)</f>
        <v>9125</v>
      </c>
      <c r="K1179" s="9">
        <f t="shared" si="56"/>
        <v>90875</v>
      </c>
      <c r="L1179">
        <f t="shared" si="57"/>
        <v>378095</v>
      </c>
    </row>
    <row r="1180" spans="4:12" x14ac:dyDescent="0.25">
      <c r="D1180" s="1">
        <v>42397</v>
      </c>
      <c r="E1180">
        <v>32219</v>
      </c>
      <c r="F1180" s="1">
        <v>42397</v>
      </c>
      <c r="G1180">
        <v>-4287.5</v>
      </c>
      <c r="H1180" s="1">
        <f t="shared" si="55"/>
        <v>42397</v>
      </c>
      <c r="I1180">
        <f>IF(AND(MyRowHidden(ROW())=FALSE,MyRowHidden(ROW()-1)=TRUE),0,(E1180-E1179)*unitsOfDHp+I1179)</f>
        <v>372190</v>
      </c>
      <c r="J1180">
        <f>IF(AND(MyRowHidden(ROW())=FALSE,MyRowHidden(ROW()-1)=TRUE),0,(G1180-G1179)*unitsOfExo+J1179)</f>
        <v>7125</v>
      </c>
      <c r="K1180" s="9">
        <f t="shared" si="56"/>
        <v>92875</v>
      </c>
      <c r="L1180">
        <f t="shared" si="57"/>
        <v>379315</v>
      </c>
    </row>
    <row r="1181" spans="4:12" x14ac:dyDescent="0.25">
      <c r="D1181" s="1">
        <v>42398</v>
      </c>
      <c r="E1181">
        <v>31735</v>
      </c>
      <c r="F1181" s="1">
        <v>42398</v>
      </c>
      <c r="G1181">
        <v>-4050</v>
      </c>
      <c r="H1181" s="1">
        <f t="shared" si="55"/>
        <v>42398</v>
      </c>
      <c r="I1181">
        <f>IF(AND(MyRowHidden(ROW())=FALSE,MyRowHidden(ROW()-1)=TRUE),0,(E1181-E1180)*unitsOfDHp+I1180)</f>
        <v>367350</v>
      </c>
      <c r="J1181">
        <f>IF(AND(MyRowHidden(ROW())=FALSE,MyRowHidden(ROW()-1)=TRUE),0,(G1181-G1180)*unitsOfExo+J1180)</f>
        <v>9500</v>
      </c>
      <c r="K1181" s="9">
        <f t="shared" si="56"/>
        <v>90500</v>
      </c>
      <c r="L1181">
        <f t="shared" si="57"/>
        <v>376850</v>
      </c>
    </row>
    <row r="1182" spans="4:12" x14ac:dyDescent="0.25">
      <c r="D1182" s="1">
        <v>42401</v>
      </c>
      <c r="E1182">
        <v>31723</v>
      </c>
      <c r="F1182" s="1">
        <v>42401</v>
      </c>
      <c r="G1182">
        <v>-4075</v>
      </c>
      <c r="H1182" s="1">
        <f t="shared" si="55"/>
        <v>42401</v>
      </c>
      <c r="I1182">
        <f>IF(AND(MyRowHidden(ROW())=FALSE,MyRowHidden(ROW()-1)=TRUE),0,(E1182-E1181)*unitsOfDHp+I1181)</f>
        <v>367230</v>
      </c>
      <c r="J1182">
        <f>IF(AND(MyRowHidden(ROW())=FALSE,MyRowHidden(ROW()-1)=TRUE),0,(G1182-G1181)*unitsOfExo+J1181)</f>
        <v>9250</v>
      </c>
      <c r="K1182" s="9">
        <f t="shared" si="56"/>
        <v>90750</v>
      </c>
      <c r="L1182">
        <f t="shared" si="57"/>
        <v>376480</v>
      </c>
    </row>
    <row r="1183" spans="4:12" x14ac:dyDescent="0.25">
      <c r="D1183" s="1">
        <v>42402</v>
      </c>
      <c r="E1183">
        <v>31455</v>
      </c>
      <c r="F1183" s="1">
        <v>42402</v>
      </c>
      <c r="G1183">
        <v>-4000</v>
      </c>
      <c r="H1183" s="1">
        <f t="shared" si="55"/>
        <v>42402</v>
      </c>
      <c r="I1183">
        <f>IF(AND(MyRowHidden(ROW())=FALSE,MyRowHidden(ROW()-1)=TRUE),0,(E1183-E1182)*unitsOfDHp+I1182)</f>
        <v>364550</v>
      </c>
      <c r="J1183">
        <f>IF(AND(MyRowHidden(ROW())=FALSE,MyRowHidden(ROW()-1)=TRUE),0,(G1183-G1182)*unitsOfExo+J1182)</f>
        <v>10000</v>
      </c>
      <c r="K1183" s="9">
        <f t="shared" si="56"/>
        <v>90000</v>
      </c>
      <c r="L1183">
        <f t="shared" si="57"/>
        <v>374550</v>
      </c>
    </row>
    <row r="1184" spans="4:12" x14ac:dyDescent="0.25">
      <c r="D1184" s="1">
        <v>42403</v>
      </c>
      <c r="E1184">
        <v>31526</v>
      </c>
      <c r="F1184" s="1">
        <v>42403</v>
      </c>
      <c r="G1184">
        <v>-4062.5</v>
      </c>
      <c r="H1184" s="1">
        <f t="shared" si="55"/>
        <v>42403</v>
      </c>
      <c r="I1184">
        <f>IF(AND(MyRowHidden(ROW())=FALSE,MyRowHidden(ROW()-1)=TRUE),0,(E1184-E1183)*unitsOfDHp+I1183)</f>
        <v>365260</v>
      </c>
      <c r="J1184">
        <f>IF(AND(MyRowHidden(ROW())=FALSE,MyRowHidden(ROW()-1)=TRUE),0,(G1184-G1183)*unitsOfExo+J1183)</f>
        <v>9375</v>
      </c>
      <c r="K1184" s="9">
        <f t="shared" si="56"/>
        <v>90625</v>
      </c>
      <c r="L1184">
        <f t="shared" si="57"/>
        <v>374635</v>
      </c>
    </row>
    <row r="1185" spans="4:12" x14ac:dyDescent="0.25">
      <c r="D1185" s="1">
        <v>42404</v>
      </c>
      <c r="E1185">
        <v>31731</v>
      </c>
      <c r="F1185" s="1">
        <v>42404</v>
      </c>
      <c r="G1185">
        <v>-4150</v>
      </c>
      <c r="H1185" s="1">
        <f t="shared" si="55"/>
        <v>42404</v>
      </c>
      <c r="I1185">
        <f>IF(AND(MyRowHidden(ROW())=FALSE,MyRowHidden(ROW()-1)=TRUE),0,(E1185-E1184)*unitsOfDHp+I1184)</f>
        <v>367310</v>
      </c>
      <c r="J1185">
        <f>IF(AND(MyRowHidden(ROW())=FALSE,MyRowHidden(ROW()-1)=TRUE),0,(G1185-G1184)*unitsOfExo+J1184)</f>
        <v>8500</v>
      </c>
      <c r="K1185" s="9">
        <f t="shared" si="56"/>
        <v>91500</v>
      </c>
      <c r="L1185">
        <f t="shared" si="57"/>
        <v>375810</v>
      </c>
    </row>
    <row r="1186" spans="4:12" x14ac:dyDescent="0.25">
      <c r="D1186" s="1">
        <v>42405</v>
      </c>
      <c r="E1186">
        <v>31920</v>
      </c>
      <c r="F1186" s="1">
        <v>42405</v>
      </c>
      <c r="G1186">
        <v>-4275</v>
      </c>
      <c r="H1186" s="1">
        <f t="shared" si="55"/>
        <v>42405</v>
      </c>
      <c r="I1186">
        <f>IF(AND(MyRowHidden(ROW())=FALSE,MyRowHidden(ROW()-1)=TRUE),0,(E1186-E1185)*unitsOfDHp+I1185)</f>
        <v>369200</v>
      </c>
      <c r="J1186">
        <f>IF(AND(MyRowHidden(ROW())=FALSE,MyRowHidden(ROW()-1)=TRUE),0,(G1186-G1185)*unitsOfExo+J1185)</f>
        <v>7250</v>
      </c>
      <c r="K1186" s="9">
        <f t="shared" si="56"/>
        <v>92750</v>
      </c>
      <c r="L1186">
        <f t="shared" si="57"/>
        <v>376450</v>
      </c>
    </row>
    <row r="1187" spans="4:12" x14ac:dyDescent="0.25">
      <c r="D1187" s="1">
        <v>42408</v>
      </c>
      <c r="E1187">
        <v>32250</v>
      </c>
      <c r="F1187" s="1">
        <v>42408</v>
      </c>
      <c r="G1187">
        <v>-4512.5</v>
      </c>
      <c r="H1187" s="1">
        <f t="shared" si="55"/>
        <v>42408</v>
      </c>
      <c r="I1187">
        <f>IF(AND(MyRowHidden(ROW())=FALSE,MyRowHidden(ROW()-1)=TRUE),0,(E1187-E1186)*unitsOfDHp+I1186)</f>
        <v>372500</v>
      </c>
      <c r="J1187">
        <f>IF(AND(MyRowHidden(ROW())=FALSE,MyRowHidden(ROW()-1)=TRUE),0,(G1187-G1186)*unitsOfExo+J1186)</f>
        <v>4875</v>
      </c>
      <c r="K1187" s="9">
        <f t="shared" si="56"/>
        <v>95125</v>
      </c>
      <c r="L1187">
        <f t="shared" si="57"/>
        <v>377375</v>
      </c>
    </row>
    <row r="1188" spans="4:12" x14ac:dyDescent="0.25">
      <c r="D1188" s="1">
        <v>42409</v>
      </c>
      <c r="E1188">
        <v>32300</v>
      </c>
      <c r="F1188" s="1">
        <v>42409</v>
      </c>
      <c r="G1188">
        <v>-4562.5</v>
      </c>
      <c r="H1188" s="1">
        <f t="shared" si="55"/>
        <v>42409</v>
      </c>
      <c r="I1188">
        <f>IF(AND(MyRowHidden(ROW())=FALSE,MyRowHidden(ROW()-1)=TRUE),0,(E1188-E1187)*unitsOfDHp+I1187)</f>
        <v>373000</v>
      </c>
      <c r="J1188">
        <f>IF(AND(MyRowHidden(ROW())=FALSE,MyRowHidden(ROW()-1)=TRUE),0,(G1188-G1187)*unitsOfExo+J1187)</f>
        <v>4375</v>
      </c>
      <c r="K1188" s="9">
        <f t="shared" si="56"/>
        <v>95625</v>
      </c>
      <c r="L1188">
        <f t="shared" si="57"/>
        <v>377375</v>
      </c>
    </row>
    <row r="1189" spans="4:12" x14ac:dyDescent="0.25">
      <c r="D1189" s="1">
        <v>42410</v>
      </c>
      <c r="E1189">
        <v>32310</v>
      </c>
      <c r="F1189" s="1">
        <v>42410</v>
      </c>
      <c r="G1189">
        <v>-4575</v>
      </c>
      <c r="H1189" s="1">
        <f t="shared" si="55"/>
        <v>42410</v>
      </c>
      <c r="I1189">
        <f>IF(AND(MyRowHidden(ROW())=FALSE,MyRowHidden(ROW()-1)=TRUE),0,(E1189-E1188)*unitsOfDHp+I1188)</f>
        <v>373100</v>
      </c>
      <c r="J1189">
        <f>IF(AND(MyRowHidden(ROW())=FALSE,MyRowHidden(ROW()-1)=TRUE),0,(G1189-G1188)*unitsOfExo+J1188)</f>
        <v>4250</v>
      </c>
      <c r="K1189" s="9">
        <f t="shared" si="56"/>
        <v>95750</v>
      </c>
      <c r="L1189">
        <f t="shared" si="57"/>
        <v>377350</v>
      </c>
    </row>
    <row r="1190" spans="4:12" x14ac:dyDescent="0.25">
      <c r="D1190" s="1">
        <v>42411</v>
      </c>
      <c r="E1190">
        <v>32329</v>
      </c>
      <c r="F1190" s="1">
        <v>42411</v>
      </c>
      <c r="G1190">
        <v>-4600</v>
      </c>
      <c r="H1190" s="1">
        <f t="shared" si="55"/>
        <v>42411</v>
      </c>
      <c r="I1190">
        <f>IF(AND(MyRowHidden(ROW())=FALSE,MyRowHidden(ROW()-1)=TRUE),0,(E1190-E1189)*unitsOfDHp+I1189)</f>
        <v>373290</v>
      </c>
      <c r="J1190">
        <f>IF(AND(MyRowHidden(ROW())=FALSE,MyRowHidden(ROW()-1)=TRUE),0,(G1190-G1189)*unitsOfExo+J1189)</f>
        <v>4000</v>
      </c>
      <c r="K1190" s="9">
        <f t="shared" si="56"/>
        <v>96000</v>
      </c>
      <c r="L1190">
        <f t="shared" si="57"/>
        <v>377290</v>
      </c>
    </row>
    <row r="1191" spans="4:12" x14ac:dyDescent="0.25">
      <c r="D1191" s="1">
        <v>42412</v>
      </c>
      <c r="E1191">
        <v>32383</v>
      </c>
      <c r="F1191" s="1">
        <v>42412</v>
      </c>
      <c r="G1191">
        <v>-4662.5</v>
      </c>
      <c r="H1191" s="1">
        <f t="shared" si="55"/>
        <v>42412</v>
      </c>
      <c r="I1191">
        <f>IF(AND(MyRowHidden(ROW())=FALSE,MyRowHidden(ROW()-1)=TRUE),0,(E1191-E1190)*unitsOfDHp+I1190)</f>
        <v>373830</v>
      </c>
      <c r="J1191">
        <f>IF(AND(MyRowHidden(ROW())=FALSE,MyRowHidden(ROW()-1)=TRUE),0,(G1191-G1190)*unitsOfExo+J1190)</f>
        <v>3375</v>
      </c>
      <c r="K1191" s="9">
        <f t="shared" si="56"/>
        <v>96625</v>
      </c>
      <c r="L1191">
        <f t="shared" si="57"/>
        <v>377205</v>
      </c>
    </row>
    <row r="1192" spans="4:12" x14ac:dyDescent="0.25">
      <c r="D1192" s="1">
        <v>42416</v>
      </c>
      <c r="E1192">
        <v>32266</v>
      </c>
      <c r="F1192" s="1">
        <v>42416</v>
      </c>
      <c r="G1192">
        <v>-4537.5</v>
      </c>
      <c r="H1192" s="1">
        <f t="shared" si="55"/>
        <v>42416</v>
      </c>
      <c r="I1192">
        <f>IF(AND(MyRowHidden(ROW())=FALSE,MyRowHidden(ROW()-1)=TRUE),0,(E1192-E1191)*unitsOfDHp+I1191)</f>
        <v>372660</v>
      </c>
      <c r="J1192">
        <f>IF(AND(MyRowHidden(ROW())=FALSE,MyRowHidden(ROW()-1)=TRUE),0,(G1192-G1191)*unitsOfExo+J1191)</f>
        <v>4625</v>
      </c>
      <c r="K1192" s="9">
        <f t="shared" si="56"/>
        <v>95375</v>
      </c>
      <c r="L1192">
        <f t="shared" si="57"/>
        <v>377285</v>
      </c>
    </row>
    <row r="1193" spans="4:12" x14ac:dyDescent="0.25">
      <c r="D1193" s="1">
        <v>42417</v>
      </c>
      <c r="E1193">
        <v>32407</v>
      </c>
      <c r="F1193" s="1">
        <v>42417</v>
      </c>
      <c r="G1193">
        <v>-4250</v>
      </c>
      <c r="H1193" s="1">
        <f t="shared" si="55"/>
        <v>42417</v>
      </c>
      <c r="I1193">
        <f>IF(AND(MyRowHidden(ROW())=FALSE,MyRowHidden(ROW()-1)=TRUE),0,(E1193-E1192)*unitsOfDHp+I1192)</f>
        <v>374070</v>
      </c>
      <c r="J1193">
        <f>IF(AND(MyRowHidden(ROW())=FALSE,MyRowHidden(ROW()-1)=TRUE),0,(G1193-G1192)*unitsOfExo+J1192)</f>
        <v>7500</v>
      </c>
      <c r="K1193" s="9">
        <f t="shared" si="56"/>
        <v>92500</v>
      </c>
      <c r="L1193">
        <f t="shared" si="57"/>
        <v>381570</v>
      </c>
    </row>
    <row r="1194" spans="4:12" x14ac:dyDescent="0.25">
      <c r="D1194" s="1">
        <v>42418</v>
      </c>
      <c r="E1194">
        <v>32341</v>
      </c>
      <c r="F1194" s="1">
        <v>42418</v>
      </c>
      <c r="G1194">
        <v>-4287.5</v>
      </c>
      <c r="H1194" s="1">
        <f t="shared" si="55"/>
        <v>42418</v>
      </c>
      <c r="I1194">
        <f>IF(AND(MyRowHidden(ROW())=FALSE,MyRowHidden(ROW()-1)=TRUE),0,(E1194-E1193)*unitsOfDHp+I1193)</f>
        <v>373410</v>
      </c>
      <c r="J1194">
        <f>IF(AND(MyRowHidden(ROW())=FALSE,MyRowHidden(ROW()-1)=TRUE),0,(G1194-G1193)*unitsOfExo+J1193)</f>
        <v>7125</v>
      </c>
      <c r="K1194" s="9">
        <f t="shared" si="56"/>
        <v>92875</v>
      </c>
      <c r="L1194">
        <f t="shared" si="57"/>
        <v>380535</v>
      </c>
    </row>
    <row r="1195" spans="4:12" x14ac:dyDescent="0.25">
      <c r="D1195" s="1">
        <v>42419</v>
      </c>
      <c r="E1195">
        <v>32246</v>
      </c>
      <c r="F1195" s="1">
        <v>42419</v>
      </c>
      <c r="G1195">
        <v>-4312.5</v>
      </c>
      <c r="H1195" s="1">
        <f t="shared" si="55"/>
        <v>42419</v>
      </c>
      <c r="I1195">
        <f>IF(AND(MyRowHidden(ROW())=FALSE,MyRowHidden(ROW()-1)=TRUE),0,(E1195-E1194)*unitsOfDHp+I1194)</f>
        <v>372460</v>
      </c>
      <c r="J1195">
        <f>IF(AND(MyRowHidden(ROW())=FALSE,MyRowHidden(ROW()-1)=TRUE),0,(G1195-G1194)*unitsOfExo+J1194)</f>
        <v>6875</v>
      </c>
      <c r="K1195" s="9">
        <f t="shared" si="56"/>
        <v>93125</v>
      </c>
      <c r="L1195">
        <f t="shared" si="57"/>
        <v>379335</v>
      </c>
    </row>
    <row r="1196" spans="4:12" x14ac:dyDescent="0.25">
      <c r="D1196" s="1">
        <v>42422</v>
      </c>
      <c r="E1196">
        <v>32253</v>
      </c>
      <c r="F1196" s="1">
        <v>42422</v>
      </c>
      <c r="G1196">
        <v>-4212.5</v>
      </c>
      <c r="H1196" s="1">
        <f t="shared" si="55"/>
        <v>42422</v>
      </c>
      <c r="I1196">
        <f>IF(AND(MyRowHidden(ROW())=FALSE,MyRowHidden(ROW()-1)=TRUE),0,(E1196-E1195)*unitsOfDHp+I1195)</f>
        <v>372530</v>
      </c>
      <c r="J1196">
        <f>IF(AND(MyRowHidden(ROW())=FALSE,MyRowHidden(ROW()-1)=TRUE),0,(G1196-G1195)*unitsOfExo+J1195)</f>
        <v>7875</v>
      </c>
      <c r="K1196" s="9">
        <f t="shared" si="56"/>
        <v>92125</v>
      </c>
      <c r="L1196">
        <f t="shared" si="57"/>
        <v>380405</v>
      </c>
    </row>
    <row r="1197" spans="4:12" x14ac:dyDescent="0.25">
      <c r="D1197" s="1">
        <v>42423</v>
      </c>
      <c r="E1197">
        <v>32616</v>
      </c>
      <c r="F1197" s="1">
        <v>42423</v>
      </c>
      <c r="G1197">
        <v>-4500</v>
      </c>
      <c r="H1197" s="1">
        <f t="shared" si="55"/>
        <v>42423</v>
      </c>
      <c r="I1197">
        <f>IF(AND(MyRowHidden(ROW())=FALSE,MyRowHidden(ROW()-1)=TRUE),0,(E1197-E1196)*unitsOfDHp+I1196)</f>
        <v>376160</v>
      </c>
      <c r="J1197">
        <f>IF(AND(MyRowHidden(ROW())=FALSE,MyRowHidden(ROW()-1)=TRUE),0,(G1197-G1196)*unitsOfExo+J1196)</f>
        <v>5000</v>
      </c>
      <c r="K1197" s="9">
        <f t="shared" si="56"/>
        <v>95000</v>
      </c>
      <c r="L1197">
        <f t="shared" si="57"/>
        <v>381160</v>
      </c>
    </row>
    <row r="1198" spans="4:12" x14ac:dyDescent="0.25">
      <c r="D1198" s="1">
        <v>42424</v>
      </c>
      <c r="E1198">
        <v>32642</v>
      </c>
      <c r="F1198" s="1">
        <v>42424</v>
      </c>
      <c r="G1198">
        <v>-4587.5</v>
      </c>
      <c r="H1198" s="1">
        <f t="shared" si="55"/>
        <v>42424</v>
      </c>
      <c r="I1198">
        <f>IF(AND(MyRowHidden(ROW())=FALSE,MyRowHidden(ROW()-1)=TRUE),0,(E1198-E1197)*unitsOfDHp+I1197)</f>
        <v>376420</v>
      </c>
      <c r="J1198">
        <f>IF(AND(MyRowHidden(ROW())=FALSE,MyRowHidden(ROW()-1)=TRUE),0,(G1198-G1197)*unitsOfExo+J1197)</f>
        <v>4125</v>
      </c>
      <c r="K1198" s="9">
        <f t="shared" si="56"/>
        <v>95875</v>
      </c>
      <c r="L1198">
        <f t="shared" si="57"/>
        <v>380545</v>
      </c>
    </row>
    <row r="1199" spans="4:12" x14ac:dyDescent="0.25">
      <c r="D1199" s="1">
        <v>42425</v>
      </c>
      <c r="E1199">
        <v>33004</v>
      </c>
      <c r="F1199" s="1">
        <v>42425</v>
      </c>
      <c r="G1199">
        <v>-4800</v>
      </c>
      <c r="H1199" s="1">
        <f t="shared" si="55"/>
        <v>42425</v>
      </c>
      <c r="I1199">
        <f>IF(AND(MyRowHidden(ROW())=FALSE,MyRowHidden(ROW()-1)=TRUE),0,(E1199-E1198)*unitsOfDHp+I1198)</f>
        <v>380040</v>
      </c>
      <c r="J1199">
        <f>IF(AND(MyRowHidden(ROW())=FALSE,MyRowHidden(ROW()-1)=TRUE),0,(G1199-G1198)*unitsOfExo+J1198)</f>
        <v>2000</v>
      </c>
      <c r="K1199" s="9">
        <f t="shared" si="56"/>
        <v>98000</v>
      </c>
      <c r="L1199">
        <f t="shared" si="57"/>
        <v>382040</v>
      </c>
    </row>
    <row r="1200" spans="4:12" x14ac:dyDescent="0.25">
      <c r="D1200" s="1">
        <v>42426</v>
      </c>
      <c r="E1200">
        <v>33148</v>
      </c>
      <c r="F1200" s="1">
        <v>42426</v>
      </c>
      <c r="G1200">
        <v>-4900</v>
      </c>
      <c r="H1200" s="1">
        <f t="shared" si="55"/>
        <v>42426</v>
      </c>
      <c r="I1200">
        <f>IF(AND(MyRowHidden(ROW())=FALSE,MyRowHidden(ROW()-1)=TRUE),0,(E1200-E1199)*unitsOfDHp+I1199)</f>
        <v>381480</v>
      </c>
      <c r="J1200">
        <f>IF(AND(MyRowHidden(ROW())=FALSE,MyRowHidden(ROW()-1)=TRUE),0,(G1200-G1199)*unitsOfExo+J1199)</f>
        <v>1000</v>
      </c>
      <c r="K1200" s="9">
        <f t="shared" si="56"/>
        <v>99000</v>
      </c>
      <c r="L1200">
        <f t="shared" si="57"/>
        <v>382480</v>
      </c>
    </row>
    <row r="1201" spans="4:12" x14ac:dyDescent="0.25">
      <c r="D1201" s="1">
        <v>42429</v>
      </c>
      <c r="E1201">
        <v>33161</v>
      </c>
      <c r="F1201" s="1">
        <v>42429</v>
      </c>
      <c r="G1201">
        <v>-4925</v>
      </c>
      <c r="H1201" s="1">
        <f t="shared" si="55"/>
        <v>42429</v>
      </c>
      <c r="I1201">
        <f>IF(AND(MyRowHidden(ROW())=FALSE,MyRowHidden(ROW()-1)=TRUE),0,(E1201-E1200)*unitsOfDHp+I1200)</f>
        <v>381610</v>
      </c>
      <c r="J1201">
        <f>IF(AND(MyRowHidden(ROW())=FALSE,MyRowHidden(ROW()-1)=TRUE),0,(G1201-G1200)*unitsOfExo+J1200)</f>
        <v>750</v>
      </c>
      <c r="K1201" s="9">
        <f t="shared" si="56"/>
        <v>99250</v>
      </c>
      <c r="L1201">
        <f t="shared" si="57"/>
        <v>382360</v>
      </c>
    </row>
    <row r="1202" spans="4:12" x14ac:dyDescent="0.25">
      <c r="D1202" s="1">
        <v>42430</v>
      </c>
      <c r="E1202">
        <v>33157</v>
      </c>
      <c r="F1202" s="1">
        <v>42430</v>
      </c>
      <c r="G1202">
        <v>-4850</v>
      </c>
      <c r="H1202" s="1">
        <f t="shared" si="55"/>
        <v>42430</v>
      </c>
      <c r="I1202">
        <f>IF(AND(MyRowHidden(ROW())=FALSE,MyRowHidden(ROW()-1)=TRUE),0,(E1202-E1201)*unitsOfDHp+I1201)</f>
        <v>381570</v>
      </c>
      <c r="J1202">
        <f>IF(AND(MyRowHidden(ROW())=FALSE,MyRowHidden(ROW()-1)=TRUE),0,(G1202-G1201)*unitsOfExo+J1201)</f>
        <v>1500</v>
      </c>
      <c r="K1202" s="9">
        <f t="shared" si="56"/>
        <v>98500</v>
      </c>
      <c r="L1202">
        <f t="shared" si="57"/>
        <v>383070</v>
      </c>
    </row>
    <row r="1203" spans="4:12" x14ac:dyDescent="0.25">
      <c r="D1203" s="1">
        <v>42431</v>
      </c>
      <c r="E1203">
        <v>33127</v>
      </c>
      <c r="F1203" s="1">
        <v>42431</v>
      </c>
      <c r="G1203">
        <v>-4887.5</v>
      </c>
      <c r="H1203" s="1">
        <f t="shared" si="55"/>
        <v>42431</v>
      </c>
      <c r="I1203">
        <f>IF(AND(MyRowHidden(ROW())=FALSE,MyRowHidden(ROW()-1)=TRUE),0,(E1203-E1202)*unitsOfDHp+I1202)</f>
        <v>381270</v>
      </c>
      <c r="J1203">
        <f>IF(AND(MyRowHidden(ROW())=FALSE,MyRowHidden(ROW()-1)=TRUE),0,(G1203-G1202)*unitsOfExo+J1202)</f>
        <v>1125</v>
      </c>
      <c r="K1203" s="9">
        <f t="shared" si="56"/>
        <v>98875</v>
      </c>
      <c r="L1203">
        <f t="shared" si="57"/>
        <v>382395</v>
      </c>
    </row>
    <row r="1204" spans="4:12" x14ac:dyDescent="0.25">
      <c r="D1204" s="1">
        <v>42432</v>
      </c>
      <c r="E1204">
        <v>33143</v>
      </c>
      <c r="F1204" s="1">
        <v>42432</v>
      </c>
      <c r="G1204">
        <v>-4950</v>
      </c>
      <c r="H1204" s="1">
        <f t="shared" si="55"/>
        <v>42432</v>
      </c>
      <c r="I1204">
        <f>IF(AND(MyRowHidden(ROW())=FALSE,MyRowHidden(ROW()-1)=TRUE),0,(E1204-E1203)*unitsOfDHp+I1203)</f>
        <v>381430</v>
      </c>
      <c r="J1204">
        <f>IF(AND(MyRowHidden(ROW())=FALSE,MyRowHidden(ROW()-1)=TRUE),0,(G1204-G1203)*unitsOfExo+J1203)</f>
        <v>500</v>
      </c>
      <c r="K1204" s="9">
        <f t="shared" si="56"/>
        <v>99500</v>
      </c>
      <c r="L1204">
        <f t="shared" si="57"/>
        <v>381930</v>
      </c>
    </row>
    <row r="1205" spans="4:12" x14ac:dyDescent="0.25">
      <c r="D1205" s="1">
        <v>42433</v>
      </c>
      <c r="E1205">
        <v>33393</v>
      </c>
      <c r="F1205" s="1">
        <v>42433</v>
      </c>
      <c r="G1205">
        <v>-4875</v>
      </c>
      <c r="H1205" s="1">
        <f t="shared" si="55"/>
        <v>42433</v>
      </c>
      <c r="I1205">
        <f>IF(AND(MyRowHidden(ROW())=FALSE,MyRowHidden(ROW()-1)=TRUE),0,(E1205-E1204)*unitsOfDHp+I1204)</f>
        <v>383930</v>
      </c>
      <c r="J1205">
        <f>IF(AND(MyRowHidden(ROW())=FALSE,MyRowHidden(ROW()-1)=TRUE),0,(G1205-G1204)*unitsOfExo+J1204)</f>
        <v>1250</v>
      </c>
      <c r="K1205" s="9">
        <f t="shared" si="56"/>
        <v>98750</v>
      </c>
      <c r="L1205">
        <f t="shared" si="57"/>
        <v>385180</v>
      </c>
    </row>
    <row r="1206" spans="4:12" x14ac:dyDescent="0.25">
      <c r="D1206" s="1">
        <v>42436</v>
      </c>
      <c r="E1206">
        <v>33710</v>
      </c>
      <c r="F1206" s="1">
        <v>42436</v>
      </c>
      <c r="G1206">
        <v>-4800</v>
      </c>
      <c r="H1206" s="1">
        <f t="shared" si="55"/>
        <v>42436</v>
      </c>
      <c r="I1206">
        <f>IF(AND(MyRowHidden(ROW())=FALSE,MyRowHidden(ROW()-1)=TRUE),0,(E1206-E1205)*unitsOfDHp+I1205)</f>
        <v>387100</v>
      </c>
      <c r="J1206">
        <f>IF(AND(MyRowHidden(ROW())=FALSE,MyRowHidden(ROW()-1)=TRUE),0,(G1206-G1205)*unitsOfExo+J1205)</f>
        <v>2000</v>
      </c>
      <c r="K1206" s="9">
        <f t="shared" si="56"/>
        <v>98000</v>
      </c>
      <c r="L1206">
        <f t="shared" si="57"/>
        <v>389100</v>
      </c>
    </row>
    <row r="1207" spans="4:12" x14ac:dyDescent="0.25">
      <c r="D1207" s="1">
        <v>42437</v>
      </c>
      <c r="E1207">
        <v>33657</v>
      </c>
      <c r="F1207" s="1">
        <v>42437</v>
      </c>
      <c r="G1207">
        <v>-4700</v>
      </c>
      <c r="H1207" s="1">
        <f t="shared" si="55"/>
        <v>42437</v>
      </c>
      <c r="I1207">
        <f>IF(AND(MyRowHidden(ROW())=FALSE,MyRowHidden(ROW()-1)=TRUE),0,(E1207-E1206)*unitsOfDHp+I1206)</f>
        <v>386570</v>
      </c>
      <c r="J1207">
        <f>IF(AND(MyRowHidden(ROW())=FALSE,MyRowHidden(ROW()-1)=TRUE),0,(G1207-G1206)*unitsOfExo+J1206)</f>
        <v>3000</v>
      </c>
      <c r="K1207" s="9">
        <f t="shared" si="56"/>
        <v>97000</v>
      </c>
      <c r="L1207">
        <f t="shared" si="57"/>
        <v>389570</v>
      </c>
    </row>
    <row r="1208" spans="4:12" x14ac:dyDescent="0.25">
      <c r="D1208" s="1">
        <v>42438</v>
      </c>
      <c r="E1208">
        <v>33634</v>
      </c>
      <c r="F1208" s="1">
        <v>42438</v>
      </c>
      <c r="G1208">
        <v>-4625</v>
      </c>
      <c r="H1208" s="1">
        <f t="shared" si="55"/>
        <v>42438</v>
      </c>
      <c r="I1208">
        <f>IF(AND(MyRowHidden(ROW())=FALSE,MyRowHidden(ROW()-1)=TRUE),0,(E1208-E1207)*unitsOfDHp+I1207)</f>
        <v>386340</v>
      </c>
      <c r="J1208">
        <f>IF(AND(MyRowHidden(ROW())=FALSE,MyRowHidden(ROW()-1)=TRUE),0,(G1208-G1207)*unitsOfExo+J1207)</f>
        <v>3750</v>
      </c>
      <c r="K1208" s="9">
        <f t="shared" si="56"/>
        <v>96250</v>
      </c>
      <c r="L1208">
        <f t="shared" si="57"/>
        <v>390090</v>
      </c>
    </row>
    <row r="1209" spans="4:12" x14ac:dyDescent="0.25">
      <c r="D1209" s="1">
        <v>42439</v>
      </c>
      <c r="E1209">
        <v>33562</v>
      </c>
      <c r="F1209" s="1">
        <v>42439</v>
      </c>
      <c r="G1209">
        <v>-4487.5</v>
      </c>
      <c r="H1209" s="1">
        <f t="shared" si="55"/>
        <v>42439</v>
      </c>
      <c r="I1209">
        <f>IF(AND(MyRowHidden(ROW())=FALSE,MyRowHidden(ROW()-1)=TRUE),0,(E1209-E1208)*unitsOfDHp+I1208)</f>
        <v>385620</v>
      </c>
      <c r="J1209">
        <f>IF(AND(MyRowHidden(ROW())=FALSE,MyRowHidden(ROW()-1)=TRUE),0,(G1209-G1208)*unitsOfExo+J1208)</f>
        <v>5125</v>
      </c>
      <c r="K1209" s="9">
        <f t="shared" si="56"/>
        <v>94875</v>
      </c>
      <c r="L1209">
        <f t="shared" si="57"/>
        <v>390745</v>
      </c>
    </row>
    <row r="1210" spans="4:12" x14ac:dyDescent="0.25">
      <c r="D1210" s="1">
        <v>42440</v>
      </c>
      <c r="E1210">
        <v>33415</v>
      </c>
      <c r="F1210" s="1">
        <v>42440</v>
      </c>
      <c r="G1210">
        <v>-4312.5</v>
      </c>
      <c r="H1210" s="1">
        <f t="shared" si="55"/>
        <v>42440</v>
      </c>
      <c r="I1210">
        <f>IF(AND(MyRowHidden(ROW())=FALSE,MyRowHidden(ROW()-1)=TRUE),0,(E1210-E1209)*unitsOfDHp+I1209)</f>
        <v>384150</v>
      </c>
      <c r="J1210">
        <f>IF(AND(MyRowHidden(ROW())=FALSE,MyRowHidden(ROW()-1)=TRUE),0,(G1210-G1209)*unitsOfExo+J1209)</f>
        <v>6875</v>
      </c>
      <c r="K1210" s="9">
        <f t="shared" si="56"/>
        <v>93125</v>
      </c>
      <c r="L1210">
        <f t="shared" si="57"/>
        <v>391025</v>
      </c>
    </row>
    <row r="1211" spans="4:12" x14ac:dyDescent="0.25">
      <c r="D1211" s="1">
        <v>42443</v>
      </c>
      <c r="E1211">
        <v>33249</v>
      </c>
      <c r="F1211" s="1">
        <v>42443</v>
      </c>
      <c r="G1211">
        <v>-4050</v>
      </c>
      <c r="H1211" s="1">
        <f t="shared" si="55"/>
        <v>42443</v>
      </c>
      <c r="I1211">
        <f>IF(AND(MyRowHidden(ROW())=FALSE,MyRowHidden(ROW()-1)=TRUE),0,(E1211-E1210)*unitsOfDHp+I1210)</f>
        <v>382490</v>
      </c>
      <c r="J1211">
        <f>IF(AND(MyRowHidden(ROW())=FALSE,MyRowHidden(ROW()-1)=TRUE),0,(G1211-G1210)*unitsOfExo+J1210)</f>
        <v>9500</v>
      </c>
      <c r="K1211" s="9">
        <f t="shared" si="56"/>
        <v>90500</v>
      </c>
      <c r="L1211">
        <f t="shared" si="57"/>
        <v>391990</v>
      </c>
    </row>
    <row r="1212" spans="4:12" x14ac:dyDescent="0.25">
      <c r="D1212" s="1">
        <v>42444</v>
      </c>
      <c r="E1212">
        <v>33268</v>
      </c>
      <c r="F1212" s="1">
        <v>42444</v>
      </c>
      <c r="G1212">
        <v>-4062.5</v>
      </c>
      <c r="H1212" s="1">
        <f t="shared" si="55"/>
        <v>42444</v>
      </c>
      <c r="I1212">
        <f>IF(AND(MyRowHidden(ROW())=FALSE,MyRowHidden(ROW()-1)=TRUE),0,(E1212-E1211)*unitsOfDHp+I1211)</f>
        <v>382680</v>
      </c>
      <c r="J1212">
        <f>IF(AND(MyRowHidden(ROW())=FALSE,MyRowHidden(ROW()-1)=TRUE),0,(G1212-G1211)*unitsOfExo+J1211)</f>
        <v>9375</v>
      </c>
      <c r="K1212" s="9">
        <f t="shared" si="56"/>
        <v>90625</v>
      </c>
      <c r="L1212">
        <f t="shared" si="57"/>
        <v>392055</v>
      </c>
    </row>
    <row r="1213" spans="4:12" x14ac:dyDescent="0.25">
      <c r="D1213" s="1">
        <v>42445</v>
      </c>
      <c r="E1213">
        <v>33373</v>
      </c>
      <c r="F1213" s="1">
        <v>42445</v>
      </c>
      <c r="G1213">
        <v>-4112.5</v>
      </c>
      <c r="H1213" s="1">
        <f t="shared" si="55"/>
        <v>42445</v>
      </c>
      <c r="I1213">
        <f>IF(AND(MyRowHidden(ROW())=FALSE,MyRowHidden(ROW()-1)=TRUE),0,(E1213-E1212)*unitsOfDHp+I1212)</f>
        <v>383730</v>
      </c>
      <c r="J1213">
        <f>IF(AND(MyRowHidden(ROW())=FALSE,MyRowHidden(ROW()-1)=TRUE),0,(G1213-G1212)*unitsOfExo+J1212)</f>
        <v>8875</v>
      </c>
      <c r="K1213" s="9">
        <f t="shared" si="56"/>
        <v>91125</v>
      </c>
      <c r="L1213">
        <f t="shared" si="57"/>
        <v>392605</v>
      </c>
    </row>
    <row r="1214" spans="4:12" x14ac:dyDescent="0.25">
      <c r="D1214" s="1">
        <v>42446</v>
      </c>
      <c r="E1214">
        <v>33307</v>
      </c>
      <c r="F1214" s="1">
        <v>42446</v>
      </c>
      <c r="G1214">
        <v>-4087.5</v>
      </c>
      <c r="H1214" s="1">
        <f t="shared" si="55"/>
        <v>42446</v>
      </c>
      <c r="I1214">
        <f>IF(AND(MyRowHidden(ROW())=FALSE,MyRowHidden(ROW()-1)=TRUE),0,(E1214-E1213)*unitsOfDHp+I1213)</f>
        <v>383070</v>
      </c>
      <c r="J1214">
        <f>IF(AND(MyRowHidden(ROW())=FALSE,MyRowHidden(ROW()-1)=TRUE),0,(G1214-G1213)*unitsOfExo+J1213)</f>
        <v>9125</v>
      </c>
      <c r="K1214" s="9">
        <f t="shared" si="56"/>
        <v>90875</v>
      </c>
      <c r="L1214">
        <f t="shared" si="57"/>
        <v>392195</v>
      </c>
    </row>
    <row r="1215" spans="4:12" x14ac:dyDescent="0.25">
      <c r="D1215" s="1">
        <v>42447</v>
      </c>
      <c r="E1215">
        <v>33385</v>
      </c>
      <c r="F1215" s="1">
        <v>42447</v>
      </c>
      <c r="G1215">
        <v>-4162.5</v>
      </c>
      <c r="H1215" s="1">
        <f t="shared" si="55"/>
        <v>42447</v>
      </c>
      <c r="I1215">
        <f>IF(AND(MyRowHidden(ROW())=FALSE,MyRowHidden(ROW()-1)=TRUE),0,(E1215-E1214)*unitsOfDHp+I1214)</f>
        <v>383850</v>
      </c>
      <c r="J1215">
        <f>IF(AND(MyRowHidden(ROW())=FALSE,MyRowHidden(ROW()-1)=TRUE),0,(G1215-G1214)*unitsOfExo+J1214)</f>
        <v>8375</v>
      </c>
      <c r="K1215" s="9">
        <f t="shared" si="56"/>
        <v>91625</v>
      </c>
      <c r="L1215">
        <f t="shared" si="57"/>
        <v>392225</v>
      </c>
    </row>
    <row r="1216" spans="4:12" x14ac:dyDescent="0.25">
      <c r="D1216" s="1">
        <v>42450</v>
      </c>
      <c r="E1216">
        <v>33172</v>
      </c>
      <c r="F1216" s="1">
        <v>42450</v>
      </c>
      <c r="G1216">
        <v>-4025</v>
      </c>
      <c r="H1216" s="1">
        <f t="shared" si="55"/>
        <v>42450</v>
      </c>
      <c r="I1216">
        <f>IF(AND(MyRowHidden(ROW())=FALSE,MyRowHidden(ROW()-1)=TRUE),0,(E1216-E1215)*unitsOfDHp+I1215)</f>
        <v>381720</v>
      </c>
      <c r="J1216">
        <f>IF(AND(MyRowHidden(ROW())=FALSE,MyRowHidden(ROW()-1)=TRUE),0,(G1216-G1215)*unitsOfExo+J1215)</f>
        <v>9750</v>
      </c>
      <c r="K1216" s="9">
        <f t="shared" si="56"/>
        <v>90250</v>
      </c>
      <c r="L1216">
        <f t="shared" si="57"/>
        <v>391470</v>
      </c>
    </row>
    <row r="1217" spans="4:12" x14ac:dyDescent="0.25">
      <c r="D1217" s="1">
        <v>42451</v>
      </c>
      <c r="E1217">
        <v>33154</v>
      </c>
      <c r="F1217" s="1">
        <v>42451</v>
      </c>
      <c r="G1217">
        <v>-4012.5</v>
      </c>
      <c r="H1217" s="1">
        <f t="shared" si="55"/>
        <v>42451</v>
      </c>
      <c r="I1217">
        <f>IF(AND(MyRowHidden(ROW())=FALSE,MyRowHidden(ROW()-1)=TRUE),0,(E1217-E1216)*unitsOfDHp+I1216)</f>
        <v>381540</v>
      </c>
      <c r="J1217">
        <f>IF(AND(MyRowHidden(ROW())=FALSE,MyRowHidden(ROW()-1)=TRUE),0,(G1217-G1216)*unitsOfExo+J1216)</f>
        <v>9875</v>
      </c>
      <c r="K1217" s="9">
        <f t="shared" si="56"/>
        <v>90125</v>
      </c>
      <c r="L1217">
        <f t="shared" si="57"/>
        <v>391415</v>
      </c>
    </row>
    <row r="1218" spans="4:12" x14ac:dyDescent="0.25">
      <c r="D1218" s="1">
        <v>42452</v>
      </c>
      <c r="E1218">
        <v>33164</v>
      </c>
      <c r="F1218" s="1">
        <v>42452</v>
      </c>
      <c r="G1218">
        <v>-4087.5</v>
      </c>
      <c r="H1218" s="1">
        <f t="shared" si="55"/>
        <v>42452</v>
      </c>
      <c r="I1218">
        <f>IF(AND(MyRowHidden(ROW())=FALSE,MyRowHidden(ROW()-1)=TRUE),0,(E1218-E1217)*unitsOfDHp+I1217)</f>
        <v>381640</v>
      </c>
      <c r="J1218">
        <f>IF(AND(MyRowHidden(ROW())=FALSE,MyRowHidden(ROW()-1)=TRUE),0,(G1218-G1217)*unitsOfExo+J1217)</f>
        <v>9125</v>
      </c>
      <c r="K1218" s="9">
        <f t="shared" si="56"/>
        <v>90875</v>
      </c>
      <c r="L1218">
        <f t="shared" si="57"/>
        <v>390765</v>
      </c>
    </row>
    <row r="1219" spans="4:12" x14ac:dyDescent="0.25">
      <c r="D1219" s="1">
        <v>42453</v>
      </c>
      <c r="E1219">
        <v>33112</v>
      </c>
      <c r="F1219" s="1">
        <v>42453</v>
      </c>
      <c r="G1219">
        <v>-4012.5</v>
      </c>
      <c r="H1219" s="1">
        <f t="shared" si="55"/>
        <v>42453</v>
      </c>
      <c r="I1219">
        <f>IF(AND(MyRowHidden(ROW())=FALSE,MyRowHidden(ROW()-1)=TRUE),0,(E1219-E1218)*unitsOfDHp+I1218)</f>
        <v>381120</v>
      </c>
      <c r="J1219">
        <f>IF(AND(MyRowHidden(ROW())=FALSE,MyRowHidden(ROW()-1)=TRUE),0,(G1219-G1218)*unitsOfExo+J1218)</f>
        <v>9875</v>
      </c>
      <c r="K1219" s="9">
        <f t="shared" si="56"/>
        <v>90125</v>
      </c>
      <c r="L1219">
        <f t="shared" si="57"/>
        <v>390995</v>
      </c>
    </row>
    <row r="1220" spans="4:12" x14ac:dyDescent="0.25">
      <c r="D1220" s="1">
        <v>42454</v>
      </c>
      <c r="E1220">
        <v>33100</v>
      </c>
      <c r="F1220" s="1">
        <v>42454</v>
      </c>
      <c r="G1220">
        <v>-4000</v>
      </c>
      <c r="H1220" s="1">
        <f t="shared" si="55"/>
        <v>42454</v>
      </c>
      <c r="I1220">
        <f>IF(AND(MyRowHidden(ROW())=FALSE,MyRowHidden(ROW()-1)=TRUE),0,(E1220-E1219)*unitsOfDHp+I1219)</f>
        <v>381000</v>
      </c>
      <c r="J1220">
        <f>IF(AND(MyRowHidden(ROW())=FALSE,MyRowHidden(ROW()-1)=TRUE),0,(G1220-G1219)*unitsOfExo+J1219)</f>
        <v>10000</v>
      </c>
      <c r="K1220" s="9">
        <f t="shared" si="56"/>
        <v>90000</v>
      </c>
      <c r="L1220">
        <f t="shared" si="57"/>
        <v>391000</v>
      </c>
    </row>
    <row r="1221" spans="4:12" x14ac:dyDescent="0.25">
      <c r="D1221" s="1">
        <v>42457</v>
      </c>
      <c r="E1221">
        <v>33032</v>
      </c>
      <c r="F1221" s="1">
        <v>42457</v>
      </c>
      <c r="G1221">
        <v>-3925</v>
      </c>
      <c r="H1221" s="1">
        <f t="shared" si="55"/>
        <v>42457</v>
      </c>
      <c r="I1221">
        <f>IF(AND(MyRowHidden(ROW())=FALSE,MyRowHidden(ROW()-1)=TRUE),0,(E1221-E1220)*unitsOfDHp+I1220)</f>
        <v>380320</v>
      </c>
      <c r="J1221">
        <f>IF(AND(MyRowHidden(ROW())=FALSE,MyRowHidden(ROW()-1)=TRUE),0,(G1221-G1220)*unitsOfExo+J1220)</f>
        <v>10750</v>
      </c>
      <c r="K1221" s="9">
        <f t="shared" si="56"/>
        <v>89250</v>
      </c>
      <c r="L1221">
        <f t="shared" si="57"/>
        <v>391070</v>
      </c>
    </row>
    <row r="1222" spans="4:12" x14ac:dyDescent="0.25">
      <c r="D1222" s="1">
        <v>42458</v>
      </c>
      <c r="E1222">
        <v>32981</v>
      </c>
      <c r="F1222" s="1">
        <v>42458</v>
      </c>
      <c r="G1222">
        <v>-3887.5</v>
      </c>
      <c r="H1222" s="1">
        <f t="shared" si="55"/>
        <v>42458</v>
      </c>
      <c r="I1222">
        <f>IF(AND(MyRowHidden(ROW())=FALSE,MyRowHidden(ROW()-1)=TRUE),0,(E1222-E1221)*unitsOfDHp+I1221)</f>
        <v>379810</v>
      </c>
      <c r="J1222">
        <f>IF(AND(MyRowHidden(ROW())=FALSE,MyRowHidden(ROW()-1)=TRUE),0,(G1222-G1221)*unitsOfExo+J1221)</f>
        <v>11125</v>
      </c>
      <c r="K1222" s="9">
        <f t="shared" si="56"/>
        <v>88875</v>
      </c>
      <c r="L1222">
        <f t="shared" si="57"/>
        <v>390935</v>
      </c>
    </row>
    <row r="1223" spans="4:12" x14ac:dyDescent="0.25">
      <c r="D1223" s="1">
        <v>42459</v>
      </c>
      <c r="E1223">
        <v>33173</v>
      </c>
      <c r="F1223" s="1">
        <v>42459</v>
      </c>
      <c r="G1223">
        <v>-4025</v>
      </c>
      <c r="H1223" s="1">
        <f t="shared" si="55"/>
        <v>42459</v>
      </c>
      <c r="I1223">
        <f>IF(AND(MyRowHidden(ROW())=FALSE,MyRowHidden(ROW()-1)=TRUE),0,(E1223-E1222)*unitsOfDHp+I1222)</f>
        <v>381730</v>
      </c>
      <c r="J1223">
        <f>IF(AND(MyRowHidden(ROW())=FALSE,MyRowHidden(ROW()-1)=TRUE),0,(G1223-G1222)*unitsOfExo+J1222)</f>
        <v>9750</v>
      </c>
      <c r="K1223" s="9">
        <f t="shared" si="56"/>
        <v>90250</v>
      </c>
      <c r="L1223">
        <f t="shared" si="57"/>
        <v>391480</v>
      </c>
    </row>
    <row r="1224" spans="4:12" x14ac:dyDescent="0.25">
      <c r="D1224" s="1">
        <v>42460</v>
      </c>
      <c r="E1224">
        <v>34665</v>
      </c>
      <c r="F1224" s="1">
        <v>42460</v>
      </c>
      <c r="G1224">
        <v>-5075</v>
      </c>
      <c r="H1224" s="1">
        <f t="shared" si="55"/>
        <v>42460</v>
      </c>
      <c r="I1224">
        <f>IF(AND(MyRowHidden(ROW())=FALSE,MyRowHidden(ROW()-1)=TRUE),0,(E1224-E1223)*unitsOfDHp+I1223)</f>
        <v>396650</v>
      </c>
      <c r="J1224">
        <f>IF(AND(MyRowHidden(ROW())=FALSE,MyRowHidden(ROW()-1)=TRUE),0,(G1224-G1223)*unitsOfExo+J1223)</f>
        <v>-750</v>
      </c>
      <c r="K1224" s="9">
        <f t="shared" si="56"/>
        <v>100750</v>
      </c>
      <c r="L1224">
        <f t="shared" si="57"/>
        <v>395900</v>
      </c>
    </row>
    <row r="1225" spans="4:12" x14ac:dyDescent="0.25">
      <c r="D1225" s="1">
        <v>42461</v>
      </c>
      <c r="E1225">
        <v>34671</v>
      </c>
      <c r="F1225" s="1">
        <v>42461</v>
      </c>
      <c r="G1225">
        <v>-4925</v>
      </c>
      <c r="H1225" s="1">
        <f t="shared" si="55"/>
        <v>42461</v>
      </c>
      <c r="I1225">
        <f>IF(AND(MyRowHidden(ROW())=FALSE,MyRowHidden(ROW()-1)=TRUE),0,(E1225-E1224)*unitsOfDHp+I1224)</f>
        <v>396710</v>
      </c>
      <c r="J1225">
        <f>IF(AND(MyRowHidden(ROW())=FALSE,MyRowHidden(ROW()-1)=TRUE),0,(G1225-G1224)*unitsOfExo+J1224)</f>
        <v>750</v>
      </c>
      <c r="K1225" s="9">
        <f t="shared" si="56"/>
        <v>99250</v>
      </c>
      <c r="L1225">
        <f t="shared" si="57"/>
        <v>397460</v>
      </c>
    </row>
    <row r="1226" spans="4:12" x14ac:dyDescent="0.25">
      <c r="D1226" s="1">
        <v>42464</v>
      </c>
      <c r="E1226">
        <v>34684</v>
      </c>
      <c r="F1226" s="1">
        <v>42464</v>
      </c>
      <c r="G1226">
        <v>-4762.5</v>
      </c>
      <c r="H1226" s="1">
        <f t="shared" si="55"/>
        <v>42464</v>
      </c>
      <c r="I1226">
        <f>IF(AND(MyRowHidden(ROW())=FALSE,MyRowHidden(ROW()-1)=TRUE),0,(E1226-E1225)*unitsOfDHp+I1225)</f>
        <v>396840</v>
      </c>
      <c r="J1226">
        <f>IF(AND(MyRowHidden(ROW())=FALSE,MyRowHidden(ROW()-1)=TRUE),0,(G1226-G1225)*unitsOfExo+J1225)</f>
        <v>2375</v>
      </c>
      <c r="K1226" s="9">
        <f t="shared" si="56"/>
        <v>97625</v>
      </c>
      <c r="L1226">
        <f t="shared" si="57"/>
        <v>399215</v>
      </c>
    </row>
    <row r="1227" spans="4:12" x14ac:dyDescent="0.25">
      <c r="D1227" s="1">
        <v>42465</v>
      </c>
      <c r="E1227">
        <v>34679</v>
      </c>
      <c r="F1227" s="1">
        <v>42465</v>
      </c>
      <c r="G1227">
        <v>-4712.5</v>
      </c>
      <c r="H1227" s="1">
        <f t="shared" si="55"/>
        <v>42465</v>
      </c>
      <c r="I1227">
        <f>IF(AND(MyRowHidden(ROW())=FALSE,MyRowHidden(ROW()-1)=TRUE),0,(E1227-E1226)*unitsOfDHp+I1226)</f>
        <v>396790</v>
      </c>
      <c r="J1227">
        <f>IF(AND(MyRowHidden(ROW())=FALSE,MyRowHidden(ROW()-1)=TRUE),0,(G1227-G1226)*unitsOfExo+J1226)</f>
        <v>2875</v>
      </c>
      <c r="K1227" s="9">
        <f t="shared" si="56"/>
        <v>97125</v>
      </c>
      <c r="L1227">
        <f t="shared" si="57"/>
        <v>399665</v>
      </c>
    </row>
    <row r="1228" spans="4:12" x14ac:dyDescent="0.25">
      <c r="D1228" s="1">
        <v>42466</v>
      </c>
      <c r="E1228">
        <v>34856</v>
      </c>
      <c r="F1228" s="1">
        <v>42466</v>
      </c>
      <c r="G1228">
        <v>-4587.5</v>
      </c>
      <c r="H1228" s="1">
        <f t="shared" si="55"/>
        <v>42466</v>
      </c>
      <c r="I1228">
        <f>IF(AND(MyRowHidden(ROW())=FALSE,MyRowHidden(ROW()-1)=TRUE),0,(E1228-E1227)*unitsOfDHp+I1227)</f>
        <v>398560</v>
      </c>
      <c r="J1228">
        <f>IF(AND(MyRowHidden(ROW())=FALSE,MyRowHidden(ROW()-1)=TRUE),0,(G1228-G1227)*unitsOfExo+J1227)</f>
        <v>4125</v>
      </c>
      <c r="K1228" s="9">
        <f t="shared" si="56"/>
        <v>95875</v>
      </c>
      <c r="L1228">
        <f t="shared" si="57"/>
        <v>402685</v>
      </c>
    </row>
    <row r="1229" spans="4:12" x14ac:dyDescent="0.25">
      <c r="D1229" s="1">
        <v>42467</v>
      </c>
      <c r="E1229">
        <v>35068</v>
      </c>
      <c r="F1229" s="1">
        <v>42467</v>
      </c>
      <c r="G1229">
        <v>-4425</v>
      </c>
      <c r="H1229" s="1">
        <f t="shared" ref="H1229:H1292" si="58">D1229</f>
        <v>42467</v>
      </c>
      <c r="I1229">
        <f>IF(AND(MyRowHidden(ROW())=FALSE,MyRowHidden(ROW()-1)=TRUE),0,(E1229-E1228)*unitsOfDHp+I1228)</f>
        <v>400680</v>
      </c>
      <c r="J1229">
        <f>IF(AND(MyRowHidden(ROW())=FALSE,MyRowHidden(ROW()-1)=TRUE),0,(G1229-G1228)*unitsOfExo+J1228)</f>
        <v>5750</v>
      </c>
      <c r="K1229" s="9">
        <f t="shared" ref="K1229:K1292" si="59">-(J1229-J1228)+K1228</f>
        <v>94250</v>
      </c>
      <c r="L1229">
        <f t="shared" ref="L1229:L1292" si="60">I1229+J1229</f>
        <v>406430</v>
      </c>
    </row>
    <row r="1230" spans="4:12" x14ac:dyDescent="0.25">
      <c r="D1230" s="1">
        <v>42468</v>
      </c>
      <c r="E1230">
        <v>35134</v>
      </c>
      <c r="F1230" s="1">
        <v>42468</v>
      </c>
      <c r="G1230">
        <v>-4400</v>
      </c>
      <c r="H1230" s="1">
        <f t="shared" si="58"/>
        <v>42468</v>
      </c>
      <c r="I1230">
        <f>IF(AND(MyRowHidden(ROW())=FALSE,MyRowHidden(ROW()-1)=TRUE),0,(E1230-E1229)*unitsOfDHp+I1229)</f>
        <v>401340</v>
      </c>
      <c r="J1230">
        <f>IF(AND(MyRowHidden(ROW())=FALSE,MyRowHidden(ROW()-1)=TRUE),0,(G1230-G1229)*unitsOfExo+J1229)</f>
        <v>6000</v>
      </c>
      <c r="K1230" s="9">
        <f t="shared" si="59"/>
        <v>94000</v>
      </c>
      <c r="L1230">
        <f t="shared" si="60"/>
        <v>407340</v>
      </c>
    </row>
    <row r="1231" spans="4:12" x14ac:dyDescent="0.25">
      <c r="D1231" s="1">
        <v>42471</v>
      </c>
      <c r="E1231">
        <v>34676</v>
      </c>
      <c r="F1231" s="1">
        <v>42471</v>
      </c>
      <c r="G1231">
        <v>-4662.5</v>
      </c>
      <c r="H1231" s="1">
        <f t="shared" si="58"/>
        <v>42471</v>
      </c>
      <c r="I1231">
        <f>IF(AND(MyRowHidden(ROW())=FALSE,MyRowHidden(ROW()-1)=TRUE),0,(E1231-E1230)*unitsOfDHp+I1230)</f>
        <v>396760</v>
      </c>
      <c r="J1231">
        <f>IF(AND(MyRowHidden(ROW())=FALSE,MyRowHidden(ROW()-1)=TRUE),0,(G1231-G1230)*unitsOfExo+J1230)</f>
        <v>3375</v>
      </c>
      <c r="K1231" s="9">
        <f t="shared" si="59"/>
        <v>96625</v>
      </c>
      <c r="L1231">
        <f t="shared" si="60"/>
        <v>400135</v>
      </c>
    </row>
    <row r="1232" spans="4:12" x14ac:dyDescent="0.25">
      <c r="D1232" s="1">
        <v>42472</v>
      </c>
      <c r="E1232">
        <v>34674</v>
      </c>
      <c r="F1232" s="1">
        <v>42472</v>
      </c>
      <c r="G1232">
        <v>-4525</v>
      </c>
      <c r="H1232" s="1">
        <f t="shared" si="58"/>
        <v>42472</v>
      </c>
      <c r="I1232">
        <f>IF(AND(MyRowHidden(ROW())=FALSE,MyRowHidden(ROW()-1)=TRUE),0,(E1232-E1231)*unitsOfDHp+I1231)</f>
        <v>396740</v>
      </c>
      <c r="J1232">
        <f>IF(AND(MyRowHidden(ROW())=FALSE,MyRowHidden(ROW()-1)=TRUE),0,(G1232-G1231)*unitsOfExo+J1231)</f>
        <v>4750</v>
      </c>
      <c r="K1232" s="9">
        <f t="shared" si="59"/>
        <v>95250</v>
      </c>
      <c r="L1232">
        <f t="shared" si="60"/>
        <v>401490</v>
      </c>
    </row>
    <row r="1233" spans="4:12" x14ac:dyDescent="0.25">
      <c r="D1233" s="1">
        <v>42473</v>
      </c>
      <c r="E1233">
        <v>35654</v>
      </c>
      <c r="F1233" s="1">
        <v>42473</v>
      </c>
      <c r="G1233">
        <v>-3800</v>
      </c>
      <c r="H1233" s="1">
        <f t="shared" si="58"/>
        <v>42473</v>
      </c>
      <c r="I1233">
        <f>IF(AND(MyRowHidden(ROW())=FALSE,MyRowHidden(ROW()-1)=TRUE),0,(E1233-E1232)*unitsOfDHp+I1232)</f>
        <v>406540</v>
      </c>
      <c r="J1233">
        <f>IF(AND(MyRowHidden(ROW())=FALSE,MyRowHidden(ROW()-1)=TRUE),0,(G1233-G1232)*unitsOfExo+J1232)</f>
        <v>12000</v>
      </c>
      <c r="K1233" s="9">
        <f t="shared" si="59"/>
        <v>88000</v>
      </c>
      <c r="L1233">
        <f t="shared" si="60"/>
        <v>418540</v>
      </c>
    </row>
    <row r="1234" spans="4:12" x14ac:dyDescent="0.25">
      <c r="D1234" s="1">
        <v>42474</v>
      </c>
      <c r="E1234">
        <v>35606</v>
      </c>
      <c r="F1234" s="1">
        <v>42474</v>
      </c>
      <c r="G1234">
        <v>-3800</v>
      </c>
      <c r="H1234" s="1">
        <f t="shared" si="58"/>
        <v>42474</v>
      </c>
      <c r="I1234">
        <f>IF(AND(MyRowHidden(ROW())=FALSE,MyRowHidden(ROW()-1)=TRUE),0,(E1234-E1233)*unitsOfDHp+I1233)</f>
        <v>406060</v>
      </c>
      <c r="J1234">
        <f>IF(AND(MyRowHidden(ROW())=FALSE,MyRowHidden(ROW()-1)=TRUE),0,(G1234-G1233)*unitsOfExo+J1233)</f>
        <v>12000</v>
      </c>
      <c r="K1234" s="9">
        <f t="shared" si="59"/>
        <v>88000</v>
      </c>
      <c r="L1234">
        <f t="shared" si="60"/>
        <v>418060</v>
      </c>
    </row>
    <row r="1235" spans="4:12" x14ac:dyDescent="0.25">
      <c r="D1235" s="1">
        <v>42475</v>
      </c>
      <c r="E1235">
        <v>35318</v>
      </c>
      <c r="F1235" s="1">
        <v>42475</v>
      </c>
      <c r="G1235">
        <v>-3500</v>
      </c>
      <c r="H1235" s="1">
        <f t="shared" si="58"/>
        <v>42475</v>
      </c>
      <c r="I1235">
        <f>IF(AND(MyRowHidden(ROW())=FALSE,MyRowHidden(ROW()-1)=TRUE),0,(E1235-E1234)*unitsOfDHp+I1234)</f>
        <v>403180</v>
      </c>
      <c r="J1235">
        <f>IF(AND(MyRowHidden(ROW())=FALSE,MyRowHidden(ROW()-1)=TRUE),0,(G1235-G1234)*unitsOfExo+J1234)</f>
        <v>15000</v>
      </c>
      <c r="K1235" s="9">
        <f t="shared" si="59"/>
        <v>85000</v>
      </c>
      <c r="L1235">
        <f t="shared" si="60"/>
        <v>418180</v>
      </c>
    </row>
    <row r="1236" spans="4:12" x14ac:dyDescent="0.25">
      <c r="D1236" s="1">
        <v>42478</v>
      </c>
      <c r="E1236">
        <v>35189</v>
      </c>
      <c r="F1236" s="1">
        <v>42478</v>
      </c>
      <c r="G1236">
        <v>-3437.5</v>
      </c>
      <c r="H1236" s="1">
        <f t="shared" si="58"/>
        <v>42478</v>
      </c>
      <c r="I1236">
        <f>IF(AND(MyRowHidden(ROW())=FALSE,MyRowHidden(ROW()-1)=TRUE),0,(E1236-E1235)*unitsOfDHp+I1235)</f>
        <v>401890</v>
      </c>
      <c r="J1236">
        <f>IF(AND(MyRowHidden(ROW())=FALSE,MyRowHidden(ROW()-1)=TRUE),0,(G1236-G1235)*unitsOfExo+J1235)</f>
        <v>15625</v>
      </c>
      <c r="K1236" s="9">
        <f t="shared" si="59"/>
        <v>84375</v>
      </c>
      <c r="L1236">
        <f t="shared" si="60"/>
        <v>417515</v>
      </c>
    </row>
    <row r="1237" spans="4:12" x14ac:dyDescent="0.25">
      <c r="D1237" s="1">
        <v>42479</v>
      </c>
      <c r="E1237">
        <v>34930</v>
      </c>
      <c r="F1237" s="1">
        <v>42479</v>
      </c>
      <c r="G1237">
        <v>-3262.5</v>
      </c>
      <c r="H1237" s="1">
        <f t="shared" si="58"/>
        <v>42479</v>
      </c>
      <c r="I1237">
        <f>IF(AND(MyRowHidden(ROW())=FALSE,MyRowHidden(ROW()-1)=TRUE),0,(E1237-E1236)*unitsOfDHp+I1236)</f>
        <v>399300</v>
      </c>
      <c r="J1237">
        <f>IF(AND(MyRowHidden(ROW())=FALSE,MyRowHidden(ROW()-1)=TRUE),0,(G1237-G1236)*unitsOfExo+J1236)</f>
        <v>17375</v>
      </c>
      <c r="K1237" s="9">
        <f t="shared" si="59"/>
        <v>82625</v>
      </c>
      <c r="L1237">
        <f t="shared" si="60"/>
        <v>416675</v>
      </c>
    </row>
    <row r="1238" spans="4:12" x14ac:dyDescent="0.25">
      <c r="D1238" s="1">
        <v>42480</v>
      </c>
      <c r="E1238">
        <v>34382</v>
      </c>
      <c r="F1238" s="1">
        <v>42480</v>
      </c>
      <c r="G1238">
        <v>-2937.5</v>
      </c>
      <c r="H1238" s="1">
        <f t="shared" si="58"/>
        <v>42480</v>
      </c>
      <c r="I1238">
        <f>IF(AND(MyRowHidden(ROW())=FALSE,MyRowHidden(ROW()-1)=TRUE),0,(E1238-E1237)*unitsOfDHp+I1237)</f>
        <v>393820</v>
      </c>
      <c r="J1238">
        <f>IF(AND(MyRowHidden(ROW())=FALSE,MyRowHidden(ROW()-1)=TRUE),0,(G1238-G1237)*unitsOfExo+J1237)</f>
        <v>20625</v>
      </c>
      <c r="K1238" s="9">
        <f t="shared" si="59"/>
        <v>79375</v>
      </c>
      <c r="L1238">
        <f t="shared" si="60"/>
        <v>414445</v>
      </c>
    </row>
    <row r="1239" spans="4:12" x14ac:dyDescent="0.25">
      <c r="D1239" s="1">
        <v>42481</v>
      </c>
      <c r="E1239">
        <v>34334</v>
      </c>
      <c r="F1239" s="1">
        <v>42481</v>
      </c>
      <c r="G1239">
        <v>-2987.5</v>
      </c>
      <c r="H1239" s="1">
        <f t="shared" si="58"/>
        <v>42481</v>
      </c>
      <c r="I1239">
        <f>IF(AND(MyRowHidden(ROW())=FALSE,MyRowHidden(ROW()-1)=TRUE),0,(E1239-E1238)*unitsOfDHp+I1238)</f>
        <v>393340</v>
      </c>
      <c r="J1239">
        <f>IF(AND(MyRowHidden(ROW())=FALSE,MyRowHidden(ROW()-1)=TRUE),0,(G1239-G1238)*unitsOfExo+J1238)</f>
        <v>20125</v>
      </c>
      <c r="K1239" s="9">
        <f t="shared" si="59"/>
        <v>79875</v>
      </c>
      <c r="L1239">
        <f t="shared" si="60"/>
        <v>413465</v>
      </c>
    </row>
    <row r="1240" spans="4:12" x14ac:dyDescent="0.25">
      <c r="D1240" s="1">
        <v>42482</v>
      </c>
      <c r="E1240">
        <v>35062</v>
      </c>
      <c r="F1240" s="1">
        <v>42482</v>
      </c>
      <c r="G1240">
        <v>-3812.5</v>
      </c>
      <c r="H1240" s="1">
        <f t="shared" si="58"/>
        <v>42482</v>
      </c>
      <c r="I1240">
        <f>IF(AND(MyRowHidden(ROW())=FALSE,MyRowHidden(ROW()-1)=TRUE),0,(E1240-E1239)*unitsOfDHp+I1239)</f>
        <v>400620</v>
      </c>
      <c r="J1240">
        <f>IF(AND(MyRowHidden(ROW())=FALSE,MyRowHidden(ROW()-1)=TRUE),0,(G1240-G1239)*unitsOfExo+J1239)</f>
        <v>11875</v>
      </c>
      <c r="K1240" s="9">
        <f t="shared" si="59"/>
        <v>88125</v>
      </c>
      <c r="L1240">
        <f t="shared" si="60"/>
        <v>412495</v>
      </c>
    </row>
    <row r="1241" spans="4:12" x14ac:dyDescent="0.25">
      <c r="D1241" s="1">
        <v>42485</v>
      </c>
      <c r="E1241">
        <v>35116</v>
      </c>
      <c r="F1241" s="1">
        <v>42485</v>
      </c>
      <c r="G1241">
        <v>-3462.5</v>
      </c>
      <c r="H1241" s="1">
        <f t="shared" si="58"/>
        <v>42485</v>
      </c>
      <c r="I1241">
        <f>IF(AND(MyRowHidden(ROW())=FALSE,MyRowHidden(ROW()-1)=TRUE),0,(E1241-E1240)*unitsOfDHp+I1240)</f>
        <v>401160</v>
      </c>
      <c r="J1241">
        <f>IF(AND(MyRowHidden(ROW())=FALSE,MyRowHidden(ROW()-1)=TRUE),0,(G1241-G1240)*unitsOfExo+J1240)</f>
        <v>15375</v>
      </c>
      <c r="K1241" s="9">
        <f t="shared" si="59"/>
        <v>84625</v>
      </c>
      <c r="L1241">
        <f t="shared" si="60"/>
        <v>416535</v>
      </c>
    </row>
    <row r="1242" spans="4:12" x14ac:dyDescent="0.25">
      <c r="D1242" s="1">
        <v>42486</v>
      </c>
      <c r="E1242">
        <v>35081</v>
      </c>
      <c r="F1242" s="1">
        <v>42486</v>
      </c>
      <c r="G1242">
        <v>-3475</v>
      </c>
      <c r="H1242" s="1">
        <f t="shared" si="58"/>
        <v>42486</v>
      </c>
      <c r="I1242">
        <f>IF(AND(MyRowHidden(ROW())=FALSE,MyRowHidden(ROW()-1)=TRUE),0,(E1242-E1241)*unitsOfDHp+I1241)</f>
        <v>400810</v>
      </c>
      <c r="J1242">
        <f>IF(AND(MyRowHidden(ROW())=FALSE,MyRowHidden(ROW()-1)=TRUE),0,(G1242-G1241)*unitsOfExo+J1241)</f>
        <v>15250</v>
      </c>
      <c r="K1242" s="9">
        <f t="shared" si="59"/>
        <v>84750</v>
      </c>
      <c r="L1242">
        <f t="shared" si="60"/>
        <v>416060</v>
      </c>
    </row>
    <row r="1243" spans="4:12" x14ac:dyDescent="0.25">
      <c r="D1243" s="1">
        <v>42487</v>
      </c>
      <c r="E1243">
        <v>35045</v>
      </c>
      <c r="F1243" s="1">
        <v>42487</v>
      </c>
      <c r="G1243">
        <v>-3575</v>
      </c>
      <c r="H1243" s="1">
        <f t="shared" si="58"/>
        <v>42487</v>
      </c>
      <c r="I1243">
        <f>IF(AND(MyRowHidden(ROW())=FALSE,MyRowHidden(ROW()-1)=TRUE),0,(E1243-E1242)*unitsOfDHp+I1242)</f>
        <v>400450</v>
      </c>
      <c r="J1243">
        <f>IF(AND(MyRowHidden(ROW())=FALSE,MyRowHidden(ROW()-1)=TRUE),0,(G1243-G1242)*unitsOfExo+J1242)</f>
        <v>14250</v>
      </c>
      <c r="K1243" s="9">
        <f t="shared" si="59"/>
        <v>85750</v>
      </c>
      <c r="L1243">
        <f t="shared" si="60"/>
        <v>414700</v>
      </c>
    </row>
    <row r="1244" spans="4:12" x14ac:dyDescent="0.25">
      <c r="D1244" s="1">
        <v>42488</v>
      </c>
      <c r="E1244">
        <v>34515</v>
      </c>
      <c r="F1244" s="1">
        <v>42488</v>
      </c>
      <c r="G1244">
        <v>-3150</v>
      </c>
      <c r="H1244" s="1">
        <f t="shared" si="58"/>
        <v>42488</v>
      </c>
      <c r="I1244">
        <f>IF(AND(MyRowHidden(ROW())=FALSE,MyRowHidden(ROW()-1)=TRUE),0,(E1244-E1243)*unitsOfDHp+I1243)</f>
        <v>395150</v>
      </c>
      <c r="J1244">
        <f>IF(AND(MyRowHidden(ROW())=FALSE,MyRowHidden(ROW()-1)=TRUE),0,(G1244-G1243)*unitsOfExo+J1243)</f>
        <v>18500</v>
      </c>
      <c r="K1244" s="9">
        <f t="shared" si="59"/>
        <v>81500</v>
      </c>
      <c r="L1244">
        <f t="shared" si="60"/>
        <v>413650</v>
      </c>
    </row>
    <row r="1245" spans="4:12" x14ac:dyDescent="0.25">
      <c r="D1245" s="1">
        <v>42489</v>
      </c>
      <c r="E1245">
        <v>34516</v>
      </c>
      <c r="F1245" s="1">
        <v>42489</v>
      </c>
      <c r="G1245">
        <v>-3050</v>
      </c>
      <c r="H1245" s="1">
        <f t="shared" si="58"/>
        <v>42489</v>
      </c>
      <c r="I1245">
        <f>IF(AND(MyRowHidden(ROW())=FALSE,MyRowHidden(ROW()-1)=TRUE),0,(E1245-E1244)*unitsOfDHp+I1244)</f>
        <v>395160</v>
      </c>
      <c r="J1245">
        <f>IF(AND(MyRowHidden(ROW())=FALSE,MyRowHidden(ROW()-1)=TRUE),0,(G1245-G1244)*unitsOfExo+J1244)</f>
        <v>19500</v>
      </c>
      <c r="K1245" s="9">
        <f t="shared" si="59"/>
        <v>80500</v>
      </c>
      <c r="L1245">
        <f t="shared" si="60"/>
        <v>414660</v>
      </c>
    </row>
    <row r="1246" spans="4:12" x14ac:dyDescent="0.25">
      <c r="D1246" s="1">
        <v>42492</v>
      </c>
      <c r="E1246">
        <v>34614</v>
      </c>
      <c r="F1246" s="1">
        <v>42492</v>
      </c>
      <c r="G1246">
        <v>-3137.5</v>
      </c>
      <c r="H1246" s="1">
        <f t="shared" si="58"/>
        <v>42492</v>
      </c>
      <c r="I1246">
        <f>IF(AND(MyRowHidden(ROW())=FALSE,MyRowHidden(ROW()-1)=TRUE),0,(E1246-E1245)*unitsOfDHp+I1245)</f>
        <v>396140</v>
      </c>
      <c r="J1246">
        <f>IF(AND(MyRowHidden(ROW())=FALSE,MyRowHidden(ROW()-1)=TRUE),0,(G1246-G1245)*unitsOfExo+J1245)</f>
        <v>18625</v>
      </c>
      <c r="K1246" s="9">
        <f t="shared" si="59"/>
        <v>81375</v>
      </c>
      <c r="L1246">
        <f t="shared" si="60"/>
        <v>414765</v>
      </c>
    </row>
    <row r="1247" spans="4:12" x14ac:dyDescent="0.25">
      <c r="D1247" s="1">
        <v>42493</v>
      </c>
      <c r="E1247">
        <v>35205</v>
      </c>
      <c r="F1247" s="1">
        <v>42493</v>
      </c>
      <c r="G1247">
        <v>-3650</v>
      </c>
      <c r="H1247" s="1">
        <f t="shared" si="58"/>
        <v>42493</v>
      </c>
      <c r="I1247">
        <f>IF(AND(MyRowHidden(ROW())=FALSE,MyRowHidden(ROW()-1)=TRUE),0,(E1247-E1246)*unitsOfDHp+I1246)</f>
        <v>402050</v>
      </c>
      <c r="J1247">
        <f>IF(AND(MyRowHidden(ROW())=FALSE,MyRowHidden(ROW()-1)=TRUE),0,(G1247-G1246)*unitsOfExo+J1246)</f>
        <v>13500</v>
      </c>
      <c r="K1247" s="9">
        <f t="shared" si="59"/>
        <v>86500</v>
      </c>
      <c r="L1247">
        <f t="shared" si="60"/>
        <v>415550</v>
      </c>
    </row>
    <row r="1248" spans="4:12" x14ac:dyDescent="0.25">
      <c r="D1248" s="1">
        <v>42494</v>
      </c>
      <c r="E1248">
        <v>35226</v>
      </c>
      <c r="F1248" s="1">
        <v>42494</v>
      </c>
      <c r="G1248">
        <v>-3762.5</v>
      </c>
      <c r="H1248" s="1">
        <f t="shared" si="58"/>
        <v>42494</v>
      </c>
      <c r="I1248">
        <f>IF(AND(MyRowHidden(ROW())=FALSE,MyRowHidden(ROW()-1)=TRUE),0,(E1248-E1247)*unitsOfDHp+I1247)</f>
        <v>402260</v>
      </c>
      <c r="J1248">
        <f>IF(AND(MyRowHidden(ROW())=FALSE,MyRowHidden(ROW()-1)=TRUE),0,(G1248-G1247)*unitsOfExo+J1247)</f>
        <v>12375</v>
      </c>
      <c r="K1248" s="9">
        <f t="shared" si="59"/>
        <v>87625</v>
      </c>
      <c r="L1248">
        <f t="shared" si="60"/>
        <v>414635</v>
      </c>
    </row>
    <row r="1249" spans="4:12" x14ac:dyDescent="0.25">
      <c r="D1249" s="1">
        <v>42495</v>
      </c>
      <c r="E1249">
        <v>35510</v>
      </c>
      <c r="F1249" s="1">
        <v>42495</v>
      </c>
      <c r="G1249">
        <v>-3937.5</v>
      </c>
      <c r="H1249" s="1">
        <f t="shared" si="58"/>
        <v>42495</v>
      </c>
      <c r="I1249">
        <f>IF(AND(MyRowHidden(ROW())=FALSE,MyRowHidden(ROW()-1)=TRUE),0,(E1249-E1248)*unitsOfDHp+I1248)</f>
        <v>405100</v>
      </c>
      <c r="J1249">
        <f>IF(AND(MyRowHidden(ROW())=FALSE,MyRowHidden(ROW()-1)=TRUE),0,(G1249-G1248)*unitsOfExo+J1248)</f>
        <v>10625</v>
      </c>
      <c r="K1249" s="9">
        <f t="shared" si="59"/>
        <v>89375</v>
      </c>
      <c r="L1249">
        <f t="shared" si="60"/>
        <v>415725</v>
      </c>
    </row>
    <row r="1250" spans="4:12" x14ac:dyDescent="0.25">
      <c r="D1250" s="1">
        <v>42496</v>
      </c>
      <c r="E1250">
        <v>35317</v>
      </c>
      <c r="F1250" s="1">
        <v>42496</v>
      </c>
      <c r="G1250">
        <v>-3725</v>
      </c>
      <c r="H1250" s="1">
        <f t="shared" si="58"/>
        <v>42496</v>
      </c>
      <c r="I1250">
        <f>IF(AND(MyRowHidden(ROW())=FALSE,MyRowHidden(ROW()-1)=TRUE),0,(E1250-E1249)*unitsOfDHp+I1249)</f>
        <v>403170</v>
      </c>
      <c r="J1250">
        <f>IF(AND(MyRowHidden(ROW())=FALSE,MyRowHidden(ROW()-1)=TRUE),0,(G1250-G1249)*unitsOfExo+J1249)</f>
        <v>12750</v>
      </c>
      <c r="K1250" s="9">
        <f t="shared" si="59"/>
        <v>87250</v>
      </c>
      <c r="L1250">
        <f t="shared" si="60"/>
        <v>415920</v>
      </c>
    </row>
    <row r="1251" spans="4:12" x14ac:dyDescent="0.25">
      <c r="D1251" s="1">
        <v>42499</v>
      </c>
      <c r="E1251">
        <v>35564</v>
      </c>
      <c r="F1251" s="1">
        <v>42499</v>
      </c>
      <c r="G1251">
        <v>-4012.5</v>
      </c>
      <c r="H1251" s="1">
        <f t="shared" si="58"/>
        <v>42499</v>
      </c>
      <c r="I1251">
        <f>IF(AND(MyRowHidden(ROW())=FALSE,MyRowHidden(ROW()-1)=TRUE),0,(E1251-E1250)*unitsOfDHp+I1250)</f>
        <v>405640</v>
      </c>
      <c r="J1251">
        <f>IF(AND(MyRowHidden(ROW())=FALSE,MyRowHidden(ROW()-1)=TRUE),0,(G1251-G1250)*unitsOfExo+J1250)</f>
        <v>9875</v>
      </c>
      <c r="K1251" s="9">
        <f t="shared" si="59"/>
        <v>90125</v>
      </c>
      <c r="L1251">
        <f t="shared" si="60"/>
        <v>415515</v>
      </c>
    </row>
    <row r="1252" spans="4:12" x14ac:dyDescent="0.25">
      <c r="D1252" s="1">
        <v>42500</v>
      </c>
      <c r="E1252">
        <v>34956</v>
      </c>
      <c r="F1252" s="1">
        <v>42500</v>
      </c>
      <c r="G1252">
        <v>-3587.5</v>
      </c>
      <c r="H1252" s="1">
        <f t="shared" si="58"/>
        <v>42500</v>
      </c>
      <c r="I1252">
        <f>IF(AND(MyRowHidden(ROW())=FALSE,MyRowHidden(ROW()-1)=TRUE),0,(E1252-E1251)*unitsOfDHp+I1251)</f>
        <v>399560</v>
      </c>
      <c r="J1252">
        <f>IF(AND(MyRowHidden(ROW())=FALSE,MyRowHidden(ROW()-1)=TRUE),0,(G1252-G1251)*unitsOfExo+J1251)</f>
        <v>14125</v>
      </c>
      <c r="K1252" s="9">
        <f t="shared" si="59"/>
        <v>85875</v>
      </c>
      <c r="L1252">
        <f t="shared" si="60"/>
        <v>413685</v>
      </c>
    </row>
    <row r="1253" spans="4:12" x14ac:dyDescent="0.25">
      <c r="D1253" s="1">
        <v>42501</v>
      </c>
      <c r="E1253">
        <v>34963</v>
      </c>
      <c r="F1253" s="1">
        <v>42501</v>
      </c>
      <c r="G1253">
        <v>-3887.5</v>
      </c>
      <c r="H1253" s="1">
        <f t="shared" si="58"/>
        <v>42501</v>
      </c>
      <c r="I1253">
        <f>IF(AND(MyRowHidden(ROW())=FALSE,MyRowHidden(ROW()-1)=TRUE),0,(E1253-E1252)*unitsOfDHp+I1252)</f>
        <v>399630</v>
      </c>
      <c r="J1253">
        <f>IF(AND(MyRowHidden(ROW())=FALSE,MyRowHidden(ROW()-1)=TRUE),0,(G1253-G1252)*unitsOfExo+J1252)</f>
        <v>11125</v>
      </c>
      <c r="K1253" s="9">
        <f t="shared" si="59"/>
        <v>88875</v>
      </c>
      <c r="L1253">
        <f t="shared" si="60"/>
        <v>410755</v>
      </c>
    </row>
    <row r="1254" spans="4:12" x14ac:dyDescent="0.25">
      <c r="D1254" s="1">
        <v>42502</v>
      </c>
      <c r="E1254">
        <v>34952</v>
      </c>
      <c r="F1254" s="1">
        <v>42502</v>
      </c>
      <c r="G1254">
        <v>-3325</v>
      </c>
      <c r="H1254" s="1">
        <f t="shared" si="58"/>
        <v>42502</v>
      </c>
      <c r="I1254">
        <f>IF(AND(MyRowHidden(ROW())=FALSE,MyRowHidden(ROW()-1)=TRUE),0,(E1254-E1253)*unitsOfDHp+I1253)</f>
        <v>399520</v>
      </c>
      <c r="J1254">
        <f>IF(AND(MyRowHidden(ROW())=FALSE,MyRowHidden(ROW()-1)=TRUE),0,(G1254-G1253)*unitsOfExo+J1253)</f>
        <v>16750</v>
      </c>
      <c r="K1254" s="9">
        <f t="shared" si="59"/>
        <v>83250</v>
      </c>
      <c r="L1254">
        <f t="shared" si="60"/>
        <v>416270</v>
      </c>
    </row>
    <row r="1255" spans="4:12" x14ac:dyDescent="0.25">
      <c r="D1255" s="1">
        <v>42503</v>
      </c>
      <c r="E1255">
        <v>34936</v>
      </c>
      <c r="F1255" s="1">
        <v>42503</v>
      </c>
      <c r="G1255">
        <v>-3175</v>
      </c>
      <c r="H1255" s="1">
        <f t="shared" si="58"/>
        <v>42503</v>
      </c>
      <c r="I1255">
        <f>IF(AND(MyRowHidden(ROW())=FALSE,MyRowHidden(ROW()-1)=TRUE),0,(E1255-E1254)*unitsOfDHp+I1254)</f>
        <v>399360</v>
      </c>
      <c r="J1255">
        <f>IF(AND(MyRowHidden(ROW())=FALSE,MyRowHidden(ROW()-1)=TRUE),0,(G1255-G1254)*unitsOfExo+J1254)</f>
        <v>18250</v>
      </c>
      <c r="K1255" s="9">
        <f t="shared" si="59"/>
        <v>81750</v>
      </c>
      <c r="L1255">
        <f t="shared" si="60"/>
        <v>417610</v>
      </c>
    </row>
    <row r="1256" spans="4:12" x14ac:dyDescent="0.25">
      <c r="D1256" s="1">
        <v>42506</v>
      </c>
      <c r="E1256">
        <v>35143</v>
      </c>
      <c r="F1256" s="1">
        <v>42506</v>
      </c>
      <c r="G1256">
        <v>-3087.5</v>
      </c>
      <c r="H1256" s="1">
        <f t="shared" si="58"/>
        <v>42506</v>
      </c>
      <c r="I1256">
        <f>IF(AND(MyRowHidden(ROW())=FALSE,MyRowHidden(ROW()-1)=TRUE),0,(E1256-E1255)*unitsOfDHp+I1255)</f>
        <v>401430</v>
      </c>
      <c r="J1256">
        <f>IF(AND(MyRowHidden(ROW())=FALSE,MyRowHidden(ROW()-1)=TRUE),0,(G1256-G1255)*unitsOfExo+J1255)</f>
        <v>19125</v>
      </c>
      <c r="K1256" s="9">
        <f t="shared" si="59"/>
        <v>80875</v>
      </c>
      <c r="L1256">
        <f t="shared" si="60"/>
        <v>420555</v>
      </c>
    </row>
    <row r="1257" spans="4:12" x14ac:dyDescent="0.25">
      <c r="D1257" s="1">
        <v>42507</v>
      </c>
      <c r="E1257">
        <v>35126</v>
      </c>
      <c r="F1257" s="1">
        <v>42507</v>
      </c>
      <c r="G1257">
        <v>-2850</v>
      </c>
      <c r="H1257" s="1">
        <f t="shared" si="58"/>
        <v>42507</v>
      </c>
      <c r="I1257">
        <f>IF(AND(MyRowHidden(ROW())=FALSE,MyRowHidden(ROW()-1)=TRUE),0,(E1257-E1256)*unitsOfDHp+I1256)</f>
        <v>401260</v>
      </c>
      <c r="J1257">
        <f>IF(AND(MyRowHidden(ROW())=FALSE,MyRowHidden(ROW()-1)=TRUE),0,(G1257-G1256)*unitsOfExo+J1256)</f>
        <v>21500</v>
      </c>
      <c r="K1257" s="9">
        <f t="shared" si="59"/>
        <v>78500</v>
      </c>
      <c r="L1257">
        <f t="shared" si="60"/>
        <v>422760</v>
      </c>
    </row>
    <row r="1258" spans="4:12" x14ac:dyDescent="0.25">
      <c r="D1258" s="1">
        <v>42508</v>
      </c>
      <c r="E1258">
        <v>35205</v>
      </c>
      <c r="F1258" s="1">
        <v>42508</v>
      </c>
      <c r="G1258">
        <v>-2725</v>
      </c>
      <c r="H1258" s="1">
        <f t="shared" si="58"/>
        <v>42508</v>
      </c>
      <c r="I1258">
        <f>IF(AND(MyRowHidden(ROW())=FALSE,MyRowHidden(ROW()-1)=TRUE),0,(E1258-E1257)*unitsOfDHp+I1257)</f>
        <v>402050</v>
      </c>
      <c r="J1258">
        <f>IF(AND(MyRowHidden(ROW())=FALSE,MyRowHidden(ROW()-1)=TRUE),0,(G1258-G1257)*unitsOfExo+J1257)</f>
        <v>22750</v>
      </c>
      <c r="K1258" s="9">
        <f t="shared" si="59"/>
        <v>77250</v>
      </c>
      <c r="L1258">
        <f t="shared" si="60"/>
        <v>424800</v>
      </c>
    </row>
    <row r="1259" spans="4:12" x14ac:dyDescent="0.25">
      <c r="D1259" s="1">
        <v>42509</v>
      </c>
      <c r="E1259">
        <v>34908</v>
      </c>
      <c r="F1259" s="1">
        <v>42509</v>
      </c>
      <c r="G1259">
        <v>-3237.5</v>
      </c>
      <c r="H1259" s="1">
        <f t="shared" si="58"/>
        <v>42509</v>
      </c>
      <c r="I1259">
        <f>IF(AND(MyRowHidden(ROW())=FALSE,MyRowHidden(ROW()-1)=TRUE),0,(E1259-E1258)*unitsOfDHp+I1258)</f>
        <v>399080</v>
      </c>
      <c r="J1259">
        <f>IF(AND(MyRowHidden(ROW())=FALSE,MyRowHidden(ROW()-1)=TRUE),0,(G1259-G1258)*unitsOfExo+J1258)</f>
        <v>17625</v>
      </c>
      <c r="K1259" s="9">
        <f t="shared" si="59"/>
        <v>82375</v>
      </c>
      <c r="L1259">
        <f t="shared" si="60"/>
        <v>416705</v>
      </c>
    </row>
    <row r="1260" spans="4:12" x14ac:dyDescent="0.25">
      <c r="D1260" s="1">
        <v>42510</v>
      </c>
      <c r="E1260">
        <v>34837</v>
      </c>
      <c r="F1260" s="1">
        <v>42510</v>
      </c>
      <c r="G1260">
        <v>-3050</v>
      </c>
      <c r="H1260" s="1">
        <f t="shared" si="58"/>
        <v>42510</v>
      </c>
      <c r="I1260">
        <f>IF(AND(MyRowHidden(ROW())=FALSE,MyRowHidden(ROW()-1)=TRUE),0,(E1260-E1259)*unitsOfDHp+I1259)</f>
        <v>398370</v>
      </c>
      <c r="J1260">
        <f>IF(AND(MyRowHidden(ROW())=FALSE,MyRowHidden(ROW()-1)=TRUE),0,(G1260-G1259)*unitsOfExo+J1259)</f>
        <v>19500</v>
      </c>
      <c r="K1260" s="9">
        <f t="shared" si="59"/>
        <v>80500</v>
      </c>
      <c r="L1260">
        <f t="shared" si="60"/>
        <v>417870</v>
      </c>
    </row>
    <row r="1261" spans="4:12" x14ac:dyDescent="0.25">
      <c r="D1261" s="1">
        <v>42513</v>
      </c>
      <c r="E1261">
        <v>34838</v>
      </c>
      <c r="F1261" s="1">
        <v>42513</v>
      </c>
      <c r="G1261">
        <v>-2837.5</v>
      </c>
      <c r="H1261" s="1">
        <f t="shared" si="58"/>
        <v>42513</v>
      </c>
      <c r="I1261">
        <f>IF(AND(MyRowHidden(ROW())=FALSE,MyRowHidden(ROW()-1)=TRUE),0,(E1261-E1260)*unitsOfDHp+I1260)</f>
        <v>398380</v>
      </c>
      <c r="J1261">
        <f>IF(AND(MyRowHidden(ROW())=FALSE,MyRowHidden(ROW()-1)=TRUE),0,(G1261-G1260)*unitsOfExo+J1260)</f>
        <v>21625</v>
      </c>
      <c r="K1261" s="9">
        <f t="shared" si="59"/>
        <v>78375</v>
      </c>
      <c r="L1261">
        <f t="shared" si="60"/>
        <v>420005</v>
      </c>
    </row>
    <row r="1262" spans="4:12" x14ac:dyDescent="0.25">
      <c r="D1262" s="1">
        <v>42514</v>
      </c>
      <c r="E1262">
        <v>34837</v>
      </c>
      <c r="F1262" s="1">
        <v>42514</v>
      </c>
      <c r="G1262">
        <v>-2675</v>
      </c>
      <c r="H1262" s="1">
        <f t="shared" si="58"/>
        <v>42514</v>
      </c>
      <c r="I1262">
        <f>IF(AND(MyRowHidden(ROW())=FALSE,MyRowHidden(ROW()-1)=TRUE),0,(E1262-E1261)*unitsOfDHp+I1261)</f>
        <v>398370</v>
      </c>
      <c r="J1262">
        <f>IF(AND(MyRowHidden(ROW())=FALSE,MyRowHidden(ROW()-1)=TRUE),0,(G1262-G1261)*unitsOfExo+J1261)</f>
        <v>23250</v>
      </c>
      <c r="K1262" s="9">
        <f t="shared" si="59"/>
        <v>76750</v>
      </c>
      <c r="L1262">
        <f t="shared" si="60"/>
        <v>421620</v>
      </c>
    </row>
    <row r="1263" spans="4:12" x14ac:dyDescent="0.25">
      <c r="D1263" s="1">
        <v>42515</v>
      </c>
      <c r="E1263">
        <v>34829</v>
      </c>
      <c r="F1263" s="1">
        <v>42515</v>
      </c>
      <c r="G1263">
        <v>-2487.5</v>
      </c>
      <c r="H1263" s="1">
        <f t="shared" si="58"/>
        <v>42515</v>
      </c>
      <c r="I1263">
        <f>IF(AND(MyRowHidden(ROW())=FALSE,MyRowHidden(ROW()-1)=TRUE),0,(E1263-E1262)*unitsOfDHp+I1262)</f>
        <v>398290</v>
      </c>
      <c r="J1263">
        <f>IF(AND(MyRowHidden(ROW())=FALSE,MyRowHidden(ROW()-1)=TRUE),0,(G1263-G1262)*unitsOfExo+J1262)</f>
        <v>25125</v>
      </c>
      <c r="K1263" s="9">
        <f t="shared" si="59"/>
        <v>74875</v>
      </c>
      <c r="L1263">
        <f t="shared" si="60"/>
        <v>423415</v>
      </c>
    </row>
    <row r="1264" spans="4:12" x14ac:dyDescent="0.25">
      <c r="D1264" s="1">
        <v>42516</v>
      </c>
      <c r="E1264">
        <v>34727</v>
      </c>
      <c r="F1264" s="1">
        <v>42516</v>
      </c>
      <c r="G1264">
        <v>-2300</v>
      </c>
      <c r="H1264" s="1">
        <f t="shared" si="58"/>
        <v>42516</v>
      </c>
      <c r="I1264">
        <f>IF(AND(MyRowHidden(ROW())=FALSE,MyRowHidden(ROW()-1)=TRUE),0,(E1264-E1263)*unitsOfDHp+I1263)</f>
        <v>397270</v>
      </c>
      <c r="J1264">
        <f>IF(AND(MyRowHidden(ROW())=FALSE,MyRowHidden(ROW()-1)=TRUE),0,(G1264-G1263)*unitsOfExo+J1263)</f>
        <v>27000</v>
      </c>
      <c r="K1264" s="9">
        <f t="shared" si="59"/>
        <v>73000</v>
      </c>
      <c r="L1264">
        <f t="shared" si="60"/>
        <v>424270</v>
      </c>
    </row>
    <row r="1265" spans="4:12" x14ac:dyDescent="0.25">
      <c r="D1265" s="1">
        <v>42517</v>
      </c>
      <c r="E1265">
        <v>34619</v>
      </c>
      <c r="F1265" s="1">
        <v>42517</v>
      </c>
      <c r="G1265">
        <v>-2087.5</v>
      </c>
      <c r="H1265" s="1">
        <f t="shared" si="58"/>
        <v>42517</v>
      </c>
      <c r="I1265">
        <f>IF(AND(MyRowHidden(ROW())=FALSE,MyRowHidden(ROW()-1)=TRUE),0,(E1265-E1264)*unitsOfDHp+I1264)</f>
        <v>396190</v>
      </c>
      <c r="J1265">
        <f>IF(AND(MyRowHidden(ROW())=FALSE,MyRowHidden(ROW()-1)=TRUE),0,(G1265-G1264)*unitsOfExo+J1264)</f>
        <v>29125</v>
      </c>
      <c r="K1265" s="9">
        <f t="shared" si="59"/>
        <v>70875</v>
      </c>
      <c r="L1265">
        <f t="shared" si="60"/>
        <v>425315</v>
      </c>
    </row>
    <row r="1266" spans="4:12" x14ac:dyDescent="0.25">
      <c r="D1266" s="1">
        <v>42521</v>
      </c>
      <c r="E1266">
        <v>34716</v>
      </c>
      <c r="F1266" s="1">
        <v>42521</v>
      </c>
      <c r="G1266">
        <v>-2400</v>
      </c>
      <c r="H1266" s="1">
        <f t="shared" si="58"/>
        <v>42521</v>
      </c>
      <c r="I1266">
        <f>IF(AND(MyRowHidden(ROW())=FALSE,MyRowHidden(ROW()-1)=TRUE),0,(E1266-E1265)*unitsOfDHp+I1265)</f>
        <v>397160</v>
      </c>
      <c r="J1266">
        <f>IF(AND(MyRowHidden(ROW())=FALSE,MyRowHidden(ROW()-1)=TRUE),0,(G1266-G1265)*unitsOfExo+J1265)</f>
        <v>26000</v>
      </c>
      <c r="K1266" s="9">
        <f t="shared" si="59"/>
        <v>74000</v>
      </c>
      <c r="L1266">
        <f t="shared" si="60"/>
        <v>423160</v>
      </c>
    </row>
    <row r="1267" spans="4:12" x14ac:dyDescent="0.25">
      <c r="D1267" s="1">
        <v>42522</v>
      </c>
      <c r="E1267">
        <v>34335</v>
      </c>
      <c r="F1267" s="1">
        <v>42522</v>
      </c>
      <c r="G1267">
        <v>-2062.5</v>
      </c>
      <c r="H1267" s="1">
        <f t="shared" si="58"/>
        <v>42522</v>
      </c>
      <c r="I1267">
        <f>IF(AND(MyRowHidden(ROW())=FALSE,MyRowHidden(ROW()-1)=TRUE),0,(E1267-E1266)*unitsOfDHp+I1266)</f>
        <v>393350</v>
      </c>
      <c r="J1267">
        <f>IF(AND(MyRowHidden(ROW())=FALSE,MyRowHidden(ROW()-1)=TRUE),0,(G1267-G1266)*unitsOfExo+J1266)</f>
        <v>29375</v>
      </c>
      <c r="K1267" s="9">
        <f t="shared" si="59"/>
        <v>70625</v>
      </c>
      <c r="L1267">
        <f t="shared" si="60"/>
        <v>422725</v>
      </c>
    </row>
    <row r="1268" spans="4:12" x14ac:dyDescent="0.25">
      <c r="D1268" s="1">
        <v>42523</v>
      </c>
      <c r="E1268">
        <v>34263</v>
      </c>
      <c r="F1268" s="1">
        <v>42523</v>
      </c>
      <c r="G1268">
        <v>-1850</v>
      </c>
      <c r="H1268" s="1">
        <f t="shared" si="58"/>
        <v>42523</v>
      </c>
      <c r="I1268">
        <f>IF(AND(MyRowHidden(ROW())=FALSE,MyRowHidden(ROW()-1)=TRUE),0,(E1268-E1267)*unitsOfDHp+I1267)</f>
        <v>392630</v>
      </c>
      <c r="J1268">
        <f>IF(AND(MyRowHidden(ROW())=FALSE,MyRowHidden(ROW()-1)=TRUE),0,(G1268-G1267)*unitsOfExo+J1267)</f>
        <v>31500</v>
      </c>
      <c r="K1268" s="9">
        <f t="shared" si="59"/>
        <v>68500</v>
      </c>
      <c r="L1268">
        <f t="shared" si="60"/>
        <v>424130</v>
      </c>
    </row>
    <row r="1269" spans="4:12" x14ac:dyDescent="0.25">
      <c r="D1269" s="1">
        <v>42524</v>
      </c>
      <c r="E1269">
        <v>34239</v>
      </c>
      <c r="F1269" s="1">
        <v>42524</v>
      </c>
      <c r="G1269">
        <v>-1812.5</v>
      </c>
      <c r="H1269" s="1">
        <f t="shared" si="58"/>
        <v>42524</v>
      </c>
      <c r="I1269">
        <f>IF(AND(MyRowHidden(ROW())=FALSE,MyRowHidden(ROW()-1)=TRUE),0,(E1269-E1268)*unitsOfDHp+I1268)</f>
        <v>392390</v>
      </c>
      <c r="J1269">
        <f>IF(AND(MyRowHidden(ROW())=FALSE,MyRowHidden(ROW()-1)=TRUE),0,(G1269-G1268)*unitsOfExo+J1268)</f>
        <v>31875</v>
      </c>
      <c r="K1269" s="9">
        <f t="shared" si="59"/>
        <v>68125</v>
      </c>
      <c r="L1269">
        <f t="shared" si="60"/>
        <v>424265</v>
      </c>
    </row>
    <row r="1270" spans="4:12" x14ac:dyDescent="0.25">
      <c r="D1270" s="1">
        <v>42527</v>
      </c>
      <c r="E1270">
        <v>34082</v>
      </c>
      <c r="F1270" s="1">
        <v>42527</v>
      </c>
      <c r="G1270">
        <v>-1325</v>
      </c>
      <c r="H1270" s="1">
        <f t="shared" si="58"/>
        <v>42527</v>
      </c>
      <c r="I1270">
        <f>IF(AND(MyRowHidden(ROW())=FALSE,MyRowHidden(ROW()-1)=TRUE),0,(E1270-E1269)*unitsOfDHp+I1269)</f>
        <v>390820</v>
      </c>
      <c r="J1270">
        <f>IF(AND(MyRowHidden(ROW())=FALSE,MyRowHidden(ROW()-1)=TRUE),0,(G1270-G1269)*unitsOfExo+J1269)</f>
        <v>36750</v>
      </c>
      <c r="K1270" s="9">
        <f t="shared" si="59"/>
        <v>63250</v>
      </c>
      <c r="L1270">
        <f t="shared" si="60"/>
        <v>427570</v>
      </c>
    </row>
    <row r="1271" spans="4:12" x14ac:dyDescent="0.25">
      <c r="D1271" s="1">
        <v>42528</v>
      </c>
      <c r="E1271">
        <v>34139</v>
      </c>
      <c r="F1271" s="1">
        <v>42528</v>
      </c>
      <c r="G1271">
        <v>-1337.5</v>
      </c>
      <c r="H1271" s="1">
        <f t="shared" si="58"/>
        <v>42528</v>
      </c>
      <c r="I1271">
        <f>IF(AND(MyRowHidden(ROW())=FALSE,MyRowHidden(ROW()-1)=TRUE),0,(E1271-E1270)*unitsOfDHp+I1270)</f>
        <v>391390</v>
      </c>
      <c r="J1271">
        <f>IF(AND(MyRowHidden(ROW())=FALSE,MyRowHidden(ROW()-1)=TRUE),0,(G1271-G1270)*unitsOfExo+J1270)</f>
        <v>36625</v>
      </c>
      <c r="K1271" s="9">
        <f t="shared" si="59"/>
        <v>63375</v>
      </c>
      <c r="L1271">
        <f t="shared" si="60"/>
        <v>428015</v>
      </c>
    </row>
    <row r="1272" spans="4:12" x14ac:dyDescent="0.25">
      <c r="D1272" s="1">
        <v>42529</v>
      </c>
      <c r="E1272">
        <v>33848</v>
      </c>
      <c r="F1272" s="1">
        <v>42529</v>
      </c>
      <c r="G1272">
        <v>-1062.5</v>
      </c>
      <c r="H1272" s="1">
        <f t="shared" si="58"/>
        <v>42529</v>
      </c>
      <c r="I1272">
        <f>IF(AND(MyRowHidden(ROW())=FALSE,MyRowHidden(ROW()-1)=TRUE),0,(E1272-E1271)*unitsOfDHp+I1271)</f>
        <v>388480</v>
      </c>
      <c r="J1272">
        <f>IF(AND(MyRowHidden(ROW())=FALSE,MyRowHidden(ROW()-1)=TRUE),0,(G1272-G1271)*unitsOfExo+J1271)</f>
        <v>39375</v>
      </c>
      <c r="K1272" s="9">
        <f t="shared" si="59"/>
        <v>60625</v>
      </c>
      <c r="L1272">
        <f t="shared" si="60"/>
        <v>427855</v>
      </c>
    </row>
    <row r="1273" spans="4:12" x14ac:dyDescent="0.25">
      <c r="D1273" s="1">
        <v>42530</v>
      </c>
      <c r="E1273">
        <v>33921</v>
      </c>
      <c r="F1273" s="1">
        <v>42530</v>
      </c>
      <c r="G1273">
        <v>-1387.5</v>
      </c>
      <c r="H1273" s="1">
        <f t="shared" si="58"/>
        <v>42530</v>
      </c>
      <c r="I1273">
        <f>IF(AND(MyRowHidden(ROW())=FALSE,MyRowHidden(ROW()-1)=TRUE),0,(E1273-E1272)*unitsOfDHp+I1272)</f>
        <v>389210</v>
      </c>
      <c r="J1273">
        <f>IF(AND(MyRowHidden(ROW())=FALSE,MyRowHidden(ROW()-1)=TRUE),0,(G1273-G1272)*unitsOfExo+J1272)</f>
        <v>36125</v>
      </c>
      <c r="K1273" s="9">
        <f t="shared" si="59"/>
        <v>63875</v>
      </c>
      <c r="L1273">
        <f t="shared" si="60"/>
        <v>425335</v>
      </c>
    </row>
    <row r="1274" spans="4:12" x14ac:dyDescent="0.25">
      <c r="D1274" s="1">
        <v>42531</v>
      </c>
      <c r="E1274">
        <v>33952</v>
      </c>
      <c r="F1274" s="1">
        <v>42531</v>
      </c>
      <c r="G1274">
        <v>-1562.5</v>
      </c>
      <c r="H1274" s="1">
        <f t="shared" si="58"/>
        <v>42531</v>
      </c>
      <c r="I1274">
        <f>IF(AND(MyRowHidden(ROW())=FALSE,MyRowHidden(ROW()-1)=TRUE),0,(E1274-E1273)*unitsOfDHp+I1273)</f>
        <v>389520</v>
      </c>
      <c r="J1274">
        <f>IF(AND(MyRowHidden(ROW())=FALSE,MyRowHidden(ROW()-1)=TRUE),0,(G1274-G1273)*unitsOfExo+J1273)</f>
        <v>34375</v>
      </c>
      <c r="K1274" s="9">
        <f t="shared" si="59"/>
        <v>65625</v>
      </c>
      <c r="L1274">
        <f t="shared" si="60"/>
        <v>423895</v>
      </c>
    </row>
    <row r="1275" spans="4:12" x14ac:dyDescent="0.25">
      <c r="D1275" s="1">
        <v>42534</v>
      </c>
      <c r="E1275">
        <v>33802</v>
      </c>
      <c r="F1275" s="1">
        <v>42534</v>
      </c>
      <c r="G1275">
        <v>-1225</v>
      </c>
      <c r="H1275" s="1">
        <f t="shared" si="58"/>
        <v>42534</v>
      </c>
      <c r="I1275">
        <f>IF(AND(MyRowHidden(ROW())=FALSE,MyRowHidden(ROW()-1)=TRUE),0,(E1275-E1274)*unitsOfDHp+I1274)</f>
        <v>388020</v>
      </c>
      <c r="J1275">
        <f>IF(AND(MyRowHidden(ROW())=FALSE,MyRowHidden(ROW()-1)=TRUE),0,(G1275-G1274)*unitsOfExo+J1274)</f>
        <v>37750</v>
      </c>
      <c r="K1275" s="9">
        <f t="shared" si="59"/>
        <v>62250</v>
      </c>
      <c r="L1275">
        <f t="shared" si="60"/>
        <v>425770</v>
      </c>
    </row>
    <row r="1276" spans="4:12" x14ac:dyDescent="0.25">
      <c r="D1276" s="1">
        <v>42535</v>
      </c>
      <c r="E1276">
        <v>33929</v>
      </c>
      <c r="F1276" s="1">
        <v>42535</v>
      </c>
      <c r="G1276">
        <v>-1000</v>
      </c>
      <c r="H1276" s="1">
        <f t="shared" si="58"/>
        <v>42535</v>
      </c>
      <c r="I1276">
        <f>IF(AND(MyRowHidden(ROW())=FALSE,MyRowHidden(ROW()-1)=TRUE),0,(E1276-E1275)*unitsOfDHp+I1275)</f>
        <v>389290</v>
      </c>
      <c r="J1276">
        <f>IF(AND(MyRowHidden(ROW())=FALSE,MyRowHidden(ROW()-1)=TRUE),0,(G1276-G1275)*unitsOfExo+J1275)</f>
        <v>40000</v>
      </c>
      <c r="K1276" s="9">
        <f t="shared" si="59"/>
        <v>60000</v>
      </c>
      <c r="L1276">
        <f t="shared" si="60"/>
        <v>429290</v>
      </c>
    </row>
    <row r="1277" spans="4:12" x14ac:dyDescent="0.25">
      <c r="D1277" s="1">
        <v>42536</v>
      </c>
      <c r="E1277">
        <v>33942</v>
      </c>
      <c r="F1277" s="1">
        <v>42536</v>
      </c>
      <c r="G1277">
        <v>-1137.5</v>
      </c>
      <c r="H1277" s="1">
        <f t="shared" si="58"/>
        <v>42536</v>
      </c>
      <c r="I1277">
        <f>IF(AND(MyRowHidden(ROW())=FALSE,MyRowHidden(ROW()-1)=TRUE),0,(E1277-E1276)*unitsOfDHp+I1276)</f>
        <v>389420</v>
      </c>
      <c r="J1277">
        <f>IF(AND(MyRowHidden(ROW())=FALSE,MyRowHidden(ROW()-1)=TRUE),0,(G1277-G1276)*unitsOfExo+J1276)</f>
        <v>38625</v>
      </c>
      <c r="K1277" s="9">
        <f t="shared" si="59"/>
        <v>61375</v>
      </c>
      <c r="L1277">
        <f t="shared" si="60"/>
        <v>428045</v>
      </c>
    </row>
    <row r="1278" spans="4:12" x14ac:dyDescent="0.25">
      <c r="D1278" s="1">
        <v>42537</v>
      </c>
      <c r="E1278">
        <v>34177</v>
      </c>
      <c r="F1278" s="1">
        <v>42537</v>
      </c>
      <c r="G1278">
        <v>-1450</v>
      </c>
      <c r="H1278" s="1">
        <f t="shared" si="58"/>
        <v>42537</v>
      </c>
      <c r="I1278">
        <f>IF(AND(MyRowHidden(ROW())=FALSE,MyRowHidden(ROW()-1)=TRUE),0,(E1278-E1277)*unitsOfDHp+I1277)</f>
        <v>391770</v>
      </c>
      <c r="J1278">
        <f>IF(AND(MyRowHidden(ROW())=FALSE,MyRowHidden(ROW()-1)=TRUE),0,(G1278-G1277)*unitsOfExo+J1277)</f>
        <v>35500</v>
      </c>
      <c r="K1278" s="9">
        <f t="shared" si="59"/>
        <v>64500</v>
      </c>
      <c r="L1278">
        <f t="shared" si="60"/>
        <v>427270</v>
      </c>
    </row>
    <row r="1279" spans="4:12" x14ac:dyDescent="0.25">
      <c r="D1279" s="1">
        <v>42538</v>
      </c>
      <c r="E1279">
        <v>34023</v>
      </c>
      <c r="F1279" s="1">
        <v>42538</v>
      </c>
      <c r="G1279">
        <v>-975</v>
      </c>
      <c r="H1279" s="1">
        <f t="shared" si="58"/>
        <v>42538</v>
      </c>
      <c r="I1279">
        <f>IF(AND(MyRowHidden(ROW())=FALSE,MyRowHidden(ROW()-1)=TRUE),0,(E1279-E1278)*unitsOfDHp+I1278)</f>
        <v>390230</v>
      </c>
      <c r="J1279">
        <f>IF(AND(MyRowHidden(ROW())=FALSE,MyRowHidden(ROW()-1)=TRUE),0,(G1279-G1278)*unitsOfExo+J1278)</f>
        <v>40250</v>
      </c>
      <c r="K1279" s="9">
        <f t="shared" si="59"/>
        <v>59750</v>
      </c>
      <c r="L1279">
        <f t="shared" si="60"/>
        <v>430480</v>
      </c>
    </row>
    <row r="1280" spans="4:12" x14ac:dyDescent="0.25">
      <c r="D1280" s="1">
        <v>42541</v>
      </c>
      <c r="E1280">
        <v>34172</v>
      </c>
      <c r="F1280" s="1">
        <v>42541</v>
      </c>
      <c r="G1280">
        <v>-1537.5</v>
      </c>
      <c r="H1280" s="1">
        <f t="shared" si="58"/>
        <v>42541</v>
      </c>
      <c r="I1280">
        <f>IF(AND(MyRowHidden(ROW())=FALSE,MyRowHidden(ROW()-1)=TRUE),0,(E1280-E1279)*unitsOfDHp+I1279)</f>
        <v>391720</v>
      </c>
      <c r="J1280">
        <f>IF(AND(MyRowHidden(ROW())=FALSE,MyRowHidden(ROW()-1)=TRUE),0,(G1280-G1279)*unitsOfExo+J1279)</f>
        <v>34625</v>
      </c>
      <c r="K1280" s="9">
        <f t="shared" si="59"/>
        <v>65375</v>
      </c>
      <c r="L1280">
        <f t="shared" si="60"/>
        <v>426345</v>
      </c>
    </row>
    <row r="1281" spans="4:12" x14ac:dyDescent="0.25">
      <c r="D1281" s="1">
        <v>42542</v>
      </c>
      <c r="E1281">
        <v>35403</v>
      </c>
      <c r="F1281" s="1">
        <v>42542</v>
      </c>
      <c r="G1281">
        <v>-2812.5</v>
      </c>
      <c r="H1281" s="1">
        <f t="shared" si="58"/>
        <v>42542</v>
      </c>
      <c r="I1281">
        <f>IF(AND(MyRowHidden(ROW())=FALSE,MyRowHidden(ROW()-1)=TRUE),0,(E1281-E1280)*unitsOfDHp+I1280)</f>
        <v>404030</v>
      </c>
      <c r="J1281">
        <f>IF(AND(MyRowHidden(ROW())=FALSE,MyRowHidden(ROW()-1)=TRUE),0,(G1281-G1280)*unitsOfExo+J1280)</f>
        <v>21875</v>
      </c>
      <c r="K1281" s="9">
        <f t="shared" si="59"/>
        <v>78125</v>
      </c>
      <c r="L1281">
        <f t="shared" si="60"/>
        <v>425905</v>
      </c>
    </row>
    <row r="1282" spans="4:12" x14ac:dyDescent="0.25">
      <c r="D1282" s="1">
        <v>42543</v>
      </c>
      <c r="E1282">
        <v>35352</v>
      </c>
      <c r="F1282" s="1">
        <v>42543</v>
      </c>
      <c r="G1282">
        <v>-2825</v>
      </c>
      <c r="H1282" s="1">
        <f t="shared" si="58"/>
        <v>42543</v>
      </c>
      <c r="I1282">
        <f>IF(AND(MyRowHidden(ROW())=FALSE,MyRowHidden(ROW()-1)=TRUE),0,(E1282-E1281)*unitsOfDHp+I1281)</f>
        <v>403520</v>
      </c>
      <c r="J1282">
        <f>IF(AND(MyRowHidden(ROW())=FALSE,MyRowHidden(ROW()-1)=TRUE),0,(G1282-G1281)*unitsOfExo+J1281)</f>
        <v>21750</v>
      </c>
      <c r="K1282" s="9">
        <f t="shared" si="59"/>
        <v>78250</v>
      </c>
      <c r="L1282">
        <f t="shared" si="60"/>
        <v>425270</v>
      </c>
    </row>
    <row r="1283" spans="4:12" x14ac:dyDescent="0.25">
      <c r="D1283" s="1">
        <v>42544</v>
      </c>
      <c r="E1283">
        <v>35313</v>
      </c>
      <c r="F1283" s="1">
        <v>42544</v>
      </c>
      <c r="G1283">
        <v>-3287.5</v>
      </c>
      <c r="H1283" s="1">
        <f t="shared" si="58"/>
        <v>42544</v>
      </c>
      <c r="I1283">
        <f>IF(AND(MyRowHidden(ROW())=FALSE,MyRowHidden(ROW()-1)=TRUE),0,(E1283-E1282)*unitsOfDHp+I1282)</f>
        <v>403130</v>
      </c>
      <c r="J1283">
        <f>IF(AND(MyRowHidden(ROW())=FALSE,MyRowHidden(ROW()-1)=TRUE),0,(G1283-G1282)*unitsOfExo+J1282)</f>
        <v>17125</v>
      </c>
      <c r="K1283" s="9">
        <f t="shared" si="59"/>
        <v>82875</v>
      </c>
      <c r="L1283">
        <f t="shared" si="60"/>
        <v>420255</v>
      </c>
    </row>
    <row r="1284" spans="4:12" x14ac:dyDescent="0.25">
      <c r="D1284" s="1">
        <v>42545</v>
      </c>
      <c r="E1284">
        <v>35340</v>
      </c>
      <c r="F1284" s="1">
        <v>42545</v>
      </c>
      <c r="G1284">
        <v>-3587.5</v>
      </c>
      <c r="H1284" s="1">
        <f t="shared" si="58"/>
        <v>42545</v>
      </c>
      <c r="I1284">
        <f>IF(AND(MyRowHidden(ROW())=FALSE,MyRowHidden(ROW()-1)=TRUE),0,(E1284-E1283)*unitsOfDHp+I1283)</f>
        <v>403400</v>
      </c>
      <c r="J1284">
        <f>IF(AND(MyRowHidden(ROW())=FALSE,MyRowHidden(ROW()-1)=TRUE),0,(G1284-G1283)*unitsOfExo+J1283)</f>
        <v>14125</v>
      </c>
      <c r="K1284" s="9">
        <f t="shared" si="59"/>
        <v>85875</v>
      </c>
      <c r="L1284">
        <f t="shared" si="60"/>
        <v>417525</v>
      </c>
    </row>
    <row r="1285" spans="4:12" x14ac:dyDescent="0.25">
      <c r="D1285" s="1">
        <v>42548</v>
      </c>
      <c r="E1285">
        <v>35253</v>
      </c>
      <c r="F1285" s="1">
        <v>42548</v>
      </c>
      <c r="G1285">
        <v>-3450</v>
      </c>
      <c r="H1285" s="1">
        <f t="shared" si="58"/>
        <v>42548</v>
      </c>
      <c r="I1285">
        <f>IF(AND(MyRowHidden(ROW())=FALSE,MyRowHidden(ROW()-1)=TRUE),0,(E1285-E1284)*unitsOfDHp+I1284)</f>
        <v>402530</v>
      </c>
      <c r="J1285">
        <f>IF(AND(MyRowHidden(ROW())=FALSE,MyRowHidden(ROW()-1)=TRUE),0,(G1285-G1284)*unitsOfExo+J1284)</f>
        <v>15500</v>
      </c>
      <c r="K1285" s="9">
        <f t="shared" si="59"/>
        <v>84500</v>
      </c>
      <c r="L1285">
        <f t="shared" si="60"/>
        <v>418030</v>
      </c>
    </row>
    <row r="1286" spans="4:12" x14ac:dyDescent="0.25">
      <c r="D1286" s="1">
        <v>42549</v>
      </c>
      <c r="E1286">
        <v>35181</v>
      </c>
      <c r="F1286" s="1">
        <v>42549</v>
      </c>
      <c r="G1286">
        <v>-3400</v>
      </c>
      <c r="H1286" s="1">
        <f t="shared" si="58"/>
        <v>42549</v>
      </c>
      <c r="I1286">
        <f>IF(AND(MyRowHidden(ROW())=FALSE,MyRowHidden(ROW()-1)=TRUE),0,(E1286-E1285)*unitsOfDHp+I1285)</f>
        <v>401810</v>
      </c>
      <c r="J1286">
        <f>IF(AND(MyRowHidden(ROW())=FALSE,MyRowHidden(ROW()-1)=TRUE),0,(G1286-G1285)*unitsOfExo+J1285)</f>
        <v>16000</v>
      </c>
      <c r="K1286" s="9">
        <f t="shared" si="59"/>
        <v>84000</v>
      </c>
      <c r="L1286">
        <f t="shared" si="60"/>
        <v>417810</v>
      </c>
    </row>
    <row r="1287" spans="4:12" x14ac:dyDescent="0.25">
      <c r="D1287" s="1">
        <v>42550</v>
      </c>
      <c r="E1287">
        <v>36240</v>
      </c>
      <c r="F1287" s="1">
        <v>42550</v>
      </c>
      <c r="G1287">
        <v>-3987.5</v>
      </c>
      <c r="H1287" s="1">
        <f t="shared" si="58"/>
        <v>42550</v>
      </c>
      <c r="I1287">
        <f>IF(AND(MyRowHidden(ROW())=FALSE,MyRowHidden(ROW()-1)=TRUE),0,(E1287-E1286)*unitsOfDHp+I1286)</f>
        <v>412400</v>
      </c>
      <c r="J1287">
        <f>IF(AND(MyRowHidden(ROW())=FALSE,MyRowHidden(ROW()-1)=TRUE),0,(G1287-G1286)*unitsOfExo+J1286)</f>
        <v>10125</v>
      </c>
      <c r="K1287" s="9">
        <f t="shared" si="59"/>
        <v>89875</v>
      </c>
      <c r="L1287">
        <f t="shared" si="60"/>
        <v>422525</v>
      </c>
    </row>
    <row r="1288" spans="4:12" x14ac:dyDescent="0.25">
      <c r="D1288" s="1">
        <v>42551</v>
      </c>
      <c r="E1288">
        <v>37626</v>
      </c>
      <c r="F1288" s="1">
        <v>42551</v>
      </c>
      <c r="G1288">
        <v>-4700</v>
      </c>
      <c r="H1288" s="1">
        <f t="shared" si="58"/>
        <v>42551</v>
      </c>
      <c r="I1288">
        <f>IF(AND(MyRowHidden(ROW())=FALSE,MyRowHidden(ROW()-1)=TRUE),0,(E1288-E1287)*unitsOfDHp+I1287)</f>
        <v>426260</v>
      </c>
      <c r="J1288">
        <f>IF(AND(MyRowHidden(ROW())=FALSE,MyRowHidden(ROW()-1)=TRUE),0,(G1288-G1287)*unitsOfExo+J1287)</f>
        <v>3000</v>
      </c>
      <c r="K1288" s="9">
        <f t="shared" si="59"/>
        <v>97000</v>
      </c>
      <c r="L1288">
        <f t="shared" si="60"/>
        <v>429260</v>
      </c>
    </row>
    <row r="1289" spans="4:12" x14ac:dyDescent="0.25">
      <c r="D1289" s="1">
        <v>42552</v>
      </c>
      <c r="E1289">
        <v>38531</v>
      </c>
      <c r="F1289" s="1">
        <v>42552</v>
      </c>
      <c r="G1289">
        <v>-5025</v>
      </c>
      <c r="H1289" s="1">
        <f t="shared" si="58"/>
        <v>42552</v>
      </c>
      <c r="I1289">
        <f>IF(AND(MyRowHidden(ROW())=FALSE,MyRowHidden(ROW()-1)=TRUE),0,(E1289-E1288)*unitsOfDHp+I1288)</f>
        <v>435310</v>
      </c>
      <c r="J1289">
        <f>IF(AND(MyRowHidden(ROW())=FALSE,MyRowHidden(ROW()-1)=TRUE),0,(G1289-G1288)*unitsOfExo+J1288)</f>
        <v>-250</v>
      </c>
      <c r="K1289" s="9">
        <f t="shared" si="59"/>
        <v>100250</v>
      </c>
      <c r="L1289">
        <f t="shared" si="60"/>
        <v>435060</v>
      </c>
    </row>
    <row r="1290" spans="4:12" x14ac:dyDescent="0.25">
      <c r="D1290" s="1">
        <v>42556</v>
      </c>
      <c r="E1290">
        <v>39496</v>
      </c>
      <c r="F1290" s="1">
        <v>42556</v>
      </c>
      <c r="G1290">
        <v>-5600</v>
      </c>
      <c r="H1290" s="1">
        <f t="shared" si="58"/>
        <v>42556</v>
      </c>
      <c r="I1290">
        <f>IF(AND(MyRowHidden(ROW())=FALSE,MyRowHidden(ROW()-1)=TRUE),0,(E1290-E1289)*unitsOfDHp+I1289)</f>
        <v>444960</v>
      </c>
      <c r="J1290">
        <f>IF(AND(MyRowHidden(ROW())=FALSE,MyRowHidden(ROW()-1)=TRUE),0,(G1290-G1289)*unitsOfExo+J1289)</f>
        <v>-6000</v>
      </c>
      <c r="K1290" s="9">
        <f t="shared" si="59"/>
        <v>106000</v>
      </c>
      <c r="L1290">
        <f t="shared" si="60"/>
        <v>438960</v>
      </c>
    </row>
    <row r="1291" spans="4:12" x14ac:dyDescent="0.25">
      <c r="D1291" s="1">
        <v>42557</v>
      </c>
      <c r="E1291">
        <v>39973</v>
      </c>
      <c r="F1291" s="1">
        <v>42557</v>
      </c>
      <c r="G1291">
        <v>-5775</v>
      </c>
      <c r="H1291" s="1">
        <f t="shared" si="58"/>
        <v>42557</v>
      </c>
      <c r="I1291">
        <f>IF(AND(MyRowHidden(ROW())=FALSE,MyRowHidden(ROW()-1)=TRUE),0,(E1291-E1290)*unitsOfDHp+I1290)</f>
        <v>449730</v>
      </c>
      <c r="J1291">
        <f>IF(AND(MyRowHidden(ROW())=FALSE,MyRowHidden(ROW()-1)=TRUE),0,(G1291-G1290)*unitsOfExo+J1290)</f>
        <v>-7750</v>
      </c>
      <c r="K1291" s="9">
        <f t="shared" si="59"/>
        <v>107750</v>
      </c>
      <c r="L1291">
        <f t="shared" si="60"/>
        <v>441980</v>
      </c>
    </row>
    <row r="1292" spans="4:12" x14ac:dyDescent="0.25">
      <c r="D1292" s="1">
        <v>42558</v>
      </c>
      <c r="E1292">
        <v>40003</v>
      </c>
      <c r="F1292" s="1">
        <v>42558</v>
      </c>
      <c r="G1292">
        <v>-5900</v>
      </c>
      <c r="H1292" s="1">
        <f t="shared" si="58"/>
        <v>42558</v>
      </c>
      <c r="I1292">
        <f>IF(AND(MyRowHidden(ROW())=FALSE,MyRowHidden(ROW()-1)=TRUE),0,(E1292-E1291)*unitsOfDHp+I1291)</f>
        <v>450030</v>
      </c>
      <c r="J1292">
        <f>IF(AND(MyRowHidden(ROW())=FALSE,MyRowHidden(ROW()-1)=TRUE),0,(G1292-G1291)*unitsOfExo+J1291)</f>
        <v>-9000</v>
      </c>
      <c r="K1292" s="9">
        <f t="shared" si="59"/>
        <v>109000</v>
      </c>
      <c r="L1292">
        <f t="shared" si="60"/>
        <v>441030</v>
      </c>
    </row>
    <row r="1293" spans="4:12" x14ac:dyDescent="0.25">
      <c r="D1293" s="1">
        <v>42559</v>
      </c>
      <c r="E1293">
        <v>39769</v>
      </c>
      <c r="F1293" s="1">
        <v>42559</v>
      </c>
      <c r="G1293">
        <v>-5237.5</v>
      </c>
      <c r="H1293" s="1">
        <f t="shared" ref="H1293:H1356" si="61">D1293</f>
        <v>42559</v>
      </c>
      <c r="I1293">
        <f>IF(AND(MyRowHidden(ROW())=FALSE,MyRowHidden(ROW()-1)=TRUE),0,(E1293-E1292)*unitsOfDHp+I1292)</f>
        <v>447690</v>
      </c>
      <c r="J1293">
        <f>IF(AND(MyRowHidden(ROW())=FALSE,MyRowHidden(ROW()-1)=TRUE),0,(G1293-G1292)*unitsOfExo+J1292)</f>
        <v>-2375</v>
      </c>
      <c r="K1293" s="9">
        <f t="shared" ref="K1293:K1356" si="62">-(J1293-J1292)+K1292</f>
        <v>102375</v>
      </c>
      <c r="L1293">
        <f t="shared" ref="L1293:L1356" si="63">I1293+J1293</f>
        <v>445315</v>
      </c>
    </row>
    <row r="1294" spans="4:12" x14ac:dyDescent="0.25">
      <c r="D1294" s="1">
        <v>42562</v>
      </c>
      <c r="E1294">
        <v>39750</v>
      </c>
      <c r="F1294" s="1">
        <v>42562</v>
      </c>
      <c r="G1294">
        <v>-5512.5</v>
      </c>
      <c r="H1294" s="1">
        <f t="shared" si="61"/>
        <v>42562</v>
      </c>
      <c r="I1294">
        <f>IF(AND(MyRowHidden(ROW())=FALSE,MyRowHidden(ROW()-1)=TRUE),0,(E1294-E1293)*unitsOfDHp+I1293)</f>
        <v>447500</v>
      </c>
      <c r="J1294">
        <f>IF(AND(MyRowHidden(ROW())=FALSE,MyRowHidden(ROW()-1)=TRUE),0,(G1294-G1293)*unitsOfExo+J1293)</f>
        <v>-5125</v>
      </c>
      <c r="K1294" s="9">
        <f t="shared" si="62"/>
        <v>105125</v>
      </c>
      <c r="L1294">
        <f t="shared" si="63"/>
        <v>442375</v>
      </c>
    </row>
    <row r="1295" spans="4:12" x14ac:dyDescent="0.25">
      <c r="D1295" s="1">
        <v>42563</v>
      </c>
      <c r="E1295">
        <v>39597</v>
      </c>
      <c r="F1295" s="1">
        <v>42563</v>
      </c>
      <c r="G1295">
        <v>-5162.5</v>
      </c>
      <c r="H1295" s="1">
        <f t="shared" si="61"/>
        <v>42563</v>
      </c>
      <c r="I1295">
        <f>IF(AND(MyRowHidden(ROW())=FALSE,MyRowHidden(ROW()-1)=TRUE),0,(E1295-E1294)*unitsOfDHp+I1294)</f>
        <v>445970</v>
      </c>
      <c r="J1295">
        <f>IF(AND(MyRowHidden(ROW())=FALSE,MyRowHidden(ROW()-1)=TRUE),0,(G1295-G1294)*unitsOfExo+J1294)</f>
        <v>-1625</v>
      </c>
      <c r="K1295" s="9">
        <f t="shared" si="62"/>
        <v>101625</v>
      </c>
      <c r="L1295">
        <f t="shared" si="63"/>
        <v>444345</v>
      </c>
    </row>
    <row r="1296" spans="4:12" x14ac:dyDescent="0.25">
      <c r="D1296" s="1">
        <v>42564</v>
      </c>
      <c r="E1296">
        <v>39599</v>
      </c>
      <c r="F1296" s="1">
        <v>42564</v>
      </c>
      <c r="G1296">
        <v>-4675</v>
      </c>
      <c r="H1296" s="1">
        <f t="shared" si="61"/>
        <v>42564</v>
      </c>
      <c r="I1296">
        <f>IF(AND(MyRowHidden(ROW())=FALSE,MyRowHidden(ROW()-1)=TRUE),0,(E1296-E1295)*unitsOfDHp+I1295)</f>
        <v>445990</v>
      </c>
      <c r="J1296">
        <f>IF(AND(MyRowHidden(ROW())=FALSE,MyRowHidden(ROW()-1)=TRUE),0,(G1296-G1295)*unitsOfExo+J1295)</f>
        <v>3250</v>
      </c>
      <c r="K1296" s="9">
        <f t="shared" si="62"/>
        <v>96750</v>
      </c>
      <c r="L1296">
        <f t="shared" si="63"/>
        <v>449240</v>
      </c>
    </row>
    <row r="1297" spans="4:12" x14ac:dyDescent="0.25">
      <c r="D1297" s="1">
        <v>42565</v>
      </c>
      <c r="E1297">
        <v>39687</v>
      </c>
      <c r="F1297" s="1">
        <v>42565</v>
      </c>
      <c r="G1297">
        <v>-4862.5</v>
      </c>
      <c r="H1297" s="1">
        <f t="shared" si="61"/>
        <v>42565</v>
      </c>
      <c r="I1297">
        <f>IF(AND(MyRowHidden(ROW())=FALSE,MyRowHidden(ROW()-1)=TRUE),0,(E1297-E1296)*unitsOfDHp+I1296)</f>
        <v>446870</v>
      </c>
      <c r="J1297">
        <f>IF(AND(MyRowHidden(ROW())=FALSE,MyRowHidden(ROW()-1)=TRUE),0,(G1297-G1296)*unitsOfExo+J1296)</f>
        <v>1375</v>
      </c>
      <c r="K1297" s="9">
        <f t="shared" si="62"/>
        <v>98625</v>
      </c>
      <c r="L1297">
        <f t="shared" si="63"/>
        <v>448245</v>
      </c>
    </row>
    <row r="1298" spans="4:12" x14ac:dyDescent="0.25">
      <c r="D1298" s="1">
        <v>42566</v>
      </c>
      <c r="E1298">
        <v>39860</v>
      </c>
      <c r="F1298" s="1">
        <v>42566</v>
      </c>
      <c r="G1298">
        <v>-5125</v>
      </c>
      <c r="H1298" s="1">
        <f t="shared" si="61"/>
        <v>42566</v>
      </c>
      <c r="I1298">
        <f>IF(AND(MyRowHidden(ROW())=FALSE,MyRowHidden(ROW()-1)=TRUE),0,(E1298-E1297)*unitsOfDHp+I1297)</f>
        <v>448600</v>
      </c>
      <c r="J1298">
        <f>IF(AND(MyRowHidden(ROW())=FALSE,MyRowHidden(ROW()-1)=TRUE),0,(G1298-G1297)*unitsOfExo+J1297)</f>
        <v>-1250</v>
      </c>
      <c r="K1298" s="9">
        <f t="shared" si="62"/>
        <v>101250</v>
      </c>
      <c r="L1298">
        <f t="shared" si="63"/>
        <v>447350</v>
      </c>
    </row>
    <row r="1299" spans="4:12" x14ac:dyDescent="0.25">
      <c r="D1299" s="1">
        <v>42569</v>
      </c>
      <c r="E1299">
        <v>39822</v>
      </c>
      <c r="F1299" s="1">
        <v>42569</v>
      </c>
      <c r="G1299">
        <v>-5012.5</v>
      </c>
      <c r="H1299" s="1">
        <f t="shared" si="61"/>
        <v>42569</v>
      </c>
      <c r="I1299">
        <f>IF(AND(MyRowHidden(ROW())=FALSE,MyRowHidden(ROW()-1)=TRUE),0,(E1299-E1298)*unitsOfDHp+I1298)</f>
        <v>448220</v>
      </c>
      <c r="J1299">
        <f>IF(AND(MyRowHidden(ROW())=FALSE,MyRowHidden(ROW()-1)=TRUE),0,(G1299-G1298)*unitsOfExo+J1298)</f>
        <v>-125</v>
      </c>
      <c r="K1299" s="9">
        <f t="shared" si="62"/>
        <v>100125</v>
      </c>
      <c r="L1299">
        <f t="shared" si="63"/>
        <v>448095</v>
      </c>
    </row>
    <row r="1300" spans="4:12" x14ac:dyDescent="0.25">
      <c r="D1300" s="1">
        <v>42570</v>
      </c>
      <c r="E1300">
        <v>39833</v>
      </c>
      <c r="F1300" s="1">
        <v>42570</v>
      </c>
      <c r="G1300">
        <v>-5600</v>
      </c>
      <c r="H1300" s="1">
        <f t="shared" si="61"/>
        <v>42570</v>
      </c>
      <c r="I1300">
        <f>IF(AND(MyRowHidden(ROW())=FALSE,MyRowHidden(ROW()-1)=TRUE),0,(E1300-E1299)*unitsOfDHp+I1299)</f>
        <v>448330</v>
      </c>
      <c r="J1300">
        <f>IF(AND(MyRowHidden(ROW())=FALSE,MyRowHidden(ROW()-1)=TRUE),0,(G1300-G1299)*unitsOfExo+J1299)</f>
        <v>-6000</v>
      </c>
      <c r="K1300" s="9">
        <f t="shared" si="62"/>
        <v>106000</v>
      </c>
      <c r="L1300">
        <f t="shared" si="63"/>
        <v>442330</v>
      </c>
    </row>
    <row r="1301" spans="4:12" x14ac:dyDescent="0.25">
      <c r="D1301" s="1">
        <v>42571</v>
      </c>
      <c r="E1301">
        <v>39763</v>
      </c>
      <c r="F1301" s="1">
        <v>42571</v>
      </c>
      <c r="G1301">
        <v>-6000</v>
      </c>
      <c r="H1301" s="1">
        <f t="shared" si="61"/>
        <v>42571</v>
      </c>
      <c r="I1301">
        <f>IF(AND(MyRowHidden(ROW())=FALSE,MyRowHidden(ROW()-1)=TRUE),0,(E1301-E1300)*unitsOfDHp+I1300)</f>
        <v>447630</v>
      </c>
      <c r="J1301">
        <f>IF(AND(MyRowHidden(ROW())=FALSE,MyRowHidden(ROW()-1)=TRUE),0,(G1301-G1300)*unitsOfExo+J1300)</f>
        <v>-10000</v>
      </c>
      <c r="K1301" s="9">
        <f t="shared" si="62"/>
        <v>110000</v>
      </c>
      <c r="L1301">
        <f t="shared" si="63"/>
        <v>437630</v>
      </c>
    </row>
    <row r="1302" spans="4:12" x14ac:dyDescent="0.25">
      <c r="D1302" s="1">
        <v>42572</v>
      </c>
      <c r="E1302">
        <v>39779</v>
      </c>
      <c r="F1302" s="1">
        <v>42572</v>
      </c>
      <c r="G1302">
        <v>-6025</v>
      </c>
      <c r="H1302" s="1">
        <f t="shared" si="61"/>
        <v>42572</v>
      </c>
      <c r="I1302">
        <f>IF(AND(MyRowHidden(ROW())=FALSE,MyRowHidden(ROW()-1)=TRUE),0,(E1302-E1301)*unitsOfDHp+I1301)</f>
        <v>447790</v>
      </c>
      <c r="J1302">
        <f>IF(AND(MyRowHidden(ROW())=FALSE,MyRowHidden(ROW()-1)=TRUE),0,(G1302-G1301)*unitsOfExo+J1301)</f>
        <v>-10250</v>
      </c>
      <c r="K1302" s="9">
        <f t="shared" si="62"/>
        <v>110250</v>
      </c>
      <c r="L1302">
        <f t="shared" si="63"/>
        <v>437540</v>
      </c>
    </row>
    <row r="1303" spans="4:12" x14ac:dyDescent="0.25">
      <c r="D1303" s="1">
        <v>42573</v>
      </c>
      <c r="E1303">
        <v>39794</v>
      </c>
      <c r="F1303" s="1">
        <v>42573</v>
      </c>
      <c r="G1303">
        <v>-6012.5</v>
      </c>
      <c r="H1303" s="1">
        <f t="shared" si="61"/>
        <v>42573</v>
      </c>
      <c r="I1303">
        <f>IF(AND(MyRowHidden(ROW())=FALSE,MyRowHidden(ROW()-1)=TRUE),0,(E1303-E1302)*unitsOfDHp+I1302)</f>
        <v>447940</v>
      </c>
      <c r="J1303">
        <f>IF(AND(MyRowHidden(ROW())=FALSE,MyRowHidden(ROW()-1)=TRUE),0,(G1303-G1302)*unitsOfExo+J1302)</f>
        <v>-10125</v>
      </c>
      <c r="K1303" s="9">
        <f t="shared" si="62"/>
        <v>110125</v>
      </c>
      <c r="L1303">
        <f t="shared" si="63"/>
        <v>437815</v>
      </c>
    </row>
    <row r="1304" spans="4:12" x14ac:dyDescent="0.25">
      <c r="D1304" s="1">
        <v>42576</v>
      </c>
      <c r="E1304">
        <v>39780</v>
      </c>
      <c r="F1304" s="1">
        <v>42576</v>
      </c>
      <c r="G1304">
        <v>-6087.5</v>
      </c>
      <c r="H1304" s="1">
        <f t="shared" si="61"/>
        <v>42576</v>
      </c>
      <c r="I1304">
        <f>IF(AND(MyRowHidden(ROW())=FALSE,MyRowHidden(ROW()-1)=TRUE),0,(E1304-E1303)*unitsOfDHp+I1303)</f>
        <v>447800</v>
      </c>
      <c r="J1304">
        <f>IF(AND(MyRowHidden(ROW())=FALSE,MyRowHidden(ROW()-1)=TRUE),0,(G1304-G1303)*unitsOfExo+J1303)</f>
        <v>-10875</v>
      </c>
      <c r="K1304" s="9">
        <f t="shared" si="62"/>
        <v>110875</v>
      </c>
      <c r="L1304">
        <f t="shared" si="63"/>
        <v>436925</v>
      </c>
    </row>
    <row r="1305" spans="4:12" x14ac:dyDescent="0.25">
      <c r="D1305" s="1">
        <v>42577</v>
      </c>
      <c r="E1305">
        <v>39845</v>
      </c>
      <c r="F1305" s="1">
        <v>42577</v>
      </c>
      <c r="G1305">
        <v>-6200</v>
      </c>
      <c r="H1305" s="1">
        <f t="shared" si="61"/>
        <v>42577</v>
      </c>
      <c r="I1305">
        <f>IF(AND(MyRowHidden(ROW())=FALSE,MyRowHidden(ROW()-1)=TRUE),0,(E1305-E1304)*unitsOfDHp+I1304)</f>
        <v>448450</v>
      </c>
      <c r="J1305">
        <f>IF(AND(MyRowHidden(ROW())=FALSE,MyRowHidden(ROW()-1)=TRUE),0,(G1305-G1304)*unitsOfExo+J1304)</f>
        <v>-12000</v>
      </c>
      <c r="K1305" s="9">
        <f t="shared" si="62"/>
        <v>112000</v>
      </c>
      <c r="L1305">
        <f t="shared" si="63"/>
        <v>436450</v>
      </c>
    </row>
    <row r="1306" spans="4:12" x14ac:dyDescent="0.25">
      <c r="D1306" s="1">
        <v>42578</v>
      </c>
      <c r="E1306">
        <v>39859</v>
      </c>
      <c r="F1306" s="1">
        <v>42578</v>
      </c>
      <c r="G1306">
        <v>-5975</v>
      </c>
      <c r="H1306" s="1">
        <f t="shared" si="61"/>
        <v>42578</v>
      </c>
      <c r="I1306">
        <f>IF(AND(MyRowHidden(ROW())=FALSE,MyRowHidden(ROW()-1)=TRUE),0,(E1306-E1305)*unitsOfDHp+I1305)</f>
        <v>448590</v>
      </c>
      <c r="J1306">
        <f>IF(AND(MyRowHidden(ROW())=FALSE,MyRowHidden(ROW()-1)=TRUE),0,(G1306-G1305)*unitsOfExo+J1305)</f>
        <v>-9750</v>
      </c>
      <c r="K1306" s="9">
        <f t="shared" si="62"/>
        <v>109750</v>
      </c>
      <c r="L1306">
        <f t="shared" si="63"/>
        <v>438840</v>
      </c>
    </row>
    <row r="1307" spans="4:12" x14ac:dyDescent="0.25">
      <c r="D1307" s="1">
        <v>42579</v>
      </c>
      <c r="E1307">
        <v>39669</v>
      </c>
      <c r="F1307" s="1">
        <v>42579</v>
      </c>
      <c r="G1307">
        <v>-6287.5</v>
      </c>
      <c r="H1307" s="1">
        <f t="shared" si="61"/>
        <v>42579</v>
      </c>
      <c r="I1307">
        <f>IF(AND(MyRowHidden(ROW())=FALSE,MyRowHidden(ROW()-1)=TRUE),0,(E1307-E1306)*unitsOfDHp+I1306)</f>
        <v>446690</v>
      </c>
      <c r="J1307">
        <f>IF(AND(MyRowHidden(ROW())=FALSE,MyRowHidden(ROW()-1)=TRUE),0,(G1307-G1306)*unitsOfExo+J1306)</f>
        <v>-12875</v>
      </c>
      <c r="K1307" s="9">
        <f t="shared" si="62"/>
        <v>112875</v>
      </c>
      <c r="L1307">
        <f t="shared" si="63"/>
        <v>433815</v>
      </c>
    </row>
    <row r="1308" spans="4:12" x14ac:dyDescent="0.25">
      <c r="D1308" s="1">
        <v>42580</v>
      </c>
      <c r="E1308">
        <v>39470</v>
      </c>
      <c r="F1308" s="1">
        <v>42580</v>
      </c>
      <c r="G1308">
        <v>-6100</v>
      </c>
      <c r="H1308" s="1">
        <f t="shared" si="61"/>
        <v>42580</v>
      </c>
      <c r="I1308">
        <f>IF(AND(MyRowHidden(ROW())=FALSE,MyRowHidden(ROW()-1)=TRUE),0,(E1308-E1307)*unitsOfDHp+I1307)</f>
        <v>444700</v>
      </c>
      <c r="J1308">
        <f>IF(AND(MyRowHidden(ROW())=FALSE,MyRowHidden(ROW()-1)=TRUE),0,(G1308-G1307)*unitsOfExo+J1307)</f>
        <v>-11000</v>
      </c>
      <c r="K1308" s="9">
        <f t="shared" si="62"/>
        <v>111000</v>
      </c>
      <c r="L1308">
        <f t="shared" si="63"/>
        <v>433700</v>
      </c>
    </row>
    <row r="1309" spans="4:12" x14ac:dyDescent="0.25">
      <c r="D1309" s="1">
        <v>42583</v>
      </c>
      <c r="E1309">
        <v>39467</v>
      </c>
      <c r="F1309" s="1">
        <v>42583</v>
      </c>
      <c r="G1309">
        <v>-6362.5</v>
      </c>
      <c r="H1309" s="1">
        <f t="shared" si="61"/>
        <v>42583</v>
      </c>
      <c r="I1309">
        <f>IF(AND(MyRowHidden(ROW())=FALSE,MyRowHidden(ROW()-1)=TRUE),0,(E1309-E1308)*unitsOfDHp+I1308)</f>
        <v>444670</v>
      </c>
      <c r="J1309">
        <f>IF(AND(MyRowHidden(ROW())=FALSE,MyRowHidden(ROW()-1)=TRUE),0,(G1309-G1308)*unitsOfExo+J1308)</f>
        <v>-13625</v>
      </c>
      <c r="K1309" s="9">
        <f t="shared" si="62"/>
        <v>113625</v>
      </c>
      <c r="L1309">
        <f t="shared" si="63"/>
        <v>431045</v>
      </c>
    </row>
    <row r="1310" spans="4:12" x14ac:dyDescent="0.25">
      <c r="D1310" s="1">
        <v>42584</v>
      </c>
      <c r="E1310">
        <v>39599</v>
      </c>
      <c r="F1310" s="1">
        <v>42584</v>
      </c>
      <c r="G1310">
        <v>-6700</v>
      </c>
      <c r="H1310" s="1">
        <f t="shared" si="61"/>
        <v>42584</v>
      </c>
      <c r="I1310">
        <f>IF(AND(MyRowHidden(ROW())=FALSE,MyRowHidden(ROW()-1)=TRUE),0,(E1310-E1309)*unitsOfDHp+I1309)</f>
        <v>445990</v>
      </c>
      <c r="J1310">
        <f>IF(AND(MyRowHidden(ROW())=FALSE,MyRowHidden(ROW()-1)=TRUE),0,(G1310-G1309)*unitsOfExo+J1309)</f>
        <v>-17000</v>
      </c>
      <c r="K1310" s="9">
        <f t="shared" si="62"/>
        <v>117000</v>
      </c>
      <c r="L1310">
        <f t="shared" si="63"/>
        <v>428990</v>
      </c>
    </row>
    <row r="1311" spans="4:12" x14ac:dyDescent="0.25">
      <c r="D1311" s="1">
        <v>42585</v>
      </c>
      <c r="E1311">
        <v>39532</v>
      </c>
      <c r="F1311" s="1">
        <v>42585</v>
      </c>
      <c r="G1311">
        <v>-6525</v>
      </c>
      <c r="H1311" s="1">
        <f t="shared" si="61"/>
        <v>42585</v>
      </c>
      <c r="I1311">
        <f>IF(AND(MyRowHidden(ROW())=FALSE,MyRowHidden(ROW()-1)=TRUE),0,(E1311-E1310)*unitsOfDHp+I1310)</f>
        <v>445320</v>
      </c>
      <c r="J1311">
        <f>IF(AND(MyRowHidden(ROW())=FALSE,MyRowHidden(ROW()-1)=TRUE),0,(G1311-G1310)*unitsOfExo+J1310)</f>
        <v>-15250</v>
      </c>
      <c r="K1311" s="9">
        <f t="shared" si="62"/>
        <v>115250</v>
      </c>
      <c r="L1311">
        <f t="shared" si="63"/>
        <v>430070</v>
      </c>
    </row>
    <row r="1312" spans="4:12" x14ac:dyDescent="0.25">
      <c r="D1312" s="1">
        <v>42586</v>
      </c>
      <c r="E1312">
        <v>39520</v>
      </c>
      <c r="F1312" s="1">
        <v>42586</v>
      </c>
      <c r="G1312">
        <v>-6650</v>
      </c>
      <c r="H1312" s="1">
        <f t="shared" si="61"/>
        <v>42586</v>
      </c>
      <c r="I1312">
        <f>IF(AND(MyRowHidden(ROW())=FALSE,MyRowHidden(ROW()-1)=TRUE),0,(E1312-E1311)*unitsOfDHp+I1311)</f>
        <v>445200</v>
      </c>
      <c r="J1312">
        <f>IF(AND(MyRowHidden(ROW())=FALSE,MyRowHidden(ROW()-1)=TRUE),0,(G1312-G1311)*unitsOfExo+J1311)</f>
        <v>-16500</v>
      </c>
      <c r="K1312" s="9">
        <f t="shared" si="62"/>
        <v>116500</v>
      </c>
      <c r="L1312">
        <f t="shared" si="63"/>
        <v>428700</v>
      </c>
    </row>
    <row r="1313" spans="4:12" x14ac:dyDescent="0.25">
      <c r="D1313" s="1">
        <v>42587</v>
      </c>
      <c r="E1313">
        <v>39525</v>
      </c>
      <c r="F1313" s="1">
        <v>42587</v>
      </c>
      <c r="G1313">
        <v>-6637.5</v>
      </c>
      <c r="H1313" s="1">
        <f t="shared" si="61"/>
        <v>42587</v>
      </c>
      <c r="I1313">
        <f>IF(AND(MyRowHidden(ROW())=FALSE,MyRowHidden(ROW()-1)=TRUE),0,(E1313-E1312)*unitsOfDHp+I1312)</f>
        <v>445250</v>
      </c>
      <c r="J1313">
        <f>IF(AND(MyRowHidden(ROW())=FALSE,MyRowHidden(ROW()-1)=TRUE),0,(G1313-G1312)*unitsOfExo+J1312)</f>
        <v>-16375</v>
      </c>
      <c r="K1313" s="9">
        <f t="shared" si="62"/>
        <v>116375</v>
      </c>
      <c r="L1313">
        <f t="shared" si="63"/>
        <v>428875</v>
      </c>
    </row>
    <row r="1314" spans="4:12" x14ac:dyDescent="0.25">
      <c r="D1314" s="1">
        <v>42590</v>
      </c>
      <c r="E1314">
        <v>39411</v>
      </c>
      <c r="F1314" s="1">
        <v>42590</v>
      </c>
      <c r="G1314">
        <v>-6537.5</v>
      </c>
      <c r="H1314" s="1">
        <f t="shared" si="61"/>
        <v>42590</v>
      </c>
      <c r="I1314">
        <f>IF(AND(MyRowHidden(ROW())=FALSE,MyRowHidden(ROW()-1)=TRUE),0,(E1314-E1313)*unitsOfDHp+I1313)</f>
        <v>444110</v>
      </c>
      <c r="J1314">
        <f>IF(AND(MyRowHidden(ROW())=FALSE,MyRowHidden(ROW()-1)=TRUE),0,(G1314-G1313)*unitsOfExo+J1313)</f>
        <v>-15375</v>
      </c>
      <c r="K1314" s="9">
        <f t="shared" si="62"/>
        <v>115375</v>
      </c>
      <c r="L1314">
        <f t="shared" si="63"/>
        <v>428735</v>
      </c>
    </row>
    <row r="1315" spans="4:12" x14ac:dyDescent="0.25">
      <c r="D1315" s="1">
        <v>42591</v>
      </c>
      <c r="E1315">
        <v>39409</v>
      </c>
      <c r="F1315" s="1">
        <v>42591</v>
      </c>
      <c r="G1315">
        <v>-6562.5</v>
      </c>
      <c r="H1315" s="1">
        <f t="shared" si="61"/>
        <v>42591</v>
      </c>
      <c r="I1315">
        <f>IF(AND(MyRowHidden(ROW())=FALSE,MyRowHidden(ROW()-1)=TRUE),0,(E1315-E1314)*unitsOfDHp+I1314)</f>
        <v>444090</v>
      </c>
      <c r="J1315">
        <f>IF(AND(MyRowHidden(ROW())=FALSE,MyRowHidden(ROW()-1)=TRUE),0,(G1315-G1314)*unitsOfExo+J1314)</f>
        <v>-15625</v>
      </c>
      <c r="K1315" s="9">
        <f t="shared" si="62"/>
        <v>115625</v>
      </c>
      <c r="L1315">
        <f t="shared" si="63"/>
        <v>428465</v>
      </c>
    </row>
    <row r="1316" spans="4:12" x14ac:dyDescent="0.25">
      <c r="D1316" s="1">
        <v>42592</v>
      </c>
      <c r="E1316">
        <v>39400</v>
      </c>
      <c r="F1316" s="1">
        <v>42592</v>
      </c>
      <c r="G1316">
        <v>-6537.5</v>
      </c>
      <c r="H1316" s="1">
        <f t="shared" si="61"/>
        <v>42592</v>
      </c>
      <c r="I1316">
        <f>IF(AND(MyRowHidden(ROW())=FALSE,MyRowHidden(ROW()-1)=TRUE),0,(E1316-E1315)*unitsOfDHp+I1315)</f>
        <v>444000</v>
      </c>
      <c r="J1316">
        <f>IF(AND(MyRowHidden(ROW())=FALSE,MyRowHidden(ROW()-1)=TRUE),0,(G1316-G1315)*unitsOfExo+J1315)</f>
        <v>-15375</v>
      </c>
      <c r="K1316" s="9">
        <f t="shared" si="62"/>
        <v>115375</v>
      </c>
      <c r="L1316">
        <f t="shared" si="63"/>
        <v>428625</v>
      </c>
    </row>
    <row r="1317" spans="4:12" x14ac:dyDescent="0.25">
      <c r="D1317" s="1">
        <v>42593</v>
      </c>
      <c r="E1317">
        <v>39360</v>
      </c>
      <c r="F1317" s="1">
        <v>42593</v>
      </c>
      <c r="G1317">
        <v>-6700</v>
      </c>
      <c r="H1317" s="1">
        <f t="shared" si="61"/>
        <v>42593</v>
      </c>
      <c r="I1317">
        <f>IF(AND(MyRowHidden(ROW())=FALSE,MyRowHidden(ROW()-1)=TRUE),0,(E1317-E1316)*unitsOfDHp+I1316)</f>
        <v>443600</v>
      </c>
      <c r="J1317">
        <f>IF(AND(MyRowHidden(ROW())=FALSE,MyRowHidden(ROW()-1)=TRUE),0,(G1317-G1316)*unitsOfExo+J1316)</f>
        <v>-17000</v>
      </c>
      <c r="K1317" s="9">
        <f t="shared" si="62"/>
        <v>117000</v>
      </c>
      <c r="L1317">
        <f t="shared" si="63"/>
        <v>426600</v>
      </c>
    </row>
    <row r="1318" spans="4:12" x14ac:dyDescent="0.25">
      <c r="D1318" s="1">
        <v>42594</v>
      </c>
      <c r="E1318">
        <v>39369</v>
      </c>
      <c r="F1318" s="1">
        <v>42594</v>
      </c>
      <c r="G1318">
        <v>-6837.5</v>
      </c>
      <c r="H1318" s="1">
        <f t="shared" si="61"/>
        <v>42594</v>
      </c>
      <c r="I1318">
        <f>IF(AND(MyRowHidden(ROW())=FALSE,MyRowHidden(ROW()-1)=TRUE),0,(E1318-E1317)*unitsOfDHp+I1317)</f>
        <v>443690</v>
      </c>
      <c r="J1318">
        <f>IF(AND(MyRowHidden(ROW())=FALSE,MyRowHidden(ROW()-1)=TRUE),0,(G1318-G1317)*unitsOfExo+J1317)</f>
        <v>-18375</v>
      </c>
      <c r="K1318" s="9">
        <f t="shared" si="62"/>
        <v>118375</v>
      </c>
      <c r="L1318">
        <f t="shared" si="63"/>
        <v>425315</v>
      </c>
    </row>
    <row r="1319" spans="4:12" x14ac:dyDescent="0.25">
      <c r="D1319" s="1">
        <v>42597</v>
      </c>
      <c r="E1319">
        <v>39719</v>
      </c>
      <c r="F1319" s="1">
        <v>42597</v>
      </c>
      <c r="G1319">
        <v>-6412.5</v>
      </c>
      <c r="H1319" s="1">
        <f t="shared" si="61"/>
        <v>42597</v>
      </c>
      <c r="I1319">
        <f>IF(AND(MyRowHidden(ROW())=FALSE,MyRowHidden(ROW()-1)=TRUE),0,(E1319-E1318)*unitsOfDHp+I1318)</f>
        <v>447190</v>
      </c>
      <c r="J1319">
        <f>IF(AND(MyRowHidden(ROW())=FALSE,MyRowHidden(ROW()-1)=TRUE),0,(G1319-G1318)*unitsOfExo+J1318)</f>
        <v>-14125</v>
      </c>
      <c r="K1319" s="9">
        <f t="shared" si="62"/>
        <v>114125</v>
      </c>
      <c r="L1319">
        <f t="shared" si="63"/>
        <v>433065</v>
      </c>
    </row>
    <row r="1320" spans="4:12" x14ac:dyDescent="0.25">
      <c r="D1320" s="1">
        <v>42598</v>
      </c>
      <c r="E1320">
        <v>39762</v>
      </c>
      <c r="F1320" s="1">
        <v>42598</v>
      </c>
      <c r="G1320">
        <v>-6375</v>
      </c>
      <c r="H1320" s="1">
        <f t="shared" si="61"/>
        <v>42598</v>
      </c>
      <c r="I1320">
        <f>IF(AND(MyRowHidden(ROW())=FALSE,MyRowHidden(ROW()-1)=TRUE),0,(E1320-E1319)*unitsOfDHp+I1319)</f>
        <v>447620</v>
      </c>
      <c r="J1320">
        <f>IF(AND(MyRowHidden(ROW())=FALSE,MyRowHidden(ROW()-1)=TRUE),0,(G1320-G1319)*unitsOfExo+J1319)</f>
        <v>-13750</v>
      </c>
      <c r="K1320" s="9">
        <f t="shared" si="62"/>
        <v>113750</v>
      </c>
      <c r="L1320">
        <f t="shared" si="63"/>
        <v>433870</v>
      </c>
    </row>
    <row r="1321" spans="4:12" x14ac:dyDescent="0.25">
      <c r="D1321" s="1">
        <v>42599</v>
      </c>
      <c r="E1321">
        <v>39804</v>
      </c>
      <c r="F1321" s="1">
        <v>42599</v>
      </c>
      <c r="G1321">
        <v>-6350</v>
      </c>
      <c r="H1321" s="1">
        <f t="shared" si="61"/>
        <v>42599</v>
      </c>
      <c r="I1321">
        <f>IF(AND(MyRowHidden(ROW())=FALSE,MyRowHidden(ROW()-1)=TRUE),0,(E1321-E1320)*unitsOfDHp+I1320)</f>
        <v>448040</v>
      </c>
      <c r="J1321">
        <f>IF(AND(MyRowHidden(ROW())=FALSE,MyRowHidden(ROW()-1)=TRUE),0,(G1321-G1320)*unitsOfExo+J1320)</f>
        <v>-13500</v>
      </c>
      <c r="K1321" s="9">
        <f t="shared" si="62"/>
        <v>113500</v>
      </c>
      <c r="L1321">
        <f t="shared" si="63"/>
        <v>434540</v>
      </c>
    </row>
    <row r="1322" spans="4:12" x14ac:dyDescent="0.25">
      <c r="D1322" s="1">
        <v>42600</v>
      </c>
      <c r="E1322">
        <v>39877</v>
      </c>
      <c r="F1322" s="1">
        <v>42600</v>
      </c>
      <c r="G1322">
        <v>-6237.5</v>
      </c>
      <c r="H1322" s="1">
        <f t="shared" si="61"/>
        <v>42600</v>
      </c>
      <c r="I1322">
        <f>IF(AND(MyRowHidden(ROW())=FALSE,MyRowHidden(ROW()-1)=TRUE),0,(E1322-E1321)*unitsOfDHp+I1321)</f>
        <v>448770</v>
      </c>
      <c r="J1322">
        <f>IF(AND(MyRowHidden(ROW())=FALSE,MyRowHidden(ROW()-1)=TRUE),0,(G1322-G1321)*unitsOfExo+J1321)</f>
        <v>-12375</v>
      </c>
      <c r="K1322" s="9">
        <f t="shared" si="62"/>
        <v>112375</v>
      </c>
      <c r="L1322">
        <f t="shared" si="63"/>
        <v>436395</v>
      </c>
    </row>
    <row r="1323" spans="4:12" x14ac:dyDescent="0.25">
      <c r="D1323" s="1">
        <v>42601</v>
      </c>
      <c r="E1323">
        <v>39763</v>
      </c>
      <c r="F1323" s="1">
        <v>42601</v>
      </c>
      <c r="G1323">
        <v>-6050</v>
      </c>
      <c r="H1323" s="1">
        <f t="shared" si="61"/>
        <v>42601</v>
      </c>
      <c r="I1323">
        <f>IF(AND(MyRowHidden(ROW())=FALSE,MyRowHidden(ROW()-1)=TRUE),0,(E1323-E1322)*unitsOfDHp+I1322)</f>
        <v>447630</v>
      </c>
      <c r="J1323">
        <f>IF(AND(MyRowHidden(ROW())=FALSE,MyRowHidden(ROW()-1)=TRUE),0,(G1323-G1322)*unitsOfExo+J1322)</f>
        <v>-10500</v>
      </c>
      <c r="K1323" s="9">
        <f t="shared" si="62"/>
        <v>110500</v>
      </c>
      <c r="L1323">
        <f t="shared" si="63"/>
        <v>437130</v>
      </c>
    </row>
    <row r="1324" spans="4:12" x14ac:dyDescent="0.25">
      <c r="D1324" s="1">
        <v>42604</v>
      </c>
      <c r="E1324">
        <v>39824</v>
      </c>
      <c r="F1324" s="1">
        <v>42604</v>
      </c>
      <c r="G1324">
        <v>-6112.5</v>
      </c>
      <c r="H1324" s="1">
        <f t="shared" si="61"/>
        <v>42604</v>
      </c>
      <c r="I1324">
        <f>IF(AND(MyRowHidden(ROW())=FALSE,MyRowHidden(ROW()-1)=TRUE),0,(E1324-E1323)*unitsOfDHp+I1323)</f>
        <v>448240</v>
      </c>
      <c r="J1324">
        <f>IF(AND(MyRowHidden(ROW())=FALSE,MyRowHidden(ROW()-1)=TRUE),0,(G1324-G1323)*unitsOfExo+J1323)</f>
        <v>-11125</v>
      </c>
      <c r="K1324" s="9">
        <f t="shared" si="62"/>
        <v>111125</v>
      </c>
      <c r="L1324">
        <f t="shared" si="63"/>
        <v>437115</v>
      </c>
    </row>
    <row r="1325" spans="4:12" x14ac:dyDescent="0.25">
      <c r="D1325" s="1">
        <v>42605</v>
      </c>
      <c r="E1325">
        <v>40236</v>
      </c>
      <c r="F1325" s="1">
        <v>42605</v>
      </c>
      <c r="G1325">
        <v>-6312.5</v>
      </c>
      <c r="H1325" s="1">
        <f t="shared" si="61"/>
        <v>42605</v>
      </c>
      <c r="I1325">
        <f>IF(AND(MyRowHidden(ROW())=FALSE,MyRowHidden(ROW()-1)=TRUE),0,(E1325-E1324)*unitsOfDHp+I1324)</f>
        <v>452360</v>
      </c>
      <c r="J1325">
        <f>IF(AND(MyRowHidden(ROW())=FALSE,MyRowHidden(ROW()-1)=TRUE),0,(G1325-G1324)*unitsOfExo+J1324)</f>
        <v>-13125</v>
      </c>
      <c r="K1325" s="9">
        <f t="shared" si="62"/>
        <v>113125</v>
      </c>
      <c r="L1325">
        <f t="shared" si="63"/>
        <v>439235</v>
      </c>
    </row>
    <row r="1326" spans="4:12" x14ac:dyDescent="0.25">
      <c r="D1326" s="1">
        <v>42606</v>
      </c>
      <c r="E1326">
        <v>40514</v>
      </c>
      <c r="F1326" s="1">
        <v>42606</v>
      </c>
      <c r="G1326">
        <v>-6425</v>
      </c>
      <c r="H1326" s="1">
        <f t="shared" si="61"/>
        <v>42606</v>
      </c>
      <c r="I1326">
        <f>IF(AND(MyRowHidden(ROW())=FALSE,MyRowHidden(ROW()-1)=TRUE),0,(E1326-E1325)*unitsOfDHp+I1325)</f>
        <v>455140</v>
      </c>
      <c r="J1326">
        <f>IF(AND(MyRowHidden(ROW())=FALSE,MyRowHidden(ROW()-1)=TRUE),0,(G1326-G1325)*unitsOfExo+J1325)</f>
        <v>-14250</v>
      </c>
      <c r="K1326" s="9">
        <f t="shared" si="62"/>
        <v>114250</v>
      </c>
      <c r="L1326">
        <f t="shared" si="63"/>
        <v>440890</v>
      </c>
    </row>
    <row r="1327" spans="4:12" x14ac:dyDescent="0.25">
      <c r="D1327" s="1">
        <v>42607</v>
      </c>
      <c r="E1327">
        <v>40830</v>
      </c>
      <c r="F1327" s="1">
        <v>42607</v>
      </c>
      <c r="G1327">
        <v>-6600</v>
      </c>
      <c r="H1327" s="1">
        <f t="shared" si="61"/>
        <v>42607</v>
      </c>
      <c r="I1327">
        <f>IF(AND(MyRowHidden(ROW())=FALSE,MyRowHidden(ROW()-1)=TRUE),0,(E1327-E1326)*unitsOfDHp+I1326)</f>
        <v>458300</v>
      </c>
      <c r="J1327">
        <f>IF(AND(MyRowHidden(ROW())=FALSE,MyRowHidden(ROW()-1)=TRUE),0,(G1327-G1326)*unitsOfExo+J1326)</f>
        <v>-16000</v>
      </c>
      <c r="K1327" s="9">
        <f t="shared" si="62"/>
        <v>116000</v>
      </c>
      <c r="L1327">
        <f t="shared" si="63"/>
        <v>442300</v>
      </c>
    </row>
    <row r="1328" spans="4:12" x14ac:dyDescent="0.25">
      <c r="D1328" s="1">
        <v>42608</v>
      </c>
      <c r="E1328">
        <v>41252</v>
      </c>
      <c r="F1328" s="1">
        <v>42608</v>
      </c>
      <c r="G1328">
        <v>-6875</v>
      </c>
      <c r="H1328" s="1">
        <f t="shared" si="61"/>
        <v>42608</v>
      </c>
      <c r="I1328">
        <f>IF(AND(MyRowHidden(ROW())=FALSE,MyRowHidden(ROW()-1)=TRUE),0,(E1328-E1327)*unitsOfDHp+I1327)</f>
        <v>462520</v>
      </c>
      <c r="J1328">
        <f>IF(AND(MyRowHidden(ROW())=FALSE,MyRowHidden(ROW()-1)=TRUE),0,(G1328-G1327)*unitsOfExo+J1327)</f>
        <v>-18750</v>
      </c>
      <c r="K1328" s="9">
        <f t="shared" si="62"/>
        <v>118750</v>
      </c>
      <c r="L1328">
        <f t="shared" si="63"/>
        <v>443770</v>
      </c>
    </row>
    <row r="1329" spans="4:12" x14ac:dyDescent="0.25">
      <c r="D1329" s="1">
        <v>42611</v>
      </c>
      <c r="E1329">
        <v>41711</v>
      </c>
      <c r="F1329" s="1">
        <v>42611</v>
      </c>
      <c r="G1329">
        <v>-7200</v>
      </c>
      <c r="H1329" s="1">
        <f t="shared" si="61"/>
        <v>42611</v>
      </c>
      <c r="I1329">
        <f>IF(AND(MyRowHidden(ROW())=FALSE,MyRowHidden(ROW()-1)=TRUE),0,(E1329-E1328)*unitsOfDHp+I1328)</f>
        <v>467110</v>
      </c>
      <c r="J1329">
        <f>IF(AND(MyRowHidden(ROW())=FALSE,MyRowHidden(ROW()-1)=TRUE),0,(G1329-G1328)*unitsOfExo+J1328)</f>
        <v>-22000</v>
      </c>
      <c r="K1329" s="9">
        <f t="shared" si="62"/>
        <v>122000</v>
      </c>
      <c r="L1329">
        <f t="shared" si="63"/>
        <v>445110</v>
      </c>
    </row>
    <row r="1330" spans="4:12" x14ac:dyDescent="0.25">
      <c r="D1330" s="1">
        <v>42612</v>
      </c>
      <c r="E1330">
        <v>41531</v>
      </c>
      <c r="F1330" s="1">
        <v>42612</v>
      </c>
      <c r="G1330">
        <v>-7487.5</v>
      </c>
      <c r="H1330" s="1">
        <f t="shared" si="61"/>
        <v>42612</v>
      </c>
      <c r="I1330">
        <f>IF(AND(MyRowHidden(ROW())=FALSE,MyRowHidden(ROW()-1)=TRUE),0,(E1330-E1329)*unitsOfDHp+I1329)</f>
        <v>465310</v>
      </c>
      <c r="J1330">
        <f>IF(AND(MyRowHidden(ROW())=FALSE,MyRowHidden(ROW()-1)=TRUE),0,(G1330-G1329)*unitsOfExo+J1329)</f>
        <v>-24875</v>
      </c>
      <c r="K1330" s="9">
        <f t="shared" si="62"/>
        <v>124875</v>
      </c>
      <c r="L1330">
        <f t="shared" si="63"/>
        <v>440435</v>
      </c>
    </row>
    <row r="1331" spans="4:12" x14ac:dyDescent="0.25">
      <c r="D1331" s="1">
        <v>42613</v>
      </c>
      <c r="E1331">
        <v>41450</v>
      </c>
      <c r="F1331" s="1">
        <v>42613</v>
      </c>
      <c r="G1331">
        <v>-7625</v>
      </c>
      <c r="H1331" s="1">
        <f t="shared" si="61"/>
        <v>42613</v>
      </c>
      <c r="I1331">
        <f>IF(AND(MyRowHidden(ROW())=FALSE,MyRowHidden(ROW()-1)=TRUE),0,(E1331-E1330)*unitsOfDHp+I1330)</f>
        <v>464500</v>
      </c>
      <c r="J1331">
        <f>IF(AND(MyRowHidden(ROW())=FALSE,MyRowHidden(ROW()-1)=TRUE),0,(G1331-G1330)*unitsOfExo+J1330)</f>
        <v>-26250</v>
      </c>
      <c r="K1331" s="9">
        <f t="shared" si="62"/>
        <v>126250</v>
      </c>
      <c r="L1331">
        <f t="shared" si="63"/>
        <v>438250</v>
      </c>
    </row>
    <row r="1332" spans="4:12" x14ac:dyDescent="0.25">
      <c r="D1332" s="1">
        <v>42614</v>
      </c>
      <c r="E1332">
        <v>41738</v>
      </c>
      <c r="F1332" s="1">
        <v>42614</v>
      </c>
      <c r="G1332">
        <v>-7312.5</v>
      </c>
      <c r="H1332" s="1">
        <f t="shared" si="61"/>
        <v>42614</v>
      </c>
      <c r="I1332">
        <f>IF(AND(MyRowHidden(ROW())=FALSE,MyRowHidden(ROW()-1)=TRUE),0,(E1332-E1331)*unitsOfDHp+I1331)</f>
        <v>467380</v>
      </c>
      <c r="J1332">
        <f>IF(AND(MyRowHidden(ROW())=FALSE,MyRowHidden(ROW()-1)=TRUE),0,(G1332-G1331)*unitsOfExo+J1331)</f>
        <v>-23125</v>
      </c>
      <c r="K1332" s="9">
        <f t="shared" si="62"/>
        <v>123125</v>
      </c>
      <c r="L1332">
        <f t="shared" si="63"/>
        <v>444255</v>
      </c>
    </row>
    <row r="1333" spans="4:12" x14ac:dyDescent="0.25">
      <c r="D1333" s="1">
        <v>42615</v>
      </c>
      <c r="E1333">
        <v>42076</v>
      </c>
      <c r="F1333" s="1">
        <v>42615</v>
      </c>
      <c r="G1333">
        <v>-6962.5</v>
      </c>
      <c r="H1333" s="1">
        <f t="shared" si="61"/>
        <v>42615</v>
      </c>
      <c r="I1333">
        <f>IF(AND(MyRowHidden(ROW())=FALSE,MyRowHidden(ROW()-1)=TRUE),0,(E1333-E1332)*unitsOfDHp+I1332)</f>
        <v>470760</v>
      </c>
      <c r="J1333">
        <f>IF(AND(MyRowHidden(ROW())=FALSE,MyRowHidden(ROW()-1)=TRUE),0,(G1333-G1332)*unitsOfExo+J1332)</f>
        <v>-19625</v>
      </c>
      <c r="K1333" s="9">
        <f t="shared" si="62"/>
        <v>119625</v>
      </c>
      <c r="L1333">
        <f t="shared" si="63"/>
        <v>451135</v>
      </c>
    </row>
    <row r="1334" spans="4:12" x14ac:dyDescent="0.25">
      <c r="D1334" s="1">
        <v>42619</v>
      </c>
      <c r="E1334">
        <v>42068</v>
      </c>
      <c r="F1334" s="1">
        <v>42619</v>
      </c>
      <c r="G1334">
        <v>-6975</v>
      </c>
      <c r="H1334" s="1">
        <f t="shared" si="61"/>
        <v>42619</v>
      </c>
      <c r="I1334">
        <f>IF(AND(MyRowHidden(ROW())=FALSE,MyRowHidden(ROW()-1)=TRUE),0,(E1334-E1333)*unitsOfDHp+I1333)</f>
        <v>470680</v>
      </c>
      <c r="J1334">
        <f>IF(AND(MyRowHidden(ROW())=FALSE,MyRowHidden(ROW()-1)=TRUE),0,(G1334-G1333)*unitsOfExo+J1333)</f>
        <v>-19750</v>
      </c>
      <c r="K1334" s="9">
        <f t="shared" si="62"/>
        <v>119750</v>
      </c>
      <c r="L1334">
        <f t="shared" si="63"/>
        <v>450930</v>
      </c>
    </row>
    <row r="1335" spans="4:12" x14ac:dyDescent="0.25">
      <c r="D1335" s="1">
        <v>42620</v>
      </c>
      <c r="E1335">
        <v>42133</v>
      </c>
      <c r="F1335" s="1">
        <v>42620</v>
      </c>
      <c r="G1335">
        <v>-6750</v>
      </c>
      <c r="H1335" s="1">
        <f t="shared" si="61"/>
        <v>42620</v>
      </c>
      <c r="I1335">
        <f>IF(AND(MyRowHidden(ROW())=FALSE,MyRowHidden(ROW()-1)=TRUE),0,(E1335-E1334)*unitsOfDHp+I1334)</f>
        <v>471330</v>
      </c>
      <c r="J1335">
        <f>IF(AND(MyRowHidden(ROW())=FALSE,MyRowHidden(ROW()-1)=TRUE),0,(G1335-G1334)*unitsOfExo+J1334)</f>
        <v>-17500</v>
      </c>
      <c r="K1335" s="9">
        <f t="shared" si="62"/>
        <v>117500</v>
      </c>
      <c r="L1335">
        <f t="shared" si="63"/>
        <v>453830</v>
      </c>
    </row>
    <row r="1336" spans="4:12" x14ac:dyDescent="0.25">
      <c r="D1336" s="1">
        <v>42621</v>
      </c>
      <c r="E1336">
        <v>42183</v>
      </c>
      <c r="F1336" s="1">
        <v>42621</v>
      </c>
      <c r="G1336">
        <v>-6462.5</v>
      </c>
      <c r="H1336" s="1">
        <f t="shared" si="61"/>
        <v>42621</v>
      </c>
      <c r="I1336">
        <f>IF(AND(MyRowHidden(ROW())=FALSE,MyRowHidden(ROW()-1)=TRUE),0,(E1336-E1335)*unitsOfDHp+I1335)</f>
        <v>471830</v>
      </c>
      <c r="J1336">
        <f>IF(AND(MyRowHidden(ROW())=FALSE,MyRowHidden(ROW()-1)=TRUE),0,(G1336-G1335)*unitsOfExo+J1335)</f>
        <v>-14625</v>
      </c>
      <c r="K1336" s="9">
        <f t="shared" si="62"/>
        <v>114625</v>
      </c>
      <c r="L1336">
        <f t="shared" si="63"/>
        <v>457205</v>
      </c>
    </row>
    <row r="1337" spans="4:12" x14ac:dyDescent="0.25">
      <c r="D1337" s="1">
        <v>42622</v>
      </c>
      <c r="E1337">
        <v>42004</v>
      </c>
      <c r="F1337" s="1">
        <v>42622</v>
      </c>
      <c r="G1337">
        <v>-6275</v>
      </c>
      <c r="H1337" s="1">
        <f t="shared" si="61"/>
        <v>42622</v>
      </c>
      <c r="I1337">
        <f>IF(AND(MyRowHidden(ROW())=FALSE,MyRowHidden(ROW()-1)=TRUE),0,(E1337-E1336)*unitsOfDHp+I1336)</f>
        <v>470040</v>
      </c>
      <c r="J1337">
        <f>IF(AND(MyRowHidden(ROW())=FALSE,MyRowHidden(ROW()-1)=TRUE),0,(G1337-G1336)*unitsOfExo+J1336)</f>
        <v>-12750</v>
      </c>
      <c r="K1337" s="9">
        <f t="shared" si="62"/>
        <v>112750</v>
      </c>
      <c r="L1337">
        <f t="shared" si="63"/>
        <v>457290</v>
      </c>
    </row>
    <row r="1338" spans="4:12" x14ac:dyDescent="0.25">
      <c r="D1338" s="1">
        <v>42625</v>
      </c>
      <c r="E1338">
        <v>42099</v>
      </c>
      <c r="F1338" s="1">
        <v>42625</v>
      </c>
      <c r="G1338">
        <v>-6400</v>
      </c>
      <c r="H1338" s="1">
        <f t="shared" si="61"/>
        <v>42625</v>
      </c>
      <c r="I1338">
        <f>IF(AND(MyRowHidden(ROW())=FALSE,MyRowHidden(ROW()-1)=TRUE),0,(E1338-E1337)*unitsOfDHp+I1337)</f>
        <v>470990</v>
      </c>
      <c r="J1338">
        <f>IF(AND(MyRowHidden(ROW())=FALSE,MyRowHidden(ROW()-1)=TRUE),0,(G1338-G1337)*unitsOfExo+J1337)</f>
        <v>-14000</v>
      </c>
      <c r="K1338" s="9">
        <f t="shared" si="62"/>
        <v>114000</v>
      </c>
      <c r="L1338">
        <f t="shared" si="63"/>
        <v>456990</v>
      </c>
    </row>
    <row r="1339" spans="4:12" x14ac:dyDescent="0.25">
      <c r="D1339" s="1">
        <v>42626</v>
      </c>
      <c r="E1339">
        <v>43029</v>
      </c>
      <c r="F1339" s="1">
        <v>42626</v>
      </c>
      <c r="G1339">
        <v>-6875</v>
      </c>
      <c r="H1339" s="1">
        <f t="shared" si="61"/>
        <v>42626</v>
      </c>
      <c r="I1339">
        <f>IF(AND(MyRowHidden(ROW())=FALSE,MyRowHidden(ROW()-1)=TRUE),0,(E1339-E1338)*unitsOfDHp+I1338)</f>
        <v>480290</v>
      </c>
      <c r="J1339">
        <f>IF(AND(MyRowHidden(ROW())=FALSE,MyRowHidden(ROW()-1)=TRUE),0,(G1339-G1338)*unitsOfExo+J1338)</f>
        <v>-18750</v>
      </c>
      <c r="K1339" s="9">
        <f t="shared" si="62"/>
        <v>118750</v>
      </c>
      <c r="L1339">
        <f t="shared" si="63"/>
        <v>461540</v>
      </c>
    </row>
    <row r="1340" spans="4:12" x14ac:dyDescent="0.25">
      <c r="D1340" s="1">
        <v>42627</v>
      </c>
      <c r="E1340">
        <v>42999</v>
      </c>
      <c r="F1340" s="1">
        <v>42627</v>
      </c>
      <c r="G1340">
        <v>-6850</v>
      </c>
      <c r="H1340" s="1">
        <f t="shared" si="61"/>
        <v>42627</v>
      </c>
      <c r="I1340">
        <f>IF(AND(MyRowHidden(ROW())=FALSE,MyRowHidden(ROW()-1)=TRUE),0,(E1340-E1339)*unitsOfDHp+I1339)</f>
        <v>479990</v>
      </c>
      <c r="J1340">
        <f>IF(AND(MyRowHidden(ROW())=FALSE,MyRowHidden(ROW()-1)=TRUE),0,(G1340-G1339)*unitsOfExo+J1339)</f>
        <v>-18500</v>
      </c>
      <c r="K1340" s="9">
        <f t="shared" si="62"/>
        <v>118500</v>
      </c>
      <c r="L1340">
        <f t="shared" si="63"/>
        <v>461490</v>
      </c>
    </row>
    <row r="1341" spans="4:12" x14ac:dyDescent="0.25">
      <c r="D1341" s="1">
        <v>42628</v>
      </c>
      <c r="E1341">
        <v>43106</v>
      </c>
      <c r="F1341" s="1">
        <v>42628</v>
      </c>
      <c r="G1341">
        <v>-6937.5</v>
      </c>
      <c r="H1341" s="1">
        <f t="shared" si="61"/>
        <v>42628</v>
      </c>
      <c r="I1341">
        <f>IF(AND(MyRowHidden(ROW())=FALSE,MyRowHidden(ROW()-1)=TRUE),0,(E1341-E1340)*unitsOfDHp+I1340)</f>
        <v>481060</v>
      </c>
      <c r="J1341">
        <f>IF(AND(MyRowHidden(ROW())=FALSE,MyRowHidden(ROW()-1)=TRUE),0,(G1341-G1340)*unitsOfExo+J1340)</f>
        <v>-19375</v>
      </c>
      <c r="K1341" s="9">
        <f t="shared" si="62"/>
        <v>119375</v>
      </c>
      <c r="L1341">
        <f t="shared" si="63"/>
        <v>461685</v>
      </c>
    </row>
    <row r="1342" spans="4:12" x14ac:dyDescent="0.25">
      <c r="D1342" s="1">
        <v>42629</v>
      </c>
      <c r="E1342">
        <v>42571</v>
      </c>
      <c r="F1342" s="1">
        <v>42629</v>
      </c>
      <c r="G1342">
        <v>-6537.5</v>
      </c>
      <c r="H1342" s="1">
        <f t="shared" si="61"/>
        <v>42629</v>
      </c>
      <c r="I1342">
        <f>IF(AND(MyRowHidden(ROW())=FALSE,MyRowHidden(ROW()-1)=TRUE),0,(E1342-E1341)*unitsOfDHp+I1341)</f>
        <v>475710</v>
      </c>
      <c r="J1342">
        <f>IF(AND(MyRowHidden(ROW())=FALSE,MyRowHidden(ROW()-1)=TRUE),0,(G1342-G1341)*unitsOfExo+J1341)</f>
        <v>-15375</v>
      </c>
      <c r="K1342" s="9">
        <f t="shared" si="62"/>
        <v>115375</v>
      </c>
      <c r="L1342">
        <f t="shared" si="63"/>
        <v>460335</v>
      </c>
    </row>
    <row r="1343" spans="4:12" x14ac:dyDescent="0.25">
      <c r="D1343" s="1">
        <v>42632</v>
      </c>
      <c r="E1343">
        <v>42612</v>
      </c>
      <c r="F1343" s="1">
        <v>42632</v>
      </c>
      <c r="G1343">
        <v>-6650</v>
      </c>
      <c r="H1343" s="1">
        <f t="shared" si="61"/>
        <v>42632</v>
      </c>
      <c r="I1343">
        <f>IF(AND(MyRowHidden(ROW())=FALSE,MyRowHidden(ROW()-1)=TRUE),0,(E1343-E1342)*unitsOfDHp+I1342)</f>
        <v>476120</v>
      </c>
      <c r="J1343">
        <f>IF(AND(MyRowHidden(ROW())=FALSE,MyRowHidden(ROW()-1)=TRUE),0,(G1343-G1342)*unitsOfExo+J1342)</f>
        <v>-16500</v>
      </c>
      <c r="K1343" s="9">
        <f t="shared" si="62"/>
        <v>116500</v>
      </c>
      <c r="L1343">
        <f t="shared" si="63"/>
        <v>459620</v>
      </c>
    </row>
    <row r="1344" spans="4:12" x14ac:dyDescent="0.25">
      <c r="D1344" s="1">
        <v>42633</v>
      </c>
      <c r="E1344">
        <v>42239</v>
      </c>
      <c r="F1344" s="1">
        <v>42633</v>
      </c>
      <c r="G1344">
        <v>-6375</v>
      </c>
      <c r="H1344" s="1">
        <f t="shared" si="61"/>
        <v>42633</v>
      </c>
      <c r="I1344">
        <f>IF(AND(MyRowHidden(ROW())=FALSE,MyRowHidden(ROW()-1)=TRUE),0,(E1344-E1343)*unitsOfDHp+I1343)</f>
        <v>472390</v>
      </c>
      <c r="J1344">
        <f>IF(AND(MyRowHidden(ROW())=FALSE,MyRowHidden(ROW()-1)=TRUE),0,(G1344-G1343)*unitsOfExo+J1343)</f>
        <v>-13750</v>
      </c>
      <c r="K1344" s="9">
        <f t="shared" si="62"/>
        <v>113750</v>
      </c>
      <c r="L1344">
        <f t="shared" si="63"/>
        <v>458640</v>
      </c>
    </row>
    <row r="1345" spans="4:12" x14ac:dyDescent="0.25">
      <c r="D1345" s="1">
        <v>42634</v>
      </c>
      <c r="E1345">
        <v>42179</v>
      </c>
      <c r="F1345" s="1">
        <v>42634</v>
      </c>
      <c r="G1345">
        <v>-6375</v>
      </c>
      <c r="H1345" s="1">
        <f t="shared" si="61"/>
        <v>42634</v>
      </c>
      <c r="I1345">
        <f>IF(AND(MyRowHidden(ROW())=FALSE,MyRowHidden(ROW()-1)=TRUE),0,(E1345-E1344)*unitsOfDHp+I1344)</f>
        <v>471790</v>
      </c>
      <c r="J1345">
        <f>IF(AND(MyRowHidden(ROW())=FALSE,MyRowHidden(ROW()-1)=TRUE),0,(G1345-G1344)*unitsOfExo+J1344)</f>
        <v>-13750</v>
      </c>
      <c r="K1345" s="9">
        <f t="shared" si="62"/>
        <v>113750</v>
      </c>
      <c r="L1345">
        <f t="shared" si="63"/>
        <v>458040</v>
      </c>
    </row>
    <row r="1346" spans="4:12" x14ac:dyDescent="0.25">
      <c r="D1346" s="1">
        <v>42635</v>
      </c>
      <c r="E1346">
        <v>42653</v>
      </c>
      <c r="F1346" s="1">
        <v>42635</v>
      </c>
      <c r="G1346">
        <v>-6612.5</v>
      </c>
      <c r="H1346" s="1">
        <f t="shared" si="61"/>
        <v>42635</v>
      </c>
      <c r="I1346">
        <f>IF(AND(MyRowHidden(ROW())=FALSE,MyRowHidden(ROW()-1)=TRUE),0,(E1346-E1345)*unitsOfDHp+I1345)</f>
        <v>476530</v>
      </c>
      <c r="J1346">
        <f>IF(AND(MyRowHidden(ROW())=FALSE,MyRowHidden(ROW()-1)=TRUE),0,(G1346-G1345)*unitsOfExo+J1345)</f>
        <v>-16125</v>
      </c>
      <c r="K1346" s="9">
        <f t="shared" si="62"/>
        <v>116125</v>
      </c>
      <c r="L1346">
        <f t="shared" si="63"/>
        <v>460405</v>
      </c>
    </row>
    <row r="1347" spans="4:12" x14ac:dyDescent="0.25">
      <c r="D1347" s="1">
        <v>42636</v>
      </c>
      <c r="E1347">
        <v>42778</v>
      </c>
      <c r="F1347" s="1">
        <v>42636</v>
      </c>
      <c r="G1347">
        <v>-6637.5</v>
      </c>
      <c r="H1347" s="1">
        <f t="shared" si="61"/>
        <v>42636</v>
      </c>
      <c r="I1347">
        <f>IF(AND(MyRowHidden(ROW())=FALSE,MyRowHidden(ROW()-1)=TRUE),0,(E1347-E1346)*unitsOfDHp+I1346)</f>
        <v>477780</v>
      </c>
      <c r="J1347">
        <f>IF(AND(MyRowHidden(ROW())=FALSE,MyRowHidden(ROW()-1)=TRUE),0,(G1347-G1346)*unitsOfExo+J1346)</f>
        <v>-16375</v>
      </c>
      <c r="K1347" s="9">
        <f t="shared" si="62"/>
        <v>116375</v>
      </c>
      <c r="L1347">
        <f t="shared" si="63"/>
        <v>461405</v>
      </c>
    </row>
    <row r="1348" spans="4:12" x14ac:dyDescent="0.25">
      <c r="D1348" s="1">
        <v>42639</v>
      </c>
      <c r="E1348">
        <v>43342</v>
      </c>
      <c r="F1348" s="1">
        <v>42639</v>
      </c>
      <c r="G1348">
        <v>-6925</v>
      </c>
      <c r="H1348" s="1">
        <f t="shared" si="61"/>
        <v>42639</v>
      </c>
      <c r="I1348">
        <f>IF(AND(MyRowHidden(ROW())=FALSE,MyRowHidden(ROW()-1)=TRUE),0,(E1348-E1347)*unitsOfDHp+I1347)</f>
        <v>483420</v>
      </c>
      <c r="J1348">
        <f>IF(AND(MyRowHidden(ROW())=FALSE,MyRowHidden(ROW()-1)=TRUE),0,(G1348-G1347)*unitsOfExo+J1347)</f>
        <v>-19250</v>
      </c>
      <c r="K1348" s="9">
        <f t="shared" si="62"/>
        <v>119250</v>
      </c>
      <c r="L1348">
        <f t="shared" si="63"/>
        <v>464170</v>
      </c>
    </row>
    <row r="1349" spans="4:12" x14ac:dyDescent="0.25">
      <c r="D1349" s="1">
        <v>42640</v>
      </c>
      <c r="E1349">
        <v>43209</v>
      </c>
      <c r="F1349" s="1">
        <v>42640</v>
      </c>
      <c r="G1349">
        <v>-6825</v>
      </c>
      <c r="H1349" s="1">
        <f t="shared" si="61"/>
        <v>42640</v>
      </c>
      <c r="I1349">
        <f>IF(AND(MyRowHidden(ROW())=FALSE,MyRowHidden(ROW()-1)=TRUE),0,(E1349-E1348)*unitsOfDHp+I1348)</f>
        <v>482090</v>
      </c>
      <c r="J1349">
        <f>IF(AND(MyRowHidden(ROW())=FALSE,MyRowHidden(ROW()-1)=TRUE),0,(G1349-G1348)*unitsOfExo+J1348)</f>
        <v>-18250</v>
      </c>
      <c r="K1349" s="9">
        <f t="shared" si="62"/>
        <v>118250</v>
      </c>
      <c r="L1349">
        <f t="shared" si="63"/>
        <v>463840</v>
      </c>
    </row>
    <row r="1350" spans="4:12" x14ac:dyDescent="0.25">
      <c r="D1350" s="1">
        <v>42641</v>
      </c>
      <c r="E1350">
        <v>43306</v>
      </c>
      <c r="F1350" s="1">
        <v>42641</v>
      </c>
      <c r="G1350">
        <v>-6925</v>
      </c>
      <c r="H1350" s="1">
        <f t="shared" si="61"/>
        <v>42641</v>
      </c>
      <c r="I1350">
        <f>IF(AND(MyRowHidden(ROW())=FALSE,MyRowHidden(ROW()-1)=TRUE),0,(E1350-E1349)*unitsOfDHp+I1349)</f>
        <v>483060</v>
      </c>
      <c r="J1350">
        <f>IF(AND(MyRowHidden(ROW())=FALSE,MyRowHidden(ROW()-1)=TRUE),0,(G1350-G1349)*unitsOfExo+J1349)</f>
        <v>-19250</v>
      </c>
      <c r="K1350" s="9">
        <f t="shared" si="62"/>
        <v>119250</v>
      </c>
      <c r="L1350">
        <f t="shared" si="63"/>
        <v>463810</v>
      </c>
    </row>
    <row r="1351" spans="4:12" x14ac:dyDescent="0.25">
      <c r="D1351" s="1">
        <v>42642</v>
      </c>
      <c r="E1351">
        <v>43336</v>
      </c>
      <c r="F1351" s="1">
        <v>42642</v>
      </c>
      <c r="G1351">
        <v>-6925</v>
      </c>
      <c r="H1351" s="1">
        <f t="shared" si="61"/>
        <v>42642</v>
      </c>
      <c r="I1351">
        <f>IF(AND(MyRowHidden(ROW())=FALSE,MyRowHidden(ROW()-1)=TRUE),0,(E1351-E1350)*unitsOfDHp+I1350)</f>
        <v>483360</v>
      </c>
      <c r="J1351">
        <f>IF(AND(MyRowHidden(ROW())=FALSE,MyRowHidden(ROW()-1)=TRUE),0,(G1351-G1350)*unitsOfExo+J1350)</f>
        <v>-19250</v>
      </c>
      <c r="K1351" s="9">
        <f t="shared" si="62"/>
        <v>119250</v>
      </c>
      <c r="L1351">
        <f t="shared" si="63"/>
        <v>464110</v>
      </c>
    </row>
    <row r="1352" spans="4:12" x14ac:dyDescent="0.25">
      <c r="D1352" s="1">
        <v>42643</v>
      </c>
      <c r="E1352">
        <v>43137</v>
      </c>
      <c r="F1352" s="1">
        <v>42643</v>
      </c>
      <c r="G1352">
        <v>-6687.5</v>
      </c>
      <c r="H1352" s="1">
        <f t="shared" si="61"/>
        <v>42643</v>
      </c>
      <c r="I1352">
        <f>IF(AND(MyRowHidden(ROW())=FALSE,MyRowHidden(ROW()-1)=TRUE),0,(E1352-E1351)*unitsOfDHp+I1351)</f>
        <v>481370</v>
      </c>
      <c r="J1352">
        <f>IF(AND(MyRowHidden(ROW())=FALSE,MyRowHidden(ROW()-1)=TRUE),0,(G1352-G1351)*unitsOfExo+J1351)</f>
        <v>-16875</v>
      </c>
      <c r="K1352" s="9">
        <f t="shared" si="62"/>
        <v>116875</v>
      </c>
      <c r="L1352">
        <f t="shared" si="63"/>
        <v>464495</v>
      </c>
    </row>
    <row r="1353" spans="4:12" x14ac:dyDescent="0.25">
      <c r="D1353" s="1">
        <v>42646</v>
      </c>
      <c r="E1353">
        <v>42826</v>
      </c>
      <c r="F1353" s="1">
        <v>42646</v>
      </c>
      <c r="G1353">
        <v>-6125</v>
      </c>
      <c r="H1353" s="1">
        <f t="shared" si="61"/>
        <v>42646</v>
      </c>
      <c r="I1353">
        <f>IF(AND(MyRowHidden(ROW())=FALSE,MyRowHidden(ROW()-1)=TRUE),0,(E1353-E1352)*unitsOfDHp+I1352)</f>
        <v>478260</v>
      </c>
      <c r="J1353">
        <f>IF(AND(MyRowHidden(ROW())=FALSE,MyRowHidden(ROW()-1)=TRUE),0,(G1353-G1352)*unitsOfExo+J1352)</f>
        <v>-11250</v>
      </c>
      <c r="K1353" s="9">
        <f t="shared" si="62"/>
        <v>111250</v>
      </c>
      <c r="L1353">
        <f t="shared" si="63"/>
        <v>467010</v>
      </c>
    </row>
    <row r="1354" spans="4:12" x14ac:dyDescent="0.25">
      <c r="D1354" s="1">
        <v>42647</v>
      </c>
      <c r="E1354">
        <v>42905</v>
      </c>
      <c r="F1354" s="1">
        <v>42647</v>
      </c>
      <c r="G1354">
        <v>-5987.5</v>
      </c>
      <c r="H1354" s="1">
        <f t="shared" si="61"/>
        <v>42647</v>
      </c>
      <c r="I1354">
        <f>IF(AND(MyRowHidden(ROW())=FALSE,MyRowHidden(ROW()-1)=TRUE),0,(E1354-E1353)*unitsOfDHp+I1353)</f>
        <v>479050</v>
      </c>
      <c r="J1354">
        <f>IF(AND(MyRowHidden(ROW())=FALSE,MyRowHidden(ROW()-1)=TRUE),0,(G1354-G1353)*unitsOfExo+J1353)</f>
        <v>-9875</v>
      </c>
      <c r="K1354" s="9">
        <f t="shared" si="62"/>
        <v>109875</v>
      </c>
      <c r="L1354">
        <f t="shared" si="63"/>
        <v>469175</v>
      </c>
    </row>
    <row r="1355" spans="4:12" x14ac:dyDescent="0.25">
      <c r="D1355" s="1">
        <v>42648</v>
      </c>
      <c r="E1355">
        <v>42905</v>
      </c>
      <c r="F1355" s="1">
        <v>42648</v>
      </c>
      <c r="G1355">
        <v>-5975</v>
      </c>
      <c r="H1355" s="1">
        <f t="shared" si="61"/>
        <v>42648</v>
      </c>
      <c r="I1355">
        <f>IF(AND(MyRowHidden(ROW())=FALSE,MyRowHidden(ROW()-1)=TRUE),0,(E1355-E1354)*unitsOfDHp+I1354)</f>
        <v>479050</v>
      </c>
      <c r="J1355">
        <f>IF(AND(MyRowHidden(ROW())=FALSE,MyRowHidden(ROW()-1)=TRUE),0,(G1355-G1354)*unitsOfExo+J1354)</f>
        <v>-9750</v>
      </c>
      <c r="K1355" s="9">
        <f t="shared" si="62"/>
        <v>109750</v>
      </c>
      <c r="L1355">
        <f t="shared" si="63"/>
        <v>469300</v>
      </c>
    </row>
    <row r="1356" spans="4:12" x14ac:dyDescent="0.25">
      <c r="D1356" s="1">
        <v>42649</v>
      </c>
      <c r="E1356">
        <v>42788</v>
      </c>
      <c r="F1356" s="1">
        <v>42649</v>
      </c>
      <c r="G1356">
        <v>-6362.5</v>
      </c>
      <c r="H1356" s="1">
        <f t="shared" si="61"/>
        <v>42649</v>
      </c>
      <c r="I1356">
        <f>IF(AND(MyRowHidden(ROW())=FALSE,MyRowHidden(ROW()-1)=TRUE),0,(E1356-E1355)*unitsOfDHp+I1355)</f>
        <v>477880</v>
      </c>
      <c r="J1356">
        <f>IF(AND(MyRowHidden(ROW())=FALSE,MyRowHidden(ROW()-1)=TRUE),0,(G1356-G1355)*unitsOfExo+J1355)</f>
        <v>-13625</v>
      </c>
      <c r="K1356" s="9">
        <f t="shared" si="62"/>
        <v>113625</v>
      </c>
      <c r="L1356">
        <f t="shared" si="63"/>
        <v>464255</v>
      </c>
    </row>
    <row r="1357" spans="4:12" x14ac:dyDescent="0.25">
      <c r="D1357" s="1">
        <v>42650</v>
      </c>
      <c r="E1357">
        <v>42788</v>
      </c>
      <c r="F1357" s="1">
        <v>42650</v>
      </c>
      <c r="G1357">
        <v>-6300</v>
      </c>
      <c r="H1357" s="1">
        <f t="shared" ref="H1357:H1420" si="64">D1357</f>
        <v>42650</v>
      </c>
      <c r="I1357">
        <f>IF(AND(MyRowHidden(ROW())=FALSE,MyRowHidden(ROW()-1)=TRUE),0,(E1357-E1356)*unitsOfDHp+I1356)</f>
        <v>477880</v>
      </c>
      <c r="J1357">
        <f>IF(AND(MyRowHidden(ROW())=FALSE,MyRowHidden(ROW()-1)=TRUE),0,(G1357-G1356)*unitsOfExo+J1356)</f>
        <v>-13000</v>
      </c>
      <c r="K1357" s="9">
        <f t="shared" ref="K1357:K1420" si="65">-(J1357-J1356)+K1356</f>
        <v>113000</v>
      </c>
      <c r="L1357">
        <f t="shared" ref="L1357:L1420" si="66">I1357+J1357</f>
        <v>464880</v>
      </c>
    </row>
    <row r="1358" spans="4:12" x14ac:dyDescent="0.25">
      <c r="D1358" s="1">
        <v>42654</v>
      </c>
      <c r="E1358">
        <v>42938</v>
      </c>
      <c r="F1358" s="1">
        <v>42654</v>
      </c>
      <c r="G1358">
        <v>-6112.5</v>
      </c>
      <c r="H1358" s="1">
        <f t="shared" si="64"/>
        <v>42654</v>
      </c>
      <c r="I1358">
        <f>IF(AND(MyRowHidden(ROW())=FALSE,MyRowHidden(ROW()-1)=TRUE),0,(E1358-E1357)*unitsOfDHp+I1357)</f>
        <v>479380</v>
      </c>
      <c r="J1358">
        <f>IF(AND(MyRowHidden(ROW())=FALSE,MyRowHidden(ROW()-1)=TRUE),0,(G1358-G1357)*unitsOfExo+J1357)</f>
        <v>-11125</v>
      </c>
      <c r="K1358" s="9">
        <f t="shared" si="65"/>
        <v>111125</v>
      </c>
      <c r="L1358">
        <f t="shared" si="66"/>
        <v>468255</v>
      </c>
    </row>
    <row r="1359" spans="4:12" x14ac:dyDescent="0.25">
      <c r="D1359" s="1">
        <v>42655</v>
      </c>
      <c r="E1359">
        <v>42568</v>
      </c>
      <c r="F1359" s="1">
        <v>42655</v>
      </c>
      <c r="G1359">
        <v>-6475</v>
      </c>
      <c r="H1359" s="1">
        <f t="shared" si="64"/>
        <v>42655</v>
      </c>
      <c r="I1359">
        <f>IF(AND(MyRowHidden(ROW())=FALSE,MyRowHidden(ROW()-1)=TRUE),0,(E1359-E1358)*unitsOfDHp+I1358)</f>
        <v>475680</v>
      </c>
      <c r="J1359">
        <f>IF(AND(MyRowHidden(ROW())=FALSE,MyRowHidden(ROW()-1)=TRUE),0,(G1359-G1358)*unitsOfExo+J1358)</f>
        <v>-14750</v>
      </c>
      <c r="K1359" s="9">
        <f t="shared" si="65"/>
        <v>114750</v>
      </c>
      <c r="L1359">
        <f t="shared" si="66"/>
        <v>460930</v>
      </c>
    </row>
    <row r="1360" spans="4:12" x14ac:dyDescent="0.25">
      <c r="D1360" s="1">
        <v>42656</v>
      </c>
      <c r="E1360">
        <v>42333</v>
      </c>
      <c r="F1360" s="1">
        <v>42656</v>
      </c>
      <c r="G1360">
        <v>-6037.5</v>
      </c>
      <c r="H1360" s="1">
        <f t="shared" si="64"/>
        <v>42656</v>
      </c>
      <c r="I1360">
        <f>IF(AND(MyRowHidden(ROW())=FALSE,MyRowHidden(ROW()-1)=TRUE),0,(E1360-E1359)*unitsOfDHp+I1359)</f>
        <v>473330</v>
      </c>
      <c r="J1360">
        <f>IF(AND(MyRowHidden(ROW())=FALSE,MyRowHidden(ROW()-1)=TRUE),0,(G1360-G1359)*unitsOfExo+J1359)</f>
        <v>-10375</v>
      </c>
      <c r="K1360" s="9">
        <f t="shared" si="65"/>
        <v>110375</v>
      </c>
      <c r="L1360">
        <f t="shared" si="66"/>
        <v>462955</v>
      </c>
    </row>
    <row r="1361" spans="4:12" x14ac:dyDescent="0.25">
      <c r="D1361" s="1">
        <v>42657</v>
      </c>
      <c r="E1361">
        <v>43023</v>
      </c>
      <c r="F1361" s="1">
        <v>42657</v>
      </c>
      <c r="G1361">
        <v>-5537.5</v>
      </c>
      <c r="H1361" s="1">
        <f t="shared" si="64"/>
        <v>42657</v>
      </c>
      <c r="I1361">
        <f>IF(AND(MyRowHidden(ROW())=FALSE,MyRowHidden(ROW()-1)=TRUE),0,(E1361-E1360)*unitsOfDHp+I1360)</f>
        <v>480230</v>
      </c>
      <c r="J1361">
        <f>IF(AND(MyRowHidden(ROW())=FALSE,MyRowHidden(ROW()-1)=TRUE),0,(G1361-G1360)*unitsOfExo+J1360)</f>
        <v>-5375</v>
      </c>
      <c r="K1361" s="9">
        <f t="shared" si="65"/>
        <v>105375</v>
      </c>
      <c r="L1361">
        <f t="shared" si="66"/>
        <v>474855</v>
      </c>
    </row>
    <row r="1362" spans="4:12" x14ac:dyDescent="0.25">
      <c r="D1362" s="1">
        <v>42660</v>
      </c>
      <c r="E1362">
        <v>42882</v>
      </c>
      <c r="F1362" s="1">
        <v>42660</v>
      </c>
      <c r="G1362">
        <v>-5787.5</v>
      </c>
      <c r="H1362" s="1">
        <f t="shared" si="64"/>
        <v>42660</v>
      </c>
      <c r="I1362">
        <f>IF(AND(MyRowHidden(ROW())=FALSE,MyRowHidden(ROW()-1)=TRUE),0,(E1362-E1361)*unitsOfDHp+I1361)</f>
        <v>478820</v>
      </c>
      <c r="J1362">
        <f>IF(AND(MyRowHidden(ROW())=FALSE,MyRowHidden(ROW()-1)=TRUE),0,(G1362-G1361)*unitsOfExo+J1361)</f>
        <v>-7875</v>
      </c>
      <c r="K1362" s="9">
        <f t="shared" si="65"/>
        <v>107875</v>
      </c>
      <c r="L1362">
        <f t="shared" si="66"/>
        <v>470945</v>
      </c>
    </row>
    <row r="1363" spans="4:12" x14ac:dyDescent="0.25">
      <c r="D1363" s="1">
        <v>42661</v>
      </c>
      <c r="E1363">
        <v>42826</v>
      </c>
      <c r="F1363" s="1">
        <v>42661</v>
      </c>
      <c r="G1363">
        <v>-5725</v>
      </c>
      <c r="H1363" s="1">
        <f t="shared" si="64"/>
        <v>42661</v>
      </c>
      <c r="I1363">
        <f>IF(AND(MyRowHidden(ROW())=FALSE,MyRowHidden(ROW()-1)=TRUE),0,(E1363-E1362)*unitsOfDHp+I1362)</f>
        <v>478260</v>
      </c>
      <c r="J1363">
        <f>IF(AND(MyRowHidden(ROW())=FALSE,MyRowHidden(ROW()-1)=TRUE),0,(G1363-G1362)*unitsOfExo+J1362)</f>
        <v>-7250</v>
      </c>
      <c r="K1363" s="9">
        <f t="shared" si="65"/>
        <v>107250</v>
      </c>
      <c r="L1363">
        <f t="shared" si="66"/>
        <v>471010</v>
      </c>
    </row>
    <row r="1364" spans="4:12" x14ac:dyDescent="0.25">
      <c r="D1364" s="1">
        <v>42662</v>
      </c>
      <c r="E1364">
        <v>42881</v>
      </c>
      <c r="F1364" s="1">
        <v>42662</v>
      </c>
      <c r="G1364">
        <v>-5562.5</v>
      </c>
      <c r="H1364" s="1">
        <f t="shared" si="64"/>
        <v>42662</v>
      </c>
      <c r="I1364">
        <f>IF(AND(MyRowHidden(ROW())=FALSE,MyRowHidden(ROW()-1)=TRUE),0,(E1364-E1363)*unitsOfDHp+I1363)</f>
        <v>478810</v>
      </c>
      <c r="J1364">
        <f>IF(AND(MyRowHidden(ROW())=FALSE,MyRowHidden(ROW()-1)=TRUE),0,(G1364-G1363)*unitsOfExo+J1363)</f>
        <v>-5625</v>
      </c>
      <c r="K1364" s="9">
        <f t="shared" si="65"/>
        <v>105625</v>
      </c>
      <c r="L1364">
        <f t="shared" si="66"/>
        <v>473185</v>
      </c>
    </row>
    <row r="1365" spans="4:12" x14ac:dyDescent="0.25">
      <c r="D1365" s="1">
        <v>42663</v>
      </c>
      <c r="E1365">
        <v>42805</v>
      </c>
      <c r="F1365" s="1">
        <v>42663</v>
      </c>
      <c r="G1365">
        <v>-5812.5</v>
      </c>
      <c r="H1365" s="1">
        <f t="shared" si="64"/>
        <v>42663</v>
      </c>
      <c r="I1365">
        <f>IF(AND(MyRowHidden(ROW())=FALSE,MyRowHidden(ROW()-1)=TRUE),0,(E1365-E1364)*unitsOfDHp+I1364)</f>
        <v>478050</v>
      </c>
      <c r="J1365">
        <f>IF(AND(MyRowHidden(ROW())=FALSE,MyRowHidden(ROW()-1)=TRUE),0,(G1365-G1364)*unitsOfExo+J1364)</f>
        <v>-8125</v>
      </c>
      <c r="K1365" s="9">
        <f t="shared" si="65"/>
        <v>108125</v>
      </c>
      <c r="L1365">
        <f t="shared" si="66"/>
        <v>469925</v>
      </c>
    </row>
    <row r="1366" spans="4:12" x14ac:dyDescent="0.25">
      <c r="D1366" s="1">
        <v>42664</v>
      </c>
      <c r="E1366">
        <v>42824</v>
      </c>
      <c r="F1366" s="1">
        <v>42664</v>
      </c>
      <c r="G1366">
        <v>-5812.5</v>
      </c>
      <c r="H1366" s="1">
        <f t="shared" si="64"/>
        <v>42664</v>
      </c>
      <c r="I1366">
        <f>IF(AND(MyRowHidden(ROW())=FALSE,MyRowHidden(ROW()-1)=TRUE),0,(E1366-E1365)*unitsOfDHp+I1365)</f>
        <v>478240</v>
      </c>
      <c r="J1366">
        <f>IF(AND(MyRowHidden(ROW())=FALSE,MyRowHidden(ROW()-1)=TRUE),0,(G1366-G1365)*unitsOfExo+J1365)</f>
        <v>-8125</v>
      </c>
      <c r="K1366" s="9">
        <f t="shared" si="65"/>
        <v>108125</v>
      </c>
      <c r="L1366">
        <f t="shared" si="66"/>
        <v>470115</v>
      </c>
    </row>
    <row r="1367" spans="4:12" x14ac:dyDescent="0.25">
      <c r="D1367" s="1">
        <v>42667</v>
      </c>
      <c r="E1367">
        <v>42738</v>
      </c>
      <c r="F1367" s="1">
        <v>42667</v>
      </c>
      <c r="G1367">
        <v>-5987.5</v>
      </c>
      <c r="H1367" s="1">
        <f t="shared" si="64"/>
        <v>42667</v>
      </c>
      <c r="I1367">
        <f>IF(AND(MyRowHidden(ROW())=FALSE,MyRowHidden(ROW()-1)=TRUE),0,(E1367-E1366)*unitsOfDHp+I1366)</f>
        <v>477380</v>
      </c>
      <c r="J1367">
        <f>IF(AND(MyRowHidden(ROW())=FALSE,MyRowHidden(ROW()-1)=TRUE),0,(G1367-G1366)*unitsOfExo+J1366)</f>
        <v>-9875</v>
      </c>
      <c r="K1367" s="9">
        <f t="shared" si="65"/>
        <v>109875</v>
      </c>
      <c r="L1367">
        <f t="shared" si="66"/>
        <v>467505</v>
      </c>
    </row>
    <row r="1368" spans="4:12" x14ac:dyDescent="0.25">
      <c r="D1368" s="1">
        <v>42668</v>
      </c>
      <c r="E1368">
        <v>42732</v>
      </c>
      <c r="F1368" s="1">
        <v>42668</v>
      </c>
      <c r="G1368">
        <v>-5962.5</v>
      </c>
      <c r="H1368" s="1">
        <f t="shared" si="64"/>
        <v>42668</v>
      </c>
      <c r="I1368">
        <f>IF(AND(MyRowHidden(ROW())=FALSE,MyRowHidden(ROW()-1)=TRUE),0,(E1368-E1367)*unitsOfDHp+I1367)</f>
        <v>477320</v>
      </c>
      <c r="J1368">
        <f>IF(AND(MyRowHidden(ROW())=FALSE,MyRowHidden(ROW()-1)=TRUE),0,(G1368-G1367)*unitsOfExo+J1367)</f>
        <v>-9625</v>
      </c>
      <c r="K1368" s="9">
        <f t="shared" si="65"/>
        <v>109625</v>
      </c>
      <c r="L1368">
        <f t="shared" si="66"/>
        <v>467695</v>
      </c>
    </row>
    <row r="1369" spans="4:12" x14ac:dyDescent="0.25">
      <c r="D1369" s="1">
        <v>42669</v>
      </c>
      <c r="E1369">
        <v>42732</v>
      </c>
      <c r="F1369" s="1">
        <v>42669</v>
      </c>
      <c r="G1369">
        <v>-5687.5</v>
      </c>
      <c r="H1369" s="1">
        <f t="shared" si="64"/>
        <v>42669</v>
      </c>
      <c r="I1369">
        <f>IF(AND(MyRowHidden(ROW())=FALSE,MyRowHidden(ROW()-1)=TRUE),0,(E1369-E1368)*unitsOfDHp+I1368)</f>
        <v>477320</v>
      </c>
      <c r="J1369">
        <f>IF(AND(MyRowHidden(ROW())=FALSE,MyRowHidden(ROW()-1)=TRUE),0,(G1369-G1368)*unitsOfExo+J1368)</f>
        <v>-6875</v>
      </c>
      <c r="K1369" s="9">
        <f t="shared" si="65"/>
        <v>106875</v>
      </c>
      <c r="L1369">
        <f t="shared" si="66"/>
        <v>470445</v>
      </c>
    </row>
    <row r="1370" spans="4:12" x14ac:dyDescent="0.25">
      <c r="D1370" s="1">
        <v>42670</v>
      </c>
      <c r="E1370">
        <v>42727</v>
      </c>
      <c r="F1370" s="1">
        <v>42670</v>
      </c>
      <c r="G1370">
        <v>-5562.5</v>
      </c>
      <c r="H1370" s="1">
        <f t="shared" si="64"/>
        <v>42670</v>
      </c>
      <c r="I1370">
        <f>IF(AND(MyRowHidden(ROW())=FALSE,MyRowHidden(ROW()-1)=TRUE),0,(E1370-E1369)*unitsOfDHp+I1369)</f>
        <v>477270</v>
      </c>
      <c r="J1370">
        <f>IF(AND(MyRowHidden(ROW())=FALSE,MyRowHidden(ROW()-1)=TRUE),0,(G1370-G1369)*unitsOfExo+J1369)</f>
        <v>-5625</v>
      </c>
      <c r="K1370" s="9">
        <f t="shared" si="65"/>
        <v>105625</v>
      </c>
      <c r="L1370">
        <f t="shared" si="66"/>
        <v>471645</v>
      </c>
    </row>
    <row r="1371" spans="4:12" x14ac:dyDescent="0.25">
      <c r="D1371" s="1">
        <v>42671</v>
      </c>
      <c r="E1371">
        <v>42763</v>
      </c>
      <c r="F1371" s="1">
        <v>42671</v>
      </c>
      <c r="G1371">
        <v>-5637.5</v>
      </c>
      <c r="H1371" s="1">
        <f t="shared" si="64"/>
        <v>42671</v>
      </c>
      <c r="I1371">
        <f>IF(AND(MyRowHidden(ROW())=FALSE,MyRowHidden(ROW()-1)=TRUE),0,(E1371-E1370)*unitsOfDHp+I1370)</f>
        <v>477630</v>
      </c>
      <c r="J1371">
        <f>IF(AND(MyRowHidden(ROW())=FALSE,MyRowHidden(ROW()-1)=TRUE),0,(G1371-G1370)*unitsOfExo+J1370)</f>
        <v>-6375</v>
      </c>
      <c r="K1371" s="9">
        <f t="shared" si="65"/>
        <v>106375</v>
      </c>
      <c r="L1371">
        <f t="shared" si="66"/>
        <v>471255</v>
      </c>
    </row>
    <row r="1372" spans="4:12" x14ac:dyDescent="0.25">
      <c r="D1372" s="1">
        <v>42674</v>
      </c>
      <c r="E1372">
        <v>42724</v>
      </c>
      <c r="F1372" s="1">
        <v>42674</v>
      </c>
      <c r="G1372">
        <v>-5600</v>
      </c>
      <c r="H1372" s="1">
        <f t="shared" si="64"/>
        <v>42674</v>
      </c>
      <c r="I1372">
        <f>IF(AND(MyRowHidden(ROW())=FALSE,MyRowHidden(ROW()-1)=TRUE),0,(E1372-E1371)*unitsOfDHp+I1371)</f>
        <v>477240</v>
      </c>
      <c r="J1372">
        <f>IF(AND(MyRowHidden(ROW())=FALSE,MyRowHidden(ROW()-1)=TRUE),0,(G1372-G1371)*unitsOfExo+J1371)</f>
        <v>-6000</v>
      </c>
      <c r="K1372" s="9">
        <f t="shared" si="65"/>
        <v>106000</v>
      </c>
      <c r="L1372">
        <f t="shared" si="66"/>
        <v>471240</v>
      </c>
    </row>
    <row r="1373" spans="4:12" x14ac:dyDescent="0.25">
      <c r="D1373" s="1">
        <v>42675</v>
      </c>
      <c r="E1373">
        <v>42933</v>
      </c>
      <c r="F1373" s="1">
        <v>42675</v>
      </c>
      <c r="G1373">
        <v>-5962.5</v>
      </c>
      <c r="H1373" s="1">
        <f t="shared" si="64"/>
        <v>42675</v>
      </c>
      <c r="I1373">
        <f>IF(AND(MyRowHidden(ROW())=FALSE,MyRowHidden(ROW()-1)=TRUE),0,(E1373-E1372)*unitsOfDHp+I1372)</f>
        <v>479330</v>
      </c>
      <c r="J1373">
        <f>IF(AND(MyRowHidden(ROW())=FALSE,MyRowHidden(ROW()-1)=TRUE),0,(G1373-G1372)*unitsOfExo+J1372)</f>
        <v>-9625</v>
      </c>
      <c r="K1373" s="9">
        <f t="shared" si="65"/>
        <v>109625</v>
      </c>
      <c r="L1373">
        <f t="shared" si="66"/>
        <v>469705</v>
      </c>
    </row>
    <row r="1374" spans="4:12" x14ac:dyDescent="0.25">
      <c r="D1374" s="1">
        <v>42676</v>
      </c>
      <c r="E1374">
        <v>43254</v>
      </c>
      <c r="F1374" s="1">
        <v>42676</v>
      </c>
      <c r="G1374">
        <v>-6162.5</v>
      </c>
      <c r="H1374" s="1">
        <f t="shared" si="64"/>
        <v>42676</v>
      </c>
      <c r="I1374">
        <f>IF(AND(MyRowHidden(ROW())=FALSE,MyRowHidden(ROW()-1)=TRUE),0,(E1374-E1373)*unitsOfDHp+I1373)</f>
        <v>482540</v>
      </c>
      <c r="J1374">
        <f>IF(AND(MyRowHidden(ROW())=FALSE,MyRowHidden(ROW()-1)=TRUE),0,(G1374-G1373)*unitsOfExo+J1373)</f>
        <v>-11625</v>
      </c>
      <c r="K1374" s="9">
        <f t="shared" si="65"/>
        <v>111625</v>
      </c>
      <c r="L1374">
        <f t="shared" si="66"/>
        <v>470915</v>
      </c>
    </row>
    <row r="1375" spans="4:12" x14ac:dyDescent="0.25">
      <c r="D1375" s="1">
        <v>42677</v>
      </c>
      <c r="E1375">
        <v>43072</v>
      </c>
      <c r="F1375" s="1">
        <v>42677</v>
      </c>
      <c r="G1375">
        <v>-6050</v>
      </c>
      <c r="H1375" s="1">
        <f t="shared" si="64"/>
        <v>42677</v>
      </c>
      <c r="I1375">
        <f>IF(AND(MyRowHidden(ROW())=FALSE,MyRowHidden(ROW()-1)=TRUE),0,(E1375-E1374)*unitsOfDHp+I1374)</f>
        <v>480720</v>
      </c>
      <c r="J1375">
        <f>IF(AND(MyRowHidden(ROW())=FALSE,MyRowHidden(ROW()-1)=TRUE),0,(G1375-G1374)*unitsOfExo+J1374)</f>
        <v>-10500</v>
      </c>
      <c r="K1375" s="9">
        <f t="shared" si="65"/>
        <v>110500</v>
      </c>
      <c r="L1375">
        <f t="shared" si="66"/>
        <v>470220</v>
      </c>
    </row>
    <row r="1376" spans="4:12" x14ac:dyDescent="0.25">
      <c r="D1376" s="1">
        <v>42678</v>
      </c>
      <c r="E1376">
        <v>43035</v>
      </c>
      <c r="F1376" s="1">
        <v>42678</v>
      </c>
      <c r="G1376">
        <v>-6025</v>
      </c>
      <c r="H1376" s="1">
        <f t="shared" si="64"/>
        <v>42678</v>
      </c>
      <c r="I1376">
        <f>IF(AND(MyRowHidden(ROW())=FALSE,MyRowHidden(ROW()-1)=TRUE),0,(E1376-E1375)*unitsOfDHp+I1375)</f>
        <v>480350</v>
      </c>
      <c r="J1376">
        <f>IF(AND(MyRowHidden(ROW())=FALSE,MyRowHidden(ROW()-1)=TRUE),0,(G1376-G1375)*unitsOfExo+J1375)</f>
        <v>-10250</v>
      </c>
      <c r="K1376" s="9">
        <f t="shared" si="65"/>
        <v>110250</v>
      </c>
      <c r="L1376">
        <f t="shared" si="66"/>
        <v>470100</v>
      </c>
    </row>
    <row r="1377" spans="4:12" x14ac:dyDescent="0.25">
      <c r="D1377" s="1">
        <v>42681</v>
      </c>
      <c r="E1377">
        <v>43240</v>
      </c>
      <c r="F1377" s="1">
        <v>42681</v>
      </c>
      <c r="G1377">
        <v>-6125</v>
      </c>
      <c r="H1377" s="1">
        <f t="shared" si="64"/>
        <v>42681</v>
      </c>
      <c r="I1377">
        <f>IF(AND(MyRowHidden(ROW())=FALSE,MyRowHidden(ROW()-1)=TRUE),0,(E1377-E1376)*unitsOfDHp+I1376)</f>
        <v>482400</v>
      </c>
      <c r="J1377">
        <f>IF(AND(MyRowHidden(ROW())=FALSE,MyRowHidden(ROW()-1)=TRUE),0,(G1377-G1376)*unitsOfExo+J1376)</f>
        <v>-11250</v>
      </c>
      <c r="K1377" s="9">
        <f t="shared" si="65"/>
        <v>111250</v>
      </c>
      <c r="L1377">
        <f t="shared" si="66"/>
        <v>471150</v>
      </c>
    </row>
    <row r="1378" spans="4:12" x14ac:dyDescent="0.25">
      <c r="D1378" s="1">
        <v>42682</v>
      </c>
      <c r="E1378">
        <v>42514</v>
      </c>
      <c r="F1378" s="1">
        <v>42682</v>
      </c>
      <c r="G1378">
        <v>-5762.5</v>
      </c>
      <c r="H1378" s="1">
        <f t="shared" si="64"/>
        <v>42682</v>
      </c>
      <c r="I1378">
        <f>IF(AND(MyRowHidden(ROW())=FALSE,MyRowHidden(ROW()-1)=TRUE),0,(E1378-E1377)*unitsOfDHp+I1377)</f>
        <v>475140</v>
      </c>
      <c r="J1378">
        <f>IF(AND(MyRowHidden(ROW())=FALSE,MyRowHidden(ROW()-1)=TRUE),0,(G1378-G1377)*unitsOfExo+J1377)</f>
        <v>-7625</v>
      </c>
      <c r="K1378" s="9">
        <f t="shared" si="65"/>
        <v>107625</v>
      </c>
      <c r="L1378">
        <f t="shared" si="66"/>
        <v>467515</v>
      </c>
    </row>
    <row r="1379" spans="4:12" x14ac:dyDescent="0.25">
      <c r="D1379" s="1">
        <v>42683</v>
      </c>
      <c r="E1379">
        <v>42891</v>
      </c>
      <c r="F1379" s="1">
        <v>42683</v>
      </c>
      <c r="G1379">
        <v>-6300</v>
      </c>
      <c r="H1379" s="1">
        <f t="shared" si="64"/>
        <v>42683</v>
      </c>
      <c r="I1379">
        <f>IF(AND(MyRowHidden(ROW())=FALSE,MyRowHidden(ROW()-1)=TRUE),0,(E1379-E1378)*unitsOfDHp+I1378)</f>
        <v>478910</v>
      </c>
      <c r="J1379">
        <f>IF(AND(MyRowHidden(ROW())=FALSE,MyRowHidden(ROW()-1)=TRUE),0,(G1379-G1378)*unitsOfExo+J1378)</f>
        <v>-13000</v>
      </c>
      <c r="K1379" s="9">
        <f t="shared" si="65"/>
        <v>113000</v>
      </c>
      <c r="L1379">
        <f t="shared" si="66"/>
        <v>465910</v>
      </c>
    </row>
    <row r="1380" spans="4:12" x14ac:dyDescent="0.25">
      <c r="D1380" s="1">
        <v>42684</v>
      </c>
      <c r="E1380">
        <v>42946</v>
      </c>
      <c r="F1380" s="1">
        <v>42684</v>
      </c>
      <c r="G1380">
        <v>-6325</v>
      </c>
      <c r="H1380" s="1">
        <f t="shared" si="64"/>
        <v>42684</v>
      </c>
      <c r="I1380">
        <f>IF(AND(MyRowHidden(ROW())=FALSE,MyRowHidden(ROW()-1)=TRUE),0,(E1380-E1379)*unitsOfDHp+I1379)</f>
        <v>479460</v>
      </c>
      <c r="J1380">
        <f>IF(AND(MyRowHidden(ROW())=FALSE,MyRowHidden(ROW()-1)=TRUE),0,(G1380-G1379)*unitsOfExo+J1379)</f>
        <v>-13250</v>
      </c>
      <c r="K1380" s="9">
        <f t="shared" si="65"/>
        <v>113250</v>
      </c>
      <c r="L1380">
        <f t="shared" si="66"/>
        <v>466210</v>
      </c>
    </row>
    <row r="1381" spans="4:12" x14ac:dyDescent="0.25">
      <c r="D1381" s="1">
        <v>42688</v>
      </c>
      <c r="E1381">
        <v>43169</v>
      </c>
      <c r="F1381" s="1">
        <v>42688</v>
      </c>
      <c r="G1381">
        <v>-6512.5</v>
      </c>
      <c r="H1381" s="1">
        <f t="shared" si="64"/>
        <v>42688</v>
      </c>
      <c r="I1381">
        <f>IF(AND(MyRowHidden(ROW())=FALSE,MyRowHidden(ROW()-1)=TRUE),0,(E1381-E1380)*unitsOfDHp+I1380)</f>
        <v>481690</v>
      </c>
      <c r="J1381">
        <f>IF(AND(MyRowHidden(ROW())=FALSE,MyRowHidden(ROW()-1)=TRUE),0,(G1381-G1380)*unitsOfExo+J1380)</f>
        <v>-15125</v>
      </c>
      <c r="K1381" s="9">
        <f t="shared" si="65"/>
        <v>115125</v>
      </c>
      <c r="L1381">
        <f t="shared" si="66"/>
        <v>466565</v>
      </c>
    </row>
    <row r="1382" spans="4:12" x14ac:dyDescent="0.25">
      <c r="D1382" s="1">
        <v>42689</v>
      </c>
      <c r="E1382">
        <v>43124</v>
      </c>
      <c r="F1382" s="1">
        <v>42689</v>
      </c>
      <c r="G1382">
        <v>-6337.5</v>
      </c>
      <c r="H1382" s="1">
        <f t="shared" si="64"/>
        <v>42689</v>
      </c>
      <c r="I1382">
        <f>IF(AND(MyRowHidden(ROW())=FALSE,MyRowHidden(ROW()-1)=TRUE),0,(E1382-E1381)*unitsOfDHp+I1381)</f>
        <v>481240</v>
      </c>
      <c r="J1382">
        <f>IF(AND(MyRowHidden(ROW())=FALSE,MyRowHidden(ROW()-1)=TRUE),0,(G1382-G1381)*unitsOfExo+J1381)</f>
        <v>-13375</v>
      </c>
      <c r="K1382" s="9">
        <f t="shared" si="65"/>
        <v>113375</v>
      </c>
      <c r="L1382">
        <f t="shared" si="66"/>
        <v>467865</v>
      </c>
    </row>
    <row r="1383" spans="4:12" x14ac:dyDescent="0.25">
      <c r="D1383" s="1">
        <v>42690</v>
      </c>
      <c r="E1383">
        <v>43113</v>
      </c>
      <c r="F1383" s="1">
        <v>42690</v>
      </c>
      <c r="G1383">
        <v>-6437.5</v>
      </c>
      <c r="H1383" s="1">
        <f t="shared" si="64"/>
        <v>42690</v>
      </c>
      <c r="I1383">
        <f>IF(AND(MyRowHidden(ROW())=FALSE,MyRowHidden(ROW()-1)=TRUE),0,(E1383-E1382)*unitsOfDHp+I1382)</f>
        <v>481130</v>
      </c>
      <c r="J1383">
        <f>IF(AND(MyRowHidden(ROW())=FALSE,MyRowHidden(ROW()-1)=TRUE),0,(G1383-G1382)*unitsOfExo+J1382)</f>
        <v>-14375</v>
      </c>
      <c r="K1383" s="9">
        <f t="shared" si="65"/>
        <v>114375</v>
      </c>
      <c r="L1383">
        <f t="shared" si="66"/>
        <v>466755</v>
      </c>
    </row>
    <row r="1384" spans="4:12" x14ac:dyDescent="0.25">
      <c r="D1384" s="1">
        <v>42691</v>
      </c>
      <c r="E1384">
        <v>42973</v>
      </c>
      <c r="F1384" s="1">
        <v>42691</v>
      </c>
      <c r="G1384">
        <v>-6300</v>
      </c>
      <c r="H1384" s="1">
        <f t="shared" si="64"/>
        <v>42691</v>
      </c>
      <c r="I1384">
        <f>IF(AND(MyRowHidden(ROW())=FALSE,MyRowHidden(ROW()-1)=TRUE),0,(E1384-E1383)*unitsOfDHp+I1383)</f>
        <v>479730</v>
      </c>
      <c r="J1384">
        <f>IF(AND(MyRowHidden(ROW())=FALSE,MyRowHidden(ROW()-1)=TRUE),0,(G1384-G1383)*unitsOfExo+J1383)</f>
        <v>-13000</v>
      </c>
      <c r="K1384" s="9">
        <f t="shared" si="65"/>
        <v>113000</v>
      </c>
      <c r="L1384">
        <f t="shared" si="66"/>
        <v>466730</v>
      </c>
    </row>
    <row r="1385" spans="4:12" x14ac:dyDescent="0.25">
      <c r="D1385" s="1">
        <v>42692</v>
      </c>
      <c r="E1385">
        <v>42957</v>
      </c>
      <c r="F1385" s="1">
        <v>42692</v>
      </c>
      <c r="G1385">
        <v>-6162.5</v>
      </c>
      <c r="H1385" s="1">
        <f t="shared" si="64"/>
        <v>42692</v>
      </c>
      <c r="I1385">
        <f>IF(AND(MyRowHidden(ROW())=FALSE,MyRowHidden(ROW()-1)=TRUE),0,(E1385-E1384)*unitsOfDHp+I1384)</f>
        <v>479570</v>
      </c>
      <c r="J1385">
        <f>IF(AND(MyRowHidden(ROW())=FALSE,MyRowHidden(ROW()-1)=TRUE),0,(G1385-G1384)*unitsOfExo+J1384)</f>
        <v>-11625</v>
      </c>
      <c r="K1385" s="9">
        <f t="shared" si="65"/>
        <v>111625</v>
      </c>
      <c r="L1385">
        <f t="shared" si="66"/>
        <v>467945</v>
      </c>
    </row>
    <row r="1386" spans="4:12" x14ac:dyDescent="0.25">
      <c r="D1386" s="1">
        <v>42695</v>
      </c>
      <c r="E1386">
        <v>43042</v>
      </c>
      <c r="F1386" s="1">
        <v>42695</v>
      </c>
      <c r="G1386">
        <v>-5937.5</v>
      </c>
      <c r="H1386" s="1">
        <f t="shared" si="64"/>
        <v>42695</v>
      </c>
      <c r="I1386">
        <f>IF(AND(MyRowHidden(ROW())=FALSE,MyRowHidden(ROW()-1)=TRUE),0,(E1386-E1385)*unitsOfDHp+I1385)</f>
        <v>480420</v>
      </c>
      <c r="J1386">
        <f>IF(AND(MyRowHidden(ROW())=FALSE,MyRowHidden(ROW()-1)=TRUE),0,(G1386-G1385)*unitsOfExo+J1385)</f>
        <v>-9375</v>
      </c>
      <c r="K1386" s="9">
        <f t="shared" si="65"/>
        <v>109375</v>
      </c>
      <c r="L1386">
        <f t="shared" si="66"/>
        <v>471045</v>
      </c>
    </row>
    <row r="1387" spans="4:12" x14ac:dyDescent="0.25">
      <c r="D1387" s="1">
        <v>42696</v>
      </c>
      <c r="E1387">
        <v>42882</v>
      </c>
      <c r="F1387" s="1">
        <v>42696</v>
      </c>
      <c r="G1387">
        <v>-5875</v>
      </c>
      <c r="H1387" s="1">
        <f t="shared" si="64"/>
        <v>42696</v>
      </c>
      <c r="I1387">
        <f>IF(AND(MyRowHidden(ROW())=FALSE,MyRowHidden(ROW()-1)=TRUE),0,(E1387-E1386)*unitsOfDHp+I1386)</f>
        <v>478820</v>
      </c>
      <c r="J1387">
        <f>IF(AND(MyRowHidden(ROW())=FALSE,MyRowHidden(ROW()-1)=TRUE),0,(G1387-G1386)*unitsOfExo+J1386)</f>
        <v>-8750</v>
      </c>
      <c r="K1387" s="9">
        <f t="shared" si="65"/>
        <v>108750</v>
      </c>
      <c r="L1387">
        <f t="shared" si="66"/>
        <v>470070</v>
      </c>
    </row>
    <row r="1388" spans="4:12" x14ac:dyDescent="0.25">
      <c r="D1388" s="1">
        <v>42697</v>
      </c>
      <c r="E1388">
        <v>42935</v>
      </c>
      <c r="F1388" s="1">
        <v>42697</v>
      </c>
      <c r="G1388">
        <v>-5912.5</v>
      </c>
      <c r="H1388" s="1">
        <f t="shared" si="64"/>
        <v>42697</v>
      </c>
      <c r="I1388">
        <f>IF(AND(MyRowHidden(ROW())=FALSE,MyRowHidden(ROW()-1)=TRUE),0,(E1388-E1387)*unitsOfDHp+I1387)</f>
        <v>479350</v>
      </c>
      <c r="J1388">
        <f>IF(AND(MyRowHidden(ROW())=FALSE,MyRowHidden(ROW()-1)=TRUE),0,(G1388-G1387)*unitsOfExo+J1387)</f>
        <v>-9125</v>
      </c>
      <c r="K1388" s="9">
        <f t="shared" si="65"/>
        <v>109125</v>
      </c>
      <c r="L1388">
        <f t="shared" si="66"/>
        <v>470225</v>
      </c>
    </row>
    <row r="1389" spans="4:12" x14ac:dyDescent="0.25">
      <c r="D1389" s="1">
        <v>42699</v>
      </c>
      <c r="E1389">
        <v>42887</v>
      </c>
      <c r="F1389" s="1">
        <v>42699</v>
      </c>
      <c r="G1389">
        <v>-5875</v>
      </c>
      <c r="H1389" s="1">
        <f t="shared" si="64"/>
        <v>42699</v>
      </c>
      <c r="I1389">
        <f>IF(AND(MyRowHidden(ROW())=FALSE,MyRowHidden(ROW()-1)=TRUE),0,(E1389-E1388)*unitsOfDHp+I1388)</f>
        <v>478870</v>
      </c>
      <c r="J1389">
        <f>IF(AND(MyRowHidden(ROW())=FALSE,MyRowHidden(ROW()-1)=TRUE),0,(G1389-G1388)*unitsOfExo+J1388)</f>
        <v>-8750</v>
      </c>
      <c r="K1389" s="9">
        <f t="shared" si="65"/>
        <v>108750</v>
      </c>
      <c r="L1389">
        <f t="shared" si="66"/>
        <v>470120</v>
      </c>
    </row>
    <row r="1390" spans="4:12" x14ac:dyDescent="0.25">
      <c r="D1390" s="1">
        <v>42702</v>
      </c>
      <c r="E1390">
        <v>43000</v>
      </c>
      <c r="F1390" s="1">
        <v>42702</v>
      </c>
      <c r="G1390">
        <v>-5962.5</v>
      </c>
      <c r="H1390" s="1">
        <f t="shared" si="64"/>
        <v>42702</v>
      </c>
      <c r="I1390">
        <f>IF(AND(MyRowHidden(ROW())=FALSE,MyRowHidden(ROW()-1)=TRUE),0,(E1390-E1389)*unitsOfDHp+I1389)</f>
        <v>480000</v>
      </c>
      <c r="J1390">
        <f>IF(AND(MyRowHidden(ROW())=FALSE,MyRowHidden(ROW()-1)=TRUE),0,(G1390-G1389)*unitsOfExo+J1389)</f>
        <v>-9625</v>
      </c>
      <c r="K1390" s="9">
        <f t="shared" si="65"/>
        <v>109625</v>
      </c>
      <c r="L1390">
        <f t="shared" si="66"/>
        <v>470375</v>
      </c>
    </row>
    <row r="1391" spans="4:12" x14ac:dyDescent="0.25">
      <c r="D1391" s="1">
        <v>42703</v>
      </c>
      <c r="E1391">
        <v>43734</v>
      </c>
      <c r="F1391" s="1">
        <v>42703</v>
      </c>
      <c r="G1391">
        <v>-6500</v>
      </c>
      <c r="H1391" s="1">
        <f t="shared" si="64"/>
        <v>42703</v>
      </c>
      <c r="I1391">
        <f>IF(AND(MyRowHidden(ROW())=FALSE,MyRowHidden(ROW()-1)=TRUE),0,(E1391-E1390)*unitsOfDHp+I1390)</f>
        <v>487340</v>
      </c>
      <c r="J1391">
        <f>IF(AND(MyRowHidden(ROW())=FALSE,MyRowHidden(ROW()-1)=TRUE),0,(G1391-G1390)*unitsOfExo+J1390)</f>
        <v>-15000</v>
      </c>
      <c r="K1391" s="9">
        <f t="shared" si="65"/>
        <v>115000</v>
      </c>
      <c r="L1391">
        <f t="shared" si="66"/>
        <v>472340</v>
      </c>
    </row>
    <row r="1392" spans="4:12" x14ac:dyDescent="0.25">
      <c r="D1392" s="1">
        <v>42704</v>
      </c>
      <c r="E1392">
        <v>43726</v>
      </c>
      <c r="F1392" s="1">
        <v>42704</v>
      </c>
      <c r="G1392">
        <v>-6500</v>
      </c>
      <c r="H1392" s="1">
        <f t="shared" si="64"/>
        <v>42704</v>
      </c>
      <c r="I1392">
        <f>IF(AND(MyRowHidden(ROW())=FALSE,MyRowHidden(ROW()-1)=TRUE),0,(E1392-E1391)*unitsOfDHp+I1391)</f>
        <v>487260</v>
      </c>
      <c r="J1392">
        <f>IF(AND(MyRowHidden(ROW())=FALSE,MyRowHidden(ROW()-1)=TRUE),0,(G1392-G1391)*unitsOfExo+J1391)</f>
        <v>-15000</v>
      </c>
      <c r="K1392" s="9">
        <f t="shared" si="65"/>
        <v>115000</v>
      </c>
      <c r="L1392">
        <f t="shared" si="66"/>
        <v>472260</v>
      </c>
    </row>
    <row r="1393" spans="4:12" x14ac:dyDescent="0.25">
      <c r="D1393" s="1">
        <v>42705</v>
      </c>
      <c r="E1393">
        <v>43721</v>
      </c>
      <c r="F1393" s="1">
        <v>42705</v>
      </c>
      <c r="G1393">
        <v>-6837.5</v>
      </c>
      <c r="H1393" s="1">
        <f t="shared" si="64"/>
        <v>42705</v>
      </c>
      <c r="I1393">
        <f>IF(AND(MyRowHidden(ROW())=FALSE,MyRowHidden(ROW()-1)=TRUE),0,(E1393-E1392)*unitsOfDHp+I1392)</f>
        <v>487210</v>
      </c>
      <c r="J1393">
        <f>IF(AND(MyRowHidden(ROW())=FALSE,MyRowHidden(ROW()-1)=TRUE),0,(G1393-G1392)*unitsOfExo+J1392)</f>
        <v>-18375</v>
      </c>
      <c r="K1393" s="9">
        <f t="shared" si="65"/>
        <v>118375</v>
      </c>
      <c r="L1393">
        <f t="shared" si="66"/>
        <v>468835</v>
      </c>
    </row>
    <row r="1394" spans="4:12" x14ac:dyDescent="0.25">
      <c r="D1394" s="1">
        <v>42706</v>
      </c>
      <c r="E1394">
        <v>43626</v>
      </c>
      <c r="F1394" s="1">
        <v>42706</v>
      </c>
      <c r="G1394">
        <v>-6562.5</v>
      </c>
      <c r="H1394" s="1">
        <f t="shared" si="64"/>
        <v>42706</v>
      </c>
      <c r="I1394">
        <f>IF(AND(MyRowHidden(ROW())=FALSE,MyRowHidden(ROW()-1)=TRUE),0,(E1394-E1393)*unitsOfDHp+I1393)</f>
        <v>486260</v>
      </c>
      <c r="J1394">
        <f>IF(AND(MyRowHidden(ROW())=FALSE,MyRowHidden(ROW()-1)=TRUE),0,(G1394-G1393)*unitsOfExo+J1393)</f>
        <v>-15625</v>
      </c>
      <c r="K1394" s="9">
        <f t="shared" si="65"/>
        <v>115625</v>
      </c>
      <c r="L1394">
        <f t="shared" si="66"/>
        <v>470635</v>
      </c>
    </row>
    <row r="1395" spans="4:12" x14ac:dyDescent="0.25">
      <c r="D1395" s="1">
        <v>42709</v>
      </c>
      <c r="E1395">
        <v>43621</v>
      </c>
      <c r="F1395" s="1">
        <v>42709</v>
      </c>
      <c r="G1395">
        <v>-5987.5</v>
      </c>
      <c r="H1395" s="1">
        <f t="shared" si="64"/>
        <v>42709</v>
      </c>
      <c r="I1395">
        <f>IF(AND(MyRowHidden(ROW())=FALSE,MyRowHidden(ROW()-1)=TRUE),0,(E1395-E1394)*unitsOfDHp+I1394)</f>
        <v>486210</v>
      </c>
      <c r="J1395">
        <f>IF(AND(MyRowHidden(ROW())=FALSE,MyRowHidden(ROW()-1)=TRUE),0,(G1395-G1394)*unitsOfExo+J1394)</f>
        <v>-9875</v>
      </c>
      <c r="K1395" s="9">
        <f t="shared" si="65"/>
        <v>109875</v>
      </c>
      <c r="L1395">
        <f t="shared" si="66"/>
        <v>476335</v>
      </c>
    </row>
    <row r="1396" spans="4:12" x14ac:dyDescent="0.25">
      <c r="D1396" s="1">
        <v>42710</v>
      </c>
      <c r="E1396">
        <v>43607</v>
      </c>
      <c r="F1396" s="1">
        <v>42710</v>
      </c>
      <c r="G1396">
        <v>-5987.5</v>
      </c>
      <c r="H1396" s="1">
        <f t="shared" si="64"/>
        <v>42710</v>
      </c>
      <c r="I1396">
        <f>IF(AND(MyRowHidden(ROW())=FALSE,MyRowHidden(ROW()-1)=TRUE),0,(E1396-E1395)*unitsOfDHp+I1395)</f>
        <v>486070</v>
      </c>
      <c r="J1396">
        <f>IF(AND(MyRowHidden(ROW())=FALSE,MyRowHidden(ROW()-1)=TRUE),0,(G1396-G1395)*unitsOfExo+J1395)</f>
        <v>-9875</v>
      </c>
      <c r="K1396" s="9">
        <f t="shared" si="65"/>
        <v>109875</v>
      </c>
      <c r="L1396">
        <f t="shared" si="66"/>
        <v>476195</v>
      </c>
    </row>
    <row r="1397" spans="4:12" x14ac:dyDescent="0.25">
      <c r="D1397" s="1">
        <v>42711</v>
      </c>
      <c r="E1397">
        <v>43619</v>
      </c>
      <c r="F1397" s="1">
        <v>42711</v>
      </c>
      <c r="G1397">
        <v>-5900</v>
      </c>
      <c r="H1397" s="1">
        <f t="shared" si="64"/>
        <v>42711</v>
      </c>
      <c r="I1397">
        <f>IF(AND(MyRowHidden(ROW())=FALSE,MyRowHidden(ROW()-1)=TRUE),0,(E1397-E1396)*unitsOfDHp+I1396)</f>
        <v>486190</v>
      </c>
      <c r="J1397">
        <f>IF(AND(MyRowHidden(ROW())=FALSE,MyRowHidden(ROW()-1)=TRUE),0,(G1397-G1396)*unitsOfExo+J1396)</f>
        <v>-9000</v>
      </c>
      <c r="K1397" s="9">
        <f t="shared" si="65"/>
        <v>109000</v>
      </c>
      <c r="L1397">
        <f t="shared" si="66"/>
        <v>477190</v>
      </c>
    </row>
    <row r="1398" spans="4:12" x14ac:dyDescent="0.25">
      <c r="D1398" s="1">
        <v>42712</v>
      </c>
      <c r="E1398">
        <v>43862</v>
      </c>
      <c r="F1398" s="1">
        <v>42712</v>
      </c>
      <c r="G1398">
        <v>-6000</v>
      </c>
      <c r="H1398" s="1">
        <f t="shared" si="64"/>
        <v>42712</v>
      </c>
      <c r="I1398">
        <f>IF(AND(MyRowHidden(ROW())=FALSE,MyRowHidden(ROW()-1)=TRUE),0,(E1398-E1397)*unitsOfDHp+I1397)</f>
        <v>488620</v>
      </c>
      <c r="J1398">
        <f>IF(AND(MyRowHidden(ROW())=FALSE,MyRowHidden(ROW()-1)=TRUE),0,(G1398-G1397)*unitsOfExo+J1397)</f>
        <v>-10000</v>
      </c>
      <c r="K1398" s="9">
        <f t="shared" si="65"/>
        <v>110000</v>
      </c>
      <c r="L1398">
        <f t="shared" si="66"/>
        <v>478620</v>
      </c>
    </row>
    <row r="1399" spans="4:12" x14ac:dyDescent="0.25">
      <c r="D1399" s="1">
        <v>42713</v>
      </c>
      <c r="E1399">
        <v>43617</v>
      </c>
      <c r="F1399" s="1">
        <v>42713</v>
      </c>
      <c r="G1399">
        <v>-5925</v>
      </c>
      <c r="H1399" s="1">
        <f t="shared" si="64"/>
        <v>42713</v>
      </c>
      <c r="I1399">
        <f>IF(AND(MyRowHidden(ROW())=FALSE,MyRowHidden(ROW()-1)=TRUE),0,(E1399-E1398)*unitsOfDHp+I1398)</f>
        <v>486170</v>
      </c>
      <c r="J1399">
        <f>IF(AND(MyRowHidden(ROW())=FALSE,MyRowHidden(ROW()-1)=TRUE),0,(G1399-G1398)*unitsOfExo+J1398)</f>
        <v>-9250</v>
      </c>
      <c r="K1399" s="9">
        <f t="shared" si="65"/>
        <v>109250</v>
      </c>
      <c r="L1399">
        <f t="shared" si="66"/>
        <v>476920</v>
      </c>
    </row>
    <row r="1400" spans="4:12" x14ac:dyDescent="0.25">
      <c r="D1400" s="1">
        <v>42716</v>
      </c>
      <c r="E1400">
        <v>43470</v>
      </c>
      <c r="F1400" s="1">
        <v>42716</v>
      </c>
      <c r="G1400">
        <v>-5737.5</v>
      </c>
      <c r="H1400" s="1">
        <f t="shared" si="64"/>
        <v>42716</v>
      </c>
      <c r="I1400">
        <f>IF(AND(MyRowHidden(ROW())=FALSE,MyRowHidden(ROW()-1)=TRUE),0,(E1400-E1399)*unitsOfDHp+I1399)</f>
        <v>484700</v>
      </c>
      <c r="J1400">
        <f>IF(AND(MyRowHidden(ROW())=FALSE,MyRowHidden(ROW()-1)=TRUE),0,(G1400-G1399)*unitsOfExo+J1399)</f>
        <v>-7375</v>
      </c>
      <c r="K1400" s="9">
        <f t="shared" si="65"/>
        <v>107375</v>
      </c>
      <c r="L1400">
        <f t="shared" si="66"/>
        <v>477325</v>
      </c>
    </row>
    <row r="1401" spans="4:12" x14ac:dyDescent="0.25">
      <c r="D1401" s="1">
        <v>42717</v>
      </c>
      <c r="E1401">
        <v>43370</v>
      </c>
      <c r="F1401" s="1">
        <v>42717</v>
      </c>
      <c r="G1401">
        <v>-5587.5</v>
      </c>
      <c r="H1401" s="1">
        <f t="shared" si="64"/>
        <v>42717</v>
      </c>
      <c r="I1401">
        <f>IF(AND(MyRowHidden(ROW())=FALSE,MyRowHidden(ROW()-1)=TRUE),0,(E1401-E1400)*unitsOfDHp+I1400)</f>
        <v>483700</v>
      </c>
      <c r="J1401">
        <f>IF(AND(MyRowHidden(ROW())=FALSE,MyRowHidden(ROW()-1)=TRUE),0,(G1401-G1400)*unitsOfExo+J1400)</f>
        <v>-5875</v>
      </c>
      <c r="K1401" s="9">
        <f t="shared" si="65"/>
        <v>105875</v>
      </c>
      <c r="L1401">
        <f t="shared" si="66"/>
        <v>477825</v>
      </c>
    </row>
    <row r="1402" spans="4:12" x14ac:dyDescent="0.25">
      <c r="D1402" s="1">
        <v>42718</v>
      </c>
      <c r="E1402">
        <v>43546</v>
      </c>
      <c r="F1402" s="1">
        <v>42718</v>
      </c>
      <c r="G1402">
        <v>-5650</v>
      </c>
      <c r="H1402" s="1">
        <f t="shared" si="64"/>
        <v>42718</v>
      </c>
      <c r="I1402">
        <f>IF(AND(MyRowHidden(ROW())=FALSE,MyRowHidden(ROW()-1)=TRUE),0,(E1402-E1401)*unitsOfDHp+I1401)</f>
        <v>485460</v>
      </c>
      <c r="J1402">
        <f>IF(AND(MyRowHidden(ROW())=FALSE,MyRowHidden(ROW()-1)=TRUE),0,(G1402-G1401)*unitsOfExo+J1401)</f>
        <v>-6500</v>
      </c>
      <c r="K1402" s="9">
        <f t="shared" si="65"/>
        <v>106500</v>
      </c>
      <c r="L1402">
        <f t="shared" si="66"/>
        <v>478960</v>
      </c>
    </row>
    <row r="1403" spans="4:12" x14ac:dyDescent="0.25">
      <c r="D1403" s="1">
        <v>42719</v>
      </c>
      <c r="E1403">
        <v>44222</v>
      </c>
      <c r="F1403" s="1">
        <v>42719</v>
      </c>
      <c r="G1403">
        <v>-5837.5</v>
      </c>
      <c r="H1403" s="1">
        <f t="shared" si="64"/>
        <v>42719</v>
      </c>
      <c r="I1403">
        <f>IF(AND(MyRowHidden(ROW())=FALSE,MyRowHidden(ROW()-1)=TRUE),0,(E1403-E1402)*unitsOfDHp+I1402)</f>
        <v>492220</v>
      </c>
      <c r="J1403">
        <f>IF(AND(MyRowHidden(ROW())=FALSE,MyRowHidden(ROW()-1)=TRUE),0,(G1403-G1402)*unitsOfExo+J1402)</f>
        <v>-8375</v>
      </c>
      <c r="K1403" s="9">
        <f t="shared" si="65"/>
        <v>108375</v>
      </c>
      <c r="L1403">
        <f t="shared" si="66"/>
        <v>483845</v>
      </c>
    </row>
    <row r="1404" spans="4:12" x14ac:dyDescent="0.25">
      <c r="D1404" s="1">
        <v>42720</v>
      </c>
      <c r="E1404">
        <v>44491</v>
      </c>
      <c r="F1404" s="1">
        <v>42720</v>
      </c>
      <c r="G1404">
        <v>-5900</v>
      </c>
      <c r="H1404" s="1">
        <f t="shared" si="64"/>
        <v>42720</v>
      </c>
      <c r="I1404">
        <f>IF(AND(MyRowHidden(ROW())=FALSE,MyRowHidden(ROW()-1)=TRUE),0,(E1404-E1403)*unitsOfDHp+I1403)</f>
        <v>494910</v>
      </c>
      <c r="J1404">
        <f>IF(AND(MyRowHidden(ROW())=FALSE,MyRowHidden(ROW()-1)=TRUE),0,(G1404-G1403)*unitsOfExo+J1403)</f>
        <v>-9000</v>
      </c>
      <c r="K1404" s="9">
        <f t="shared" si="65"/>
        <v>109000</v>
      </c>
      <c r="L1404">
        <f t="shared" si="66"/>
        <v>485910</v>
      </c>
    </row>
    <row r="1405" spans="4:12" x14ac:dyDescent="0.25">
      <c r="D1405" s="1">
        <v>42723</v>
      </c>
      <c r="E1405">
        <v>44342</v>
      </c>
      <c r="F1405" s="1">
        <v>42723</v>
      </c>
      <c r="G1405">
        <v>-5812.5</v>
      </c>
      <c r="H1405" s="1">
        <f t="shared" si="64"/>
        <v>42723</v>
      </c>
      <c r="I1405">
        <f>IF(AND(MyRowHidden(ROW())=FALSE,MyRowHidden(ROW()-1)=TRUE),0,(E1405-E1404)*unitsOfDHp+I1404)</f>
        <v>493420</v>
      </c>
      <c r="J1405">
        <f>IF(AND(MyRowHidden(ROW())=FALSE,MyRowHidden(ROW()-1)=TRUE),0,(G1405-G1404)*unitsOfExo+J1404)</f>
        <v>-8125</v>
      </c>
      <c r="K1405" s="9">
        <f t="shared" si="65"/>
        <v>108125</v>
      </c>
      <c r="L1405">
        <f t="shared" si="66"/>
        <v>485295</v>
      </c>
    </row>
    <row r="1406" spans="4:12" x14ac:dyDescent="0.25">
      <c r="D1406" s="1">
        <v>42724</v>
      </c>
      <c r="E1406">
        <v>44819</v>
      </c>
      <c r="F1406" s="1">
        <v>42724</v>
      </c>
      <c r="G1406">
        <v>-5987.5</v>
      </c>
      <c r="H1406" s="1">
        <f t="shared" si="64"/>
        <v>42724</v>
      </c>
      <c r="I1406">
        <f>IF(AND(MyRowHidden(ROW())=FALSE,MyRowHidden(ROW()-1)=TRUE),0,(E1406-E1405)*unitsOfDHp+I1405)</f>
        <v>498190</v>
      </c>
      <c r="J1406">
        <f>IF(AND(MyRowHidden(ROW())=FALSE,MyRowHidden(ROW()-1)=TRUE),0,(G1406-G1405)*unitsOfExo+J1405)</f>
        <v>-9875</v>
      </c>
      <c r="K1406" s="9">
        <f t="shared" si="65"/>
        <v>109875</v>
      </c>
      <c r="L1406">
        <f t="shared" si="66"/>
        <v>488315</v>
      </c>
    </row>
    <row r="1407" spans="4:12" x14ac:dyDescent="0.25">
      <c r="D1407" s="1">
        <v>42725</v>
      </c>
      <c r="E1407">
        <v>45566</v>
      </c>
      <c r="F1407" s="1">
        <v>42725</v>
      </c>
      <c r="G1407">
        <v>-6300</v>
      </c>
      <c r="H1407" s="1">
        <f t="shared" si="64"/>
        <v>42725</v>
      </c>
      <c r="I1407">
        <f>IF(AND(MyRowHidden(ROW())=FALSE,MyRowHidden(ROW()-1)=TRUE),0,(E1407-E1406)*unitsOfDHp+I1406)</f>
        <v>505660</v>
      </c>
      <c r="J1407">
        <f>IF(AND(MyRowHidden(ROW())=FALSE,MyRowHidden(ROW()-1)=TRUE),0,(G1407-G1406)*unitsOfExo+J1406)</f>
        <v>-13000</v>
      </c>
      <c r="K1407" s="9">
        <f t="shared" si="65"/>
        <v>113000</v>
      </c>
      <c r="L1407">
        <f t="shared" si="66"/>
        <v>492660</v>
      </c>
    </row>
    <row r="1408" spans="4:12" x14ac:dyDescent="0.25">
      <c r="D1408" s="1">
        <v>42726</v>
      </c>
      <c r="E1408">
        <v>45604</v>
      </c>
      <c r="F1408" s="1">
        <v>42726</v>
      </c>
      <c r="G1408">
        <v>-6350</v>
      </c>
      <c r="H1408" s="1">
        <f t="shared" si="64"/>
        <v>42726</v>
      </c>
      <c r="I1408">
        <f>IF(AND(MyRowHidden(ROW())=FALSE,MyRowHidden(ROW()-1)=TRUE),0,(E1408-E1407)*unitsOfDHp+I1407)</f>
        <v>506040</v>
      </c>
      <c r="J1408">
        <f>IF(AND(MyRowHidden(ROW())=FALSE,MyRowHidden(ROW()-1)=TRUE),0,(G1408-G1407)*unitsOfExo+J1407)</f>
        <v>-13500</v>
      </c>
      <c r="K1408" s="9">
        <f t="shared" si="65"/>
        <v>113500</v>
      </c>
      <c r="L1408">
        <f t="shared" si="66"/>
        <v>492540</v>
      </c>
    </row>
    <row r="1409" spans="4:12" x14ac:dyDescent="0.25">
      <c r="D1409" s="1">
        <v>42727</v>
      </c>
      <c r="E1409">
        <v>45581</v>
      </c>
      <c r="F1409" s="1">
        <v>42727</v>
      </c>
      <c r="G1409">
        <v>-6325</v>
      </c>
      <c r="H1409" s="1">
        <f t="shared" si="64"/>
        <v>42727</v>
      </c>
      <c r="I1409">
        <f>IF(AND(MyRowHidden(ROW())=FALSE,MyRowHidden(ROW()-1)=TRUE),0,(E1409-E1408)*unitsOfDHp+I1408)</f>
        <v>505810</v>
      </c>
      <c r="J1409">
        <f>IF(AND(MyRowHidden(ROW())=FALSE,MyRowHidden(ROW()-1)=TRUE),0,(G1409-G1408)*unitsOfExo+J1408)</f>
        <v>-13250</v>
      </c>
      <c r="K1409" s="9">
        <f t="shared" si="65"/>
        <v>113250</v>
      </c>
      <c r="L1409">
        <f t="shared" si="66"/>
        <v>492560</v>
      </c>
    </row>
    <row r="1410" spans="4:12" x14ac:dyDescent="0.25">
      <c r="D1410" s="1">
        <v>42731</v>
      </c>
      <c r="E1410">
        <v>45541</v>
      </c>
      <c r="F1410" s="1">
        <v>42731</v>
      </c>
      <c r="G1410">
        <v>-5962.5</v>
      </c>
      <c r="H1410" s="1">
        <f t="shared" si="64"/>
        <v>42731</v>
      </c>
      <c r="I1410">
        <f>IF(AND(MyRowHidden(ROW())=FALSE,MyRowHidden(ROW()-1)=TRUE),0,(E1410-E1409)*unitsOfDHp+I1409)</f>
        <v>505410</v>
      </c>
      <c r="J1410">
        <f>IF(AND(MyRowHidden(ROW())=FALSE,MyRowHidden(ROW()-1)=TRUE),0,(G1410-G1409)*unitsOfExo+J1409)</f>
        <v>-9625</v>
      </c>
      <c r="K1410" s="9">
        <f t="shared" si="65"/>
        <v>109625</v>
      </c>
      <c r="L1410">
        <f t="shared" si="66"/>
        <v>495785</v>
      </c>
    </row>
    <row r="1411" spans="4:12" x14ac:dyDescent="0.25">
      <c r="D1411" s="1">
        <v>42732</v>
      </c>
      <c r="E1411">
        <v>45656</v>
      </c>
      <c r="F1411" s="1">
        <v>42732</v>
      </c>
      <c r="G1411">
        <v>-6287.5</v>
      </c>
      <c r="H1411" s="1">
        <f t="shared" si="64"/>
        <v>42732</v>
      </c>
      <c r="I1411">
        <f>IF(AND(MyRowHidden(ROW())=FALSE,MyRowHidden(ROW()-1)=TRUE),0,(E1411-E1410)*unitsOfDHp+I1410)</f>
        <v>506560</v>
      </c>
      <c r="J1411">
        <f>IF(AND(MyRowHidden(ROW())=FALSE,MyRowHidden(ROW()-1)=TRUE),0,(G1411-G1410)*unitsOfExo+J1410)</f>
        <v>-12875</v>
      </c>
      <c r="K1411" s="9">
        <f t="shared" si="65"/>
        <v>112875</v>
      </c>
      <c r="L1411">
        <f t="shared" si="66"/>
        <v>493685</v>
      </c>
    </row>
    <row r="1412" spans="4:12" x14ac:dyDescent="0.25">
      <c r="D1412" s="1">
        <v>42733</v>
      </c>
      <c r="E1412">
        <v>45570</v>
      </c>
      <c r="F1412" s="1">
        <v>42733</v>
      </c>
      <c r="G1412">
        <v>-6187.5</v>
      </c>
      <c r="H1412" s="1">
        <f t="shared" si="64"/>
        <v>42733</v>
      </c>
      <c r="I1412">
        <f>IF(AND(MyRowHidden(ROW())=FALSE,MyRowHidden(ROW()-1)=TRUE),0,(E1412-E1411)*unitsOfDHp+I1411)</f>
        <v>505700</v>
      </c>
      <c r="J1412">
        <f>IF(AND(MyRowHidden(ROW())=FALSE,MyRowHidden(ROW()-1)=TRUE),0,(G1412-G1411)*unitsOfExo+J1411)</f>
        <v>-11875</v>
      </c>
      <c r="K1412" s="9">
        <f t="shared" si="65"/>
        <v>111875</v>
      </c>
      <c r="L1412">
        <f t="shared" si="66"/>
        <v>493825</v>
      </c>
    </row>
    <row r="1413" spans="4:12" x14ac:dyDescent="0.25">
      <c r="D1413" s="1">
        <v>42734</v>
      </c>
      <c r="E1413">
        <v>45598</v>
      </c>
      <c r="F1413" s="1">
        <v>42734</v>
      </c>
      <c r="G1413">
        <v>-6125</v>
      </c>
      <c r="H1413" s="1">
        <f t="shared" si="64"/>
        <v>42734</v>
      </c>
      <c r="I1413">
        <f>IF(AND(MyRowHidden(ROW())=FALSE,MyRowHidden(ROW()-1)=TRUE),0,(E1413-E1412)*unitsOfDHp+I1412)</f>
        <v>505980</v>
      </c>
      <c r="J1413">
        <f>IF(AND(MyRowHidden(ROW())=FALSE,MyRowHidden(ROW()-1)=TRUE),0,(G1413-G1412)*unitsOfExo+J1412)</f>
        <v>-11250</v>
      </c>
      <c r="K1413" s="9">
        <f t="shared" si="65"/>
        <v>111250</v>
      </c>
      <c r="L1413">
        <f t="shared" si="66"/>
        <v>494730</v>
      </c>
    </row>
    <row r="1414" spans="4:12" x14ac:dyDescent="0.25">
      <c r="D1414" s="1">
        <v>42738</v>
      </c>
      <c r="E1414">
        <v>45692</v>
      </c>
      <c r="F1414" s="1">
        <v>42738</v>
      </c>
      <c r="G1414">
        <v>-5887.5</v>
      </c>
      <c r="H1414" s="1">
        <f t="shared" si="64"/>
        <v>42738</v>
      </c>
      <c r="I1414">
        <f>IF(AND(MyRowHidden(ROW())=FALSE,MyRowHidden(ROW()-1)=TRUE),0,(E1414-E1413)*unitsOfDHp+I1413)</f>
        <v>506920</v>
      </c>
      <c r="J1414">
        <f>IF(AND(MyRowHidden(ROW())=FALSE,MyRowHidden(ROW()-1)=TRUE),0,(G1414-G1413)*unitsOfExo+J1413)</f>
        <v>-8875</v>
      </c>
      <c r="K1414" s="9">
        <f t="shared" si="65"/>
        <v>108875</v>
      </c>
      <c r="L1414">
        <f t="shared" si="66"/>
        <v>498045</v>
      </c>
    </row>
    <row r="1415" spans="4:12" x14ac:dyDescent="0.25">
      <c r="D1415" s="1">
        <v>42739</v>
      </c>
      <c r="E1415">
        <v>45301</v>
      </c>
      <c r="F1415" s="1">
        <v>42739</v>
      </c>
      <c r="G1415">
        <v>-5700</v>
      </c>
      <c r="H1415" s="1">
        <f t="shared" si="64"/>
        <v>42739</v>
      </c>
      <c r="I1415">
        <f>IF(AND(MyRowHidden(ROW())=FALSE,MyRowHidden(ROW()-1)=TRUE),0,(E1415-E1414)*unitsOfDHp+I1414)</f>
        <v>503010</v>
      </c>
      <c r="J1415">
        <f>IF(AND(MyRowHidden(ROW())=FALSE,MyRowHidden(ROW()-1)=TRUE),0,(G1415-G1414)*unitsOfExo+J1414)</f>
        <v>-7000</v>
      </c>
      <c r="K1415" s="9">
        <f t="shared" si="65"/>
        <v>107000</v>
      </c>
      <c r="L1415">
        <f t="shared" si="66"/>
        <v>496010</v>
      </c>
    </row>
    <row r="1416" spans="4:12" x14ac:dyDescent="0.25">
      <c r="D1416" s="1">
        <v>42740</v>
      </c>
      <c r="E1416">
        <v>45129</v>
      </c>
      <c r="F1416" s="1">
        <v>42740</v>
      </c>
      <c r="G1416">
        <v>-5587.5</v>
      </c>
      <c r="H1416" s="1">
        <f t="shared" si="64"/>
        <v>42740</v>
      </c>
      <c r="I1416">
        <f>IF(AND(MyRowHidden(ROW())=FALSE,MyRowHidden(ROW()-1)=TRUE),0,(E1416-E1415)*unitsOfDHp+I1415)</f>
        <v>501290</v>
      </c>
      <c r="J1416">
        <f>IF(AND(MyRowHidden(ROW())=FALSE,MyRowHidden(ROW()-1)=TRUE),0,(G1416-G1415)*unitsOfExo+J1415)</f>
        <v>-5875</v>
      </c>
      <c r="K1416" s="9">
        <f t="shared" si="65"/>
        <v>105875</v>
      </c>
      <c r="L1416">
        <f t="shared" si="66"/>
        <v>495415</v>
      </c>
    </row>
    <row r="1417" spans="4:12" x14ac:dyDescent="0.25">
      <c r="D1417" s="1">
        <v>42741</v>
      </c>
      <c r="E1417">
        <v>45384</v>
      </c>
      <c r="F1417" s="1">
        <v>42741</v>
      </c>
      <c r="G1417">
        <v>-5787.5</v>
      </c>
      <c r="H1417" s="1">
        <f t="shared" si="64"/>
        <v>42741</v>
      </c>
      <c r="I1417">
        <f>IF(AND(MyRowHidden(ROW())=FALSE,MyRowHidden(ROW()-1)=TRUE),0,(E1417-E1416)*unitsOfDHp+I1416)</f>
        <v>503840</v>
      </c>
      <c r="J1417">
        <f>IF(AND(MyRowHidden(ROW())=FALSE,MyRowHidden(ROW()-1)=TRUE),0,(G1417-G1416)*unitsOfExo+J1416)</f>
        <v>-7875</v>
      </c>
      <c r="K1417" s="9">
        <f t="shared" si="65"/>
        <v>107875</v>
      </c>
      <c r="L1417">
        <f t="shared" si="66"/>
        <v>495965</v>
      </c>
    </row>
    <row r="1418" spans="4:12" x14ac:dyDescent="0.25">
      <c r="D1418" s="1">
        <v>42744</v>
      </c>
      <c r="E1418">
        <v>45261</v>
      </c>
      <c r="F1418" s="1">
        <v>42744</v>
      </c>
      <c r="G1418">
        <v>-5687.5</v>
      </c>
      <c r="H1418" s="1">
        <f t="shared" si="64"/>
        <v>42744</v>
      </c>
      <c r="I1418">
        <f>IF(AND(MyRowHidden(ROW())=FALSE,MyRowHidden(ROW()-1)=TRUE),0,(E1418-E1417)*unitsOfDHp+I1417)</f>
        <v>502610</v>
      </c>
      <c r="J1418">
        <f>IF(AND(MyRowHidden(ROW())=FALSE,MyRowHidden(ROW()-1)=TRUE),0,(G1418-G1417)*unitsOfExo+J1417)</f>
        <v>-6875</v>
      </c>
      <c r="K1418" s="9">
        <f t="shared" si="65"/>
        <v>106875</v>
      </c>
      <c r="L1418">
        <f t="shared" si="66"/>
        <v>495735</v>
      </c>
    </row>
    <row r="1419" spans="4:12" x14ac:dyDescent="0.25">
      <c r="D1419" s="1">
        <v>42745</v>
      </c>
      <c r="E1419">
        <v>45284</v>
      </c>
      <c r="F1419" s="1">
        <v>42745</v>
      </c>
      <c r="G1419">
        <v>-5750</v>
      </c>
      <c r="H1419" s="1">
        <f t="shared" si="64"/>
        <v>42745</v>
      </c>
      <c r="I1419">
        <f>IF(AND(MyRowHidden(ROW())=FALSE,MyRowHidden(ROW()-1)=TRUE),0,(E1419-E1418)*unitsOfDHp+I1418)</f>
        <v>502840</v>
      </c>
      <c r="J1419">
        <f>IF(AND(MyRowHidden(ROW())=FALSE,MyRowHidden(ROW()-1)=TRUE),0,(G1419-G1418)*unitsOfExo+J1418)</f>
        <v>-7500</v>
      </c>
      <c r="K1419" s="9">
        <f t="shared" si="65"/>
        <v>107500</v>
      </c>
      <c r="L1419">
        <f t="shared" si="66"/>
        <v>495340</v>
      </c>
    </row>
    <row r="1420" spans="4:12" x14ac:dyDescent="0.25">
      <c r="D1420" s="1">
        <v>42746</v>
      </c>
      <c r="E1420">
        <v>45381</v>
      </c>
      <c r="F1420" s="1">
        <v>42746</v>
      </c>
      <c r="G1420">
        <v>-5812.5</v>
      </c>
      <c r="H1420" s="1">
        <f t="shared" si="64"/>
        <v>42746</v>
      </c>
      <c r="I1420">
        <f>IF(AND(MyRowHidden(ROW())=FALSE,MyRowHidden(ROW()-1)=TRUE),0,(E1420-E1419)*unitsOfDHp+I1419)</f>
        <v>503810</v>
      </c>
      <c r="J1420">
        <f>IF(AND(MyRowHidden(ROW())=FALSE,MyRowHidden(ROW()-1)=TRUE),0,(G1420-G1419)*unitsOfExo+J1419)</f>
        <v>-8125</v>
      </c>
      <c r="K1420" s="9">
        <f t="shared" si="65"/>
        <v>108125</v>
      </c>
      <c r="L1420">
        <f t="shared" si="66"/>
        <v>495685</v>
      </c>
    </row>
    <row r="1421" spans="4:12" x14ac:dyDescent="0.25">
      <c r="D1421" s="1">
        <v>42747</v>
      </c>
      <c r="E1421">
        <v>45562</v>
      </c>
      <c r="F1421" s="1">
        <v>42747</v>
      </c>
      <c r="G1421">
        <v>-5925</v>
      </c>
      <c r="H1421" s="1">
        <f t="shared" ref="H1421:H1456" si="67">D1421</f>
        <v>42747</v>
      </c>
      <c r="I1421">
        <f>IF(AND(MyRowHidden(ROW())=FALSE,MyRowHidden(ROW()-1)=TRUE),0,(E1421-E1420)*unitsOfDHp+I1420)</f>
        <v>505620</v>
      </c>
      <c r="J1421">
        <f>IF(AND(MyRowHidden(ROW())=FALSE,MyRowHidden(ROW()-1)=TRUE),0,(G1421-G1420)*unitsOfExo+J1420)</f>
        <v>-9250</v>
      </c>
      <c r="K1421" s="9">
        <f t="shared" ref="K1421:K1484" si="68">-(J1421-J1420)+K1420</f>
        <v>109250</v>
      </c>
      <c r="L1421">
        <f t="shared" ref="L1421:L1456" si="69">I1421+J1421</f>
        <v>496370</v>
      </c>
    </row>
    <row r="1422" spans="4:12" x14ac:dyDescent="0.25">
      <c r="D1422" s="1">
        <v>42748</v>
      </c>
      <c r="E1422">
        <v>45558</v>
      </c>
      <c r="F1422" s="1">
        <v>42748</v>
      </c>
      <c r="G1422">
        <v>-5812.5</v>
      </c>
      <c r="H1422" s="1">
        <f t="shared" si="67"/>
        <v>42748</v>
      </c>
      <c r="I1422">
        <f>IF(AND(MyRowHidden(ROW())=FALSE,MyRowHidden(ROW()-1)=TRUE),0,(E1422-E1421)*unitsOfDHp+I1421)</f>
        <v>505580</v>
      </c>
      <c r="J1422">
        <f>IF(AND(MyRowHidden(ROW())=FALSE,MyRowHidden(ROW()-1)=TRUE),0,(G1422-G1421)*unitsOfExo+J1421)</f>
        <v>-8125</v>
      </c>
      <c r="K1422" s="9">
        <f t="shared" si="68"/>
        <v>108125</v>
      </c>
      <c r="L1422">
        <f t="shared" si="69"/>
        <v>497455</v>
      </c>
    </row>
    <row r="1423" spans="4:12" x14ac:dyDescent="0.25">
      <c r="D1423" s="1">
        <v>42752</v>
      </c>
      <c r="E1423">
        <v>45268</v>
      </c>
      <c r="F1423" s="1">
        <v>42752</v>
      </c>
      <c r="G1423">
        <v>-5737.5</v>
      </c>
      <c r="H1423" s="1">
        <f t="shared" si="67"/>
        <v>42752</v>
      </c>
      <c r="I1423">
        <f>IF(AND(MyRowHidden(ROW())=FALSE,MyRowHidden(ROW()-1)=TRUE),0,(E1423-E1422)*unitsOfDHp+I1422)</f>
        <v>502680</v>
      </c>
      <c r="J1423">
        <f>IF(AND(MyRowHidden(ROW())=FALSE,MyRowHidden(ROW()-1)=TRUE),0,(G1423-G1422)*unitsOfExo+J1422)</f>
        <v>-7375</v>
      </c>
      <c r="K1423" s="9">
        <f t="shared" si="68"/>
        <v>107375</v>
      </c>
      <c r="L1423">
        <f t="shared" si="69"/>
        <v>495305</v>
      </c>
    </row>
    <row r="1424" spans="4:12" x14ac:dyDescent="0.25">
      <c r="D1424" s="1">
        <v>42753</v>
      </c>
      <c r="E1424">
        <v>45290</v>
      </c>
      <c r="F1424" s="1">
        <v>42753</v>
      </c>
      <c r="G1424">
        <v>-5337.5</v>
      </c>
      <c r="H1424" s="1">
        <f t="shared" si="67"/>
        <v>42753</v>
      </c>
      <c r="I1424">
        <f>IF(AND(MyRowHidden(ROW())=FALSE,MyRowHidden(ROW()-1)=TRUE),0,(E1424-E1423)*unitsOfDHp+I1423)</f>
        <v>502900</v>
      </c>
      <c r="J1424">
        <f>IF(AND(MyRowHidden(ROW())=FALSE,MyRowHidden(ROW()-1)=TRUE),0,(G1424-G1423)*unitsOfExo+J1423)</f>
        <v>-3375</v>
      </c>
      <c r="K1424" s="9">
        <f t="shared" si="68"/>
        <v>103375</v>
      </c>
      <c r="L1424">
        <f t="shared" si="69"/>
        <v>499525</v>
      </c>
    </row>
    <row r="1425" spans="4:12" x14ac:dyDescent="0.25">
      <c r="D1425" s="1">
        <v>42754</v>
      </c>
      <c r="E1425">
        <v>45384</v>
      </c>
      <c r="F1425" s="1">
        <v>42754</v>
      </c>
      <c r="G1425">
        <v>-5462.5</v>
      </c>
      <c r="H1425" s="1">
        <f t="shared" si="67"/>
        <v>42754</v>
      </c>
      <c r="I1425">
        <f>IF(AND(MyRowHidden(ROW())=FALSE,MyRowHidden(ROW()-1)=TRUE),0,(E1425-E1424)*unitsOfDHp+I1424)</f>
        <v>503840</v>
      </c>
      <c r="J1425">
        <f>IF(AND(MyRowHidden(ROW())=FALSE,MyRowHidden(ROW()-1)=TRUE),0,(G1425-G1424)*unitsOfExo+J1424)</f>
        <v>-4625</v>
      </c>
      <c r="K1425" s="9">
        <f t="shared" si="68"/>
        <v>104625</v>
      </c>
      <c r="L1425">
        <f t="shared" si="69"/>
        <v>499215</v>
      </c>
    </row>
    <row r="1426" spans="4:12" x14ac:dyDescent="0.25">
      <c r="D1426" s="1">
        <v>42755</v>
      </c>
      <c r="E1426">
        <v>44889</v>
      </c>
      <c r="F1426" s="1">
        <v>42755</v>
      </c>
      <c r="G1426">
        <v>-5212.5</v>
      </c>
      <c r="H1426" s="1">
        <f t="shared" si="67"/>
        <v>42755</v>
      </c>
      <c r="I1426">
        <f>IF(AND(MyRowHidden(ROW())=FALSE,MyRowHidden(ROW()-1)=TRUE),0,(E1426-E1425)*unitsOfDHp+I1425)</f>
        <v>498890</v>
      </c>
      <c r="J1426">
        <f>IF(AND(MyRowHidden(ROW())=FALSE,MyRowHidden(ROW()-1)=TRUE),0,(G1426-G1425)*unitsOfExo+J1425)</f>
        <v>-2125</v>
      </c>
      <c r="K1426" s="9">
        <f t="shared" si="68"/>
        <v>102125</v>
      </c>
      <c r="L1426">
        <f t="shared" si="69"/>
        <v>496765</v>
      </c>
    </row>
    <row r="1427" spans="4:12" x14ac:dyDescent="0.25">
      <c r="D1427" s="1">
        <v>42758</v>
      </c>
      <c r="E1427">
        <v>44879</v>
      </c>
      <c r="F1427" s="1">
        <v>42758</v>
      </c>
      <c r="G1427">
        <v>-5212.5</v>
      </c>
      <c r="H1427" s="1">
        <f t="shared" si="67"/>
        <v>42758</v>
      </c>
      <c r="I1427">
        <f>IF(AND(MyRowHidden(ROW())=FALSE,MyRowHidden(ROW()-1)=TRUE),0,(E1427-E1426)*unitsOfDHp+I1426)</f>
        <v>498790</v>
      </c>
      <c r="J1427">
        <f>IF(AND(MyRowHidden(ROW())=FALSE,MyRowHidden(ROW()-1)=TRUE),0,(G1427-G1426)*unitsOfExo+J1426)</f>
        <v>-2125</v>
      </c>
      <c r="K1427" s="9">
        <f t="shared" si="68"/>
        <v>102125</v>
      </c>
      <c r="L1427">
        <f t="shared" si="69"/>
        <v>496665</v>
      </c>
    </row>
    <row r="1428" spans="4:12" x14ac:dyDescent="0.25">
      <c r="D1428" s="1">
        <v>42759</v>
      </c>
      <c r="E1428">
        <v>44844</v>
      </c>
      <c r="F1428" s="1">
        <v>42759</v>
      </c>
      <c r="G1428">
        <v>-5187.5</v>
      </c>
      <c r="H1428" s="1">
        <f t="shared" si="67"/>
        <v>42759</v>
      </c>
      <c r="I1428">
        <f>IF(AND(MyRowHidden(ROW())=FALSE,MyRowHidden(ROW()-1)=TRUE),0,(E1428-E1427)*unitsOfDHp+I1427)</f>
        <v>498440</v>
      </c>
      <c r="J1428">
        <f>IF(AND(MyRowHidden(ROW())=FALSE,MyRowHidden(ROW()-1)=TRUE),0,(G1428-G1427)*unitsOfExo+J1427)</f>
        <v>-1875</v>
      </c>
      <c r="K1428" s="9">
        <f t="shared" si="68"/>
        <v>101875</v>
      </c>
      <c r="L1428">
        <f t="shared" si="69"/>
        <v>496565</v>
      </c>
    </row>
    <row r="1429" spans="4:12" x14ac:dyDescent="0.25">
      <c r="D1429" s="1">
        <v>42760</v>
      </c>
      <c r="E1429">
        <v>45215</v>
      </c>
      <c r="F1429" s="1">
        <v>42760</v>
      </c>
      <c r="G1429">
        <v>-5487.5</v>
      </c>
      <c r="H1429" s="1">
        <f t="shared" si="67"/>
        <v>42760</v>
      </c>
      <c r="I1429">
        <f>IF(AND(MyRowHidden(ROW())=FALSE,MyRowHidden(ROW()-1)=TRUE),0,(E1429-E1428)*unitsOfDHp+I1428)</f>
        <v>502150</v>
      </c>
      <c r="J1429">
        <f>IF(AND(MyRowHidden(ROW())=FALSE,MyRowHidden(ROW()-1)=TRUE),0,(G1429-G1428)*unitsOfExo+J1428)</f>
        <v>-4875</v>
      </c>
      <c r="K1429" s="9">
        <f t="shared" si="68"/>
        <v>104875</v>
      </c>
      <c r="L1429">
        <f t="shared" si="69"/>
        <v>497275</v>
      </c>
    </row>
    <row r="1430" spans="4:12" x14ac:dyDescent="0.25">
      <c r="D1430" s="1">
        <v>42761</v>
      </c>
      <c r="E1430">
        <v>45274</v>
      </c>
      <c r="F1430" s="1">
        <v>42761</v>
      </c>
      <c r="G1430">
        <v>-5512.5</v>
      </c>
      <c r="H1430" s="1">
        <f t="shared" si="67"/>
        <v>42761</v>
      </c>
      <c r="I1430">
        <f>IF(AND(MyRowHidden(ROW())=FALSE,MyRowHidden(ROW()-1)=TRUE),0,(E1430-E1429)*unitsOfDHp+I1429)</f>
        <v>502740</v>
      </c>
      <c r="J1430">
        <f>IF(AND(MyRowHidden(ROW())=FALSE,MyRowHidden(ROW()-1)=TRUE),0,(G1430-G1429)*unitsOfExo+J1429)</f>
        <v>-5125</v>
      </c>
      <c r="K1430" s="9">
        <f t="shared" si="68"/>
        <v>105125</v>
      </c>
      <c r="L1430">
        <f t="shared" si="69"/>
        <v>497615</v>
      </c>
    </row>
    <row r="1431" spans="4:12" x14ac:dyDescent="0.25">
      <c r="D1431" s="1">
        <v>42762</v>
      </c>
      <c r="E1431">
        <v>45354</v>
      </c>
      <c r="F1431" s="1">
        <v>42762</v>
      </c>
      <c r="G1431">
        <v>-5587.5</v>
      </c>
      <c r="H1431" s="1">
        <f t="shared" si="67"/>
        <v>42762</v>
      </c>
      <c r="I1431">
        <f>IF(AND(MyRowHidden(ROW())=FALSE,MyRowHidden(ROW()-1)=TRUE),0,(E1431-E1430)*unitsOfDHp+I1430)</f>
        <v>503540</v>
      </c>
      <c r="J1431">
        <f>IF(AND(MyRowHidden(ROW())=FALSE,MyRowHidden(ROW()-1)=TRUE),0,(G1431-G1430)*unitsOfExo+J1430)</f>
        <v>-5875</v>
      </c>
      <c r="K1431" s="9">
        <f t="shared" si="68"/>
        <v>105875</v>
      </c>
      <c r="L1431">
        <f t="shared" si="69"/>
        <v>497665</v>
      </c>
    </row>
    <row r="1432" spans="4:12" x14ac:dyDescent="0.25">
      <c r="D1432" s="1">
        <v>42765</v>
      </c>
      <c r="E1432">
        <v>45425</v>
      </c>
      <c r="F1432" s="1">
        <v>42765</v>
      </c>
      <c r="G1432">
        <v>-5725</v>
      </c>
      <c r="H1432" s="1">
        <f t="shared" si="67"/>
        <v>42765</v>
      </c>
      <c r="I1432">
        <f>IF(AND(MyRowHidden(ROW())=FALSE,MyRowHidden(ROW()-1)=TRUE),0,(E1432-E1431)*unitsOfDHp+I1431)</f>
        <v>504250</v>
      </c>
      <c r="J1432">
        <f>IF(AND(MyRowHidden(ROW())=FALSE,MyRowHidden(ROW()-1)=TRUE),0,(G1432-G1431)*unitsOfExo+J1431)</f>
        <v>-7250</v>
      </c>
      <c r="K1432" s="9">
        <f t="shared" si="68"/>
        <v>107250</v>
      </c>
      <c r="L1432">
        <f t="shared" si="69"/>
        <v>497000</v>
      </c>
    </row>
    <row r="1433" spans="4:12" x14ac:dyDescent="0.25">
      <c r="D1433" s="1">
        <v>42766</v>
      </c>
      <c r="E1433">
        <v>45466</v>
      </c>
      <c r="F1433" s="1">
        <v>42766</v>
      </c>
      <c r="G1433">
        <v>-5762.5</v>
      </c>
      <c r="H1433" s="1">
        <f t="shared" si="67"/>
        <v>42766</v>
      </c>
      <c r="I1433">
        <f>IF(AND(MyRowHidden(ROW())=FALSE,MyRowHidden(ROW()-1)=TRUE),0,(E1433-E1432)*unitsOfDHp+I1432)</f>
        <v>504660</v>
      </c>
      <c r="J1433">
        <f>IF(AND(MyRowHidden(ROW())=FALSE,MyRowHidden(ROW()-1)=TRUE),0,(G1433-G1432)*unitsOfExo+J1432)</f>
        <v>-7625</v>
      </c>
      <c r="K1433" s="9">
        <f t="shared" si="68"/>
        <v>107625</v>
      </c>
      <c r="L1433">
        <f t="shared" si="69"/>
        <v>497035</v>
      </c>
    </row>
    <row r="1434" spans="4:12" x14ac:dyDescent="0.25">
      <c r="D1434" s="1">
        <v>42767</v>
      </c>
      <c r="E1434">
        <v>45433</v>
      </c>
      <c r="F1434" s="1">
        <v>42767</v>
      </c>
      <c r="G1434">
        <v>-5700</v>
      </c>
      <c r="H1434" s="1">
        <f t="shared" si="67"/>
        <v>42767</v>
      </c>
      <c r="I1434">
        <f>IF(AND(MyRowHidden(ROW())=FALSE,MyRowHidden(ROW()-1)=TRUE),0,(E1434-E1433)*unitsOfDHp+I1433)</f>
        <v>504330</v>
      </c>
      <c r="J1434">
        <f>IF(AND(MyRowHidden(ROW())=FALSE,MyRowHidden(ROW()-1)=TRUE),0,(G1434-G1433)*unitsOfExo+J1433)</f>
        <v>-7000</v>
      </c>
      <c r="K1434" s="9">
        <f t="shared" si="68"/>
        <v>107000</v>
      </c>
      <c r="L1434">
        <f t="shared" si="69"/>
        <v>497330</v>
      </c>
    </row>
    <row r="1435" spans="4:12" x14ac:dyDescent="0.25">
      <c r="D1435" s="1">
        <v>42768</v>
      </c>
      <c r="E1435">
        <v>45210</v>
      </c>
      <c r="F1435" s="1">
        <v>42768</v>
      </c>
      <c r="G1435">
        <v>-5287.5</v>
      </c>
      <c r="H1435" s="1">
        <f t="shared" si="67"/>
        <v>42768</v>
      </c>
      <c r="I1435">
        <f>IF(AND(MyRowHidden(ROW())=FALSE,MyRowHidden(ROW()-1)=TRUE),0,(E1435-E1434)*unitsOfDHp+I1434)</f>
        <v>502100</v>
      </c>
      <c r="J1435">
        <f>IF(AND(MyRowHidden(ROW())=FALSE,MyRowHidden(ROW()-1)=TRUE),0,(G1435-G1434)*unitsOfExo+J1434)</f>
        <v>-2875</v>
      </c>
      <c r="K1435" s="9">
        <f t="shared" si="68"/>
        <v>102875</v>
      </c>
      <c r="L1435">
        <f t="shared" si="69"/>
        <v>499225</v>
      </c>
    </row>
    <row r="1436" spans="4:12" x14ac:dyDescent="0.25">
      <c r="D1436" s="1">
        <v>42769</v>
      </c>
      <c r="E1436">
        <v>45247</v>
      </c>
      <c r="F1436" s="1">
        <v>42769</v>
      </c>
      <c r="G1436">
        <v>-5337.5</v>
      </c>
      <c r="H1436" s="1">
        <f t="shared" si="67"/>
        <v>42769</v>
      </c>
      <c r="I1436">
        <f>IF(AND(MyRowHidden(ROW())=FALSE,MyRowHidden(ROW()-1)=TRUE),0,(E1436-E1435)*unitsOfDHp+I1435)</f>
        <v>502470</v>
      </c>
      <c r="J1436">
        <f>IF(AND(MyRowHidden(ROW())=FALSE,MyRowHidden(ROW()-1)=TRUE),0,(G1436-G1435)*unitsOfExo+J1435)</f>
        <v>-3375</v>
      </c>
      <c r="K1436" s="9">
        <f t="shared" si="68"/>
        <v>103375</v>
      </c>
      <c r="L1436">
        <f t="shared" si="69"/>
        <v>499095</v>
      </c>
    </row>
    <row r="1437" spans="4:12" x14ac:dyDescent="0.25">
      <c r="D1437" s="1">
        <v>42772</v>
      </c>
      <c r="E1437">
        <v>45527</v>
      </c>
      <c r="F1437" s="1">
        <v>42772</v>
      </c>
      <c r="G1437">
        <v>-5462.5</v>
      </c>
      <c r="H1437" s="1">
        <f t="shared" si="67"/>
        <v>42772</v>
      </c>
      <c r="I1437">
        <f>IF(AND(MyRowHidden(ROW())=FALSE,MyRowHidden(ROW()-1)=TRUE),0,(E1437-E1436)*unitsOfDHp+I1436)</f>
        <v>505270</v>
      </c>
      <c r="J1437">
        <f>IF(AND(MyRowHidden(ROW())=FALSE,MyRowHidden(ROW()-1)=TRUE),0,(G1437-G1436)*unitsOfExo+J1436)</f>
        <v>-4625</v>
      </c>
      <c r="K1437" s="9">
        <f t="shared" si="68"/>
        <v>104625</v>
      </c>
      <c r="L1437">
        <f t="shared" si="69"/>
        <v>500645</v>
      </c>
    </row>
    <row r="1438" spans="4:12" x14ac:dyDescent="0.25">
      <c r="D1438" s="1">
        <v>42773</v>
      </c>
      <c r="E1438">
        <v>45206</v>
      </c>
      <c r="F1438" s="1">
        <v>42773</v>
      </c>
      <c r="G1438">
        <v>-5300</v>
      </c>
      <c r="H1438" s="1">
        <f t="shared" si="67"/>
        <v>42773</v>
      </c>
      <c r="I1438">
        <f>IF(AND(MyRowHidden(ROW())=FALSE,MyRowHidden(ROW()-1)=TRUE),0,(E1438-E1437)*unitsOfDHp+I1437)</f>
        <v>502060</v>
      </c>
      <c r="J1438">
        <f>IF(AND(MyRowHidden(ROW())=FALSE,MyRowHidden(ROW()-1)=TRUE),0,(G1438-G1437)*unitsOfExo+J1437)</f>
        <v>-3000</v>
      </c>
      <c r="K1438" s="9">
        <f t="shared" si="68"/>
        <v>103000</v>
      </c>
      <c r="L1438">
        <f t="shared" si="69"/>
        <v>499060</v>
      </c>
    </row>
    <row r="1439" spans="4:12" x14ac:dyDescent="0.25">
      <c r="D1439" s="1">
        <v>42774</v>
      </c>
      <c r="E1439">
        <v>45027</v>
      </c>
      <c r="F1439" s="1">
        <v>42774</v>
      </c>
      <c r="G1439">
        <v>-5175</v>
      </c>
      <c r="H1439" s="1">
        <f t="shared" si="67"/>
        <v>42774</v>
      </c>
      <c r="I1439">
        <f>IF(AND(MyRowHidden(ROW())=FALSE,MyRowHidden(ROW()-1)=TRUE),0,(E1439-E1438)*unitsOfDHp+I1438)</f>
        <v>500270</v>
      </c>
      <c r="J1439">
        <f>IF(AND(MyRowHidden(ROW())=FALSE,MyRowHidden(ROW()-1)=TRUE),0,(G1439-G1438)*unitsOfExo+J1438)</f>
        <v>-1750</v>
      </c>
      <c r="K1439" s="9">
        <f t="shared" si="68"/>
        <v>101750</v>
      </c>
      <c r="L1439">
        <f t="shared" si="69"/>
        <v>498520</v>
      </c>
    </row>
    <row r="1440" spans="4:12" x14ac:dyDescent="0.25">
      <c r="D1440" s="1">
        <v>42775</v>
      </c>
      <c r="E1440">
        <v>45029</v>
      </c>
      <c r="F1440" s="1">
        <v>42775</v>
      </c>
      <c r="G1440">
        <v>-5175</v>
      </c>
      <c r="H1440" s="1">
        <f t="shared" si="67"/>
        <v>42775</v>
      </c>
      <c r="I1440">
        <f>IF(AND(MyRowHidden(ROW())=FALSE,MyRowHidden(ROW()-1)=TRUE),0,(E1440-E1439)*unitsOfDHp+I1439)</f>
        <v>500290</v>
      </c>
      <c r="J1440">
        <f>IF(AND(MyRowHidden(ROW())=FALSE,MyRowHidden(ROW()-1)=TRUE),0,(G1440-G1439)*unitsOfExo+J1439)</f>
        <v>-1750</v>
      </c>
      <c r="K1440" s="9">
        <f t="shared" si="68"/>
        <v>101750</v>
      </c>
      <c r="L1440">
        <f t="shared" si="69"/>
        <v>498540</v>
      </c>
    </row>
    <row r="1441" spans="4:12" x14ac:dyDescent="0.25">
      <c r="D1441" s="1">
        <v>42776</v>
      </c>
      <c r="E1441">
        <v>44399</v>
      </c>
      <c r="F1441" s="1">
        <v>42776</v>
      </c>
      <c r="G1441">
        <v>-4950</v>
      </c>
      <c r="H1441" s="1">
        <f t="shared" si="67"/>
        <v>42776</v>
      </c>
      <c r="I1441">
        <f>IF(AND(MyRowHidden(ROW())=FALSE,MyRowHidden(ROW()-1)=TRUE),0,(E1441-E1440)*unitsOfDHp+I1440)</f>
        <v>493990</v>
      </c>
      <c r="J1441">
        <f>IF(AND(MyRowHidden(ROW())=FALSE,MyRowHidden(ROW()-1)=TRUE),0,(G1441-G1440)*unitsOfExo+J1440)</f>
        <v>500</v>
      </c>
      <c r="K1441" s="9">
        <f t="shared" si="68"/>
        <v>99500</v>
      </c>
      <c r="L1441">
        <f t="shared" si="69"/>
        <v>494490</v>
      </c>
    </row>
    <row r="1442" spans="4:12" x14ac:dyDescent="0.25">
      <c r="D1442" s="1">
        <v>42779</v>
      </c>
      <c r="E1442">
        <v>44185</v>
      </c>
      <c r="F1442" s="1">
        <v>42779</v>
      </c>
      <c r="G1442">
        <v>-4862.5</v>
      </c>
      <c r="H1442" s="1">
        <f t="shared" si="67"/>
        <v>42779</v>
      </c>
      <c r="I1442">
        <f>IF(AND(MyRowHidden(ROW())=FALSE,MyRowHidden(ROW()-1)=TRUE),0,(E1442-E1441)*unitsOfDHp+I1441)</f>
        <v>491850</v>
      </c>
      <c r="J1442">
        <f>IF(AND(MyRowHidden(ROW())=FALSE,MyRowHidden(ROW()-1)=TRUE),0,(G1442-G1441)*unitsOfExo+J1441)</f>
        <v>1375</v>
      </c>
      <c r="K1442" s="9">
        <f t="shared" si="68"/>
        <v>98625</v>
      </c>
      <c r="L1442">
        <f t="shared" si="69"/>
        <v>493225</v>
      </c>
    </row>
    <row r="1443" spans="4:12" x14ac:dyDescent="0.25">
      <c r="D1443" s="1">
        <v>42780</v>
      </c>
      <c r="E1443">
        <v>44422</v>
      </c>
      <c r="F1443" s="1">
        <v>42780</v>
      </c>
      <c r="G1443">
        <v>-4975</v>
      </c>
      <c r="H1443" s="1">
        <f t="shared" si="67"/>
        <v>42780</v>
      </c>
      <c r="I1443">
        <f>IF(AND(MyRowHidden(ROW())=FALSE,MyRowHidden(ROW()-1)=TRUE),0,(E1443-E1442)*unitsOfDHp+I1442)</f>
        <v>494220</v>
      </c>
      <c r="J1443">
        <f>IF(AND(MyRowHidden(ROW())=FALSE,MyRowHidden(ROW()-1)=TRUE),0,(G1443-G1442)*unitsOfExo+J1442)</f>
        <v>250</v>
      </c>
      <c r="K1443" s="9">
        <f t="shared" si="68"/>
        <v>99750</v>
      </c>
      <c r="L1443">
        <f t="shared" si="69"/>
        <v>494470</v>
      </c>
    </row>
    <row r="1444" spans="4:12" x14ac:dyDescent="0.25">
      <c r="D1444" s="1">
        <v>42781</v>
      </c>
      <c r="E1444">
        <v>44125</v>
      </c>
      <c r="F1444" s="1">
        <v>42781</v>
      </c>
      <c r="G1444">
        <v>-4762.5</v>
      </c>
      <c r="H1444" s="1">
        <f t="shared" si="67"/>
        <v>42781</v>
      </c>
      <c r="I1444">
        <f>IF(AND(MyRowHidden(ROW())=FALSE,MyRowHidden(ROW()-1)=TRUE),0,(E1444-E1443)*unitsOfDHp+I1443)</f>
        <v>491250</v>
      </c>
      <c r="J1444">
        <f>IF(AND(MyRowHidden(ROW())=FALSE,MyRowHidden(ROW()-1)=TRUE),0,(G1444-G1443)*unitsOfExo+J1443)</f>
        <v>2375</v>
      </c>
      <c r="K1444" s="9">
        <f t="shared" si="68"/>
        <v>97625</v>
      </c>
      <c r="L1444">
        <f t="shared" si="69"/>
        <v>493625</v>
      </c>
    </row>
    <row r="1445" spans="4:12" x14ac:dyDescent="0.25">
      <c r="D1445" s="1">
        <v>42782</v>
      </c>
      <c r="E1445">
        <v>44200</v>
      </c>
      <c r="F1445" s="1">
        <v>42782</v>
      </c>
      <c r="G1445">
        <v>-4887.5</v>
      </c>
      <c r="H1445" s="1">
        <f t="shared" si="67"/>
        <v>42782</v>
      </c>
      <c r="I1445">
        <f>IF(AND(MyRowHidden(ROW())=FALSE,MyRowHidden(ROW()-1)=TRUE),0,(E1445-E1444)*unitsOfDHp+I1444)</f>
        <v>492000</v>
      </c>
      <c r="J1445">
        <f>IF(AND(MyRowHidden(ROW())=FALSE,MyRowHidden(ROW()-1)=TRUE),0,(G1445-G1444)*unitsOfExo+J1444)</f>
        <v>1125</v>
      </c>
      <c r="K1445" s="9">
        <f t="shared" si="68"/>
        <v>98875</v>
      </c>
      <c r="L1445">
        <f t="shared" si="69"/>
        <v>493125</v>
      </c>
    </row>
    <row r="1446" spans="4:12" x14ac:dyDescent="0.25">
      <c r="D1446" s="1">
        <v>42783</v>
      </c>
      <c r="E1446">
        <v>44735</v>
      </c>
      <c r="F1446" s="1">
        <v>42783</v>
      </c>
      <c r="G1446">
        <v>-5200</v>
      </c>
      <c r="H1446" s="1">
        <f t="shared" si="67"/>
        <v>42783</v>
      </c>
      <c r="I1446">
        <f>IF(AND(MyRowHidden(ROW())=FALSE,MyRowHidden(ROW()-1)=TRUE),0,(E1446-E1445)*unitsOfDHp+I1445)</f>
        <v>497350</v>
      </c>
      <c r="J1446">
        <f>IF(AND(MyRowHidden(ROW())=FALSE,MyRowHidden(ROW()-1)=TRUE),0,(G1446-G1445)*unitsOfExo+J1445)</f>
        <v>-2000</v>
      </c>
      <c r="K1446" s="9">
        <f t="shared" si="68"/>
        <v>102000</v>
      </c>
      <c r="L1446">
        <f t="shared" si="69"/>
        <v>495350</v>
      </c>
    </row>
    <row r="1447" spans="4:12" x14ac:dyDescent="0.25">
      <c r="D1447" s="1">
        <v>42787</v>
      </c>
      <c r="E1447">
        <v>44686</v>
      </c>
      <c r="F1447" s="1">
        <v>42787</v>
      </c>
      <c r="G1447">
        <v>-5175</v>
      </c>
      <c r="H1447" s="1">
        <f t="shared" si="67"/>
        <v>42787</v>
      </c>
      <c r="I1447">
        <f>IF(AND(MyRowHidden(ROW())=FALSE,MyRowHidden(ROW()-1)=TRUE),0,(E1447-E1446)*unitsOfDHp+I1446)</f>
        <v>496860</v>
      </c>
      <c r="J1447">
        <f>IF(AND(MyRowHidden(ROW())=FALSE,MyRowHidden(ROW()-1)=TRUE),0,(G1447-G1446)*unitsOfExo+J1446)</f>
        <v>-1750</v>
      </c>
      <c r="K1447" s="9">
        <f t="shared" si="68"/>
        <v>101750</v>
      </c>
      <c r="L1447">
        <f t="shared" si="69"/>
        <v>495110</v>
      </c>
    </row>
    <row r="1448" spans="4:12" x14ac:dyDescent="0.25">
      <c r="D1448" s="1">
        <v>42788</v>
      </c>
      <c r="E1448">
        <v>44625</v>
      </c>
      <c r="F1448" s="1">
        <v>42788</v>
      </c>
      <c r="G1448">
        <v>-5175</v>
      </c>
      <c r="H1448" s="1">
        <f t="shared" si="67"/>
        <v>42788</v>
      </c>
      <c r="I1448">
        <f>IF(AND(MyRowHidden(ROW())=FALSE,MyRowHidden(ROW()-1)=TRUE),0,(E1448-E1447)*unitsOfDHp+I1447)</f>
        <v>496250</v>
      </c>
      <c r="J1448">
        <f>IF(AND(MyRowHidden(ROW())=FALSE,MyRowHidden(ROW()-1)=TRUE),0,(G1448-G1447)*unitsOfExo+J1447)</f>
        <v>-1750</v>
      </c>
      <c r="K1448" s="9">
        <f t="shared" si="68"/>
        <v>101750</v>
      </c>
      <c r="L1448">
        <f t="shared" si="69"/>
        <v>494500</v>
      </c>
    </row>
    <row r="1449" spans="4:12" x14ac:dyDescent="0.25">
      <c r="D1449" s="1">
        <v>42789</v>
      </c>
      <c r="E1449">
        <v>44645</v>
      </c>
      <c r="F1449" s="1">
        <v>42789</v>
      </c>
      <c r="G1449">
        <v>-5387.5</v>
      </c>
      <c r="H1449" s="1">
        <f t="shared" si="67"/>
        <v>42789</v>
      </c>
      <c r="I1449">
        <f>IF(AND(MyRowHidden(ROW())=FALSE,MyRowHidden(ROW()-1)=TRUE),0,(E1449-E1448)*unitsOfDHp+I1448)</f>
        <v>496450</v>
      </c>
      <c r="J1449">
        <f>IF(AND(MyRowHidden(ROW())=FALSE,MyRowHidden(ROW()-1)=TRUE),0,(G1449-G1448)*unitsOfExo+J1448)</f>
        <v>-3875</v>
      </c>
      <c r="K1449" s="9">
        <f t="shared" si="68"/>
        <v>103875</v>
      </c>
      <c r="L1449">
        <f t="shared" si="69"/>
        <v>492575</v>
      </c>
    </row>
    <row r="1450" spans="4:12" x14ac:dyDescent="0.25">
      <c r="D1450" s="1">
        <v>42790</v>
      </c>
      <c r="E1450">
        <v>44888</v>
      </c>
      <c r="F1450" s="1">
        <v>42790</v>
      </c>
      <c r="G1450">
        <v>-5525</v>
      </c>
      <c r="H1450" s="1">
        <f t="shared" si="67"/>
        <v>42790</v>
      </c>
      <c r="I1450">
        <f>IF(AND(MyRowHidden(ROW())=FALSE,MyRowHidden(ROW()-1)=TRUE),0,(E1450-E1449)*unitsOfDHp+I1449)</f>
        <v>498880</v>
      </c>
      <c r="J1450">
        <f>IF(AND(MyRowHidden(ROW())=FALSE,MyRowHidden(ROW()-1)=TRUE),0,(G1450-G1449)*unitsOfExo+J1449)</f>
        <v>-5250</v>
      </c>
      <c r="K1450" s="9">
        <f t="shared" si="68"/>
        <v>105250</v>
      </c>
      <c r="L1450">
        <f t="shared" si="69"/>
        <v>493630</v>
      </c>
    </row>
    <row r="1451" spans="4:12" x14ac:dyDescent="0.25">
      <c r="D1451" s="1">
        <v>42793</v>
      </c>
      <c r="E1451">
        <v>45021</v>
      </c>
      <c r="F1451" s="1">
        <v>42793</v>
      </c>
      <c r="G1451">
        <v>-5650</v>
      </c>
      <c r="H1451" s="1">
        <f t="shared" si="67"/>
        <v>42793</v>
      </c>
      <c r="I1451">
        <f>IF(AND(MyRowHidden(ROW())=FALSE,MyRowHidden(ROW()-1)=TRUE),0,(E1451-E1450)*unitsOfDHp+I1450)</f>
        <v>500210</v>
      </c>
      <c r="J1451">
        <f>IF(AND(MyRowHidden(ROW())=FALSE,MyRowHidden(ROW()-1)=TRUE),0,(G1451-G1450)*unitsOfExo+J1450)</f>
        <v>-6500</v>
      </c>
      <c r="K1451" s="9">
        <f t="shared" si="68"/>
        <v>106500</v>
      </c>
      <c r="L1451">
        <f t="shared" si="69"/>
        <v>493710</v>
      </c>
    </row>
    <row r="1452" spans="4:12" x14ac:dyDescent="0.25">
      <c r="D1452" s="1">
        <v>42794</v>
      </c>
      <c r="E1452">
        <v>44814</v>
      </c>
      <c r="F1452" s="1">
        <v>42794</v>
      </c>
      <c r="G1452">
        <v>-5325</v>
      </c>
      <c r="H1452" s="1">
        <f t="shared" si="67"/>
        <v>42794</v>
      </c>
      <c r="I1452">
        <f>IF(AND(MyRowHidden(ROW())=FALSE,MyRowHidden(ROW()-1)=TRUE),0,(E1452-E1451)*unitsOfDHp+I1451)</f>
        <v>498140</v>
      </c>
      <c r="J1452">
        <f>IF(AND(MyRowHidden(ROW())=FALSE,MyRowHidden(ROW()-1)=TRUE),0,(G1452-G1451)*unitsOfExo+J1451)</f>
        <v>-3250</v>
      </c>
      <c r="K1452" s="9">
        <f t="shared" si="68"/>
        <v>103250</v>
      </c>
      <c r="L1452">
        <f t="shared" si="69"/>
        <v>494890</v>
      </c>
    </row>
    <row r="1453" spans="4:12" x14ac:dyDescent="0.25">
      <c r="D1453" s="1">
        <v>42795</v>
      </c>
      <c r="E1453">
        <v>45287</v>
      </c>
      <c r="F1453" s="1">
        <v>42795</v>
      </c>
      <c r="G1453">
        <v>-4937.5</v>
      </c>
      <c r="H1453" s="1">
        <f t="shared" si="67"/>
        <v>42795</v>
      </c>
      <c r="I1453">
        <f>IF(AND(MyRowHidden(ROW())=FALSE,MyRowHidden(ROW()-1)=TRUE),0,(E1453-E1452)*unitsOfDHp+I1452)</f>
        <v>502870</v>
      </c>
      <c r="J1453">
        <f>IF(AND(MyRowHidden(ROW())=FALSE,MyRowHidden(ROW()-1)=TRUE),0,(G1453-G1452)*unitsOfExo+J1452)</f>
        <v>625</v>
      </c>
      <c r="K1453" s="9">
        <f t="shared" si="68"/>
        <v>99375</v>
      </c>
      <c r="L1453">
        <f t="shared" si="69"/>
        <v>503495</v>
      </c>
    </row>
    <row r="1454" spans="4:12" x14ac:dyDescent="0.25">
      <c r="D1454" s="1">
        <v>42796</v>
      </c>
      <c r="E1454">
        <v>45281</v>
      </c>
      <c r="F1454" s="1">
        <v>42796</v>
      </c>
      <c r="G1454">
        <v>-4887.5</v>
      </c>
      <c r="H1454" s="1">
        <f t="shared" si="67"/>
        <v>42796</v>
      </c>
      <c r="I1454">
        <f>IF(AND(MyRowHidden(ROW())=FALSE,MyRowHidden(ROW()-1)=TRUE),0,(E1454-E1453)*unitsOfDHp+I1453)</f>
        <v>502810</v>
      </c>
      <c r="J1454">
        <f>IF(AND(MyRowHidden(ROW())=FALSE,MyRowHidden(ROW()-1)=TRUE),0,(G1454-G1453)*unitsOfExo+J1453)</f>
        <v>1125</v>
      </c>
      <c r="K1454" s="9">
        <f t="shared" si="68"/>
        <v>98875</v>
      </c>
      <c r="L1454">
        <f t="shared" si="69"/>
        <v>503935</v>
      </c>
    </row>
    <row r="1455" spans="4:12" x14ac:dyDescent="0.25">
      <c r="D1455" s="1">
        <v>42797</v>
      </c>
      <c r="E1455">
        <v>45193</v>
      </c>
      <c r="F1455" s="1">
        <v>42797</v>
      </c>
      <c r="G1455">
        <v>-4950</v>
      </c>
      <c r="H1455" s="1">
        <f t="shared" si="67"/>
        <v>42797</v>
      </c>
      <c r="I1455">
        <f>IF(AND(MyRowHidden(ROW())=FALSE,MyRowHidden(ROW()-1)=TRUE),0,(E1455-E1454)*unitsOfDHp+I1454)</f>
        <v>501930</v>
      </c>
      <c r="J1455">
        <f>IF(AND(MyRowHidden(ROW())=FALSE,MyRowHidden(ROW()-1)=TRUE),0,(G1455-G1454)*unitsOfExo+J1454)</f>
        <v>500</v>
      </c>
      <c r="K1455" s="9">
        <f t="shared" si="68"/>
        <v>99500</v>
      </c>
      <c r="L1455">
        <f t="shared" si="69"/>
        <v>502430</v>
      </c>
    </row>
    <row r="1456" spans="4:12" x14ac:dyDescent="0.25">
      <c r="D1456" s="1">
        <v>42800</v>
      </c>
      <c r="E1456">
        <v>45082</v>
      </c>
      <c r="F1456" s="1">
        <v>42800</v>
      </c>
      <c r="G1456">
        <v>-5062.5</v>
      </c>
      <c r="H1456" s="1">
        <f t="shared" si="67"/>
        <v>42800</v>
      </c>
      <c r="I1456">
        <f>IF(AND(MyRowHidden(ROW())=FALSE,MyRowHidden(ROW()-1)=TRUE),0,(E1456-E1455)*unitsOfDHp+I1455)</f>
        <v>500820</v>
      </c>
      <c r="J1456">
        <f>IF(AND(MyRowHidden(ROW())=FALSE,MyRowHidden(ROW()-1)=TRUE),0,(G1456-G1455)*unitsOfExo+J1455)</f>
        <v>-625</v>
      </c>
      <c r="K1456" s="9">
        <f t="shared" si="68"/>
        <v>100625</v>
      </c>
      <c r="L1456">
        <f t="shared" si="69"/>
        <v>500195</v>
      </c>
    </row>
    <row r="1457" spans="4:12" x14ac:dyDescent="0.25">
      <c r="D1457" s="1"/>
      <c r="E1457">
        <v>-5392</v>
      </c>
      <c r="F1457" s="1"/>
      <c r="H1457" s="1">
        <f t="shared" ref="H1436:H1484" si="70">D1457</f>
        <v>0</v>
      </c>
      <c r="I1457">
        <f>IF(AND(MyRowHidden(ROW())=FALSE,MyRowHidden(ROW()-1)=TRUE),0,(E1457-E1456)*unitsOfDHp+I1456)</f>
        <v>-3920</v>
      </c>
      <c r="J1457">
        <f>IF(AND(MyRowHidden(ROW())=FALSE,MyRowHidden(ROW()-1)=TRUE),0,(G1457-G1456)*unitsOfExo+J1456)</f>
        <v>50000</v>
      </c>
      <c r="K1457" s="9">
        <f t="shared" ref="K1436:K1484" si="71">-(J1457-J1456)+K1456</f>
        <v>50000</v>
      </c>
      <c r="L1457">
        <f t="shared" ref="L1436:L1484" si="72">I1457+J1457</f>
        <v>46080</v>
      </c>
    </row>
    <row r="1458" spans="4:12" x14ac:dyDescent="0.25">
      <c r="D1458" s="1"/>
      <c r="E1458">
        <v>-5392</v>
      </c>
      <c r="F1458" s="1"/>
      <c r="H1458" s="1">
        <f t="shared" si="70"/>
        <v>0</v>
      </c>
      <c r="I1458">
        <f>IF(AND(MyRowHidden(ROW())=FALSE,MyRowHidden(ROW()-1)=TRUE),0,(E1458-E1457)*unitsOfDHp+I1457)</f>
        <v>-3920</v>
      </c>
      <c r="J1458">
        <f>IF(AND(MyRowHidden(ROW())=FALSE,MyRowHidden(ROW()-1)=TRUE),0,(G1458-G1457)*unitsOfExo+J1457)</f>
        <v>50000</v>
      </c>
      <c r="K1458" s="9">
        <f t="shared" si="71"/>
        <v>50000</v>
      </c>
      <c r="L1458">
        <f t="shared" si="72"/>
        <v>46080</v>
      </c>
    </row>
    <row r="1459" spans="4:12" x14ac:dyDescent="0.25">
      <c r="D1459" s="1"/>
      <c r="E1459">
        <v>-5392</v>
      </c>
      <c r="F1459" s="1"/>
      <c r="H1459" s="1">
        <f t="shared" si="70"/>
        <v>0</v>
      </c>
      <c r="I1459">
        <f>IF(AND(MyRowHidden(ROW())=FALSE,MyRowHidden(ROW()-1)=TRUE),0,(E1459-E1458)*unitsOfDHp+I1458)</f>
        <v>-3920</v>
      </c>
      <c r="J1459">
        <f>IF(AND(MyRowHidden(ROW())=FALSE,MyRowHidden(ROW()-1)=TRUE),0,(G1459-G1458)*unitsOfExo+J1458)</f>
        <v>50000</v>
      </c>
      <c r="K1459" s="9">
        <f t="shared" si="71"/>
        <v>50000</v>
      </c>
      <c r="L1459">
        <f t="shared" si="72"/>
        <v>46080</v>
      </c>
    </row>
    <row r="1460" spans="4:12" x14ac:dyDescent="0.25">
      <c r="D1460" s="1"/>
      <c r="E1460">
        <v>-5392</v>
      </c>
      <c r="F1460" s="1"/>
      <c r="H1460" s="1">
        <f t="shared" si="70"/>
        <v>0</v>
      </c>
      <c r="I1460">
        <f>IF(AND(MyRowHidden(ROW())=FALSE,MyRowHidden(ROW()-1)=TRUE),0,(E1460-E1459)*unitsOfDHp+I1459)</f>
        <v>-3920</v>
      </c>
      <c r="J1460">
        <f>IF(AND(MyRowHidden(ROW())=FALSE,MyRowHidden(ROW()-1)=TRUE),0,(G1460-G1459)*unitsOfExo+J1459)</f>
        <v>50000</v>
      </c>
      <c r="K1460" s="9">
        <f t="shared" si="71"/>
        <v>50000</v>
      </c>
      <c r="L1460">
        <f t="shared" si="72"/>
        <v>46080</v>
      </c>
    </row>
    <row r="1461" spans="4:12" x14ac:dyDescent="0.25">
      <c r="D1461" s="1"/>
      <c r="E1461">
        <v>-5392</v>
      </c>
      <c r="F1461" s="1"/>
      <c r="H1461" s="1">
        <f t="shared" si="70"/>
        <v>0</v>
      </c>
      <c r="I1461">
        <f>IF(AND(MyRowHidden(ROW())=FALSE,MyRowHidden(ROW()-1)=TRUE),0,(E1461-E1460)*unitsOfDHp+I1460)</f>
        <v>-3920</v>
      </c>
      <c r="J1461">
        <f>IF(AND(MyRowHidden(ROW())=FALSE,MyRowHidden(ROW()-1)=TRUE),0,(G1461-G1460)*unitsOfExo+J1460)</f>
        <v>50000</v>
      </c>
      <c r="K1461" s="9">
        <f t="shared" si="71"/>
        <v>50000</v>
      </c>
      <c r="L1461">
        <f t="shared" si="72"/>
        <v>46080</v>
      </c>
    </row>
    <row r="1462" spans="4:12" x14ac:dyDescent="0.25">
      <c r="D1462" s="1"/>
      <c r="E1462">
        <v>-5392</v>
      </c>
      <c r="F1462" s="1"/>
      <c r="H1462" s="1">
        <f t="shared" si="70"/>
        <v>0</v>
      </c>
      <c r="I1462">
        <f>IF(AND(MyRowHidden(ROW())=FALSE,MyRowHidden(ROW()-1)=TRUE),0,(E1462-E1461)*unitsOfDHp+I1461)</f>
        <v>-3920</v>
      </c>
      <c r="J1462">
        <f>IF(AND(MyRowHidden(ROW())=FALSE,MyRowHidden(ROW()-1)=TRUE),0,(G1462-G1461)*unitsOfExo+J1461)</f>
        <v>50000</v>
      </c>
      <c r="K1462" s="9">
        <f t="shared" si="71"/>
        <v>50000</v>
      </c>
      <c r="L1462">
        <f t="shared" si="72"/>
        <v>46080</v>
      </c>
    </row>
    <row r="1463" spans="4:12" x14ac:dyDescent="0.25">
      <c r="D1463" s="1"/>
      <c r="E1463">
        <v>-5392</v>
      </c>
      <c r="F1463" s="1"/>
      <c r="H1463" s="1">
        <f t="shared" si="70"/>
        <v>0</v>
      </c>
      <c r="I1463">
        <f>IF(AND(MyRowHidden(ROW())=FALSE,MyRowHidden(ROW()-1)=TRUE),0,(E1463-E1462)*unitsOfDHp+I1462)</f>
        <v>-3920</v>
      </c>
      <c r="J1463">
        <f>IF(AND(MyRowHidden(ROW())=FALSE,MyRowHidden(ROW()-1)=TRUE),0,(G1463-G1462)*unitsOfExo+J1462)</f>
        <v>50000</v>
      </c>
      <c r="K1463" s="9">
        <f t="shared" si="71"/>
        <v>50000</v>
      </c>
      <c r="L1463">
        <f t="shared" si="72"/>
        <v>46080</v>
      </c>
    </row>
    <row r="1464" spans="4:12" x14ac:dyDescent="0.25">
      <c r="D1464" s="1"/>
      <c r="E1464">
        <v>-5392</v>
      </c>
      <c r="F1464" s="1"/>
      <c r="H1464" s="1">
        <f t="shared" si="70"/>
        <v>0</v>
      </c>
      <c r="I1464">
        <f>IF(AND(MyRowHidden(ROW())=FALSE,MyRowHidden(ROW()-1)=TRUE),0,(E1464-E1463)*unitsOfDHp+I1463)</f>
        <v>-3920</v>
      </c>
      <c r="J1464">
        <f>IF(AND(MyRowHidden(ROW())=FALSE,MyRowHidden(ROW()-1)=TRUE),0,(G1464-G1463)*unitsOfExo+J1463)</f>
        <v>50000</v>
      </c>
      <c r="K1464" s="9">
        <f t="shared" si="71"/>
        <v>50000</v>
      </c>
      <c r="L1464">
        <f t="shared" si="72"/>
        <v>46080</v>
      </c>
    </row>
    <row r="1465" spans="4:12" x14ac:dyDescent="0.25">
      <c r="D1465" s="1"/>
      <c r="E1465">
        <v>-5392</v>
      </c>
      <c r="F1465" s="1"/>
      <c r="H1465" s="1">
        <f t="shared" si="70"/>
        <v>0</v>
      </c>
      <c r="I1465">
        <f>IF(AND(MyRowHidden(ROW())=FALSE,MyRowHidden(ROW()-1)=TRUE),0,(E1465-E1464)*unitsOfDHp+I1464)</f>
        <v>-3920</v>
      </c>
      <c r="J1465">
        <f>IF(AND(MyRowHidden(ROW())=FALSE,MyRowHidden(ROW()-1)=TRUE),0,(G1465-G1464)*unitsOfExo+J1464)</f>
        <v>50000</v>
      </c>
      <c r="K1465" s="9">
        <f t="shared" si="71"/>
        <v>50000</v>
      </c>
      <c r="L1465">
        <f t="shared" si="72"/>
        <v>46080</v>
      </c>
    </row>
    <row r="1466" spans="4:12" x14ac:dyDescent="0.25">
      <c r="D1466" s="1"/>
      <c r="E1466">
        <v>-5392</v>
      </c>
      <c r="F1466" s="1"/>
      <c r="H1466" s="1">
        <f t="shared" si="70"/>
        <v>0</v>
      </c>
      <c r="I1466">
        <f>IF(AND(MyRowHidden(ROW())=FALSE,MyRowHidden(ROW()-1)=TRUE),0,(E1466-E1465)*unitsOfDHp+I1465)</f>
        <v>-3920</v>
      </c>
      <c r="J1466">
        <f>IF(AND(MyRowHidden(ROW())=FALSE,MyRowHidden(ROW()-1)=TRUE),0,(G1466-G1465)*unitsOfExo+J1465)</f>
        <v>50000</v>
      </c>
      <c r="K1466" s="9">
        <f t="shared" si="71"/>
        <v>50000</v>
      </c>
      <c r="L1466">
        <f t="shared" si="72"/>
        <v>46080</v>
      </c>
    </row>
    <row r="1467" spans="4:12" x14ac:dyDescent="0.25">
      <c r="D1467" s="1"/>
      <c r="E1467">
        <v>-5392</v>
      </c>
      <c r="F1467" s="1"/>
      <c r="H1467" s="1">
        <f t="shared" si="70"/>
        <v>0</v>
      </c>
      <c r="I1467">
        <f>IF(AND(MyRowHidden(ROW())=FALSE,MyRowHidden(ROW()-1)=TRUE),0,(E1467-E1466)*unitsOfDHp+I1466)</f>
        <v>-3920</v>
      </c>
      <c r="J1467">
        <f>IF(AND(MyRowHidden(ROW())=FALSE,MyRowHidden(ROW()-1)=TRUE),0,(G1467-G1466)*unitsOfExo+J1466)</f>
        <v>50000</v>
      </c>
      <c r="K1467" s="9">
        <f t="shared" si="71"/>
        <v>50000</v>
      </c>
      <c r="L1467">
        <f t="shared" si="72"/>
        <v>46080</v>
      </c>
    </row>
    <row r="1468" spans="4:12" x14ac:dyDescent="0.25">
      <c r="D1468" s="1"/>
      <c r="E1468">
        <v>-5392</v>
      </c>
      <c r="F1468" s="1"/>
      <c r="H1468" s="1">
        <f t="shared" si="70"/>
        <v>0</v>
      </c>
      <c r="I1468">
        <f>IF(AND(MyRowHidden(ROW())=FALSE,MyRowHidden(ROW()-1)=TRUE),0,(E1468-E1467)*unitsOfDHp+I1467)</f>
        <v>-3920</v>
      </c>
      <c r="J1468">
        <f>IF(AND(MyRowHidden(ROW())=FALSE,MyRowHidden(ROW()-1)=TRUE),0,(G1468-G1467)*unitsOfExo+J1467)</f>
        <v>50000</v>
      </c>
      <c r="K1468" s="9">
        <f t="shared" si="71"/>
        <v>50000</v>
      </c>
      <c r="L1468">
        <f t="shared" si="72"/>
        <v>46080</v>
      </c>
    </row>
    <row r="1469" spans="4:12" x14ac:dyDescent="0.25">
      <c r="D1469" s="1"/>
      <c r="E1469">
        <v>-5392</v>
      </c>
      <c r="F1469" s="1"/>
      <c r="H1469" s="1">
        <f t="shared" si="70"/>
        <v>0</v>
      </c>
      <c r="I1469">
        <f>IF(AND(MyRowHidden(ROW())=FALSE,MyRowHidden(ROW()-1)=TRUE),0,(E1469-E1468)*unitsOfDHp+I1468)</f>
        <v>-3920</v>
      </c>
      <c r="J1469">
        <f>IF(AND(MyRowHidden(ROW())=FALSE,MyRowHidden(ROW()-1)=TRUE),0,(G1469-G1468)*unitsOfExo+J1468)</f>
        <v>50000</v>
      </c>
      <c r="K1469" s="9">
        <f t="shared" si="71"/>
        <v>50000</v>
      </c>
      <c r="L1469">
        <f t="shared" si="72"/>
        <v>46080</v>
      </c>
    </row>
    <row r="1470" spans="4:12" x14ac:dyDescent="0.25">
      <c r="D1470" s="1"/>
      <c r="E1470">
        <v>-5392</v>
      </c>
      <c r="F1470" s="1"/>
      <c r="H1470" s="1">
        <f t="shared" si="70"/>
        <v>0</v>
      </c>
      <c r="I1470">
        <f>IF(AND(MyRowHidden(ROW())=FALSE,MyRowHidden(ROW()-1)=TRUE),0,(E1470-E1469)*unitsOfDHp+I1469)</f>
        <v>-3920</v>
      </c>
      <c r="J1470">
        <f>IF(AND(MyRowHidden(ROW())=FALSE,MyRowHidden(ROW()-1)=TRUE),0,(G1470-G1469)*unitsOfExo+J1469)</f>
        <v>50000</v>
      </c>
      <c r="K1470" s="9">
        <f t="shared" si="71"/>
        <v>50000</v>
      </c>
      <c r="L1470">
        <f t="shared" si="72"/>
        <v>46080</v>
      </c>
    </row>
    <row r="1471" spans="4:12" x14ac:dyDescent="0.25">
      <c r="D1471" s="1"/>
      <c r="E1471">
        <v>-5392</v>
      </c>
      <c r="F1471" s="1"/>
      <c r="H1471" s="1">
        <f t="shared" si="70"/>
        <v>0</v>
      </c>
      <c r="I1471">
        <f>IF(AND(MyRowHidden(ROW())=FALSE,MyRowHidden(ROW()-1)=TRUE),0,(E1471-E1470)*unitsOfDHp+I1470)</f>
        <v>-3920</v>
      </c>
      <c r="J1471">
        <f>IF(AND(MyRowHidden(ROW())=FALSE,MyRowHidden(ROW()-1)=TRUE),0,(G1471-G1470)*unitsOfExo+J1470)</f>
        <v>50000</v>
      </c>
      <c r="K1471" s="9">
        <f t="shared" si="71"/>
        <v>50000</v>
      </c>
      <c r="L1471">
        <f t="shared" si="72"/>
        <v>46080</v>
      </c>
    </row>
    <row r="1472" spans="4:12" x14ac:dyDescent="0.25">
      <c r="D1472" s="1"/>
      <c r="E1472">
        <v>-5392</v>
      </c>
      <c r="F1472" s="1"/>
      <c r="H1472" s="1">
        <f t="shared" si="70"/>
        <v>0</v>
      </c>
      <c r="I1472">
        <f>IF(AND(MyRowHidden(ROW())=FALSE,MyRowHidden(ROW()-1)=TRUE),0,(E1472-E1471)*unitsOfDHp+I1471)</f>
        <v>-3920</v>
      </c>
      <c r="J1472">
        <f>IF(AND(MyRowHidden(ROW())=FALSE,MyRowHidden(ROW()-1)=TRUE),0,(G1472-G1471)*unitsOfExo+J1471)</f>
        <v>50000</v>
      </c>
      <c r="K1472" s="9">
        <f t="shared" si="71"/>
        <v>50000</v>
      </c>
      <c r="L1472">
        <f t="shared" si="72"/>
        <v>46080</v>
      </c>
    </row>
    <row r="1473" spans="4:12" x14ac:dyDescent="0.25">
      <c r="D1473" s="1"/>
      <c r="E1473">
        <v>-5392</v>
      </c>
      <c r="F1473" s="1"/>
      <c r="H1473" s="1">
        <f t="shared" si="70"/>
        <v>0</v>
      </c>
      <c r="I1473">
        <f>IF(AND(MyRowHidden(ROW())=FALSE,MyRowHidden(ROW()-1)=TRUE),0,(E1473-E1472)*unitsOfDHp+I1472)</f>
        <v>-3920</v>
      </c>
      <c r="J1473">
        <f>IF(AND(MyRowHidden(ROW())=FALSE,MyRowHidden(ROW()-1)=TRUE),0,(G1473-G1472)*unitsOfExo+J1472)</f>
        <v>50000</v>
      </c>
      <c r="K1473" s="9">
        <f t="shared" si="71"/>
        <v>50000</v>
      </c>
      <c r="L1473">
        <f t="shared" si="72"/>
        <v>46080</v>
      </c>
    </row>
    <row r="1474" spans="4:12" x14ac:dyDescent="0.25">
      <c r="D1474" s="1"/>
      <c r="E1474">
        <v>-5392</v>
      </c>
      <c r="F1474" s="1"/>
      <c r="H1474" s="1">
        <f t="shared" si="70"/>
        <v>0</v>
      </c>
      <c r="I1474">
        <f>IF(AND(MyRowHidden(ROW())=FALSE,MyRowHidden(ROW()-1)=TRUE),0,(E1474-E1473)*unitsOfDHp+I1473)</f>
        <v>-3920</v>
      </c>
      <c r="J1474">
        <f>IF(AND(MyRowHidden(ROW())=FALSE,MyRowHidden(ROW()-1)=TRUE),0,(G1474-G1473)*unitsOfExo+J1473)</f>
        <v>50000</v>
      </c>
      <c r="K1474" s="9">
        <f t="shared" si="71"/>
        <v>50000</v>
      </c>
      <c r="L1474">
        <f t="shared" si="72"/>
        <v>46080</v>
      </c>
    </row>
    <row r="1475" spans="4:12" x14ac:dyDescent="0.25">
      <c r="D1475" s="1"/>
      <c r="E1475">
        <v>-5392</v>
      </c>
      <c r="F1475" s="1"/>
      <c r="H1475" s="1">
        <f t="shared" si="70"/>
        <v>0</v>
      </c>
      <c r="I1475">
        <f>IF(AND(MyRowHidden(ROW())=FALSE,MyRowHidden(ROW()-1)=TRUE),0,(E1475-E1474)*unitsOfDHp+I1474)</f>
        <v>-3920</v>
      </c>
      <c r="J1475">
        <f>IF(AND(MyRowHidden(ROW())=FALSE,MyRowHidden(ROW()-1)=TRUE),0,(G1475-G1474)*unitsOfExo+J1474)</f>
        <v>50000</v>
      </c>
      <c r="K1475" s="9">
        <f t="shared" si="71"/>
        <v>50000</v>
      </c>
      <c r="L1475">
        <f t="shared" si="72"/>
        <v>46080</v>
      </c>
    </row>
    <row r="1476" spans="4:12" x14ac:dyDescent="0.25">
      <c r="D1476" s="1"/>
      <c r="E1476">
        <v>-5392</v>
      </c>
      <c r="F1476" s="1"/>
      <c r="H1476" s="1">
        <f t="shared" si="70"/>
        <v>0</v>
      </c>
      <c r="I1476">
        <f>IF(AND(MyRowHidden(ROW())=FALSE,MyRowHidden(ROW()-1)=TRUE),0,(E1476-E1475)*unitsOfDHp+I1475)</f>
        <v>-3920</v>
      </c>
      <c r="J1476">
        <f>IF(AND(MyRowHidden(ROW())=FALSE,MyRowHidden(ROW()-1)=TRUE),0,(G1476-G1475)*unitsOfExo+J1475)</f>
        <v>50000</v>
      </c>
      <c r="K1476" s="9">
        <f t="shared" si="71"/>
        <v>50000</v>
      </c>
      <c r="L1476">
        <f t="shared" si="72"/>
        <v>46080</v>
      </c>
    </row>
    <row r="1477" spans="4:12" x14ac:dyDescent="0.25">
      <c r="D1477" s="1"/>
      <c r="E1477">
        <v>-5392</v>
      </c>
      <c r="F1477" s="1"/>
      <c r="H1477" s="1">
        <f t="shared" si="70"/>
        <v>0</v>
      </c>
      <c r="I1477">
        <f>IF(AND(MyRowHidden(ROW())=FALSE,MyRowHidden(ROW()-1)=TRUE),0,(E1477-E1476)*unitsOfDHp+I1476)</f>
        <v>-3920</v>
      </c>
      <c r="J1477">
        <f>IF(AND(MyRowHidden(ROW())=FALSE,MyRowHidden(ROW()-1)=TRUE),0,(G1477-G1476)*unitsOfExo+J1476)</f>
        <v>50000</v>
      </c>
      <c r="K1477" s="9">
        <f t="shared" si="71"/>
        <v>50000</v>
      </c>
      <c r="L1477">
        <f t="shared" si="72"/>
        <v>46080</v>
      </c>
    </row>
    <row r="1478" spans="4:12" x14ac:dyDescent="0.25">
      <c r="D1478" s="1"/>
      <c r="E1478">
        <v>-5392</v>
      </c>
      <c r="F1478" s="1"/>
      <c r="H1478" s="1">
        <f t="shared" si="70"/>
        <v>0</v>
      </c>
      <c r="I1478">
        <f>IF(AND(MyRowHidden(ROW())=FALSE,MyRowHidden(ROW()-1)=TRUE),0,(E1478-E1477)*unitsOfDHp+I1477)</f>
        <v>-3920</v>
      </c>
      <c r="J1478">
        <f>IF(AND(MyRowHidden(ROW())=FALSE,MyRowHidden(ROW()-1)=TRUE),0,(G1478-G1477)*unitsOfExo+J1477)</f>
        <v>50000</v>
      </c>
      <c r="K1478" s="9">
        <f t="shared" si="71"/>
        <v>50000</v>
      </c>
      <c r="L1478">
        <f t="shared" si="72"/>
        <v>46080</v>
      </c>
    </row>
    <row r="1479" spans="4:12" x14ac:dyDescent="0.25">
      <c r="D1479" s="1"/>
      <c r="E1479">
        <v>-5392</v>
      </c>
      <c r="F1479" s="1"/>
      <c r="H1479" s="1">
        <f t="shared" si="70"/>
        <v>0</v>
      </c>
      <c r="I1479">
        <f>IF(AND(MyRowHidden(ROW())=FALSE,MyRowHidden(ROW()-1)=TRUE),0,(E1479-E1478)*unitsOfDHp+I1478)</f>
        <v>-3920</v>
      </c>
      <c r="J1479">
        <f>IF(AND(MyRowHidden(ROW())=FALSE,MyRowHidden(ROW()-1)=TRUE),0,(G1479-G1478)*unitsOfExo+J1478)</f>
        <v>50000</v>
      </c>
      <c r="K1479" s="9">
        <f t="shared" si="71"/>
        <v>50000</v>
      </c>
      <c r="L1479">
        <f t="shared" si="72"/>
        <v>46080</v>
      </c>
    </row>
    <row r="1480" spans="4:12" x14ac:dyDescent="0.25">
      <c r="D1480" s="1"/>
      <c r="E1480">
        <v>-5392</v>
      </c>
      <c r="F1480" s="1"/>
      <c r="H1480" s="1">
        <f t="shared" si="70"/>
        <v>0</v>
      </c>
      <c r="I1480">
        <f>IF(AND(MyRowHidden(ROW())=FALSE,MyRowHidden(ROW()-1)=TRUE),0,(E1480-E1479)*unitsOfDHp+I1479)</f>
        <v>-3920</v>
      </c>
      <c r="J1480">
        <f>IF(AND(MyRowHidden(ROW())=FALSE,MyRowHidden(ROW()-1)=TRUE),0,(G1480-G1479)*unitsOfExo+J1479)</f>
        <v>50000</v>
      </c>
      <c r="K1480" s="9">
        <f t="shared" si="71"/>
        <v>50000</v>
      </c>
      <c r="L1480">
        <f t="shared" si="72"/>
        <v>46080</v>
      </c>
    </row>
    <row r="1481" spans="4:12" x14ac:dyDescent="0.25">
      <c r="D1481" s="1"/>
      <c r="E1481">
        <v>-5392</v>
      </c>
      <c r="F1481" s="1"/>
      <c r="H1481" s="1">
        <f t="shared" si="70"/>
        <v>0</v>
      </c>
      <c r="I1481">
        <f>IF(AND(MyRowHidden(ROW())=FALSE,MyRowHidden(ROW()-1)=TRUE),0,(E1481-E1480)*unitsOfDHp+I1480)</f>
        <v>-3920</v>
      </c>
      <c r="J1481">
        <f>IF(AND(MyRowHidden(ROW())=FALSE,MyRowHidden(ROW()-1)=TRUE),0,(G1481-G1480)*unitsOfExo+J1480)</f>
        <v>50000</v>
      </c>
      <c r="K1481" s="9">
        <f t="shared" si="71"/>
        <v>50000</v>
      </c>
      <c r="L1481">
        <f t="shared" si="72"/>
        <v>46080</v>
      </c>
    </row>
    <row r="1482" spans="4:12" x14ac:dyDescent="0.25">
      <c r="D1482" s="1"/>
      <c r="E1482">
        <v>-5392</v>
      </c>
      <c r="F1482" s="1"/>
      <c r="H1482" s="1">
        <f t="shared" si="70"/>
        <v>0</v>
      </c>
      <c r="I1482">
        <f>IF(AND(MyRowHidden(ROW())=FALSE,MyRowHidden(ROW()-1)=TRUE),0,(E1482-E1481)*unitsOfDHp+I1481)</f>
        <v>-3920</v>
      </c>
      <c r="J1482">
        <f>IF(AND(MyRowHidden(ROW())=FALSE,MyRowHidden(ROW()-1)=TRUE),0,(G1482-G1481)*unitsOfExo+J1481)</f>
        <v>50000</v>
      </c>
      <c r="K1482" s="9">
        <f t="shared" si="71"/>
        <v>50000</v>
      </c>
      <c r="L1482">
        <f t="shared" si="72"/>
        <v>46080</v>
      </c>
    </row>
    <row r="1483" spans="4:12" x14ac:dyDescent="0.25">
      <c r="D1483" s="1"/>
      <c r="E1483">
        <v>-5392</v>
      </c>
      <c r="F1483" s="1"/>
      <c r="H1483" s="1">
        <f t="shared" si="70"/>
        <v>0</v>
      </c>
      <c r="I1483">
        <f>IF(AND(MyRowHidden(ROW())=FALSE,MyRowHidden(ROW()-1)=TRUE),0,(E1483-E1482)*unitsOfDHp+I1482)</f>
        <v>-3920</v>
      </c>
      <c r="J1483">
        <f>IF(AND(MyRowHidden(ROW())=FALSE,MyRowHidden(ROW()-1)=TRUE),0,(G1483-G1482)*unitsOfExo+J1482)</f>
        <v>50000</v>
      </c>
      <c r="K1483" s="9">
        <f t="shared" si="71"/>
        <v>50000</v>
      </c>
      <c r="L1483">
        <f t="shared" si="72"/>
        <v>46080</v>
      </c>
    </row>
    <row r="1484" spans="4:12" x14ac:dyDescent="0.25">
      <c r="D1484" s="1"/>
      <c r="E1484">
        <v>-5392</v>
      </c>
      <c r="F1484" s="1"/>
      <c r="H1484" s="1">
        <f t="shared" si="70"/>
        <v>0</v>
      </c>
      <c r="I1484">
        <f>IF(AND(MyRowHidden(ROW())=FALSE,MyRowHidden(ROW()-1)=TRUE),0,(E1484-E1483)*unitsOfDHp+I1483)</f>
        <v>-3920</v>
      </c>
      <c r="J1484">
        <f>IF(AND(MyRowHidden(ROW())=FALSE,MyRowHidden(ROW()-1)=TRUE),0,(G1484-G1483)*unitsOfExo+J1483)</f>
        <v>50000</v>
      </c>
      <c r="K1484" s="9">
        <f t="shared" si="71"/>
        <v>50000</v>
      </c>
      <c r="L1484">
        <f t="shared" si="72"/>
        <v>46080</v>
      </c>
    </row>
    <row r="1485" spans="4:12" x14ac:dyDescent="0.25">
      <c r="D1485" s="1"/>
      <c r="E1485">
        <v>-5392</v>
      </c>
      <c r="F1485" s="1"/>
      <c r="H1485" s="1">
        <f t="shared" ref="H1485:H1548" si="73">D1485</f>
        <v>0</v>
      </c>
      <c r="I1485">
        <f>IF(AND(MyRowHidden(ROW())=FALSE,MyRowHidden(ROW()-1)=TRUE),0,(E1485-E1484)*unitsOfDHp+I1484)</f>
        <v>-3920</v>
      </c>
      <c r="J1485">
        <f>IF(AND(MyRowHidden(ROW())=FALSE,MyRowHidden(ROW()-1)=TRUE),0,(G1485-G1484)*unitsOfExo+J1484)</f>
        <v>50000</v>
      </c>
      <c r="K1485" s="9">
        <f t="shared" ref="K1485:K1548" si="74">-(J1485-J1484)+K1484</f>
        <v>50000</v>
      </c>
      <c r="L1485">
        <f t="shared" ref="L1485:L1548" si="75">I1485+J1485</f>
        <v>46080</v>
      </c>
    </row>
    <row r="1486" spans="4:12" x14ac:dyDescent="0.25">
      <c r="D1486" s="1"/>
      <c r="E1486">
        <v>-5392</v>
      </c>
      <c r="F1486" s="1"/>
      <c r="H1486" s="1">
        <f t="shared" si="73"/>
        <v>0</v>
      </c>
      <c r="I1486">
        <f>IF(AND(MyRowHidden(ROW())=FALSE,MyRowHidden(ROW()-1)=TRUE),0,(E1486-E1485)*unitsOfDHp+I1485)</f>
        <v>-3920</v>
      </c>
      <c r="J1486">
        <f>IF(AND(MyRowHidden(ROW())=FALSE,MyRowHidden(ROW()-1)=TRUE),0,(G1486-G1485)*unitsOfExo+J1485)</f>
        <v>50000</v>
      </c>
      <c r="K1486" s="9">
        <f t="shared" si="74"/>
        <v>50000</v>
      </c>
      <c r="L1486">
        <f t="shared" si="75"/>
        <v>46080</v>
      </c>
    </row>
    <row r="1487" spans="4:12" x14ac:dyDescent="0.25">
      <c r="D1487" s="1"/>
      <c r="E1487">
        <v>-5392</v>
      </c>
      <c r="F1487" s="1"/>
      <c r="H1487" s="1">
        <f t="shared" si="73"/>
        <v>0</v>
      </c>
      <c r="I1487">
        <f>IF(AND(MyRowHidden(ROW())=FALSE,MyRowHidden(ROW()-1)=TRUE),0,(E1487-E1486)*unitsOfDHp+I1486)</f>
        <v>-3920</v>
      </c>
      <c r="J1487">
        <f>IF(AND(MyRowHidden(ROW())=FALSE,MyRowHidden(ROW()-1)=TRUE),0,(G1487-G1486)*unitsOfExo+J1486)</f>
        <v>50000</v>
      </c>
      <c r="K1487" s="9">
        <f t="shared" si="74"/>
        <v>50000</v>
      </c>
      <c r="L1487">
        <f t="shared" si="75"/>
        <v>46080</v>
      </c>
    </row>
    <row r="1488" spans="4:12" x14ac:dyDescent="0.25">
      <c r="D1488" s="1"/>
      <c r="E1488">
        <v>-5392</v>
      </c>
      <c r="F1488" s="1"/>
      <c r="H1488" s="1">
        <f t="shared" si="73"/>
        <v>0</v>
      </c>
      <c r="I1488">
        <f>IF(AND(MyRowHidden(ROW())=FALSE,MyRowHidden(ROW()-1)=TRUE),0,(E1488-E1487)*unitsOfDHp+I1487)</f>
        <v>-3920</v>
      </c>
      <c r="J1488">
        <f>IF(AND(MyRowHidden(ROW())=FALSE,MyRowHidden(ROW()-1)=TRUE),0,(G1488-G1487)*unitsOfExo+J1487)</f>
        <v>50000</v>
      </c>
      <c r="K1488" s="9">
        <f t="shared" si="74"/>
        <v>50000</v>
      </c>
      <c r="L1488">
        <f t="shared" si="75"/>
        <v>46080</v>
      </c>
    </row>
    <row r="1489" spans="4:12" x14ac:dyDescent="0.25">
      <c r="D1489" s="1"/>
      <c r="E1489">
        <v>-5392</v>
      </c>
      <c r="F1489" s="1"/>
      <c r="H1489" s="1">
        <f t="shared" si="73"/>
        <v>0</v>
      </c>
      <c r="I1489">
        <f>IF(AND(MyRowHidden(ROW())=FALSE,MyRowHidden(ROW()-1)=TRUE),0,(E1489-E1488)*unitsOfDHp+I1488)</f>
        <v>-3920</v>
      </c>
      <c r="J1489">
        <f>IF(AND(MyRowHidden(ROW())=FALSE,MyRowHidden(ROW()-1)=TRUE),0,(G1489-G1488)*unitsOfExo+J1488)</f>
        <v>50000</v>
      </c>
      <c r="K1489" s="9">
        <f t="shared" si="74"/>
        <v>50000</v>
      </c>
      <c r="L1489">
        <f t="shared" si="75"/>
        <v>46080</v>
      </c>
    </row>
    <row r="1490" spans="4:12" x14ac:dyDescent="0.25">
      <c r="D1490" s="1"/>
      <c r="E1490">
        <v>-5392</v>
      </c>
      <c r="F1490" s="1"/>
      <c r="H1490" s="1">
        <f t="shared" si="73"/>
        <v>0</v>
      </c>
      <c r="I1490">
        <f>IF(AND(MyRowHidden(ROW())=FALSE,MyRowHidden(ROW()-1)=TRUE),0,(E1490-E1489)*unitsOfDHp+I1489)</f>
        <v>-3920</v>
      </c>
      <c r="J1490">
        <f>IF(AND(MyRowHidden(ROW())=FALSE,MyRowHidden(ROW()-1)=TRUE),0,(G1490-G1489)*unitsOfExo+J1489)</f>
        <v>50000</v>
      </c>
      <c r="K1490" s="9">
        <f t="shared" si="74"/>
        <v>50000</v>
      </c>
      <c r="L1490">
        <f t="shared" si="75"/>
        <v>46080</v>
      </c>
    </row>
    <row r="1491" spans="4:12" x14ac:dyDescent="0.25">
      <c r="D1491" s="1"/>
      <c r="E1491">
        <v>-5392</v>
      </c>
      <c r="F1491" s="1"/>
      <c r="H1491" s="1">
        <f t="shared" si="73"/>
        <v>0</v>
      </c>
      <c r="I1491">
        <f>IF(AND(MyRowHidden(ROW())=FALSE,MyRowHidden(ROW()-1)=TRUE),0,(E1491-E1490)*unitsOfDHp+I1490)</f>
        <v>-3920</v>
      </c>
      <c r="J1491">
        <f>IF(AND(MyRowHidden(ROW())=FALSE,MyRowHidden(ROW()-1)=TRUE),0,(G1491-G1490)*unitsOfExo+J1490)</f>
        <v>50000</v>
      </c>
      <c r="K1491" s="9">
        <f t="shared" si="74"/>
        <v>50000</v>
      </c>
      <c r="L1491">
        <f t="shared" si="75"/>
        <v>46080</v>
      </c>
    </row>
    <row r="1492" spans="4:12" x14ac:dyDescent="0.25">
      <c r="D1492" s="1"/>
      <c r="E1492">
        <v>-5392</v>
      </c>
      <c r="F1492" s="1"/>
      <c r="H1492" s="1">
        <f t="shared" si="73"/>
        <v>0</v>
      </c>
      <c r="I1492">
        <f>IF(AND(MyRowHidden(ROW())=FALSE,MyRowHidden(ROW()-1)=TRUE),0,(E1492-E1491)*unitsOfDHp+I1491)</f>
        <v>-3920</v>
      </c>
      <c r="J1492">
        <f>IF(AND(MyRowHidden(ROW())=FALSE,MyRowHidden(ROW()-1)=TRUE),0,(G1492-G1491)*unitsOfExo+J1491)</f>
        <v>50000</v>
      </c>
      <c r="K1492" s="9">
        <f t="shared" si="74"/>
        <v>50000</v>
      </c>
      <c r="L1492">
        <f t="shared" si="75"/>
        <v>46080</v>
      </c>
    </row>
    <row r="1493" spans="4:12" x14ac:dyDescent="0.25">
      <c r="D1493" s="1"/>
      <c r="E1493">
        <v>-5392</v>
      </c>
      <c r="F1493" s="1"/>
      <c r="H1493" s="1">
        <f t="shared" si="73"/>
        <v>0</v>
      </c>
      <c r="I1493">
        <f>IF(AND(MyRowHidden(ROW())=FALSE,MyRowHidden(ROW()-1)=TRUE),0,(E1493-E1492)*unitsOfDHp+I1492)</f>
        <v>-3920</v>
      </c>
      <c r="J1493">
        <f>IF(AND(MyRowHidden(ROW())=FALSE,MyRowHidden(ROW()-1)=TRUE),0,(G1493-G1492)*unitsOfExo+J1492)</f>
        <v>50000</v>
      </c>
      <c r="K1493" s="9">
        <f t="shared" si="74"/>
        <v>50000</v>
      </c>
      <c r="L1493">
        <f t="shared" si="75"/>
        <v>46080</v>
      </c>
    </row>
    <row r="1494" spans="4:12" x14ac:dyDescent="0.25">
      <c r="D1494" s="1"/>
      <c r="E1494">
        <v>-5392</v>
      </c>
      <c r="F1494" s="1"/>
      <c r="H1494" s="1">
        <f t="shared" si="73"/>
        <v>0</v>
      </c>
      <c r="I1494">
        <f>IF(AND(MyRowHidden(ROW())=FALSE,MyRowHidden(ROW()-1)=TRUE),0,(E1494-E1493)*unitsOfDHp+I1493)</f>
        <v>-3920</v>
      </c>
      <c r="J1494">
        <f>IF(AND(MyRowHidden(ROW())=FALSE,MyRowHidden(ROW()-1)=TRUE),0,(G1494-G1493)*unitsOfExo+J1493)</f>
        <v>50000</v>
      </c>
      <c r="K1494" s="9">
        <f t="shared" si="74"/>
        <v>50000</v>
      </c>
      <c r="L1494">
        <f t="shared" si="75"/>
        <v>46080</v>
      </c>
    </row>
    <row r="1495" spans="4:12" x14ac:dyDescent="0.25">
      <c r="D1495" s="1"/>
      <c r="E1495">
        <v>-5392</v>
      </c>
      <c r="F1495" s="1"/>
      <c r="H1495" s="1">
        <f t="shared" si="73"/>
        <v>0</v>
      </c>
      <c r="I1495">
        <f>IF(AND(MyRowHidden(ROW())=FALSE,MyRowHidden(ROW()-1)=TRUE),0,(E1495-E1494)*unitsOfDHp+I1494)</f>
        <v>-3920</v>
      </c>
      <c r="J1495">
        <f>IF(AND(MyRowHidden(ROW())=FALSE,MyRowHidden(ROW()-1)=TRUE),0,(G1495-G1494)*unitsOfExo+J1494)</f>
        <v>50000</v>
      </c>
      <c r="K1495" s="9">
        <f t="shared" si="74"/>
        <v>50000</v>
      </c>
      <c r="L1495">
        <f t="shared" si="75"/>
        <v>46080</v>
      </c>
    </row>
    <row r="1496" spans="4:12" x14ac:dyDescent="0.25">
      <c r="D1496" s="1"/>
      <c r="E1496">
        <v>-5392</v>
      </c>
      <c r="F1496" s="1"/>
      <c r="H1496" s="1">
        <f t="shared" si="73"/>
        <v>0</v>
      </c>
      <c r="I1496">
        <f>IF(AND(MyRowHidden(ROW())=FALSE,MyRowHidden(ROW()-1)=TRUE),0,(E1496-E1495)*unitsOfDHp+I1495)</f>
        <v>-3920</v>
      </c>
      <c r="J1496">
        <f>IF(AND(MyRowHidden(ROW())=FALSE,MyRowHidden(ROW()-1)=TRUE),0,(G1496-G1495)*unitsOfExo+J1495)</f>
        <v>50000</v>
      </c>
      <c r="K1496" s="9">
        <f t="shared" si="74"/>
        <v>50000</v>
      </c>
      <c r="L1496">
        <f t="shared" si="75"/>
        <v>46080</v>
      </c>
    </row>
    <row r="1497" spans="4:12" x14ac:dyDescent="0.25">
      <c r="D1497" s="1"/>
      <c r="E1497">
        <v>-5392</v>
      </c>
      <c r="F1497" s="1"/>
      <c r="H1497" s="1">
        <f t="shared" si="73"/>
        <v>0</v>
      </c>
      <c r="I1497">
        <f>IF(AND(MyRowHidden(ROW())=FALSE,MyRowHidden(ROW()-1)=TRUE),0,(E1497-E1496)*unitsOfDHp+I1496)</f>
        <v>-3920</v>
      </c>
      <c r="J1497">
        <f>IF(AND(MyRowHidden(ROW())=FALSE,MyRowHidden(ROW()-1)=TRUE),0,(G1497-G1496)*unitsOfExo+J1496)</f>
        <v>50000</v>
      </c>
      <c r="K1497" s="9">
        <f t="shared" si="74"/>
        <v>50000</v>
      </c>
      <c r="L1497">
        <f t="shared" si="75"/>
        <v>46080</v>
      </c>
    </row>
    <row r="1498" spans="4:12" x14ac:dyDescent="0.25">
      <c r="D1498" s="1"/>
      <c r="E1498">
        <v>-5392</v>
      </c>
      <c r="F1498" s="1"/>
      <c r="H1498" s="1">
        <f t="shared" si="73"/>
        <v>0</v>
      </c>
      <c r="I1498">
        <f>IF(AND(MyRowHidden(ROW())=FALSE,MyRowHidden(ROW()-1)=TRUE),0,(E1498-E1497)*unitsOfDHp+I1497)</f>
        <v>-3920</v>
      </c>
      <c r="J1498">
        <f>IF(AND(MyRowHidden(ROW())=FALSE,MyRowHidden(ROW()-1)=TRUE),0,(G1498-G1497)*unitsOfExo+J1497)</f>
        <v>50000</v>
      </c>
      <c r="K1498" s="9">
        <f t="shared" si="74"/>
        <v>50000</v>
      </c>
      <c r="L1498">
        <f t="shared" si="75"/>
        <v>46080</v>
      </c>
    </row>
    <row r="1499" spans="4:12" x14ac:dyDescent="0.25">
      <c r="D1499" s="1"/>
      <c r="E1499">
        <v>-5392</v>
      </c>
      <c r="F1499" s="1"/>
      <c r="H1499" s="1">
        <f t="shared" si="73"/>
        <v>0</v>
      </c>
      <c r="I1499">
        <f>IF(AND(MyRowHidden(ROW())=FALSE,MyRowHidden(ROW()-1)=TRUE),0,(E1499-E1498)*unitsOfDHp+I1498)</f>
        <v>-3920</v>
      </c>
      <c r="J1499">
        <f>IF(AND(MyRowHidden(ROW())=FALSE,MyRowHidden(ROW()-1)=TRUE),0,(G1499-G1498)*unitsOfExo+J1498)</f>
        <v>50000</v>
      </c>
      <c r="K1499" s="9">
        <f t="shared" si="74"/>
        <v>50000</v>
      </c>
      <c r="L1499">
        <f t="shared" si="75"/>
        <v>46080</v>
      </c>
    </row>
    <row r="1500" spans="4:12" x14ac:dyDescent="0.25">
      <c r="D1500" s="1"/>
      <c r="E1500">
        <v>-5392</v>
      </c>
      <c r="F1500" s="1"/>
      <c r="H1500" s="1">
        <f t="shared" si="73"/>
        <v>0</v>
      </c>
      <c r="I1500">
        <f>IF(AND(MyRowHidden(ROW())=FALSE,MyRowHidden(ROW()-1)=TRUE),0,(E1500-E1499)*unitsOfDHp+I1499)</f>
        <v>-3920</v>
      </c>
      <c r="J1500">
        <f>IF(AND(MyRowHidden(ROW())=FALSE,MyRowHidden(ROW()-1)=TRUE),0,(G1500-G1499)*unitsOfExo+J1499)</f>
        <v>50000</v>
      </c>
      <c r="K1500" s="9">
        <f t="shared" si="74"/>
        <v>50000</v>
      </c>
      <c r="L1500">
        <f t="shared" si="75"/>
        <v>46080</v>
      </c>
    </row>
    <row r="1501" spans="4:12" x14ac:dyDescent="0.25">
      <c r="D1501" s="1"/>
      <c r="E1501">
        <v>-5392</v>
      </c>
      <c r="F1501" s="1"/>
      <c r="H1501" s="1">
        <f t="shared" si="73"/>
        <v>0</v>
      </c>
      <c r="I1501">
        <f>IF(AND(MyRowHidden(ROW())=FALSE,MyRowHidden(ROW()-1)=TRUE),0,(E1501-E1500)*unitsOfDHp+I1500)</f>
        <v>-3920</v>
      </c>
      <c r="J1501">
        <f>IF(AND(MyRowHidden(ROW())=FALSE,MyRowHidden(ROW()-1)=TRUE),0,(G1501-G1500)*unitsOfExo+J1500)</f>
        <v>50000</v>
      </c>
      <c r="K1501" s="9">
        <f t="shared" si="74"/>
        <v>50000</v>
      </c>
      <c r="L1501">
        <f t="shared" si="75"/>
        <v>46080</v>
      </c>
    </row>
    <row r="1502" spans="4:12" x14ac:dyDescent="0.25">
      <c r="D1502" s="1"/>
      <c r="E1502">
        <v>-5392</v>
      </c>
      <c r="F1502" s="1"/>
      <c r="H1502" s="1">
        <f t="shared" si="73"/>
        <v>0</v>
      </c>
      <c r="I1502">
        <f>IF(AND(MyRowHidden(ROW())=FALSE,MyRowHidden(ROW()-1)=TRUE),0,(E1502-E1501)*unitsOfDHp+I1501)</f>
        <v>-3920</v>
      </c>
      <c r="J1502">
        <f>IF(AND(MyRowHidden(ROW())=FALSE,MyRowHidden(ROW()-1)=TRUE),0,(G1502-G1501)*unitsOfExo+J1501)</f>
        <v>50000</v>
      </c>
      <c r="K1502" s="9">
        <f t="shared" si="74"/>
        <v>50000</v>
      </c>
      <c r="L1502">
        <f t="shared" si="75"/>
        <v>46080</v>
      </c>
    </row>
    <row r="1503" spans="4:12" x14ac:dyDescent="0.25">
      <c r="D1503" s="1"/>
      <c r="E1503">
        <v>-5392</v>
      </c>
      <c r="F1503" s="1"/>
      <c r="H1503" s="1">
        <f t="shared" si="73"/>
        <v>0</v>
      </c>
      <c r="I1503">
        <f>IF(AND(MyRowHidden(ROW())=FALSE,MyRowHidden(ROW()-1)=TRUE),0,(E1503-E1502)*unitsOfDHp+I1502)</f>
        <v>-3920</v>
      </c>
      <c r="J1503">
        <f>IF(AND(MyRowHidden(ROW())=FALSE,MyRowHidden(ROW()-1)=TRUE),0,(G1503-G1502)*unitsOfExo+J1502)</f>
        <v>50000</v>
      </c>
      <c r="K1503" s="9">
        <f t="shared" si="74"/>
        <v>50000</v>
      </c>
      <c r="L1503">
        <f t="shared" si="75"/>
        <v>46080</v>
      </c>
    </row>
    <row r="1504" spans="4:12" x14ac:dyDescent="0.25">
      <c r="D1504" s="1"/>
      <c r="E1504">
        <v>-5392</v>
      </c>
      <c r="F1504" s="1"/>
      <c r="H1504" s="1">
        <f t="shared" si="73"/>
        <v>0</v>
      </c>
      <c r="I1504">
        <f>IF(AND(MyRowHidden(ROW())=FALSE,MyRowHidden(ROW()-1)=TRUE),0,(E1504-E1503)*unitsOfDHp+I1503)</f>
        <v>-3920</v>
      </c>
      <c r="J1504">
        <f>IF(AND(MyRowHidden(ROW())=FALSE,MyRowHidden(ROW()-1)=TRUE),0,(G1504-G1503)*unitsOfExo+J1503)</f>
        <v>50000</v>
      </c>
      <c r="K1504" s="9">
        <f t="shared" si="74"/>
        <v>50000</v>
      </c>
      <c r="L1504">
        <f t="shared" si="75"/>
        <v>46080</v>
      </c>
    </row>
    <row r="1505" spans="4:12" x14ac:dyDescent="0.25">
      <c r="D1505" s="1"/>
      <c r="E1505">
        <v>-5392</v>
      </c>
      <c r="F1505" s="1"/>
      <c r="H1505" s="1">
        <f t="shared" si="73"/>
        <v>0</v>
      </c>
      <c r="I1505">
        <f>IF(AND(MyRowHidden(ROW())=FALSE,MyRowHidden(ROW()-1)=TRUE),0,(E1505-E1504)*unitsOfDHp+I1504)</f>
        <v>-3920</v>
      </c>
      <c r="J1505">
        <f>IF(AND(MyRowHidden(ROW())=FALSE,MyRowHidden(ROW()-1)=TRUE),0,(G1505-G1504)*unitsOfExo+J1504)</f>
        <v>50000</v>
      </c>
      <c r="K1505" s="9">
        <f t="shared" si="74"/>
        <v>50000</v>
      </c>
      <c r="L1505">
        <f t="shared" si="75"/>
        <v>46080</v>
      </c>
    </row>
    <row r="1506" spans="4:12" x14ac:dyDescent="0.25">
      <c r="D1506" s="1"/>
      <c r="E1506">
        <v>-5392</v>
      </c>
      <c r="F1506" s="1"/>
      <c r="H1506" s="1">
        <f t="shared" si="73"/>
        <v>0</v>
      </c>
      <c r="I1506">
        <f>IF(AND(MyRowHidden(ROW())=FALSE,MyRowHidden(ROW()-1)=TRUE),0,(E1506-E1505)*unitsOfDHp+I1505)</f>
        <v>-3920</v>
      </c>
      <c r="J1506">
        <f>IF(AND(MyRowHidden(ROW())=FALSE,MyRowHidden(ROW()-1)=TRUE),0,(G1506-G1505)*unitsOfExo+J1505)</f>
        <v>50000</v>
      </c>
      <c r="K1506" s="9">
        <f t="shared" si="74"/>
        <v>50000</v>
      </c>
      <c r="L1506">
        <f t="shared" si="75"/>
        <v>46080</v>
      </c>
    </row>
    <row r="1507" spans="4:12" x14ac:dyDescent="0.25">
      <c r="D1507" s="1"/>
      <c r="E1507">
        <v>-5392</v>
      </c>
      <c r="F1507" s="1"/>
      <c r="H1507" s="1">
        <f t="shared" si="73"/>
        <v>0</v>
      </c>
      <c r="I1507">
        <f>IF(AND(MyRowHidden(ROW())=FALSE,MyRowHidden(ROW()-1)=TRUE),0,(E1507-E1506)*unitsOfDHp+I1506)</f>
        <v>-3920</v>
      </c>
      <c r="J1507">
        <f>IF(AND(MyRowHidden(ROW())=FALSE,MyRowHidden(ROW()-1)=TRUE),0,(G1507-G1506)*unitsOfExo+J1506)</f>
        <v>50000</v>
      </c>
      <c r="K1507" s="9">
        <f t="shared" si="74"/>
        <v>50000</v>
      </c>
      <c r="L1507">
        <f t="shared" si="75"/>
        <v>46080</v>
      </c>
    </row>
    <row r="1508" spans="4:12" x14ac:dyDescent="0.25">
      <c r="D1508" s="1"/>
      <c r="E1508">
        <v>-5392</v>
      </c>
      <c r="F1508" s="1"/>
      <c r="H1508" s="1">
        <f t="shared" si="73"/>
        <v>0</v>
      </c>
      <c r="I1508">
        <f>IF(AND(MyRowHidden(ROW())=FALSE,MyRowHidden(ROW()-1)=TRUE),0,(E1508-E1507)*unitsOfDHp+I1507)</f>
        <v>-3920</v>
      </c>
      <c r="J1508">
        <f>IF(AND(MyRowHidden(ROW())=FALSE,MyRowHidden(ROW()-1)=TRUE),0,(G1508-G1507)*unitsOfExo+J1507)</f>
        <v>50000</v>
      </c>
      <c r="K1508" s="9">
        <f t="shared" si="74"/>
        <v>50000</v>
      </c>
      <c r="L1508">
        <f t="shared" si="75"/>
        <v>46080</v>
      </c>
    </row>
    <row r="1509" spans="4:12" x14ac:dyDescent="0.25">
      <c r="D1509" s="1"/>
      <c r="E1509">
        <v>-5392</v>
      </c>
      <c r="F1509" s="1"/>
      <c r="H1509" s="1">
        <f t="shared" si="73"/>
        <v>0</v>
      </c>
      <c r="I1509">
        <f>IF(AND(MyRowHidden(ROW())=FALSE,MyRowHidden(ROW()-1)=TRUE),0,(E1509-E1508)*unitsOfDHp+I1508)</f>
        <v>-3920</v>
      </c>
      <c r="J1509">
        <f>IF(AND(MyRowHidden(ROW())=FALSE,MyRowHidden(ROW()-1)=TRUE),0,(G1509-G1508)*unitsOfExo+J1508)</f>
        <v>50000</v>
      </c>
      <c r="K1509" s="9">
        <f t="shared" si="74"/>
        <v>50000</v>
      </c>
      <c r="L1509">
        <f t="shared" si="75"/>
        <v>46080</v>
      </c>
    </row>
    <row r="1510" spans="4:12" x14ac:dyDescent="0.25">
      <c r="D1510" s="1"/>
      <c r="E1510">
        <v>-5392</v>
      </c>
      <c r="F1510" s="1"/>
      <c r="H1510" s="1">
        <f t="shared" si="73"/>
        <v>0</v>
      </c>
      <c r="I1510">
        <f>IF(AND(MyRowHidden(ROW())=FALSE,MyRowHidden(ROW()-1)=TRUE),0,(E1510-E1509)*unitsOfDHp+I1509)</f>
        <v>-3920</v>
      </c>
      <c r="J1510">
        <f>IF(AND(MyRowHidden(ROW())=FALSE,MyRowHidden(ROW()-1)=TRUE),0,(G1510-G1509)*unitsOfExo+J1509)</f>
        <v>50000</v>
      </c>
      <c r="K1510" s="9">
        <f t="shared" si="74"/>
        <v>50000</v>
      </c>
      <c r="L1510">
        <f t="shared" si="75"/>
        <v>46080</v>
      </c>
    </row>
    <row r="1511" spans="4:12" x14ac:dyDescent="0.25">
      <c r="D1511" s="1"/>
      <c r="E1511">
        <v>-5392</v>
      </c>
      <c r="F1511" s="1"/>
      <c r="H1511" s="1">
        <f t="shared" si="73"/>
        <v>0</v>
      </c>
      <c r="I1511">
        <f>IF(AND(MyRowHidden(ROW())=FALSE,MyRowHidden(ROW()-1)=TRUE),0,(E1511-E1510)*unitsOfDHp+I1510)</f>
        <v>-3920</v>
      </c>
      <c r="J1511">
        <f>IF(AND(MyRowHidden(ROW())=FALSE,MyRowHidden(ROW()-1)=TRUE),0,(G1511-G1510)*unitsOfExo+J1510)</f>
        <v>50000</v>
      </c>
      <c r="K1511" s="9">
        <f t="shared" si="74"/>
        <v>50000</v>
      </c>
      <c r="L1511">
        <f t="shared" si="75"/>
        <v>46080</v>
      </c>
    </row>
    <row r="1512" spans="4:12" x14ac:dyDescent="0.25">
      <c r="D1512" s="1"/>
      <c r="E1512">
        <v>-5392</v>
      </c>
      <c r="F1512" s="1"/>
      <c r="H1512" s="1">
        <f t="shared" si="73"/>
        <v>0</v>
      </c>
      <c r="I1512">
        <f>IF(AND(MyRowHidden(ROW())=FALSE,MyRowHidden(ROW()-1)=TRUE),0,(E1512-E1511)*unitsOfDHp+I1511)</f>
        <v>-3920</v>
      </c>
      <c r="J1512">
        <f>IF(AND(MyRowHidden(ROW())=FALSE,MyRowHidden(ROW()-1)=TRUE),0,(G1512-G1511)*unitsOfExo+J1511)</f>
        <v>50000</v>
      </c>
      <c r="K1512" s="9">
        <f t="shared" si="74"/>
        <v>50000</v>
      </c>
      <c r="L1512">
        <f t="shared" si="75"/>
        <v>46080</v>
      </c>
    </row>
    <row r="1513" spans="4:12" x14ac:dyDescent="0.25">
      <c r="D1513" s="1"/>
      <c r="E1513">
        <v>-5392</v>
      </c>
      <c r="F1513" s="1"/>
      <c r="H1513" s="1">
        <f t="shared" si="73"/>
        <v>0</v>
      </c>
      <c r="I1513">
        <f>IF(AND(MyRowHidden(ROW())=FALSE,MyRowHidden(ROW()-1)=TRUE),0,(E1513-E1512)*unitsOfDHp+I1512)</f>
        <v>-3920</v>
      </c>
      <c r="J1513">
        <f>IF(AND(MyRowHidden(ROW())=FALSE,MyRowHidden(ROW()-1)=TRUE),0,(G1513-G1512)*unitsOfExo+J1512)</f>
        <v>50000</v>
      </c>
      <c r="K1513" s="9">
        <f t="shared" si="74"/>
        <v>50000</v>
      </c>
      <c r="L1513">
        <f t="shared" si="75"/>
        <v>46080</v>
      </c>
    </row>
    <row r="1514" spans="4:12" x14ac:dyDescent="0.25">
      <c r="D1514" s="1"/>
      <c r="E1514">
        <v>-5392</v>
      </c>
      <c r="F1514" s="1"/>
      <c r="H1514" s="1">
        <f t="shared" si="73"/>
        <v>0</v>
      </c>
      <c r="I1514">
        <f>IF(AND(MyRowHidden(ROW())=FALSE,MyRowHidden(ROW()-1)=TRUE),0,(E1514-E1513)*unitsOfDHp+I1513)</f>
        <v>-3920</v>
      </c>
      <c r="J1514">
        <f>IF(AND(MyRowHidden(ROW())=FALSE,MyRowHidden(ROW()-1)=TRUE),0,(G1514-G1513)*unitsOfExo+J1513)</f>
        <v>50000</v>
      </c>
      <c r="K1514" s="9">
        <f t="shared" si="74"/>
        <v>50000</v>
      </c>
      <c r="L1514">
        <f t="shared" si="75"/>
        <v>46080</v>
      </c>
    </row>
    <row r="1515" spans="4:12" x14ac:dyDescent="0.25">
      <c r="D1515" s="1"/>
      <c r="E1515">
        <v>-5392</v>
      </c>
      <c r="F1515" s="1"/>
      <c r="H1515" s="1">
        <f t="shared" si="73"/>
        <v>0</v>
      </c>
      <c r="I1515">
        <f>IF(AND(MyRowHidden(ROW())=FALSE,MyRowHidden(ROW()-1)=TRUE),0,(E1515-E1514)*unitsOfDHp+I1514)</f>
        <v>-3920</v>
      </c>
      <c r="J1515">
        <f>IF(AND(MyRowHidden(ROW())=FALSE,MyRowHidden(ROW()-1)=TRUE),0,(G1515-G1514)*unitsOfExo+J1514)</f>
        <v>50000</v>
      </c>
      <c r="K1515" s="9">
        <f t="shared" si="74"/>
        <v>50000</v>
      </c>
      <c r="L1515">
        <f t="shared" si="75"/>
        <v>46080</v>
      </c>
    </row>
    <row r="1516" spans="4:12" x14ac:dyDescent="0.25">
      <c r="D1516" s="1"/>
      <c r="E1516">
        <v>-5392</v>
      </c>
      <c r="F1516" s="1"/>
      <c r="H1516" s="1">
        <f t="shared" si="73"/>
        <v>0</v>
      </c>
      <c r="I1516">
        <f>IF(AND(MyRowHidden(ROW())=FALSE,MyRowHidden(ROW()-1)=TRUE),0,(E1516-E1515)*unitsOfDHp+I1515)</f>
        <v>-3920</v>
      </c>
      <c r="J1516">
        <f>IF(AND(MyRowHidden(ROW())=FALSE,MyRowHidden(ROW()-1)=TRUE),0,(G1516-G1515)*unitsOfExo+J1515)</f>
        <v>50000</v>
      </c>
      <c r="K1516" s="9">
        <f t="shared" si="74"/>
        <v>50000</v>
      </c>
      <c r="L1516">
        <f t="shared" si="75"/>
        <v>46080</v>
      </c>
    </row>
    <row r="1517" spans="4:12" x14ac:dyDescent="0.25">
      <c r="D1517" s="1"/>
      <c r="E1517">
        <v>-5392</v>
      </c>
      <c r="F1517" s="1"/>
      <c r="H1517" s="1">
        <f t="shared" si="73"/>
        <v>0</v>
      </c>
      <c r="I1517">
        <f>IF(AND(MyRowHidden(ROW())=FALSE,MyRowHidden(ROW()-1)=TRUE),0,(E1517-E1516)*unitsOfDHp+I1516)</f>
        <v>-3920</v>
      </c>
      <c r="J1517">
        <f>IF(AND(MyRowHidden(ROW())=FALSE,MyRowHidden(ROW()-1)=TRUE),0,(G1517-G1516)*unitsOfExo+J1516)</f>
        <v>50000</v>
      </c>
      <c r="K1517" s="9">
        <f t="shared" si="74"/>
        <v>50000</v>
      </c>
      <c r="L1517">
        <f t="shared" si="75"/>
        <v>46080</v>
      </c>
    </row>
    <row r="1518" spans="4:12" x14ac:dyDescent="0.25">
      <c r="D1518" s="1"/>
      <c r="E1518">
        <v>-5392</v>
      </c>
      <c r="F1518" s="1"/>
      <c r="H1518" s="1">
        <f t="shared" si="73"/>
        <v>0</v>
      </c>
      <c r="I1518">
        <f>IF(AND(MyRowHidden(ROW())=FALSE,MyRowHidden(ROW()-1)=TRUE),0,(E1518-E1517)*unitsOfDHp+I1517)</f>
        <v>-3920</v>
      </c>
      <c r="J1518">
        <f>IF(AND(MyRowHidden(ROW())=FALSE,MyRowHidden(ROW()-1)=TRUE),0,(G1518-G1517)*unitsOfExo+J1517)</f>
        <v>50000</v>
      </c>
      <c r="K1518" s="9">
        <f t="shared" si="74"/>
        <v>50000</v>
      </c>
      <c r="L1518">
        <f t="shared" si="75"/>
        <v>46080</v>
      </c>
    </row>
    <row r="1519" spans="4:12" x14ac:dyDescent="0.25">
      <c r="D1519" s="1"/>
      <c r="E1519">
        <v>-5392</v>
      </c>
      <c r="F1519" s="1"/>
      <c r="H1519" s="1">
        <f t="shared" si="73"/>
        <v>0</v>
      </c>
      <c r="I1519">
        <f>IF(AND(MyRowHidden(ROW())=FALSE,MyRowHidden(ROW()-1)=TRUE),0,(E1519-E1518)*unitsOfDHp+I1518)</f>
        <v>-3920</v>
      </c>
      <c r="J1519">
        <f>IF(AND(MyRowHidden(ROW())=FALSE,MyRowHidden(ROW()-1)=TRUE),0,(G1519-G1518)*unitsOfExo+J1518)</f>
        <v>50000</v>
      </c>
      <c r="K1519" s="9">
        <f t="shared" si="74"/>
        <v>50000</v>
      </c>
      <c r="L1519">
        <f t="shared" si="75"/>
        <v>46080</v>
      </c>
    </row>
    <row r="1520" spans="4:12" x14ac:dyDescent="0.25">
      <c r="D1520" s="1"/>
      <c r="E1520">
        <v>-5392</v>
      </c>
      <c r="F1520" s="1"/>
      <c r="H1520" s="1">
        <f t="shared" si="73"/>
        <v>0</v>
      </c>
      <c r="I1520">
        <f>IF(AND(MyRowHidden(ROW())=FALSE,MyRowHidden(ROW()-1)=TRUE),0,(E1520-E1519)*unitsOfDHp+I1519)</f>
        <v>-3920</v>
      </c>
      <c r="J1520">
        <f>IF(AND(MyRowHidden(ROW())=FALSE,MyRowHidden(ROW()-1)=TRUE),0,(G1520-G1519)*unitsOfExo+J1519)</f>
        <v>50000</v>
      </c>
      <c r="K1520" s="9">
        <f t="shared" si="74"/>
        <v>50000</v>
      </c>
      <c r="L1520">
        <f t="shared" si="75"/>
        <v>46080</v>
      </c>
    </row>
    <row r="1521" spans="4:12" x14ac:dyDescent="0.25">
      <c r="D1521" s="1"/>
      <c r="E1521">
        <v>-5392</v>
      </c>
      <c r="F1521" s="1"/>
      <c r="H1521" s="1">
        <f t="shared" si="73"/>
        <v>0</v>
      </c>
      <c r="I1521">
        <f>IF(AND(MyRowHidden(ROW())=FALSE,MyRowHidden(ROW()-1)=TRUE),0,(E1521-E1520)*unitsOfDHp+I1520)</f>
        <v>-3920</v>
      </c>
      <c r="J1521">
        <f>IF(AND(MyRowHidden(ROW())=FALSE,MyRowHidden(ROW()-1)=TRUE),0,(G1521-G1520)*unitsOfExo+J1520)</f>
        <v>50000</v>
      </c>
      <c r="K1521" s="9">
        <f t="shared" si="74"/>
        <v>50000</v>
      </c>
      <c r="L1521">
        <f t="shared" si="75"/>
        <v>46080</v>
      </c>
    </row>
    <row r="1522" spans="4:12" x14ac:dyDescent="0.25">
      <c r="D1522" s="1"/>
      <c r="E1522">
        <v>-5392</v>
      </c>
      <c r="F1522" s="1"/>
      <c r="H1522" s="1">
        <f t="shared" si="73"/>
        <v>0</v>
      </c>
      <c r="I1522">
        <f>IF(AND(MyRowHidden(ROW())=FALSE,MyRowHidden(ROW()-1)=TRUE),0,(E1522-E1521)*unitsOfDHp+I1521)</f>
        <v>-3920</v>
      </c>
      <c r="J1522">
        <f>IF(AND(MyRowHidden(ROW())=FALSE,MyRowHidden(ROW()-1)=TRUE),0,(G1522-G1521)*unitsOfExo+J1521)</f>
        <v>50000</v>
      </c>
      <c r="K1522" s="9">
        <f t="shared" si="74"/>
        <v>50000</v>
      </c>
      <c r="L1522">
        <f t="shared" si="75"/>
        <v>46080</v>
      </c>
    </row>
    <row r="1523" spans="4:12" x14ac:dyDescent="0.25">
      <c r="D1523" s="1"/>
      <c r="E1523">
        <v>-5392</v>
      </c>
      <c r="F1523" s="1"/>
      <c r="H1523" s="1">
        <f t="shared" si="73"/>
        <v>0</v>
      </c>
      <c r="I1523">
        <f>IF(AND(MyRowHidden(ROW())=FALSE,MyRowHidden(ROW()-1)=TRUE),0,(E1523-E1522)*unitsOfDHp+I1522)</f>
        <v>-3920</v>
      </c>
      <c r="J1523">
        <f>IF(AND(MyRowHidden(ROW())=FALSE,MyRowHidden(ROW()-1)=TRUE),0,(G1523-G1522)*unitsOfExo+J1522)</f>
        <v>50000</v>
      </c>
      <c r="K1523" s="9">
        <f t="shared" si="74"/>
        <v>50000</v>
      </c>
      <c r="L1523">
        <f t="shared" si="75"/>
        <v>46080</v>
      </c>
    </row>
    <row r="1524" spans="4:12" x14ac:dyDescent="0.25">
      <c r="D1524" s="1"/>
      <c r="E1524">
        <v>-5392</v>
      </c>
      <c r="F1524" s="1"/>
      <c r="H1524" s="1">
        <f t="shared" si="73"/>
        <v>0</v>
      </c>
      <c r="I1524">
        <f>IF(AND(MyRowHidden(ROW())=FALSE,MyRowHidden(ROW()-1)=TRUE),0,(E1524-E1523)*unitsOfDHp+I1523)</f>
        <v>-3920</v>
      </c>
      <c r="J1524">
        <f>IF(AND(MyRowHidden(ROW())=FALSE,MyRowHidden(ROW()-1)=TRUE),0,(G1524-G1523)*unitsOfExo+J1523)</f>
        <v>50000</v>
      </c>
      <c r="K1524" s="9">
        <f t="shared" si="74"/>
        <v>50000</v>
      </c>
      <c r="L1524">
        <f t="shared" si="75"/>
        <v>46080</v>
      </c>
    </row>
    <row r="1525" spans="4:12" x14ac:dyDescent="0.25">
      <c r="D1525" s="1"/>
      <c r="E1525">
        <v>-5392</v>
      </c>
      <c r="F1525" s="1"/>
      <c r="H1525" s="1">
        <f t="shared" si="73"/>
        <v>0</v>
      </c>
      <c r="I1525">
        <f>IF(AND(MyRowHidden(ROW())=FALSE,MyRowHidden(ROW()-1)=TRUE),0,(E1525-E1524)*unitsOfDHp+I1524)</f>
        <v>-3920</v>
      </c>
      <c r="J1525">
        <f>IF(AND(MyRowHidden(ROW())=FALSE,MyRowHidden(ROW()-1)=TRUE),0,(G1525-G1524)*unitsOfExo+J1524)</f>
        <v>50000</v>
      </c>
      <c r="K1525" s="9">
        <f t="shared" si="74"/>
        <v>50000</v>
      </c>
      <c r="L1525">
        <f t="shared" si="75"/>
        <v>46080</v>
      </c>
    </row>
    <row r="1526" spans="4:12" x14ac:dyDescent="0.25">
      <c r="D1526" s="1"/>
      <c r="E1526">
        <v>-5392</v>
      </c>
      <c r="F1526" s="1"/>
      <c r="H1526" s="1">
        <f t="shared" si="73"/>
        <v>0</v>
      </c>
      <c r="I1526">
        <f>IF(AND(MyRowHidden(ROW())=FALSE,MyRowHidden(ROW()-1)=TRUE),0,(E1526-E1525)*unitsOfDHp+I1525)</f>
        <v>-3920</v>
      </c>
      <c r="J1526">
        <f>IF(AND(MyRowHidden(ROW())=FALSE,MyRowHidden(ROW()-1)=TRUE),0,(G1526-G1525)*unitsOfExo+J1525)</f>
        <v>50000</v>
      </c>
      <c r="K1526" s="9">
        <f t="shared" si="74"/>
        <v>50000</v>
      </c>
      <c r="L1526">
        <f t="shared" si="75"/>
        <v>46080</v>
      </c>
    </row>
    <row r="1527" spans="4:12" x14ac:dyDescent="0.25">
      <c r="D1527" s="1"/>
      <c r="E1527">
        <v>-5392</v>
      </c>
      <c r="F1527" s="1"/>
      <c r="H1527" s="1">
        <f t="shared" si="73"/>
        <v>0</v>
      </c>
      <c r="I1527">
        <f>IF(AND(MyRowHidden(ROW())=FALSE,MyRowHidden(ROW()-1)=TRUE),0,(E1527-E1526)*unitsOfDHp+I1526)</f>
        <v>-3920</v>
      </c>
      <c r="J1527">
        <f>IF(AND(MyRowHidden(ROW())=FALSE,MyRowHidden(ROW()-1)=TRUE),0,(G1527-G1526)*unitsOfExo+J1526)</f>
        <v>50000</v>
      </c>
      <c r="K1527" s="9">
        <f t="shared" si="74"/>
        <v>50000</v>
      </c>
      <c r="L1527">
        <f t="shared" si="75"/>
        <v>46080</v>
      </c>
    </row>
    <row r="1528" spans="4:12" x14ac:dyDescent="0.25">
      <c r="D1528" s="1"/>
      <c r="E1528">
        <v>-5392</v>
      </c>
      <c r="F1528" s="1"/>
      <c r="H1528" s="1">
        <f t="shared" si="73"/>
        <v>0</v>
      </c>
      <c r="I1528">
        <f>IF(AND(MyRowHidden(ROW())=FALSE,MyRowHidden(ROW()-1)=TRUE),0,(E1528-E1527)*unitsOfDHp+I1527)</f>
        <v>-3920</v>
      </c>
      <c r="J1528">
        <f>IF(AND(MyRowHidden(ROW())=FALSE,MyRowHidden(ROW()-1)=TRUE),0,(G1528-G1527)*unitsOfExo+J1527)</f>
        <v>50000</v>
      </c>
      <c r="K1528" s="9">
        <f t="shared" si="74"/>
        <v>50000</v>
      </c>
      <c r="L1528">
        <f t="shared" si="75"/>
        <v>46080</v>
      </c>
    </row>
    <row r="1529" spans="4:12" x14ac:dyDescent="0.25">
      <c r="D1529" s="1"/>
      <c r="E1529">
        <v>-5392</v>
      </c>
      <c r="F1529" s="1"/>
      <c r="H1529" s="1">
        <f t="shared" si="73"/>
        <v>0</v>
      </c>
      <c r="I1529">
        <f>IF(AND(MyRowHidden(ROW())=FALSE,MyRowHidden(ROW()-1)=TRUE),0,(E1529-E1528)*unitsOfDHp+I1528)</f>
        <v>-3920</v>
      </c>
      <c r="J1529">
        <f>IF(AND(MyRowHidden(ROW())=FALSE,MyRowHidden(ROW()-1)=TRUE),0,(G1529-G1528)*unitsOfExo+J1528)</f>
        <v>50000</v>
      </c>
      <c r="K1529" s="9">
        <f t="shared" si="74"/>
        <v>50000</v>
      </c>
      <c r="L1529">
        <f t="shared" si="75"/>
        <v>46080</v>
      </c>
    </row>
    <row r="1530" spans="4:12" x14ac:dyDescent="0.25">
      <c r="D1530" s="1"/>
      <c r="E1530">
        <v>-5392</v>
      </c>
      <c r="F1530" s="1"/>
      <c r="H1530" s="1">
        <f t="shared" si="73"/>
        <v>0</v>
      </c>
      <c r="I1530">
        <f>IF(AND(MyRowHidden(ROW())=FALSE,MyRowHidden(ROW()-1)=TRUE),0,(E1530-E1529)*unitsOfDHp+I1529)</f>
        <v>-3920</v>
      </c>
      <c r="J1530">
        <f>IF(AND(MyRowHidden(ROW())=FALSE,MyRowHidden(ROW()-1)=TRUE),0,(G1530-G1529)*unitsOfExo+J1529)</f>
        <v>50000</v>
      </c>
      <c r="K1530" s="9">
        <f t="shared" si="74"/>
        <v>50000</v>
      </c>
      <c r="L1530">
        <f t="shared" si="75"/>
        <v>46080</v>
      </c>
    </row>
    <row r="1531" spans="4:12" x14ac:dyDescent="0.25">
      <c r="D1531" s="1"/>
      <c r="E1531">
        <v>-5392</v>
      </c>
      <c r="F1531" s="1"/>
      <c r="H1531" s="1">
        <f t="shared" si="73"/>
        <v>0</v>
      </c>
      <c r="I1531">
        <f>IF(AND(MyRowHidden(ROW())=FALSE,MyRowHidden(ROW()-1)=TRUE),0,(E1531-E1530)*unitsOfDHp+I1530)</f>
        <v>-3920</v>
      </c>
      <c r="J1531">
        <f>IF(AND(MyRowHidden(ROW())=FALSE,MyRowHidden(ROW()-1)=TRUE),0,(G1531-G1530)*unitsOfExo+J1530)</f>
        <v>50000</v>
      </c>
      <c r="K1531" s="9">
        <f t="shared" si="74"/>
        <v>50000</v>
      </c>
      <c r="L1531">
        <f t="shared" si="75"/>
        <v>46080</v>
      </c>
    </row>
    <row r="1532" spans="4:12" x14ac:dyDescent="0.25">
      <c r="D1532" s="1"/>
      <c r="E1532">
        <v>-5392</v>
      </c>
      <c r="F1532" s="1"/>
      <c r="H1532" s="1">
        <f t="shared" si="73"/>
        <v>0</v>
      </c>
      <c r="I1532">
        <f>IF(AND(MyRowHidden(ROW())=FALSE,MyRowHidden(ROW()-1)=TRUE),0,(E1532-E1531)*unitsOfDHp+I1531)</f>
        <v>-3920</v>
      </c>
      <c r="J1532">
        <f>IF(AND(MyRowHidden(ROW())=FALSE,MyRowHidden(ROW()-1)=TRUE),0,(G1532-G1531)*unitsOfExo+J1531)</f>
        <v>50000</v>
      </c>
      <c r="K1532" s="9">
        <f t="shared" si="74"/>
        <v>50000</v>
      </c>
      <c r="L1532">
        <f t="shared" si="75"/>
        <v>46080</v>
      </c>
    </row>
    <row r="1533" spans="4:12" x14ac:dyDescent="0.25">
      <c r="D1533" s="1"/>
      <c r="E1533">
        <v>-5392</v>
      </c>
      <c r="F1533" s="1"/>
      <c r="H1533" s="1">
        <f t="shared" si="73"/>
        <v>0</v>
      </c>
      <c r="I1533">
        <f>IF(AND(MyRowHidden(ROW())=FALSE,MyRowHidden(ROW()-1)=TRUE),0,(E1533-E1532)*unitsOfDHp+I1532)</f>
        <v>-3920</v>
      </c>
      <c r="J1533">
        <f>IF(AND(MyRowHidden(ROW())=FALSE,MyRowHidden(ROW()-1)=TRUE),0,(G1533-G1532)*unitsOfExo+J1532)</f>
        <v>50000</v>
      </c>
      <c r="K1533" s="9">
        <f t="shared" si="74"/>
        <v>50000</v>
      </c>
      <c r="L1533">
        <f t="shared" si="75"/>
        <v>46080</v>
      </c>
    </row>
    <row r="1534" spans="4:12" x14ac:dyDescent="0.25">
      <c r="D1534" s="1"/>
      <c r="E1534">
        <v>-5392</v>
      </c>
      <c r="F1534" s="1"/>
      <c r="H1534" s="1">
        <f t="shared" si="73"/>
        <v>0</v>
      </c>
      <c r="I1534">
        <f>IF(AND(MyRowHidden(ROW())=FALSE,MyRowHidden(ROW()-1)=TRUE),0,(E1534-E1533)*unitsOfDHp+I1533)</f>
        <v>-3920</v>
      </c>
      <c r="J1534">
        <f>IF(AND(MyRowHidden(ROW())=FALSE,MyRowHidden(ROW()-1)=TRUE),0,(G1534-G1533)*unitsOfExo+J1533)</f>
        <v>50000</v>
      </c>
      <c r="K1534" s="9">
        <f t="shared" si="74"/>
        <v>50000</v>
      </c>
      <c r="L1534">
        <f t="shared" si="75"/>
        <v>46080</v>
      </c>
    </row>
    <row r="1535" spans="4:12" x14ac:dyDescent="0.25">
      <c r="D1535" s="1"/>
      <c r="E1535">
        <v>-5392</v>
      </c>
      <c r="F1535" s="1"/>
      <c r="H1535" s="1">
        <f t="shared" si="73"/>
        <v>0</v>
      </c>
      <c r="I1535">
        <f>IF(AND(MyRowHidden(ROW())=FALSE,MyRowHidden(ROW()-1)=TRUE),0,(E1535-E1534)*unitsOfDHp+I1534)</f>
        <v>-3920</v>
      </c>
      <c r="J1535">
        <f>IF(AND(MyRowHidden(ROW())=FALSE,MyRowHidden(ROW()-1)=TRUE),0,(G1535-G1534)*unitsOfExo+J1534)</f>
        <v>50000</v>
      </c>
      <c r="K1535" s="9">
        <f t="shared" si="74"/>
        <v>50000</v>
      </c>
      <c r="L1535">
        <f t="shared" si="75"/>
        <v>46080</v>
      </c>
    </row>
    <row r="1536" spans="4:12" x14ac:dyDescent="0.25">
      <c r="D1536" s="1"/>
      <c r="E1536">
        <v>-5392</v>
      </c>
      <c r="F1536" s="1"/>
      <c r="H1536" s="1">
        <f t="shared" si="73"/>
        <v>0</v>
      </c>
      <c r="I1536">
        <f>IF(AND(MyRowHidden(ROW())=FALSE,MyRowHidden(ROW()-1)=TRUE),0,(E1536-E1535)*unitsOfDHp+I1535)</f>
        <v>-3920</v>
      </c>
      <c r="J1536">
        <f>IF(AND(MyRowHidden(ROW())=FALSE,MyRowHidden(ROW()-1)=TRUE),0,(G1536-G1535)*unitsOfExo+J1535)</f>
        <v>50000</v>
      </c>
      <c r="K1536" s="9">
        <f t="shared" si="74"/>
        <v>50000</v>
      </c>
      <c r="L1536">
        <f t="shared" si="75"/>
        <v>46080</v>
      </c>
    </row>
    <row r="1537" spans="4:12" x14ac:dyDescent="0.25">
      <c r="D1537" s="1"/>
      <c r="E1537">
        <v>-5392</v>
      </c>
      <c r="F1537" s="1"/>
      <c r="H1537" s="1">
        <f t="shared" si="73"/>
        <v>0</v>
      </c>
      <c r="I1537">
        <f>IF(AND(MyRowHidden(ROW())=FALSE,MyRowHidden(ROW()-1)=TRUE),0,(E1537-E1536)*unitsOfDHp+I1536)</f>
        <v>-3920</v>
      </c>
      <c r="J1537">
        <f>IF(AND(MyRowHidden(ROW())=FALSE,MyRowHidden(ROW()-1)=TRUE),0,(G1537-G1536)*unitsOfExo+J1536)</f>
        <v>50000</v>
      </c>
      <c r="K1537" s="9">
        <f t="shared" si="74"/>
        <v>50000</v>
      </c>
      <c r="L1537">
        <f t="shared" si="75"/>
        <v>46080</v>
      </c>
    </row>
    <row r="1538" spans="4:12" x14ac:dyDescent="0.25">
      <c r="D1538" s="1"/>
      <c r="E1538">
        <v>-5392</v>
      </c>
      <c r="F1538" s="1"/>
      <c r="H1538" s="1">
        <f t="shared" si="73"/>
        <v>0</v>
      </c>
      <c r="I1538">
        <f>IF(AND(MyRowHidden(ROW())=FALSE,MyRowHidden(ROW()-1)=TRUE),0,(E1538-E1537)*unitsOfDHp+I1537)</f>
        <v>-3920</v>
      </c>
      <c r="J1538">
        <f>IF(AND(MyRowHidden(ROW())=FALSE,MyRowHidden(ROW()-1)=TRUE),0,(G1538-G1537)*unitsOfExo+J1537)</f>
        <v>50000</v>
      </c>
      <c r="K1538" s="9">
        <f t="shared" si="74"/>
        <v>50000</v>
      </c>
      <c r="L1538">
        <f t="shared" si="75"/>
        <v>46080</v>
      </c>
    </row>
    <row r="1539" spans="4:12" x14ac:dyDescent="0.25">
      <c r="D1539" s="1"/>
      <c r="E1539">
        <v>-5392</v>
      </c>
      <c r="F1539" s="1"/>
      <c r="H1539" s="1">
        <f t="shared" si="73"/>
        <v>0</v>
      </c>
      <c r="I1539">
        <f>IF(AND(MyRowHidden(ROW())=FALSE,MyRowHidden(ROW()-1)=TRUE),0,(E1539-E1538)*unitsOfDHp+I1538)</f>
        <v>-3920</v>
      </c>
      <c r="J1539">
        <f>IF(AND(MyRowHidden(ROW())=FALSE,MyRowHidden(ROW()-1)=TRUE),0,(G1539-G1538)*unitsOfExo+J1538)</f>
        <v>50000</v>
      </c>
      <c r="K1539" s="9">
        <f t="shared" si="74"/>
        <v>50000</v>
      </c>
      <c r="L1539">
        <f t="shared" si="75"/>
        <v>46080</v>
      </c>
    </row>
    <row r="1540" spans="4:12" x14ac:dyDescent="0.25">
      <c r="D1540" s="1"/>
      <c r="E1540">
        <v>-5392</v>
      </c>
      <c r="F1540" s="1"/>
      <c r="H1540" s="1">
        <f t="shared" si="73"/>
        <v>0</v>
      </c>
      <c r="I1540">
        <f>IF(AND(MyRowHidden(ROW())=FALSE,MyRowHidden(ROW()-1)=TRUE),0,(E1540-E1539)*unitsOfDHp+I1539)</f>
        <v>-3920</v>
      </c>
      <c r="J1540">
        <f>IF(AND(MyRowHidden(ROW())=FALSE,MyRowHidden(ROW()-1)=TRUE),0,(G1540-G1539)*unitsOfExo+J1539)</f>
        <v>50000</v>
      </c>
      <c r="K1540" s="9">
        <f t="shared" si="74"/>
        <v>50000</v>
      </c>
      <c r="L1540">
        <f t="shared" si="75"/>
        <v>46080</v>
      </c>
    </row>
    <row r="1541" spans="4:12" x14ac:dyDescent="0.25">
      <c r="D1541" s="1"/>
      <c r="E1541">
        <v>-5392</v>
      </c>
      <c r="F1541" s="1"/>
      <c r="H1541" s="1">
        <f t="shared" si="73"/>
        <v>0</v>
      </c>
      <c r="I1541">
        <f>IF(AND(MyRowHidden(ROW())=FALSE,MyRowHidden(ROW()-1)=TRUE),0,(E1541-E1540)*unitsOfDHp+I1540)</f>
        <v>-3920</v>
      </c>
      <c r="J1541">
        <f>IF(AND(MyRowHidden(ROW())=FALSE,MyRowHidden(ROW()-1)=TRUE),0,(G1541-G1540)*unitsOfExo+J1540)</f>
        <v>50000</v>
      </c>
      <c r="K1541" s="9">
        <f t="shared" si="74"/>
        <v>50000</v>
      </c>
      <c r="L1541">
        <f t="shared" si="75"/>
        <v>46080</v>
      </c>
    </row>
    <row r="1542" spans="4:12" x14ac:dyDescent="0.25">
      <c r="D1542" s="1"/>
      <c r="E1542">
        <v>-5392</v>
      </c>
      <c r="F1542" s="1"/>
      <c r="H1542" s="1">
        <f t="shared" si="73"/>
        <v>0</v>
      </c>
      <c r="I1542">
        <f>IF(AND(MyRowHidden(ROW())=FALSE,MyRowHidden(ROW()-1)=TRUE),0,(E1542-E1541)*unitsOfDHp+I1541)</f>
        <v>-3920</v>
      </c>
      <c r="J1542">
        <f>IF(AND(MyRowHidden(ROW())=FALSE,MyRowHidden(ROW()-1)=TRUE),0,(G1542-G1541)*unitsOfExo+J1541)</f>
        <v>50000</v>
      </c>
      <c r="K1542" s="9">
        <f t="shared" si="74"/>
        <v>50000</v>
      </c>
      <c r="L1542">
        <f t="shared" si="75"/>
        <v>46080</v>
      </c>
    </row>
    <row r="1543" spans="4:12" x14ac:dyDescent="0.25">
      <c r="D1543" s="1"/>
      <c r="E1543">
        <v>-5392</v>
      </c>
      <c r="F1543" s="1"/>
      <c r="H1543" s="1">
        <f t="shared" si="73"/>
        <v>0</v>
      </c>
      <c r="I1543">
        <f>IF(AND(MyRowHidden(ROW())=FALSE,MyRowHidden(ROW()-1)=TRUE),0,(E1543-E1542)*unitsOfDHp+I1542)</f>
        <v>-3920</v>
      </c>
      <c r="J1543">
        <f>IF(AND(MyRowHidden(ROW())=FALSE,MyRowHidden(ROW()-1)=TRUE),0,(G1543-G1542)*unitsOfExo+J1542)</f>
        <v>50000</v>
      </c>
      <c r="K1543" s="9">
        <f t="shared" si="74"/>
        <v>50000</v>
      </c>
      <c r="L1543">
        <f t="shared" si="75"/>
        <v>46080</v>
      </c>
    </row>
    <row r="1544" spans="4:12" x14ac:dyDescent="0.25">
      <c r="D1544" s="1"/>
      <c r="E1544">
        <v>-5392</v>
      </c>
      <c r="F1544" s="1"/>
      <c r="H1544" s="1">
        <f t="shared" si="73"/>
        <v>0</v>
      </c>
      <c r="I1544">
        <f>IF(AND(MyRowHidden(ROW())=FALSE,MyRowHidden(ROW()-1)=TRUE),0,(E1544-E1543)*unitsOfDHp+I1543)</f>
        <v>-3920</v>
      </c>
      <c r="J1544">
        <f>IF(AND(MyRowHidden(ROW())=FALSE,MyRowHidden(ROW()-1)=TRUE),0,(G1544-G1543)*unitsOfExo+J1543)</f>
        <v>50000</v>
      </c>
      <c r="K1544" s="9">
        <f t="shared" si="74"/>
        <v>50000</v>
      </c>
      <c r="L1544">
        <f t="shared" si="75"/>
        <v>46080</v>
      </c>
    </row>
    <row r="1545" spans="4:12" x14ac:dyDescent="0.25">
      <c r="D1545" s="1"/>
      <c r="E1545">
        <v>-5392</v>
      </c>
      <c r="F1545" s="1"/>
      <c r="H1545" s="1">
        <f t="shared" si="73"/>
        <v>0</v>
      </c>
      <c r="I1545">
        <f>IF(AND(MyRowHidden(ROW())=FALSE,MyRowHidden(ROW()-1)=TRUE),0,(E1545-E1544)*unitsOfDHp+I1544)</f>
        <v>-3920</v>
      </c>
      <c r="J1545">
        <f>IF(AND(MyRowHidden(ROW())=FALSE,MyRowHidden(ROW()-1)=TRUE),0,(G1545-G1544)*unitsOfExo+J1544)</f>
        <v>50000</v>
      </c>
      <c r="K1545" s="9">
        <f t="shared" si="74"/>
        <v>50000</v>
      </c>
      <c r="L1545">
        <f t="shared" si="75"/>
        <v>46080</v>
      </c>
    </row>
    <row r="1546" spans="4:12" x14ac:dyDescent="0.25">
      <c r="D1546" s="1"/>
      <c r="E1546">
        <v>-5392</v>
      </c>
      <c r="F1546" s="1"/>
      <c r="H1546" s="1">
        <f t="shared" si="73"/>
        <v>0</v>
      </c>
      <c r="I1546">
        <f>IF(AND(MyRowHidden(ROW())=FALSE,MyRowHidden(ROW()-1)=TRUE),0,(E1546-E1545)*unitsOfDHp+I1545)</f>
        <v>-3920</v>
      </c>
      <c r="J1546">
        <f>IF(AND(MyRowHidden(ROW())=FALSE,MyRowHidden(ROW()-1)=TRUE),0,(G1546-G1545)*unitsOfExo+J1545)</f>
        <v>50000</v>
      </c>
      <c r="K1546" s="9">
        <f t="shared" si="74"/>
        <v>50000</v>
      </c>
      <c r="L1546">
        <f t="shared" si="75"/>
        <v>46080</v>
      </c>
    </row>
    <row r="1547" spans="4:12" x14ac:dyDescent="0.25">
      <c r="D1547" s="1"/>
      <c r="E1547">
        <v>-5392</v>
      </c>
      <c r="F1547" s="1"/>
      <c r="H1547" s="1">
        <f t="shared" si="73"/>
        <v>0</v>
      </c>
      <c r="I1547">
        <f>IF(AND(MyRowHidden(ROW())=FALSE,MyRowHidden(ROW()-1)=TRUE),0,(E1547-E1546)*unitsOfDHp+I1546)</f>
        <v>-3920</v>
      </c>
      <c r="J1547">
        <f>IF(AND(MyRowHidden(ROW())=FALSE,MyRowHidden(ROW()-1)=TRUE),0,(G1547-G1546)*unitsOfExo+J1546)</f>
        <v>50000</v>
      </c>
      <c r="K1547" s="9">
        <f t="shared" si="74"/>
        <v>50000</v>
      </c>
      <c r="L1547">
        <f t="shared" si="75"/>
        <v>46080</v>
      </c>
    </row>
    <row r="1548" spans="4:12" x14ac:dyDescent="0.25">
      <c r="D1548" s="1"/>
      <c r="E1548">
        <v>-5392</v>
      </c>
      <c r="F1548" s="1"/>
      <c r="H1548" s="1">
        <f t="shared" si="73"/>
        <v>0</v>
      </c>
      <c r="I1548">
        <f>IF(AND(MyRowHidden(ROW())=FALSE,MyRowHidden(ROW()-1)=TRUE),0,(E1548-E1547)*unitsOfDHp+I1547)</f>
        <v>-3920</v>
      </c>
      <c r="J1548">
        <f>IF(AND(MyRowHidden(ROW())=FALSE,MyRowHidden(ROW()-1)=TRUE),0,(G1548-G1547)*unitsOfExo+J1547)</f>
        <v>50000</v>
      </c>
      <c r="K1548" s="9">
        <f t="shared" si="74"/>
        <v>50000</v>
      </c>
      <c r="L1548">
        <f t="shared" si="75"/>
        <v>46080</v>
      </c>
    </row>
    <row r="1549" spans="4:12" x14ac:dyDescent="0.25">
      <c r="D1549" s="1"/>
      <c r="E1549">
        <v>-5392</v>
      </c>
      <c r="F1549" s="1"/>
      <c r="H1549" s="1">
        <f t="shared" ref="H1549:H1612" si="76">D1549</f>
        <v>0</v>
      </c>
      <c r="I1549">
        <f>IF(AND(MyRowHidden(ROW())=FALSE,MyRowHidden(ROW()-1)=TRUE),0,(E1549-E1548)*unitsOfDHp+I1548)</f>
        <v>-3920</v>
      </c>
      <c r="J1549">
        <f>IF(AND(MyRowHidden(ROW())=FALSE,MyRowHidden(ROW()-1)=TRUE),0,(G1549-G1548)*unitsOfExo+J1548)</f>
        <v>50000</v>
      </c>
      <c r="K1549" s="9">
        <f t="shared" ref="K1549:K1612" si="77">-(J1549-J1548)+K1548</f>
        <v>50000</v>
      </c>
      <c r="L1549">
        <f t="shared" ref="L1549:L1612" si="78">I1549+J1549</f>
        <v>46080</v>
      </c>
    </row>
    <row r="1550" spans="4:12" x14ac:dyDescent="0.25">
      <c r="D1550" s="1"/>
      <c r="E1550">
        <v>-5392</v>
      </c>
      <c r="F1550" s="1"/>
      <c r="H1550" s="1">
        <f t="shared" si="76"/>
        <v>0</v>
      </c>
      <c r="I1550">
        <f>IF(AND(MyRowHidden(ROW())=FALSE,MyRowHidden(ROW()-1)=TRUE),0,(E1550-E1549)*unitsOfDHp+I1549)</f>
        <v>-3920</v>
      </c>
      <c r="J1550">
        <f>IF(AND(MyRowHidden(ROW())=FALSE,MyRowHidden(ROW()-1)=TRUE),0,(G1550-G1549)*unitsOfExo+J1549)</f>
        <v>50000</v>
      </c>
      <c r="K1550" s="9">
        <f t="shared" si="77"/>
        <v>50000</v>
      </c>
      <c r="L1550">
        <f t="shared" si="78"/>
        <v>46080</v>
      </c>
    </row>
    <row r="1551" spans="4:12" x14ac:dyDescent="0.25">
      <c r="D1551" s="1"/>
      <c r="E1551">
        <v>-5392</v>
      </c>
      <c r="F1551" s="1"/>
      <c r="H1551" s="1">
        <f t="shared" si="76"/>
        <v>0</v>
      </c>
      <c r="I1551">
        <f>IF(AND(MyRowHidden(ROW())=FALSE,MyRowHidden(ROW()-1)=TRUE),0,(E1551-E1550)*unitsOfDHp+I1550)</f>
        <v>-3920</v>
      </c>
      <c r="J1551">
        <f>IF(AND(MyRowHidden(ROW())=FALSE,MyRowHidden(ROW()-1)=TRUE),0,(G1551-G1550)*unitsOfExo+J1550)</f>
        <v>50000</v>
      </c>
      <c r="K1551" s="9">
        <f t="shared" si="77"/>
        <v>50000</v>
      </c>
      <c r="L1551">
        <f t="shared" si="78"/>
        <v>46080</v>
      </c>
    </row>
    <row r="1552" spans="4:12" x14ac:dyDescent="0.25">
      <c r="D1552" s="1"/>
      <c r="E1552">
        <v>-5392</v>
      </c>
      <c r="F1552" s="1"/>
      <c r="H1552" s="1">
        <f t="shared" si="76"/>
        <v>0</v>
      </c>
      <c r="I1552">
        <f>IF(AND(MyRowHidden(ROW())=FALSE,MyRowHidden(ROW()-1)=TRUE),0,(E1552-E1551)*unitsOfDHp+I1551)</f>
        <v>-3920</v>
      </c>
      <c r="J1552">
        <f>IF(AND(MyRowHidden(ROW())=FALSE,MyRowHidden(ROW()-1)=TRUE),0,(G1552-G1551)*unitsOfExo+J1551)</f>
        <v>50000</v>
      </c>
      <c r="K1552" s="9">
        <f t="shared" si="77"/>
        <v>50000</v>
      </c>
      <c r="L1552">
        <f t="shared" si="78"/>
        <v>46080</v>
      </c>
    </row>
    <row r="1553" spans="4:12" x14ac:dyDescent="0.25">
      <c r="D1553" s="1"/>
      <c r="E1553">
        <v>-5392</v>
      </c>
      <c r="F1553" s="1"/>
      <c r="H1553" s="1">
        <f t="shared" si="76"/>
        <v>0</v>
      </c>
      <c r="I1553">
        <f>IF(AND(MyRowHidden(ROW())=FALSE,MyRowHidden(ROW()-1)=TRUE),0,(E1553-E1552)*unitsOfDHp+I1552)</f>
        <v>-3920</v>
      </c>
      <c r="J1553">
        <f>IF(AND(MyRowHidden(ROW())=FALSE,MyRowHidden(ROW()-1)=TRUE),0,(G1553-G1552)*unitsOfExo+J1552)</f>
        <v>50000</v>
      </c>
      <c r="K1553" s="9">
        <f t="shared" si="77"/>
        <v>50000</v>
      </c>
      <c r="L1553">
        <f t="shared" si="78"/>
        <v>46080</v>
      </c>
    </row>
    <row r="1554" spans="4:12" x14ac:dyDescent="0.25">
      <c r="D1554" s="1"/>
      <c r="E1554">
        <v>-5392</v>
      </c>
      <c r="F1554" s="1"/>
      <c r="H1554" s="1">
        <f t="shared" si="76"/>
        <v>0</v>
      </c>
      <c r="I1554">
        <f>IF(AND(MyRowHidden(ROW())=FALSE,MyRowHidden(ROW()-1)=TRUE),0,(E1554-E1553)*unitsOfDHp+I1553)</f>
        <v>-3920</v>
      </c>
      <c r="J1554">
        <f>IF(AND(MyRowHidden(ROW())=FALSE,MyRowHidden(ROW()-1)=TRUE),0,(G1554-G1553)*unitsOfExo+J1553)</f>
        <v>50000</v>
      </c>
      <c r="K1554" s="9">
        <f t="shared" si="77"/>
        <v>50000</v>
      </c>
      <c r="L1554">
        <f t="shared" si="78"/>
        <v>46080</v>
      </c>
    </row>
    <row r="1555" spans="4:12" x14ac:dyDescent="0.25">
      <c r="D1555" s="1"/>
      <c r="E1555">
        <v>-5392</v>
      </c>
      <c r="F1555" s="1"/>
      <c r="H1555" s="1">
        <f t="shared" si="76"/>
        <v>0</v>
      </c>
      <c r="I1555">
        <f>IF(AND(MyRowHidden(ROW())=FALSE,MyRowHidden(ROW()-1)=TRUE),0,(E1555-E1554)*unitsOfDHp+I1554)</f>
        <v>-3920</v>
      </c>
      <c r="J1555">
        <f>IF(AND(MyRowHidden(ROW())=FALSE,MyRowHidden(ROW()-1)=TRUE),0,(G1555-G1554)*unitsOfExo+J1554)</f>
        <v>50000</v>
      </c>
      <c r="K1555" s="9">
        <f t="shared" si="77"/>
        <v>50000</v>
      </c>
      <c r="L1555">
        <f t="shared" si="78"/>
        <v>46080</v>
      </c>
    </row>
    <row r="1556" spans="4:12" x14ac:dyDescent="0.25">
      <c r="D1556" s="1"/>
      <c r="E1556">
        <v>-5392</v>
      </c>
      <c r="F1556" s="1"/>
      <c r="H1556" s="1">
        <f t="shared" si="76"/>
        <v>0</v>
      </c>
      <c r="I1556">
        <f>IF(AND(MyRowHidden(ROW())=FALSE,MyRowHidden(ROW()-1)=TRUE),0,(E1556-E1555)*unitsOfDHp+I1555)</f>
        <v>-3920</v>
      </c>
      <c r="J1556">
        <f>IF(AND(MyRowHidden(ROW())=FALSE,MyRowHidden(ROW()-1)=TRUE),0,(G1556-G1555)*unitsOfExo+J1555)</f>
        <v>50000</v>
      </c>
      <c r="K1556" s="9">
        <f t="shared" si="77"/>
        <v>50000</v>
      </c>
      <c r="L1556">
        <f t="shared" si="78"/>
        <v>46080</v>
      </c>
    </row>
    <row r="1557" spans="4:12" x14ac:dyDescent="0.25">
      <c r="D1557" s="1"/>
      <c r="E1557">
        <v>-5392</v>
      </c>
      <c r="F1557" s="1"/>
      <c r="H1557" s="1">
        <f t="shared" si="76"/>
        <v>0</v>
      </c>
      <c r="I1557">
        <f>IF(AND(MyRowHidden(ROW())=FALSE,MyRowHidden(ROW()-1)=TRUE),0,(E1557-E1556)*unitsOfDHp+I1556)</f>
        <v>-3920</v>
      </c>
      <c r="J1557">
        <f>IF(AND(MyRowHidden(ROW())=FALSE,MyRowHidden(ROW()-1)=TRUE),0,(G1557-G1556)*unitsOfExo+J1556)</f>
        <v>50000</v>
      </c>
      <c r="K1557" s="9">
        <f t="shared" si="77"/>
        <v>50000</v>
      </c>
      <c r="L1557">
        <f t="shared" si="78"/>
        <v>46080</v>
      </c>
    </row>
    <row r="1558" spans="4:12" x14ac:dyDescent="0.25">
      <c r="D1558" s="1"/>
      <c r="E1558">
        <v>-5392</v>
      </c>
      <c r="F1558" s="1"/>
      <c r="H1558" s="1">
        <f t="shared" si="76"/>
        <v>0</v>
      </c>
      <c r="I1558">
        <f>IF(AND(MyRowHidden(ROW())=FALSE,MyRowHidden(ROW()-1)=TRUE),0,(E1558-E1557)*unitsOfDHp+I1557)</f>
        <v>-3920</v>
      </c>
      <c r="J1558">
        <f>IF(AND(MyRowHidden(ROW())=FALSE,MyRowHidden(ROW()-1)=TRUE),0,(G1558-G1557)*unitsOfExo+J1557)</f>
        <v>50000</v>
      </c>
      <c r="K1558" s="9">
        <f t="shared" si="77"/>
        <v>50000</v>
      </c>
      <c r="L1558">
        <f t="shared" si="78"/>
        <v>46080</v>
      </c>
    </row>
    <row r="1559" spans="4:12" x14ac:dyDescent="0.25">
      <c r="D1559" s="1"/>
      <c r="E1559">
        <v>-5392</v>
      </c>
      <c r="F1559" s="1"/>
      <c r="H1559" s="1">
        <f t="shared" si="76"/>
        <v>0</v>
      </c>
      <c r="I1559">
        <f>IF(AND(MyRowHidden(ROW())=FALSE,MyRowHidden(ROW()-1)=TRUE),0,(E1559-E1558)*unitsOfDHp+I1558)</f>
        <v>-3920</v>
      </c>
      <c r="J1559">
        <f>IF(AND(MyRowHidden(ROW())=FALSE,MyRowHidden(ROW()-1)=TRUE),0,(G1559-G1558)*unitsOfExo+J1558)</f>
        <v>50000</v>
      </c>
      <c r="K1559" s="9">
        <f t="shared" si="77"/>
        <v>50000</v>
      </c>
      <c r="L1559">
        <f t="shared" si="78"/>
        <v>46080</v>
      </c>
    </row>
    <row r="1560" spans="4:12" x14ac:dyDescent="0.25">
      <c r="D1560" s="1"/>
      <c r="E1560">
        <v>-5392</v>
      </c>
      <c r="F1560" s="1"/>
      <c r="H1560" s="1">
        <f t="shared" si="76"/>
        <v>0</v>
      </c>
      <c r="I1560">
        <f>IF(AND(MyRowHidden(ROW())=FALSE,MyRowHidden(ROW()-1)=TRUE),0,(E1560-E1559)*unitsOfDHp+I1559)</f>
        <v>-3920</v>
      </c>
      <c r="J1560">
        <f>IF(AND(MyRowHidden(ROW())=FALSE,MyRowHidden(ROW()-1)=TRUE),0,(G1560-G1559)*unitsOfExo+J1559)</f>
        <v>50000</v>
      </c>
      <c r="K1560" s="9">
        <f t="shared" si="77"/>
        <v>50000</v>
      </c>
      <c r="L1560">
        <f t="shared" si="78"/>
        <v>46080</v>
      </c>
    </row>
    <row r="1561" spans="4:12" x14ac:dyDescent="0.25">
      <c r="D1561" s="1"/>
      <c r="E1561">
        <v>-5392</v>
      </c>
      <c r="F1561" s="1"/>
      <c r="H1561" s="1">
        <f t="shared" si="76"/>
        <v>0</v>
      </c>
      <c r="I1561">
        <f>IF(AND(MyRowHidden(ROW())=FALSE,MyRowHidden(ROW()-1)=TRUE),0,(E1561-E1560)*unitsOfDHp+I1560)</f>
        <v>-3920</v>
      </c>
      <c r="J1561">
        <f>IF(AND(MyRowHidden(ROW())=FALSE,MyRowHidden(ROW()-1)=TRUE),0,(G1561-G1560)*unitsOfExo+J1560)</f>
        <v>50000</v>
      </c>
      <c r="K1561" s="9">
        <f t="shared" si="77"/>
        <v>50000</v>
      </c>
      <c r="L1561">
        <f t="shared" si="78"/>
        <v>46080</v>
      </c>
    </row>
    <row r="1562" spans="4:12" x14ac:dyDescent="0.25">
      <c r="D1562" s="1"/>
      <c r="E1562">
        <v>-5392</v>
      </c>
      <c r="F1562" s="1"/>
      <c r="H1562" s="1">
        <f t="shared" si="76"/>
        <v>0</v>
      </c>
      <c r="I1562">
        <f>IF(AND(MyRowHidden(ROW())=FALSE,MyRowHidden(ROW()-1)=TRUE),0,(E1562-E1561)*unitsOfDHp+I1561)</f>
        <v>-3920</v>
      </c>
      <c r="J1562">
        <f>IF(AND(MyRowHidden(ROW())=FALSE,MyRowHidden(ROW()-1)=TRUE),0,(G1562-G1561)*unitsOfExo+J1561)</f>
        <v>50000</v>
      </c>
      <c r="K1562" s="9">
        <f t="shared" si="77"/>
        <v>50000</v>
      </c>
      <c r="L1562">
        <f t="shared" si="78"/>
        <v>46080</v>
      </c>
    </row>
    <row r="1563" spans="4:12" x14ac:dyDescent="0.25">
      <c r="D1563" s="1"/>
      <c r="E1563">
        <v>-5392</v>
      </c>
      <c r="F1563" s="1"/>
      <c r="H1563" s="1">
        <f t="shared" si="76"/>
        <v>0</v>
      </c>
      <c r="I1563">
        <f>IF(AND(MyRowHidden(ROW())=FALSE,MyRowHidden(ROW()-1)=TRUE),0,(E1563-E1562)*unitsOfDHp+I1562)</f>
        <v>-3920</v>
      </c>
      <c r="J1563">
        <f>IF(AND(MyRowHidden(ROW())=FALSE,MyRowHidden(ROW()-1)=TRUE),0,(G1563-G1562)*unitsOfExo+J1562)</f>
        <v>50000</v>
      </c>
      <c r="K1563" s="9">
        <f t="shared" si="77"/>
        <v>50000</v>
      </c>
      <c r="L1563">
        <f t="shared" si="78"/>
        <v>46080</v>
      </c>
    </row>
    <row r="1564" spans="4:12" x14ac:dyDescent="0.25">
      <c r="D1564" s="1"/>
      <c r="E1564">
        <v>-5392</v>
      </c>
      <c r="F1564" s="1"/>
      <c r="H1564" s="1">
        <f t="shared" si="76"/>
        <v>0</v>
      </c>
      <c r="I1564">
        <f>IF(AND(MyRowHidden(ROW())=FALSE,MyRowHidden(ROW()-1)=TRUE),0,(E1564-E1563)*unitsOfDHp+I1563)</f>
        <v>-3920</v>
      </c>
      <c r="J1564">
        <f>IF(AND(MyRowHidden(ROW())=FALSE,MyRowHidden(ROW()-1)=TRUE),0,(G1564-G1563)*unitsOfExo+J1563)</f>
        <v>50000</v>
      </c>
      <c r="K1564" s="9">
        <f t="shared" si="77"/>
        <v>50000</v>
      </c>
      <c r="L1564">
        <f t="shared" si="78"/>
        <v>46080</v>
      </c>
    </row>
    <row r="1565" spans="4:12" x14ac:dyDescent="0.25">
      <c r="D1565" s="1"/>
      <c r="E1565">
        <v>-5392</v>
      </c>
      <c r="F1565" s="1"/>
      <c r="H1565" s="1">
        <f t="shared" si="76"/>
        <v>0</v>
      </c>
      <c r="I1565">
        <f>IF(AND(MyRowHidden(ROW())=FALSE,MyRowHidden(ROW()-1)=TRUE),0,(E1565-E1564)*unitsOfDHp+I1564)</f>
        <v>-3920</v>
      </c>
      <c r="J1565">
        <f>IF(AND(MyRowHidden(ROW())=FALSE,MyRowHidden(ROW()-1)=TRUE),0,(G1565-G1564)*unitsOfExo+J1564)</f>
        <v>50000</v>
      </c>
      <c r="K1565" s="9">
        <f t="shared" si="77"/>
        <v>50000</v>
      </c>
      <c r="L1565">
        <f t="shared" si="78"/>
        <v>46080</v>
      </c>
    </row>
    <row r="1566" spans="4:12" x14ac:dyDescent="0.25">
      <c r="D1566" s="1"/>
      <c r="E1566">
        <v>-5392</v>
      </c>
      <c r="F1566" s="1"/>
      <c r="H1566" s="1">
        <f t="shared" si="76"/>
        <v>0</v>
      </c>
      <c r="I1566">
        <f>IF(AND(MyRowHidden(ROW())=FALSE,MyRowHidden(ROW()-1)=TRUE),0,(E1566-E1565)*unitsOfDHp+I1565)</f>
        <v>-3920</v>
      </c>
      <c r="J1566">
        <f>IF(AND(MyRowHidden(ROW())=FALSE,MyRowHidden(ROW()-1)=TRUE),0,(G1566-G1565)*unitsOfExo+J1565)</f>
        <v>50000</v>
      </c>
      <c r="K1566" s="9">
        <f t="shared" si="77"/>
        <v>50000</v>
      </c>
      <c r="L1566">
        <f t="shared" si="78"/>
        <v>46080</v>
      </c>
    </row>
    <row r="1567" spans="4:12" x14ac:dyDescent="0.25">
      <c r="D1567" s="1"/>
      <c r="E1567">
        <v>-5392</v>
      </c>
      <c r="F1567" s="1"/>
      <c r="H1567" s="1">
        <f t="shared" si="76"/>
        <v>0</v>
      </c>
      <c r="I1567">
        <f>IF(AND(MyRowHidden(ROW())=FALSE,MyRowHidden(ROW()-1)=TRUE),0,(E1567-E1566)*unitsOfDHp+I1566)</f>
        <v>-3920</v>
      </c>
      <c r="J1567">
        <f>IF(AND(MyRowHidden(ROW())=FALSE,MyRowHidden(ROW()-1)=TRUE),0,(G1567-G1566)*unitsOfExo+J1566)</f>
        <v>50000</v>
      </c>
      <c r="K1567" s="9">
        <f t="shared" si="77"/>
        <v>50000</v>
      </c>
      <c r="L1567">
        <f t="shared" si="78"/>
        <v>46080</v>
      </c>
    </row>
    <row r="1568" spans="4:12" x14ac:dyDescent="0.25">
      <c r="D1568" s="1"/>
      <c r="E1568">
        <v>-5392</v>
      </c>
      <c r="F1568" s="1"/>
      <c r="H1568" s="1">
        <f t="shared" si="76"/>
        <v>0</v>
      </c>
      <c r="I1568">
        <f>IF(AND(MyRowHidden(ROW())=FALSE,MyRowHidden(ROW()-1)=TRUE),0,(E1568-E1567)*unitsOfDHp+I1567)</f>
        <v>-3920</v>
      </c>
      <c r="J1568">
        <f>IF(AND(MyRowHidden(ROW())=FALSE,MyRowHidden(ROW()-1)=TRUE),0,(G1568-G1567)*unitsOfExo+J1567)</f>
        <v>50000</v>
      </c>
      <c r="K1568" s="9">
        <f t="shared" si="77"/>
        <v>50000</v>
      </c>
      <c r="L1568">
        <f t="shared" si="78"/>
        <v>46080</v>
      </c>
    </row>
    <row r="1569" spans="4:12" x14ac:dyDescent="0.25">
      <c r="D1569" s="1"/>
      <c r="E1569">
        <v>-5392</v>
      </c>
      <c r="F1569" s="1"/>
      <c r="H1569" s="1">
        <f t="shared" si="76"/>
        <v>0</v>
      </c>
      <c r="I1569">
        <f>IF(AND(MyRowHidden(ROW())=FALSE,MyRowHidden(ROW()-1)=TRUE),0,(E1569-E1568)*unitsOfDHp+I1568)</f>
        <v>-3920</v>
      </c>
      <c r="J1569">
        <f>IF(AND(MyRowHidden(ROW())=FALSE,MyRowHidden(ROW()-1)=TRUE),0,(G1569-G1568)*unitsOfExo+J1568)</f>
        <v>50000</v>
      </c>
      <c r="K1569" s="9">
        <f t="shared" si="77"/>
        <v>50000</v>
      </c>
      <c r="L1569">
        <f t="shared" si="78"/>
        <v>46080</v>
      </c>
    </row>
    <row r="1570" spans="4:12" x14ac:dyDescent="0.25">
      <c r="D1570" s="1"/>
      <c r="E1570">
        <v>-5392</v>
      </c>
      <c r="F1570" s="1"/>
      <c r="H1570" s="1">
        <f t="shared" si="76"/>
        <v>0</v>
      </c>
      <c r="I1570">
        <f>IF(AND(MyRowHidden(ROW())=FALSE,MyRowHidden(ROW()-1)=TRUE),0,(E1570-E1569)*unitsOfDHp+I1569)</f>
        <v>-3920</v>
      </c>
      <c r="J1570">
        <f>IF(AND(MyRowHidden(ROW())=FALSE,MyRowHidden(ROW()-1)=TRUE),0,(G1570-G1569)*unitsOfExo+J1569)</f>
        <v>50000</v>
      </c>
      <c r="K1570" s="9">
        <f t="shared" si="77"/>
        <v>50000</v>
      </c>
      <c r="L1570">
        <f t="shared" si="78"/>
        <v>46080</v>
      </c>
    </row>
    <row r="1571" spans="4:12" x14ac:dyDescent="0.25">
      <c r="D1571" s="1"/>
      <c r="E1571">
        <v>-5392</v>
      </c>
      <c r="F1571" s="1"/>
      <c r="H1571" s="1">
        <f t="shared" si="76"/>
        <v>0</v>
      </c>
      <c r="I1571">
        <f>IF(AND(MyRowHidden(ROW())=FALSE,MyRowHidden(ROW()-1)=TRUE),0,(E1571-E1570)*unitsOfDHp+I1570)</f>
        <v>-3920</v>
      </c>
      <c r="J1571">
        <f>IF(AND(MyRowHidden(ROW())=FALSE,MyRowHidden(ROW()-1)=TRUE),0,(G1571-G1570)*unitsOfExo+J1570)</f>
        <v>50000</v>
      </c>
      <c r="K1571" s="9">
        <f t="shared" si="77"/>
        <v>50000</v>
      </c>
      <c r="L1571">
        <f t="shared" si="78"/>
        <v>46080</v>
      </c>
    </row>
    <row r="1572" spans="4:12" x14ac:dyDescent="0.25">
      <c r="D1572" s="1"/>
      <c r="E1572">
        <v>-5392</v>
      </c>
      <c r="F1572" s="1"/>
      <c r="H1572" s="1">
        <f t="shared" si="76"/>
        <v>0</v>
      </c>
      <c r="I1572">
        <f>IF(AND(MyRowHidden(ROW())=FALSE,MyRowHidden(ROW()-1)=TRUE),0,(E1572-E1571)*unitsOfDHp+I1571)</f>
        <v>-3920</v>
      </c>
      <c r="J1572">
        <f>IF(AND(MyRowHidden(ROW())=FALSE,MyRowHidden(ROW()-1)=TRUE),0,(G1572-G1571)*unitsOfExo+J1571)</f>
        <v>50000</v>
      </c>
      <c r="K1572" s="9">
        <f t="shared" si="77"/>
        <v>50000</v>
      </c>
      <c r="L1572">
        <f t="shared" si="78"/>
        <v>46080</v>
      </c>
    </row>
    <row r="1573" spans="4:12" x14ac:dyDescent="0.25">
      <c r="D1573" s="1"/>
      <c r="E1573">
        <v>-5392</v>
      </c>
      <c r="F1573" s="1"/>
      <c r="H1573" s="1">
        <f t="shared" si="76"/>
        <v>0</v>
      </c>
      <c r="I1573">
        <f>IF(AND(MyRowHidden(ROW())=FALSE,MyRowHidden(ROW()-1)=TRUE),0,(E1573-E1572)*unitsOfDHp+I1572)</f>
        <v>-3920</v>
      </c>
      <c r="J1573">
        <f>IF(AND(MyRowHidden(ROW())=FALSE,MyRowHidden(ROW()-1)=TRUE),0,(G1573-G1572)*unitsOfExo+J1572)</f>
        <v>50000</v>
      </c>
      <c r="K1573" s="9">
        <f t="shared" si="77"/>
        <v>50000</v>
      </c>
      <c r="L1573">
        <f t="shared" si="78"/>
        <v>46080</v>
      </c>
    </row>
    <row r="1574" spans="4:12" x14ac:dyDescent="0.25">
      <c r="D1574" s="1"/>
      <c r="E1574">
        <v>-5392</v>
      </c>
      <c r="F1574" s="1"/>
      <c r="H1574" s="1">
        <f t="shared" si="76"/>
        <v>0</v>
      </c>
      <c r="I1574">
        <f>IF(AND(MyRowHidden(ROW())=FALSE,MyRowHidden(ROW()-1)=TRUE),0,(E1574-E1573)*unitsOfDHp+I1573)</f>
        <v>-3920</v>
      </c>
      <c r="J1574">
        <f>IF(AND(MyRowHidden(ROW())=FALSE,MyRowHidden(ROW()-1)=TRUE),0,(G1574-G1573)*unitsOfExo+J1573)</f>
        <v>50000</v>
      </c>
      <c r="K1574" s="9">
        <f t="shared" si="77"/>
        <v>50000</v>
      </c>
      <c r="L1574">
        <f t="shared" si="78"/>
        <v>46080</v>
      </c>
    </row>
    <row r="1575" spans="4:12" x14ac:dyDescent="0.25">
      <c r="D1575" s="1"/>
      <c r="E1575">
        <v>-5392</v>
      </c>
      <c r="F1575" s="1"/>
      <c r="H1575" s="1">
        <f t="shared" si="76"/>
        <v>0</v>
      </c>
      <c r="I1575">
        <f>IF(AND(MyRowHidden(ROW())=FALSE,MyRowHidden(ROW()-1)=TRUE),0,(E1575-E1574)*unitsOfDHp+I1574)</f>
        <v>-3920</v>
      </c>
      <c r="J1575">
        <f>IF(AND(MyRowHidden(ROW())=FALSE,MyRowHidden(ROW()-1)=TRUE),0,(G1575-G1574)*unitsOfExo+J1574)</f>
        <v>50000</v>
      </c>
      <c r="K1575" s="9">
        <f t="shared" si="77"/>
        <v>50000</v>
      </c>
      <c r="L1575">
        <f t="shared" si="78"/>
        <v>46080</v>
      </c>
    </row>
    <row r="1576" spans="4:12" x14ac:dyDescent="0.25">
      <c r="D1576" s="1"/>
      <c r="E1576">
        <v>-5392</v>
      </c>
      <c r="F1576" s="1"/>
      <c r="H1576" s="1">
        <f t="shared" si="76"/>
        <v>0</v>
      </c>
      <c r="I1576">
        <f>IF(AND(MyRowHidden(ROW())=FALSE,MyRowHidden(ROW()-1)=TRUE),0,(E1576-E1575)*unitsOfDHp+I1575)</f>
        <v>-3920</v>
      </c>
      <c r="J1576">
        <f>IF(AND(MyRowHidden(ROW())=FALSE,MyRowHidden(ROW()-1)=TRUE),0,(G1576-G1575)*unitsOfExo+J1575)</f>
        <v>50000</v>
      </c>
      <c r="K1576" s="9">
        <f t="shared" si="77"/>
        <v>50000</v>
      </c>
      <c r="L1576">
        <f t="shared" si="78"/>
        <v>46080</v>
      </c>
    </row>
    <row r="1577" spans="4:12" x14ac:dyDescent="0.25">
      <c r="D1577" s="1"/>
      <c r="E1577">
        <v>-5392</v>
      </c>
      <c r="F1577" s="1"/>
      <c r="H1577" s="1">
        <f t="shared" si="76"/>
        <v>0</v>
      </c>
      <c r="I1577">
        <f>IF(AND(MyRowHidden(ROW())=FALSE,MyRowHidden(ROW()-1)=TRUE),0,(E1577-E1576)*unitsOfDHp+I1576)</f>
        <v>-3920</v>
      </c>
      <c r="J1577">
        <f>IF(AND(MyRowHidden(ROW())=FALSE,MyRowHidden(ROW()-1)=TRUE),0,(G1577-G1576)*unitsOfExo+J1576)</f>
        <v>50000</v>
      </c>
      <c r="K1577" s="9">
        <f t="shared" si="77"/>
        <v>50000</v>
      </c>
      <c r="L1577">
        <f t="shared" si="78"/>
        <v>46080</v>
      </c>
    </row>
    <row r="1578" spans="4:12" x14ac:dyDescent="0.25">
      <c r="D1578" s="1"/>
      <c r="E1578">
        <v>-5392</v>
      </c>
      <c r="F1578" s="1"/>
      <c r="H1578" s="1">
        <f t="shared" si="76"/>
        <v>0</v>
      </c>
      <c r="I1578">
        <f>IF(AND(MyRowHidden(ROW())=FALSE,MyRowHidden(ROW()-1)=TRUE),0,(E1578-E1577)*unitsOfDHp+I1577)</f>
        <v>-3920</v>
      </c>
      <c r="J1578">
        <f>IF(AND(MyRowHidden(ROW())=FALSE,MyRowHidden(ROW()-1)=TRUE),0,(G1578-G1577)*unitsOfExo+J1577)</f>
        <v>50000</v>
      </c>
      <c r="K1578" s="9">
        <f t="shared" si="77"/>
        <v>50000</v>
      </c>
      <c r="L1578">
        <f t="shared" si="78"/>
        <v>46080</v>
      </c>
    </row>
    <row r="1579" spans="4:12" x14ac:dyDescent="0.25">
      <c r="D1579" s="1"/>
      <c r="E1579">
        <v>-5392</v>
      </c>
      <c r="F1579" s="1"/>
      <c r="H1579" s="1">
        <f t="shared" si="76"/>
        <v>0</v>
      </c>
      <c r="I1579">
        <f>IF(AND(MyRowHidden(ROW())=FALSE,MyRowHidden(ROW()-1)=TRUE),0,(E1579-E1578)*unitsOfDHp+I1578)</f>
        <v>-3920</v>
      </c>
      <c r="J1579">
        <f>IF(AND(MyRowHidden(ROW())=FALSE,MyRowHidden(ROW()-1)=TRUE),0,(G1579-G1578)*unitsOfExo+J1578)</f>
        <v>50000</v>
      </c>
      <c r="K1579" s="9">
        <f t="shared" si="77"/>
        <v>50000</v>
      </c>
      <c r="L1579">
        <f t="shared" si="78"/>
        <v>46080</v>
      </c>
    </row>
    <row r="1580" spans="4:12" x14ac:dyDescent="0.25">
      <c r="D1580" s="1"/>
      <c r="E1580">
        <v>-5392</v>
      </c>
      <c r="F1580" s="1"/>
      <c r="H1580" s="1">
        <f t="shared" si="76"/>
        <v>0</v>
      </c>
      <c r="I1580">
        <f>IF(AND(MyRowHidden(ROW())=FALSE,MyRowHidden(ROW()-1)=TRUE),0,(E1580-E1579)*unitsOfDHp+I1579)</f>
        <v>-3920</v>
      </c>
      <c r="J1580">
        <f>IF(AND(MyRowHidden(ROW())=FALSE,MyRowHidden(ROW()-1)=TRUE),0,(G1580-G1579)*unitsOfExo+J1579)</f>
        <v>50000</v>
      </c>
      <c r="K1580" s="9">
        <f t="shared" si="77"/>
        <v>50000</v>
      </c>
      <c r="L1580">
        <f t="shared" si="78"/>
        <v>46080</v>
      </c>
    </row>
    <row r="1581" spans="4:12" x14ac:dyDescent="0.25">
      <c r="D1581" s="1"/>
      <c r="E1581">
        <v>-5392</v>
      </c>
      <c r="F1581" s="1"/>
      <c r="H1581" s="1">
        <f t="shared" si="76"/>
        <v>0</v>
      </c>
      <c r="I1581">
        <f>IF(AND(MyRowHidden(ROW())=FALSE,MyRowHidden(ROW()-1)=TRUE),0,(E1581-E1580)*unitsOfDHp+I1580)</f>
        <v>-3920</v>
      </c>
      <c r="J1581">
        <f>IF(AND(MyRowHidden(ROW())=FALSE,MyRowHidden(ROW()-1)=TRUE),0,(G1581-G1580)*unitsOfExo+J1580)</f>
        <v>50000</v>
      </c>
      <c r="K1581" s="9">
        <f t="shared" si="77"/>
        <v>50000</v>
      </c>
      <c r="L1581">
        <f t="shared" si="78"/>
        <v>46080</v>
      </c>
    </row>
    <row r="1582" spans="4:12" x14ac:dyDescent="0.25">
      <c r="D1582" s="1"/>
      <c r="E1582">
        <v>-5392</v>
      </c>
      <c r="F1582" s="1"/>
      <c r="H1582" s="1">
        <f t="shared" si="76"/>
        <v>0</v>
      </c>
      <c r="I1582">
        <f>IF(AND(MyRowHidden(ROW())=FALSE,MyRowHidden(ROW()-1)=TRUE),0,(E1582-E1581)*unitsOfDHp+I1581)</f>
        <v>-3920</v>
      </c>
      <c r="J1582">
        <f>IF(AND(MyRowHidden(ROW())=FALSE,MyRowHidden(ROW()-1)=TRUE),0,(G1582-G1581)*unitsOfExo+J1581)</f>
        <v>50000</v>
      </c>
      <c r="K1582" s="9">
        <f t="shared" si="77"/>
        <v>50000</v>
      </c>
      <c r="L1582">
        <f t="shared" si="78"/>
        <v>46080</v>
      </c>
    </row>
    <row r="1583" spans="4:12" x14ac:dyDescent="0.25">
      <c r="D1583" s="1"/>
      <c r="E1583">
        <v>-5392</v>
      </c>
      <c r="F1583" s="1"/>
      <c r="H1583" s="1">
        <f t="shared" si="76"/>
        <v>0</v>
      </c>
      <c r="I1583">
        <f>IF(AND(MyRowHidden(ROW())=FALSE,MyRowHidden(ROW()-1)=TRUE),0,(E1583-E1582)*unitsOfDHp+I1582)</f>
        <v>-3920</v>
      </c>
      <c r="J1583">
        <f>IF(AND(MyRowHidden(ROW())=FALSE,MyRowHidden(ROW()-1)=TRUE),0,(G1583-G1582)*unitsOfExo+J1582)</f>
        <v>50000</v>
      </c>
      <c r="K1583" s="9">
        <f t="shared" si="77"/>
        <v>50000</v>
      </c>
      <c r="L1583">
        <f t="shared" si="78"/>
        <v>46080</v>
      </c>
    </row>
    <row r="1584" spans="4:12" x14ac:dyDescent="0.25">
      <c r="D1584" s="1"/>
      <c r="E1584">
        <v>-5392</v>
      </c>
      <c r="F1584" s="1"/>
      <c r="H1584" s="1">
        <f t="shared" si="76"/>
        <v>0</v>
      </c>
      <c r="I1584">
        <f>IF(AND(MyRowHidden(ROW())=FALSE,MyRowHidden(ROW()-1)=TRUE),0,(E1584-E1583)*unitsOfDHp+I1583)</f>
        <v>-3920</v>
      </c>
      <c r="J1584">
        <f>IF(AND(MyRowHidden(ROW())=FALSE,MyRowHidden(ROW()-1)=TRUE),0,(G1584-G1583)*unitsOfExo+J1583)</f>
        <v>50000</v>
      </c>
      <c r="K1584" s="9">
        <f t="shared" si="77"/>
        <v>50000</v>
      </c>
      <c r="L1584">
        <f t="shared" si="78"/>
        <v>46080</v>
      </c>
    </row>
    <row r="1585" spans="4:12" x14ac:dyDescent="0.25">
      <c r="D1585" s="1"/>
      <c r="E1585">
        <v>-5392</v>
      </c>
      <c r="F1585" s="1"/>
      <c r="H1585" s="1">
        <f t="shared" si="76"/>
        <v>0</v>
      </c>
      <c r="I1585">
        <f>IF(AND(MyRowHidden(ROW())=FALSE,MyRowHidden(ROW()-1)=TRUE),0,(E1585-E1584)*unitsOfDHp+I1584)</f>
        <v>-3920</v>
      </c>
      <c r="J1585">
        <f>IF(AND(MyRowHidden(ROW())=FALSE,MyRowHidden(ROW()-1)=TRUE),0,(G1585-G1584)*unitsOfExo+J1584)</f>
        <v>50000</v>
      </c>
      <c r="K1585" s="9">
        <f t="shared" si="77"/>
        <v>50000</v>
      </c>
      <c r="L1585">
        <f t="shared" si="78"/>
        <v>46080</v>
      </c>
    </row>
    <row r="1586" spans="4:12" x14ac:dyDescent="0.25">
      <c r="D1586" s="1"/>
      <c r="E1586">
        <v>-5392</v>
      </c>
      <c r="F1586" s="1"/>
      <c r="H1586" s="1">
        <f t="shared" si="76"/>
        <v>0</v>
      </c>
      <c r="I1586">
        <f>IF(AND(MyRowHidden(ROW())=FALSE,MyRowHidden(ROW()-1)=TRUE),0,(E1586-E1585)*unitsOfDHp+I1585)</f>
        <v>-3920</v>
      </c>
      <c r="J1586">
        <f>IF(AND(MyRowHidden(ROW())=FALSE,MyRowHidden(ROW()-1)=TRUE),0,(G1586-G1585)*unitsOfExo+J1585)</f>
        <v>50000</v>
      </c>
      <c r="K1586" s="9">
        <f t="shared" si="77"/>
        <v>50000</v>
      </c>
      <c r="L1586">
        <f t="shared" si="78"/>
        <v>46080</v>
      </c>
    </row>
    <row r="1587" spans="4:12" x14ac:dyDescent="0.25">
      <c r="D1587" s="1"/>
      <c r="E1587">
        <v>-5392</v>
      </c>
      <c r="F1587" s="1"/>
      <c r="H1587" s="1">
        <f t="shared" si="76"/>
        <v>0</v>
      </c>
      <c r="I1587">
        <f>IF(AND(MyRowHidden(ROW())=FALSE,MyRowHidden(ROW()-1)=TRUE),0,(E1587-E1586)*unitsOfDHp+I1586)</f>
        <v>-3920</v>
      </c>
      <c r="J1587">
        <f>IF(AND(MyRowHidden(ROW())=FALSE,MyRowHidden(ROW()-1)=TRUE),0,(G1587-G1586)*unitsOfExo+J1586)</f>
        <v>50000</v>
      </c>
      <c r="K1587" s="9">
        <f t="shared" si="77"/>
        <v>50000</v>
      </c>
      <c r="L1587">
        <f t="shared" si="78"/>
        <v>46080</v>
      </c>
    </row>
    <row r="1588" spans="4:12" x14ac:dyDescent="0.25">
      <c r="D1588" s="1"/>
      <c r="E1588">
        <v>-5392</v>
      </c>
      <c r="F1588" s="1"/>
      <c r="H1588" s="1">
        <f t="shared" si="76"/>
        <v>0</v>
      </c>
      <c r="I1588">
        <f>IF(AND(MyRowHidden(ROW())=FALSE,MyRowHidden(ROW()-1)=TRUE),0,(E1588-E1587)*unitsOfDHp+I1587)</f>
        <v>-3920</v>
      </c>
      <c r="J1588">
        <f>IF(AND(MyRowHidden(ROW())=FALSE,MyRowHidden(ROW()-1)=TRUE),0,(G1588-G1587)*unitsOfExo+J1587)</f>
        <v>50000</v>
      </c>
      <c r="K1588" s="9">
        <f t="shared" si="77"/>
        <v>50000</v>
      </c>
      <c r="L1588">
        <f t="shared" si="78"/>
        <v>46080</v>
      </c>
    </row>
    <row r="1589" spans="4:12" x14ac:dyDescent="0.25">
      <c r="D1589" s="1"/>
      <c r="E1589">
        <v>-5392</v>
      </c>
      <c r="F1589" s="1"/>
      <c r="H1589" s="1">
        <f t="shared" si="76"/>
        <v>0</v>
      </c>
      <c r="I1589">
        <f>IF(AND(MyRowHidden(ROW())=FALSE,MyRowHidden(ROW()-1)=TRUE),0,(E1589-E1588)*unitsOfDHp+I1588)</f>
        <v>-3920</v>
      </c>
      <c r="J1589">
        <f>IF(AND(MyRowHidden(ROW())=FALSE,MyRowHidden(ROW()-1)=TRUE),0,(G1589-G1588)*unitsOfExo+J1588)</f>
        <v>50000</v>
      </c>
      <c r="K1589" s="9">
        <f t="shared" si="77"/>
        <v>50000</v>
      </c>
      <c r="L1589">
        <f t="shared" si="78"/>
        <v>46080</v>
      </c>
    </row>
    <row r="1590" spans="4:12" x14ac:dyDescent="0.25">
      <c r="D1590" s="1"/>
      <c r="E1590">
        <v>-5392</v>
      </c>
      <c r="F1590" s="1"/>
      <c r="H1590" s="1">
        <f t="shared" si="76"/>
        <v>0</v>
      </c>
      <c r="I1590">
        <f>IF(AND(MyRowHidden(ROW())=FALSE,MyRowHidden(ROW()-1)=TRUE),0,(E1590-E1589)*unitsOfDHp+I1589)</f>
        <v>-3920</v>
      </c>
      <c r="J1590">
        <f>IF(AND(MyRowHidden(ROW())=FALSE,MyRowHidden(ROW()-1)=TRUE),0,(G1590-G1589)*unitsOfExo+J1589)</f>
        <v>50000</v>
      </c>
      <c r="K1590" s="9">
        <f t="shared" si="77"/>
        <v>50000</v>
      </c>
      <c r="L1590">
        <f t="shared" si="78"/>
        <v>46080</v>
      </c>
    </row>
    <row r="1591" spans="4:12" x14ac:dyDescent="0.25">
      <c r="D1591" s="1"/>
      <c r="E1591">
        <v>-5392</v>
      </c>
      <c r="F1591" s="1"/>
      <c r="H1591" s="1">
        <f t="shared" si="76"/>
        <v>0</v>
      </c>
      <c r="I1591">
        <f>IF(AND(MyRowHidden(ROW())=FALSE,MyRowHidden(ROW()-1)=TRUE),0,(E1591-E1590)*unitsOfDHp+I1590)</f>
        <v>-3920</v>
      </c>
      <c r="J1591">
        <f>IF(AND(MyRowHidden(ROW())=FALSE,MyRowHidden(ROW()-1)=TRUE),0,(G1591-G1590)*unitsOfExo+J1590)</f>
        <v>50000</v>
      </c>
      <c r="K1591" s="9">
        <f t="shared" si="77"/>
        <v>50000</v>
      </c>
      <c r="L1591">
        <f t="shared" si="78"/>
        <v>46080</v>
      </c>
    </row>
    <row r="1592" spans="4:12" x14ac:dyDescent="0.25">
      <c r="D1592" s="1"/>
      <c r="E1592">
        <v>-5392</v>
      </c>
      <c r="F1592" s="1"/>
      <c r="H1592" s="1">
        <f t="shared" si="76"/>
        <v>0</v>
      </c>
      <c r="I1592">
        <f>IF(AND(MyRowHidden(ROW())=FALSE,MyRowHidden(ROW()-1)=TRUE),0,(E1592-E1591)*unitsOfDHp+I1591)</f>
        <v>-3920</v>
      </c>
      <c r="J1592">
        <f>IF(AND(MyRowHidden(ROW())=FALSE,MyRowHidden(ROW()-1)=TRUE),0,(G1592-G1591)*unitsOfExo+J1591)</f>
        <v>50000</v>
      </c>
      <c r="K1592" s="9">
        <f t="shared" si="77"/>
        <v>50000</v>
      </c>
      <c r="L1592">
        <f t="shared" si="78"/>
        <v>46080</v>
      </c>
    </row>
    <row r="1593" spans="4:12" x14ac:dyDescent="0.25">
      <c r="D1593" s="1"/>
      <c r="E1593">
        <v>-5392</v>
      </c>
      <c r="F1593" s="1"/>
      <c r="H1593" s="1">
        <f t="shared" si="76"/>
        <v>0</v>
      </c>
      <c r="I1593">
        <f>IF(AND(MyRowHidden(ROW())=FALSE,MyRowHidden(ROW()-1)=TRUE),0,(E1593-E1592)*unitsOfDHp+I1592)</f>
        <v>-3920</v>
      </c>
      <c r="J1593">
        <f>IF(AND(MyRowHidden(ROW())=FALSE,MyRowHidden(ROW()-1)=TRUE),0,(G1593-G1592)*unitsOfExo+J1592)</f>
        <v>50000</v>
      </c>
      <c r="K1593" s="9">
        <f t="shared" si="77"/>
        <v>50000</v>
      </c>
      <c r="L1593">
        <f t="shared" si="78"/>
        <v>46080</v>
      </c>
    </row>
    <row r="1594" spans="4:12" x14ac:dyDescent="0.25">
      <c r="D1594" s="1"/>
      <c r="E1594">
        <v>-5392</v>
      </c>
      <c r="F1594" s="1"/>
      <c r="H1594" s="1">
        <f t="shared" si="76"/>
        <v>0</v>
      </c>
      <c r="I1594">
        <f>IF(AND(MyRowHidden(ROW())=FALSE,MyRowHidden(ROW()-1)=TRUE),0,(E1594-E1593)*unitsOfDHp+I1593)</f>
        <v>-3920</v>
      </c>
      <c r="J1594">
        <f>IF(AND(MyRowHidden(ROW())=FALSE,MyRowHidden(ROW()-1)=TRUE),0,(G1594-G1593)*unitsOfExo+J1593)</f>
        <v>50000</v>
      </c>
      <c r="K1594" s="9">
        <f t="shared" si="77"/>
        <v>50000</v>
      </c>
      <c r="L1594">
        <f t="shared" si="78"/>
        <v>46080</v>
      </c>
    </row>
    <row r="1595" spans="4:12" x14ac:dyDescent="0.25">
      <c r="D1595" s="1"/>
      <c r="E1595">
        <v>-5392</v>
      </c>
      <c r="F1595" s="1"/>
      <c r="H1595" s="1">
        <f t="shared" si="76"/>
        <v>0</v>
      </c>
      <c r="I1595">
        <f>IF(AND(MyRowHidden(ROW())=FALSE,MyRowHidden(ROW()-1)=TRUE),0,(E1595-E1594)*unitsOfDHp+I1594)</f>
        <v>-3920</v>
      </c>
      <c r="J1595">
        <f>IF(AND(MyRowHidden(ROW())=FALSE,MyRowHidden(ROW()-1)=TRUE),0,(G1595-G1594)*unitsOfExo+J1594)</f>
        <v>50000</v>
      </c>
      <c r="K1595" s="9">
        <f t="shared" si="77"/>
        <v>50000</v>
      </c>
      <c r="L1595">
        <f t="shared" si="78"/>
        <v>46080</v>
      </c>
    </row>
    <row r="1596" spans="4:12" x14ac:dyDescent="0.25">
      <c r="D1596" s="1"/>
      <c r="E1596">
        <v>-5392</v>
      </c>
      <c r="F1596" s="1"/>
      <c r="H1596" s="1">
        <f t="shared" si="76"/>
        <v>0</v>
      </c>
      <c r="I1596">
        <f>IF(AND(MyRowHidden(ROW())=FALSE,MyRowHidden(ROW()-1)=TRUE),0,(E1596-E1595)*unitsOfDHp+I1595)</f>
        <v>-3920</v>
      </c>
      <c r="J1596">
        <f>IF(AND(MyRowHidden(ROW())=FALSE,MyRowHidden(ROW()-1)=TRUE),0,(G1596-G1595)*unitsOfExo+J1595)</f>
        <v>50000</v>
      </c>
      <c r="K1596" s="9">
        <f t="shared" si="77"/>
        <v>50000</v>
      </c>
      <c r="L1596">
        <f t="shared" si="78"/>
        <v>46080</v>
      </c>
    </row>
    <row r="1597" spans="4:12" x14ac:dyDescent="0.25">
      <c r="D1597" s="1"/>
      <c r="E1597">
        <v>-5392</v>
      </c>
      <c r="F1597" s="1"/>
      <c r="H1597" s="1">
        <f t="shared" si="76"/>
        <v>0</v>
      </c>
      <c r="I1597">
        <f>IF(AND(MyRowHidden(ROW())=FALSE,MyRowHidden(ROW()-1)=TRUE),0,(E1597-E1596)*unitsOfDHp+I1596)</f>
        <v>-3920</v>
      </c>
      <c r="J1597">
        <f>IF(AND(MyRowHidden(ROW())=FALSE,MyRowHidden(ROW()-1)=TRUE),0,(G1597-G1596)*unitsOfExo+J1596)</f>
        <v>50000</v>
      </c>
      <c r="K1597" s="9">
        <f t="shared" si="77"/>
        <v>50000</v>
      </c>
      <c r="L1597">
        <f t="shared" si="78"/>
        <v>46080</v>
      </c>
    </row>
    <row r="1598" spans="4:12" x14ac:dyDescent="0.25">
      <c r="D1598" s="1"/>
      <c r="E1598">
        <v>-5392</v>
      </c>
      <c r="F1598" s="1"/>
      <c r="H1598" s="1">
        <f t="shared" si="76"/>
        <v>0</v>
      </c>
      <c r="I1598">
        <f>IF(AND(MyRowHidden(ROW())=FALSE,MyRowHidden(ROW()-1)=TRUE),0,(E1598-E1597)*unitsOfDHp+I1597)</f>
        <v>-3920</v>
      </c>
      <c r="J1598">
        <f>IF(AND(MyRowHidden(ROW())=FALSE,MyRowHidden(ROW()-1)=TRUE),0,(G1598-G1597)*unitsOfExo+J1597)</f>
        <v>50000</v>
      </c>
      <c r="K1598" s="9">
        <f t="shared" si="77"/>
        <v>50000</v>
      </c>
      <c r="L1598">
        <f t="shared" si="78"/>
        <v>46080</v>
      </c>
    </row>
    <row r="1599" spans="4:12" x14ac:dyDescent="0.25">
      <c r="D1599" s="1"/>
      <c r="E1599">
        <v>-5392</v>
      </c>
      <c r="F1599" s="1"/>
      <c r="H1599" s="1">
        <f t="shared" si="76"/>
        <v>0</v>
      </c>
      <c r="I1599">
        <f>IF(AND(MyRowHidden(ROW())=FALSE,MyRowHidden(ROW()-1)=TRUE),0,(E1599-E1598)*unitsOfDHp+I1598)</f>
        <v>-3920</v>
      </c>
      <c r="J1599">
        <f>IF(AND(MyRowHidden(ROW())=FALSE,MyRowHidden(ROW()-1)=TRUE),0,(G1599-G1598)*unitsOfExo+J1598)</f>
        <v>50000</v>
      </c>
      <c r="K1599" s="9">
        <f t="shared" si="77"/>
        <v>50000</v>
      </c>
      <c r="L1599">
        <f t="shared" si="78"/>
        <v>46080</v>
      </c>
    </row>
    <row r="1600" spans="4:12" x14ac:dyDescent="0.25">
      <c r="D1600" s="1"/>
      <c r="E1600">
        <v>-5392</v>
      </c>
      <c r="F1600" s="1"/>
      <c r="H1600" s="1">
        <f t="shared" si="76"/>
        <v>0</v>
      </c>
      <c r="I1600">
        <f>IF(AND(MyRowHidden(ROW())=FALSE,MyRowHidden(ROW()-1)=TRUE),0,(E1600-E1599)*unitsOfDHp+I1599)</f>
        <v>-3920</v>
      </c>
      <c r="J1600">
        <f>IF(AND(MyRowHidden(ROW())=FALSE,MyRowHidden(ROW()-1)=TRUE),0,(G1600-G1599)*unitsOfExo+J1599)</f>
        <v>50000</v>
      </c>
      <c r="K1600" s="9">
        <f t="shared" si="77"/>
        <v>50000</v>
      </c>
      <c r="L1600">
        <f t="shared" si="78"/>
        <v>46080</v>
      </c>
    </row>
    <row r="1601" spans="4:12" x14ac:dyDescent="0.25">
      <c r="D1601" s="1"/>
      <c r="E1601">
        <v>-5392</v>
      </c>
      <c r="F1601" s="1"/>
      <c r="H1601" s="1">
        <f t="shared" si="76"/>
        <v>0</v>
      </c>
      <c r="I1601">
        <f>IF(AND(MyRowHidden(ROW())=FALSE,MyRowHidden(ROW()-1)=TRUE),0,(E1601-E1600)*unitsOfDHp+I1600)</f>
        <v>-3920</v>
      </c>
      <c r="J1601">
        <f>IF(AND(MyRowHidden(ROW())=FALSE,MyRowHidden(ROW()-1)=TRUE),0,(G1601-G1600)*unitsOfExo+J1600)</f>
        <v>50000</v>
      </c>
      <c r="K1601" s="9">
        <f t="shared" si="77"/>
        <v>50000</v>
      </c>
      <c r="L1601">
        <f t="shared" si="78"/>
        <v>46080</v>
      </c>
    </row>
    <row r="1602" spans="4:12" x14ac:dyDescent="0.25">
      <c r="D1602" s="1"/>
      <c r="E1602">
        <v>-5392</v>
      </c>
      <c r="F1602" s="1"/>
      <c r="H1602" s="1">
        <f t="shared" si="76"/>
        <v>0</v>
      </c>
      <c r="I1602">
        <f>IF(AND(MyRowHidden(ROW())=FALSE,MyRowHidden(ROW()-1)=TRUE),0,(E1602-E1601)*unitsOfDHp+I1601)</f>
        <v>-3920</v>
      </c>
      <c r="J1602">
        <f>IF(AND(MyRowHidden(ROW())=FALSE,MyRowHidden(ROW()-1)=TRUE),0,(G1602-G1601)*unitsOfExo+J1601)</f>
        <v>50000</v>
      </c>
      <c r="K1602" s="9">
        <f t="shared" si="77"/>
        <v>50000</v>
      </c>
      <c r="L1602">
        <f t="shared" si="78"/>
        <v>46080</v>
      </c>
    </row>
    <row r="1603" spans="4:12" x14ac:dyDescent="0.25">
      <c r="D1603" s="1"/>
      <c r="E1603">
        <v>-5392</v>
      </c>
      <c r="F1603" s="1"/>
      <c r="H1603" s="1">
        <f t="shared" si="76"/>
        <v>0</v>
      </c>
      <c r="I1603">
        <f>IF(AND(MyRowHidden(ROW())=FALSE,MyRowHidden(ROW()-1)=TRUE),0,(E1603-E1602)*unitsOfDHp+I1602)</f>
        <v>-3920</v>
      </c>
      <c r="J1603">
        <f>IF(AND(MyRowHidden(ROW())=FALSE,MyRowHidden(ROW()-1)=TRUE),0,(G1603-G1602)*unitsOfExo+J1602)</f>
        <v>50000</v>
      </c>
      <c r="K1603" s="9">
        <f t="shared" si="77"/>
        <v>50000</v>
      </c>
      <c r="L1603">
        <f t="shared" si="78"/>
        <v>46080</v>
      </c>
    </row>
    <row r="1604" spans="4:12" x14ac:dyDescent="0.25">
      <c r="D1604" s="1"/>
      <c r="E1604">
        <v>-5392</v>
      </c>
      <c r="F1604" s="1"/>
      <c r="H1604" s="1">
        <f t="shared" si="76"/>
        <v>0</v>
      </c>
      <c r="I1604">
        <f>IF(AND(MyRowHidden(ROW())=FALSE,MyRowHidden(ROW()-1)=TRUE),0,(E1604-E1603)*unitsOfDHp+I1603)</f>
        <v>-3920</v>
      </c>
      <c r="J1604">
        <f>IF(AND(MyRowHidden(ROW())=FALSE,MyRowHidden(ROW()-1)=TRUE),0,(G1604-G1603)*unitsOfExo+J1603)</f>
        <v>50000</v>
      </c>
      <c r="K1604" s="9">
        <f t="shared" si="77"/>
        <v>50000</v>
      </c>
      <c r="L1604">
        <f t="shared" si="78"/>
        <v>46080</v>
      </c>
    </row>
    <row r="1605" spans="4:12" x14ac:dyDescent="0.25">
      <c r="D1605" s="1"/>
      <c r="E1605">
        <v>-5392</v>
      </c>
      <c r="F1605" s="1"/>
      <c r="H1605" s="1">
        <f t="shared" si="76"/>
        <v>0</v>
      </c>
      <c r="I1605">
        <f>IF(AND(MyRowHidden(ROW())=FALSE,MyRowHidden(ROW()-1)=TRUE),0,(E1605-E1604)*unitsOfDHp+I1604)</f>
        <v>-3920</v>
      </c>
      <c r="J1605">
        <f>IF(AND(MyRowHidden(ROW())=FALSE,MyRowHidden(ROW()-1)=TRUE),0,(G1605-G1604)*unitsOfExo+J1604)</f>
        <v>50000</v>
      </c>
      <c r="K1605" s="9">
        <f t="shared" si="77"/>
        <v>50000</v>
      </c>
      <c r="L1605">
        <f t="shared" si="78"/>
        <v>46080</v>
      </c>
    </row>
    <row r="1606" spans="4:12" x14ac:dyDescent="0.25">
      <c r="D1606" s="1"/>
      <c r="E1606">
        <v>-5392</v>
      </c>
      <c r="F1606" s="1"/>
      <c r="H1606" s="1">
        <f t="shared" si="76"/>
        <v>0</v>
      </c>
      <c r="I1606">
        <f>IF(AND(MyRowHidden(ROW())=FALSE,MyRowHidden(ROW()-1)=TRUE),0,(E1606-E1605)*unitsOfDHp+I1605)</f>
        <v>-3920</v>
      </c>
      <c r="J1606">
        <f>IF(AND(MyRowHidden(ROW())=FALSE,MyRowHidden(ROW()-1)=TRUE),0,(G1606-G1605)*unitsOfExo+J1605)</f>
        <v>50000</v>
      </c>
      <c r="K1606" s="9">
        <f t="shared" si="77"/>
        <v>50000</v>
      </c>
      <c r="L1606">
        <f t="shared" si="78"/>
        <v>46080</v>
      </c>
    </row>
    <row r="1607" spans="4:12" x14ac:dyDescent="0.25">
      <c r="D1607" s="1"/>
      <c r="E1607">
        <v>-5392</v>
      </c>
      <c r="F1607" s="1"/>
      <c r="H1607" s="1">
        <f t="shared" si="76"/>
        <v>0</v>
      </c>
      <c r="I1607">
        <f>IF(AND(MyRowHidden(ROW())=FALSE,MyRowHidden(ROW()-1)=TRUE),0,(E1607-E1606)*unitsOfDHp+I1606)</f>
        <v>-3920</v>
      </c>
      <c r="J1607">
        <f>IF(AND(MyRowHidden(ROW())=FALSE,MyRowHidden(ROW()-1)=TRUE),0,(G1607-G1606)*unitsOfExo+J1606)</f>
        <v>50000</v>
      </c>
      <c r="K1607" s="9">
        <f t="shared" si="77"/>
        <v>50000</v>
      </c>
      <c r="L1607">
        <f t="shared" si="78"/>
        <v>46080</v>
      </c>
    </row>
    <row r="1608" spans="4:12" x14ac:dyDescent="0.25">
      <c r="D1608" s="1"/>
      <c r="E1608">
        <v>-5392</v>
      </c>
      <c r="F1608" s="1"/>
      <c r="H1608" s="1">
        <f t="shared" si="76"/>
        <v>0</v>
      </c>
      <c r="I1608">
        <f>IF(AND(MyRowHidden(ROW())=FALSE,MyRowHidden(ROW()-1)=TRUE),0,(E1608-E1607)*unitsOfDHp+I1607)</f>
        <v>-3920</v>
      </c>
      <c r="J1608">
        <f>IF(AND(MyRowHidden(ROW())=FALSE,MyRowHidden(ROW()-1)=TRUE),0,(G1608-G1607)*unitsOfExo+J1607)</f>
        <v>50000</v>
      </c>
      <c r="K1608" s="9">
        <f t="shared" si="77"/>
        <v>50000</v>
      </c>
      <c r="L1608">
        <f t="shared" si="78"/>
        <v>46080</v>
      </c>
    </row>
    <row r="1609" spans="4:12" x14ac:dyDescent="0.25">
      <c r="D1609" s="1"/>
      <c r="E1609">
        <v>-5392</v>
      </c>
      <c r="F1609" s="1"/>
      <c r="H1609" s="1">
        <f t="shared" si="76"/>
        <v>0</v>
      </c>
      <c r="I1609">
        <f>IF(AND(MyRowHidden(ROW())=FALSE,MyRowHidden(ROW()-1)=TRUE),0,(E1609-E1608)*unitsOfDHp+I1608)</f>
        <v>-3920</v>
      </c>
      <c r="J1609">
        <f>IF(AND(MyRowHidden(ROW())=FALSE,MyRowHidden(ROW()-1)=TRUE),0,(G1609-G1608)*unitsOfExo+J1608)</f>
        <v>50000</v>
      </c>
      <c r="K1609" s="9">
        <f t="shared" si="77"/>
        <v>50000</v>
      </c>
      <c r="L1609">
        <f t="shared" si="78"/>
        <v>46080</v>
      </c>
    </row>
    <row r="1610" spans="4:12" x14ac:dyDescent="0.25">
      <c r="D1610" s="1"/>
      <c r="E1610">
        <v>-5392</v>
      </c>
      <c r="F1610" s="1"/>
      <c r="H1610" s="1">
        <f t="shared" si="76"/>
        <v>0</v>
      </c>
      <c r="I1610">
        <f>IF(AND(MyRowHidden(ROW())=FALSE,MyRowHidden(ROW()-1)=TRUE),0,(E1610-E1609)*unitsOfDHp+I1609)</f>
        <v>-3920</v>
      </c>
      <c r="J1610">
        <f>IF(AND(MyRowHidden(ROW())=FALSE,MyRowHidden(ROW()-1)=TRUE),0,(G1610-G1609)*unitsOfExo+J1609)</f>
        <v>50000</v>
      </c>
      <c r="K1610" s="9">
        <f t="shared" si="77"/>
        <v>50000</v>
      </c>
      <c r="L1610">
        <f t="shared" si="78"/>
        <v>46080</v>
      </c>
    </row>
    <row r="1611" spans="4:12" x14ac:dyDescent="0.25">
      <c r="D1611" s="1"/>
      <c r="E1611">
        <v>-5392</v>
      </c>
      <c r="F1611" s="1"/>
      <c r="H1611" s="1">
        <f t="shared" si="76"/>
        <v>0</v>
      </c>
      <c r="I1611">
        <f>IF(AND(MyRowHidden(ROW())=FALSE,MyRowHidden(ROW()-1)=TRUE),0,(E1611-E1610)*unitsOfDHp+I1610)</f>
        <v>-3920</v>
      </c>
      <c r="J1611">
        <f>IF(AND(MyRowHidden(ROW())=FALSE,MyRowHidden(ROW()-1)=TRUE),0,(G1611-G1610)*unitsOfExo+J1610)</f>
        <v>50000</v>
      </c>
      <c r="K1611" s="9">
        <f t="shared" si="77"/>
        <v>50000</v>
      </c>
      <c r="L1611">
        <f t="shared" si="78"/>
        <v>46080</v>
      </c>
    </row>
    <row r="1612" spans="4:12" x14ac:dyDescent="0.25">
      <c r="D1612" s="1"/>
      <c r="E1612">
        <v>-5392</v>
      </c>
      <c r="F1612" s="1"/>
      <c r="H1612" s="1">
        <f t="shared" si="76"/>
        <v>0</v>
      </c>
      <c r="I1612">
        <f>IF(AND(MyRowHidden(ROW())=FALSE,MyRowHidden(ROW()-1)=TRUE),0,(E1612-E1611)*unitsOfDHp+I1611)</f>
        <v>-3920</v>
      </c>
      <c r="J1612">
        <f>IF(AND(MyRowHidden(ROW())=FALSE,MyRowHidden(ROW()-1)=TRUE),0,(G1612-G1611)*unitsOfExo+J1611)</f>
        <v>50000</v>
      </c>
      <c r="K1612" s="9">
        <f t="shared" si="77"/>
        <v>50000</v>
      </c>
      <c r="L1612">
        <f t="shared" si="78"/>
        <v>46080</v>
      </c>
    </row>
    <row r="1613" spans="4:12" x14ac:dyDescent="0.25">
      <c r="D1613" s="1"/>
      <c r="E1613">
        <v>-5392</v>
      </c>
      <c r="F1613" s="1"/>
      <c r="H1613" s="1">
        <f t="shared" ref="H1613:H1676" si="79">D1613</f>
        <v>0</v>
      </c>
      <c r="I1613">
        <f>IF(AND(MyRowHidden(ROW())=FALSE,MyRowHidden(ROW()-1)=TRUE),0,(E1613-E1612)*unitsOfDHp+I1612)</f>
        <v>-3920</v>
      </c>
      <c r="J1613">
        <f>IF(AND(MyRowHidden(ROW())=FALSE,MyRowHidden(ROW()-1)=TRUE),0,(G1613-G1612)*unitsOfExo+J1612)</f>
        <v>50000</v>
      </c>
      <c r="K1613" s="9">
        <f t="shared" ref="K1613:K1676" si="80">-(J1613-J1612)+K1612</f>
        <v>50000</v>
      </c>
      <c r="L1613">
        <f t="shared" ref="L1613:L1676" si="81">I1613+J1613</f>
        <v>46080</v>
      </c>
    </row>
    <row r="1614" spans="4:12" x14ac:dyDescent="0.25">
      <c r="D1614" s="1"/>
      <c r="E1614">
        <v>-5392</v>
      </c>
      <c r="F1614" s="1"/>
      <c r="H1614" s="1">
        <f t="shared" si="79"/>
        <v>0</v>
      </c>
      <c r="I1614">
        <f>IF(AND(MyRowHidden(ROW())=FALSE,MyRowHidden(ROW()-1)=TRUE),0,(E1614-E1613)*unitsOfDHp+I1613)</f>
        <v>-3920</v>
      </c>
      <c r="J1614">
        <f>IF(AND(MyRowHidden(ROW())=FALSE,MyRowHidden(ROW()-1)=TRUE),0,(G1614-G1613)*unitsOfExo+J1613)</f>
        <v>50000</v>
      </c>
      <c r="K1614" s="9">
        <f t="shared" si="80"/>
        <v>50000</v>
      </c>
      <c r="L1614">
        <f t="shared" si="81"/>
        <v>46080</v>
      </c>
    </row>
    <row r="1615" spans="4:12" x14ac:dyDescent="0.25">
      <c r="D1615" s="1"/>
      <c r="E1615">
        <v>-5392</v>
      </c>
      <c r="F1615" s="1"/>
      <c r="H1615" s="1">
        <f t="shared" si="79"/>
        <v>0</v>
      </c>
      <c r="I1615">
        <f>IF(AND(MyRowHidden(ROW())=FALSE,MyRowHidden(ROW()-1)=TRUE),0,(E1615-E1614)*unitsOfDHp+I1614)</f>
        <v>-3920</v>
      </c>
      <c r="J1615">
        <f>IF(AND(MyRowHidden(ROW())=FALSE,MyRowHidden(ROW()-1)=TRUE),0,(G1615-G1614)*unitsOfExo+J1614)</f>
        <v>50000</v>
      </c>
      <c r="K1615" s="9">
        <f t="shared" si="80"/>
        <v>50000</v>
      </c>
      <c r="L1615">
        <f t="shared" si="81"/>
        <v>46080</v>
      </c>
    </row>
    <row r="1616" spans="4:12" x14ac:dyDescent="0.25">
      <c r="D1616" s="1"/>
      <c r="E1616">
        <v>-5392</v>
      </c>
      <c r="F1616" s="1"/>
      <c r="H1616" s="1">
        <f t="shared" si="79"/>
        <v>0</v>
      </c>
      <c r="I1616">
        <f>IF(AND(MyRowHidden(ROW())=FALSE,MyRowHidden(ROW()-1)=TRUE),0,(E1616-E1615)*unitsOfDHp+I1615)</f>
        <v>-3920</v>
      </c>
      <c r="J1616">
        <f>IF(AND(MyRowHidden(ROW())=FALSE,MyRowHidden(ROW()-1)=TRUE),0,(G1616-G1615)*unitsOfExo+J1615)</f>
        <v>50000</v>
      </c>
      <c r="K1616" s="9">
        <f t="shared" si="80"/>
        <v>50000</v>
      </c>
      <c r="L1616">
        <f t="shared" si="81"/>
        <v>46080</v>
      </c>
    </row>
    <row r="1617" spans="4:12" x14ac:dyDescent="0.25">
      <c r="D1617" s="1"/>
      <c r="E1617">
        <v>-5392</v>
      </c>
      <c r="F1617" s="1"/>
      <c r="H1617" s="1">
        <f t="shared" si="79"/>
        <v>0</v>
      </c>
      <c r="I1617">
        <f>IF(AND(MyRowHidden(ROW())=FALSE,MyRowHidden(ROW()-1)=TRUE),0,(E1617-E1616)*unitsOfDHp+I1616)</f>
        <v>-3920</v>
      </c>
      <c r="J1617">
        <f>IF(AND(MyRowHidden(ROW())=FALSE,MyRowHidden(ROW()-1)=TRUE),0,(G1617-G1616)*unitsOfExo+J1616)</f>
        <v>50000</v>
      </c>
      <c r="K1617" s="9">
        <f t="shared" si="80"/>
        <v>50000</v>
      </c>
      <c r="L1617">
        <f t="shared" si="81"/>
        <v>46080</v>
      </c>
    </row>
    <row r="1618" spans="4:12" x14ac:dyDescent="0.25">
      <c r="D1618" s="1"/>
      <c r="E1618">
        <v>-5392</v>
      </c>
      <c r="F1618" s="1"/>
      <c r="H1618" s="1">
        <f t="shared" si="79"/>
        <v>0</v>
      </c>
      <c r="I1618">
        <f>IF(AND(MyRowHidden(ROW())=FALSE,MyRowHidden(ROW()-1)=TRUE),0,(E1618-E1617)*unitsOfDHp+I1617)</f>
        <v>-3920</v>
      </c>
      <c r="J1618">
        <f>IF(AND(MyRowHidden(ROW())=FALSE,MyRowHidden(ROW()-1)=TRUE),0,(G1618-G1617)*unitsOfExo+J1617)</f>
        <v>50000</v>
      </c>
      <c r="K1618" s="9">
        <f t="shared" si="80"/>
        <v>50000</v>
      </c>
      <c r="L1618">
        <f t="shared" si="81"/>
        <v>46080</v>
      </c>
    </row>
    <row r="1619" spans="4:12" x14ac:dyDescent="0.25">
      <c r="D1619" s="1"/>
      <c r="E1619">
        <v>-5392</v>
      </c>
      <c r="F1619" s="1"/>
      <c r="H1619" s="1">
        <f t="shared" si="79"/>
        <v>0</v>
      </c>
      <c r="I1619">
        <f>IF(AND(MyRowHidden(ROW())=FALSE,MyRowHidden(ROW()-1)=TRUE),0,(E1619-E1618)*unitsOfDHp+I1618)</f>
        <v>-3920</v>
      </c>
      <c r="J1619">
        <f>IF(AND(MyRowHidden(ROW())=FALSE,MyRowHidden(ROW()-1)=TRUE),0,(G1619-G1618)*unitsOfExo+J1618)</f>
        <v>50000</v>
      </c>
      <c r="K1619" s="9">
        <f t="shared" si="80"/>
        <v>50000</v>
      </c>
      <c r="L1619">
        <f t="shared" si="81"/>
        <v>46080</v>
      </c>
    </row>
    <row r="1620" spans="4:12" x14ac:dyDescent="0.25">
      <c r="D1620" s="1"/>
      <c r="E1620">
        <v>-5392</v>
      </c>
      <c r="F1620" s="1"/>
      <c r="H1620" s="1">
        <f t="shared" si="79"/>
        <v>0</v>
      </c>
      <c r="I1620">
        <f>IF(AND(MyRowHidden(ROW())=FALSE,MyRowHidden(ROW()-1)=TRUE),0,(E1620-E1619)*unitsOfDHp+I1619)</f>
        <v>-3920</v>
      </c>
      <c r="J1620">
        <f>IF(AND(MyRowHidden(ROW())=FALSE,MyRowHidden(ROW()-1)=TRUE),0,(G1620-G1619)*unitsOfExo+J1619)</f>
        <v>50000</v>
      </c>
      <c r="K1620" s="9">
        <f t="shared" si="80"/>
        <v>50000</v>
      </c>
      <c r="L1620">
        <f t="shared" si="81"/>
        <v>46080</v>
      </c>
    </row>
    <row r="1621" spans="4:12" x14ac:dyDescent="0.25">
      <c r="D1621" s="1"/>
      <c r="E1621">
        <v>-5392</v>
      </c>
      <c r="F1621" s="1"/>
      <c r="H1621" s="1">
        <f t="shared" si="79"/>
        <v>0</v>
      </c>
      <c r="I1621">
        <f>IF(AND(MyRowHidden(ROW())=FALSE,MyRowHidden(ROW()-1)=TRUE),0,(E1621-E1620)*unitsOfDHp+I1620)</f>
        <v>-3920</v>
      </c>
      <c r="J1621">
        <f>IF(AND(MyRowHidden(ROW())=FALSE,MyRowHidden(ROW()-1)=TRUE),0,(G1621-G1620)*unitsOfExo+J1620)</f>
        <v>50000</v>
      </c>
      <c r="K1621" s="9">
        <f t="shared" si="80"/>
        <v>50000</v>
      </c>
      <c r="L1621">
        <f t="shared" si="81"/>
        <v>46080</v>
      </c>
    </row>
    <row r="1622" spans="4:12" x14ac:dyDescent="0.25">
      <c r="D1622" s="1"/>
      <c r="E1622">
        <v>-5392</v>
      </c>
      <c r="F1622" s="1"/>
      <c r="H1622" s="1">
        <f t="shared" si="79"/>
        <v>0</v>
      </c>
      <c r="I1622">
        <f>IF(AND(MyRowHidden(ROW())=FALSE,MyRowHidden(ROW()-1)=TRUE),0,(E1622-E1621)*unitsOfDHp+I1621)</f>
        <v>-3920</v>
      </c>
      <c r="J1622">
        <f>IF(AND(MyRowHidden(ROW())=FALSE,MyRowHidden(ROW()-1)=TRUE),0,(G1622-G1621)*unitsOfExo+J1621)</f>
        <v>50000</v>
      </c>
      <c r="K1622" s="9">
        <f t="shared" si="80"/>
        <v>50000</v>
      </c>
      <c r="L1622">
        <f t="shared" si="81"/>
        <v>46080</v>
      </c>
    </row>
    <row r="1623" spans="4:12" x14ac:dyDescent="0.25">
      <c r="D1623" s="1"/>
      <c r="E1623">
        <v>-5392</v>
      </c>
      <c r="F1623" s="1"/>
      <c r="H1623" s="1">
        <f t="shared" si="79"/>
        <v>0</v>
      </c>
      <c r="I1623">
        <f>IF(AND(MyRowHidden(ROW())=FALSE,MyRowHidden(ROW()-1)=TRUE),0,(E1623-E1622)*unitsOfDHp+I1622)</f>
        <v>-3920</v>
      </c>
      <c r="J1623">
        <f>IF(AND(MyRowHidden(ROW())=FALSE,MyRowHidden(ROW()-1)=TRUE),0,(G1623-G1622)*unitsOfExo+J1622)</f>
        <v>50000</v>
      </c>
      <c r="K1623" s="9">
        <f t="shared" si="80"/>
        <v>50000</v>
      </c>
      <c r="L1623">
        <f t="shared" si="81"/>
        <v>46080</v>
      </c>
    </row>
    <row r="1624" spans="4:12" x14ac:dyDescent="0.25">
      <c r="D1624" s="1"/>
      <c r="E1624">
        <v>-5392</v>
      </c>
      <c r="F1624" s="1"/>
      <c r="H1624" s="1">
        <f t="shared" si="79"/>
        <v>0</v>
      </c>
      <c r="I1624">
        <f>IF(AND(MyRowHidden(ROW())=FALSE,MyRowHidden(ROW()-1)=TRUE),0,(E1624-E1623)*unitsOfDHp+I1623)</f>
        <v>-3920</v>
      </c>
      <c r="J1624">
        <f>IF(AND(MyRowHidden(ROW())=FALSE,MyRowHidden(ROW()-1)=TRUE),0,(G1624-G1623)*unitsOfExo+J1623)</f>
        <v>50000</v>
      </c>
      <c r="K1624" s="9">
        <f t="shared" si="80"/>
        <v>50000</v>
      </c>
      <c r="L1624">
        <f t="shared" si="81"/>
        <v>46080</v>
      </c>
    </row>
    <row r="1625" spans="4:12" x14ac:dyDescent="0.25">
      <c r="D1625" s="1"/>
      <c r="E1625">
        <v>-5392</v>
      </c>
      <c r="F1625" s="1"/>
      <c r="H1625" s="1">
        <f t="shared" si="79"/>
        <v>0</v>
      </c>
      <c r="I1625">
        <f>IF(AND(MyRowHidden(ROW())=FALSE,MyRowHidden(ROW()-1)=TRUE),0,(E1625-E1624)*unitsOfDHp+I1624)</f>
        <v>-3920</v>
      </c>
      <c r="J1625">
        <f>IF(AND(MyRowHidden(ROW())=FALSE,MyRowHidden(ROW()-1)=TRUE),0,(G1625-G1624)*unitsOfExo+J1624)</f>
        <v>50000</v>
      </c>
      <c r="K1625" s="9">
        <f t="shared" si="80"/>
        <v>50000</v>
      </c>
      <c r="L1625">
        <f t="shared" si="81"/>
        <v>46080</v>
      </c>
    </row>
    <row r="1626" spans="4:12" x14ac:dyDescent="0.25">
      <c r="D1626" s="1"/>
      <c r="E1626">
        <v>-5392</v>
      </c>
      <c r="F1626" s="1"/>
      <c r="H1626" s="1">
        <f t="shared" si="79"/>
        <v>0</v>
      </c>
      <c r="I1626">
        <f>IF(AND(MyRowHidden(ROW())=FALSE,MyRowHidden(ROW()-1)=TRUE),0,(E1626-E1625)*unitsOfDHp+I1625)</f>
        <v>-3920</v>
      </c>
      <c r="J1626">
        <f>IF(AND(MyRowHidden(ROW())=FALSE,MyRowHidden(ROW()-1)=TRUE),0,(G1626-G1625)*unitsOfExo+J1625)</f>
        <v>50000</v>
      </c>
      <c r="K1626" s="9">
        <f t="shared" si="80"/>
        <v>50000</v>
      </c>
      <c r="L1626">
        <f t="shared" si="81"/>
        <v>46080</v>
      </c>
    </row>
    <row r="1627" spans="4:12" x14ac:dyDescent="0.25">
      <c r="D1627" s="1"/>
      <c r="E1627">
        <v>-5392</v>
      </c>
      <c r="F1627" s="1"/>
      <c r="H1627" s="1">
        <f t="shared" si="79"/>
        <v>0</v>
      </c>
      <c r="I1627">
        <f>IF(AND(MyRowHidden(ROW())=FALSE,MyRowHidden(ROW()-1)=TRUE),0,(E1627-E1626)*unitsOfDHp+I1626)</f>
        <v>-3920</v>
      </c>
      <c r="J1627">
        <f>IF(AND(MyRowHidden(ROW())=FALSE,MyRowHidden(ROW()-1)=TRUE),0,(G1627-G1626)*unitsOfExo+J1626)</f>
        <v>50000</v>
      </c>
      <c r="K1627" s="9">
        <f t="shared" si="80"/>
        <v>50000</v>
      </c>
      <c r="L1627">
        <f t="shared" si="81"/>
        <v>46080</v>
      </c>
    </row>
    <row r="1628" spans="4:12" x14ac:dyDescent="0.25">
      <c r="D1628" s="1"/>
      <c r="E1628">
        <v>-5392</v>
      </c>
      <c r="F1628" s="1"/>
      <c r="H1628" s="1">
        <f t="shared" si="79"/>
        <v>0</v>
      </c>
      <c r="I1628">
        <f>IF(AND(MyRowHidden(ROW())=FALSE,MyRowHidden(ROW()-1)=TRUE),0,(E1628-E1627)*unitsOfDHp+I1627)</f>
        <v>-3920</v>
      </c>
      <c r="J1628">
        <f>IF(AND(MyRowHidden(ROW())=FALSE,MyRowHidden(ROW()-1)=TRUE),0,(G1628-G1627)*unitsOfExo+J1627)</f>
        <v>50000</v>
      </c>
      <c r="K1628" s="9">
        <f t="shared" si="80"/>
        <v>50000</v>
      </c>
      <c r="L1628">
        <f t="shared" si="81"/>
        <v>46080</v>
      </c>
    </row>
    <row r="1629" spans="4:12" x14ac:dyDescent="0.25">
      <c r="D1629" s="1"/>
      <c r="E1629">
        <v>-5392</v>
      </c>
      <c r="F1629" s="1"/>
      <c r="H1629" s="1">
        <f t="shared" si="79"/>
        <v>0</v>
      </c>
      <c r="I1629">
        <f>IF(AND(MyRowHidden(ROW())=FALSE,MyRowHidden(ROW()-1)=TRUE),0,(E1629-E1628)*unitsOfDHp+I1628)</f>
        <v>-3920</v>
      </c>
      <c r="J1629">
        <f>IF(AND(MyRowHidden(ROW())=FALSE,MyRowHidden(ROW()-1)=TRUE),0,(G1629-G1628)*unitsOfExo+J1628)</f>
        <v>50000</v>
      </c>
      <c r="K1629" s="9">
        <f t="shared" si="80"/>
        <v>50000</v>
      </c>
      <c r="L1629">
        <f t="shared" si="81"/>
        <v>46080</v>
      </c>
    </row>
    <row r="1630" spans="4:12" x14ac:dyDescent="0.25">
      <c r="D1630" s="1"/>
      <c r="E1630">
        <v>-5392</v>
      </c>
      <c r="F1630" s="1"/>
      <c r="H1630" s="1">
        <f t="shared" si="79"/>
        <v>0</v>
      </c>
      <c r="I1630">
        <f>IF(AND(MyRowHidden(ROW())=FALSE,MyRowHidden(ROW()-1)=TRUE),0,(E1630-E1629)*unitsOfDHp+I1629)</f>
        <v>-3920</v>
      </c>
      <c r="J1630">
        <f>IF(AND(MyRowHidden(ROW())=FALSE,MyRowHidden(ROW()-1)=TRUE),0,(G1630-G1629)*unitsOfExo+J1629)</f>
        <v>50000</v>
      </c>
      <c r="K1630" s="9">
        <f t="shared" si="80"/>
        <v>50000</v>
      </c>
      <c r="L1630">
        <f t="shared" si="81"/>
        <v>46080</v>
      </c>
    </row>
    <row r="1631" spans="4:12" x14ac:dyDescent="0.25">
      <c r="D1631" s="1"/>
      <c r="E1631">
        <v>-5392</v>
      </c>
      <c r="F1631" s="1"/>
      <c r="H1631" s="1">
        <f t="shared" si="79"/>
        <v>0</v>
      </c>
      <c r="I1631">
        <f>IF(AND(MyRowHidden(ROW())=FALSE,MyRowHidden(ROW()-1)=TRUE),0,(E1631-E1630)*unitsOfDHp+I1630)</f>
        <v>-3920</v>
      </c>
      <c r="J1631">
        <f>IF(AND(MyRowHidden(ROW())=FALSE,MyRowHidden(ROW()-1)=TRUE),0,(G1631-G1630)*unitsOfExo+J1630)</f>
        <v>50000</v>
      </c>
      <c r="K1631" s="9">
        <f t="shared" si="80"/>
        <v>50000</v>
      </c>
      <c r="L1631">
        <f t="shared" si="81"/>
        <v>46080</v>
      </c>
    </row>
    <row r="1632" spans="4:12" x14ac:dyDescent="0.25">
      <c r="D1632" s="1"/>
      <c r="E1632">
        <v>-5392</v>
      </c>
      <c r="F1632" s="1"/>
      <c r="H1632" s="1">
        <f t="shared" si="79"/>
        <v>0</v>
      </c>
      <c r="I1632">
        <f>IF(AND(MyRowHidden(ROW())=FALSE,MyRowHidden(ROW()-1)=TRUE),0,(E1632-E1631)*unitsOfDHp+I1631)</f>
        <v>-3920</v>
      </c>
      <c r="J1632">
        <f>IF(AND(MyRowHidden(ROW())=FALSE,MyRowHidden(ROW()-1)=TRUE),0,(G1632-G1631)*unitsOfExo+J1631)</f>
        <v>50000</v>
      </c>
      <c r="K1632" s="9">
        <f t="shared" si="80"/>
        <v>50000</v>
      </c>
      <c r="L1632">
        <f t="shared" si="81"/>
        <v>46080</v>
      </c>
    </row>
    <row r="1633" spans="4:12" x14ac:dyDescent="0.25">
      <c r="D1633" s="1"/>
      <c r="E1633">
        <v>-5392</v>
      </c>
      <c r="F1633" s="1"/>
      <c r="H1633" s="1">
        <f t="shared" si="79"/>
        <v>0</v>
      </c>
      <c r="I1633">
        <f>IF(AND(MyRowHidden(ROW())=FALSE,MyRowHidden(ROW()-1)=TRUE),0,(E1633-E1632)*unitsOfDHp+I1632)</f>
        <v>-3920</v>
      </c>
      <c r="J1633">
        <f>IF(AND(MyRowHidden(ROW())=FALSE,MyRowHidden(ROW()-1)=TRUE),0,(G1633-G1632)*unitsOfExo+J1632)</f>
        <v>50000</v>
      </c>
      <c r="K1633" s="9">
        <f t="shared" si="80"/>
        <v>50000</v>
      </c>
      <c r="L1633">
        <f t="shared" si="81"/>
        <v>46080</v>
      </c>
    </row>
    <row r="1634" spans="4:12" x14ac:dyDescent="0.25">
      <c r="D1634" s="1"/>
      <c r="E1634">
        <v>-5392</v>
      </c>
      <c r="F1634" s="1"/>
      <c r="H1634" s="1">
        <f t="shared" si="79"/>
        <v>0</v>
      </c>
      <c r="I1634">
        <f>IF(AND(MyRowHidden(ROW())=FALSE,MyRowHidden(ROW()-1)=TRUE),0,(E1634-E1633)*unitsOfDHp+I1633)</f>
        <v>-3920</v>
      </c>
      <c r="J1634">
        <f>IF(AND(MyRowHidden(ROW())=FALSE,MyRowHidden(ROW()-1)=TRUE),0,(G1634-G1633)*unitsOfExo+J1633)</f>
        <v>50000</v>
      </c>
      <c r="K1634" s="9">
        <f t="shared" si="80"/>
        <v>50000</v>
      </c>
      <c r="L1634">
        <f t="shared" si="81"/>
        <v>46080</v>
      </c>
    </row>
    <row r="1635" spans="4:12" x14ac:dyDescent="0.25">
      <c r="D1635" s="1"/>
      <c r="E1635">
        <v>-5392</v>
      </c>
      <c r="F1635" s="1"/>
      <c r="H1635" s="1">
        <f t="shared" si="79"/>
        <v>0</v>
      </c>
      <c r="I1635">
        <f>IF(AND(MyRowHidden(ROW())=FALSE,MyRowHidden(ROW()-1)=TRUE),0,(E1635-E1634)*unitsOfDHp+I1634)</f>
        <v>-3920</v>
      </c>
      <c r="J1635">
        <f>IF(AND(MyRowHidden(ROW())=FALSE,MyRowHidden(ROW()-1)=TRUE),0,(G1635-G1634)*unitsOfExo+J1634)</f>
        <v>50000</v>
      </c>
      <c r="K1635" s="9">
        <f t="shared" si="80"/>
        <v>50000</v>
      </c>
      <c r="L1635">
        <f t="shared" si="81"/>
        <v>46080</v>
      </c>
    </row>
    <row r="1636" spans="4:12" x14ac:dyDescent="0.25">
      <c r="D1636" s="1"/>
      <c r="E1636">
        <v>-5392</v>
      </c>
      <c r="F1636" s="1"/>
      <c r="H1636" s="1">
        <f t="shared" si="79"/>
        <v>0</v>
      </c>
      <c r="I1636">
        <f>IF(AND(MyRowHidden(ROW())=FALSE,MyRowHidden(ROW()-1)=TRUE),0,(E1636-E1635)*unitsOfDHp+I1635)</f>
        <v>-3920</v>
      </c>
      <c r="J1636">
        <f>IF(AND(MyRowHidden(ROW())=FALSE,MyRowHidden(ROW()-1)=TRUE),0,(G1636-G1635)*unitsOfExo+J1635)</f>
        <v>50000</v>
      </c>
      <c r="K1636" s="9">
        <f t="shared" si="80"/>
        <v>50000</v>
      </c>
      <c r="L1636">
        <f t="shared" si="81"/>
        <v>46080</v>
      </c>
    </row>
    <row r="1637" spans="4:12" x14ac:dyDescent="0.25">
      <c r="D1637" s="1"/>
      <c r="E1637">
        <v>-5392</v>
      </c>
      <c r="F1637" s="1"/>
      <c r="H1637" s="1">
        <f t="shared" si="79"/>
        <v>0</v>
      </c>
      <c r="I1637">
        <f>IF(AND(MyRowHidden(ROW())=FALSE,MyRowHidden(ROW()-1)=TRUE),0,(E1637-E1636)*unitsOfDHp+I1636)</f>
        <v>-3920</v>
      </c>
      <c r="J1637">
        <f>IF(AND(MyRowHidden(ROW())=FALSE,MyRowHidden(ROW()-1)=TRUE),0,(G1637-G1636)*unitsOfExo+J1636)</f>
        <v>50000</v>
      </c>
      <c r="K1637" s="9">
        <f t="shared" si="80"/>
        <v>50000</v>
      </c>
      <c r="L1637">
        <f t="shared" si="81"/>
        <v>46080</v>
      </c>
    </row>
    <row r="1638" spans="4:12" x14ac:dyDescent="0.25">
      <c r="D1638" s="1"/>
      <c r="E1638">
        <v>-5392</v>
      </c>
      <c r="F1638" s="1"/>
      <c r="H1638" s="1">
        <f t="shared" si="79"/>
        <v>0</v>
      </c>
      <c r="I1638">
        <f>IF(AND(MyRowHidden(ROW())=FALSE,MyRowHidden(ROW()-1)=TRUE),0,(E1638-E1637)*unitsOfDHp+I1637)</f>
        <v>-3920</v>
      </c>
      <c r="J1638">
        <f>IF(AND(MyRowHidden(ROW())=FALSE,MyRowHidden(ROW()-1)=TRUE),0,(G1638-G1637)*unitsOfExo+J1637)</f>
        <v>50000</v>
      </c>
      <c r="K1638" s="9">
        <f t="shared" si="80"/>
        <v>50000</v>
      </c>
      <c r="L1638">
        <f t="shared" si="81"/>
        <v>46080</v>
      </c>
    </row>
    <row r="1639" spans="4:12" x14ac:dyDescent="0.25">
      <c r="D1639" s="1"/>
      <c r="E1639">
        <v>-5392</v>
      </c>
      <c r="F1639" s="1"/>
      <c r="H1639" s="1">
        <f t="shared" si="79"/>
        <v>0</v>
      </c>
      <c r="I1639">
        <f>IF(AND(MyRowHidden(ROW())=FALSE,MyRowHidden(ROW()-1)=TRUE),0,(E1639-E1638)*unitsOfDHp+I1638)</f>
        <v>-3920</v>
      </c>
      <c r="J1639">
        <f>IF(AND(MyRowHidden(ROW())=FALSE,MyRowHidden(ROW()-1)=TRUE),0,(G1639-G1638)*unitsOfExo+J1638)</f>
        <v>50000</v>
      </c>
      <c r="K1639" s="9">
        <f t="shared" si="80"/>
        <v>50000</v>
      </c>
      <c r="L1639">
        <f t="shared" si="81"/>
        <v>46080</v>
      </c>
    </row>
    <row r="1640" spans="4:12" x14ac:dyDescent="0.25">
      <c r="D1640" s="1"/>
      <c r="E1640">
        <v>-5392</v>
      </c>
      <c r="F1640" s="1"/>
      <c r="H1640" s="1">
        <f t="shared" si="79"/>
        <v>0</v>
      </c>
      <c r="I1640">
        <f>IF(AND(MyRowHidden(ROW())=FALSE,MyRowHidden(ROW()-1)=TRUE),0,(E1640-E1639)*unitsOfDHp+I1639)</f>
        <v>-3920</v>
      </c>
      <c r="J1640">
        <f>IF(AND(MyRowHidden(ROW())=FALSE,MyRowHidden(ROW()-1)=TRUE),0,(G1640-G1639)*unitsOfExo+J1639)</f>
        <v>50000</v>
      </c>
      <c r="K1640" s="9">
        <f t="shared" si="80"/>
        <v>50000</v>
      </c>
      <c r="L1640">
        <f t="shared" si="81"/>
        <v>46080</v>
      </c>
    </row>
    <row r="1641" spans="4:12" x14ac:dyDescent="0.25">
      <c r="D1641" s="1"/>
      <c r="E1641">
        <v>-5392</v>
      </c>
      <c r="F1641" s="1"/>
      <c r="H1641" s="1">
        <f t="shared" si="79"/>
        <v>0</v>
      </c>
      <c r="I1641">
        <f>IF(AND(MyRowHidden(ROW())=FALSE,MyRowHidden(ROW()-1)=TRUE),0,(E1641-E1640)*unitsOfDHp+I1640)</f>
        <v>-3920</v>
      </c>
      <c r="J1641">
        <f>IF(AND(MyRowHidden(ROW())=FALSE,MyRowHidden(ROW()-1)=TRUE),0,(G1641-G1640)*unitsOfExo+J1640)</f>
        <v>50000</v>
      </c>
      <c r="K1641" s="9">
        <f t="shared" si="80"/>
        <v>50000</v>
      </c>
      <c r="L1641">
        <f t="shared" si="81"/>
        <v>46080</v>
      </c>
    </row>
    <row r="1642" spans="4:12" x14ac:dyDescent="0.25">
      <c r="D1642" s="1"/>
      <c r="E1642">
        <v>-5392</v>
      </c>
      <c r="F1642" s="1"/>
      <c r="H1642" s="1">
        <f t="shared" si="79"/>
        <v>0</v>
      </c>
      <c r="I1642">
        <f>IF(AND(MyRowHidden(ROW())=FALSE,MyRowHidden(ROW()-1)=TRUE),0,(E1642-E1641)*unitsOfDHp+I1641)</f>
        <v>-3920</v>
      </c>
      <c r="J1642">
        <f>IF(AND(MyRowHidden(ROW())=FALSE,MyRowHidden(ROW()-1)=TRUE),0,(G1642-G1641)*unitsOfExo+J1641)</f>
        <v>50000</v>
      </c>
      <c r="K1642" s="9">
        <f t="shared" si="80"/>
        <v>50000</v>
      </c>
      <c r="L1642">
        <f t="shared" si="81"/>
        <v>46080</v>
      </c>
    </row>
    <row r="1643" spans="4:12" x14ac:dyDescent="0.25">
      <c r="D1643" s="1"/>
      <c r="E1643">
        <v>-5392</v>
      </c>
      <c r="F1643" s="1"/>
      <c r="H1643" s="1">
        <f t="shared" si="79"/>
        <v>0</v>
      </c>
      <c r="I1643">
        <f>IF(AND(MyRowHidden(ROW())=FALSE,MyRowHidden(ROW()-1)=TRUE),0,(E1643-E1642)*unitsOfDHp+I1642)</f>
        <v>-3920</v>
      </c>
      <c r="J1643">
        <f>IF(AND(MyRowHidden(ROW())=FALSE,MyRowHidden(ROW()-1)=TRUE),0,(G1643-G1642)*unitsOfExo+J1642)</f>
        <v>50000</v>
      </c>
      <c r="K1643" s="9">
        <f t="shared" si="80"/>
        <v>50000</v>
      </c>
      <c r="L1643">
        <f t="shared" si="81"/>
        <v>46080</v>
      </c>
    </row>
    <row r="1644" spans="4:12" x14ac:dyDescent="0.25">
      <c r="D1644" s="1"/>
      <c r="E1644">
        <v>-5392</v>
      </c>
      <c r="F1644" s="1"/>
      <c r="H1644" s="1">
        <f t="shared" si="79"/>
        <v>0</v>
      </c>
      <c r="I1644">
        <f>IF(AND(MyRowHidden(ROW())=FALSE,MyRowHidden(ROW()-1)=TRUE),0,(E1644-E1643)*unitsOfDHp+I1643)</f>
        <v>-3920</v>
      </c>
      <c r="J1644">
        <f>IF(AND(MyRowHidden(ROW())=FALSE,MyRowHidden(ROW()-1)=TRUE),0,(G1644-G1643)*unitsOfExo+J1643)</f>
        <v>50000</v>
      </c>
      <c r="K1644" s="9">
        <f t="shared" si="80"/>
        <v>50000</v>
      </c>
      <c r="L1644">
        <f t="shared" si="81"/>
        <v>46080</v>
      </c>
    </row>
    <row r="1645" spans="4:12" x14ac:dyDescent="0.25">
      <c r="D1645" s="1"/>
      <c r="E1645">
        <v>-5392</v>
      </c>
      <c r="F1645" s="1"/>
      <c r="H1645" s="1">
        <f t="shared" si="79"/>
        <v>0</v>
      </c>
      <c r="I1645">
        <f>IF(AND(MyRowHidden(ROW())=FALSE,MyRowHidden(ROW()-1)=TRUE),0,(E1645-E1644)*unitsOfDHp+I1644)</f>
        <v>-3920</v>
      </c>
      <c r="J1645">
        <f>IF(AND(MyRowHidden(ROW())=FALSE,MyRowHidden(ROW()-1)=TRUE),0,(G1645-G1644)*unitsOfExo+J1644)</f>
        <v>50000</v>
      </c>
      <c r="K1645" s="9">
        <f t="shared" si="80"/>
        <v>50000</v>
      </c>
      <c r="L1645">
        <f t="shared" si="81"/>
        <v>46080</v>
      </c>
    </row>
    <row r="1646" spans="4:12" x14ac:dyDescent="0.25">
      <c r="D1646" s="1"/>
      <c r="E1646">
        <v>-5392</v>
      </c>
      <c r="F1646" s="1"/>
      <c r="H1646" s="1">
        <f t="shared" si="79"/>
        <v>0</v>
      </c>
      <c r="I1646">
        <f>IF(AND(MyRowHidden(ROW())=FALSE,MyRowHidden(ROW()-1)=TRUE),0,(E1646-E1645)*unitsOfDHp+I1645)</f>
        <v>-3920</v>
      </c>
      <c r="J1646">
        <f>IF(AND(MyRowHidden(ROW())=FALSE,MyRowHidden(ROW()-1)=TRUE),0,(G1646-G1645)*unitsOfExo+J1645)</f>
        <v>50000</v>
      </c>
      <c r="K1646" s="9">
        <f t="shared" si="80"/>
        <v>50000</v>
      </c>
      <c r="L1646">
        <f t="shared" si="81"/>
        <v>46080</v>
      </c>
    </row>
    <row r="1647" spans="4:12" x14ac:dyDescent="0.25">
      <c r="D1647" s="1"/>
      <c r="E1647">
        <v>-5392</v>
      </c>
      <c r="F1647" s="1"/>
      <c r="H1647" s="1">
        <f t="shared" si="79"/>
        <v>0</v>
      </c>
      <c r="I1647">
        <f>IF(AND(MyRowHidden(ROW())=FALSE,MyRowHidden(ROW()-1)=TRUE),0,(E1647-E1646)*unitsOfDHp+I1646)</f>
        <v>-3920</v>
      </c>
      <c r="J1647">
        <f>IF(AND(MyRowHidden(ROW())=FALSE,MyRowHidden(ROW()-1)=TRUE),0,(G1647-G1646)*unitsOfExo+J1646)</f>
        <v>50000</v>
      </c>
      <c r="K1647" s="9">
        <f t="shared" si="80"/>
        <v>50000</v>
      </c>
      <c r="L1647">
        <f t="shared" si="81"/>
        <v>46080</v>
      </c>
    </row>
    <row r="1648" spans="4:12" x14ac:dyDescent="0.25">
      <c r="D1648" s="1"/>
      <c r="E1648">
        <v>-5392</v>
      </c>
      <c r="F1648" s="1"/>
      <c r="H1648" s="1">
        <f t="shared" si="79"/>
        <v>0</v>
      </c>
      <c r="I1648">
        <f>IF(AND(MyRowHidden(ROW())=FALSE,MyRowHidden(ROW()-1)=TRUE),0,(E1648-E1647)*unitsOfDHp+I1647)</f>
        <v>-3920</v>
      </c>
      <c r="J1648">
        <f>IF(AND(MyRowHidden(ROW())=FALSE,MyRowHidden(ROW()-1)=TRUE),0,(G1648-G1647)*unitsOfExo+J1647)</f>
        <v>50000</v>
      </c>
      <c r="K1648" s="9">
        <f t="shared" si="80"/>
        <v>50000</v>
      </c>
      <c r="L1648">
        <f t="shared" si="81"/>
        <v>46080</v>
      </c>
    </row>
    <row r="1649" spans="4:12" x14ac:dyDescent="0.25">
      <c r="D1649" s="1"/>
      <c r="E1649">
        <v>-5392</v>
      </c>
      <c r="F1649" s="1"/>
      <c r="H1649" s="1">
        <f t="shared" si="79"/>
        <v>0</v>
      </c>
      <c r="I1649">
        <f>IF(AND(MyRowHidden(ROW())=FALSE,MyRowHidden(ROW()-1)=TRUE),0,(E1649-E1648)*unitsOfDHp+I1648)</f>
        <v>-3920</v>
      </c>
      <c r="J1649">
        <f>IF(AND(MyRowHidden(ROW())=FALSE,MyRowHidden(ROW()-1)=TRUE),0,(G1649-G1648)*unitsOfExo+J1648)</f>
        <v>50000</v>
      </c>
      <c r="K1649" s="9">
        <f t="shared" si="80"/>
        <v>50000</v>
      </c>
      <c r="L1649">
        <f t="shared" si="81"/>
        <v>46080</v>
      </c>
    </row>
    <row r="1650" spans="4:12" x14ac:dyDescent="0.25">
      <c r="D1650" s="1"/>
      <c r="E1650">
        <v>-5392</v>
      </c>
      <c r="F1650" s="1"/>
      <c r="H1650" s="1">
        <f t="shared" si="79"/>
        <v>0</v>
      </c>
      <c r="I1650">
        <f>IF(AND(MyRowHidden(ROW())=FALSE,MyRowHidden(ROW()-1)=TRUE),0,(E1650-E1649)*unitsOfDHp+I1649)</f>
        <v>-3920</v>
      </c>
      <c r="J1650">
        <f>IF(AND(MyRowHidden(ROW())=FALSE,MyRowHidden(ROW()-1)=TRUE),0,(G1650-G1649)*unitsOfExo+J1649)</f>
        <v>50000</v>
      </c>
      <c r="K1650" s="9">
        <f t="shared" si="80"/>
        <v>50000</v>
      </c>
      <c r="L1650">
        <f t="shared" si="81"/>
        <v>46080</v>
      </c>
    </row>
    <row r="1651" spans="4:12" x14ac:dyDescent="0.25">
      <c r="D1651" s="1"/>
      <c r="E1651">
        <v>-5392</v>
      </c>
      <c r="F1651" s="1"/>
      <c r="H1651" s="1">
        <f t="shared" si="79"/>
        <v>0</v>
      </c>
      <c r="I1651">
        <f>IF(AND(MyRowHidden(ROW())=FALSE,MyRowHidden(ROW()-1)=TRUE),0,(E1651-E1650)*unitsOfDHp+I1650)</f>
        <v>-3920</v>
      </c>
      <c r="J1651">
        <f>IF(AND(MyRowHidden(ROW())=FALSE,MyRowHidden(ROW()-1)=TRUE),0,(G1651-G1650)*unitsOfExo+J1650)</f>
        <v>50000</v>
      </c>
      <c r="K1651" s="9">
        <f t="shared" si="80"/>
        <v>50000</v>
      </c>
      <c r="L1651">
        <f t="shared" si="81"/>
        <v>46080</v>
      </c>
    </row>
    <row r="1652" spans="4:12" x14ac:dyDescent="0.25">
      <c r="D1652" s="1"/>
      <c r="E1652">
        <v>-5392</v>
      </c>
      <c r="F1652" s="1"/>
      <c r="H1652" s="1">
        <f t="shared" si="79"/>
        <v>0</v>
      </c>
      <c r="I1652">
        <f>IF(AND(MyRowHidden(ROW())=FALSE,MyRowHidden(ROW()-1)=TRUE),0,(E1652-E1651)*unitsOfDHp+I1651)</f>
        <v>-3920</v>
      </c>
      <c r="J1652">
        <f>IF(AND(MyRowHidden(ROW())=FALSE,MyRowHidden(ROW()-1)=TRUE),0,(G1652-G1651)*unitsOfExo+J1651)</f>
        <v>50000</v>
      </c>
      <c r="K1652" s="9">
        <f t="shared" si="80"/>
        <v>50000</v>
      </c>
      <c r="L1652">
        <f t="shared" si="81"/>
        <v>46080</v>
      </c>
    </row>
    <row r="1653" spans="4:12" x14ac:dyDescent="0.25">
      <c r="D1653" s="1"/>
      <c r="E1653">
        <v>-5392</v>
      </c>
      <c r="F1653" s="1"/>
      <c r="H1653" s="1">
        <f t="shared" si="79"/>
        <v>0</v>
      </c>
      <c r="I1653">
        <f>IF(AND(MyRowHidden(ROW())=FALSE,MyRowHidden(ROW()-1)=TRUE),0,(E1653-E1652)*unitsOfDHp+I1652)</f>
        <v>-3920</v>
      </c>
      <c r="J1653">
        <f>IF(AND(MyRowHidden(ROW())=FALSE,MyRowHidden(ROW()-1)=TRUE),0,(G1653-G1652)*unitsOfExo+J1652)</f>
        <v>50000</v>
      </c>
      <c r="K1653" s="9">
        <f t="shared" si="80"/>
        <v>50000</v>
      </c>
      <c r="L1653">
        <f t="shared" si="81"/>
        <v>46080</v>
      </c>
    </row>
    <row r="1654" spans="4:12" x14ac:dyDescent="0.25">
      <c r="D1654" s="1"/>
      <c r="E1654">
        <v>-5392</v>
      </c>
      <c r="F1654" s="1"/>
      <c r="H1654" s="1">
        <f t="shared" si="79"/>
        <v>0</v>
      </c>
      <c r="I1654">
        <f>IF(AND(MyRowHidden(ROW())=FALSE,MyRowHidden(ROW()-1)=TRUE),0,(E1654-E1653)*unitsOfDHp+I1653)</f>
        <v>-3920</v>
      </c>
      <c r="J1654">
        <f>IF(AND(MyRowHidden(ROW())=FALSE,MyRowHidden(ROW()-1)=TRUE),0,(G1654-G1653)*unitsOfExo+J1653)</f>
        <v>50000</v>
      </c>
      <c r="K1654" s="9">
        <f t="shared" si="80"/>
        <v>50000</v>
      </c>
      <c r="L1654">
        <f t="shared" si="81"/>
        <v>46080</v>
      </c>
    </row>
    <row r="1655" spans="4:12" x14ac:dyDescent="0.25">
      <c r="D1655" s="1"/>
      <c r="E1655">
        <v>-5392</v>
      </c>
      <c r="F1655" s="1"/>
      <c r="H1655" s="1">
        <f t="shared" si="79"/>
        <v>0</v>
      </c>
      <c r="I1655">
        <f>IF(AND(MyRowHidden(ROW())=FALSE,MyRowHidden(ROW()-1)=TRUE),0,(E1655-E1654)*unitsOfDHp+I1654)</f>
        <v>-3920</v>
      </c>
      <c r="J1655">
        <f>IF(AND(MyRowHidden(ROW())=FALSE,MyRowHidden(ROW()-1)=TRUE),0,(G1655-G1654)*unitsOfExo+J1654)</f>
        <v>50000</v>
      </c>
      <c r="K1655" s="9">
        <f t="shared" si="80"/>
        <v>50000</v>
      </c>
      <c r="L1655">
        <f t="shared" si="81"/>
        <v>46080</v>
      </c>
    </row>
    <row r="1656" spans="4:12" x14ac:dyDescent="0.25">
      <c r="D1656" s="1"/>
      <c r="E1656">
        <v>-5392</v>
      </c>
      <c r="F1656" s="1"/>
      <c r="H1656" s="1">
        <f t="shared" si="79"/>
        <v>0</v>
      </c>
      <c r="I1656">
        <f>IF(AND(MyRowHidden(ROW())=FALSE,MyRowHidden(ROW()-1)=TRUE),0,(E1656-E1655)*unitsOfDHp+I1655)</f>
        <v>-3920</v>
      </c>
      <c r="J1656">
        <f>IF(AND(MyRowHidden(ROW())=FALSE,MyRowHidden(ROW()-1)=TRUE),0,(G1656-G1655)*unitsOfExo+J1655)</f>
        <v>50000</v>
      </c>
      <c r="K1656" s="9">
        <f t="shared" si="80"/>
        <v>50000</v>
      </c>
      <c r="L1656">
        <f t="shared" si="81"/>
        <v>46080</v>
      </c>
    </row>
    <row r="1657" spans="4:12" x14ac:dyDescent="0.25">
      <c r="D1657" s="1"/>
      <c r="E1657">
        <v>-5392</v>
      </c>
      <c r="F1657" s="1"/>
      <c r="H1657" s="1">
        <f t="shared" si="79"/>
        <v>0</v>
      </c>
      <c r="I1657">
        <f>IF(AND(MyRowHidden(ROW())=FALSE,MyRowHidden(ROW()-1)=TRUE),0,(E1657-E1656)*unitsOfDHp+I1656)</f>
        <v>-3920</v>
      </c>
      <c r="J1657">
        <f>IF(AND(MyRowHidden(ROW())=FALSE,MyRowHidden(ROW()-1)=TRUE),0,(G1657-G1656)*unitsOfExo+J1656)</f>
        <v>50000</v>
      </c>
      <c r="K1657" s="9">
        <f t="shared" si="80"/>
        <v>50000</v>
      </c>
      <c r="L1657">
        <f t="shared" si="81"/>
        <v>46080</v>
      </c>
    </row>
    <row r="1658" spans="4:12" x14ac:dyDescent="0.25">
      <c r="D1658" s="1"/>
      <c r="E1658">
        <v>-5392</v>
      </c>
      <c r="F1658" s="1"/>
      <c r="H1658" s="1">
        <f t="shared" si="79"/>
        <v>0</v>
      </c>
      <c r="I1658">
        <f>IF(AND(MyRowHidden(ROW())=FALSE,MyRowHidden(ROW()-1)=TRUE),0,(E1658-E1657)*unitsOfDHp+I1657)</f>
        <v>-3920</v>
      </c>
      <c r="J1658">
        <f>IF(AND(MyRowHidden(ROW())=FALSE,MyRowHidden(ROW()-1)=TRUE),0,(G1658-G1657)*unitsOfExo+J1657)</f>
        <v>50000</v>
      </c>
      <c r="K1658" s="9">
        <f t="shared" si="80"/>
        <v>50000</v>
      </c>
      <c r="L1658">
        <f t="shared" si="81"/>
        <v>46080</v>
      </c>
    </row>
    <row r="1659" spans="4:12" x14ac:dyDescent="0.25">
      <c r="D1659" s="1"/>
      <c r="E1659">
        <v>-5392</v>
      </c>
      <c r="F1659" s="1"/>
      <c r="H1659" s="1">
        <f t="shared" si="79"/>
        <v>0</v>
      </c>
      <c r="I1659">
        <f>IF(AND(MyRowHidden(ROW())=FALSE,MyRowHidden(ROW()-1)=TRUE),0,(E1659-E1658)*unitsOfDHp+I1658)</f>
        <v>-3920</v>
      </c>
      <c r="J1659">
        <f>IF(AND(MyRowHidden(ROW())=FALSE,MyRowHidden(ROW()-1)=TRUE),0,(G1659-G1658)*unitsOfExo+J1658)</f>
        <v>50000</v>
      </c>
      <c r="K1659" s="9">
        <f t="shared" si="80"/>
        <v>50000</v>
      </c>
      <c r="L1659">
        <f t="shared" si="81"/>
        <v>46080</v>
      </c>
    </row>
    <row r="1660" spans="4:12" x14ac:dyDescent="0.25">
      <c r="D1660" s="1"/>
      <c r="E1660">
        <v>-5392</v>
      </c>
      <c r="F1660" s="1"/>
      <c r="H1660" s="1">
        <f t="shared" si="79"/>
        <v>0</v>
      </c>
      <c r="I1660">
        <f>IF(AND(MyRowHidden(ROW())=FALSE,MyRowHidden(ROW()-1)=TRUE),0,(E1660-E1659)*unitsOfDHp+I1659)</f>
        <v>-3920</v>
      </c>
      <c r="J1660">
        <f>IF(AND(MyRowHidden(ROW())=FALSE,MyRowHidden(ROW()-1)=TRUE),0,(G1660-G1659)*unitsOfExo+J1659)</f>
        <v>50000</v>
      </c>
      <c r="K1660" s="9">
        <f t="shared" si="80"/>
        <v>50000</v>
      </c>
      <c r="L1660">
        <f t="shared" si="81"/>
        <v>46080</v>
      </c>
    </row>
    <row r="1661" spans="4:12" x14ac:dyDescent="0.25">
      <c r="D1661" s="1"/>
      <c r="E1661">
        <v>-5392</v>
      </c>
      <c r="F1661" s="1"/>
      <c r="H1661" s="1">
        <f t="shared" si="79"/>
        <v>0</v>
      </c>
      <c r="I1661">
        <f>IF(AND(MyRowHidden(ROW())=FALSE,MyRowHidden(ROW()-1)=TRUE),0,(E1661-E1660)*unitsOfDHp+I1660)</f>
        <v>-3920</v>
      </c>
      <c r="J1661">
        <f>IF(AND(MyRowHidden(ROW())=FALSE,MyRowHidden(ROW()-1)=TRUE),0,(G1661-G1660)*unitsOfExo+J1660)</f>
        <v>50000</v>
      </c>
      <c r="K1661" s="9">
        <f t="shared" si="80"/>
        <v>50000</v>
      </c>
      <c r="L1661">
        <f t="shared" si="81"/>
        <v>46080</v>
      </c>
    </row>
    <row r="1662" spans="4:12" x14ac:dyDescent="0.25">
      <c r="D1662" s="1"/>
      <c r="E1662">
        <v>-5392</v>
      </c>
      <c r="F1662" s="1"/>
      <c r="H1662" s="1">
        <f t="shared" si="79"/>
        <v>0</v>
      </c>
      <c r="I1662">
        <f>IF(AND(MyRowHidden(ROW())=FALSE,MyRowHidden(ROW()-1)=TRUE),0,(E1662-E1661)*unitsOfDHp+I1661)</f>
        <v>-3920</v>
      </c>
      <c r="J1662">
        <f>IF(AND(MyRowHidden(ROW())=FALSE,MyRowHidden(ROW()-1)=TRUE),0,(G1662-G1661)*unitsOfExo+J1661)</f>
        <v>50000</v>
      </c>
      <c r="K1662" s="9">
        <f t="shared" si="80"/>
        <v>50000</v>
      </c>
      <c r="L1662">
        <f t="shared" si="81"/>
        <v>46080</v>
      </c>
    </row>
    <row r="1663" spans="4:12" x14ac:dyDescent="0.25">
      <c r="D1663" s="1"/>
      <c r="E1663">
        <v>-5392</v>
      </c>
      <c r="F1663" s="1"/>
      <c r="H1663" s="1">
        <f t="shared" si="79"/>
        <v>0</v>
      </c>
      <c r="I1663">
        <f>IF(AND(MyRowHidden(ROW())=FALSE,MyRowHidden(ROW()-1)=TRUE),0,(E1663-E1662)*unitsOfDHp+I1662)</f>
        <v>-3920</v>
      </c>
      <c r="J1663">
        <f>IF(AND(MyRowHidden(ROW())=FALSE,MyRowHidden(ROW()-1)=TRUE),0,(G1663-G1662)*unitsOfExo+J1662)</f>
        <v>50000</v>
      </c>
      <c r="K1663" s="9">
        <f t="shared" si="80"/>
        <v>50000</v>
      </c>
      <c r="L1663">
        <f t="shared" si="81"/>
        <v>46080</v>
      </c>
    </row>
    <row r="1664" spans="4:12" x14ac:dyDescent="0.25">
      <c r="D1664" s="1"/>
      <c r="E1664">
        <v>-5392</v>
      </c>
      <c r="F1664" s="1"/>
      <c r="H1664" s="1">
        <f t="shared" si="79"/>
        <v>0</v>
      </c>
      <c r="I1664">
        <f>IF(AND(MyRowHidden(ROW())=FALSE,MyRowHidden(ROW()-1)=TRUE),0,(E1664-E1663)*unitsOfDHp+I1663)</f>
        <v>-3920</v>
      </c>
      <c r="J1664">
        <f>IF(AND(MyRowHidden(ROW())=FALSE,MyRowHidden(ROW()-1)=TRUE),0,(G1664-G1663)*unitsOfExo+J1663)</f>
        <v>50000</v>
      </c>
      <c r="K1664" s="9">
        <f t="shared" si="80"/>
        <v>50000</v>
      </c>
      <c r="L1664">
        <f t="shared" si="81"/>
        <v>46080</v>
      </c>
    </row>
    <row r="1665" spans="4:12" x14ac:dyDescent="0.25">
      <c r="D1665" s="1"/>
      <c r="E1665">
        <v>-5392</v>
      </c>
      <c r="F1665" s="1"/>
      <c r="H1665" s="1">
        <f t="shared" si="79"/>
        <v>0</v>
      </c>
      <c r="I1665">
        <f>IF(AND(MyRowHidden(ROW())=FALSE,MyRowHidden(ROW()-1)=TRUE),0,(E1665-E1664)*unitsOfDHp+I1664)</f>
        <v>-3920</v>
      </c>
      <c r="J1665">
        <f>IF(AND(MyRowHidden(ROW())=FALSE,MyRowHidden(ROW()-1)=TRUE),0,(G1665-G1664)*unitsOfExo+J1664)</f>
        <v>50000</v>
      </c>
      <c r="K1665" s="9">
        <f t="shared" si="80"/>
        <v>50000</v>
      </c>
      <c r="L1665">
        <f t="shared" si="81"/>
        <v>46080</v>
      </c>
    </row>
    <row r="1666" spans="4:12" x14ac:dyDescent="0.25">
      <c r="D1666" s="1"/>
      <c r="E1666">
        <v>-5392</v>
      </c>
      <c r="F1666" s="1"/>
      <c r="H1666" s="1">
        <f t="shared" si="79"/>
        <v>0</v>
      </c>
      <c r="I1666">
        <f>IF(AND(MyRowHidden(ROW())=FALSE,MyRowHidden(ROW()-1)=TRUE),0,(E1666-E1665)*unitsOfDHp+I1665)</f>
        <v>-3920</v>
      </c>
      <c r="J1666">
        <f>IF(AND(MyRowHidden(ROW())=FALSE,MyRowHidden(ROW()-1)=TRUE),0,(G1666-G1665)*unitsOfExo+J1665)</f>
        <v>50000</v>
      </c>
      <c r="K1666" s="9">
        <f t="shared" si="80"/>
        <v>50000</v>
      </c>
      <c r="L1666">
        <f t="shared" si="81"/>
        <v>46080</v>
      </c>
    </row>
    <row r="1667" spans="4:12" x14ac:dyDescent="0.25">
      <c r="D1667" s="1"/>
      <c r="E1667">
        <v>-5392</v>
      </c>
      <c r="F1667" s="1"/>
      <c r="H1667" s="1">
        <f t="shared" si="79"/>
        <v>0</v>
      </c>
      <c r="I1667">
        <f>IF(AND(MyRowHidden(ROW())=FALSE,MyRowHidden(ROW()-1)=TRUE),0,(E1667-E1666)*unitsOfDHp+I1666)</f>
        <v>-3920</v>
      </c>
      <c r="J1667">
        <f>IF(AND(MyRowHidden(ROW())=FALSE,MyRowHidden(ROW()-1)=TRUE),0,(G1667-G1666)*unitsOfExo+J1666)</f>
        <v>50000</v>
      </c>
      <c r="K1667" s="9">
        <f t="shared" si="80"/>
        <v>50000</v>
      </c>
      <c r="L1667">
        <f t="shared" si="81"/>
        <v>46080</v>
      </c>
    </row>
    <row r="1668" spans="4:12" x14ac:dyDescent="0.25">
      <c r="D1668" s="1"/>
      <c r="E1668">
        <v>-5392</v>
      </c>
      <c r="F1668" s="1"/>
      <c r="H1668" s="1">
        <f t="shared" si="79"/>
        <v>0</v>
      </c>
      <c r="I1668">
        <f>IF(AND(MyRowHidden(ROW())=FALSE,MyRowHidden(ROW()-1)=TRUE),0,(E1668-E1667)*unitsOfDHp+I1667)</f>
        <v>-3920</v>
      </c>
      <c r="J1668">
        <f>IF(AND(MyRowHidden(ROW())=FALSE,MyRowHidden(ROW()-1)=TRUE),0,(G1668-G1667)*unitsOfExo+J1667)</f>
        <v>50000</v>
      </c>
      <c r="K1668" s="9">
        <f t="shared" si="80"/>
        <v>50000</v>
      </c>
      <c r="L1668">
        <f t="shared" si="81"/>
        <v>46080</v>
      </c>
    </row>
    <row r="1669" spans="4:12" x14ac:dyDescent="0.25">
      <c r="D1669" s="1"/>
      <c r="E1669">
        <v>-5392</v>
      </c>
      <c r="F1669" s="1"/>
      <c r="H1669" s="1">
        <f t="shared" si="79"/>
        <v>0</v>
      </c>
      <c r="I1669">
        <f>IF(AND(MyRowHidden(ROW())=FALSE,MyRowHidden(ROW()-1)=TRUE),0,(E1669-E1668)*unitsOfDHp+I1668)</f>
        <v>-3920</v>
      </c>
      <c r="J1669">
        <f>IF(AND(MyRowHidden(ROW())=FALSE,MyRowHidden(ROW()-1)=TRUE),0,(G1669-G1668)*unitsOfExo+J1668)</f>
        <v>50000</v>
      </c>
      <c r="K1669" s="9">
        <f t="shared" si="80"/>
        <v>50000</v>
      </c>
      <c r="L1669">
        <f t="shared" si="81"/>
        <v>46080</v>
      </c>
    </row>
    <row r="1670" spans="4:12" x14ac:dyDescent="0.25">
      <c r="D1670" s="1"/>
      <c r="E1670">
        <v>-5392</v>
      </c>
      <c r="F1670" s="1"/>
      <c r="H1670" s="1">
        <f t="shared" si="79"/>
        <v>0</v>
      </c>
      <c r="I1670">
        <f>IF(AND(MyRowHidden(ROW())=FALSE,MyRowHidden(ROW()-1)=TRUE),0,(E1670-E1669)*unitsOfDHp+I1669)</f>
        <v>-3920</v>
      </c>
      <c r="J1670">
        <f>IF(AND(MyRowHidden(ROW())=FALSE,MyRowHidden(ROW()-1)=TRUE),0,(G1670-G1669)*unitsOfExo+J1669)</f>
        <v>50000</v>
      </c>
      <c r="K1670" s="9">
        <f t="shared" si="80"/>
        <v>50000</v>
      </c>
      <c r="L1670">
        <f t="shared" si="81"/>
        <v>46080</v>
      </c>
    </row>
    <row r="1671" spans="4:12" x14ac:dyDescent="0.25">
      <c r="D1671" s="1"/>
      <c r="E1671">
        <v>-5392</v>
      </c>
      <c r="F1671" s="1"/>
      <c r="H1671" s="1">
        <f t="shared" si="79"/>
        <v>0</v>
      </c>
      <c r="I1671">
        <f>IF(AND(MyRowHidden(ROW())=FALSE,MyRowHidden(ROW()-1)=TRUE),0,(E1671-E1670)*unitsOfDHp+I1670)</f>
        <v>-3920</v>
      </c>
      <c r="J1671">
        <f>IF(AND(MyRowHidden(ROW())=FALSE,MyRowHidden(ROW()-1)=TRUE),0,(G1671-G1670)*unitsOfExo+J1670)</f>
        <v>50000</v>
      </c>
      <c r="K1671" s="9">
        <f t="shared" si="80"/>
        <v>50000</v>
      </c>
      <c r="L1671">
        <f t="shared" si="81"/>
        <v>46080</v>
      </c>
    </row>
    <row r="1672" spans="4:12" x14ac:dyDescent="0.25">
      <c r="D1672" s="1"/>
      <c r="E1672">
        <v>-5392</v>
      </c>
      <c r="F1672" s="1"/>
      <c r="H1672" s="1">
        <f t="shared" si="79"/>
        <v>0</v>
      </c>
      <c r="I1672">
        <f>IF(AND(MyRowHidden(ROW())=FALSE,MyRowHidden(ROW()-1)=TRUE),0,(E1672-E1671)*unitsOfDHp+I1671)</f>
        <v>-3920</v>
      </c>
      <c r="J1672">
        <f>IF(AND(MyRowHidden(ROW())=FALSE,MyRowHidden(ROW()-1)=TRUE),0,(G1672-G1671)*unitsOfExo+J1671)</f>
        <v>50000</v>
      </c>
      <c r="K1672" s="9">
        <f t="shared" si="80"/>
        <v>50000</v>
      </c>
      <c r="L1672">
        <f t="shared" si="81"/>
        <v>46080</v>
      </c>
    </row>
    <row r="1673" spans="4:12" x14ac:dyDescent="0.25">
      <c r="D1673" s="1"/>
      <c r="E1673">
        <v>-5392</v>
      </c>
      <c r="F1673" s="1"/>
      <c r="H1673" s="1">
        <f t="shared" si="79"/>
        <v>0</v>
      </c>
      <c r="I1673">
        <f>IF(AND(MyRowHidden(ROW())=FALSE,MyRowHidden(ROW()-1)=TRUE),0,(E1673-E1672)*unitsOfDHp+I1672)</f>
        <v>-3920</v>
      </c>
      <c r="J1673">
        <f>IF(AND(MyRowHidden(ROW())=FALSE,MyRowHidden(ROW()-1)=TRUE),0,(G1673-G1672)*unitsOfExo+J1672)</f>
        <v>50000</v>
      </c>
      <c r="K1673" s="9">
        <f t="shared" si="80"/>
        <v>50000</v>
      </c>
      <c r="L1673">
        <f t="shared" si="81"/>
        <v>46080</v>
      </c>
    </row>
    <row r="1674" spans="4:12" x14ac:dyDescent="0.25">
      <c r="D1674" s="1"/>
      <c r="E1674">
        <v>-5392</v>
      </c>
      <c r="F1674" s="1"/>
      <c r="H1674" s="1">
        <f t="shared" si="79"/>
        <v>0</v>
      </c>
      <c r="I1674">
        <f>IF(AND(MyRowHidden(ROW())=FALSE,MyRowHidden(ROW()-1)=TRUE),0,(E1674-E1673)*unitsOfDHp+I1673)</f>
        <v>-3920</v>
      </c>
      <c r="J1674">
        <f>IF(AND(MyRowHidden(ROW())=FALSE,MyRowHidden(ROW()-1)=TRUE),0,(G1674-G1673)*unitsOfExo+J1673)</f>
        <v>50000</v>
      </c>
      <c r="K1674" s="9">
        <f t="shared" si="80"/>
        <v>50000</v>
      </c>
      <c r="L1674">
        <f t="shared" si="81"/>
        <v>46080</v>
      </c>
    </row>
    <row r="1675" spans="4:12" x14ac:dyDescent="0.25">
      <c r="D1675" s="1"/>
      <c r="E1675">
        <v>-5392</v>
      </c>
      <c r="F1675" s="1"/>
      <c r="H1675" s="1">
        <f t="shared" si="79"/>
        <v>0</v>
      </c>
      <c r="I1675">
        <f>IF(AND(MyRowHidden(ROW())=FALSE,MyRowHidden(ROW()-1)=TRUE),0,(E1675-E1674)*unitsOfDHp+I1674)</f>
        <v>-3920</v>
      </c>
      <c r="J1675">
        <f>IF(AND(MyRowHidden(ROW())=FALSE,MyRowHidden(ROW()-1)=TRUE),0,(G1675-G1674)*unitsOfExo+J1674)</f>
        <v>50000</v>
      </c>
      <c r="K1675" s="9">
        <f t="shared" si="80"/>
        <v>50000</v>
      </c>
      <c r="L1675">
        <f t="shared" si="81"/>
        <v>46080</v>
      </c>
    </row>
    <row r="1676" spans="4:12" x14ac:dyDescent="0.25">
      <c r="D1676" s="1"/>
      <c r="E1676">
        <v>-5392</v>
      </c>
      <c r="F1676" s="1"/>
      <c r="H1676" s="1">
        <f t="shared" si="79"/>
        <v>0</v>
      </c>
      <c r="I1676">
        <f>IF(AND(MyRowHidden(ROW())=FALSE,MyRowHidden(ROW()-1)=TRUE),0,(E1676-E1675)*unitsOfDHp+I1675)</f>
        <v>-3920</v>
      </c>
      <c r="J1676">
        <f>IF(AND(MyRowHidden(ROW())=FALSE,MyRowHidden(ROW()-1)=TRUE),0,(G1676-G1675)*unitsOfExo+J1675)</f>
        <v>50000</v>
      </c>
      <c r="K1676" s="9">
        <f t="shared" si="80"/>
        <v>50000</v>
      </c>
      <c r="L1676">
        <f t="shared" si="81"/>
        <v>46080</v>
      </c>
    </row>
    <row r="1677" spans="4:12" x14ac:dyDescent="0.25">
      <c r="D1677" s="1"/>
      <c r="E1677">
        <v>-5392</v>
      </c>
      <c r="F1677" s="1"/>
      <c r="H1677" s="1">
        <f t="shared" ref="H1677:H1740" si="82">D1677</f>
        <v>0</v>
      </c>
      <c r="I1677">
        <f>IF(AND(MyRowHidden(ROW())=FALSE,MyRowHidden(ROW()-1)=TRUE),0,(E1677-E1676)*unitsOfDHp+I1676)</f>
        <v>-3920</v>
      </c>
      <c r="J1677">
        <f>IF(AND(MyRowHidden(ROW())=FALSE,MyRowHidden(ROW()-1)=TRUE),0,(G1677-G1676)*unitsOfExo+J1676)</f>
        <v>50000</v>
      </c>
      <c r="K1677" s="9">
        <f t="shared" ref="K1677:K1740" si="83">-(J1677-J1676)+K1676</f>
        <v>50000</v>
      </c>
      <c r="L1677">
        <f t="shared" ref="L1677:L1740" si="84">I1677+J1677</f>
        <v>46080</v>
      </c>
    </row>
    <row r="1678" spans="4:12" x14ac:dyDescent="0.25">
      <c r="D1678" s="1"/>
      <c r="E1678">
        <v>-5392</v>
      </c>
      <c r="F1678" s="1"/>
      <c r="H1678" s="1">
        <f t="shared" si="82"/>
        <v>0</v>
      </c>
      <c r="I1678">
        <f>IF(AND(MyRowHidden(ROW())=FALSE,MyRowHidden(ROW()-1)=TRUE),0,(E1678-E1677)*unitsOfDHp+I1677)</f>
        <v>-3920</v>
      </c>
      <c r="J1678">
        <f>IF(AND(MyRowHidden(ROW())=FALSE,MyRowHidden(ROW()-1)=TRUE),0,(G1678-G1677)*unitsOfExo+J1677)</f>
        <v>50000</v>
      </c>
      <c r="K1678" s="9">
        <f t="shared" si="83"/>
        <v>50000</v>
      </c>
      <c r="L1678">
        <f t="shared" si="84"/>
        <v>46080</v>
      </c>
    </row>
    <row r="1679" spans="4:12" x14ac:dyDescent="0.25">
      <c r="D1679" s="1"/>
      <c r="E1679">
        <v>-5392</v>
      </c>
      <c r="F1679" s="1"/>
      <c r="H1679" s="1">
        <f t="shared" si="82"/>
        <v>0</v>
      </c>
      <c r="I1679">
        <f>IF(AND(MyRowHidden(ROW())=FALSE,MyRowHidden(ROW()-1)=TRUE),0,(E1679-E1678)*unitsOfDHp+I1678)</f>
        <v>-3920</v>
      </c>
      <c r="J1679">
        <f>IF(AND(MyRowHidden(ROW())=FALSE,MyRowHidden(ROW()-1)=TRUE),0,(G1679-G1678)*unitsOfExo+J1678)</f>
        <v>50000</v>
      </c>
      <c r="K1679" s="9">
        <f t="shared" si="83"/>
        <v>50000</v>
      </c>
      <c r="L1679">
        <f t="shared" si="84"/>
        <v>46080</v>
      </c>
    </row>
    <row r="1680" spans="4:12" x14ac:dyDescent="0.25">
      <c r="D1680" s="1"/>
      <c r="E1680">
        <v>-5392</v>
      </c>
      <c r="F1680" s="1"/>
      <c r="H1680" s="1">
        <f t="shared" si="82"/>
        <v>0</v>
      </c>
      <c r="I1680">
        <f>IF(AND(MyRowHidden(ROW())=FALSE,MyRowHidden(ROW()-1)=TRUE),0,(E1680-E1679)*unitsOfDHp+I1679)</f>
        <v>-3920</v>
      </c>
      <c r="J1680">
        <f>IF(AND(MyRowHidden(ROW())=FALSE,MyRowHidden(ROW()-1)=TRUE),0,(G1680-G1679)*unitsOfExo+J1679)</f>
        <v>50000</v>
      </c>
      <c r="K1680" s="9">
        <f t="shared" si="83"/>
        <v>50000</v>
      </c>
      <c r="L1680">
        <f t="shared" si="84"/>
        <v>46080</v>
      </c>
    </row>
    <row r="1681" spans="4:12" x14ac:dyDescent="0.25">
      <c r="D1681" s="1"/>
      <c r="E1681">
        <v>-5392</v>
      </c>
      <c r="F1681" s="1"/>
      <c r="H1681" s="1">
        <f t="shared" si="82"/>
        <v>0</v>
      </c>
      <c r="I1681">
        <f>IF(AND(MyRowHidden(ROW())=FALSE,MyRowHidden(ROW()-1)=TRUE),0,(E1681-E1680)*unitsOfDHp+I1680)</f>
        <v>-3920</v>
      </c>
      <c r="J1681">
        <f>IF(AND(MyRowHidden(ROW())=FALSE,MyRowHidden(ROW()-1)=TRUE),0,(G1681-G1680)*unitsOfExo+J1680)</f>
        <v>50000</v>
      </c>
      <c r="K1681" s="9">
        <f t="shared" si="83"/>
        <v>50000</v>
      </c>
      <c r="L1681">
        <f t="shared" si="84"/>
        <v>46080</v>
      </c>
    </row>
    <row r="1682" spans="4:12" x14ac:dyDescent="0.25">
      <c r="D1682" s="1"/>
      <c r="E1682">
        <v>-5392</v>
      </c>
      <c r="F1682" s="1"/>
      <c r="H1682" s="1">
        <f t="shared" si="82"/>
        <v>0</v>
      </c>
      <c r="I1682">
        <f>IF(AND(MyRowHidden(ROW())=FALSE,MyRowHidden(ROW()-1)=TRUE),0,(E1682-E1681)*unitsOfDHp+I1681)</f>
        <v>-3920</v>
      </c>
      <c r="J1682">
        <f>IF(AND(MyRowHidden(ROW())=FALSE,MyRowHidden(ROW()-1)=TRUE),0,(G1682-G1681)*unitsOfExo+J1681)</f>
        <v>50000</v>
      </c>
      <c r="K1682" s="9">
        <f t="shared" si="83"/>
        <v>50000</v>
      </c>
      <c r="L1682">
        <f t="shared" si="84"/>
        <v>46080</v>
      </c>
    </row>
    <row r="1683" spans="4:12" x14ac:dyDescent="0.25">
      <c r="D1683" s="1"/>
      <c r="E1683">
        <v>-5392</v>
      </c>
      <c r="F1683" s="1"/>
      <c r="H1683" s="1">
        <f t="shared" si="82"/>
        <v>0</v>
      </c>
      <c r="I1683">
        <f>IF(AND(MyRowHidden(ROW())=FALSE,MyRowHidden(ROW()-1)=TRUE),0,(E1683-E1682)*unitsOfDHp+I1682)</f>
        <v>-3920</v>
      </c>
      <c r="J1683">
        <f>IF(AND(MyRowHidden(ROW())=FALSE,MyRowHidden(ROW()-1)=TRUE),0,(G1683-G1682)*unitsOfExo+J1682)</f>
        <v>50000</v>
      </c>
      <c r="K1683" s="9">
        <f t="shared" si="83"/>
        <v>50000</v>
      </c>
      <c r="L1683">
        <f t="shared" si="84"/>
        <v>46080</v>
      </c>
    </row>
    <row r="1684" spans="4:12" x14ac:dyDescent="0.25">
      <c r="D1684" s="1"/>
      <c r="E1684">
        <v>-5392</v>
      </c>
      <c r="F1684" s="1"/>
      <c r="H1684" s="1">
        <f t="shared" si="82"/>
        <v>0</v>
      </c>
      <c r="I1684">
        <f>IF(AND(MyRowHidden(ROW())=FALSE,MyRowHidden(ROW()-1)=TRUE),0,(E1684-E1683)*unitsOfDHp+I1683)</f>
        <v>-3920</v>
      </c>
      <c r="J1684">
        <f>IF(AND(MyRowHidden(ROW())=FALSE,MyRowHidden(ROW()-1)=TRUE),0,(G1684-G1683)*unitsOfExo+J1683)</f>
        <v>50000</v>
      </c>
      <c r="K1684" s="9">
        <f t="shared" si="83"/>
        <v>50000</v>
      </c>
      <c r="L1684">
        <f t="shared" si="84"/>
        <v>46080</v>
      </c>
    </row>
    <row r="1685" spans="4:12" x14ac:dyDescent="0.25">
      <c r="D1685" s="1"/>
      <c r="E1685">
        <v>-5392</v>
      </c>
      <c r="F1685" s="1"/>
      <c r="H1685" s="1">
        <f t="shared" si="82"/>
        <v>0</v>
      </c>
      <c r="I1685">
        <f>IF(AND(MyRowHidden(ROW())=FALSE,MyRowHidden(ROW()-1)=TRUE),0,(E1685-E1684)*unitsOfDHp+I1684)</f>
        <v>-3920</v>
      </c>
      <c r="J1685">
        <f>IF(AND(MyRowHidden(ROW())=FALSE,MyRowHidden(ROW()-1)=TRUE),0,(G1685-G1684)*unitsOfExo+J1684)</f>
        <v>50000</v>
      </c>
      <c r="K1685" s="9">
        <f t="shared" si="83"/>
        <v>50000</v>
      </c>
      <c r="L1685">
        <f t="shared" si="84"/>
        <v>46080</v>
      </c>
    </row>
    <row r="1686" spans="4:12" x14ac:dyDescent="0.25">
      <c r="D1686" s="1"/>
      <c r="E1686">
        <v>-5392</v>
      </c>
      <c r="F1686" s="1"/>
      <c r="H1686" s="1">
        <f t="shared" si="82"/>
        <v>0</v>
      </c>
      <c r="I1686">
        <f>IF(AND(MyRowHidden(ROW())=FALSE,MyRowHidden(ROW()-1)=TRUE),0,(E1686-E1685)*unitsOfDHp+I1685)</f>
        <v>-3920</v>
      </c>
      <c r="J1686">
        <f>IF(AND(MyRowHidden(ROW())=FALSE,MyRowHidden(ROW()-1)=TRUE),0,(G1686-G1685)*unitsOfExo+J1685)</f>
        <v>50000</v>
      </c>
      <c r="K1686" s="9">
        <f t="shared" si="83"/>
        <v>50000</v>
      </c>
      <c r="L1686">
        <f t="shared" si="84"/>
        <v>46080</v>
      </c>
    </row>
    <row r="1687" spans="4:12" x14ac:dyDescent="0.25">
      <c r="D1687" s="1"/>
      <c r="E1687">
        <v>-5392</v>
      </c>
      <c r="F1687" s="1"/>
      <c r="H1687" s="1">
        <f t="shared" si="82"/>
        <v>0</v>
      </c>
      <c r="I1687">
        <f>IF(AND(MyRowHidden(ROW())=FALSE,MyRowHidden(ROW()-1)=TRUE),0,(E1687-E1686)*unitsOfDHp+I1686)</f>
        <v>-3920</v>
      </c>
      <c r="J1687">
        <f>IF(AND(MyRowHidden(ROW())=FALSE,MyRowHidden(ROW()-1)=TRUE),0,(G1687-G1686)*unitsOfExo+J1686)</f>
        <v>50000</v>
      </c>
      <c r="K1687" s="9">
        <f t="shared" si="83"/>
        <v>50000</v>
      </c>
      <c r="L1687">
        <f t="shared" si="84"/>
        <v>46080</v>
      </c>
    </row>
    <row r="1688" spans="4:12" x14ac:dyDescent="0.25">
      <c r="D1688" s="1"/>
      <c r="E1688">
        <v>-5392</v>
      </c>
      <c r="F1688" s="1"/>
      <c r="H1688" s="1">
        <f t="shared" si="82"/>
        <v>0</v>
      </c>
      <c r="I1688">
        <f>IF(AND(MyRowHidden(ROW())=FALSE,MyRowHidden(ROW()-1)=TRUE),0,(E1688-E1687)*unitsOfDHp+I1687)</f>
        <v>-3920</v>
      </c>
      <c r="J1688">
        <f>IF(AND(MyRowHidden(ROW())=FALSE,MyRowHidden(ROW()-1)=TRUE),0,(G1688-G1687)*unitsOfExo+J1687)</f>
        <v>50000</v>
      </c>
      <c r="K1688" s="9">
        <f t="shared" si="83"/>
        <v>50000</v>
      </c>
      <c r="L1688">
        <f t="shared" si="84"/>
        <v>46080</v>
      </c>
    </row>
    <row r="1689" spans="4:12" x14ac:dyDescent="0.25">
      <c r="D1689" s="1"/>
      <c r="E1689">
        <v>-5392</v>
      </c>
      <c r="F1689" s="1"/>
      <c r="H1689" s="1">
        <f t="shared" si="82"/>
        <v>0</v>
      </c>
      <c r="I1689">
        <f>IF(AND(MyRowHidden(ROW())=FALSE,MyRowHidden(ROW()-1)=TRUE),0,(E1689-E1688)*unitsOfDHp+I1688)</f>
        <v>-3920</v>
      </c>
      <c r="J1689">
        <f>IF(AND(MyRowHidden(ROW())=FALSE,MyRowHidden(ROW()-1)=TRUE),0,(G1689-G1688)*unitsOfExo+J1688)</f>
        <v>50000</v>
      </c>
      <c r="K1689" s="9">
        <f t="shared" si="83"/>
        <v>50000</v>
      </c>
      <c r="L1689">
        <f t="shared" si="84"/>
        <v>46080</v>
      </c>
    </row>
    <row r="1690" spans="4:12" x14ac:dyDescent="0.25">
      <c r="D1690" s="1"/>
      <c r="E1690">
        <v>-5392</v>
      </c>
      <c r="F1690" s="1"/>
      <c r="H1690" s="1">
        <f t="shared" si="82"/>
        <v>0</v>
      </c>
      <c r="I1690">
        <f>IF(AND(MyRowHidden(ROW())=FALSE,MyRowHidden(ROW()-1)=TRUE),0,(E1690-E1689)*unitsOfDHp+I1689)</f>
        <v>-3920</v>
      </c>
      <c r="J1690">
        <f>IF(AND(MyRowHidden(ROW())=FALSE,MyRowHidden(ROW()-1)=TRUE),0,(G1690-G1689)*unitsOfExo+J1689)</f>
        <v>50000</v>
      </c>
      <c r="K1690" s="9">
        <f t="shared" si="83"/>
        <v>50000</v>
      </c>
      <c r="L1690">
        <f t="shared" si="84"/>
        <v>46080</v>
      </c>
    </row>
    <row r="1691" spans="4:12" x14ac:dyDescent="0.25">
      <c r="D1691" s="1"/>
      <c r="E1691">
        <v>-5392</v>
      </c>
      <c r="F1691" s="1"/>
      <c r="H1691" s="1">
        <f t="shared" si="82"/>
        <v>0</v>
      </c>
      <c r="I1691">
        <f>IF(AND(MyRowHidden(ROW())=FALSE,MyRowHidden(ROW()-1)=TRUE),0,(E1691-E1690)*unitsOfDHp+I1690)</f>
        <v>-3920</v>
      </c>
      <c r="J1691">
        <f>IF(AND(MyRowHidden(ROW())=FALSE,MyRowHidden(ROW()-1)=TRUE),0,(G1691-G1690)*unitsOfExo+J1690)</f>
        <v>50000</v>
      </c>
      <c r="K1691" s="9">
        <f t="shared" si="83"/>
        <v>50000</v>
      </c>
      <c r="L1691">
        <f t="shared" si="84"/>
        <v>46080</v>
      </c>
    </row>
    <row r="1692" spans="4:12" x14ac:dyDescent="0.25">
      <c r="D1692" s="1"/>
      <c r="E1692">
        <v>-5392</v>
      </c>
      <c r="F1692" s="1"/>
      <c r="H1692" s="1">
        <f t="shared" si="82"/>
        <v>0</v>
      </c>
      <c r="I1692">
        <f>IF(AND(MyRowHidden(ROW())=FALSE,MyRowHidden(ROW()-1)=TRUE),0,(E1692-E1691)*unitsOfDHp+I1691)</f>
        <v>-3920</v>
      </c>
      <c r="J1692">
        <f>IF(AND(MyRowHidden(ROW())=FALSE,MyRowHidden(ROW()-1)=TRUE),0,(G1692-G1691)*unitsOfExo+J1691)</f>
        <v>50000</v>
      </c>
      <c r="K1692" s="9">
        <f t="shared" si="83"/>
        <v>50000</v>
      </c>
      <c r="L1692">
        <f t="shared" si="84"/>
        <v>46080</v>
      </c>
    </row>
    <row r="1693" spans="4:12" x14ac:dyDescent="0.25">
      <c r="D1693" s="1"/>
      <c r="E1693">
        <v>-5392</v>
      </c>
      <c r="F1693" s="1"/>
      <c r="H1693" s="1">
        <f t="shared" si="82"/>
        <v>0</v>
      </c>
      <c r="I1693">
        <f>IF(AND(MyRowHidden(ROW())=FALSE,MyRowHidden(ROW()-1)=TRUE),0,(E1693-E1692)*unitsOfDHp+I1692)</f>
        <v>-3920</v>
      </c>
      <c r="J1693">
        <f>IF(AND(MyRowHidden(ROW())=FALSE,MyRowHidden(ROW()-1)=TRUE),0,(G1693-G1692)*unitsOfExo+J1692)</f>
        <v>50000</v>
      </c>
      <c r="K1693" s="9">
        <f t="shared" si="83"/>
        <v>50000</v>
      </c>
      <c r="L1693">
        <f t="shared" si="84"/>
        <v>46080</v>
      </c>
    </row>
    <row r="1694" spans="4:12" x14ac:dyDescent="0.25">
      <c r="D1694" s="1"/>
      <c r="E1694">
        <v>-5392</v>
      </c>
      <c r="F1694" s="1"/>
      <c r="H1694" s="1">
        <f t="shared" si="82"/>
        <v>0</v>
      </c>
      <c r="I1694">
        <f>IF(AND(MyRowHidden(ROW())=FALSE,MyRowHidden(ROW()-1)=TRUE),0,(E1694-E1693)*unitsOfDHp+I1693)</f>
        <v>-3920</v>
      </c>
      <c r="J1694">
        <f>IF(AND(MyRowHidden(ROW())=FALSE,MyRowHidden(ROW()-1)=TRUE),0,(G1694-G1693)*unitsOfExo+J1693)</f>
        <v>50000</v>
      </c>
      <c r="K1694" s="9">
        <f t="shared" si="83"/>
        <v>50000</v>
      </c>
      <c r="L1694">
        <f t="shared" si="84"/>
        <v>46080</v>
      </c>
    </row>
    <row r="1695" spans="4:12" x14ac:dyDescent="0.25">
      <c r="D1695" s="1"/>
      <c r="E1695">
        <v>-5392</v>
      </c>
      <c r="F1695" s="1"/>
      <c r="H1695" s="1">
        <f t="shared" si="82"/>
        <v>0</v>
      </c>
      <c r="I1695">
        <f>IF(AND(MyRowHidden(ROW())=FALSE,MyRowHidden(ROW()-1)=TRUE),0,(E1695-E1694)*unitsOfDHp+I1694)</f>
        <v>-3920</v>
      </c>
      <c r="J1695">
        <f>IF(AND(MyRowHidden(ROW())=FALSE,MyRowHidden(ROW()-1)=TRUE),0,(G1695-G1694)*unitsOfExo+J1694)</f>
        <v>50000</v>
      </c>
      <c r="K1695" s="9">
        <f t="shared" si="83"/>
        <v>50000</v>
      </c>
      <c r="L1695">
        <f t="shared" si="84"/>
        <v>46080</v>
      </c>
    </row>
    <row r="1696" spans="4:12" x14ac:dyDescent="0.25">
      <c r="D1696" s="1"/>
      <c r="E1696">
        <v>-5392</v>
      </c>
      <c r="F1696" s="1"/>
      <c r="H1696" s="1">
        <f t="shared" si="82"/>
        <v>0</v>
      </c>
      <c r="I1696">
        <f>IF(AND(MyRowHidden(ROW())=FALSE,MyRowHidden(ROW()-1)=TRUE),0,(E1696-E1695)*unitsOfDHp+I1695)</f>
        <v>-3920</v>
      </c>
      <c r="J1696">
        <f>IF(AND(MyRowHidden(ROW())=FALSE,MyRowHidden(ROW()-1)=TRUE),0,(G1696-G1695)*unitsOfExo+J1695)</f>
        <v>50000</v>
      </c>
      <c r="K1696" s="9">
        <f t="shared" si="83"/>
        <v>50000</v>
      </c>
      <c r="L1696">
        <f t="shared" si="84"/>
        <v>46080</v>
      </c>
    </row>
    <row r="1697" spans="4:12" x14ac:dyDescent="0.25">
      <c r="D1697" s="1"/>
      <c r="E1697">
        <v>-5392</v>
      </c>
      <c r="F1697" s="1"/>
      <c r="H1697" s="1">
        <f t="shared" si="82"/>
        <v>0</v>
      </c>
      <c r="I1697">
        <f>IF(AND(MyRowHidden(ROW())=FALSE,MyRowHidden(ROW()-1)=TRUE),0,(E1697-E1696)*unitsOfDHp+I1696)</f>
        <v>-3920</v>
      </c>
      <c r="J1697">
        <f>IF(AND(MyRowHidden(ROW())=FALSE,MyRowHidden(ROW()-1)=TRUE),0,(G1697-G1696)*unitsOfExo+J1696)</f>
        <v>50000</v>
      </c>
      <c r="K1697" s="9">
        <f t="shared" si="83"/>
        <v>50000</v>
      </c>
      <c r="L1697">
        <f t="shared" si="84"/>
        <v>46080</v>
      </c>
    </row>
    <row r="1698" spans="4:12" x14ac:dyDescent="0.25">
      <c r="D1698" s="1"/>
      <c r="E1698">
        <v>-5392</v>
      </c>
      <c r="F1698" s="1"/>
      <c r="H1698" s="1">
        <f t="shared" si="82"/>
        <v>0</v>
      </c>
      <c r="I1698">
        <f>IF(AND(MyRowHidden(ROW())=FALSE,MyRowHidden(ROW()-1)=TRUE),0,(E1698-E1697)*unitsOfDHp+I1697)</f>
        <v>-3920</v>
      </c>
      <c r="J1698">
        <f>IF(AND(MyRowHidden(ROW())=FALSE,MyRowHidden(ROW()-1)=TRUE),0,(G1698-G1697)*unitsOfExo+J1697)</f>
        <v>50000</v>
      </c>
      <c r="K1698" s="9">
        <f t="shared" si="83"/>
        <v>50000</v>
      </c>
      <c r="L1698">
        <f t="shared" si="84"/>
        <v>46080</v>
      </c>
    </row>
    <row r="1699" spans="4:12" x14ac:dyDescent="0.25">
      <c r="D1699" s="1"/>
      <c r="E1699">
        <v>-5392</v>
      </c>
      <c r="F1699" s="1"/>
      <c r="H1699" s="1">
        <f t="shared" si="82"/>
        <v>0</v>
      </c>
      <c r="I1699">
        <f>IF(AND(MyRowHidden(ROW())=FALSE,MyRowHidden(ROW()-1)=TRUE),0,(E1699-E1698)*unitsOfDHp+I1698)</f>
        <v>-3920</v>
      </c>
      <c r="J1699">
        <f>IF(AND(MyRowHidden(ROW())=FALSE,MyRowHidden(ROW()-1)=TRUE),0,(G1699-G1698)*unitsOfExo+J1698)</f>
        <v>50000</v>
      </c>
      <c r="K1699" s="9">
        <f t="shared" si="83"/>
        <v>50000</v>
      </c>
      <c r="L1699">
        <f t="shared" si="84"/>
        <v>46080</v>
      </c>
    </row>
    <row r="1700" spans="4:12" x14ac:dyDescent="0.25">
      <c r="D1700" s="1"/>
      <c r="E1700">
        <v>-5392</v>
      </c>
      <c r="F1700" s="1"/>
      <c r="H1700" s="1">
        <f t="shared" si="82"/>
        <v>0</v>
      </c>
      <c r="I1700">
        <f>IF(AND(MyRowHidden(ROW())=FALSE,MyRowHidden(ROW()-1)=TRUE),0,(E1700-E1699)*unitsOfDHp+I1699)</f>
        <v>-3920</v>
      </c>
      <c r="J1700">
        <f>IF(AND(MyRowHidden(ROW())=FALSE,MyRowHidden(ROW()-1)=TRUE),0,(G1700-G1699)*unitsOfExo+J1699)</f>
        <v>50000</v>
      </c>
      <c r="K1700" s="9">
        <f t="shared" si="83"/>
        <v>50000</v>
      </c>
      <c r="L1700">
        <f t="shared" si="84"/>
        <v>46080</v>
      </c>
    </row>
    <row r="1701" spans="4:12" x14ac:dyDescent="0.25">
      <c r="D1701" s="1"/>
      <c r="E1701">
        <v>-5392</v>
      </c>
      <c r="F1701" s="1"/>
      <c r="H1701" s="1">
        <f t="shared" si="82"/>
        <v>0</v>
      </c>
      <c r="I1701">
        <f>IF(AND(MyRowHidden(ROW())=FALSE,MyRowHidden(ROW()-1)=TRUE),0,(E1701-E1700)*unitsOfDHp+I1700)</f>
        <v>-3920</v>
      </c>
      <c r="J1701">
        <f>IF(AND(MyRowHidden(ROW())=FALSE,MyRowHidden(ROW()-1)=TRUE),0,(G1701-G1700)*unitsOfExo+J1700)</f>
        <v>50000</v>
      </c>
      <c r="K1701" s="9">
        <f t="shared" si="83"/>
        <v>50000</v>
      </c>
      <c r="L1701">
        <f t="shared" si="84"/>
        <v>46080</v>
      </c>
    </row>
    <row r="1702" spans="4:12" x14ac:dyDescent="0.25">
      <c r="D1702" s="1"/>
      <c r="E1702">
        <v>-5392</v>
      </c>
      <c r="F1702" s="1"/>
      <c r="H1702" s="1">
        <f t="shared" si="82"/>
        <v>0</v>
      </c>
      <c r="I1702">
        <f>IF(AND(MyRowHidden(ROW())=FALSE,MyRowHidden(ROW()-1)=TRUE),0,(E1702-E1701)*unitsOfDHp+I1701)</f>
        <v>-3920</v>
      </c>
      <c r="J1702">
        <f>IF(AND(MyRowHidden(ROW())=FALSE,MyRowHidden(ROW()-1)=TRUE),0,(G1702-G1701)*unitsOfExo+J1701)</f>
        <v>50000</v>
      </c>
      <c r="K1702" s="9">
        <f t="shared" si="83"/>
        <v>50000</v>
      </c>
      <c r="L1702">
        <f t="shared" si="84"/>
        <v>46080</v>
      </c>
    </row>
    <row r="1703" spans="4:12" x14ac:dyDescent="0.25">
      <c r="D1703" s="1"/>
      <c r="E1703">
        <v>-5392</v>
      </c>
      <c r="F1703" s="1"/>
      <c r="H1703" s="1">
        <f t="shared" si="82"/>
        <v>0</v>
      </c>
      <c r="I1703">
        <f>IF(AND(MyRowHidden(ROW())=FALSE,MyRowHidden(ROW()-1)=TRUE),0,(E1703-E1702)*unitsOfDHp+I1702)</f>
        <v>-3920</v>
      </c>
      <c r="J1703">
        <f>IF(AND(MyRowHidden(ROW())=FALSE,MyRowHidden(ROW()-1)=TRUE),0,(G1703-G1702)*unitsOfExo+J1702)</f>
        <v>50000</v>
      </c>
      <c r="K1703" s="9">
        <f t="shared" si="83"/>
        <v>50000</v>
      </c>
      <c r="L1703">
        <f t="shared" si="84"/>
        <v>46080</v>
      </c>
    </row>
    <row r="1704" spans="4:12" x14ac:dyDescent="0.25">
      <c r="D1704" s="1"/>
      <c r="E1704">
        <v>-5392</v>
      </c>
      <c r="F1704" s="1"/>
      <c r="H1704" s="1">
        <f t="shared" si="82"/>
        <v>0</v>
      </c>
      <c r="I1704">
        <f>IF(AND(MyRowHidden(ROW())=FALSE,MyRowHidden(ROW()-1)=TRUE),0,(E1704-E1703)*unitsOfDHp+I1703)</f>
        <v>-3920</v>
      </c>
      <c r="J1704">
        <f>IF(AND(MyRowHidden(ROW())=FALSE,MyRowHidden(ROW()-1)=TRUE),0,(G1704-G1703)*unitsOfExo+J1703)</f>
        <v>50000</v>
      </c>
      <c r="K1704" s="9">
        <f t="shared" si="83"/>
        <v>50000</v>
      </c>
      <c r="L1704">
        <f t="shared" si="84"/>
        <v>46080</v>
      </c>
    </row>
    <row r="1705" spans="4:12" x14ac:dyDescent="0.25">
      <c r="D1705" s="1"/>
      <c r="E1705">
        <v>-5392</v>
      </c>
      <c r="F1705" s="1"/>
      <c r="H1705" s="1">
        <f t="shared" si="82"/>
        <v>0</v>
      </c>
      <c r="I1705">
        <f>IF(AND(MyRowHidden(ROW())=FALSE,MyRowHidden(ROW()-1)=TRUE),0,(E1705-E1704)*unitsOfDHp+I1704)</f>
        <v>-3920</v>
      </c>
      <c r="J1705">
        <f>IF(AND(MyRowHidden(ROW())=FALSE,MyRowHidden(ROW()-1)=TRUE),0,(G1705-G1704)*unitsOfExo+J1704)</f>
        <v>50000</v>
      </c>
      <c r="K1705" s="9">
        <f t="shared" si="83"/>
        <v>50000</v>
      </c>
      <c r="L1705">
        <f t="shared" si="84"/>
        <v>46080</v>
      </c>
    </row>
    <row r="1706" spans="4:12" x14ac:dyDescent="0.25">
      <c r="D1706" s="1"/>
      <c r="E1706">
        <v>-5392</v>
      </c>
      <c r="F1706" s="1"/>
      <c r="H1706" s="1">
        <f t="shared" si="82"/>
        <v>0</v>
      </c>
      <c r="I1706">
        <f>IF(AND(MyRowHidden(ROW())=FALSE,MyRowHidden(ROW()-1)=TRUE),0,(E1706-E1705)*unitsOfDHp+I1705)</f>
        <v>-3920</v>
      </c>
      <c r="J1706">
        <f>IF(AND(MyRowHidden(ROW())=FALSE,MyRowHidden(ROW()-1)=TRUE),0,(G1706-G1705)*unitsOfExo+J1705)</f>
        <v>50000</v>
      </c>
      <c r="K1706" s="9">
        <f t="shared" si="83"/>
        <v>50000</v>
      </c>
      <c r="L1706">
        <f t="shared" si="84"/>
        <v>46080</v>
      </c>
    </row>
    <row r="1707" spans="4:12" x14ac:dyDescent="0.25">
      <c r="D1707" s="1"/>
      <c r="E1707">
        <v>-5392</v>
      </c>
      <c r="F1707" s="1"/>
      <c r="H1707" s="1">
        <f t="shared" si="82"/>
        <v>0</v>
      </c>
      <c r="I1707">
        <f>IF(AND(MyRowHidden(ROW())=FALSE,MyRowHidden(ROW()-1)=TRUE),0,(E1707-E1706)*unitsOfDHp+I1706)</f>
        <v>-3920</v>
      </c>
      <c r="J1707">
        <f>IF(AND(MyRowHidden(ROW())=FALSE,MyRowHidden(ROW()-1)=TRUE),0,(G1707-G1706)*unitsOfExo+J1706)</f>
        <v>50000</v>
      </c>
      <c r="K1707" s="9">
        <f t="shared" si="83"/>
        <v>50000</v>
      </c>
      <c r="L1707">
        <f t="shared" si="84"/>
        <v>46080</v>
      </c>
    </row>
    <row r="1708" spans="4:12" x14ac:dyDescent="0.25">
      <c r="D1708" s="1"/>
      <c r="E1708">
        <v>-5392</v>
      </c>
      <c r="F1708" s="1"/>
      <c r="H1708" s="1">
        <f t="shared" si="82"/>
        <v>0</v>
      </c>
      <c r="I1708">
        <f>IF(AND(MyRowHidden(ROW())=FALSE,MyRowHidden(ROW()-1)=TRUE),0,(E1708-E1707)*unitsOfDHp+I1707)</f>
        <v>-3920</v>
      </c>
      <c r="J1708">
        <f>IF(AND(MyRowHidden(ROW())=FALSE,MyRowHidden(ROW()-1)=TRUE),0,(G1708-G1707)*unitsOfExo+J1707)</f>
        <v>50000</v>
      </c>
      <c r="K1708" s="9">
        <f t="shared" si="83"/>
        <v>50000</v>
      </c>
      <c r="L1708">
        <f t="shared" si="84"/>
        <v>46080</v>
      </c>
    </row>
    <row r="1709" spans="4:12" x14ac:dyDescent="0.25">
      <c r="D1709" s="1"/>
      <c r="E1709">
        <v>-5392</v>
      </c>
      <c r="F1709" s="1"/>
      <c r="H1709" s="1">
        <f t="shared" si="82"/>
        <v>0</v>
      </c>
      <c r="I1709">
        <f>IF(AND(MyRowHidden(ROW())=FALSE,MyRowHidden(ROW()-1)=TRUE),0,(E1709-E1708)*unitsOfDHp+I1708)</f>
        <v>-3920</v>
      </c>
      <c r="J1709">
        <f>IF(AND(MyRowHidden(ROW())=FALSE,MyRowHidden(ROW()-1)=TRUE),0,(G1709-G1708)*unitsOfExo+J1708)</f>
        <v>50000</v>
      </c>
      <c r="K1709" s="9">
        <f t="shared" si="83"/>
        <v>50000</v>
      </c>
      <c r="L1709">
        <f t="shared" si="84"/>
        <v>46080</v>
      </c>
    </row>
    <row r="1710" spans="4:12" x14ac:dyDescent="0.25">
      <c r="D1710" s="1"/>
      <c r="E1710">
        <v>-5392</v>
      </c>
      <c r="F1710" s="1"/>
      <c r="H1710" s="1">
        <f t="shared" si="82"/>
        <v>0</v>
      </c>
      <c r="I1710">
        <f>IF(AND(MyRowHidden(ROW())=FALSE,MyRowHidden(ROW()-1)=TRUE),0,(E1710-E1709)*unitsOfDHp+I1709)</f>
        <v>-3920</v>
      </c>
      <c r="J1710">
        <f>IF(AND(MyRowHidden(ROW())=FALSE,MyRowHidden(ROW()-1)=TRUE),0,(G1710-G1709)*unitsOfExo+J1709)</f>
        <v>50000</v>
      </c>
      <c r="K1710" s="9">
        <f t="shared" si="83"/>
        <v>50000</v>
      </c>
      <c r="L1710">
        <f t="shared" si="84"/>
        <v>46080</v>
      </c>
    </row>
    <row r="1711" spans="4:12" x14ac:dyDescent="0.25">
      <c r="D1711" s="1"/>
      <c r="E1711">
        <v>-5392</v>
      </c>
      <c r="F1711" s="1"/>
      <c r="H1711" s="1">
        <f t="shared" si="82"/>
        <v>0</v>
      </c>
      <c r="I1711">
        <f>IF(AND(MyRowHidden(ROW())=FALSE,MyRowHidden(ROW()-1)=TRUE),0,(E1711-E1710)*unitsOfDHp+I1710)</f>
        <v>-3920</v>
      </c>
      <c r="J1711">
        <f>IF(AND(MyRowHidden(ROW())=FALSE,MyRowHidden(ROW()-1)=TRUE),0,(G1711-G1710)*unitsOfExo+J1710)</f>
        <v>50000</v>
      </c>
      <c r="K1711" s="9">
        <f t="shared" si="83"/>
        <v>50000</v>
      </c>
      <c r="L1711">
        <f t="shared" si="84"/>
        <v>46080</v>
      </c>
    </row>
    <row r="1712" spans="4:12" x14ac:dyDescent="0.25">
      <c r="D1712" s="1"/>
      <c r="E1712">
        <v>-5392</v>
      </c>
      <c r="F1712" s="1"/>
      <c r="H1712" s="1">
        <f t="shared" si="82"/>
        <v>0</v>
      </c>
      <c r="I1712">
        <f>IF(AND(MyRowHidden(ROW())=FALSE,MyRowHidden(ROW()-1)=TRUE),0,(E1712-E1711)*unitsOfDHp+I1711)</f>
        <v>-3920</v>
      </c>
      <c r="J1712">
        <f>IF(AND(MyRowHidden(ROW())=FALSE,MyRowHidden(ROW()-1)=TRUE),0,(G1712-G1711)*unitsOfExo+J1711)</f>
        <v>50000</v>
      </c>
      <c r="K1712" s="9">
        <f t="shared" si="83"/>
        <v>50000</v>
      </c>
      <c r="L1712">
        <f t="shared" si="84"/>
        <v>46080</v>
      </c>
    </row>
    <row r="1713" spans="4:12" x14ac:dyDescent="0.25">
      <c r="D1713" s="1"/>
      <c r="E1713">
        <v>-5392</v>
      </c>
      <c r="F1713" s="1"/>
      <c r="H1713" s="1">
        <f t="shared" si="82"/>
        <v>0</v>
      </c>
      <c r="I1713">
        <f>IF(AND(MyRowHidden(ROW())=FALSE,MyRowHidden(ROW()-1)=TRUE),0,(E1713-E1712)*unitsOfDHp+I1712)</f>
        <v>-3920</v>
      </c>
      <c r="J1713">
        <f>IF(AND(MyRowHidden(ROW())=FALSE,MyRowHidden(ROW()-1)=TRUE),0,(G1713-G1712)*unitsOfExo+J1712)</f>
        <v>50000</v>
      </c>
      <c r="K1713" s="9">
        <f t="shared" si="83"/>
        <v>50000</v>
      </c>
      <c r="L1713">
        <f t="shared" si="84"/>
        <v>46080</v>
      </c>
    </row>
    <row r="1714" spans="4:12" x14ac:dyDescent="0.25">
      <c r="D1714" s="1"/>
      <c r="E1714">
        <v>-5392</v>
      </c>
      <c r="F1714" s="1"/>
      <c r="H1714" s="1">
        <f t="shared" si="82"/>
        <v>0</v>
      </c>
      <c r="I1714">
        <f>IF(AND(MyRowHidden(ROW())=FALSE,MyRowHidden(ROW()-1)=TRUE),0,(E1714-E1713)*unitsOfDHp+I1713)</f>
        <v>-3920</v>
      </c>
      <c r="J1714">
        <f>IF(AND(MyRowHidden(ROW())=FALSE,MyRowHidden(ROW()-1)=TRUE),0,(G1714-G1713)*unitsOfExo+J1713)</f>
        <v>50000</v>
      </c>
      <c r="K1714" s="9">
        <f t="shared" si="83"/>
        <v>50000</v>
      </c>
      <c r="L1714">
        <f t="shared" si="84"/>
        <v>46080</v>
      </c>
    </row>
    <row r="1715" spans="4:12" x14ac:dyDescent="0.25">
      <c r="D1715" s="1"/>
      <c r="E1715">
        <v>-5392</v>
      </c>
      <c r="F1715" s="1"/>
      <c r="H1715" s="1">
        <f t="shared" si="82"/>
        <v>0</v>
      </c>
      <c r="I1715">
        <f>IF(AND(MyRowHidden(ROW())=FALSE,MyRowHidden(ROW()-1)=TRUE),0,(E1715-E1714)*unitsOfDHp+I1714)</f>
        <v>-3920</v>
      </c>
      <c r="J1715">
        <f>IF(AND(MyRowHidden(ROW())=FALSE,MyRowHidden(ROW()-1)=TRUE),0,(G1715-G1714)*unitsOfExo+J1714)</f>
        <v>50000</v>
      </c>
      <c r="K1715" s="9">
        <f t="shared" si="83"/>
        <v>50000</v>
      </c>
      <c r="L1715">
        <f t="shared" si="84"/>
        <v>46080</v>
      </c>
    </row>
    <row r="1716" spans="4:12" x14ac:dyDescent="0.25">
      <c r="D1716" s="1"/>
      <c r="E1716">
        <v>-5392</v>
      </c>
      <c r="F1716" s="1"/>
      <c r="H1716" s="1">
        <f t="shared" si="82"/>
        <v>0</v>
      </c>
      <c r="I1716">
        <f>IF(AND(MyRowHidden(ROW())=FALSE,MyRowHidden(ROW()-1)=TRUE),0,(E1716-E1715)*unitsOfDHp+I1715)</f>
        <v>-3920</v>
      </c>
      <c r="J1716">
        <f>IF(AND(MyRowHidden(ROW())=FALSE,MyRowHidden(ROW()-1)=TRUE),0,(G1716-G1715)*unitsOfExo+J1715)</f>
        <v>50000</v>
      </c>
      <c r="K1716" s="9">
        <f t="shared" si="83"/>
        <v>50000</v>
      </c>
      <c r="L1716">
        <f t="shared" si="84"/>
        <v>46080</v>
      </c>
    </row>
    <row r="1717" spans="4:12" x14ac:dyDescent="0.25">
      <c r="D1717" s="1"/>
      <c r="E1717">
        <v>-5392</v>
      </c>
      <c r="F1717" s="1"/>
      <c r="H1717" s="1">
        <f t="shared" si="82"/>
        <v>0</v>
      </c>
      <c r="I1717">
        <f>IF(AND(MyRowHidden(ROW())=FALSE,MyRowHidden(ROW()-1)=TRUE),0,(E1717-E1716)*unitsOfDHp+I1716)</f>
        <v>-3920</v>
      </c>
      <c r="J1717">
        <f>IF(AND(MyRowHidden(ROW())=FALSE,MyRowHidden(ROW()-1)=TRUE),0,(G1717-G1716)*unitsOfExo+J1716)</f>
        <v>50000</v>
      </c>
      <c r="K1717" s="9">
        <f t="shared" si="83"/>
        <v>50000</v>
      </c>
      <c r="L1717">
        <f t="shared" si="84"/>
        <v>46080</v>
      </c>
    </row>
    <row r="1718" spans="4:12" x14ac:dyDescent="0.25">
      <c r="D1718" s="1"/>
      <c r="E1718">
        <v>-5392</v>
      </c>
      <c r="F1718" s="1"/>
      <c r="H1718" s="1">
        <f t="shared" si="82"/>
        <v>0</v>
      </c>
      <c r="I1718">
        <f>IF(AND(MyRowHidden(ROW())=FALSE,MyRowHidden(ROW()-1)=TRUE),0,(E1718-E1717)*unitsOfDHp+I1717)</f>
        <v>-3920</v>
      </c>
      <c r="J1718">
        <f>IF(AND(MyRowHidden(ROW())=FALSE,MyRowHidden(ROW()-1)=TRUE),0,(G1718-G1717)*unitsOfExo+J1717)</f>
        <v>50000</v>
      </c>
      <c r="K1718" s="9">
        <f t="shared" si="83"/>
        <v>50000</v>
      </c>
      <c r="L1718">
        <f t="shared" si="84"/>
        <v>46080</v>
      </c>
    </row>
    <row r="1719" spans="4:12" x14ac:dyDescent="0.25">
      <c r="D1719" s="1"/>
      <c r="E1719">
        <v>-5392</v>
      </c>
      <c r="F1719" s="1"/>
      <c r="H1719" s="1">
        <f t="shared" si="82"/>
        <v>0</v>
      </c>
      <c r="I1719">
        <f>IF(AND(MyRowHidden(ROW())=FALSE,MyRowHidden(ROW()-1)=TRUE),0,(E1719-E1718)*unitsOfDHp+I1718)</f>
        <v>-3920</v>
      </c>
      <c r="J1719">
        <f>IF(AND(MyRowHidden(ROW())=FALSE,MyRowHidden(ROW()-1)=TRUE),0,(G1719-G1718)*unitsOfExo+J1718)</f>
        <v>50000</v>
      </c>
      <c r="K1719" s="9">
        <f t="shared" si="83"/>
        <v>50000</v>
      </c>
      <c r="L1719">
        <f t="shared" si="84"/>
        <v>46080</v>
      </c>
    </row>
    <row r="1720" spans="4:12" x14ac:dyDescent="0.25">
      <c r="D1720" s="1"/>
      <c r="E1720">
        <v>-5392</v>
      </c>
      <c r="F1720" s="1"/>
      <c r="H1720" s="1">
        <f t="shared" si="82"/>
        <v>0</v>
      </c>
      <c r="I1720">
        <f>IF(AND(MyRowHidden(ROW())=FALSE,MyRowHidden(ROW()-1)=TRUE),0,(E1720-E1719)*unitsOfDHp+I1719)</f>
        <v>-3920</v>
      </c>
      <c r="J1720">
        <f>IF(AND(MyRowHidden(ROW())=FALSE,MyRowHidden(ROW()-1)=TRUE),0,(G1720-G1719)*unitsOfExo+J1719)</f>
        <v>50000</v>
      </c>
      <c r="K1720" s="9">
        <f t="shared" si="83"/>
        <v>50000</v>
      </c>
      <c r="L1720">
        <f t="shared" si="84"/>
        <v>46080</v>
      </c>
    </row>
    <row r="1721" spans="4:12" x14ac:dyDescent="0.25">
      <c r="D1721" s="1"/>
      <c r="E1721">
        <v>-5392</v>
      </c>
      <c r="F1721" s="1"/>
      <c r="H1721" s="1">
        <f t="shared" si="82"/>
        <v>0</v>
      </c>
      <c r="I1721">
        <f>IF(AND(MyRowHidden(ROW())=FALSE,MyRowHidden(ROW()-1)=TRUE),0,(E1721-E1720)*unitsOfDHp+I1720)</f>
        <v>-3920</v>
      </c>
      <c r="J1721">
        <f>IF(AND(MyRowHidden(ROW())=FALSE,MyRowHidden(ROW()-1)=TRUE),0,(G1721-G1720)*unitsOfExo+J1720)</f>
        <v>50000</v>
      </c>
      <c r="K1721" s="9">
        <f t="shared" si="83"/>
        <v>50000</v>
      </c>
      <c r="L1721">
        <f t="shared" si="84"/>
        <v>46080</v>
      </c>
    </row>
    <row r="1722" spans="4:12" x14ac:dyDescent="0.25">
      <c r="D1722" s="1"/>
      <c r="E1722">
        <v>-5392</v>
      </c>
      <c r="F1722" s="1"/>
      <c r="H1722" s="1">
        <f t="shared" si="82"/>
        <v>0</v>
      </c>
      <c r="I1722">
        <f>IF(AND(MyRowHidden(ROW())=FALSE,MyRowHidden(ROW()-1)=TRUE),0,(E1722-E1721)*unitsOfDHp+I1721)</f>
        <v>-3920</v>
      </c>
      <c r="J1722">
        <f>IF(AND(MyRowHidden(ROW())=FALSE,MyRowHidden(ROW()-1)=TRUE),0,(G1722-G1721)*unitsOfExo+J1721)</f>
        <v>50000</v>
      </c>
      <c r="K1722" s="9">
        <f t="shared" si="83"/>
        <v>50000</v>
      </c>
      <c r="L1722">
        <f t="shared" si="84"/>
        <v>46080</v>
      </c>
    </row>
    <row r="1723" spans="4:12" x14ac:dyDescent="0.25">
      <c r="D1723" s="1"/>
      <c r="E1723">
        <v>-5392</v>
      </c>
      <c r="F1723" s="1"/>
      <c r="H1723" s="1">
        <f t="shared" si="82"/>
        <v>0</v>
      </c>
      <c r="I1723">
        <f>IF(AND(MyRowHidden(ROW())=FALSE,MyRowHidden(ROW()-1)=TRUE),0,(E1723-E1722)*unitsOfDHp+I1722)</f>
        <v>-3920</v>
      </c>
      <c r="J1723">
        <f>IF(AND(MyRowHidden(ROW())=FALSE,MyRowHidden(ROW()-1)=TRUE),0,(G1723-G1722)*unitsOfExo+J1722)</f>
        <v>50000</v>
      </c>
      <c r="K1723" s="9">
        <f t="shared" si="83"/>
        <v>50000</v>
      </c>
      <c r="L1723">
        <f t="shared" si="84"/>
        <v>46080</v>
      </c>
    </row>
    <row r="1724" spans="4:12" x14ac:dyDescent="0.25">
      <c r="D1724" s="1"/>
      <c r="E1724">
        <v>-5392</v>
      </c>
      <c r="F1724" s="1"/>
      <c r="H1724" s="1">
        <f t="shared" si="82"/>
        <v>0</v>
      </c>
      <c r="I1724">
        <f>IF(AND(MyRowHidden(ROW())=FALSE,MyRowHidden(ROW()-1)=TRUE),0,(E1724-E1723)*unitsOfDHp+I1723)</f>
        <v>-3920</v>
      </c>
      <c r="J1724">
        <f>IF(AND(MyRowHidden(ROW())=FALSE,MyRowHidden(ROW()-1)=TRUE),0,(G1724-G1723)*unitsOfExo+J1723)</f>
        <v>50000</v>
      </c>
      <c r="K1724" s="9">
        <f t="shared" si="83"/>
        <v>50000</v>
      </c>
      <c r="L1724">
        <f t="shared" si="84"/>
        <v>46080</v>
      </c>
    </row>
    <row r="1725" spans="4:12" x14ac:dyDescent="0.25">
      <c r="D1725" s="1"/>
      <c r="E1725">
        <v>-5392</v>
      </c>
      <c r="F1725" s="1"/>
      <c r="H1725" s="1">
        <f t="shared" si="82"/>
        <v>0</v>
      </c>
      <c r="I1725">
        <f>IF(AND(MyRowHidden(ROW())=FALSE,MyRowHidden(ROW()-1)=TRUE),0,(E1725-E1724)*unitsOfDHp+I1724)</f>
        <v>-3920</v>
      </c>
      <c r="J1725">
        <f>IF(AND(MyRowHidden(ROW())=FALSE,MyRowHidden(ROW()-1)=TRUE),0,(G1725-G1724)*unitsOfExo+J1724)</f>
        <v>50000</v>
      </c>
      <c r="K1725" s="9">
        <f t="shared" si="83"/>
        <v>50000</v>
      </c>
      <c r="L1725">
        <f t="shared" si="84"/>
        <v>46080</v>
      </c>
    </row>
    <row r="1726" spans="4:12" x14ac:dyDescent="0.25">
      <c r="D1726" s="1"/>
      <c r="E1726">
        <v>-5392</v>
      </c>
      <c r="F1726" s="1"/>
      <c r="H1726" s="1">
        <f t="shared" si="82"/>
        <v>0</v>
      </c>
      <c r="I1726">
        <f>IF(AND(MyRowHidden(ROW())=FALSE,MyRowHidden(ROW()-1)=TRUE),0,(E1726-E1725)*unitsOfDHp+I1725)</f>
        <v>-3920</v>
      </c>
      <c r="J1726">
        <f>IF(AND(MyRowHidden(ROW())=FALSE,MyRowHidden(ROW()-1)=TRUE),0,(G1726-G1725)*unitsOfExo+J1725)</f>
        <v>50000</v>
      </c>
      <c r="K1726" s="9">
        <f t="shared" si="83"/>
        <v>50000</v>
      </c>
      <c r="L1726">
        <f t="shared" si="84"/>
        <v>46080</v>
      </c>
    </row>
    <row r="1727" spans="4:12" x14ac:dyDescent="0.25">
      <c r="D1727" s="1"/>
      <c r="E1727">
        <v>-5392</v>
      </c>
      <c r="F1727" s="1"/>
      <c r="H1727" s="1">
        <f t="shared" si="82"/>
        <v>0</v>
      </c>
      <c r="I1727">
        <f>IF(AND(MyRowHidden(ROW())=FALSE,MyRowHidden(ROW()-1)=TRUE),0,(E1727-E1726)*unitsOfDHp+I1726)</f>
        <v>-3920</v>
      </c>
      <c r="J1727">
        <f>IF(AND(MyRowHidden(ROW())=FALSE,MyRowHidden(ROW()-1)=TRUE),0,(G1727-G1726)*unitsOfExo+J1726)</f>
        <v>50000</v>
      </c>
      <c r="K1727" s="9">
        <f t="shared" si="83"/>
        <v>50000</v>
      </c>
      <c r="L1727">
        <f t="shared" si="84"/>
        <v>46080</v>
      </c>
    </row>
    <row r="1728" spans="4:12" x14ac:dyDescent="0.25">
      <c r="D1728" s="1"/>
      <c r="E1728">
        <v>-5392</v>
      </c>
      <c r="F1728" s="1"/>
      <c r="H1728" s="1">
        <f t="shared" si="82"/>
        <v>0</v>
      </c>
      <c r="I1728">
        <f>IF(AND(MyRowHidden(ROW())=FALSE,MyRowHidden(ROW()-1)=TRUE),0,(E1728-E1727)*unitsOfDHp+I1727)</f>
        <v>-3920</v>
      </c>
      <c r="J1728">
        <f>IF(AND(MyRowHidden(ROW())=FALSE,MyRowHidden(ROW()-1)=TRUE),0,(G1728-G1727)*unitsOfExo+J1727)</f>
        <v>50000</v>
      </c>
      <c r="K1728" s="9">
        <f t="shared" si="83"/>
        <v>50000</v>
      </c>
      <c r="L1728">
        <f t="shared" si="84"/>
        <v>46080</v>
      </c>
    </row>
    <row r="1729" spans="4:12" x14ac:dyDescent="0.25">
      <c r="D1729" s="1"/>
      <c r="E1729">
        <v>-5392</v>
      </c>
      <c r="F1729" s="1"/>
      <c r="H1729" s="1">
        <f t="shared" si="82"/>
        <v>0</v>
      </c>
      <c r="I1729">
        <f>IF(AND(MyRowHidden(ROW())=FALSE,MyRowHidden(ROW()-1)=TRUE),0,(E1729-E1728)*unitsOfDHp+I1728)</f>
        <v>-3920</v>
      </c>
      <c r="J1729">
        <f>IF(AND(MyRowHidden(ROW())=FALSE,MyRowHidden(ROW()-1)=TRUE),0,(G1729-G1728)*unitsOfExo+J1728)</f>
        <v>50000</v>
      </c>
      <c r="K1729" s="9">
        <f t="shared" si="83"/>
        <v>50000</v>
      </c>
      <c r="L1729">
        <f t="shared" si="84"/>
        <v>46080</v>
      </c>
    </row>
    <row r="1730" spans="4:12" x14ac:dyDescent="0.25">
      <c r="D1730" s="1"/>
      <c r="E1730">
        <v>-5392</v>
      </c>
      <c r="F1730" s="1"/>
      <c r="H1730" s="1">
        <f t="shared" si="82"/>
        <v>0</v>
      </c>
      <c r="I1730">
        <f>IF(AND(MyRowHidden(ROW())=FALSE,MyRowHidden(ROW()-1)=TRUE),0,(E1730-E1729)*unitsOfDHp+I1729)</f>
        <v>-3920</v>
      </c>
      <c r="J1730">
        <f>IF(AND(MyRowHidden(ROW())=FALSE,MyRowHidden(ROW()-1)=TRUE),0,(G1730-G1729)*unitsOfExo+J1729)</f>
        <v>50000</v>
      </c>
      <c r="K1730" s="9">
        <f t="shared" si="83"/>
        <v>50000</v>
      </c>
      <c r="L1730">
        <f t="shared" si="84"/>
        <v>46080</v>
      </c>
    </row>
    <row r="1731" spans="4:12" x14ac:dyDescent="0.25">
      <c r="D1731" s="1"/>
      <c r="E1731">
        <v>-5392</v>
      </c>
      <c r="F1731" s="1"/>
      <c r="H1731" s="1">
        <f t="shared" si="82"/>
        <v>0</v>
      </c>
      <c r="I1731">
        <f>IF(AND(MyRowHidden(ROW())=FALSE,MyRowHidden(ROW()-1)=TRUE),0,(E1731-E1730)*unitsOfDHp+I1730)</f>
        <v>-3920</v>
      </c>
      <c r="J1731">
        <f>IF(AND(MyRowHidden(ROW())=FALSE,MyRowHidden(ROW()-1)=TRUE),0,(G1731-G1730)*unitsOfExo+J1730)</f>
        <v>50000</v>
      </c>
      <c r="K1731" s="9">
        <f t="shared" si="83"/>
        <v>50000</v>
      </c>
      <c r="L1731">
        <f t="shared" si="84"/>
        <v>46080</v>
      </c>
    </row>
    <row r="1732" spans="4:12" x14ac:dyDescent="0.25">
      <c r="D1732" s="1"/>
      <c r="E1732">
        <v>-5392</v>
      </c>
      <c r="F1732" s="1"/>
      <c r="H1732" s="1">
        <f t="shared" si="82"/>
        <v>0</v>
      </c>
      <c r="I1732">
        <f>IF(AND(MyRowHidden(ROW())=FALSE,MyRowHidden(ROW()-1)=TRUE),0,(E1732-E1731)*unitsOfDHp+I1731)</f>
        <v>-3920</v>
      </c>
      <c r="J1732">
        <f>IF(AND(MyRowHidden(ROW())=FALSE,MyRowHidden(ROW()-1)=TRUE),0,(G1732-G1731)*unitsOfExo+J1731)</f>
        <v>50000</v>
      </c>
      <c r="K1732" s="9">
        <f t="shared" si="83"/>
        <v>50000</v>
      </c>
      <c r="L1732">
        <f t="shared" si="84"/>
        <v>46080</v>
      </c>
    </row>
    <row r="1733" spans="4:12" x14ac:dyDescent="0.25">
      <c r="D1733" s="1"/>
      <c r="E1733">
        <v>-5392</v>
      </c>
      <c r="F1733" s="1"/>
      <c r="H1733" s="1">
        <f t="shared" si="82"/>
        <v>0</v>
      </c>
      <c r="I1733">
        <f>IF(AND(MyRowHidden(ROW())=FALSE,MyRowHidden(ROW()-1)=TRUE),0,(E1733-E1732)*unitsOfDHp+I1732)</f>
        <v>-3920</v>
      </c>
      <c r="J1733">
        <f>IF(AND(MyRowHidden(ROW())=FALSE,MyRowHidden(ROW()-1)=TRUE),0,(G1733-G1732)*unitsOfExo+J1732)</f>
        <v>50000</v>
      </c>
      <c r="K1733" s="9">
        <f t="shared" si="83"/>
        <v>50000</v>
      </c>
      <c r="L1733">
        <f t="shared" si="84"/>
        <v>46080</v>
      </c>
    </row>
    <row r="1734" spans="4:12" x14ac:dyDescent="0.25">
      <c r="D1734" s="1"/>
      <c r="E1734">
        <v>-5392</v>
      </c>
      <c r="F1734" s="1"/>
      <c r="H1734" s="1">
        <f t="shared" si="82"/>
        <v>0</v>
      </c>
      <c r="I1734">
        <f>IF(AND(MyRowHidden(ROW())=FALSE,MyRowHidden(ROW()-1)=TRUE),0,(E1734-E1733)*unitsOfDHp+I1733)</f>
        <v>-3920</v>
      </c>
      <c r="J1734">
        <f>IF(AND(MyRowHidden(ROW())=FALSE,MyRowHidden(ROW()-1)=TRUE),0,(G1734-G1733)*unitsOfExo+J1733)</f>
        <v>50000</v>
      </c>
      <c r="K1734" s="9">
        <f t="shared" si="83"/>
        <v>50000</v>
      </c>
      <c r="L1734">
        <f t="shared" si="84"/>
        <v>46080</v>
      </c>
    </row>
    <row r="1735" spans="4:12" x14ac:dyDescent="0.25">
      <c r="D1735" s="1"/>
      <c r="E1735">
        <v>-5392</v>
      </c>
      <c r="F1735" s="1"/>
      <c r="H1735" s="1">
        <f t="shared" si="82"/>
        <v>0</v>
      </c>
      <c r="I1735">
        <f>IF(AND(MyRowHidden(ROW())=FALSE,MyRowHidden(ROW()-1)=TRUE),0,(E1735-E1734)*unitsOfDHp+I1734)</f>
        <v>-3920</v>
      </c>
      <c r="J1735">
        <f>IF(AND(MyRowHidden(ROW())=FALSE,MyRowHidden(ROW()-1)=TRUE),0,(G1735-G1734)*unitsOfExo+J1734)</f>
        <v>50000</v>
      </c>
      <c r="K1735" s="9">
        <f t="shared" si="83"/>
        <v>50000</v>
      </c>
      <c r="L1735">
        <f t="shared" si="84"/>
        <v>46080</v>
      </c>
    </row>
    <row r="1736" spans="4:12" x14ac:dyDescent="0.25">
      <c r="D1736" s="1"/>
      <c r="E1736">
        <v>-5392</v>
      </c>
      <c r="F1736" s="1"/>
      <c r="H1736" s="1">
        <f t="shared" si="82"/>
        <v>0</v>
      </c>
      <c r="I1736">
        <f>IF(AND(MyRowHidden(ROW())=FALSE,MyRowHidden(ROW()-1)=TRUE),0,(E1736-E1735)*unitsOfDHp+I1735)</f>
        <v>-3920</v>
      </c>
      <c r="J1736">
        <f>IF(AND(MyRowHidden(ROW())=FALSE,MyRowHidden(ROW()-1)=TRUE),0,(G1736-G1735)*unitsOfExo+J1735)</f>
        <v>50000</v>
      </c>
      <c r="K1736" s="9">
        <f t="shared" si="83"/>
        <v>50000</v>
      </c>
      <c r="L1736">
        <f t="shared" si="84"/>
        <v>46080</v>
      </c>
    </row>
    <row r="1737" spans="4:12" x14ac:dyDescent="0.25">
      <c r="D1737" s="1"/>
      <c r="E1737">
        <v>-5392</v>
      </c>
      <c r="F1737" s="1"/>
      <c r="H1737" s="1">
        <f t="shared" si="82"/>
        <v>0</v>
      </c>
      <c r="I1737">
        <f>IF(AND(MyRowHidden(ROW())=FALSE,MyRowHidden(ROW()-1)=TRUE),0,(E1737-E1736)*unitsOfDHp+I1736)</f>
        <v>-3920</v>
      </c>
      <c r="J1737">
        <f>IF(AND(MyRowHidden(ROW())=FALSE,MyRowHidden(ROW()-1)=TRUE),0,(G1737-G1736)*unitsOfExo+J1736)</f>
        <v>50000</v>
      </c>
      <c r="K1737" s="9">
        <f t="shared" si="83"/>
        <v>50000</v>
      </c>
      <c r="L1737">
        <f t="shared" si="84"/>
        <v>46080</v>
      </c>
    </row>
    <row r="1738" spans="4:12" x14ac:dyDescent="0.25">
      <c r="D1738" s="1"/>
      <c r="E1738">
        <v>-5392</v>
      </c>
      <c r="F1738" s="1"/>
      <c r="H1738" s="1">
        <f t="shared" si="82"/>
        <v>0</v>
      </c>
      <c r="I1738">
        <f>IF(AND(MyRowHidden(ROW())=FALSE,MyRowHidden(ROW()-1)=TRUE),0,(E1738-E1737)*unitsOfDHp+I1737)</f>
        <v>-3920</v>
      </c>
      <c r="J1738">
        <f>IF(AND(MyRowHidden(ROW())=FALSE,MyRowHidden(ROW()-1)=TRUE),0,(G1738-G1737)*unitsOfExo+J1737)</f>
        <v>50000</v>
      </c>
      <c r="K1738" s="9">
        <f t="shared" si="83"/>
        <v>50000</v>
      </c>
      <c r="L1738">
        <f t="shared" si="84"/>
        <v>46080</v>
      </c>
    </row>
    <row r="1739" spans="4:12" x14ac:dyDescent="0.25">
      <c r="D1739" s="1"/>
      <c r="E1739">
        <v>-5392</v>
      </c>
      <c r="F1739" s="1"/>
      <c r="H1739" s="1">
        <f t="shared" si="82"/>
        <v>0</v>
      </c>
      <c r="I1739">
        <f>IF(AND(MyRowHidden(ROW())=FALSE,MyRowHidden(ROW()-1)=TRUE),0,(E1739-E1738)*unitsOfDHp+I1738)</f>
        <v>-3920</v>
      </c>
      <c r="J1739">
        <f>IF(AND(MyRowHidden(ROW())=FALSE,MyRowHidden(ROW()-1)=TRUE),0,(G1739-G1738)*unitsOfExo+J1738)</f>
        <v>50000</v>
      </c>
      <c r="K1739" s="9">
        <f t="shared" si="83"/>
        <v>50000</v>
      </c>
      <c r="L1739">
        <f t="shared" si="84"/>
        <v>46080</v>
      </c>
    </row>
    <row r="1740" spans="4:12" x14ac:dyDescent="0.25">
      <c r="D1740" s="1"/>
      <c r="E1740">
        <v>-5392</v>
      </c>
      <c r="F1740" s="1"/>
      <c r="H1740" s="1">
        <f t="shared" si="82"/>
        <v>0</v>
      </c>
      <c r="I1740">
        <f>IF(AND(MyRowHidden(ROW())=FALSE,MyRowHidden(ROW()-1)=TRUE),0,(E1740-E1739)*unitsOfDHp+I1739)</f>
        <v>-3920</v>
      </c>
      <c r="J1740">
        <f>IF(AND(MyRowHidden(ROW())=FALSE,MyRowHidden(ROW()-1)=TRUE),0,(G1740-G1739)*unitsOfExo+J1739)</f>
        <v>50000</v>
      </c>
      <c r="K1740" s="9">
        <f t="shared" si="83"/>
        <v>50000</v>
      </c>
      <c r="L1740">
        <f t="shared" si="84"/>
        <v>46080</v>
      </c>
    </row>
    <row r="1741" spans="4:12" x14ac:dyDescent="0.25">
      <c r="D1741" s="1"/>
      <c r="E1741">
        <v>-5392</v>
      </c>
      <c r="F1741" s="1"/>
      <c r="H1741" s="1">
        <f t="shared" ref="H1741:H1804" si="85">D1741</f>
        <v>0</v>
      </c>
      <c r="I1741">
        <f>IF(AND(MyRowHidden(ROW())=FALSE,MyRowHidden(ROW()-1)=TRUE),0,(E1741-E1740)*unitsOfDHp+I1740)</f>
        <v>-3920</v>
      </c>
      <c r="J1741">
        <f>IF(AND(MyRowHidden(ROW())=FALSE,MyRowHidden(ROW()-1)=TRUE),0,(G1741-G1740)*unitsOfExo+J1740)</f>
        <v>50000</v>
      </c>
      <c r="K1741" s="9">
        <f t="shared" ref="K1741:K1804" si="86">-(J1741-J1740)+K1740</f>
        <v>50000</v>
      </c>
      <c r="L1741">
        <f t="shared" ref="L1741:L1804" si="87">I1741+J1741</f>
        <v>46080</v>
      </c>
    </row>
    <row r="1742" spans="4:12" x14ac:dyDescent="0.25">
      <c r="D1742" s="1"/>
      <c r="E1742">
        <v>-5392</v>
      </c>
      <c r="F1742" s="1"/>
      <c r="H1742" s="1">
        <f t="shared" si="85"/>
        <v>0</v>
      </c>
      <c r="I1742">
        <f>IF(AND(MyRowHidden(ROW())=FALSE,MyRowHidden(ROW()-1)=TRUE),0,(E1742-E1741)*unitsOfDHp+I1741)</f>
        <v>-3920</v>
      </c>
      <c r="J1742">
        <f>IF(AND(MyRowHidden(ROW())=FALSE,MyRowHidden(ROW()-1)=TRUE),0,(G1742-G1741)*unitsOfExo+J1741)</f>
        <v>50000</v>
      </c>
      <c r="K1742" s="9">
        <f t="shared" si="86"/>
        <v>50000</v>
      </c>
      <c r="L1742">
        <f t="shared" si="87"/>
        <v>46080</v>
      </c>
    </row>
    <row r="1743" spans="4:12" x14ac:dyDescent="0.25">
      <c r="D1743" s="1"/>
      <c r="E1743">
        <v>-5392</v>
      </c>
      <c r="F1743" s="1"/>
      <c r="H1743" s="1">
        <f t="shared" si="85"/>
        <v>0</v>
      </c>
      <c r="I1743">
        <f>IF(AND(MyRowHidden(ROW())=FALSE,MyRowHidden(ROW()-1)=TRUE),0,(E1743-E1742)*unitsOfDHp+I1742)</f>
        <v>-3920</v>
      </c>
      <c r="J1743">
        <f>IF(AND(MyRowHidden(ROW())=FALSE,MyRowHidden(ROW()-1)=TRUE),0,(G1743-G1742)*unitsOfExo+J1742)</f>
        <v>50000</v>
      </c>
      <c r="K1743" s="9">
        <f t="shared" si="86"/>
        <v>50000</v>
      </c>
      <c r="L1743">
        <f t="shared" si="87"/>
        <v>46080</v>
      </c>
    </row>
    <row r="1744" spans="4:12" x14ac:dyDescent="0.25">
      <c r="D1744" s="1"/>
      <c r="E1744">
        <v>-5392</v>
      </c>
      <c r="F1744" s="1"/>
      <c r="H1744" s="1">
        <f t="shared" si="85"/>
        <v>0</v>
      </c>
      <c r="I1744">
        <f>IF(AND(MyRowHidden(ROW())=FALSE,MyRowHidden(ROW()-1)=TRUE),0,(E1744-E1743)*unitsOfDHp+I1743)</f>
        <v>-3920</v>
      </c>
      <c r="J1744">
        <f>IF(AND(MyRowHidden(ROW())=FALSE,MyRowHidden(ROW()-1)=TRUE),0,(G1744-G1743)*unitsOfExo+J1743)</f>
        <v>50000</v>
      </c>
      <c r="K1744" s="9">
        <f t="shared" si="86"/>
        <v>50000</v>
      </c>
      <c r="L1744">
        <f t="shared" si="87"/>
        <v>46080</v>
      </c>
    </row>
    <row r="1745" spans="4:12" x14ac:dyDescent="0.25">
      <c r="D1745" s="1"/>
      <c r="E1745">
        <v>-5392</v>
      </c>
      <c r="F1745" s="1"/>
      <c r="H1745" s="1">
        <f t="shared" si="85"/>
        <v>0</v>
      </c>
      <c r="I1745">
        <f>IF(AND(MyRowHidden(ROW())=FALSE,MyRowHidden(ROW()-1)=TRUE),0,(E1745-E1744)*unitsOfDHp+I1744)</f>
        <v>-3920</v>
      </c>
      <c r="J1745">
        <f>IF(AND(MyRowHidden(ROW())=FALSE,MyRowHidden(ROW()-1)=TRUE),0,(G1745-G1744)*unitsOfExo+J1744)</f>
        <v>50000</v>
      </c>
      <c r="K1745" s="9">
        <f t="shared" si="86"/>
        <v>50000</v>
      </c>
      <c r="L1745">
        <f t="shared" si="87"/>
        <v>46080</v>
      </c>
    </row>
    <row r="1746" spans="4:12" x14ac:dyDescent="0.25">
      <c r="D1746" s="1"/>
      <c r="E1746">
        <v>-5392</v>
      </c>
      <c r="F1746" s="1"/>
      <c r="H1746" s="1">
        <f t="shared" si="85"/>
        <v>0</v>
      </c>
      <c r="I1746">
        <f>IF(AND(MyRowHidden(ROW())=FALSE,MyRowHidden(ROW()-1)=TRUE),0,(E1746-E1745)*unitsOfDHp+I1745)</f>
        <v>-3920</v>
      </c>
      <c r="J1746">
        <f>IF(AND(MyRowHidden(ROW())=FALSE,MyRowHidden(ROW()-1)=TRUE),0,(G1746-G1745)*unitsOfExo+J1745)</f>
        <v>50000</v>
      </c>
      <c r="K1746" s="9">
        <f t="shared" si="86"/>
        <v>50000</v>
      </c>
      <c r="L1746">
        <f t="shared" si="87"/>
        <v>46080</v>
      </c>
    </row>
    <row r="1747" spans="4:12" x14ac:dyDescent="0.25">
      <c r="D1747" s="1"/>
      <c r="E1747">
        <v>-5392</v>
      </c>
      <c r="F1747" s="1"/>
      <c r="H1747" s="1">
        <f t="shared" si="85"/>
        <v>0</v>
      </c>
      <c r="I1747">
        <f>IF(AND(MyRowHidden(ROW())=FALSE,MyRowHidden(ROW()-1)=TRUE),0,(E1747-E1746)*unitsOfDHp+I1746)</f>
        <v>-3920</v>
      </c>
      <c r="J1747">
        <f>IF(AND(MyRowHidden(ROW())=FALSE,MyRowHidden(ROW()-1)=TRUE),0,(G1747-G1746)*unitsOfExo+J1746)</f>
        <v>50000</v>
      </c>
      <c r="K1747" s="9">
        <f t="shared" si="86"/>
        <v>50000</v>
      </c>
      <c r="L1747">
        <f t="shared" si="87"/>
        <v>46080</v>
      </c>
    </row>
    <row r="1748" spans="4:12" x14ac:dyDescent="0.25">
      <c r="D1748" s="1"/>
      <c r="E1748">
        <v>-5392</v>
      </c>
      <c r="F1748" s="1"/>
      <c r="H1748" s="1">
        <f t="shared" si="85"/>
        <v>0</v>
      </c>
      <c r="I1748">
        <f>IF(AND(MyRowHidden(ROW())=FALSE,MyRowHidden(ROW()-1)=TRUE),0,(E1748-E1747)*unitsOfDHp+I1747)</f>
        <v>-3920</v>
      </c>
      <c r="J1748">
        <f>IF(AND(MyRowHidden(ROW())=FALSE,MyRowHidden(ROW()-1)=TRUE),0,(G1748-G1747)*unitsOfExo+J1747)</f>
        <v>50000</v>
      </c>
      <c r="K1748" s="9">
        <f t="shared" si="86"/>
        <v>50000</v>
      </c>
      <c r="L1748">
        <f t="shared" si="87"/>
        <v>46080</v>
      </c>
    </row>
    <row r="1749" spans="4:12" x14ac:dyDescent="0.25">
      <c r="D1749" s="1"/>
      <c r="E1749">
        <v>-5392</v>
      </c>
      <c r="F1749" s="1"/>
      <c r="H1749" s="1">
        <f t="shared" si="85"/>
        <v>0</v>
      </c>
      <c r="I1749">
        <f>IF(AND(MyRowHidden(ROW())=FALSE,MyRowHidden(ROW()-1)=TRUE),0,(E1749-E1748)*unitsOfDHp+I1748)</f>
        <v>-3920</v>
      </c>
      <c r="J1749">
        <f>IF(AND(MyRowHidden(ROW())=FALSE,MyRowHidden(ROW()-1)=TRUE),0,(G1749-G1748)*unitsOfExo+J1748)</f>
        <v>50000</v>
      </c>
      <c r="K1749" s="9">
        <f t="shared" si="86"/>
        <v>50000</v>
      </c>
      <c r="L1749">
        <f t="shared" si="87"/>
        <v>46080</v>
      </c>
    </row>
    <row r="1750" spans="4:12" x14ac:dyDescent="0.25">
      <c r="D1750" s="1"/>
      <c r="E1750">
        <v>-5392</v>
      </c>
      <c r="F1750" s="1"/>
      <c r="H1750" s="1">
        <f t="shared" si="85"/>
        <v>0</v>
      </c>
      <c r="I1750">
        <f>IF(AND(MyRowHidden(ROW())=FALSE,MyRowHidden(ROW()-1)=TRUE),0,(E1750-E1749)*unitsOfDHp+I1749)</f>
        <v>-3920</v>
      </c>
      <c r="J1750">
        <f>IF(AND(MyRowHidden(ROW())=FALSE,MyRowHidden(ROW()-1)=TRUE),0,(G1750-G1749)*unitsOfExo+J1749)</f>
        <v>50000</v>
      </c>
      <c r="K1750" s="9">
        <f t="shared" si="86"/>
        <v>50000</v>
      </c>
      <c r="L1750">
        <f t="shared" si="87"/>
        <v>46080</v>
      </c>
    </row>
    <row r="1751" spans="4:12" x14ac:dyDescent="0.25">
      <c r="D1751" s="1"/>
      <c r="E1751">
        <v>-5392</v>
      </c>
      <c r="F1751" s="1"/>
      <c r="H1751" s="1">
        <f t="shared" si="85"/>
        <v>0</v>
      </c>
      <c r="I1751">
        <f>IF(AND(MyRowHidden(ROW())=FALSE,MyRowHidden(ROW()-1)=TRUE),0,(E1751-E1750)*unitsOfDHp+I1750)</f>
        <v>-3920</v>
      </c>
      <c r="J1751">
        <f>IF(AND(MyRowHidden(ROW())=FALSE,MyRowHidden(ROW()-1)=TRUE),0,(G1751-G1750)*unitsOfExo+J1750)</f>
        <v>50000</v>
      </c>
      <c r="K1751" s="9">
        <f t="shared" si="86"/>
        <v>50000</v>
      </c>
      <c r="L1751">
        <f t="shared" si="87"/>
        <v>46080</v>
      </c>
    </row>
    <row r="1752" spans="4:12" x14ac:dyDescent="0.25">
      <c r="D1752" s="1"/>
      <c r="E1752">
        <v>-5392</v>
      </c>
      <c r="F1752" s="1"/>
      <c r="H1752" s="1">
        <f t="shared" si="85"/>
        <v>0</v>
      </c>
      <c r="I1752">
        <f>IF(AND(MyRowHidden(ROW())=FALSE,MyRowHidden(ROW()-1)=TRUE),0,(E1752-E1751)*unitsOfDHp+I1751)</f>
        <v>-3920</v>
      </c>
      <c r="J1752">
        <f>IF(AND(MyRowHidden(ROW())=FALSE,MyRowHidden(ROW()-1)=TRUE),0,(G1752-G1751)*unitsOfExo+J1751)</f>
        <v>50000</v>
      </c>
      <c r="K1752" s="9">
        <f t="shared" si="86"/>
        <v>50000</v>
      </c>
      <c r="L1752">
        <f t="shared" si="87"/>
        <v>46080</v>
      </c>
    </row>
    <row r="1753" spans="4:12" x14ac:dyDescent="0.25">
      <c r="D1753" s="1"/>
      <c r="E1753">
        <v>-5392</v>
      </c>
      <c r="F1753" s="1"/>
      <c r="H1753" s="1">
        <f t="shared" si="85"/>
        <v>0</v>
      </c>
      <c r="I1753">
        <f>IF(AND(MyRowHidden(ROW())=FALSE,MyRowHidden(ROW()-1)=TRUE),0,(E1753-E1752)*unitsOfDHp+I1752)</f>
        <v>-3920</v>
      </c>
      <c r="J1753">
        <f>IF(AND(MyRowHidden(ROW())=FALSE,MyRowHidden(ROW()-1)=TRUE),0,(G1753-G1752)*unitsOfExo+J1752)</f>
        <v>50000</v>
      </c>
      <c r="K1753" s="9">
        <f t="shared" si="86"/>
        <v>50000</v>
      </c>
      <c r="L1753">
        <f t="shared" si="87"/>
        <v>46080</v>
      </c>
    </row>
    <row r="1754" spans="4:12" x14ac:dyDescent="0.25">
      <c r="D1754" s="1"/>
      <c r="E1754">
        <v>-5392</v>
      </c>
      <c r="F1754" s="1"/>
      <c r="H1754" s="1">
        <f t="shared" si="85"/>
        <v>0</v>
      </c>
      <c r="I1754">
        <f>IF(AND(MyRowHidden(ROW())=FALSE,MyRowHidden(ROW()-1)=TRUE),0,(E1754-E1753)*unitsOfDHp+I1753)</f>
        <v>-3920</v>
      </c>
      <c r="J1754">
        <f>IF(AND(MyRowHidden(ROW())=FALSE,MyRowHidden(ROW()-1)=TRUE),0,(G1754-G1753)*unitsOfExo+J1753)</f>
        <v>50000</v>
      </c>
      <c r="K1754" s="9">
        <f t="shared" si="86"/>
        <v>50000</v>
      </c>
      <c r="L1754">
        <f t="shared" si="87"/>
        <v>46080</v>
      </c>
    </row>
    <row r="1755" spans="4:12" x14ac:dyDescent="0.25">
      <c r="D1755" s="1"/>
      <c r="E1755">
        <v>-5392</v>
      </c>
      <c r="F1755" s="1"/>
      <c r="H1755" s="1">
        <f t="shared" si="85"/>
        <v>0</v>
      </c>
      <c r="I1755">
        <f>IF(AND(MyRowHidden(ROW())=FALSE,MyRowHidden(ROW()-1)=TRUE),0,(E1755-E1754)*unitsOfDHp+I1754)</f>
        <v>-3920</v>
      </c>
      <c r="J1755">
        <f>IF(AND(MyRowHidden(ROW())=FALSE,MyRowHidden(ROW()-1)=TRUE),0,(G1755-G1754)*unitsOfExo+J1754)</f>
        <v>50000</v>
      </c>
      <c r="K1755" s="9">
        <f t="shared" si="86"/>
        <v>50000</v>
      </c>
      <c r="L1755">
        <f t="shared" si="87"/>
        <v>46080</v>
      </c>
    </row>
    <row r="1756" spans="4:12" x14ac:dyDescent="0.25">
      <c r="D1756" s="1"/>
      <c r="E1756">
        <v>-5392</v>
      </c>
      <c r="F1756" s="1"/>
      <c r="H1756" s="1">
        <f t="shared" si="85"/>
        <v>0</v>
      </c>
      <c r="I1756">
        <f>IF(AND(MyRowHidden(ROW())=FALSE,MyRowHidden(ROW()-1)=TRUE),0,(E1756-E1755)*unitsOfDHp+I1755)</f>
        <v>-3920</v>
      </c>
      <c r="J1756">
        <f>IF(AND(MyRowHidden(ROW())=FALSE,MyRowHidden(ROW()-1)=TRUE),0,(G1756-G1755)*unitsOfExo+J1755)</f>
        <v>50000</v>
      </c>
      <c r="K1756" s="9">
        <f t="shared" si="86"/>
        <v>50000</v>
      </c>
      <c r="L1756">
        <f t="shared" si="87"/>
        <v>46080</v>
      </c>
    </row>
    <row r="1757" spans="4:12" x14ac:dyDescent="0.25">
      <c r="D1757" s="1"/>
      <c r="E1757">
        <v>-5392</v>
      </c>
      <c r="F1757" s="1"/>
      <c r="H1757" s="1">
        <f t="shared" si="85"/>
        <v>0</v>
      </c>
      <c r="I1757">
        <f>IF(AND(MyRowHidden(ROW())=FALSE,MyRowHidden(ROW()-1)=TRUE),0,(E1757-E1756)*unitsOfDHp+I1756)</f>
        <v>-3920</v>
      </c>
      <c r="J1757">
        <f>IF(AND(MyRowHidden(ROW())=FALSE,MyRowHidden(ROW()-1)=TRUE),0,(G1757-G1756)*unitsOfExo+J1756)</f>
        <v>50000</v>
      </c>
      <c r="K1757" s="9">
        <f t="shared" si="86"/>
        <v>50000</v>
      </c>
      <c r="L1757">
        <f t="shared" si="87"/>
        <v>46080</v>
      </c>
    </row>
    <row r="1758" spans="4:12" x14ac:dyDescent="0.25">
      <c r="D1758" s="1"/>
      <c r="E1758">
        <v>-5392</v>
      </c>
      <c r="F1758" s="1"/>
      <c r="H1758" s="1">
        <f t="shared" si="85"/>
        <v>0</v>
      </c>
      <c r="I1758">
        <f>IF(AND(MyRowHidden(ROW())=FALSE,MyRowHidden(ROW()-1)=TRUE),0,(E1758-E1757)*unitsOfDHp+I1757)</f>
        <v>-3920</v>
      </c>
      <c r="J1758">
        <f>IF(AND(MyRowHidden(ROW())=FALSE,MyRowHidden(ROW()-1)=TRUE),0,(G1758-G1757)*unitsOfExo+J1757)</f>
        <v>50000</v>
      </c>
      <c r="K1758" s="9">
        <f t="shared" si="86"/>
        <v>50000</v>
      </c>
      <c r="L1758">
        <f t="shared" si="87"/>
        <v>46080</v>
      </c>
    </row>
    <row r="1759" spans="4:12" x14ac:dyDescent="0.25">
      <c r="D1759" s="1"/>
      <c r="E1759">
        <v>-5392</v>
      </c>
      <c r="F1759" s="1"/>
      <c r="H1759" s="1">
        <f t="shared" si="85"/>
        <v>0</v>
      </c>
      <c r="I1759">
        <f>IF(AND(MyRowHidden(ROW())=FALSE,MyRowHidden(ROW()-1)=TRUE),0,(E1759-E1758)*unitsOfDHp+I1758)</f>
        <v>-3920</v>
      </c>
      <c r="J1759">
        <f>IF(AND(MyRowHidden(ROW())=FALSE,MyRowHidden(ROW()-1)=TRUE),0,(G1759-G1758)*unitsOfExo+J1758)</f>
        <v>50000</v>
      </c>
      <c r="K1759" s="9">
        <f t="shared" si="86"/>
        <v>50000</v>
      </c>
      <c r="L1759">
        <f t="shared" si="87"/>
        <v>46080</v>
      </c>
    </row>
    <row r="1760" spans="4:12" x14ac:dyDescent="0.25">
      <c r="D1760" s="1"/>
      <c r="E1760">
        <v>-5392</v>
      </c>
      <c r="F1760" s="1"/>
      <c r="H1760" s="1">
        <f t="shared" si="85"/>
        <v>0</v>
      </c>
      <c r="I1760">
        <f>IF(AND(MyRowHidden(ROW())=FALSE,MyRowHidden(ROW()-1)=TRUE),0,(E1760-E1759)*unitsOfDHp+I1759)</f>
        <v>-3920</v>
      </c>
      <c r="J1760">
        <f>IF(AND(MyRowHidden(ROW())=FALSE,MyRowHidden(ROW()-1)=TRUE),0,(G1760-G1759)*unitsOfExo+J1759)</f>
        <v>50000</v>
      </c>
      <c r="K1760" s="9">
        <f t="shared" si="86"/>
        <v>50000</v>
      </c>
      <c r="L1760">
        <f t="shared" si="87"/>
        <v>46080</v>
      </c>
    </row>
    <row r="1761" spans="4:12" x14ac:dyDescent="0.25">
      <c r="D1761" s="1"/>
      <c r="E1761">
        <v>-5392</v>
      </c>
      <c r="F1761" s="1"/>
      <c r="H1761" s="1">
        <f t="shared" si="85"/>
        <v>0</v>
      </c>
      <c r="I1761">
        <f>IF(AND(MyRowHidden(ROW())=FALSE,MyRowHidden(ROW()-1)=TRUE),0,(E1761-E1760)*unitsOfDHp+I1760)</f>
        <v>-3920</v>
      </c>
      <c r="J1761">
        <f>IF(AND(MyRowHidden(ROW())=FALSE,MyRowHidden(ROW()-1)=TRUE),0,(G1761-G1760)*unitsOfExo+J1760)</f>
        <v>50000</v>
      </c>
      <c r="K1761" s="9">
        <f t="shared" si="86"/>
        <v>50000</v>
      </c>
      <c r="L1761">
        <f t="shared" si="87"/>
        <v>46080</v>
      </c>
    </row>
    <row r="1762" spans="4:12" x14ac:dyDescent="0.25">
      <c r="D1762" s="1"/>
      <c r="E1762">
        <v>-5392</v>
      </c>
      <c r="F1762" s="1"/>
      <c r="H1762" s="1">
        <f t="shared" si="85"/>
        <v>0</v>
      </c>
      <c r="I1762">
        <f>IF(AND(MyRowHidden(ROW())=FALSE,MyRowHidden(ROW()-1)=TRUE),0,(E1762-E1761)*unitsOfDHp+I1761)</f>
        <v>-3920</v>
      </c>
      <c r="J1762">
        <f>IF(AND(MyRowHidden(ROW())=FALSE,MyRowHidden(ROW()-1)=TRUE),0,(G1762-G1761)*unitsOfExo+J1761)</f>
        <v>50000</v>
      </c>
      <c r="K1762" s="9">
        <f t="shared" si="86"/>
        <v>50000</v>
      </c>
      <c r="L1762">
        <f t="shared" si="87"/>
        <v>46080</v>
      </c>
    </row>
    <row r="1763" spans="4:12" x14ac:dyDescent="0.25">
      <c r="D1763" s="1"/>
      <c r="E1763">
        <v>-5392</v>
      </c>
      <c r="F1763" s="1"/>
      <c r="H1763" s="1">
        <f t="shared" si="85"/>
        <v>0</v>
      </c>
      <c r="I1763">
        <f>IF(AND(MyRowHidden(ROW())=FALSE,MyRowHidden(ROW()-1)=TRUE),0,(E1763-E1762)*unitsOfDHp+I1762)</f>
        <v>-3920</v>
      </c>
      <c r="J1763">
        <f>IF(AND(MyRowHidden(ROW())=FALSE,MyRowHidden(ROW()-1)=TRUE),0,(G1763-G1762)*unitsOfExo+J1762)</f>
        <v>50000</v>
      </c>
      <c r="K1763" s="9">
        <f t="shared" si="86"/>
        <v>50000</v>
      </c>
      <c r="L1763">
        <f t="shared" si="87"/>
        <v>46080</v>
      </c>
    </row>
    <row r="1764" spans="4:12" x14ac:dyDescent="0.25">
      <c r="D1764" s="1"/>
      <c r="E1764">
        <v>-5392</v>
      </c>
      <c r="F1764" s="1"/>
      <c r="H1764" s="1">
        <f t="shared" si="85"/>
        <v>0</v>
      </c>
      <c r="I1764">
        <f>IF(AND(MyRowHidden(ROW())=FALSE,MyRowHidden(ROW()-1)=TRUE),0,(E1764-E1763)*unitsOfDHp+I1763)</f>
        <v>-3920</v>
      </c>
      <c r="J1764">
        <f>IF(AND(MyRowHidden(ROW())=FALSE,MyRowHidden(ROW()-1)=TRUE),0,(G1764-G1763)*unitsOfExo+J1763)</f>
        <v>50000</v>
      </c>
      <c r="K1764" s="9">
        <f t="shared" si="86"/>
        <v>50000</v>
      </c>
      <c r="L1764">
        <f t="shared" si="87"/>
        <v>46080</v>
      </c>
    </row>
    <row r="1765" spans="4:12" x14ac:dyDescent="0.25">
      <c r="D1765" s="1"/>
      <c r="E1765">
        <v>-5392</v>
      </c>
      <c r="F1765" s="1"/>
      <c r="H1765" s="1">
        <f t="shared" si="85"/>
        <v>0</v>
      </c>
      <c r="I1765">
        <f>IF(AND(MyRowHidden(ROW())=FALSE,MyRowHidden(ROW()-1)=TRUE),0,(E1765-E1764)*unitsOfDHp+I1764)</f>
        <v>-3920</v>
      </c>
      <c r="J1765">
        <f>IF(AND(MyRowHidden(ROW())=FALSE,MyRowHidden(ROW()-1)=TRUE),0,(G1765-G1764)*unitsOfExo+J1764)</f>
        <v>50000</v>
      </c>
      <c r="K1765" s="9">
        <f t="shared" si="86"/>
        <v>50000</v>
      </c>
      <c r="L1765">
        <f t="shared" si="87"/>
        <v>46080</v>
      </c>
    </row>
    <row r="1766" spans="4:12" x14ac:dyDescent="0.25">
      <c r="D1766" s="1"/>
      <c r="E1766">
        <v>-5392</v>
      </c>
      <c r="F1766" s="1"/>
      <c r="H1766" s="1">
        <f t="shared" si="85"/>
        <v>0</v>
      </c>
      <c r="I1766">
        <f>IF(AND(MyRowHidden(ROW())=FALSE,MyRowHidden(ROW()-1)=TRUE),0,(E1766-E1765)*unitsOfDHp+I1765)</f>
        <v>-3920</v>
      </c>
      <c r="J1766">
        <f>IF(AND(MyRowHidden(ROW())=FALSE,MyRowHidden(ROW()-1)=TRUE),0,(G1766-G1765)*unitsOfExo+J1765)</f>
        <v>50000</v>
      </c>
      <c r="K1766" s="9">
        <f t="shared" si="86"/>
        <v>50000</v>
      </c>
      <c r="L1766">
        <f t="shared" si="87"/>
        <v>46080</v>
      </c>
    </row>
    <row r="1767" spans="4:12" x14ac:dyDescent="0.25">
      <c r="D1767" s="1"/>
      <c r="E1767">
        <v>-5392</v>
      </c>
      <c r="F1767" s="1"/>
      <c r="H1767" s="1">
        <f t="shared" si="85"/>
        <v>0</v>
      </c>
      <c r="I1767">
        <f>IF(AND(MyRowHidden(ROW())=FALSE,MyRowHidden(ROW()-1)=TRUE),0,(E1767-E1766)*unitsOfDHp+I1766)</f>
        <v>-3920</v>
      </c>
      <c r="J1767">
        <f>IF(AND(MyRowHidden(ROW())=FALSE,MyRowHidden(ROW()-1)=TRUE),0,(G1767-G1766)*unitsOfExo+J1766)</f>
        <v>50000</v>
      </c>
      <c r="K1767" s="9">
        <f t="shared" si="86"/>
        <v>50000</v>
      </c>
      <c r="L1767">
        <f t="shared" si="87"/>
        <v>46080</v>
      </c>
    </row>
    <row r="1768" spans="4:12" x14ac:dyDescent="0.25">
      <c r="D1768" s="1"/>
      <c r="E1768">
        <v>-5392</v>
      </c>
      <c r="F1768" s="1"/>
      <c r="H1768" s="1">
        <f t="shared" si="85"/>
        <v>0</v>
      </c>
      <c r="I1768">
        <f>IF(AND(MyRowHidden(ROW())=FALSE,MyRowHidden(ROW()-1)=TRUE),0,(E1768-E1767)*unitsOfDHp+I1767)</f>
        <v>-3920</v>
      </c>
      <c r="J1768">
        <f>IF(AND(MyRowHidden(ROW())=FALSE,MyRowHidden(ROW()-1)=TRUE),0,(G1768-G1767)*unitsOfExo+J1767)</f>
        <v>50000</v>
      </c>
      <c r="K1768" s="9">
        <f t="shared" si="86"/>
        <v>50000</v>
      </c>
      <c r="L1768">
        <f t="shared" si="87"/>
        <v>46080</v>
      </c>
    </row>
    <row r="1769" spans="4:12" x14ac:dyDescent="0.25">
      <c r="D1769" s="1"/>
      <c r="E1769">
        <v>-5392</v>
      </c>
      <c r="F1769" s="1"/>
      <c r="H1769" s="1">
        <f t="shared" si="85"/>
        <v>0</v>
      </c>
      <c r="I1769">
        <f>IF(AND(MyRowHidden(ROW())=FALSE,MyRowHidden(ROW()-1)=TRUE),0,(E1769-E1768)*unitsOfDHp+I1768)</f>
        <v>-3920</v>
      </c>
      <c r="J1769">
        <f>IF(AND(MyRowHidden(ROW())=FALSE,MyRowHidden(ROW()-1)=TRUE),0,(G1769-G1768)*unitsOfExo+J1768)</f>
        <v>50000</v>
      </c>
      <c r="K1769" s="9">
        <f t="shared" si="86"/>
        <v>50000</v>
      </c>
      <c r="L1769">
        <f t="shared" si="87"/>
        <v>46080</v>
      </c>
    </row>
    <row r="1770" spans="4:12" x14ac:dyDescent="0.25">
      <c r="D1770" s="1"/>
      <c r="E1770">
        <v>-5392</v>
      </c>
      <c r="F1770" s="1"/>
      <c r="H1770" s="1">
        <f t="shared" si="85"/>
        <v>0</v>
      </c>
      <c r="I1770">
        <f>IF(AND(MyRowHidden(ROW())=FALSE,MyRowHidden(ROW()-1)=TRUE),0,(E1770-E1769)*unitsOfDHp+I1769)</f>
        <v>-3920</v>
      </c>
      <c r="J1770">
        <f>IF(AND(MyRowHidden(ROW())=FALSE,MyRowHidden(ROW()-1)=TRUE),0,(G1770-G1769)*unitsOfExo+J1769)</f>
        <v>50000</v>
      </c>
      <c r="K1770" s="9">
        <f t="shared" si="86"/>
        <v>50000</v>
      </c>
      <c r="L1770">
        <f t="shared" si="87"/>
        <v>46080</v>
      </c>
    </row>
    <row r="1771" spans="4:12" x14ac:dyDescent="0.25">
      <c r="D1771" s="1"/>
      <c r="E1771">
        <v>-5392</v>
      </c>
      <c r="F1771" s="1"/>
      <c r="H1771" s="1">
        <f t="shared" si="85"/>
        <v>0</v>
      </c>
      <c r="I1771">
        <f>IF(AND(MyRowHidden(ROW())=FALSE,MyRowHidden(ROW()-1)=TRUE),0,(E1771-E1770)*unitsOfDHp+I1770)</f>
        <v>-3920</v>
      </c>
      <c r="J1771">
        <f>IF(AND(MyRowHidden(ROW())=FALSE,MyRowHidden(ROW()-1)=TRUE),0,(G1771-G1770)*unitsOfExo+J1770)</f>
        <v>50000</v>
      </c>
      <c r="K1771" s="9">
        <f t="shared" si="86"/>
        <v>50000</v>
      </c>
      <c r="L1771">
        <f t="shared" si="87"/>
        <v>46080</v>
      </c>
    </row>
    <row r="1772" spans="4:12" x14ac:dyDescent="0.25">
      <c r="D1772" s="1"/>
      <c r="E1772">
        <v>-5392</v>
      </c>
      <c r="F1772" s="1"/>
      <c r="H1772" s="1">
        <f t="shared" si="85"/>
        <v>0</v>
      </c>
      <c r="I1772">
        <f>IF(AND(MyRowHidden(ROW())=FALSE,MyRowHidden(ROW()-1)=TRUE),0,(E1772-E1771)*unitsOfDHp+I1771)</f>
        <v>-3920</v>
      </c>
      <c r="J1772">
        <f>IF(AND(MyRowHidden(ROW())=FALSE,MyRowHidden(ROW()-1)=TRUE),0,(G1772-G1771)*unitsOfExo+J1771)</f>
        <v>50000</v>
      </c>
      <c r="K1772" s="9">
        <f t="shared" si="86"/>
        <v>50000</v>
      </c>
      <c r="L1772">
        <f t="shared" si="87"/>
        <v>46080</v>
      </c>
    </row>
    <row r="1773" spans="4:12" x14ac:dyDescent="0.25">
      <c r="D1773" s="1"/>
      <c r="E1773">
        <v>-5392</v>
      </c>
      <c r="F1773" s="1"/>
      <c r="H1773" s="1">
        <f t="shared" si="85"/>
        <v>0</v>
      </c>
      <c r="I1773">
        <f>IF(AND(MyRowHidden(ROW())=FALSE,MyRowHidden(ROW()-1)=TRUE),0,(E1773-E1772)*unitsOfDHp+I1772)</f>
        <v>-3920</v>
      </c>
      <c r="J1773">
        <f>IF(AND(MyRowHidden(ROW())=FALSE,MyRowHidden(ROW()-1)=TRUE),0,(G1773-G1772)*unitsOfExo+J1772)</f>
        <v>50000</v>
      </c>
      <c r="K1773" s="9">
        <f t="shared" si="86"/>
        <v>50000</v>
      </c>
      <c r="L1773">
        <f t="shared" si="87"/>
        <v>46080</v>
      </c>
    </row>
    <row r="1774" spans="4:12" x14ac:dyDescent="0.25">
      <c r="D1774" s="1"/>
      <c r="E1774">
        <v>-5392</v>
      </c>
      <c r="F1774" s="1"/>
      <c r="H1774" s="1">
        <f t="shared" si="85"/>
        <v>0</v>
      </c>
      <c r="I1774">
        <f>IF(AND(MyRowHidden(ROW())=FALSE,MyRowHidden(ROW()-1)=TRUE),0,(E1774-E1773)*unitsOfDHp+I1773)</f>
        <v>-3920</v>
      </c>
      <c r="J1774">
        <f>IF(AND(MyRowHidden(ROW())=FALSE,MyRowHidden(ROW()-1)=TRUE),0,(G1774-G1773)*unitsOfExo+J1773)</f>
        <v>50000</v>
      </c>
      <c r="K1774" s="9">
        <f t="shared" si="86"/>
        <v>50000</v>
      </c>
      <c r="L1774">
        <f t="shared" si="87"/>
        <v>46080</v>
      </c>
    </row>
    <row r="1775" spans="4:12" x14ac:dyDescent="0.25">
      <c r="D1775" s="1"/>
      <c r="E1775">
        <v>-5392</v>
      </c>
      <c r="F1775" s="1"/>
      <c r="H1775" s="1">
        <f t="shared" si="85"/>
        <v>0</v>
      </c>
      <c r="I1775">
        <f>IF(AND(MyRowHidden(ROW())=FALSE,MyRowHidden(ROW()-1)=TRUE),0,(E1775-E1774)*unitsOfDHp+I1774)</f>
        <v>-3920</v>
      </c>
      <c r="J1775">
        <f>IF(AND(MyRowHidden(ROW())=FALSE,MyRowHidden(ROW()-1)=TRUE),0,(G1775-G1774)*unitsOfExo+J1774)</f>
        <v>50000</v>
      </c>
      <c r="K1775" s="9">
        <f t="shared" si="86"/>
        <v>50000</v>
      </c>
      <c r="L1775">
        <f t="shared" si="87"/>
        <v>46080</v>
      </c>
    </row>
    <row r="1776" spans="4:12" x14ac:dyDescent="0.25">
      <c r="D1776" s="1"/>
      <c r="E1776">
        <v>-5392</v>
      </c>
      <c r="F1776" s="1"/>
      <c r="H1776" s="1">
        <f t="shared" si="85"/>
        <v>0</v>
      </c>
      <c r="I1776">
        <f>IF(AND(MyRowHidden(ROW())=FALSE,MyRowHidden(ROW()-1)=TRUE),0,(E1776-E1775)*unitsOfDHp+I1775)</f>
        <v>-3920</v>
      </c>
      <c r="J1776">
        <f>IF(AND(MyRowHidden(ROW())=FALSE,MyRowHidden(ROW()-1)=TRUE),0,(G1776-G1775)*unitsOfExo+J1775)</f>
        <v>50000</v>
      </c>
      <c r="K1776" s="9">
        <f t="shared" si="86"/>
        <v>50000</v>
      </c>
      <c r="L1776">
        <f t="shared" si="87"/>
        <v>46080</v>
      </c>
    </row>
    <row r="1777" spans="4:12" x14ac:dyDescent="0.25">
      <c r="D1777" s="1"/>
      <c r="E1777">
        <v>-5392</v>
      </c>
      <c r="F1777" s="1"/>
      <c r="H1777" s="1">
        <f t="shared" si="85"/>
        <v>0</v>
      </c>
      <c r="I1777">
        <f>IF(AND(MyRowHidden(ROW())=FALSE,MyRowHidden(ROW()-1)=TRUE),0,(E1777-E1776)*unitsOfDHp+I1776)</f>
        <v>-3920</v>
      </c>
      <c r="J1777">
        <f>IF(AND(MyRowHidden(ROW())=FALSE,MyRowHidden(ROW()-1)=TRUE),0,(G1777-G1776)*unitsOfExo+J1776)</f>
        <v>50000</v>
      </c>
      <c r="K1777" s="9">
        <f t="shared" si="86"/>
        <v>50000</v>
      </c>
      <c r="L1777">
        <f t="shared" si="87"/>
        <v>46080</v>
      </c>
    </row>
    <row r="1778" spans="4:12" x14ac:dyDescent="0.25">
      <c r="D1778" s="1"/>
      <c r="E1778">
        <v>-5392</v>
      </c>
      <c r="F1778" s="1"/>
      <c r="H1778" s="1">
        <f t="shared" si="85"/>
        <v>0</v>
      </c>
      <c r="I1778">
        <f>IF(AND(MyRowHidden(ROW())=FALSE,MyRowHidden(ROW()-1)=TRUE),0,(E1778-E1777)*unitsOfDHp+I1777)</f>
        <v>-3920</v>
      </c>
      <c r="J1778">
        <f>IF(AND(MyRowHidden(ROW())=FALSE,MyRowHidden(ROW()-1)=TRUE),0,(G1778-G1777)*unitsOfExo+J1777)</f>
        <v>50000</v>
      </c>
      <c r="K1778" s="9">
        <f t="shared" si="86"/>
        <v>50000</v>
      </c>
      <c r="L1778">
        <f t="shared" si="87"/>
        <v>46080</v>
      </c>
    </row>
    <row r="1779" spans="4:12" x14ac:dyDescent="0.25">
      <c r="D1779" s="1"/>
      <c r="E1779">
        <v>-5392</v>
      </c>
      <c r="F1779" s="1"/>
      <c r="H1779" s="1">
        <f t="shared" si="85"/>
        <v>0</v>
      </c>
      <c r="I1779">
        <f>IF(AND(MyRowHidden(ROW())=FALSE,MyRowHidden(ROW()-1)=TRUE),0,(E1779-E1778)*unitsOfDHp+I1778)</f>
        <v>-3920</v>
      </c>
      <c r="J1779">
        <f>IF(AND(MyRowHidden(ROW())=FALSE,MyRowHidden(ROW()-1)=TRUE),0,(G1779-G1778)*unitsOfExo+J1778)</f>
        <v>50000</v>
      </c>
      <c r="K1779" s="9">
        <f t="shared" si="86"/>
        <v>50000</v>
      </c>
      <c r="L1779">
        <f t="shared" si="87"/>
        <v>46080</v>
      </c>
    </row>
    <row r="1780" spans="4:12" x14ac:dyDescent="0.25">
      <c r="D1780" s="1"/>
      <c r="E1780">
        <v>-5392</v>
      </c>
      <c r="F1780" s="1"/>
      <c r="H1780" s="1">
        <f t="shared" si="85"/>
        <v>0</v>
      </c>
      <c r="I1780">
        <f>IF(AND(MyRowHidden(ROW())=FALSE,MyRowHidden(ROW()-1)=TRUE),0,(E1780-E1779)*unitsOfDHp+I1779)</f>
        <v>-3920</v>
      </c>
      <c r="J1780">
        <f>IF(AND(MyRowHidden(ROW())=FALSE,MyRowHidden(ROW()-1)=TRUE),0,(G1780-G1779)*unitsOfExo+J1779)</f>
        <v>50000</v>
      </c>
      <c r="K1780" s="9">
        <f t="shared" si="86"/>
        <v>50000</v>
      </c>
      <c r="L1780">
        <f t="shared" si="87"/>
        <v>46080</v>
      </c>
    </row>
    <row r="1781" spans="4:12" x14ac:dyDescent="0.25">
      <c r="D1781" s="1"/>
      <c r="E1781">
        <v>-5392</v>
      </c>
      <c r="F1781" s="1"/>
      <c r="H1781" s="1">
        <f t="shared" si="85"/>
        <v>0</v>
      </c>
      <c r="I1781">
        <f>IF(AND(MyRowHidden(ROW())=FALSE,MyRowHidden(ROW()-1)=TRUE),0,(E1781-E1780)*unitsOfDHp+I1780)</f>
        <v>-3920</v>
      </c>
      <c r="J1781">
        <f>IF(AND(MyRowHidden(ROW())=FALSE,MyRowHidden(ROW()-1)=TRUE),0,(G1781-G1780)*unitsOfExo+J1780)</f>
        <v>50000</v>
      </c>
      <c r="K1781" s="9">
        <f t="shared" si="86"/>
        <v>50000</v>
      </c>
      <c r="L1781">
        <f t="shared" si="87"/>
        <v>46080</v>
      </c>
    </row>
    <row r="1782" spans="4:12" x14ac:dyDescent="0.25">
      <c r="D1782" s="1"/>
      <c r="E1782">
        <v>-5392</v>
      </c>
      <c r="F1782" s="1"/>
      <c r="H1782" s="1">
        <f t="shared" si="85"/>
        <v>0</v>
      </c>
      <c r="I1782">
        <f>IF(AND(MyRowHidden(ROW())=FALSE,MyRowHidden(ROW()-1)=TRUE),0,(E1782-E1781)*unitsOfDHp+I1781)</f>
        <v>-3920</v>
      </c>
      <c r="J1782">
        <f>IF(AND(MyRowHidden(ROW())=FALSE,MyRowHidden(ROW()-1)=TRUE),0,(G1782-G1781)*unitsOfExo+J1781)</f>
        <v>50000</v>
      </c>
      <c r="K1782" s="9">
        <f t="shared" si="86"/>
        <v>50000</v>
      </c>
      <c r="L1782">
        <f t="shared" si="87"/>
        <v>46080</v>
      </c>
    </row>
    <row r="1783" spans="4:12" x14ac:dyDescent="0.25">
      <c r="D1783" s="1"/>
      <c r="E1783">
        <v>-5392</v>
      </c>
      <c r="F1783" s="1"/>
      <c r="H1783" s="1">
        <f t="shared" si="85"/>
        <v>0</v>
      </c>
      <c r="I1783">
        <f>IF(AND(MyRowHidden(ROW())=FALSE,MyRowHidden(ROW()-1)=TRUE),0,(E1783-E1782)*unitsOfDHp+I1782)</f>
        <v>-3920</v>
      </c>
      <c r="J1783">
        <f>IF(AND(MyRowHidden(ROW())=FALSE,MyRowHidden(ROW()-1)=TRUE),0,(G1783-G1782)*unitsOfExo+J1782)</f>
        <v>50000</v>
      </c>
      <c r="K1783" s="9">
        <f t="shared" si="86"/>
        <v>50000</v>
      </c>
      <c r="L1783">
        <f t="shared" si="87"/>
        <v>46080</v>
      </c>
    </row>
    <row r="1784" spans="4:12" x14ac:dyDescent="0.25">
      <c r="D1784" s="1"/>
      <c r="E1784">
        <v>-5392</v>
      </c>
      <c r="F1784" s="1"/>
      <c r="H1784" s="1">
        <f t="shared" si="85"/>
        <v>0</v>
      </c>
      <c r="I1784">
        <f>IF(AND(MyRowHidden(ROW())=FALSE,MyRowHidden(ROW()-1)=TRUE),0,(E1784-E1783)*unitsOfDHp+I1783)</f>
        <v>-3920</v>
      </c>
      <c r="J1784">
        <f>IF(AND(MyRowHidden(ROW())=FALSE,MyRowHidden(ROW()-1)=TRUE),0,(G1784-G1783)*unitsOfExo+J1783)</f>
        <v>50000</v>
      </c>
      <c r="K1784" s="9">
        <f t="shared" si="86"/>
        <v>50000</v>
      </c>
      <c r="L1784">
        <f t="shared" si="87"/>
        <v>46080</v>
      </c>
    </row>
    <row r="1785" spans="4:12" x14ac:dyDescent="0.25">
      <c r="D1785" s="1"/>
      <c r="E1785">
        <v>-5392</v>
      </c>
      <c r="F1785" s="1"/>
      <c r="H1785" s="1">
        <f t="shared" si="85"/>
        <v>0</v>
      </c>
      <c r="I1785">
        <f>IF(AND(MyRowHidden(ROW())=FALSE,MyRowHidden(ROW()-1)=TRUE),0,(E1785-E1784)*unitsOfDHp+I1784)</f>
        <v>-3920</v>
      </c>
      <c r="J1785">
        <f>IF(AND(MyRowHidden(ROW())=FALSE,MyRowHidden(ROW()-1)=TRUE),0,(G1785-G1784)*unitsOfExo+J1784)</f>
        <v>50000</v>
      </c>
      <c r="K1785" s="9">
        <f t="shared" si="86"/>
        <v>50000</v>
      </c>
      <c r="L1785">
        <f t="shared" si="87"/>
        <v>46080</v>
      </c>
    </row>
    <row r="1786" spans="4:12" x14ac:dyDescent="0.25">
      <c r="D1786" s="1"/>
      <c r="E1786">
        <v>-5392</v>
      </c>
      <c r="F1786" s="1"/>
      <c r="H1786" s="1">
        <f t="shared" si="85"/>
        <v>0</v>
      </c>
      <c r="I1786">
        <f>IF(AND(MyRowHidden(ROW())=FALSE,MyRowHidden(ROW()-1)=TRUE),0,(E1786-E1785)*unitsOfDHp+I1785)</f>
        <v>-3920</v>
      </c>
      <c r="J1786">
        <f>IF(AND(MyRowHidden(ROW())=FALSE,MyRowHidden(ROW()-1)=TRUE),0,(G1786-G1785)*unitsOfExo+J1785)</f>
        <v>50000</v>
      </c>
      <c r="K1786" s="9">
        <f t="shared" si="86"/>
        <v>50000</v>
      </c>
      <c r="L1786">
        <f t="shared" si="87"/>
        <v>46080</v>
      </c>
    </row>
    <row r="1787" spans="4:12" x14ac:dyDescent="0.25">
      <c r="D1787" s="1"/>
      <c r="E1787">
        <v>-5392</v>
      </c>
      <c r="F1787" s="1"/>
      <c r="H1787" s="1">
        <f t="shared" si="85"/>
        <v>0</v>
      </c>
      <c r="I1787">
        <f>IF(AND(MyRowHidden(ROW())=FALSE,MyRowHidden(ROW()-1)=TRUE),0,(E1787-E1786)*unitsOfDHp+I1786)</f>
        <v>-3920</v>
      </c>
      <c r="J1787">
        <f>IF(AND(MyRowHidden(ROW())=FALSE,MyRowHidden(ROW()-1)=TRUE),0,(G1787-G1786)*unitsOfExo+J1786)</f>
        <v>50000</v>
      </c>
      <c r="K1787" s="9">
        <f t="shared" si="86"/>
        <v>50000</v>
      </c>
      <c r="L1787">
        <f t="shared" si="87"/>
        <v>46080</v>
      </c>
    </row>
    <row r="1788" spans="4:12" x14ac:dyDescent="0.25">
      <c r="D1788" s="1"/>
      <c r="E1788">
        <v>-5392</v>
      </c>
      <c r="F1788" s="1"/>
      <c r="H1788" s="1">
        <f t="shared" si="85"/>
        <v>0</v>
      </c>
      <c r="I1788">
        <f>IF(AND(MyRowHidden(ROW())=FALSE,MyRowHidden(ROW()-1)=TRUE),0,(E1788-E1787)*unitsOfDHp+I1787)</f>
        <v>-3920</v>
      </c>
      <c r="J1788">
        <f>IF(AND(MyRowHidden(ROW())=FALSE,MyRowHidden(ROW()-1)=TRUE),0,(G1788-G1787)*unitsOfExo+J1787)</f>
        <v>50000</v>
      </c>
      <c r="K1788" s="9">
        <f t="shared" si="86"/>
        <v>50000</v>
      </c>
      <c r="L1788">
        <f t="shared" si="87"/>
        <v>46080</v>
      </c>
    </row>
    <row r="1789" spans="4:12" x14ac:dyDescent="0.25">
      <c r="D1789" s="1"/>
      <c r="E1789">
        <v>-5392</v>
      </c>
      <c r="F1789" s="1"/>
      <c r="H1789" s="1">
        <f t="shared" si="85"/>
        <v>0</v>
      </c>
      <c r="I1789">
        <f>IF(AND(MyRowHidden(ROW())=FALSE,MyRowHidden(ROW()-1)=TRUE),0,(E1789-E1788)*unitsOfDHp+I1788)</f>
        <v>-3920</v>
      </c>
      <c r="J1789">
        <f>IF(AND(MyRowHidden(ROW())=FALSE,MyRowHidden(ROW()-1)=TRUE),0,(G1789-G1788)*unitsOfExo+J1788)</f>
        <v>50000</v>
      </c>
      <c r="K1789" s="9">
        <f t="shared" si="86"/>
        <v>50000</v>
      </c>
      <c r="L1789">
        <f t="shared" si="87"/>
        <v>46080</v>
      </c>
    </row>
    <row r="1790" spans="4:12" x14ac:dyDescent="0.25">
      <c r="D1790" s="1"/>
      <c r="E1790">
        <v>-5392</v>
      </c>
      <c r="F1790" s="1"/>
      <c r="H1790" s="1">
        <f t="shared" si="85"/>
        <v>0</v>
      </c>
      <c r="I1790">
        <f>IF(AND(MyRowHidden(ROW())=FALSE,MyRowHidden(ROW()-1)=TRUE),0,(E1790-E1789)*unitsOfDHp+I1789)</f>
        <v>-3920</v>
      </c>
      <c r="J1790">
        <f>IF(AND(MyRowHidden(ROW())=FALSE,MyRowHidden(ROW()-1)=TRUE),0,(G1790-G1789)*unitsOfExo+J1789)</f>
        <v>50000</v>
      </c>
      <c r="K1790" s="9">
        <f t="shared" si="86"/>
        <v>50000</v>
      </c>
      <c r="L1790">
        <f t="shared" si="87"/>
        <v>46080</v>
      </c>
    </row>
    <row r="1791" spans="4:12" x14ac:dyDescent="0.25">
      <c r="D1791" s="1"/>
      <c r="E1791">
        <v>-5392</v>
      </c>
      <c r="F1791" s="1"/>
      <c r="H1791" s="1">
        <f t="shared" si="85"/>
        <v>0</v>
      </c>
      <c r="I1791">
        <f>IF(AND(MyRowHidden(ROW())=FALSE,MyRowHidden(ROW()-1)=TRUE),0,(E1791-E1790)*unitsOfDHp+I1790)</f>
        <v>-3920</v>
      </c>
      <c r="J1791">
        <f>IF(AND(MyRowHidden(ROW())=FALSE,MyRowHidden(ROW()-1)=TRUE),0,(G1791-G1790)*unitsOfExo+J1790)</f>
        <v>50000</v>
      </c>
      <c r="K1791" s="9">
        <f t="shared" si="86"/>
        <v>50000</v>
      </c>
      <c r="L1791">
        <f t="shared" si="87"/>
        <v>46080</v>
      </c>
    </row>
    <row r="1792" spans="4:12" x14ac:dyDescent="0.25">
      <c r="D1792" s="1"/>
      <c r="E1792">
        <v>-5392</v>
      </c>
      <c r="F1792" s="1"/>
      <c r="H1792" s="1">
        <f t="shared" si="85"/>
        <v>0</v>
      </c>
      <c r="I1792">
        <f>IF(AND(MyRowHidden(ROW())=FALSE,MyRowHidden(ROW()-1)=TRUE),0,(E1792-E1791)*unitsOfDHp+I1791)</f>
        <v>-3920</v>
      </c>
      <c r="J1792">
        <f>IF(AND(MyRowHidden(ROW())=FALSE,MyRowHidden(ROW()-1)=TRUE),0,(G1792-G1791)*unitsOfExo+J1791)</f>
        <v>50000</v>
      </c>
      <c r="K1792" s="9">
        <f t="shared" si="86"/>
        <v>50000</v>
      </c>
      <c r="L1792">
        <f t="shared" si="87"/>
        <v>46080</v>
      </c>
    </row>
    <row r="1793" spans="4:12" x14ac:dyDescent="0.25">
      <c r="D1793" s="1"/>
      <c r="E1793">
        <v>-5392</v>
      </c>
      <c r="F1793" s="1"/>
      <c r="H1793" s="1">
        <f t="shared" si="85"/>
        <v>0</v>
      </c>
      <c r="I1793">
        <f>IF(AND(MyRowHidden(ROW())=FALSE,MyRowHidden(ROW()-1)=TRUE),0,(E1793-E1792)*unitsOfDHp+I1792)</f>
        <v>-3920</v>
      </c>
      <c r="J1793">
        <f>IF(AND(MyRowHidden(ROW())=FALSE,MyRowHidden(ROW()-1)=TRUE),0,(G1793-G1792)*unitsOfExo+J1792)</f>
        <v>50000</v>
      </c>
      <c r="K1793" s="9">
        <f t="shared" si="86"/>
        <v>50000</v>
      </c>
      <c r="L1793">
        <f t="shared" si="87"/>
        <v>46080</v>
      </c>
    </row>
    <row r="1794" spans="4:12" x14ac:dyDescent="0.25">
      <c r="D1794" s="1"/>
      <c r="E1794">
        <v>-5392</v>
      </c>
      <c r="F1794" s="1"/>
      <c r="H1794" s="1">
        <f t="shared" si="85"/>
        <v>0</v>
      </c>
      <c r="I1794">
        <f>IF(AND(MyRowHidden(ROW())=FALSE,MyRowHidden(ROW()-1)=TRUE),0,(E1794-E1793)*unitsOfDHp+I1793)</f>
        <v>-3920</v>
      </c>
      <c r="J1794">
        <f>IF(AND(MyRowHidden(ROW())=FALSE,MyRowHidden(ROW()-1)=TRUE),0,(G1794-G1793)*unitsOfExo+J1793)</f>
        <v>50000</v>
      </c>
      <c r="K1794" s="9">
        <f t="shared" si="86"/>
        <v>50000</v>
      </c>
      <c r="L1794">
        <f t="shared" si="87"/>
        <v>46080</v>
      </c>
    </row>
    <row r="1795" spans="4:12" x14ac:dyDescent="0.25">
      <c r="D1795" s="1"/>
      <c r="E1795">
        <v>-5392</v>
      </c>
      <c r="F1795" s="1"/>
      <c r="H1795" s="1">
        <f t="shared" si="85"/>
        <v>0</v>
      </c>
      <c r="I1795">
        <f>IF(AND(MyRowHidden(ROW())=FALSE,MyRowHidden(ROW()-1)=TRUE),0,(E1795-E1794)*unitsOfDHp+I1794)</f>
        <v>-3920</v>
      </c>
      <c r="J1795">
        <f>IF(AND(MyRowHidden(ROW())=FALSE,MyRowHidden(ROW()-1)=TRUE),0,(G1795-G1794)*unitsOfExo+J1794)</f>
        <v>50000</v>
      </c>
      <c r="K1795" s="9">
        <f t="shared" si="86"/>
        <v>50000</v>
      </c>
      <c r="L1795">
        <f t="shared" si="87"/>
        <v>46080</v>
      </c>
    </row>
    <row r="1796" spans="4:12" x14ac:dyDescent="0.25">
      <c r="D1796" s="1"/>
      <c r="E1796">
        <v>-5392</v>
      </c>
      <c r="F1796" s="1"/>
      <c r="H1796" s="1">
        <f t="shared" si="85"/>
        <v>0</v>
      </c>
      <c r="I1796">
        <f>IF(AND(MyRowHidden(ROW())=FALSE,MyRowHidden(ROW()-1)=TRUE),0,(E1796-E1795)*unitsOfDHp+I1795)</f>
        <v>-3920</v>
      </c>
      <c r="J1796">
        <f>IF(AND(MyRowHidden(ROW())=FALSE,MyRowHidden(ROW()-1)=TRUE),0,(G1796-G1795)*unitsOfExo+J1795)</f>
        <v>50000</v>
      </c>
      <c r="K1796" s="9">
        <f t="shared" si="86"/>
        <v>50000</v>
      </c>
      <c r="L1796">
        <f t="shared" si="87"/>
        <v>46080</v>
      </c>
    </row>
    <row r="1797" spans="4:12" x14ac:dyDescent="0.25">
      <c r="D1797" s="1"/>
      <c r="E1797">
        <v>-5392</v>
      </c>
      <c r="F1797" s="1"/>
      <c r="H1797" s="1">
        <f t="shared" si="85"/>
        <v>0</v>
      </c>
      <c r="I1797">
        <f>IF(AND(MyRowHidden(ROW())=FALSE,MyRowHidden(ROW()-1)=TRUE),0,(E1797-E1796)*unitsOfDHp+I1796)</f>
        <v>-3920</v>
      </c>
      <c r="J1797">
        <f>IF(AND(MyRowHidden(ROW())=FALSE,MyRowHidden(ROW()-1)=TRUE),0,(G1797-G1796)*unitsOfExo+J1796)</f>
        <v>50000</v>
      </c>
      <c r="K1797" s="9">
        <f t="shared" si="86"/>
        <v>50000</v>
      </c>
      <c r="L1797">
        <f t="shared" si="87"/>
        <v>46080</v>
      </c>
    </row>
    <row r="1798" spans="4:12" x14ac:dyDescent="0.25">
      <c r="D1798" s="1"/>
      <c r="E1798">
        <v>-5392</v>
      </c>
      <c r="F1798" s="1"/>
      <c r="H1798" s="1">
        <f t="shared" si="85"/>
        <v>0</v>
      </c>
      <c r="I1798">
        <f>IF(AND(MyRowHidden(ROW())=FALSE,MyRowHidden(ROW()-1)=TRUE),0,(E1798-E1797)*unitsOfDHp+I1797)</f>
        <v>-3920</v>
      </c>
      <c r="J1798">
        <f>IF(AND(MyRowHidden(ROW())=FALSE,MyRowHidden(ROW()-1)=TRUE),0,(G1798-G1797)*unitsOfExo+J1797)</f>
        <v>50000</v>
      </c>
      <c r="K1798" s="9">
        <f t="shared" si="86"/>
        <v>50000</v>
      </c>
      <c r="L1798">
        <f t="shared" si="87"/>
        <v>46080</v>
      </c>
    </row>
    <row r="1799" spans="4:12" x14ac:dyDescent="0.25">
      <c r="D1799" s="1"/>
      <c r="E1799">
        <v>-5392</v>
      </c>
      <c r="F1799" s="1"/>
      <c r="H1799" s="1">
        <f t="shared" si="85"/>
        <v>0</v>
      </c>
      <c r="I1799">
        <f>IF(AND(MyRowHidden(ROW())=FALSE,MyRowHidden(ROW()-1)=TRUE),0,(E1799-E1798)*unitsOfDHp+I1798)</f>
        <v>-3920</v>
      </c>
      <c r="J1799">
        <f>IF(AND(MyRowHidden(ROW())=FALSE,MyRowHidden(ROW()-1)=TRUE),0,(G1799-G1798)*unitsOfExo+J1798)</f>
        <v>50000</v>
      </c>
      <c r="K1799" s="9">
        <f t="shared" si="86"/>
        <v>50000</v>
      </c>
      <c r="L1799">
        <f t="shared" si="87"/>
        <v>46080</v>
      </c>
    </row>
    <row r="1800" spans="4:12" x14ac:dyDescent="0.25">
      <c r="D1800" s="1"/>
      <c r="E1800">
        <v>-5392</v>
      </c>
      <c r="F1800" s="1"/>
      <c r="H1800" s="1">
        <f t="shared" si="85"/>
        <v>0</v>
      </c>
      <c r="I1800">
        <f>IF(AND(MyRowHidden(ROW())=FALSE,MyRowHidden(ROW()-1)=TRUE),0,(E1800-E1799)*unitsOfDHp+I1799)</f>
        <v>-3920</v>
      </c>
      <c r="J1800">
        <f>IF(AND(MyRowHidden(ROW())=FALSE,MyRowHidden(ROW()-1)=TRUE),0,(G1800-G1799)*unitsOfExo+J1799)</f>
        <v>50000</v>
      </c>
      <c r="K1800" s="9">
        <f t="shared" si="86"/>
        <v>50000</v>
      </c>
      <c r="L1800">
        <f t="shared" si="87"/>
        <v>46080</v>
      </c>
    </row>
    <row r="1801" spans="4:12" x14ac:dyDescent="0.25">
      <c r="D1801" s="1"/>
      <c r="E1801">
        <v>-5392</v>
      </c>
      <c r="F1801" s="1"/>
      <c r="H1801" s="1">
        <f t="shared" si="85"/>
        <v>0</v>
      </c>
      <c r="I1801">
        <f>IF(AND(MyRowHidden(ROW())=FALSE,MyRowHidden(ROW()-1)=TRUE),0,(E1801-E1800)*unitsOfDHp+I1800)</f>
        <v>-3920</v>
      </c>
      <c r="J1801">
        <f>IF(AND(MyRowHidden(ROW())=FALSE,MyRowHidden(ROW()-1)=TRUE),0,(G1801-G1800)*unitsOfExo+J1800)</f>
        <v>50000</v>
      </c>
      <c r="K1801" s="9">
        <f t="shared" si="86"/>
        <v>50000</v>
      </c>
      <c r="L1801">
        <f t="shared" si="87"/>
        <v>46080</v>
      </c>
    </row>
    <row r="1802" spans="4:12" x14ac:dyDescent="0.25">
      <c r="D1802" s="1"/>
      <c r="E1802">
        <v>-5392</v>
      </c>
      <c r="F1802" s="1"/>
      <c r="H1802" s="1">
        <f t="shared" si="85"/>
        <v>0</v>
      </c>
      <c r="I1802">
        <f>IF(AND(MyRowHidden(ROW())=FALSE,MyRowHidden(ROW()-1)=TRUE),0,(E1802-E1801)*unitsOfDHp+I1801)</f>
        <v>-3920</v>
      </c>
      <c r="J1802">
        <f>IF(AND(MyRowHidden(ROW())=FALSE,MyRowHidden(ROW()-1)=TRUE),0,(G1802-G1801)*unitsOfExo+J1801)</f>
        <v>50000</v>
      </c>
      <c r="K1802" s="9">
        <f t="shared" si="86"/>
        <v>50000</v>
      </c>
      <c r="L1802">
        <f t="shared" si="87"/>
        <v>46080</v>
      </c>
    </row>
    <row r="1803" spans="4:12" x14ac:dyDescent="0.25">
      <c r="D1803" s="1"/>
      <c r="E1803">
        <v>-5392</v>
      </c>
      <c r="F1803" s="1"/>
      <c r="H1803" s="1">
        <f t="shared" si="85"/>
        <v>0</v>
      </c>
      <c r="I1803">
        <f>IF(AND(MyRowHidden(ROW())=FALSE,MyRowHidden(ROW()-1)=TRUE),0,(E1803-E1802)*unitsOfDHp+I1802)</f>
        <v>-3920</v>
      </c>
      <c r="J1803">
        <f>IF(AND(MyRowHidden(ROW())=FALSE,MyRowHidden(ROW()-1)=TRUE),0,(G1803-G1802)*unitsOfExo+J1802)</f>
        <v>50000</v>
      </c>
      <c r="K1803" s="9">
        <f t="shared" si="86"/>
        <v>50000</v>
      </c>
      <c r="L1803">
        <f t="shared" si="87"/>
        <v>46080</v>
      </c>
    </row>
    <row r="1804" spans="4:12" x14ac:dyDescent="0.25">
      <c r="D1804" s="1"/>
      <c r="E1804">
        <v>-5392</v>
      </c>
      <c r="F1804" s="1"/>
      <c r="H1804" s="1">
        <f t="shared" si="85"/>
        <v>0</v>
      </c>
      <c r="I1804">
        <f>IF(AND(MyRowHidden(ROW())=FALSE,MyRowHidden(ROW()-1)=TRUE),0,(E1804-E1803)*unitsOfDHp+I1803)</f>
        <v>-3920</v>
      </c>
      <c r="J1804">
        <f>IF(AND(MyRowHidden(ROW())=FALSE,MyRowHidden(ROW()-1)=TRUE),0,(G1804-G1803)*unitsOfExo+J1803)</f>
        <v>50000</v>
      </c>
      <c r="K1804" s="9">
        <f t="shared" si="86"/>
        <v>50000</v>
      </c>
      <c r="L1804">
        <f t="shared" si="87"/>
        <v>46080</v>
      </c>
    </row>
    <row r="1805" spans="4:12" x14ac:dyDescent="0.25">
      <c r="D1805" s="1"/>
      <c r="E1805">
        <v>-5392</v>
      </c>
      <c r="F1805" s="1"/>
      <c r="H1805" s="1">
        <f t="shared" ref="H1805:H1868" si="88">D1805</f>
        <v>0</v>
      </c>
      <c r="I1805">
        <f>IF(AND(MyRowHidden(ROW())=FALSE,MyRowHidden(ROW()-1)=TRUE),0,(E1805-E1804)*unitsOfDHp+I1804)</f>
        <v>-3920</v>
      </c>
      <c r="J1805">
        <f>IF(AND(MyRowHidden(ROW())=FALSE,MyRowHidden(ROW()-1)=TRUE),0,(G1805-G1804)*unitsOfExo+J1804)</f>
        <v>50000</v>
      </c>
      <c r="K1805" s="9">
        <f t="shared" ref="K1805:K1868" si="89">-(J1805-J1804)+K1804</f>
        <v>50000</v>
      </c>
      <c r="L1805">
        <f t="shared" ref="L1805:L1868" si="90">I1805+J1805</f>
        <v>46080</v>
      </c>
    </row>
    <row r="1806" spans="4:12" x14ac:dyDescent="0.25">
      <c r="D1806" s="1"/>
      <c r="E1806">
        <v>-5392</v>
      </c>
      <c r="F1806" s="1"/>
      <c r="H1806" s="1">
        <f t="shared" si="88"/>
        <v>0</v>
      </c>
      <c r="I1806">
        <f>IF(AND(MyRowHidden(ROW())=FALSE,MyRowHidden(ROW()-1)=TRUE),0,(E1806-E1805)*unitsOfDHp+I1805)</f>
        <v>-3920</v>
      </c>
      <c r="J1806">
        <f>IF(AND(MyRowHidden(ROW())=FALSE,MyRowHidden(ROW()-1)=TRUE),0,(G1806-G1805)*unitsOfExo+J1805)</f>
        <v>50000</v>
      </c>
      <c r="K1806" s="9">
        <f t="shared" si="89"/>
        <v>50000</v>
      </c>
      <c r="L1806">
        <f t="shared" si="90"/>
        <v>46080</v>
      </c>
    </row>
    <row r="1807" spans="4:12" x14ac:dyDescent="0.25">
      <c r="D1807" s="1"/>
      <c r="E1807">
        <v>-5392</v>
      </c>
      <c r="F1807" s="1"/>
      <c r="H1807" s="1">
        <f t="shared" si="88"/>
        <v>0</v>
      </c>
      <c r="I1807">
        <f>IF(AND(MyRowHidden(ROW())=FALSE,MyRowHidden(ROW()-1)=TRUE),0,(E1807-E1806)*unitsOfDHp+I1806)</f>
        <v>-3920</v>
      </c>
      <c r="J1807">
        <f>IF(AND(MyRowHidden(ROW())=FALSE,MyRowHidden(ROW()-1)=TRUE),0,(G1807-G1806)*unitsOfExo+J1806)</f>
        <v>50000</v>
      </c>
      <c r="K1807" s="9">
        <f t="shared" si="89"/>
        <v>50000</v>
      </c>
      <c r="L1807">
        <f t="shared" si="90"/>
        <v>46080</v>
      </c>
    </row>
    <row r="1808" spans="4:12" x14ac:dyDescent="0.25">
      <c r="D1808" s="1"/>
      <c r="E1808">
        <v>-5392</v>
      </c>
      <c r="F1808" s="1"/>
      <c r="H1808" s="1">
        <f t="shared" si="88"/>
        <v>0</v>
      </c>
      <c r="I1808">
        <f>IF(AND(MyRowHidden(ROW())=FALSE,MyRowHidden(ROW()-1)=TRUE),0,(E1808-E1807)*unitsOfDHp+I1807)</f>
        <v>-3920</v>
      </c>
      <c r="J1808">
        <f>IF(AND(MyRowHidden(ROW())=FALSE,MyRowHidden(ROW()-1)=TRUE),0,(G1808-G1807)*unitsOfExo+J1807)</f>
        <v>50000</v>
      </c>
      <c r="K1808" s="9">
        <f t="shared" si="89"/>
        <v>50000</v>
      </c>
      <c r="L1808">
        <f t="shared" si="90"/>
        <v>46080</v>
      </c>
    </row>
    <row r="1809" spans="4:12" x14ac:dyDescent="0.25">
      <c r="D1809" s="1"/>
      <c r="E1809">
        <v>-5392</v>
      </c>
      <c r="F1809" s="1"/>
      <c r="H1809" s="1">
        <f t="shared" si="88"/>
        <v>0</v>
      </c>
      <c r="I1809">
        <f>IF(AND(MyRowHidden(ROW())=FALSE,MyRowHidden(ROW()-1)=TRUE),0,(E1809-E1808)*unitsOfDHp+I1808)</f>
        <v>-3920</v>
      </c>
      <c r="J1809">
        <f>IF(AND(MyRowHidden(ROW())=FALSE,MyRowHidden(ROW()-1)=TRUE),0,(G1809-G1808)*unitsOfExo+J1808)</f>
        <v>50000</v>
      </c>
      <c r="K1809" s="9">
        <f t="shared" si="89"/>
        <v>50000</v>
      </c>
      <c r="L1809">
        <f t="shared" si="90"/>
        <v>46080</v>
      </c>
    </row>
    <row r="1810" spans="4:12" x14ac:dyDescent="0.25">
      <c r="D1810" s="1"/>
      <c r="E1810">
        <v>-5392</v>
      </c>
      <c r="F1810" s="1"/>
      <c r="H1810" s="1">
        <f t="shared" si="88"/>
        <v>0</v>
      </c>
      <c r="I1810">
        <f>IF(AND(MyRowHidden(ROW())=FALSE,MyRowHidden(ROW()-1)=TRUE),0,(E1810-E1809)*unitsOfDHp+I1809)</f>
        <v>-3920</v>
      </c>
      <c r="J1810">
        <f>IF(AND(MyRowHidden(ROW())=FALSE,MyRowHidden(ROW()-1)=TRUE),0,(G1810-G1809)*unitsOfExo+J1809)</f>
        <v>50000</v>
      </c>
      <c r="K1810" s="9">
        <f t="shared" si="89"/>
        <v>50000</v>
      </c>
      <c r="L1810">
        <f t="shared" si="90"/>
        <v>46080</v>
      </c>
    </row>
    <row r="1811" spans="4:12" x14ac:dyDescent="0.25">
      <c r="D1811" s="1"/>
      <c r="E1811">
        <v>-5392</v>
      </c>
      <c r="F1811" s="1"/>
      <c r="H1811" s="1">
        <f t="shared" si="88"/>
        <v>0</v>
      </c>
      <c r="I1811">
        <f>IF(AND(MyRowHidden(ROW())=FALSE,MyRowHidden(ROW()-1)=TRUE),0,(E1811-E1810)*unitsOfDHp+I1810)</f>
        <v>-3920</v>
      </c>
      <c r="J1811">
        <f>IF(AND(MyRowHidden(ROW())=FALSE,MyRowHidden(ROW()-1)=TRUE),0,(G1811-G1810)*unitsOfExo+J1810)</f>
        <v>50000</v>
      </c>
      <c r="K1811" s="9">
        <f t="shared" si="89"/>
        <v>50000</v>
      </c>
      <c r="L1811">
        <f t="shared" si="90"/>
        <v>46080</v>
      </c>
    </row>
    <row r="1812" spans="4:12" x14ac:dyDescent="0.25">
      <c r="D1812" s="1"/>
      <c r="E1812">
        <v>-5392</v>
      </c>
      <c r="F1812" s="1"/>
      <c r="H1812" s="1">
        <f t="shared" si="88"/>
        <v>0</v>
      </c>
      <c r="I1812">
        <f>IF(AND(MyRowHidden(ROW())=FALSE,MyRowHidden(ROW()-1)=TRUE),0,(E1812-E1811)*unitsOfDHp+I1811)</f>
        <v>-3920</v>
      </c>
      <c r="J1812">
        <f>IF(AND(MyRowHidden(ROW())=FALSE,MyRowHidden(ROW()-1)=TRUE),0,(G1812-G1811)*unitsOfExo+J1811)</f>
        <v>50000</v>
      </c>
      <c r="K1812" s="9">
        <f t="shared" si="89"/>
        <v>50000</v>
      </c>
      <c r="L1812">
        <f t="shared" si="90"/>
        <v>46080</v>
      </c>
    </row>
    <row r="1813" spans="4:12" x14ac:dyDescent="0.25">
      <c r="D1813" s="1"/>
      <c r="E1813">
        <v>-5392</v>
      </c>
      <c r="F1813" s="1"/>
      <c r="H1813" s="1">
        <f t="shared" si="88"/>
        <v>0</v>
      </c>
      <c r="I1813">
        <f>IF(AND(MyRowHidden(ROW())=FALSE,MyRowHidden(ROW()-1)=TRUE),0,(E1813-E1812)*unitsOfDHp+I1812)</f>
        <v>-3920</v>
      </c>
      <c r="J1813">
        <f>IF(AND(MyRowHidden(ROW())=FALSE,MyRowHidden(ROW()-1)=TRUE),0,(G1813-G1812)*unitsOfExo+J1812)</f>
        <v>50000</v>
      </c>
      <c r="K1813" s="9">
        <f t="shared" si="89"/>
        <v>50000</v>
      </c>
      <c r="L1813">
        <f t="shared" si="90"/>
        <v>46080</v>
      </c>
    </row>
    <row r="1814" spans="4:12" x14ac:dyDescent="0.25">
      <c r="D1814" s="1"/>
      <c r="E1814">
        <v>-5392</v>
      </c>
      <c r="F1814" s="1"/>
      <c r="H1814" s="1">
        <f t="shared" si="88"/>
        <v>0</v>
      </c>
      <c r="I1814">
        <f>IF(AND(MyRowHidden(ROW())=FALSE,MyRowHidden(ROW()-1)=TRUE),0,(E1814-E1813)*unitsOfDHp+I1813)</f>
        <v>-3920</v>
      </c>
      <c r="J1814">
        <f>IF(AND(MyRowHidden(ROW())=FALSE,MyRowHidden(ROW()-1)=TRUE),0,(G1814-G1813)*unitsOfExo+J1813)</f>
        <v>50000</v>
      </c>
      <c r="K1814" s="9">
        <f t="shared" si="89"/>
        <v>50000</v>
      </c>
      <c r="L1814">
        <f t="shared" si="90"/>
        <v>46080</v>
      </c>
    </row>
    <row r="1815" spans="4:12" x14ac:dyDescent="0.25">
      <c r="D1815" s="1"/>
      <c r="E1815">
        <v>-5392</v>
      </c>
      <c r="F1815" s="1"/>
      <c r="H1815" s="1">
        <f t="shared" si="88"/>
        <v>0</v>
      </c>
      <c r="I1815">
        <f>IF(AND(MyRowHidden(ROW())=FALSE,MyRowHidden(ROW()-1)=TRUE),0,(E1815-E1814)*unitsOfDHp+I1814)</f>
        <v>-3920</v>
      </c>
      <c r="J1815">
        <f>IF(AND(MyRowHidden(ROW())=FALSE,MyRowHidden(ROW()-1)=TRUE),0,(G1815-G1814)*unitsOfExo+J1814)</f>
        <v>50000</v>
      </c>
      <c r="K1815" s="9">
        <f t="shared" si="89"/>
        <v>50000</v>
      </c>
      <c r="L1815">
        <f t="shared" si="90"/>
        <v>46080</v>
      </c>
    </row>
    <row r="1816" spans="4:12" x14ac:dyDescent="0.25">
      <c r="D1816" s="1"/>
      <c r="E1816">
        <v>-5392</v>
      </c>
      <c r="F1816" s="1"/>
      <c r="H1816" s="1">
        <f t="shared" si="88"/>
        <v>0</v>
      </c>
      <c r="I1816">
        <f>IF(AND(MyRowHidden(ROW())=FALSE,MyRowHidden(ROW()-1)=TRUE),0,(E1816-E1815)*unitsOfDHp+I1815)</f>
        <v>-3920</v>
      </c>
      <c r="J1816">
        <f>IF(AND(MyRowHidden(ROW())=FALSE,MyRowHidden(ROW()-1)=TRUE),0,(G1816-G1815)*unitsOfExo+J1815)</f>
        <v>50000</v>
      </c>
      <c r="K1816" s="9">
        <f t="shared" si="89"/>
        <v>50000</v>
      </c>
      <c r="L1816">
        <f t="shared" si="90"/>
        <v>46080</v>
      </c>
    </row>
    <row r="1817" spans="4:12" x14ac:dyDescent="0.25">
      <c r="D1817" s="1"/>
      <c r="E1817">
        <v>-5392</v>
      </c>
      <c r="F1817" s="1"/>
      <c r="H1817" s="1">
        <f t="shared" si="88"/>
        <v>0</v>
      </c>
      <c r="I1817">
        <f>IF(AND(MyRowHidden(ROW())=FALSE,MyRowHidden(ROW()-1)=TRUE),0,(E1817-E1816)*unitsOfDHp+I1816)</f>
        <v>-3920</v>
      </c>
      <c r="J1817">
        <f>IF(AND(MyRowHidden(ROW())=FALSE,MyRowHidden(ROW()-1)=TRUE),0,(G1817-G1816)*unitsOfExo+J1816)</f>
        <v>50000</v>
      </c>
      <c r="K1817" s="9">
        <f t="shared" si="89"/>
        <v>50000</v>
      </c>
      <c r="L1817">
        <f t="shared" si="90"/>
        <v>46080</v>
      </c>
    </row>
    <row r="1818" spans="4:12" x14ac:dyDescent="0.25">
      <c r="D1818" s="1"/>
      <c r="E1818">
        <v>-5392</v>
      </c>
      <c r="F1818" s="1"/>
      <c r="H1818" s="1">
        <f t="shared" si="88"/>
        <v>0</v>
      </c>
      <c r="I1818">
        <f>IF(AND(MyRowHidden(ROW())=FALSE,MyRowHidden(ROW()-1)=TRUE),0,(E1818-E1817)*unitsOfDHp+I1817)</f>
        <v>-3920</v>
      </c>
      <c r="J1818">
        <f>IF(AND(MyRowHidden(ROW())=FALSE,MyRowHidden(ROW()-1)=TRUE),0,(G1818-G1817)*unitsOfExo+J1817)</f>
        <v>50000</v>
      </c>
      <c r="K1818" s="9">
        <f t="shared" si="89"/>
        <v>50000</v>
      </c>
      <c r="L1818">
        <f t="shared" si="90"/>
        <v>46080</v>
      </c>
    </row>
    <row r="1819" spans="4:12" x14ac:dyDescent="0.25">
      <c r="D1819" s="1"/>
      <c r="E1819">
        <v>-5392</v>
      </c>
      <c r="F1819" s="1"/>
      <c r="H1819" s="1">
        <f t="shared" si="88"/>
        <v>0</v>
      </c>
      <c r="I1819">
        <f>IF(AND(MyRowHidden(ROW())=FALSE,MyRowHidden(ROW()-1)=TRUE),0,(E1819-E1818)*unitsOfDHp+I1818)</f>
        <v>-3920</v>
      </c>
      <c r="J1819">
        <f>IF(AND(MyRowHidden(ROW())=FALSE,MyRowHidden(ROW()-1)=TRUE),0,(G1819-G1818)*unitsOfExo+J1818)</f>
        <v>50000</v>
      </c>
      <c r="K1819" s="9">
        <f t="shared" si="89"/>
        <v>50000</v>
      </c>
      <c r="L1819">
        <f t="shared" si="90"/>
        <v>46080</v>
      </c>
    </row>
    <row r="1820" spans="4:12" x14ac:dyDescent="0.25">
      <c r="D1820" s="1"/>
      <c r="E1820">
        <v>-5392</v>
      </c>
      <c r="F1820" s="1"/>
      <c r="H1820" s="1">
        <f t="shared" si="88"/>
        <v>0</v>
      </c>
      <c r="I1820">
        <f>IF(AND(MyRowHidden(ROW())=FALSE,MyRowHidden(ROW()-1)=TRUE),0,(E1820-E1819)*unitsOfDHp+I1819)</f>
        <v>-3920</v>
      </c>
      <c r="J1820">
        <f>IF(AND(MyRowHidden(ROW())=FALSE,MyRowHidden(ROW()-1)=TRUE),0,(G1820-G1819)*unitsOfExo+J1819)</f>
        <v>50000</v>
      </c>
      <c r="K1820" s="9">
        <f t="shared" si="89"/>
        <v>50000</v>
      </c>
      <c r="L1820">
        <f t="shared" si="90"/>
        <v>46080</v>
      </c>
    </row>
    <row r="1821" spans="4:12" x14ac:dyDescent="0.25">
      <c r="D1821" s="1"/>
      <c r="E1821">
        <v>-5392</v>
      </c>
      <c r="F1821" s="1"/>
      <c r="H1821" s="1">
        <f t="shared" si="88"/>
        <v>0</v>
      </c>
      <c r="I1821">
        <f>IF(AND(MyRowHidden(ROW())=FALSE,MyRowHidden(ROW()-1)=TRUE),0,(E1821-E1820)*unitsOfDHp+I1820)</f>
        <v>-3920</v>
      </c>
      <c r="J1821">
        <f>IF(AND(MyRowHidden(ROW())=FALSE,MyRowHidden(ROW()-1)=TRUE),0,(G1821-G1820)*unitsOfExo+J1820)</f>
        <v>50000</v>
      </c>
      <c r="K1821" s="9">
        <f t="shared" si="89"/>
        <v>50000</v>
      </c>
      <c r="L1821">
        <f t="shared" si="90"/>
        <v>46080</v>
      </c>
    </row>
    <row r="1822" spans="4:12" x14ac:dyDescent="0.25">
      <c r="D1822" s="1"/>
      <c r="E1822">
        <v>-5392</v>
      </c>
      <c r="F1822" s="1"/>
      <c r="H1822" s="1">
        <f t="shared" si="88"/>
        <v>0</v>
      </c>
      <c r="I1822">
        <f>IF(AND(MyRowHidden(ROW())=FALSE,MyRowHidden(ROW()-1)=TRUE),0,(E1822-E1821)*unitsOfDHp+I1821)</f>
        <v>-3920</v>
      </c>
      <c r="J1822">
        <f>IF(AND(MyRowHidden(ROW())=FALSE,MyRowHidden(ROW()-1)=TRUE),0,(G1822-G1821)*unitsOfExo+J1821)</f>
        <v>50000</v>
      </c>
      <c r="K1822" s="9">
        <f t="shared" si="89"/>
        <v>50000</v>
      </c>
      <c r="L1822">
        <f t="shared" si="90"/>
        <v>46080</v>
      </c>
    </row>
    <row r="1823" spans="4:12" x14ac:dyDescent="0.25">
      <c r="D1823" s="1"/>
      <c r="E1823">
        <v>-5392</v>
      </c>
      <c r="F1823" s="1"/>
      <c r="H1823" s="1">
        <f t="shared" si="88"/>
        <v>0</v>
      </c>
      <c r="I1823">
        <f>IF(AND(MyRowHidden(ROW())=FALSE,MyRowHidden(ROW()-1)=TRUE),0,(E1823-E1822)*unitsOfDHp+I1822)</f>
        <v>-3920</v>
      </c>
      <c r="J1823">
        <f>IF(AND(MyRowHidden(ROW())=FALSE,MyRowHidden(ROW()-1)=TRUE),0,(G1823-G1822)*unitsOfExo+J1822)</f>
        <v>50000</v>
      </c>
      <c r="K1823" s="9">
        <f t="shared" si="89"/>
        <v>50000</v>
      </c>
      <c r="L1823">
        <f t="shared" si="90"/>
        <v>46080</v>
      </c>
    </row>
    <row r="1824" spans="4:12" x14ac:dyDescent="0.25">
      <c r="D1824" s="1"/>
      <c r="E1824">
        <v>-5392</v>
      </c>
      <c r="F1824" s="1"/>
      <c r="H1824" s="1">
        <f t="shared" si="88"/>
        <v>0</v>
      </c>
      <c r="I1824">
        <f>IF(AND(MyRowHidden(ROW())=FALSE,MyRowHidden(ROW()-1)=TRUE),0,(E1824-E1823)*unitsOfDHp+I1823)</f>
        <v>-3920</v>
      </c>
      <c r="J1824">
        <f>IF(AND(MyRowHidden(ROW())=FALSE,MyRowHidden(ROW()-1)=TRUE),0,(G1824-G1823)*unitsOfExo+J1823)</f>
        <v>50000</v>
      </c>
      <c r="K1824" s="9">
        <f t="shared" si="89"/>
        <v>50000</v>
      </c>
      <c r="L1824">
        <f t="shared" si="90"/>
        <v>46080</v>
      </c>
    </row>
    <row r="1825" spans="4:12" x14ac:dyDescent="0.25">
      <c r="D1825" s="1"/>
      <c r="E1825">
        <v>-5392</v>
      </c>
      <c r="F1825" s="1"/>
      <c r="H1825" s="1">
        <f t="shared" si="88"/>
        <v>0</v>
      </c>
      <c r="I1825">
        <f>IF(AND(MyRowHidden(ROW())=FALSE,MyRowHidden(ROW()-1)=TRUE),0,(E1825-E1824)*unitsOfDHp+I1824)</f>
        <v>-3920</v>
      </c>
      <c r="J1825">
        <f>IF(AND(MyRowHidden(ROW())=FALSE,MyRowHidden(ROW()-1)=TRUE),0,(G1825-G1824)*unitsOfExo+J1824)</f>
        <v>50000</v>
      </c>
      <c r="K1825" s="9">
        <f t="shared" si="89"/>
        <v>50000</v>
      </c>
      <c r="L1825">
        <f t="shared" si="90"/>
        <v>46080</v>
      </c>
    </row>
    <row r="1826" spans="4:12" x14ac:dyDescent="0.25">
      <c r="D1826" s="1"/>
      <c r="E1826">
        <v>-5392</v>
      </c>
      <c r="F1826" s="1"/>
      <c r="H1826" s="1">
        <f t="shared" si="88"/>
        <v>0</v>
      </c>
      <c r="I1826">
        <f>IF(AND(MyRowHidden(ROW())=FALSE,MyRowHidden(ROW()-1)=TRUE),0,(E1826-E1825)*unitsOfDHp+I1825)</f>
        <v>-3920</v>
      </c>
      <c r="J1826">
        <f>IF(AND(MyRowHidden(ROW())=FALSE,MyRowHidden(ROW()-1)=TRUE),0,(G1826-G1825)*unitsOfExo+J1825)</f>
        <v>50000</v>
      </c>
      <c r="K1826" s="9">
        <f t="shared" si="89"/>
        <v>50000</v>
      </c>
      <c r="L1826">
        <f t="shared" si="90"/>
        <v>46080</v>
      </c>
    </row>
    <row r="1827" spans="4:12" x14ac:dyDescent="0.25">
      <c r="D1827" s="1"/>
      <c r="E1827">
        <v>-5392</v>
      </c>
      <c r="F1827" s="1"/>
      <c r="H1827" s="1">
        <f t="shared" si="88"/>
        <v>0</v>
      </c>
      <c r="I1827">
        <f>IF(AND(MyRowHidden(ROW())=FALSE,MyRowHidden(ROW()-1)=TRUE),0,(E1827-E1826)*unitsOfDHp+I1826)</f>
        <v>-3920</v>
      </c>
      <c r="J1827">
        <f>IF(AND(MyRowHidden(ROW())=FALSE,MyRowHidden(ROW()-1)=TRUE),0,(G1827-G1826)*unitsOfExo+J1826)</f>
        <v>50000</v>
      </c>
      <c r="K1827" s="9">
        <f t="shared" si="89"/>
        <v>50000</v>
      </c>
      <c r="L1827">
        <f t="shared" si="90"/>
        <v>46080</v>
      </c>
    </row>
    <row r="1828" spans="4:12" x14ac:dyDescent="0.25">
      <c r="D1828" s="1"/>
      <c r="E1828">
        <v>-5392</v>
      </c>
      <c r="F1828" s="1"/>
      <c r="H1828" s="1">
        <f t="shared" si="88"/>
        <v>0</v>
      </c>
      <c r="I1828">
        <f>IF(AND(MyRowHidden(ROW())=FALSE,MyRowHidden(ROW()-1)=TRUE),0,(E1828-E1827)*unitsOfDHp+I1827)</f>
        <v>-3920</v>
      </c>
      <c r="J1828">
        <f>IF(AND(MyRowHidden(ROW())=FALSE,MyRowHidden(ROW()-1)=TRUE),0,(G1828-G1827)*unitsOfExo+J1827)</f>
        <v>50000</v>
      </c>
      <c r="K1828" s="9">
        <f t="shared" si="89"/>
        <v>50000</v>
      </c>
      <c r="L1828">
        <f t="shared" si="90"/>
        <v>46080</v>
      </c>
    </row>
    <row r="1829" spans="4:12" x14ac:dyDescent="0.25">
      <c r="D1829" s="1"/>
      <c r="E1829">
        <v>-5392</v>
      </c>
      <c r="F1829" s="1"/>
      <c r="H1829" s="1">
        <f t="shared" si="88"/>
        <v>0</v>
      </c>
      <c r="I1829">
        <f>IF(AND(MyRowHidden(ROW())=FALSE,MyRowHidden(ROW()-1)=TRUE),0,(E1829-E1828)*unitsOfDHp+I1828)</f>
        <v>-3920</v>
      </c>
      <c r="J1829">
        <f>IF(AND(MyRowHidden(ROW())=FALSE,MyRowHidden(ROW()-1)=TRUE),0,(G1829-G1828)*unitsOfExo+J1828)</f>
        <v>50000</v>
      </c>
      <c r="K1829" s="9">
        <f t="shared" si="89"/>
        <v>50000</v>
      </c>
      <c r="L1829">
        <f t="shared" si="90"/>
        <v>46080</v>
      </c>
    </row>
    <row r="1830" spans="4:12" x14ac:dyDescent="0.25">
      <c r="D1830" s="1"/>
      <c r="E1830">
        <v>-5392</v>
      </c>
      <c r="F1830" s="1"/>
      <c r="H1830" s="1">
        <f t="shared" si="88"/>
        <v>0</v>
      </c>
      <c r="I1830">
        <f>IF(AND(MyRowHidden(ROW())=FALSE,MyRowHidden(ROW()-1)=TRUE),0,(E1830-E1829)*unitsOfDHp+I1829)</f>
        <v>-3920</v>
      </c>
      <c r="J1830">
        <f>IF(AND(MyRowHidden(ROW())=FALSE,MyRowHidden(ROW()-1)=TRUE),0,(G1830-G1829)*unitsOfExo+J1829)</f>
        <v>50000</v>
      </c>
      <c r="K1830" s="9">
        <f t="shared" si="89"/>
        <v>50000</v>
      </c>
      <c r="L1830">
        <f t="shared" si="90"/>
        <v>46080</v>
      </c>
    </row>
    <row r="1831" spans="4:12" x14ac:dyDescent="0.25">
      <c r="D1831" s="1"/>
      <c r="E1831">
        <v>-5392</v>
      </c>
      <c r="F1831" s="1"/>
      <c r="H1831" s="1">
        <f t="shared" si="88"/>
        <v>0</v>
      </c>
      <c r="I1831">
        <f>IF(AND(MyRowHidden(ROW())=FALSE,MyRowHidden(ROW()-1)=TRUE),0,(E1831-E1830)*unitsOfDHp+I1830)</f>
        <v>-3920</v>
      </c>
      <c r="J1831">
        <f>IF(AND(MyRowHidden(ROW())=FALSE,MyRowHidden(ROW()-1)=TRUE),0,(G1831-G1830)*unitsOfExo+J1830)</f>
        <v>50000</v>
      </c>
      <c r="K1831" s="9">
        <f t="shared" si="89"/>
        <v>50000</v>
      </c>
      <c r="L1831">
        <f t="shared" si="90"/>
        <v>46080</v>
      </c>
    </row>
    <row r="1832" spans="4:12" x14ac:dyDescent="0.25">
      <c r="D1832" s="1"/>
      <c r="E1832">
        <v>-5392</v>
      </c>
      <c r="F1832" s="1"/>
      <c r="H1832" s="1">
        <f t="shared" si="88"/>
        <v>0</v>
      </c>
      <c r="I1832">
        <f>IF(AND(MyRowHidden(ROW())=FALSE,MyRowHidden(ROW()-1)=TRUE),0,(E1832-E1831)*unitsOfDHp+I1831)</f>
        <v>-3920</v>
      </c>
      <c r="J1832">
        <f>IF(AND(MyRowHidden(ROW())=FALSE,MyRowHidden(ROW()-1)=TRUE),0,(G1832-G1831)*unitsOfExo+J1831)</f>
        <v>50000</v>
      </c>
      <c r="K1832" s="9">
        <f t="shared" si="89"/>
        <v>50000</v>
      </c>
      <c r="L1832">
        <f t="shared" si="90"/>
        <v>46080</v>
      </c>
    </row>
    <row r="1833" spans="4:12" x14ac:dyDescent="0.25">
      <c r="D1833" s="1"/>
      <c r="E1833">
        <v>-5392</v>
      </c>
      <c r="F1833" s="1"/>
      <c r="H1833" s="1">
        <f t="shared" si="88"/>
        <v>0</v>
      </c>
      <c r="I1833">
        <f>IF(AND(MyRowHidden(ROW())=FALSE,MyRowHidden(ROW()-1)=TRUE),0,(E1833-E1832)*unitsOfDHp+I1832)</f>
        <v>-3920</v>
      </c>
      <c r="J1833">
        <f>IF(AND(MyRowHidden(ROW())=FALSE,MyRowHidden(ROW()-1)=TRUE),0,(G1833-G1832)*unitsOfExo+J1832)</f>
        <v>50000</v>
      </c>
      <c r="K1833" s="9">
        <f t="shared" si="89"/>
        <v>50000</v>
      </c>
      <c r="L1833">
        <f t="shared" si="90"/>
        <v>46080</v>
      </c>
    </row>
    <row r="1834" spans="4:12" x14ac:dyDescent="0.25">
      <c r="D1834" s="1"/>
      <c r="E1834">
        <v>-5392</v>
      </c>
      <c r="F1834" s="1"/>
      <c r="H1834" s="1">
        <f t="shared" si="88"/>
        <v>0</v>
      </c>
      <c r="I1834">
        <f>IF(AND(MyRowHidden(ROW())=FALSE,MyRowHidden(ROW()-1)=TRUE),0,(E1834-E1833)*unitsOfDHp+I1833)</f>
        <v>-3920</v>
      </c>
      <c r="J1834">
        <f>IF(AND(MyRowHidden(ROW())=FALSE,MyRowHidden(ROW()-1)=TRUE),0,(G1834-G1833)*unitsOfExo+J1833)</f>
        <v>50000</v>
      </c>
      <c r="K1834" s="9">
        <f t="shared" si="89"/>
        <v>50000</v>
      </c>
      <c r="L1834">
        <f t="shared" si="90"/>
        <v>46080</v>
      </c>
    </row>
    <row r="1835" spans="4:12" x14ac:dyDescent="0.25">
      <c r="D1835" s="1"/>
      <c r="E1835">
        <v>-5392</v>
      </c>
      <c r="F1835" s="1"/>
      <c r="H1835" s="1">
        <f t="shared" si="88"/>
        <v>0</v>
      </c>
      <c r="I1835">
        <f>IF(AND(MyRowHidden(ROW())=FALSE,MyRowHidden(ROW()-1)=TRUE),0,(E1835-E1834)*unitsOfDHp+I1834)</f>
        <v>-3920</v>
      </c>
      <c r="J1835">
        <f>IF(AND(MyRowHidden(ROW())=FALSE,MyRowHidden(ROW()-1)=TRUE),0,(G1835-G1834)*unitsOfExo+J1834)</f>
        <v>50000</v>
      </c>
      <c r="K1835" s="9">
        <f t="shared" si="89"/>
        <v>50000</v>
      </c>
      <c r="L1835">
        <f t="shared" si="90"/>
        <v>46080</v>
      </c>
    </row>
    <row r="1836" spans="4:12" x14ac:dyDescent="0.25">
      <c r="D1836" s="1"/>
      <c r="E1836">
        <v>-5392</v>
      </c>
      <c r="F1836" s="1"/>
      <c r="H1836" s="1">
        <f t="shared" si="88"/>
        <v>0</v>
      </c>
      <c r="I1836">
        <f>IF(AND(MyRowHidden(ROW())=FALSE,MyRowHidden(ROW()-1)=TRUE),0,(E1836-E1835)*unitsOfDHp+I1835)</f>
        <v>-3920</v>
      </c>
      <c r="J1836">
        <f>IF(AND(MyRowHidden(ROW())=FALSE,MyRowHidden(ROW()-1)=TRUE),0,(G1836-G1835)*unitsOfExo+J1835)</f>
        <v>50000</v>
      </c>
      <c r="K1836" s="9">
        <f t="shared" si="89"/>
        <v>50000</v>
      </c>
      <c r="L1836">
        <f t="shared" si="90"/>
        <v>46080</v>
      </c>
    </row>
    <row r="1837" spans="4:12" x14ac:dyDescent="0.25">
      <c r="D1837" s="1"/>
      <c r="E1837">
        <v>-5392</v>
      </c>
      <c r="F1837" s="1"/>
      <c r="H1837" s="1">
        <f t="shared" si="88"/>
        <v>0</v>
      </c>
      <c r="I1837">
        <f>IF(AND(MyRowHidden(ROW())=FALSE,MyRowHidden(ROW()-1)=TRUE),0,(E1837-E1836)*unitsOfDHp+I1836)</f>
        <v>-3920</v>
      </c>
      <c r="J1837">
        <f>IF(AND(MyRowHidden(ROW())=FALSE,MyRowHidden(ROW()-1)=TRUE),0,(G1837-G1836)*unitsOfExo+J1836)</f>
        <v>50000</v>
      </c>
      <c r="K1837" s="9">
        <f t="shared" si="89"/>
        <v>50000</v>
      </c>
      <c r="L1837">
        <f t="shared" si="90"/>
        <v>46080</v>
      </c>
    </row>
    <row r="1838" spans="4:12" x14ac:dyDescent="0.25">
      <c r="D1838" s="1"/>
      <c r="E1838">
        <v>-5392</v>
      </c>
      <c r="F1838" s="1"/>
      <c r="H1838" s="1">
        <f t="shared" si="88"/>
        <v>0</v>
      </c>
      <c r="I1838">
        <f>IF(AND(MyRowHidden(ROW())=FALSE,MyRowHidden(ROW()-1)=TRUE),0,(E1838-E1837)*unitsOfDHp+I1837)</f>
        <v>-3920</v>
      </c>
      <c r="J1838">
        <f>IF(AND(MyRowHidden(ROW())=FALSE,MyRowHidden(ROW()-1)=TRUE),0,(G1838-G1837)*unitsOfExo+J1837)</f>
        <v>50000</v>
      </c>
      <c r="K1838" s="9">
        <f t="shared" si="89"/>
        <v>50000</v>
      </c>
      <c r="L1838">
        <f t="shared" si="90"/>
        <v>46080</v>
      </c>
    </row>
    <row r="1839" spans="4:12" x14ac:dyDescent="0.25">
      <c r="D1839" s="1"/>
      <c r="E1839">
        <v>-5392</v>
      </c>
      <c r="F1839" s="1"/>
      <c r="H1839" s="1">
        <f t="shared" si="88"/>
        <v>0</v>
      </c>
      <c r="I1839">
        <f>IF(AND(MyRowHidden(ROW())=FALSE,MyRowHidden(ROW()-1)=TRUE),0,(E1839-E1838)*unitsOfDHp+I1838)</f>
        <v>-3920</v>
      </c>
      <c r="J1839">
        <f>IF(AND(MyRowHidden(ROW())=FALSE,MyRowHidden(ROW()-1)=TRUE),0,(G1839-G1838)*unitsOfExo+J1838)</f>
        <v>50000</v>
      </c>
      <c r="K1839" s="9">
        <f t="shared" si="89"/>
        <v>50000</v>
      </c>
      <c r="L1839">
        <f t="shared" si="90"/>
        <v>46080</v>
      </c>
    </row>
    <row r="1840" spans="4:12" x14ac:dyDescent="0.25">
      <c r="D1840" s="1"/>
      <c r="E1840">
        <v>-5392</v>
      </c>
      <c r="F1840" s="1"/>
      <c r="H1840" s="1">
        <f t="shared" si="88"/>
        <v>0</v>
      </c>
      <c r="I1840">
        <f>IF(AND(MyRowHidden(ROW())=FALSE,MyRowHidden(ROW()-1)=TRUE),0,(E1840-E1839)*unitsOfDHp+I1839)</f>
        <v>-3920</v>
      </c>
      <c r="J1840">
        <f>IF(AND(MyRowHidden(ROW())=FALSE,MyRowHidden(ROW()-1)=TRUE),0,(G1840-G1839)*unitsOfExo+J1839)</f>
        <v>50000</v>
      </c>
      <c r="K1840" s="9">
        <f t="shared" si="89"/>
        <v>50000</v>
      </c>
      <c r="L1840">
        <f t="shared" si="90"/>
        <v>46080</v>
      </c>
    </row>
    <row r="1841" spans="4:12" x14ac:dyDescent="0.25">
      <c r="D1841" s="1"/>
      <c r="E1841">
        <v>-5392</v>
      </c>
      <c r="F1841" s="1"/>
      <c r="H1841" s="1">
        <f t="shared" si="88"/>
        <v>0</v>
      </c>
      <c r="I1841">
        <f>IF(AND(MyRowHidden(ROW())=FALSE,MyRowHidden(ROW()-1)=TRUE),0,(E1841-E1840)*unitsOfDHp+I1840)</f>
        <v>-3920</v>
      </c>
      <c r="J1841">
        <f>IF(AND(MyRowHidden(ROW())=FALSE,MyRowHidden(ROW()-1)=TRUE),0,(G1841-G1840)*unitsOfExo+J1840)</f>
        <v>50000</v>
      </c>
      <c r="K1841" s="9">
        <f t="shared" si="89"/>
        <v>50000</v>
      </c>
      <c r="L1841">
        <f t="shared" si="90"/>
        <v>46080</v>
      </c>
    </row>
    <row r="1842" spans="4:12" x14ac:dyDescent="0.25">
      <c r="D1842" s="1"/>
      <c r="E1842">
        <v>-5392</v>
      </c>
      <c r="F1842" s="1"/>
      <c r="H1842" s="1">
        <f t="shared" si="88"/>
        <v>0</v>
      </c>
      <c r="I1842">
        <f>IF(AND(MyRowHidden(ROW())=FALSE,MyRowHidden(ROW()-1)=TRUE),0,(E1842-E1841)*unitsOfDHp+I1841)</f>
        <v>-3920</v>
      </c>
      <c r="J1842">
        <f>IF(AND(MyRowHidden(ROW())=FALSE,MyRowHidden(ROW()-1)=TRUE),0,(G1842-G1841)*unitsOfExo+J1841)</f>
        <v>50000</v>
      </c>
      <c r="K1842" s="9">
        <f t="shared" si="89"/>
        <v>50000</v>
      </c>
      <c r="L1842">
        <f t="shared" si="90"/>
        <v>46080</v>
      </c>
    </row>
    <row r="1843" spans="4:12" x14ac:dyDescent="0.25">
      <c r="D1843" s="1"/>
      <c r="E1843">
        <v>-5392</v>
      </c>
      <c r="F1843" s="1"/>
      <c r="H1843" s="1">
        <f t="shared" si="88"/>
        <v>0</v>
      </c>
      <c r="I1843">
        <f>IF(AND(MyRowHidden(ROW())=FALSE,MyRowHidden(ROW()-1)=TRUE),0,(E1843-E1842)*unitsOfDHp+I1842)</f>
        <v>-3920</v>
      </c>
      <c r="J1843">
        <f>IF(AND(MyRowHidden(ROW())=FALSE,MyRowHidden(ROW()-1)=TRUE),0,(G1843-G1842)*unitsOfExo+J1842)</f>
        <v>50000</v>
      </c>
      <c r="K1843" s="9">
        <f t="shared" si="89"/>
        <v>50000</v>
      </c>
      <c r="L1843">
        <f t="shared" si="90"/>
        <v>46080</v>
      </c>
    </row>
    <row r="1844" spans="4:12" x14ac:dyDescent="0.25">
      <c r="D1844" s="1"/>
      <c r="E1844">
        <v>-5392</v>
      </c>
      <c r="F1844" s="1"/>
      <c r="H1844" s="1">
        <f t="shared" si="88"/>
        <v>0</v>
      </c>
      <c r="I1844">
        <f>IF(AND(MyRowHidden(ROW())=FALSE,MyRowHidden(ROW()-1)=TRUE),0,(E1844-E1843)*unitsOfDHp+I1843)</f>
        <v>-3920</v>
      </c>
      <c r="J1844">
        <f>IF(AND(MyRowHidden(ROW())=FALSE,MyRowHidden(ROW()-1)=TRUE),0,(G1844-G1843)*unitsOfExo+J1843)</f>
        <v>50000</v>
      </c>
      <c r="K1844" s="9">
        <f t="shared" si="89"/>
        <v>50000</v>
      </c>
      <c r="L1844">
        <f t="shared" si="90"/>
        <v>46080</v>
      </c>
    </row>
    <row r="1845" spans="4:12" x14ac:dyDescent="0.25">
      <c r="D1845" s="1"/>
      <c r="E1845">
        <v>-5392</v>
      </c>
      <c r="F1845" s="1"/>
      <c r="H1845" s="1">
        <f t="shared" si="88"/>
        <v>0</v>
      </c>
      <c r="I1845">
        <f>IF(AND(MyRowHidden(ROW())=FALSE,MyRowHidden(ROW()-1)=TRUE),0,(E1845-E1844)*unitsOfDHp+I1844)</f>
        <v>-3920</v>
      </c>
      <c r="J1845">
        <f>IF(AND(MyRowHidden(ROW())=FALSE,MyRowHidden(ROW()-1)=TRUE),0,(G1845-G1844)*unitsOfExo+J1844)</f>
        <v>50000</v>
      </c>
      <c r="K1845" s="9">
        <f t="shared" si="89"/>
        <v>50000</v>
      </c>
      <c r="L1845">
        <f t="shared" si="90"/>
        <v>46080</v>
      </c>
    </row>
    <row r="1846" spans="4:12" x14ac:dyDescent="0.25">
      <c r="D1846" s="1"/>
      <c r="E1846">
        <v>-5392</v>
      </c>
      <c r="F1846" s="1"/>
      <c r="H1846" s="1">
        <f t="shared" si="88"/>
        <v>0</v>
      </c>
      <c r="I1846">
        <f>IF(AND(MyRowHidden(ROW())=FALSE,MyRowHidden(ROW()-1)=TRUE),0,(E1846-E1845)*unitsOfDHp+I1845)</f>
        <v>-3920</v>
      </c>
      <c r="J1846">
        <f>IF(AND(MyRowHidden(ROW())=FALSE,MyRowHidden(ROW()-1)=TRUE),0,(G1846-G1845)*unitsOfExo+J1845)</f>
        <v>50000</v>
      </c>
      <c r="K1846" s="9">
        <f t="shared" si="89"/>
        <v>50000</v>
      </c>
      <c r="L1846">
        <f t="shared" si="90"/>
        <v>46080</v>
      </c>
    </row>
    <row r="1847" spans="4:12" x14ac:dyDescent="0.25">
      <c r="D1847" s="1"/>
      <c r="E1847">
        <v>-5392</v>
      </c>
      <c r="F1847" s="1"/>
      <c r="H1847" s="1">
        <f t="shared" si="88"/>
        <v>0</v>
      </c>
      <c r="I1847">
        <f>IF(AND(MyRowHidden(ROW())=FALSE,MyRowHidden(ROW()-1)=TRUE),0,(E1847-E1846)*unitsOfDHp+I1846)</f>
        <v>-3920</v>
      </c>
      <c r="J1847">
        <f>IF(AND(MyRowHidden(ROW())=FALSE,MyRowHidden(ROW()-1)=TRUE),0,(G1847-G1846)*unitsOfExo+J1846)</f>
        <v>50000</v>
      </c>
      <c r="K1847" s="9">
        <f t="shared" si="89"/>
        <v>50000</v>
      </c>
      <c r="L1847">
        <f t="shared" si="90"/>
        <v>46080</v>
      </c>
    </row>
    <row r="1848" spans="4:12" x14ac:dyDescent="0.25">
      <c r="D1848" s="1"/>
      <c r="E1848">
        <v>-5392</v>
      </c>
      <c r="F1848" s="1"/>
      <c r="H1848" s="1">
        <f t="shared" si="88"/>
        <v>0</v>
      </c>
      <c r="I1848">
        <f>IF(AND(MyRowHidden(ROW())=FALSE,MyRowHidden(ROW()-1)=TRUE),0,(E1848-E1847)*unitsOfDHp+I1847)</f>
        <v>-3920</v>
      </c>
      <c r="J1848">
        <f>IF(AND(MyRowHidden(ROW())=FALSE,MyRowHidden(ROW()-1)=TRUE),0,(G1848-G1847)*unitsOfExo+J1847)</f>
        <v>50000</v>
      </c>
      <c r="K1848" s="9">
        <f t="shared" si="89"/>
        <v>50000</v>
      </c>
      <c r="L1848">
        <f t="shared" si="90"/>
        <v>46080</v>
      </c>
    </row>
    <row r="1849" spans="4:12" x14ac:dyDescent="0.25">
      <c r="D1849" s="1"/>
      <c r="E1849">
        <v>-5392</v>
      </c>
      <c r="F1849" s="1"/>
      <c r="H1849" s="1">
        <f t="shared" si="88"/>
        <v>0</v>
      </c>
      <c r="I1849">
        <f>IF(AND(MyRowHidden(ROW())=FALSE,MyRowHidden(ROW()-1)=TRUE),0,(E1849-E1848)*unitsOfDHp+I1848)</f>
        <v>-3920</v>
      </c>
      <c r="J1849">
        <f>IF(AND(MyRowHidden(ROW())=FALSE,MyRowHidden(ROW()-1)=TRUE),0,(G1849-G1848)*unitsOfExo+J1848)</f>
        <v>50000</v>
      </c>
      <c r="K1849" s="9">
        <f t="shared" si="89"/>
        <v>50000</v>
      </c>
      <c r="L1849">
        <f t="shared" si="90"/>
        <v>46080</v>
      </c>
    </row>
    <row r="1850" spans="4:12" x14ac:dyDescent="0.25">
      <c r="D1850" s="1"/>
      <c r="E1850">
        <v>-5392</v>
      </c>
      <c r="F1850" s="1"/>
      <c r="H1850" s="1">
        <f t="shared" si="88"/>
        <v>0</v>
      </c>
      <c r="I1850">
        <f>IF(AND(MyRowHidden(ROW())=FALSE,MyRowHidden(ROW()-1)=TRUE),0,(E1850-E1849)*unitsOfDHp+I1849)</f>
        <v>-3920</v>
      </c>
      <c r="J1850">
        <f>IF(AND(MyRowHidden(ROW())=FALSE,MyRowHidden(ROW()-1)=TRUE),0,(G1850-G1849)*unitsOfExo+J1849)</f>
        <v>50000</v>
      </c>
      <c r="K1850" s="9">
        <f t="shared" si="89"/>
        <v>50000</v>
      </c>
      <c r="L1850">
        <f t="shared" si="90"/>
        <v>46080</v>
      </c>
    </row>
    <row r="1851" spans="4:12" x14ac:dyDescent="0.25">
      <c r="D1851" s="1"/>
      <c r="E1851">
        <v>-5392</v>
      </c>
      <c r="F1851" s="1"/>
      <c r="H1851" s="1">
        <f t="shared" si="88"/>
        <v>0</v>
      </c>
      <c r="I1851">
        <f>IF(AND(MyRowHidden(ROW())=FALSE,MyRowHidden(ROW()-1)=TRUE),0,(E1851-E1850)*unitsOfDHp+I1850)</f>
        <v>-3920</v>
      </c>
      <c r="J1851">
        <f>IF(AND(MyRowHidden(ROW())=FALSE,MyRowHidden(ROW()-1)=TRUE),0,(G1851-G1850)*unitsOfExo+J1850)</f>
        <v>50000</v>
      </c>
      <c r="K1851" s="9">
        <f t="shared" si="89"/>
        <v>50000</v>
      </c>
      <c r="L1851">
        <f t="shared" si="90"/>
        <v>46080</v>
      </c>
    </row>
    <row r="1852" spans="4:12" x14ac:dyDescent="0.25">
      <c r="D1852" s="1"/>
      <c r="E1852">
        <v>-5392</v>
      </c>
      <c r="F1852" s="1"/>
      <c r="H1852" s="1">
        <f t="shared" si="88"/>
        <v>0</v>
      </c>
      <c r="I1852">
        <f>IF(AND(MyRowHidden(ROW())=FALSE,MyRowHidden(ROW()-1)=TRUE),0,(E1852-E1851)*unitsOfDHp+I1851)</f>
        <v>-3920</v>
      </c>
      <c r="J1852">
        <f>IF(AND(MyRowHidden(ROW())=FALSE,MyRowHidden(ROW()-1)=TRUE),0,(G1852-G1851)*unitsOfExo+J1851)</f>
        <v>50000</v>
      </c>
      <c r="K1852" s="9">
        <f t="shared" si="89"/>
        <v>50000</v>
      </c>
      <c r="L1852">
        <f t="shared" si="90"/>
        <v>46080</v>
      </c>
    </row>
    <row r="1853" spans="4:12" x14ac:dyDescent="0.25">
      <c r="D1853" s="1"/>
      <c r="E1853">
        <v>-5392</v>
      </c>
      <c r="F1853" s="1"/>
      <c r="H1853" s="1">
        <f t="shared" si="88"/>
        <v>0</v>
      </c>
      <c r="I1853">
        <f>IF(AND(MyRowHidden(ROW())=FALSE,MyRowHidden(ROW()-1)=TRUE),0,(E1853-E1852)*unitsOfDHp+I1852)</f>
        <v>-3920</v>
      </c>
      <c r="J1853">
        <f>IF(AND(MyRowHidden(ROW())=FALSE,MyRowHidden(ROW()-1)=TRUE),0,(G1853-G1852)*unitsOfExo+J1852)</f>
        <v>50000</v>
      </c>
      <c r="K1853" s="9">
        <f t="shared" si="89"/>
        <v>50000</v>
      </c>
      <c r="L1853">
        <f t="shared" si="90"/>
        <v>46080</v>
      </c>
    </row>
    <row r="1854" spans="4:12" x14ac:dyDescent="0.25">
      <c r="D1854" s="1"/>
      <c r="E1854">
        <v>-5392</v>
      </c>
      <c r="F1854" s="1"/>
      <c r="H1854" s="1">
        <f t="shared" si="88"/>
        <v>0</v>
      </c>
      <c r="I1854">
        <f>IF(AND(MyRowHidden(ROW())=FALSE,MyRowHidden(ROW()-1)=TRUE),0,(E1854-E1853)*unitsOfDHp+I1853)</f>
        <v>-3920</v>
      </c>
      <c r="J1854">
        <f>IF(AND(MyRowHidden(ROW())=FALSE,MyRowHidden(ROW()-1)=TRUE),0,(G1854-G1853)*unitsOfExo+J1853)</f>
        <v>50000</v>
      </c>
      <c r="K1854" s="9">
        <f t="shared" si="89"/>
        <v>50000</v>
      </c>
      <c r="L1854">
        <f t="shared" si="90"/>
        <v>46080</v>
      </c>
    </row>
    <row r="1855" spans="4:12" x14ac:dyDescent="0.25">
      <c r="D1855" s="1"/>
      <c r="E1855">
        <v>-5392</v>
      </c>
      <c r="F1855" s="1"/>
      <c r="H1855" s="1">
        <f t="shared" si="88"/>
        <v>0</v>
      </c>
      <c r="I1855">
        <f>IF(AND(MyRowHidden(ROW())=FALSE,MyRowHidden(ROW()-1)=TRUE),0,(E1855-E1854)*unitsOfDHp+I1854)</f>
        <v>-3920</v>
      </c>
      <c r="J1855">
        <f>IF(AND(MyRowHidden(ROW())=FALSE,MyRowHidden(ROW()-1)=TRUE),0,(G1855-G1854)*unitsOfExo+J1854)</f>
        <v>50000</v>
      </c>
      <c r="K1855" s="9">
        <f t="shared" si="89"/>
        <v>50000</v>
      </c>
      <c r="L1855">
        <f t="shared" si="90"/>
        <v>46080</v>
      </c>
    </row>
    <row r="1856" spans="4:12" x14ac:dyDescent="0.25">
      <c r="D1856" s="1"/>
      <c r="E1856">
        <v>-5392</v>
      </c>
      <c r="F1856" s="1"/>
      <c r="H1856" s="1">
        <f t="shared" si="88"/>
        <v>0</v>
      </c>
      <c r="I1856">
        <f>IF(AND(MyRowHidden(ROW())=FALSE,MyRowHidden(ROW()-1)=TRUE),0,(E1856-E1855)*unitsOfDHp+I1855)</f>
        <v>-3920</v>
      </c>
      <c r="J1856">
        <f>IF(AND(MyRowHidden(ROW())=FALSE,MyRowHidden(ROW()-1)=TRUE),0,(G1856-G1855)*unitsOfExo+J1855)</f>
        <v>50000</v>
      </c>
      <c r="K1856" s="9">
        <f t="shared" si="89"/>
        <v>50000</v>
      </c>
      <c r="L1856">
        <f t="shared" si="90"/>
        <v>46080</v>
      </c>
    </row>
    <row r="1857" spans="4:12" x14ac:dyDescent="0.25">
      <c r="D1857" s="1"/>
      <c r="E1857">
        <v>-5392</v>
      </c>
      <c r="F1857" s="1"/>
      <c r="H1857" s="1">
        <f t="shared" si="88"/>
        <v>0</v>
      </c>
      <c r="I1857">
        <f>IF(AND(MyRowHidden(ROW())=FALSE,MyRowHidden(ROW()-1)=TRUE),0,(E1857-E1856)*unitsOfDHp+I1856)</f>
        <v>-3920</v>
      </c>
      <c r="J1857">
        <f>IF(AND(MyRowHidden(ROW())=FALSE,MyRowHidden(ROW()-1)=TRUE),0,(G1857-G1856)*unitsOfExo+J1856)</f>
        <v>50000</v>
      </c>
      <c r="K1857" s="9">
        <f t="shared" si="89"/>
        <v>50000</v>
      </c>
      <c r="L1857">
        <f t="shared" si="90"/>
        <v>46080</v>
      </c>
    </row>
    <row r="1858" spans="4:12" x14ac:dyDescent="0.25">
      <c r="D1858" s="1"/>
      <c r="E1858">
        <v>-5392</v>
      </c>
      <c r="F1858" s="1"/>
      <c r="H1858" s="1">
        <f t="shared" si="88"/>
        <v>0</v>
      </c>
      <c r="I1858">
        <f>IF(AND(MyRowHidden(ROW())=FALSE,MyRowHidden(ROW()-1)=TRUE),0,(E1858-E1857)*unitsOfDHp+I1857)</f>
        <v>-3920</v>
      </c>
      <c r="J1858">
        <f>IF(AND(MyRowHidden(ROW())=FALSE,MyRowHidden(ROW()-1)=TRUE),0,(G1858-G1857)*unitsOfExo+J1857)</f>
        <v>50000</v>
      </c>
      <c r="K1858" s="9">
        <f t="shared" si="89"/>
        <v>50000</v>
      </c>
      <c r="L1858">
        <f t="shared" si="90"/>
        <v>46080</v>
      </c>
    </row>
    <row r="1859" spans="4:12" x14ac:dyDescent="0.25">
      <c r="D1859" s="1"/>
      <c r="E1859">
        <v>-5392</v>
      </c>
      <c r="F1859" s="1"/>
      <c r="H1859" s="1">
        <f t="shared" si="88"/>
        <v>0</v>
      </c>
      <c r="I1859">
        <f>IF(AND(MyRowHidden(ROW())=FALSE,MyRowHidden(ROW()-1)=TRUE),0,(E1859-E1858)*unitsOfDHp+I1858)</f>
        <v>-3920</v>
      </c>
      <c r="J1859">
        <f>IF(AND(MyRowHidden(ROW())=FALSE,MyRowHidden(ROW()-1)=TRUE),0,(G1859-G1858)*unitsOfExo+J1858)</f>
        <v>50000</v>
      </c>
      <c r="K1859" s="9">
        <f t="shared" si="89"/>
        <v>50000</v>
      </c>
      <c r="L1859">
        <f t="shared" si="90"/>
        <v>46080</v>
      </c>
    </row>
    <row r="1860" spans="4:12" x14ac:dyDescent="0.25">
      <c r="D1860" s="1"/>
      <c r="E1860">
        <v>-5392</v>
      </c>
      <c r="F1860" s="1"/>
      <c r="H1860" s="1">
        <f t="shared" si="88"/>
        <v>0</v>
      </c>
      <c r="I1860">
        <f>IF(AND(MyRowHidden(ROW())=FALSE,MyRowHidden(ROW()-1)=TRUE),0,(E1860-E1859)*unitsOfDHp+I1859)</f>
        <v>-3920</v>
      </c>
      <c r="J1860">
        <f>IF(AND(MyRowHidden(ROW())=FALSE,MyRowHidden(ROW()-1)=TRUE),0,(G1860-G1859)*unitsOfExo+J1859)</f>
        <v>50000</v>
      </c>
      <c r="K1860" s="9">
        <f t="shared" si="89"/>
        <v>50000</v>
      </c>
      <c r="L1860">
        <f t="shared" si="90"/>
        <v>46080</v>
      </c>
    </row>
    <row r="1861" spans="4:12" x14ac:dyDescent="0.25">
      <c r="D1861" s="1"/>
      <c r="E1861">
        <v>-5392</v>
      </c>
      <c r="F1861" s="1"/>
      <c r="H1861" s="1">
        <f t="shared" si="88"/>
        <v>0</v>
      </c>
      <c r="I1861">
        <f>IF(AND(MyRowHidden(ROW())=FALSE,MyRowHidden(ROW()-1)=TRUE),0,(E1861-E1860)*unitsOfDHp+I1860)</f>
        <v>-3920</v>
      </c>
      <c r="J1861">
        <f>IF(AND(MyRowHidden(ROW())=FALSE,MyRowHidden(ROW()-1)=TRUE),0,(G1861-G1860)*unitsOfExo+J1860)</f>
        <v>50000</v>
      </c>
      <c r="K1861" s="9">
        <f t="shared" si="89"/>
        <v>50000</v>
      </c>
      <c r="L1861">
        <f t="shared" si="90"/>
        <v>46080</v>
      </c>
    </row>
    <row r="1862" spans="4:12" x14ac:dyDescent="0.25">
      <c r="D1862" s="1"/>
      <c r="E1862">
        <v>-5392</v>
      </c>
      <c r="F1862" s="1"/>
      <c r="H1862" s="1">
        <f t="shared" si="88"/>
        <v>0</v>
      </c>
      <c r="I1862">
        <f>IF(AND(MyRowHidden(ROW())=FALSE,MyRowHidden(ROW()-1)=TRUE),0,(E1862-E1861)*unitsOfDHp+I1861)</f>
        <v>-3920</v>
      </c>
      <c r="J1862">
        <f>IF(AND(MyRowHidden(ROW())=FALSE,MyRowHidden(ROW()-1)=TRUE),0,(G1862-G1861)*unitsOfExo+J1861)</f>
        <v>50000</v>
      </c>
      <c r="K1862" s="9">
        <f t="shared" si="89"/>
        <v>50000</v>
      </c>
      <c r="L1862">
        <f t="shared" si="90"/>
        <v>46080</v>
      </c>
    </row>
    <row r="1863" spans="4:12" x14ac:dyDescent="0.25">
      <c r="D1863" s="1"/>
      <c r="E1863">
        <v>-5392</v>
      </c>
      <c r="F1863" s="1"/>
      <c r="H1863" s="1">
        <f t="shared" si="88"/>
        <v>0</v>
      </c>
      <c r="I1863">
        <f>IF(AND(MyRowHidden(ROW())=FALSE,MyRowHidden(ROW()-1)=TRUE),0,(E1863-E1862)*unitsOfDHp+I1862)</f>
        <v>-3920</v>
      </c>
      <c r="J1863">
        <f>IF(AND(MyRowHidden(ROW())=FALSE,MyRowHidden(ROW()-1)=TRUE),0,(G1863-G1862)*unitsOfExo+J1862)</f>
        <v>50000</v>
      </c>
      <c r="K1863" s="9">
        <f t="shared" si="89"/>
        <v>50000</v>
      </c>
      <c r="L1863">
        <f t="shared" si="90"/>
        <v>46080</v>
      </c>
    </row>
    <row r="1864" spans="4:12" x14ac:dyDescent="0.25">
      <c r="D1864" s="1"/>
      <c r="E1864">
        <v>-5392</v>
      </c>
      <c r="F1864" s="1"/>
      <c r="H1864" s="1">
        <f t="shared" si="88"/>
        <v>0</v>
      </c>
      <c r="I1864">
        <f>IF(AND(MyRowHidden(ROW())=FALSE,MyRowHidden(ROW()-1)=TRUE),0,(E1864-E1863)*unitsOfDHp+I1863)</f>
        <v>-3920</v>
      </c>
      <c r="J1864">
        <f>IF(AND(MyRowHidden(ROW())=FALSE,MyRowHidden(ROW()-1)=TRUE),0,(G1864-G1863)*unitsOfExo+J1863)</f>
        <v>50000</v>
      </c>
      <c r="K1864" s="9">
        <f t="shared" si="89"/>
        <v>50000</v>
      </c>
      <c r="L1864">
        <f t="shared" si="90"/>
        <v>46080</v>
      </c>
    </row>
    <row r="1865" spans="4:12" x14ac:dyDescent="0.25">
      <c r="D1865" s="1"/>
      <c r="E1865">
        <v>-5392</v>
      </c>
      <c r="F1865" s="1"/>
      <c r="H1865" s="1">
        <f t="shared" si="88"/>
        <v>0</v>
      </c>
      <c r="I1865">
        <f>IF(AND(MyRowHidden(ROW())=FALSE,MyRowHidden(ROW()-1)=TRUE),0,(E1865-E1864)*unitsOfDHp+I1864)</f>
        <v>-3920</v>
      </c>
      <c r="J1865">
        <f>IF(AND(MyRowHidden(ROW())=FALSE,MyRowHidden(ROW()-1)=TRUE),0,(G1865-G1864)*unitsOfExo+J1864)</f>
        <v>50000</v>
      </c>
      <c r="K1865" s="9">
        <f t="shared" si="89"/>
        <v>50000</v>
      </c>
      <c r="L1865">
        <f t="shared" si="90"/>
        <v>46080</v>
      </c>
    </row>
    <row r="1866" spans="4:12" x14ac:dyDescent="0.25">
      <c r="D1866" s="1"/>
      <c r="E1866">
        <v>-5392</v>
      </c>
      <c r="F1866" s="1"/>
      <c r="H1866" s="1">
        <f t="shared" si="88"/>
        <v>0</v>
      </c>
      <c r="I1866">
        <f>IF(AND(MyRowHidden(ROW())=FALSE,MyRowHidden(ROW()-1)=TRUE),0,(E1866-E1865)*unitsOfDHp+I1865)</f>
        <v>-3920</v>
      </c>
      <c r="J1866">
        <f>IF(AND(MyRowHidden(ROW())=FALSE,MyRowHidden(ROW()-1)=TRUE),0,(G1866-G1865)*unitsOfExo+J1865)</f>
        <v>50000</v>
      </c>
      <c r="K1866" s="9">
        <f t="shared" si="89"/>
        <v>50000</v>
      </c>
      <c r="L1866">
        <f t="shared" si="90"/>
        <v>46080</v>
      </c>
    </row>
    <row r="1867" spans="4:12" x14ac:dyDescent="0.25">
      <c r="D1867" s="1"/>
      <c r="E1867">
        <v>-5392</v>
      </c>
      <c r="F1867" s="1"/>
      <c r="H1867" s="1">
        <f t="shared" si="88"/>
        <v>0</v>
      </c>
      <c r="I1867">
        <f>IF(AND(MyRowHidden(ROW())=FALSE,MyRowHidden(ROW()-1)=TRUE),0,(E1867-E1866)*unitsOfDHp+I1866)</f>
        <v>-3920</v>
      </c>
      <c r="J1867">
        <f>IF(AND(MyRowHidden(ROW())=FALSE,MyRowHidden(ROW()-1)=TRUE),0,(G1867-G1866)*unitsOfExo+J1866)</f>
        <v>50000</v>
      </c>
      <c r="K1867" s="9">
        <f t="shared" si="89"/>
        <v>50000</v>
      </c>
      <c r="L1867">
        <f t="shared" si="90"/>
        <v>46080</v>
      </c>
    </row>
    <row r="1868" spans="4:12" x14ac:dyDescent="0.25">
      <c r="D1868" s="1"/>
      <c r="E1868">
        <v>-5392</v>
      </c>
      <c r="F1868" s="1"/>
      <c r="H1868" s="1">
        <f t="shared" si="88"/>
        <v>0</v>
      </c>
      <c r="I1868">
        <f>IF(AND(MyRowHidden(ROW())=FALSE,MyRowHidden(ROW()-1)=TRUE),0,(E1868-E1867)*unitsOfDHp+I1867)</f>
        <v>-3920</v>
      </c>
      <c r="J1868">
        <f>IF(AND(MyRowHidden(ROW())=FALSE,MyRowHidden(ROW()-1)=TRUE),0,(G1868-G1867)*unitsOfExo+J1867)</f>
        <v>50000</v>
      </c>
      <c r="K1868" s="9">
        <f t="shared" si="89"/>
        <v>50000</v>
      </c>
      <c r="L1868">
        <f t="shared" si="90"/>
        <v>46080</v>
      </c>
    </row>
    <row r="1869" spans="4:12" x14ac:dyDescent="0.25">
      <c r="D1869" s="1"/>
      <c r="E1869">
        <v>-5392</v>
      </c>
      <c r="F1869" s="1"/>
      <c r="H1869" s="1">
        <f t="shared" ref="H1869:H1932" si="91">D1869</f>
        <v>0</v>
      </c>
      <c r="I1869">
        <f>IF(AND(MyRowHidden(ROW())=FALSE,MyRowHidden(ROW()-1)=TRUE),0,(E1869-E1868)*unitsOfDHp+I1868)</f>
        <v>-3920</v>
      </c>
      <c r="J1869">
        <f>IF(AND(MyRowHidden(ROW())=FALSE,MyRowHidden(ROW()-1)=TRUE),0,(G1869-G1868)*unitsOfExo+J1868)</f>
        <v>50000</v>
      </c>
      <c r="K1869" s="9">
        <f t="shared" ref="K1869:K1932" si="92">-(J1869-J1868)+K1868</f>
        <v>50000</v>
      </c>
      <c r="L1869">
        <f t="shared" ref="L1869:L1932" si="93">I1869+J1869</f>
        <v>46080</v>
      </c>
    </row>
    <row r="1870" spans="4:12" x14ac:dyDescent="0.25">
      <c r="D1870" s="1"/>
      <c r="E1870">
        <v>-5392</v>
      </c>
      <c r="F1870" s="1"/>
      <c r="H1870" s="1">
        <f t="shared" si="91"/>
        <v>0</v>
      </c>
      <c r="I1870">
        <f>IF(AND(MyRowHidden(ROW())=FALSE,MyRowHidden(ROW()-1)=TRUE),0,(E1870-E1869)*unitsOfDHp+I1869)</f>
        <v>-3920</v>
      </c>
      <c r="J1870">
        <f>IF(AND(MyRowHidden(ROW())=FALSE,MyRowHidden(ROW()-1)=TRUE),0,(G1870-G1869)*unitsOfExo+J1869)</f>
        <v>50000</v>
      </c>
      <c r="K1870" s="9">
        <f t="shared" si="92"/>
        <v>50000</v>
      </c>
      <c r="L1870">
        <f t="shared" si="93"/>
        <v>46080</v>
      </c>
    </row>
    <row r="1871" spans="4:12" x14ac:dyDescent="0.25">
      <c r="D1871" s="1"/>
      <c r="E1871">
        <v>-5392</v>
      </c>
      <c r="F1871" s="1"/>
      <c r="H1871" s="1">
        <f t="shared" si="91"/>
        <v>0</v>
      </c>
      <c r="I1871">
        <f>IF(AND(MyRowHidden(ROW())=FALSE,MyRowHidden(ROW()-1)=TRUE),0,(E1871-E1870)*unitsOfDHp+I1870)</f>
        <v>-3920</v>
      </c>
      <c r="J1871">
        <f>IF(AND(MyRowHidden(ROW())=FALSE,MyRowHidden(ROW()-1)=TRUE),0,(G1871-G1870)*unitsOfExo+J1870)</f>
        <v>50000</v>
      </c>
      <c r="K1871" s="9">
        <f t="shared" si="92"/>
        <v>50000</v>
      </c>
      <c r="L1871">
        <f t="shared" si="93"/>
        <v>46080</v>
      </c>
    </row>
    <row r="1872" spans="4:12" x14ac:dyDescent="0.25">
      <c r="D1872" s="1"/>
      <c r="E1872">
        <v>-5392</v>
      </c>
      <c r="F1872" s="1"/>
      <c r="H1872" s="1">
        <f t="shared" si="91"/>
        <v>0</v>
      </c>
      <c r="I1872">
        <f>IF(AND(MyRowHidden(ROW())=FALSE,MyRowHidden(ROW()-1)=TRUE),0,(E1872-E1871)*unitsOfDHp+I1871)</f>
        <v>-3920</v>
      </c>
      <c r="J1872">
        <f>IF(AND(MyRowHidden(ROW())=FALSE,MyRowHidden(ROW()-1)=TRUE),0,(G1872-G1871)*unitsOfExo+J1871)</f>
        <v>50000</v>
      </c>
      <c r="K1872" s="9">
        <f t="shared" si="92"/>
        <v>50000</v>
      </c>
      <c r="L1872">
        <f t="shared" si="93"/>
        <v>46080</v>
      </c>
    </row>
    <row r="1873" spans="4:12" x14ac:dyDescent="0.25">
      <c r="D1873" s="1"/>
      <c r="E1873">
        <v>-5392</v>
      </c>
      <c r="F1873" s="1"/>
      <c r="H1873" s="1">
        <f t="shared" si="91"/>
        <v>0</v>
      </c>
      <c r="I1873">
        <f>IF(AND(MyRowHidden(ROW())=FALSE,MyRowHidden(ROW()-1)=TRUE),0,(E1873-E1872)*unitsOfDHp+I1872)</f>
        <v>-3920</v>
      </c>
      <c r="J1873">
        <f>IF(AND(MyRowHidden(ROW())=FALSE,MyRowHidden(ROW()-1)=TRUE),0,(G1873-G1872)*unitsOfExo+J1872)</f>
        <v>50000</v>
      </c>
      <c r="K1873" s="9">
        <f t="shared" si="92"/>
        <v>50000</v>
      </c>
      <c r="L1873">
        <f t="shared" si="93"/>
        <v>46080</v>
      </c>
    </row>
    <row r="1874" spans="4:12" x14ac:dyDescent="0.25">
      <c r="D1874" s="1"/>
      <c r="E1874">
        <v>-5392</v>
      </c>
      <c r="F1874" s="1"/>
      <c r="H1874" s="1">
        <f t="shared" si="91"/>
        <v>0</v>
      </c>
      <c r="I1874">
        <f>IF(AND(MyRowHidden(ROW())=FALSE,MyRowHidden(ROW()-1)=TRUE),0,(E1874-E1873)*unitsOfDHp+I1873)</f>
        <v>-3920</v>
      </c>
      <c r="J1874">
        <f>IF(AND(MyRowHidden(ROW())=FALSE,MyRowHidden(ROW()-1)=TRUE),0,(G1874-G1873)*unitsOfExo+J1873)</f>
        <v>50000</v>
      </c>
      <c r="K1874" s="9">
        <f t="shared" si="92"/>
        <v>50000</v>
      </c>
      <c r="L1874">
        <f t="shared" si="93"/>
        <v>46080</v>
      </c>
    </row>
    <row r="1875" spans="4:12" x14ac:dyDescent="0.25">
      <c r="D1875" s="1"/>
      <c r="E1875">
        <v>-5392</v>
      </c>
      <c r="F1875" s="1"/>
      <c r="H1875" s="1">
        <f t="shared" si="91"/>
        <v>0</v>
      </c>
      <c r="I1875">
        <f>IF(AND(MyRowHidden(ROW())=FALSE,MyRowHidden(ROW()-1)=TRUE),0,(E1875-E1874)*unitsOfDHp+I1874)</f>
        <v>-3920</v>
      </c>
      <c r="J1875">
        <f>IF(AND(MyRowHidden(ROW())=FALSE,MyRowHidden(ROW()-1)=TRUE),0,(G1875-G1874)*unitsOfExo+J1874)</f>
        <v>50000</v>
      </c>
      <c r="K1875" s="9">
        <f t="shared" si="92"/>
        <v>50000</v>
      </c>
      <c r="L1875">
        <f t="shared" si="93"/>
        <v>46080</v>
      </c>
    </row>
    <row r="1876" spans="4:12" x14ac:dyDescent="0.25">
      <c r="D1876" s="1"/>
      <c r="E1876">
        <v>-5392</v>
      </c>
      <c r="F1876" s="1"/>
      <c r="H1876" s="1">
        <f t="shared" si="91"/>
        <v>0</v>
      </c>
      <c r="I1876">
        <f>IF(AND(MyRowHidden(ROW())=FALSE,MyRowHidden(ROW()-1)=TRUE),0,(E1876-E1875)*unitsOfDHp+I1875)</f>
        <v>-3920</v>
      </c>
      <c r="J1876">
        <f>IF(AND(MyRowHidden(ROW())=FALSE,MyRowHidden(ROW()-1)=TRUE),0,(G1876-G1875)*unitsOfExo+J1875)</f>
        <v>50000</v>
      </c>
      <c r="K1876" s="9">
        <f t="shared" si="92"/>
        <v>50000</v>
      </c>
      <c r="L1876">
        <f t="shared" si="93"/>
        <v>46080</v>
      </c>
    </row>
    <row r="1877" spans="4:12" x14ac:dyDescent="0.25">
      <c r="D1877" s="1"/>
      <c r="E1877">
        <v>-5392</v>
      </c>
      <c r="F1877" s="1"/>
      <c r="H1877" s="1">
        <f t="shared" si="91"/>
        <v>0</v>
      </c>
      <c r="I1877">
        <f>IF(AND(MyRowHidden(ROW())=FALSE,MyRowHidden(ROW()-1)=TRUE),0,(E1877-E1876)*unitsOfDHp+I1876)</f>
        <v>-3920</v>
      </c>
      <c r="J1877">
        <f>IF(AND(MyRowHidden(ROW())=FALSE,MyRowHidden(ROW()-1)=TRUE),0,(G1877-G1876)*unitsOfExo+J1876)</f>
        <v>50000</v>
      </c>
      <c r="K1877" s="9">
        <f t="shared" si="92"/>
        <v>50000</v>
      </c>
      <c r="L1877">
        <f t="shared" si="93"/>
        <v>46080</v>
      </c>
    </row>
    <row r="1878" spans="4:12" x14ac:dyDescent="0.25">
      <c r="D1878" s="1"/>
      <c r="E1878">
        <v>-5392</v>
      </c>
      <c r="F1878" s="1"/>
      <c r="H1878" s="1">
        <f t="shared" si="91"/>
        <v>0</v>
      </c>
      <c r="I1878">
        <f>IF(AND(MyRowHidden(ROW())=FALSE,MyRowHidden(ROW()-1)=TRUE),0,(E1878-E1877)*unitsOfDHp+I1877)</f>
        <v>-3920</v>
      </c>
      <c r="J1878">
        <f>IF(AND(MyRowHidden(ROW())=FALSE,MyRowHidden(ROW()-1)=TRUE),0,(G1878-G1877)*unitsOfExo+J1877)</f>
        <v>50000</v>
      </c>
      <c r="K1878" s="9">
        <f t="shared" si="92"/>
        <v>50000</v>
      </c>
      <c r="L1878">
        <f t="shared" si="93"/>
        <v>46080</v>
      </c>
    </row>
    <row r="1879" spans="4:12" x14ac:dyDescent="0.25">
      <c r="D1879" s="1"/>
      <c r="E1879">
        <v>-5392</v>
      </c>
      <c r="F1879" s="1"/>
      <c r="H1879" s="1">
        <f t="shared" si="91"/>
        <v>0</v>
      </c>
      <c r="I1879">
        <f>IF(AND(MyRowHidden(ROW())=FALSE,MyRowHidden(ROW()-1)=TRUE),0,(E1879-E1878)*unitsOfDHp+I1878)</f>
        <v>-3920</v>
      </c>
      <c r="J1879">
        <f>IF(AND(MyRowHidden(ROW())=FALSE,MyRowHidden(ROW()-1)=TRUE),0,(G1879-G1878)*unitsOfExo+J1878)</f>
        <v>50000</v>
      </c>
      <c r="K1879" s="9">
        <f t="shared" si="92"/>
        <v>50000</v>
      </c>
      <c r="L1879">
        <f t="shared" si="93"/>
        <v>46080</v>
      </c>
    </row>
    <row r="1880" spans="4:12" x14ac:dyDescent="0.25">
      <c r="D1880" s="1"/>
      <c r="E1880">
        <v>-5392</v>
      </c>
      <c r="F1880" s="1"/>
      <c r="H1880" s="1">
        <f t="shared" si="91"/>
        <v>0</v>
      </c>
      <c r="I1880">
        <f>IF(AND(MyRowHidden(ROW())=FALSE,MyRowHidden(ROW()-1)=TRUE),0,(E1880-E1879)*unitsOfDHp+I1879)</f>
        <v>-3920</v>
      </c>
      <c r="J1880">
        <f>IF(AND(MyRowHidden(ROW())=FALSE,MyRowHidden(ROW()-1)=TRUE),0,(G1880-G1879)*unitsOfExo+J1879)</f>
        <v>50000</v>
      </c>
      <c r="K1880" s="9">
        <f t="shared" si="92"/>
        <v>50000</v>
      </c>
      <c r="L1880">
        <f t="shared" si="93"/>
        <v>46080</v>
      </c>
    </row>
    <row r="1881" spans="4:12" x14ac:dyDescent="0.25">
      <c r="D1881" s="1"/>
      <c r="E1881">
        <v>-5392</v>
      </c>
      <c r="F1881" s="1"/>
      <c r="H1881" s="1">
        <f t="shared" si="91"/>
        <v>0</v>
      </c>
      <c r="I1881">
        <f>IF(AND(MyRowHidden(ROW())=FALSE,MyRowHidden(ROW()-1)=TRUE),0,(E1881-E1880)*unitsOfDHp+I1880)</f>
        <v>-3920</v>
      </c>
      <c r="J1881">
        <f>IF(AND(MyRowHidden(ROW())=FALSE,MyRowHidden(ROW()-1)=TRUE),0,(G1881-G1880)*unitsOfExo+J1880)</f>
        <v>50000</v>
      </c>
      <c r="K1881" s="9">
        <f t="shared" si="92"/>
        <v>50000</v>
      </c>
      <c r="L1881">
        <f t="shared" si="93"/>
        <v>46080</v>
      </c>
    </row>
    <row r="1882" spans="4:12" x14ac:dyDescent="0.25">
      <c r="D1882" s="1"/>
      <c r="E1882">
        <v>-5392</v>
      </c>
      <c r="F1882" s="1"/>
      <c r="H1882" s="1">
        <f t="shared" si="91"/>
        <v>0</v>
      </c>
      <c r="I1882">
        <f>IF(AND(MyRowHidden(ROW())=FALSE,MyRowHidden(ROW()-1)=TRUE),0,(E1882-E1881)*unitsOfDHp+I1881)</f>
        <v>-3920</v>
      </c>
      <c r="J1882">
        <f>IF(AND(MyRowHidden(ROW())=FALSE,MyRowHidden(ROW()-1)=TRUE),0,(G1882-G1881)*unitsOfExo+J1881)</f>
        <v>50000</v>
      </c>
      <c r="K1882" s="9">
        <f t="shared" si="92"/>
        <v>50000</v>
      </c>
      <c r="L1882">
        <f t="shared" si="93"/>
        <v>46080</v>
      </c>
    </row>
    <row r="1883" spans="4:12" x14ac:dyDescent="0.25">
      <c r="D1883" s="1"/>
      <c r="E1883">
        <v>-5392</v>
      </c>
      <c r="F1883" s="1"/>
      <c r="H1883" s="1">
        <f t="shared" si="91"/>
        <v>0</v>
      </c>
      <c r="I1883">
        <f>IF(AND(MyRowHidden(ROW())=FALSE,MyRowHidden(ROW()-1)=TRUE),0,(E1883-E1882)*unitsOfDHp+I1882)</f>
        <v>-3920</v>
      </c>
      <c r="J1883">
        <f>IF(AND(MyRowHidden(ROW())=FALSE,MyRowHidden(ROW()-1)=TRUE),0,(G1883-G1882)*unitsOfExo+J1882)</f>
        <v>50000</v>
      </c>
      <c r="K1883" s="9">
        <f t="shared" si="92"/>
        <v>50000</v>
      </c>
      <c r="L1883">
        <f t="shared" si="93"/>
        <v>46080</v>
      </c>
    </row>
    <row r="1884" spans="4:12" x14ac:dyDescent="0.25">
      <c r="D1884" s="1"/>
      <c r="E1884">
        <v>-5392</v>
      </c>
      <c r="F1884" s="1"/>
      <c r="H1884" s="1">
        <f t="shared" si="91"/>
        <v>0</v>
      </c>
      <c r="I1884">
        <f>IF(AND(MyRowHidden(ROW())=FALSE,MyRowHidden(ROW()-1)=TRUE),0,(E1884-E1883)*unitsOfDHp+I1883)</f>
        <v>-3920</v>
      </c>
      <c r="J1884">
        <f>IF(AND(MyRowHidden(ROW())=FALSE,MyRowHidden(ROW()-1)=TRUE),0,(G1884-G1883)*unitsOfExo+J1883)</f>
        <v>50000</v>
      </c>
      <c r="K1884" s="9">
        <f t="shared" si="92"/>
        <v>50000</v>
      </c>
      <c r="L1884">
        <f t="shared" si="93"/>
        <v>46080</v>
      </c>
    </row>
    <row r="1885" spans="4:12" x14ac:dyDescent="0.25">
      <c r="D1885" s="1"/>
      <c r="E1885">
        <v>-5392</v>
      </c>
      <c r="F1885" s="1"/>
      <c r="H1885" s="1">
        <f t="shared" si="91"/>
        <v>0</v>
      </c>
      <c r="I1885">
        <f>IF(AND(MyRowHidden(ROW())=FALSE,MyRowHidden(ROW()-1)=TRUE),0,(E1885-E1884)*unitsOfDHp+I1884)</f>
        <v>-3920</v>
      </c>
      <c r="J1885">
        <f>IF(AND(MyRowHidden(ROW())=FALSE,MyRowHidden(ROW()-1)=TRUE),0,(G1885-G1884)*unitsOfExo+J1884)</f>
        <v>50000</v>
      </c>
      <c r="K1885" s="9">
        <f t="shared" si="92"/>
        <v>50000</v>
      </c>
      <c r="L1885">
        <f t="shared" si="93"/>
        <v>46080</v>
      </c>
    </row>
    <row r="1886" spans="4:12" x14ac:dyDescent="0.25">
      <c r="D1886" s="1"/>
      <c r="E1886">
        <v>-5392</v>
      </c>
      <c r="F1886" s="1"/>
      <c r="H1886" s="1">
        <f t="shared" si="91"/>
        <v>0</v>
      </c>
      <c r="I1886">
        <f>IF(AND(MyRowHidden(ROW())=FALSE,MyRowHidden(ROW()-1)=TRUE),0,(E1886-E1885)*unitsOfDHp+I1885)</f>
        <v>-3920</v>
      </c>
      <c r="J1886">
        <f>IF(AND(MyRowHidden(ROW())=FALSE,MyRowHidden(ROW()-1)=TRUE),0,(G1886-G1885)*unitsOfExo+J1885)</f>
        <v>50000</v>
      </c>
      <c r="K1886" s="9">
        <f t="shared" si="92"/>
        <v>50000</v>
      </c>
      <c r="L1886">
        <f t="shared" si="93"/>
        <v>46080</v>
      </c>
    </row>
    <row r="1887" spans="4:12" x14ac:dyDescent="0.25">
      <c r="D1887" s="1"/>
      <c r="E1887">
        <v>-5392</v>
      </c>
      <c r="F1887" s="1"/>
      <c r="H1887" s="1">
        <f t="shared" si="91"/>
        <v>0</v>
      </c>
      <c r="I1887">
        <f>IF(AND(MyRowHidden(ROW())=FALSE,MyRowHidden(ROW()-1)=TRUE),0,(E1887-E1886)*unitsOfDHp+I1886)</f>
        <v>-3920</v>
      </c>
      <c r="J1887">
        <f>IF(AND(MyRowHidden(ROW())=FALSE,MyRowHidden(ROW()-1)=TRUE),0,(G1887-G1886)*unitsOfExo+J1886)</f>
        <v>50000</v>
      </c>
      <c r="K1887" s="9">
        <f t="shared" si="92"/>
        <v>50000</v>
      </c>
      <c r="L1887">
        <f t="shared" si="93"/>
        <v>46080</v>
      </c>
    </row>
    <row r="1888" spans="4:12" x14ac:dyDescent="0.25">
      <c r="D1888" s="1"/>
      <c r="E1888">
        <v>-5392</v>
      </c>
      <c r="F1888" s="1"/>
      <c r="H1888" s="1">
        <f t="shared" si="91"/>
        <v>0</v>
      </c>
      <c r="I1888">
        <f>IF(AND(MyRowHidden(ROW())=FALSE,MyRowHidden(ROW()-1)=TRUE),0,(E1888-E1887)*unitsOfDHp+I1887)</f>
        <v>-3920</v>
      </c>
      <c r="J1888">
        <f>IF(AND(MyRowHidden(ROW())=FALSE,MyRowHidden(ROW()-1)=TRUE),0,(G1888-G1887)*unitsOfExo+J1887)</f>
        <v>50000</v>
      </c>
      <c r="K1888" s="9">
        <f t="shared" si="92"/>
        <v>50000</v>
      </c>
      <c r="L1888">
        <f t="shared" si="93"/>
        <v>46080</v>
      </c>
    </row>
    <row r="1889" spans="4:12" x14ac:dyDescent="0.25">
      <c r="D1889" s="1"/>
      <c r="E1889">
        <v>-5392</v>
      </c>
      <c r="F1889" s="1"/>
      <c r="H1889" s="1">
        <f t="shared" si="91"/>
        <v>0</v>
      </c>
      <c r="I1889">
        <f>IF(AND(MyRowHidden(ROW())=FALSE,MyRowHidden(ROW()-1)=TRUE),0,(E1889-E1888)*unitsOfDHp+I1888)</f>
        <v>-3920</v>
      </c>
      <c r="J1889">
        <f>IF(AND(MyRowHidden(ROW())=FALSE,MyRowHidden(ROW()-1)=TRUE),0,(G1889-G1888)*unitsOfExo+J1888)</f>
        <v>50000</v>
      </c>
      <c r="K1889" s="9">
        <f t="shared" si="92"/>
        <v>50000</v>
      </c>
      <c r="L1889">
        <f t="shared" si="93"/>
        <v>46080</v>
      </c>
    </row>
    <row r="1890" spans="4:12" x14ac:dyDescent="0.25">
      <c r="D1890" s="1"/>
      <c r="E1890">
        <v>-5392</v>
      </c>
      <c r="F1890" s="1"/>
      <c r="H1890" s="1">
        <f t="shared" si="91"/>
        <v>0</v>
      </c>
      <c r="I1890">
        <f>IF(AND(MyRowHidden(ROW())=FALSE,MyRowHidden(ROW()-1)=TRUE),0,(E1890-E1889)*unitsOfDHp+I1889)</f>
        <v>-3920</v>
      </c>
      <c r="J1890">
        <f>IF(AND(MyRowHidden(ROW())=FALSE,MyRowHidden(ROW()-1)=TRUE),0,(G1890-G1889)*unitsOfExo+J1889)</f>
        <v>50000</v>
      </c>
      <c r="K1890" s="9">
        <f t="shared" si="92"/>
        <v>50000</v>
      </c>
      <c r="L1890">
        <f t="shared" si="93"/>
        <v>46080</v>
      </c>
    </row>
    <row r="1891" spans="4:12" x14ac:dyDescent="0.25">
      <c r="D1891" s="1"/>
      <c r="E1891">
        <v>-5392</v>
      </c>
      <c r="F1891" s="1"/>
      <c r="H1891" s="1">
        <f t="shared" si="91"/>
        <v>0</v>
      </c>
      <c r="I1891">
        <f>IF(AND(MyRowHidden(ROW())=FALSE,MyRowHidden(ROW()-1)=TRUE),0,(E1891-E1890)*unitsOfDHp+I1890)</f>
        <v>-3920</v>
      </c>
      <c r="J1891">
        <f>IF(AND(MyRowHidden(ROW())=FALSE,MyRowHidden(ROW()-1)=TRUE),0,(G1891-G1890)*unitsOfExo+J1890)</f>
        <v>50000</v>
      </c>
      <c r="K1891" s="9">
        <f t="shared" si="92"/>
        <v>50000</v>
      </c>
      <c r="L1891">
        <f t="shared" si="93"/>
        <v>46080</v>
      </c>
    </row>
    <row r="1892" spans="4:12" x14ac:dyDescent="0.25">
      <c r="D1892" s="1"/>
      <c r="E1892">
        <v>-5392</v>
      </c>
      <c r="F1892" s="1"/>
      <c r="H1892" s="1">
        <f t="shared" si="91"/>
        <v>0</v>
      </c>
      <c r="I1892">
        <f>IF(AND(MyRowHidden(ROW())=FALSE,MyRowHidden(ROW()-1)=TRUE),0,(E1892-E1891)*unitsOfDHp+I1891)</f>
        <v>-3920</v>
      </c>
      <c r="J1892">
        <f>IF(AND(MyRowHidden(ROW())=FALSE,MyRowHidden(ROW()-1)=TRUE),0,(G1892-G1891)*unitsOfExo+J1891)</f>
        <v>50000</v>
      </c>
      <c r="K1892" s="9">
        <f t="shared" si="92"/>
        <v>50000</v>
      </c>
      <c r="L1892">
        <f t="shared" si="93"/>
        <v>46080</v>
      </c>
    </row>
    <row r="1893" spans="4:12" x14ac:dyDescent="0.25">
      <c r="D1893" s="1"/>
      <c r="E1893">
        <v>-5392</v>
      </c>
      <c r="F1893" s="1"/>
      <c r="H1893" s="1">
        <f t="shared" si="91"/>
        <v>0</v>
      </c>
      <c r="I1893">
        <f>IF(AND(MyRowHidden(ROW())=FALSE,MyRowHidden(ROW()-1)=TRUE),0,(E1893-E1892)*unitsOfDHp+I1892)</f>
        <v>-3920</v>
      </c>
      <c r="J1893">
        <f>IF(AND(MyRowHidden(ROW())=FALSE,MyRowHidden(ROW()-1)=TRUE),0,(G1893-G1892)*unitsOfExo+J1892)</f>
        <v>50000</v>
      </c>
      <c r="K1893" s="9">
        <f t="shared" si="92"/>
        <v>50000</v>
      </c>
      <c r="L1893">
        <f t="shared" si="93"/>
        <v>46080</v>
      </c>
    </row>
    <row r="1894" spans="4:12" x14ac:dyDescent="0.25">
      <c r="D1894" s="1"/>
      <c r="E1894">
        <v>-5392</v>
      </c>
      <c r="F1894" s="1"/>
      <c r="H1894" s="1">
        <f t="shared" si="91"/>
        <v>0</v>
      </c>
      <c r="I1894">
        <f>IF(AND(MyRowHidden(ROW())=FALSE,MyRowHidden(ROW()-1)=TRUE),0,(E1894-E1893)*unitsOfDHp+I1893)</f>
        <v>-3920</v>
      </c>
      <c r="J1894">
        <f>IF(AND(MyRowHidden(ROW())=FALSE,MyRowHidden(ROW()-1)=TRUE),0,(G1894-G1893)*unitsOfExo+J1893)</f>
        <v>50000</v>
      </c>
      <c r="K1894" s="9">
        <f t="shared" si="92"/>
        <v>50000</v>
      </c>
      <c r="L1894">
        <f t="shared" si="93"/>
        <v>46080</v>
      </c>
    </row>
    <row r="1895" spans="4:12" x14ac:dyDescent="0.25">
      <c r="D1895" s="1"/>
      <c r="E1895">
        <v>-5392</v>
      </c>
      <c r="F1895" s="1"/>
      <c r="H1895" s="1">
        <f t="shared" si="91"/>
        <v>0</v>
      </c>
      <c r="I1895">
        <f>IF(AND(MyRowHidden(ROW())=FALSE,MyRowHidden(ROW()-1)=TRUE),0,(E1895-E1894)*unitsOfDHp+I1894)</f>
        <v>-3920</v>
      </c>
      <c r="J1895">
        <f>IF(AND(MyRowHidden(ROW())=FALSE,MyRowHidden(ROW()-1)=TRUE),0,(G1895-G1894)*unitsOfExo+J1894)</f>
        <v>50000</v>
      </c>
      <c r="K1895" s="9">
        <f t="shared" si="92"/>
        <v>50000</v>
      </c>
      <c r="L1895">
        <f t="shared" si="93"/>
        <v>46080</v>
      </c>
    </row>
    <row r="1896" spans="4:12" x14ac:dyDescent="0.25">
      <c r="D1896" s="1"/>
      <c r="E1896">
        <v>-5392</v>
      </c>
      <c r="F1896" s="1"/>
      <c r="H1896" s="1">
        <f t="shared" si="91"/>
        <v>0</v>
      </c>
      <c r="I1896">
        <f>IF(AND(MyRowHidden(ROW())=FALSE,MyRowHidden(ROW()-1)=TRUE),0,(E1896-E1895)*unitsOfDHp+I1895)</f>
        <v>-3920</v>
      </c>
      <c r="J1896">
        <f>IF(AND(MyRowHidden(ROW())=FALSE,MyRowHidden(ROW()-1)=TRUE),0,(G1896-G1895)*unitsOfExo+J1895)</f>
        <v>50000</v>
      </c>
      <c r="K1896" s="9">
        <f t="shared" si="92"/>
        <v>50000</v>
      </c>
      <c r="L1896">
        <f t="shared" si="93"/>
        <v>46080</v>
      </c>
    </row>
    <row r="1897" spans="4:12" x14ac:dyDescent="0.25">
      <c r="D1897" s="1"/>
      <c r="E1897">
        <v>-5392</v>
      </c>
      <c r="F1897" s="1"/>
      <c r="H1897" s="1">
        <f t="shared" si="91"/>
        <v>0</v>
      </c>
      <c r="I1897">
        <f>IF(AND(MyRowHidden(ROW())=FALSE,MyRowHidden(ROW()-1)=TRUE),0,(E1897-E1896)*unitsOfDHp+I1896)</f>
        <v>-3920</v>
      </c>
      <c r="J1897">
        <f>IF(AND(MyRowHidden(ROW())=FALSE,MyRowHidden(ROW()-1)=TRUE),0,(G1897-G1896)*unitsOfExo+J1896)</f>
        <v>50000</v>
      </c>
      <c r="K1897" s="9">
        <f t="shared" si="92"/>
        <v>50000</v>
      </c>
      <c r="L1897">
        <f t="shared" si="93"/>
        <v>46080</v>
      </c>
    </row>
    <row r="1898" spans="4:12" x14ac:dyDescent="0.25">
      <c r="D1898" s="1"/>
      <c r="E1898">
        <v>-5392</v>
      </c>
      <c r="F1898" s="1"/>
      <c r="H1898" s="1">
        <f t="shared" si="91"/>
        <v>0</v>
      </c>
      <c r="I1898">
        <f>IF(AND(MyRowHidden(ROW())=FALSE,MyRowHidden(ROW()-1)=TRUE),0,(E1898-E1897)*unitsOfDHp+I1897)</f>
        <v>-3920</v>
      </c>
      <c r="J1898">
        <f>IF(AND(MyRowHidden(ROW())=FALSE,MyRowHidden(ROW()-1)=TRUE),0,(G1898-G1897)*unitsOfExo+J1897)</f>
        <v>50000</v>
      </c>
      <c r="K1898" s="9">
        <f t="shared" si="92"/>
        <v>50000</v>
      </c>
      <c r="L1898">
        <f t="shared" si="93"/>
        <v>46080</v>
      </c>
    </row>
    <row r="1899" spans="4:12" x14ac:dyDescent="0.25">
      <c r="D1899" s="1"/>
      <c r="E1899">
        <v>-5392</v>
      </c>
      <c r="F1899" s="1"/>
      <c r="H1899" s="1">
        <f t="shared" si="91"/>
        <v>0</v>
      </c>
      <c r="I1899">
        <f>IF(AND(MyRowHidden(ROW())=FALSE,MyRowHidden(ROW()-1)=TRUE),0,(E1899-E1898)*unitsOfDHp+I1898)</f>
        <v>-3920</v>
      </c>
      <c r="J1899">
        <f>IF(AND(MyRowHidden(ROW())=FALSE,MyRowHidden(ROW()-1)=TRUE),0,(G1899-G1898)*unitsOfExo+J1898)</f>
        <v>50000</v>
      </c>
      <c r="K1899" s="9">
        <f t="shared" si="92"/>
        <v>50000</v>
      </c>
      <c r="L1899">
        <f t="shared" si="93"/>
        <v>46080</v>
      </c>
    </row>
    <row r="1900" spans="4:12" x14ac:dyDescent="0.25">
      <c r="D1900" s="1"/>
      <c r="E1900">
        <v>-5392</v>
      </c>
      <c r="F1900" s="1"/>
      <c r="H1900" s="1">
        <f t="shared" si="91"/>
        <v>0</v>
      </c>
      <c r="I1900">
        <f>IF(AND(MyRowHidden(ROW())=FALSE,MyRowHidden(ROW()-1)=TRUE),0,(E1900-E1899)*unitsOfDHp+I1899)</f>
        <v>-3920</v>
      </c>
      <c r="J1900">
        <f>IF(AND(MyRowHidden(ROW())=FALSE,MyRowHidden(ROW()-1)=TRUE),0,(G1900-G1899)*unitsOfExo+J1899)</f>
        <v>50000</v>
      </c>
      <c r="K1900" s="9">
        <f t="shared" si="92"/>
        <v>50000</v>
      </c>
      <c r="L1900">
        <f t="shared" si="93"/>
        <v>46080</v>
      </c>
    </row>
    <row r="1901" spans="4:12" x14ac:dyDescent="0.25">
      <c r="D1901" s="1"/>
      <c r="E1901">
        <v>-5392</v>
      </c>
      <c r="F1901" s="1"/>
      <c r="H1901" s="1">
        <f t="shared" si="91"/>
        <v>0</v>
      </c>
      <c r="I1901">
        <f>IF(AND(MyRowHidden(ROW())=FALSE,MyRowHidden(ROW()-1)=TRUE),0,(E1901-E1900)*unitsOfDHp+I1900)</f>
        <v>-3920</v>
      </c>
      <c r="J1901">
        <f>IF(AND(MyRowHidden(ROW())=FALSE,MyRowHidden(ROW()-1)=TRUE),0,(G1901-G1900)*unitsOfExo+J1900)</f>
        <v>50000</v>
      </c>
      <c r="K1901" s="9">
        <f t="shared" si="92"/>
        <v>50000</v>
      </c>
      <c r="L1901">
        <f t="shared" si="93"/>
        <v>46080</v>
      </c>
    </row>
    <row r="1902" spans="4:12" x14ac:dyDescent="0.25">
      <c r="D1902" s="1"/>
      <c r="E1902">
        <v>-5392</v>
      </c>
      <c r="F1902" s="1"/>
      <c r="H1902" s="1">
        <f t="shared" si="91"/>
        <v>0</v>
      </c>
      <c r="I1902">
        <f>IF(AND(MyRowHidden(ROW())=FALSE,MyRowHidden(ROW()-1)=TRUE),0,(E1902-E1901)*unitsOfDHp+I1901)</f>
        <v>-3920</v>
      </c>
      <c r="J1902">
        <f>IF(AND(MyRowHidden(ROW())=FALSE,MyRowHidden(ROW()-1)=TRUE),0,(G1902-G1901)*unitsOfExo+J1901)</f>
        <v>50000</v>
      </c>
      <c r="K1902" s="9">
        <f t="shared" si="92"/>
        <v>50000</v>
      </c>
      <c r="L1902">
        <f t="shared" si="93"/>
        <v>46080</v>
      </c>
    </row>
    <row r="1903" spans="4:12" x14ac:dyDescent="0.25">
      <c r="D1903" s="1"/>
      <c r="E1903">
        <v>-5392</v>
      </c>
      <c r="F1903" s="1"/>
      <c r="H1903" s="1">
        <f t="shared" si="91"/>
        <v>0</v>
      </c>
      <c r="I1903">
        <f>IF(AND(MyRowHidden(ROW())=FALSE,MyRowHidden(ROW()-1)=TRUE),0,(E1903-E1902)*unitsOfDHp+I1902)</f>
        <v>-3920</v>
      </c>
      <c r="J1903">
        <f>IF(AND(MyRowHidden(ROW())=FALSE,MyRowHidden(ROW()-1)=TRUE),0,(G1903-G1902)*unitsOfExo+J1902)</f>
        <v>50000</v>
      </c>
      <c r="K1903" s="9">
        <f t="shared" si="92"/>
        <v>50000</v>
      </c>
      <c r="L1903">
        <f t="shared" si="93"/>
        <v>46080</v>
      </c>
    </row>
    <row r="1904" spans="4:12" x14ac:dyDescent="0.25">
      <c r="D1904" s="1"/>
      <c r="E1904">
        <v>-5392</v>
      </c>
      <c r="F1904" s="1"/>
      <c r="H1904" s="1">
        <f t="shared" si="91"/>
        <v>0</v>
      </c>
      <c r="I1904">
        <f>IF(AND(MyRowHidden(ROW())=FALSE,MyRowHidden(ROW()-1)=TRUE),0,(E1904-E1903)*unitsOfDHp+I1903)</f>
        <v>-3920</v>
      </c>
      <c r="J1904">
        <f>IF(AND(MyRowHidden(ROW())=FALSE,MyRowHidden(ROW()-1)=TRUE),0,(G1904-G1903)*unitsOfExo+J1903)</f>
        <v>50000</v>
      </c>
      <c r="K1904" s="9">
        <f t="shared" si="92"/>
        <v>50000</v>
      </c>
      <c r="L1904">
        <f t="shared" si="93"/>
        <v>46080</v>
      </c>
    </row>
    <row r="1905" spans="4:12" x14ac:dyDescent="0.25">
      <c r="D1905" s="1"/>
      <c r="E1905">
        <v>-5392</v>
      </c>
      <c r="F1905" s="1"/>
      <c r="H1905" s="1">
        <f t="shared" si="91"/>
        <v>0</v>
      </c>
      <c r="I1905">
        <f>IF(AND(MyRowHidden(ROW())=FALSE,MyRowHidden(ROW()-1)=TRUE),0,(E1905-E1904)*unitsOfDHp+I1904)</f>
        <v>-3920</v>
      </c>
      <c r="J1905">
        <f>IF(AND(MyRowHidden(ROW())=FALSE,MyRowHidden(ROW()-1)=TRUE),0,(G1905-G1904)*unitsOfExo+J1904)</f>
        <v>50000</v>
      </c>
      <c r="K1905" s="9">
        <f t="shared" si="92"/>
        <v>50000</v>
      </c>
      <c r="L1905">
        <f t="shared" si="93"/>
        <v>46080</v>
      </c>
    </row>
    <row r="1906" spans="4:12" x14ac:dyDescent="0.25">
      <c r="D1906" s="1"/>
      <c r="E1906">
        <v>-5392</v>
      </c>
      <c r="F1906" s="1"/>
      <c r="H1906" s="1">
        <f t="shared" si="91"/>
        <v>0</v>
      </c>
      <c r="I1906">
        <f>IF(AND(MyRowHidden(ROW())=FALSE,MyRowHidden(ROW()-1)=TRUE),0,(E1906-E1905)*unitsOfDHp+I1905)</f>
        <v>-3920</v>
      </c>
      <c r="J1906">
        <f>IF(AND(MyRowHidden(ROW())=FALSE,MyRowHidden(ROW()-1)=TRUE),0,(G1906-G1905)*unitsOfExo+J1905)</f>
        <v>50000</v>
      </c>
      <c r="K1906" s="9">
        <f t="shared" si="92"/>
        <v>50000</v>
      </c>
      <c r="L1906">
        <f t="shared" si="93"/>
        <v>46080</v>
      </c>
    </row>
    <row r="1907" spans="4:12" x14ac:dyDescent="0.25">
      <c r="D1907" s="1"/>
      <c r="E1907">
        <v>-5392</v>
      </c>
      <c r="F1907" s="1"/>
      <c r="H1907" s="1">
        <f t="shared" si="91"/>
        <v>0</v>
      </c>
      <c r="I1907">
        <f>IF(AND(MyRowHidden(ROW())=FALSE,MyRowHidden(ROW()-1)=TRUE),0,(E1907-E1906)*unitsOfDHp+I1906)</f>
        <v>-3920</v>
      </c>
      <c r="J1907">
        <f>IF(AND(MyRowHidden(ROW())=FALSE,MyRowHidden(ROW()-1)=TRUE),0,(G1907-G1906)*unitsOfExo+J1906)</f>
        <v>50000</v>
      </c>
      <c r="K1907" s="9">
        <f t="shared" si="92"/>
        <v>50000</v>
      </c>
      <c r="L1907">
        <f t="shared" si="93"/>
        <v>46080</v>
      </c>
    </row>
    <row r="1908" spans="4:12" x14ac:dyDescent="0.25">
      <c r="D1908" s="1"/>
      <c r="E1908">
        <v>-5392</v>
      </c>
      <c r="F1908" s="1"/>
      <c r="H1908" s="1">
        <f t="shared" si="91"/>
        <v>0</v>
      </c>
      <c r="I1908">
        <f>IF(AND(MyRowHidden(ROW())=FALSE,MyRowHidden(ROW()-1)=TRUE),0,(E1908-E1907)*unitsOfDHp+I1907)</f>
        <v>-3920</v>
      </c>
      <c r="J1908">
        <f>IF(AND(MyRowHidden(ROW())=FALSE,MyRowHidden(ROW()-1)=TRUE),0,(G1908-G1907)*unitsOfExo+J1907)</f>
        <v>50000</v>
      </c>
      <c r="K1908" s="9">
        <f t="shared" si="92"/>
        <v>50000</v>
      </c>
      <c r="L1908">
        <f t="shared" si="93"/>
        <v>46080</v>
      </c>
    </row>
    <row r="1909" spans="4:12" x14ac:dyDescent="0.25">
      <c r="D1909" s="1"/>
      <c r="E1909">
        <v>-5392</v>
      </c>
      <c r="F1909" s="1"/>
      <c r="H1909" s="1">
        <f t="shared" si="91"/>
        <v>0</v>
      </c>
      <c r="I1909">
        <f>IF(AND(MyRowHidden(ROW())=FALSE,MyRowHidden(ROW()-1)=TRUE),0,(E1909-E1908)*unitsOfDHp+I1908)</f>
        <v>-3920</v>
      </c>
      <c r="J1909">
        <f>IF(AND(MyRowHidden(ROW())=FALSE,MyRowHidden(ROW()-1)=TRUE),0,(G1909-G1908)*unitsOfExo+J1908)</f>
        <v>50000</v>
      </c>
      <c r="K1909" s="9">
        <f t="shared" si="92"/>
        <v>50000</v>
      </c>
      <c r="L1909">
        <f t="shared" si="93"/>
        <v>46080</v>
      </c>
    </row>
    <row r="1910" spans="4:12" x14ac:dyDescent="0.25">
      <c r="D1910" s="1"/>
      <c r="E1910">
        <v>-5392</v>
      </c>
      <c r="F1910" s="1"/>
      <c r="H1910" s="1">
        <f t="shared" si="91"/>
        <v>0</v>
      </c>
      <c r="I1910">
        <f>IF(AND(MyRowHidden(ROW())=FALSE,MyRowHidden(ROW()-1)=TRUE),0,(E1910-E1909)*unitsOfDHp+I1909)</f>
        <v>-3920</v>
      </c>
      <c r="J1910">
        <f>IF(AND(MyRowHidden(ROW())=FALSE,MyRowHidden(ROW()-1)=TRUE),0,(G1910-G1909)*unitsOfExo+J1909)</f>
        <v>50000</v>
      </c>
      <c r="K1910" s="9">
        <f t="shared" si="92"/>
        <v>50000</v>
      </c>
      <c r="L1910">
        <f t="shared" si="93"/>
        <v>46080</v>
      </c>
    </row>
    <row r="1911" spans="4:12" x14ac:dyDescent="0.25">
      <c r="D1911" s="1"/>
      <c r="E1911">
        <v>-5392</v>
      </c>
      <c r="F1911" s="1"/>
      <c r="H1911" s="1">
        <f t="shared" si="91"/>
        <v>0</v>
      </c>
      <c r="I1911">
        <f>IF(AND(MyRowHidden(ROW())=FALSE,MyRowHidden(ROW()-1)=TRUE),0,(E1911-E1910)*unitsOfDHp+I1910)</f>
        <v>-3920</v>
      </c>
      <c r="J1911">
        <f>IF(AND(MyRowHidden(ROW())=FALSE,MyRowHidden(ROW()-1)=TRUE),0,(G1911-G1910)*unitsOfExo+J1910)</f>
        <v>50000</v>
      </c>
      <c r="K1911" s="9">
        <f t="shared" si="92"/>
        <v>50000</v>
      </c>
      <c r="L1911">
        <f t="shared" si="93"/>
        <v>46080</v>
      </c>
    </row>
    <row r="1912" spans="4:12" x14ac:dyDescent="0.25">
      <c r="D1912" s="1"/>
      <c r="E1912">
        <v>-5392</v>
      </c>
      <c r="F1912" s="1"/>
      <c r="H1912" s="1">
        <f t="shared" si="91"/>
        <v>0</v>
      </c>
      <c r="I1912">
        <f>IF(AND(MyRowHidden(ROW())=FALSE,MyRowHidden(ROW()-1)=TRUE),0,(E1912-E1911)*unitsOfDHp+I1911)</f>
        <v>-3920</v>
      </c>
      <c r="J1912">
        <f>IF(AND(MyRowHidden(ROW())=FALSE,MyRowHidden(ROW()-1)=TRUE),0,(G1912-G1911)*unitsOfExo+J1911)</f>
        <v>50000</v>
      </c>
      <c r="K1912" s="9">
        <f t="shared" si="92"/>
        <v>50000</v>
      </c>
      <c r="L1912">
        <f t="shared" si="93"/>
        <v>46080</v>
      </c>
    </row>
    <row r="1913" spans="4:12" x14ac:dyDescent="0.25">
      <c r="D1913" s="1"/>
      <c r="E1913">
        <v>-5392</v>
      </c>
      <c r="F1913" s="1"/>
      <c r="H1913" s="1">
        <f t="shared" si="91"/>
        <v>0</v>
      </c>
      <c r="I1913">
        <f>IF(AND(MyRowHidden(ROW())=FALSE,MyRowHidden(ROW()-1)=TRUE),0,(E1913-E1912)*unitsOfDHp+I1912)</f>
        <v>-3920</v>
      </c>
      <c r="J1913">
        <f>IF(AND(MyRowHidden(ROW())=FALSE,MyRowHidden(ROW()-1)=TRUE),0,(G1913-G1912)*unitsOfExo+J1912)</f>
        <v>50000</v>
      </c>
      <c r="K1913" s="9">
        <f t="shared" si="92"/>
        <v>50000</v>
      </c>
      <c r="L1913">
        <f t="shared" si="93"/>
        <v>46080</v>
      </c>
    </row>
    <row r="1914" spans="4:12" x14ac:dyDescent="0.25">
      <c r="D1914" s="1"/>
      <c r="E1914">
        <v>-5392</v>
      </c>
      <c r="F1914" s="1"/>
      <c r="H1914" s="1">
        <f t="shared" si="91"/>
        <v>0</v>
      </c>
      <c r="I1914">
        <f>IF(AND(MyRowHidden(ROW())=FALSE,MyRowHidden(ROW()-1)=TRUE),0,(E1914-E1913)*unitsOfDHp+I1913)</f>
        <v>-3920</v>
      </c>
      <c r="J1914">
        <f>IF(AND(MyRowHidden(ROW())=FALSE,MyRowHidden(ROW()-1)=TRUE),0,(G1914-G1913)*unitsOfExo+J1913)</f>
        <v>50000</v>
      </c>
      <c r="K1914" s="9">
        <f t="shared" si="92"/>
        <v>50000</v>
      </c>
      <c r="L1914">
        <f t="shared" si="93"/>
        <v>46080</v>
      </c>
    </row>
    <row r="1915" spans="4:12" x14ac:dyDescent="0.25">
      <c r="D1915" s="1"/>
      <c r="E1915">
        <v>-5392</v>
      </c>
      <c r="F1915" s="1"/>
      <c r="H1915" s="1">
        <f t="shared" si="91"/>
        <v>0</v>
      </c>
      <c r="I1915">
        <f>IF(AND(MyRowHidden(ROW())=FALSE,MyRowHidden(ROW()-1)=TRUE),0,(E1915-E1914)*unitsOfDHp+I1914)</f>
        <v>-3920</v>
      </c>
      <c r="J1915">
        <f>IF(AND(MyRowHidden(ROW())=FALSE,MyRowHidden(ROW()-1)=TRUE),0,(G1915-G1914)*unitsOfExo+J1914)</f>
        <v>50000</v>
      </c>
      <c r="K1915" s="9">
        <f t="shared" si="92"/>
        <v>50000</v>
      </c>
      <c r="L1915">
        <f t="shared" si="93"/>
        <v>46080</v>
      </c>
    </row>
    <row r="1916" spans="4:12" x14ac:dyDescent="0.25">
      <c r="D1916" s="1"/>
      <c r="E1916">
        <v>-5392</v>
      </c>
      <c r="F1916" s="1"/>
      <c r="H1916" s="1">
        <f t="shared" si="91"/>
        <v>0</v>
      </c>
      <c r="I1916">
        <f>IF(AND(MyRowHidden(ROW())=FALSE,MyRowHidden(ROW()-1)=TRUE),0,(E1916-E1915)*unitsOfDHp+I1915)</f>
        <v>-3920</v>
      </c>
      <c r="J1916">
        <f>IF(AND(MyRowHidden(ROW())=FALSE,MyRowHidden(ROW()-1)=TRUE),0,(G1916-G1915)*unitsOfExo+J1915)</f>
        <v>50000</v>
      </c>
      <c r="K1916" s="9">
        <f t="shared" si="92"/>
        <v>50000</v>
      </c>
      <c r="L1916">
        <f t="shared" si="93"/>
        <v>46080</v>
      </c>
    </row>
    <row r="1917" spans="4:12" x14ac:dyDescent="0.25">
      <c r="D1917" s="1"/>
      <c r="E1917">
        <v>-5392</v>
      </c>
      <c r="F1917" s="1"/>
      <c r="H1917" s="1">
        <f t="shared" si="91"/>
        <v>0</v>
      </c>
      <c r="I1917">
        <f>IF(AND(MyRowHidden(ROW())=FALSE,MyRowHidden(ROW()-1)=TRUE),0,(E1917-E1916)*unitsOfDHp+I1916)</f>
        <v>-3920</v>
      </c>
      <c r="J1917">
        <f>IF(AND(MyRowHidden(ROW())=FALSE,MyRowHidden(ROW()-1)=TRUE),0,(G1917-G1916)*unitsOfExo+J1916)</f>
        <v>50000</v>
      </c>
      <c r="K1917" s="9">
        <f t="shared" si="92"/>
        <v>50000</v>
      </c>
      <c r="L1917">
        <f t="shared" si="93"/>
        <v>46080</v>
      </c>
    </row>
    <row r="1918" spans="4:12" x14ac:dyDescent="0.25">
      <c r="D1918" s="1"/>
      <c r="E1918">
        <v>-5392</v>
      </c>
      <c r="F1918" s="1"/>
      <c r="H1918" s="1">
        <f t="shared" si="91"/>
        <v>0</v>
      </c>
      <c r="I1918">
        <f>IF(AND(MyRowHidden(ROW())=FALSE,MyRowHidden(ROW()-1)=TRUE),0,(E1918-E1917)*unitsOfDHp+I1917)</f>
        <v>-3920</v>
      </c>
      <c r="J1918">
        <f>IF(AND(MyRowHidden(ROW())=FALSE,MyRowHidden(ROW()-1)=TRUE),0,(G1918-G1917)*unitsOfExo+J1917)</f>
        <v>50000</v>
      </c>
      <c r="K1918" s="9">
        <f t="shared" si="92"/>
        <v>50000</v>
      </c>
      <c r="L1918">
        <f t="shared" si="93"/>
        <v>46080</v>
      </c>
    </row>
    <row r="1919" spans="4:12" x14ac:dyDescent="0.25">
      <c r="D1919" s="1"/>
      <c r="E1919">
        <v>-5392</v>
      </c>
      <c r="F1919" s="1"/>
      <c r="H1919" s="1">
        <f t="shared" si="91"/>
        <v>0</v>
      </c>
      <c r="I1919">
        <f>IF(AND(MyRowHidden(ROW())=FALSE,MyRowHidden(ROW()-1)=TRUE),0,(E1919-E1918)*unitsOfDHp+I1918)</f>
        <v>-3920</v>
      </c>
      <c r="J1919">
        <f>IF(AND(MyRowHidden(ROW())=FALSE,MyRowHidden(ROW()-1)=TRUE),0,(G1919-G1918)*unitsOfExo+J1918)</f>
        <v>50000</v>
      </c>
      <c r="K1919" s="9">
        <f t="shared" si="92"/>
        <v>50000</v>
      </c>
      <c r="L1919">
        <f t="shared" si="93"/>
        <v>46080</v>
      </c>
    </row>
    <row r="1920" spans="4:12" x14ac:dyDescent="0.25">
      <c r="D1920" s="1"/>
      <c r="E1920">
        <v>-5392</v>
      </c>
      <c r="F1920" s="1"/>
      <c r="H1920" s="1">
        <f t="shared" si="91"/>
        <v>0</v>
      </c>
      <c r="I1920">
        <f>IF(AND(MyRowHidden(ROW())=FALSE,MyRowHidden(ROW()-1)=TRUE),0,(E1920-E1919)*unitsOfDHp+I1919)</f>
        <v>-3920</v>
      </c>
      <c r="J1920">
        <f>IF(AND(MyRowHidden(ROW())=FALSE,MyRowHidden(ROW()-1)=TRUE),0,(G1920-G1919)*unitsOfExo+J1919)</f>
        <v>50000</v>
      </c>
      <c r="K1920" s="9">
        <f t="shared" si="92"/>
        <v>50000</v>
      </c>
      <c r="L1920">
        <f t="shared" si="93"/>
        <v>46080</v>
      </c>
    </row>
    <row r="1921" spans="4:12" x14ac:dyDescent="0.25">
      <c r="D1921" s="1"/>
      <c r="E1921">
        <v>-5392</v>
      </c>
      <c r="F1921" s="1"/>
      <c r="H1921" s="1">
        <f t="shared" si="91"/>
        <v>0</v>
      </c>
      <c r="I1921">
        <f>IF(AND(MyRowHidden(ROW())=FALSE,MyRowHidden(ROW()-1)=TRUE),0,(E1921-E1920)*unitsOfDHp+I1920)</f>
        <v>-3920</v>
      </c>
      <c r="J1921">
        <f>IF(AND(MyRowHidden(ROW())=FALSE,MyRowHidden(ROW()-1)=TRUE),0,(G1921-G1920)*unitsOfExo+J1920)</f>
        <v>50000</v>
      </c>
      <c r="K1921" s="9">
        <f t="shared" si="92"/>
        <v>50000</v>
      </c>
      <c r="L1921">
        <f t="shared" si="93"/>
        <v>46080</v>
      </c>
    </row>
    <row r="1922" spans="4:12" x14ac:dyDescent="0.25">
      <c r="D1922" s="1"/>
      <c r="E1922">
        <v>-5392</v>
      </c>
      <c r="F1922" s="1"/>
      <c r="H1922" s="1">
        <f t="shared" si="91"/>
        <v>0</v>
      </c>
      <c r="I1922">
        <f>IF(AND(MyRowHidden(ROW())=FALSE,MyRowHidden(ROW()-1)=TRUE),0,(E1922-E1921)*unitsOfDHp+I1921)</f>
        <v>-3920</v>
      </c>
      <c r="J1922">
        <f>IF(AND(MyRowHidden(ROW())=FALSE,MyRowHidden(ROW()-1)=TRUE),0,(G1922-G1921)*unitsOfExo+J1921)</f>
        <v>50000</v>
      </c>
      <c r="K1922" s="9">
        <f t="shared" si="92"/>
        <v>50000</v>
      </c>
      <c r="L1922">
        <f t="shared" si="93"/>
        <v>46080</v>
      </c>
    </row>
    <row r="1923" spans="4:12" x14ac:dyDescent="0.25">
      <c r="D1923" s="1"/>
      <c r="E1923">
        <v>-5392</v>
      </c>
      <c r="F1923" s="1"/>
      <c r="H1923" s="1">
        <f t="shared" si="91"/>
        <v>0</v>
      </c>
      <c r="I1923">
        <f>IF(AND(MyRowHidden(ROW())=FALSE,MyRowHidden(ROW()-1)=TRUE),0,(E1923-E1922)*unitsOfDHp+I1922)</f>
        <v>-3920</v>
      </c>
      <c r="J1923">
        <f>IF(AND(MyRowHidden(ROW())=FALSE,MyRowHidden(ROW()-1)=TRUE),0,(G1923-G1922)*unitsOfExo+J1922)</f>
        <v>50000</v>
      </c>
      <c r="K1923" s="9">
        <f t="shared" si="92"/>
        <v>50000</v>
      </c>
      <c r="L1923">
        <f t="shared" si="93"/>
        <v>46080</v>
      </c>
    </row>
    <row r="1924" spans="4:12" x14ac:dyDescent="0.25">
      <c r="D1924" s="1"/>
      <c r="E1924">
        <v>-5392</v>
      </c>
      <c r="F1924" s="1"/>
      <c r="H1924" s="1">
        <f t="shared" si="91"/>
        <v>0</v>
      </c>
      <c r="I1924">
        <f>IF(AND(MyRowHidden(ROW())=FALSE,MyRowHidden(ROW()-1)=TRUE),0,(E1924-E1923)*unitsOfDHp+I1923)</f>
        <v>-3920</v>
      </c>
      <c r="J1924">
        <f>IF(AND(MyRowHidden(ROW())=FALSE,MyRowHidden(ROW()-1)=TRUE),0,(G1924-G1923)*unitsOfExo+J1923)</f>
        <v>50000</v>
      </c>
      <c r="K1924" s="9">
        <f t="shared" si="92"/>
        <v>50000</v>
      </c>
      <c r="L1924">
        <f t="shared" si="93"/>
        <v>46080</v>
      </c>
    </row>
    <row r="1925" spans="4:12" x14ac:dyDescent="0.25">
      <c r="D1925" s="1"/>
      <c r="E1925">
        <v>-5392</v>
      </c>
      <c r="F1925" s="1"/>
      <c r="H1925" s="1">
        <f t="shared" si="91"/>
        <v>0</v>
      </c>
      <c r="I1925">
        <f>IF(AND(MyRowHidden(ROW())=FALSE,MyRowHidden(ROW()-1)=TRUE),0,(E1925-E1924)*unitsOfDHp+I1924)</f>
        <v>-3920</v>
      </c>
      <c r="J1925">
        <f>IF(AND(MyRowHidden(ROW())=FALSE,MyRowHidden(ROW()-1)=TRUE),0,(G1925-G1924)*unitsOfExo+J1924)</f>
        <v>50000</v>
      </c>
      <c r="K1925" s="9">
        <f t="shared" si="92"/>
        <v>50000</v>
      </c>
      <c r="L1925">
        <f t="shared" si="93"/>
        <v>46080</v>
      </c>
    </row>
    <row r="1926" spans="4:12" x14ac:dyDescent="0.25">
      <c r="D1926" s="1"/>
      <c r="E1926">
        <v>-5392</v>
      </c>
      <c r="F1926" s="1"/>
      <c r="H1926" s="1">
        <f t="shared" si="91"/>
        <v>0</v>
      </c>
      <c r="I1926">
        <f>IF(AND(MyRowHidden(ROW())=FALSE,MyRowHidden(ROW()-1)=TRUE),0,(E1926-E1925)*unitsOfDHp+I1925)</f>
        <v>-3920</v>
      </c>
      <c r="J1926">
        <f>IF(AND(MyRowHidden(ROW())=FALSE,MyRowHidden(ROW()-1)=TRUE),0,(G1926-G1925)*unitsOfExo+J1925)</f>
        <v>50000</v>
      </c>
      <c r="K1926" s="9">
        <f t="shared" si="92"/>
        <v>50000</v>
      </c>
      <c r="L1926">
        <f t="shared" si="93"/>
        <v>46080</v>
      </c>
    </row>
    <row r="1927" spans="4:12" x14ac:dyDescent="0.25">
      <c r="D1927" s="1"/>
      <c r="E1927">
        <v>-5392</v>
      </c>
      <c r="F1927" s="1"/>
      <c r="H1927" s="1">
        <f t="shared" si="91"/>
        <v>0</v>
      </c>
      <c r="I1927">
        <f>IF(AND(MyRowHidden(ROW())=FALSE,MyRowHidden(ROW()-1)=TRUE),0,(E1927-E1926)*unitsOfDHp+I1926)</f>
        <v>-3920</v>
      </c>
      <c r="J1927">
        <f>IF(AND(MyRowHidden(ROW())=FALSE,MyRowHidden(ROW()-1)=TRUE),0,(G1927-G1926)*unitsOfExo+J1926)</f>
        <v>50000</v>
      </c>
      <c r="K1927" s="9">
        <f t="shared" si="92"/>
        <v>50000</v>
      </c>
      <c r="L1927">
        <f t="shared" si="93"/>
        <v>46080</v>
      </c>
    </row>
    <row r="1928" spans="4:12" x14ac:dyDescent="0.25">
      <c r="D1928" s="1"/>
      <c r="E1928">
        <v>-5392</v>
      </c>
      <c r="F1928" s="1"/>
      <c r="H1928" s="1">
        <f t="shared" si="91"/>
        <v>0</v>
      </c>
      <c r="I1928">
        <f>IF(AND(MyRowHidden(ROW())=FALSE,MyRowHidden(ROW()-1)=TRUE),0,(E1928-E1927)*unitsOfDHp+I1927)</f>
        <v>-3920</v>
      </c>
      <c r="J1928">
        <f>IF(AND(MyRowHidden(ROW())=FALSE,MyRowHidden(ROW()-1)=TRUE),0,(G1928-G1927)*unitsOfExo+J1927)</f>
        <v>50000</v>
      </c>
      <c r="K1928" s="9">
        <f t="shared" si="92"/>
        <v>50000</v>
      </c>
      <c r="L1928">
        <f t="shared" si="93"/>
        <v>46080</v>
      </c>
    </row>
    <row r="1929" spans="4:12" x14ac:dyDescent="0.25">
      <c r="D1929" s="1"/>
      <c r="E1929">
        <v>-5392</v>
      </c>
      <c r="F1929" s="1"/>
      <c r="H1929" s="1">
        <f t="shared" si="91"/>
        <v>0</v>
      </c>
      <c r="I1929">
        <f>IF(AND(MyRowHidden(ROW())=FALSE,MyRowHidden(ROW()-1)=TRUE),0,(E1929-E1928)*unitsOfDHp+I1928)</f>
        <v>-3920</v>
      </c>
      <c r="J1929">
        <f>IF(AND(MyRowHidden(ROW())=FALSE,MyRowHidden(ROW()-1)=TRUE),0,(G1929-G1928)*unitsOfExo+J1928)</f>
        <v>50000</v>
      </c>
      <c r="K1929" s="9">
        <f t="shared" si="92"/>
        <v>50000</v>
      </c>
      <c r="L1929">
        <f t="shared" si="93"/>
        <v>46080</v>
      </c>
    </row>
    <row r="1930" spans="4:12" x14ac:dyDescent="0.25">
      <c r="D1930" s="1"/>
      <c r="E1930">
        <v>-5392</v>
      </c>
      <c r="F1930" s="1"/>
      <c r="H1930" s="1">
        <f t="shared" si="91"/>
        <v>0</v>
      </c>
      <c r="I1930">
        <f>IF(AND(MyRowHidden(ROW())=FALSE,MyRowHidden(ROW()-1)=TRUE),0,(E1930-E1929)*unitsOfDHp+I1929)</f>
        <v>-3920</v>
      </c>
      <c r="J1930">
        <f>IF(AND(MyRowHidden(ROW())=FALSE,MyRowHidden(ROW()-1)=TRUE),0,(G1930-G1929)*unitsOfExo+J1929)</f>
        <v>50000</v>
      </c>
      <c r="K1930" s="9">
        <f t="shared" si="92"/>
        <v>50000</v>
      </c>
      <c r="L1930">
        <f t="shared" si="93"/>
        <v>46080</v>
      </c>
    </row>
    <row r="1931" spans="4:12" x14ac:dyDescent="0.25">
      <c r="D1931" s="1"/>
      <c r="E1931">
        <v>-5392</v>
      </c>
      <c r="F1931" s="1"/>
      <c r="H1931" s="1">
        <f t="shared" si="91"/>
        <v>0</v>
      </c>
      <c r="I1931">
        <f>IF(AND(MyRowHidden(ROW())=FALSE,MyRowHidden(ROW()-1)=TRUE),0,(E1931-E1930)*unitsOfDHp+I1930)</f>
        <v>-3920</v>
      </c>
      <c r="J1931">
        <f>IF(AND(MyRowHidden(ROW())=FALSE,MyRowHidden(ROW()-1)=TRUE),0,(G1931-G1930)*unitsOfExo+J1930)</f>
        <v>50000</v>
      </c>
      <c r="K1931" s="9">
        <f t="shared" si="92"/>
        <v>50000</v>
      </c>
      <c r="L1931">
        <f t="shared" si="93"/>
        <v>46080</v>
      </c>
    </row>
    <row r="1932" spans="4:12" x14ac:dyDescent="0.25">
      <c r="D1932" s="1"/>
      <c r="E1932">
        <v>-5392</v>
      </c>
      <c r="F1932" s="1"/>
      <c r="H1932" s="1">
        <f t="shared" si="91"/>
        <v>0</v>
      </c>
      <c r="I1932">
        <f>IF(AND(MyRowHidden(ROW())=FALSE,MyRowHidden(ROW()-1)=TRUE),0,(E1932-E1931)*unitsOfDHp+I1931)</f>
        <v>-3920</v>
      </c>
      <c r="J1932">
        <f>IF(AND(MyRowHidden(ROW())=FALSE,MyRowHidden(ROW()-1)=TRUE),0,(G1932-G1931)*unitsOfExo+J1931)</f>
        <v>50000</v>
      </c>
      <c r="K1932" s="9">
        <f t="shared" si="92"/>
        <v>50000</v>
      </c>
      <c r="L1932">
        <f t="shared" si="93"/>
        <v>46080</v>
      </c>
    </row>
    <row r="1933" spans="4:12" x14ac:dyDescent="0.25">
      <c r="D1933" s="1"/>
      <c r="E1933">
        <v>-5392</v>
      </c>
      <c r="F1933" s="1"/>
      <c r="H1933" s="1">
        <f t="shared" ref="H1933:H1996" si="94">D1933</f>
        <v>0</v>
      </c>
      <c r="I1933">
        <f>IF(AND(MyRowHidden(ROW())=FALSE,MyRowHidden(ROW()-1)=TRUE),0,(E1933-E1932)*unitsOfDHp+I1932)</f>
        <v>-3920</v>
      </c>
      <c r="J1933">
        <f>IF(AND(MyRowHidden(ROW())=FALSE,MyRowHidden(ROW()-1)=TRUE),0,(G1933-G1932)*unitsOfExo+J1932)</f>
        <v>50000</v>
      </c>
      <c r="K1933" s="9">
        <f t="shared" ref="K1933:K1996" si="95">-(J1933-J1932)+K1932</f>
        <v>50000</v>
      </c>
      <c r="L1933">
        <f t="shared" ref="L1933:L1996" si="96">I1933+J1933</f>
        <v>46080</v>
      </c>
    </row>
    <row r="1934" spans="4:12" x14ac:dyDescent="0.25">
      <c r="D1934" s="1"/>
      <c r="E1934">
        <v>-5392</v>
      </c>
      <c r="F1934" s="1"/>
      <c r="H1934" s="1">
        <f t="shared" si="94"/>
        <v>0</v>
      </c>
      <c r="I1934">
        <f>IF(AND(MyRowHidden(ROW())=FALSE,MyRowHidden(ROW()-1)=TRUE),0,(E1934-E1933)*unitsOfDHp+I1933)</f>
        <v>-3920</v>
      </c>
      <c r="J1934">
        <f>IF(AND(MyRowHidden(ROW())=FALSE,MyRowHidden(ROW()-1)=TRUE),0,(G1934-G1933)*unitsOfExo+J1933)</f>
        <v>50000</v>
      </c>
      <c r="K1934" s="9">
        <f t="shared" si="95"/>
        <v>50000</v>
      </c>
      <c r="L1934">
        <f t="shared" si="96"/>
        <v>46080</v>
      </c>
    </row>
    <row r="1935" spans="4:12" x14ac:dyDescent="0.25">
      <c r="D1935" s="1"/>
      <c r="E1935">
        <v>-5392</v>
      </c>
      <c r="F1935" s="1"/>
      <c r="H1935" s="1">
        <f t="shared" si="94"/>
        <v>0</v>
      </c>
      <c r="I1935">
        <f>IF(AND(MyRowHidden(ROW())=FALSE,MyRowHidden(ROW()-1)=TRUE),0,(E1935-E1934)*unitsOfDHp+I1934)</f>
        <v>-3920</v>
      </c>
      <c r="J1935">
        <f>IF(AND(MyRowHidden(ROW())=FALSE,MyRowHidden(ROW()-1)=TRUE),0,(G1935-G1934)*unitsOfExo+J1934)</f>
        <v>50000</v>
      </c>
      <c r="K1935" s="9">
        <f t="shared" si="95"/>
        <v>50000</v>
      </c>
      <c r="L1935">
        <f t="shared" si="96"/>
        <v>46080</v>
      </c>
    </row>
    <row r="1936" spans="4:12" x14ac:dyDescent="0.25">
      <c r="D1936" s="1"/>
      <c r="E1936">
        <v>-5392</v>
      </c>
      <c r="F1936" s="1"/>
      <c r="H1936" s="1">
        <f t="shared" si="94"/>
        <v>0</v>
      </c>
      <c r="I1936">
        <f>IF(AND(MyRowHidden(ROW())=FALSE,MyRowHidden(ROW()-1)=TRUE),0,(E1936-E1935)*unitsOfDHp+I1935)</f>
        <v>-3920</v>
      </c>
      <c r="J1936">
        <f>IF(AND(MyRowHidden(ROW())=FALSE,MyRowHidden(ROW()-1)=TRUE),0,(G1936-G1935)*unitsOfExo+J1935)</f>
        <v>50000</v>
      </c>
      <c r="K1936" s="9">
        <f t="shared" si="95"/>
        <v>50000</v>
      </c>
      <c r="L1936">
        <f t="shared" si="96"/>
        <v>46080</v>
      </c>
    </row>
    <row r="1937" spans="4:12" x14ac:dyDescent="0.25">
      <c r="D1937" s="1"/>
      <c r="E1937">
        <v>-5392</v>
      </c>
      <c r="F1937" s="1"/>
      <c r="H1937" s="1">
        <f t="shared" si="94"/>
        <v>0</v>
      </c>
      <c r="I1937">
        <f>IF(AND(MyRowHidden(ROW())=FALSE,MyRowHidden(ROW()-1)=TRUE),0,(E1937-E1936)*unitsOfDHp+I1936)</f>
        <v>-3920</v>
      </c>
      <c r="J1937">
        <f>IF(AND(MyRowHidden(ROW())=FALSE,MyRowHidden(ROW()-1)=TRUE),0,(G1937-G1936)*unitsOfExo+J1936)</f>
        <v>50000</v>
      </c>
      <c r="K1937" s="9">
        <f t="shared" si="95"/>
        <v>50000</v>
      </c>
      <c r="L1937">
        <f t="shared" si="96"/>
        <v>46080</v>
      </c>
    </row>
    <row r="1938" spans="4:12" x14ac:dyDescent="0.25">
      <c r="D1938" s="1"/>
      <c r="E1938">
        <v>-5392</v>
      </c>
      <c r="F1938" s="1"/>
      <c r="H1938" s="1">
        <f t="shared" si="94"/>
        <v>0</v>
      </c>
      <c r="I1938">
        <f>IF(AND(MyRowHidden(ROW())=FALSE,MyRowHidden(ROW()-1)=TRUE),0,(E1938-E1937)*unitsOfDHp+I1937)</f>
        <v>-3920</v>
      </c>
      <c r="J1938">
        <f>IF(AND(MyRowHidden(ROW())=FALSE,MyRowHidden(ROW()-1)=TRUE),0,(G1938-G1937)*unitsOfExo+J1937)</f>
        <v>50000</v>
      </c>
      <c r="K1938" s="9">
        <f t="shared" si="95"/>
        <v>50000</v>
      </c>
      <c r="L1938">
        <f t="shared" si="96"/>
        <v>46080</v>
      </c>
    </row>
    <row r="1939" spans="4:12" x14ac:dyDescent="0.25">
      <c r="D1939" s="1"/>
      <c r="E1939">
        <v>-5392</v>
      </c>
      <c r="F1939" s="1"/>
      <c r="H1939" s="1">
        <f t="shared" si="94"/>
        <v>0</v>
      </c>
      <c r="I1939">
        <f>IF(AND(MyRowHidden(ROW())=FALSE,MyRowHidden(ROW()-1)=TRUE),0,(E1939-E1938)*unitsOfDHp+I1938)</f>
        <v>-3920</v>
      </c>
      <c r="J1939">
        <f>IF(AND(MyRowHidden(ROW())=FALSE,MyRowHidden(ROW()-1)=TRUE),0,(G1939-G1938)*unitsOfExo+J1938)</f>
        <v>50000</v>
      </c>
      <c r="K1939" s="9">
        <f t="shared" si="95"/>
        <v>50000</v>
      </c>
      <c r="L1939">
        <f t="shared" si="96"/>
        <v>46080</v>
      </c>
    </row>
    <row r="1940" spans="4:12" x14ac:dyDescent="0.25">
      <c r="D1940" s="1"/>
      <c r="E1940">
        <v>-5392</v>
      </c>
      <c r="F1940" s="1"/>
      <c r="H1940" s="1">
        <f t="shared" si="94"/>
        <v>0</v>
      </c>
      <c r="I1940">
        <f>IF(AND(MyRowHidden(ROW())=FALSE,MyRowHidden(ROW()-1)=TRUE),0,(E1940-E1939)*unitsOfDHp+I1939)</f>
        <v>-3920</v>
      </c>
      <c r="J1940">
        <f>IF(AND(MyRowHidden(ROW())=FALSE,MyRowHidden(ROW()-1)=TRUE),0,(G1940-G1939)*unitsOfExo+J1939)</f>
        <v>50000</v>
      </c>
      <c r="K1940" s="9">
        <f t="shared" si="95"/>
        <v>50000</v>
      </c>
      <c r="L1940">
        <f t="shared" si="96"/>
        <v>46080</v>
      </c>
    </row>
    <row r="1941" spans="4:12" x14ac:dyDescent="0.25">
      <c r="D1941" s="1"/>
      <c r="E1941">
        <v>-5392</v>
      </c>
      <c r="F1941" s="1"/>
      <c r="H1941" s="1">
        <f t="shared" si="94"/>
        <v>0</v>
      </c>
      <c r="I1941">
        <f>IF(AND(MyRowHidden(ROW())=FALSE,MyRowHidden(ROW()-1)=TRUE),0,(E1941-E1940)*unitsOfDHp+I1940)</f>
        <v>-3920</v>
      </c>
      <c r="J1941">
        <f>IF(AND(MyRowHidden(ROW())=FALSE,MyRowHidden(ROW()-1)=TRUE),0,(G1941-G1940)*unitsOfExo+J1940)</f>
        <v>50000</v>
      </c>
      <c r="K1941" s="9">
        <f t="shared" si="95"/>
        <v>50000</v>
      </c>
      <c r="L1941">
        <f t="shared" si="96"/>
        <v>46080</v>
      </c>
    </row>
    <row r="1942" spans="4:12" x14ac:dyDescent="0.25">
      <c r="D1942" s="1"/>
      <c r="E1942">
        <v>-5392</v>
      </c>
      <c r="F1942" s="1"/>
      <c r="H1942" s="1">
        <f t="shared" si="94"/>
        <v>0</v>
      </c>
      <c r="I1942">
        <f>IF(AND(MyRowHidden(ROW())=FALSE,MyRowHidden(ROW()-1)=TRUE),0,(E1942-E1941)*unitsOfDHp+I1941)</f>
        <v>-3920</v>
      </c>
      <c r="J1942">
        <f>IF(AND(MyRowHidden(ROW())=FALSE,MyRowHidden(ROW()-1)=TRUE),0,(G1942-G1941)*unitsOfExo+J1941)</f>
        <v>50000</v>
      </c>
      <c r="K1942" s="9">
        <f t="shared" si="95"/>
        <v>50000</v>
      </c>
      <c r="L1942">
        <f t="shared" si="96"/>
        <v>46080</v>
      </c>
    </row>
    <row r="1943" spans="4:12" x14ac:dyDescent="0.25">
      <c r="D1943" s="1"/>
      <c r="E1943">
        <v>-5392</v>
      </c>
      <c r="F1943" s="1"/>
      <c r="H1943" s="1">
        <f t="shared" si="94"/>
        <v>0</v>
      </c>
      <c r="I1943">
        <f>IF(AND(MyRowHidden(ROW())=FALSE,MyRowHidden(ROW()-1)=TRUE),0,(E1943-E1942)*unitsOfDHp+I1942)</f>
        <v>-3920</v>
      </c>
      <c r="J1943">
        <f>IF(AND(MyRowHidden(ROW())=FALSE,MyRowHidden(ROW()-1)=TRUE),0,(G1943-G1942)*unitsOfExo+J1942)</f>
        <v>50000</v>
      </c>
      <c r="K1943" s="9">
        <f t="shared" si="95"/>
        <v>50000</v>
      </c>
      <c r="L1943">
        <f t="shared" si="96"/>
        <v>46080</v>
      </c>
    </row>
    <row r="1944" spans="4:12" x14ac:dyDescent="0.25">
      <c r="D1944" s="1"/>
      <c r="E1944">
        <v>-5392</v>
      </c>
      <c r="F1944" s="1"/>
      <c r="H1944" s="1">
        <f t="shared" si="94"/>
        <v>0</v>
      </c>
      <c r="I1944">
        <f>IF(AND(MyRowHidden(ROW())=FALSE,MyRowHidden(ROW()-1)=TRUE),0,(E1944-E1943)*unitsOfDHp+I1943)</f>
        <v>-3920</v>
      </c>
      <c r="J1944">
        <f>IF(AND(MyRowHidden(ROW())=FALSE,MyRowHidden(ROW()-1)=TRUE),0,(G1944-G1943)*unitsOfExo+J1943)</f>
        <v>50000</v>
      </c>
      <c r="K1944" s="9">
        <f t="shared" si="95"/>
        <v>50000</v>
      </c>
      <c r="L1944">
        <f t="shared" si="96"/>
        <v>46080</v>
      </c>
    </row>
    <row r="1945" spans="4:12" x14ac:dyDescent="0.25">
      <c r="D1945" s="1"/>
      <c r="E1945">
        <v>-5392</v>
      </c>
      <c r="F1945" s="1"/>
      <c r="H1945" s="1">
        <f t="shared" si="94"/>
        <v>0</v>
      </c>
      <c r="I1945">
        <f>IF(AND(MyRowHidden(ROW())=FALSE,MyRowHidden(ROW()-1)=TRUE),0,(E1945-E1944)*unitsOfDHp+I1944)</f>
        <v>-3920</v>
      </c>
      <c r="J1945">
        <f>IF(AND(MyRowHidden(ROW())=FALSE,MyRowHidden(ROW()-1)=TRUE),0,(G1945-G1944)*unitsOfExo+J1944)</f>
        <v>50000</v>
      </c>
      <c r="K1945" s="9">
        <f t="shared" si="95"/>
        <v>50000</v>
      </c>
      <c r="L1945">
        <f t="shared" si="96"/>
        <v>46080</v>
      </c>
    </row>
    <row r="1946" spans="4:12" x14ac:dyDescent="0.25">
      <c r="D1946" s="1"/>
      <c r="E1946">
        <v>-5392</v>
      </c>
      <c r="F1946" s="1"/>
      <c r="H1946" s="1">
        <f t="shared" si="94"/>
        <v>0</v>
      </c>
      <c r="I1946">
        <f>IF(AND(MyRowHidden(ROW())=FALSE,MyRowHidden(ROW()-1)=TRUE),0,(E1946-E1945)*unitsOfDHp+I1945)</f>
        <v>-3920</v>
      </c>
      <c r="J1946">
        <f>IF(AND(MyRowHidden(ROW())=FALSE,MyRowHidden(ROW()-1)=TRUE),0,(G1946-G1945)*unitsOfExo+J1945)</f>
        <v>50000</v>
      </c>
      <c r="K1946" s="9">
        <f t="shared" si="95"/>
        <v>50000</v>
      </c>
      <c r="L1946">
        <f t="shared" si="96"/>
        <v>46080</v>
      </c>
    </row>
    <row r="1947" spans="4:12" x14ac:dyDescent="0.25">
      <c r="D1947" s="1"/>
      <c r="E1947">
        <v>-5392</v>
      </c>
      <c r="F1947" s="1"/>
      <c r="H1947" s="1">
        <f t="shared" si="94"/>
        <v>0</v>
      </c>
      <c r="I1947">
        <f>IF(AND(MyRowHidden(ROW())=FALSE,MyRowHidden(ROW()-1)=TRUE),0,(E1947-E1946)*unitsOfDHp+I1946)</f>
        <v>-3920</v>
      </c>
      <c r="J1947">
        <f>IF(AND(MyRowHidden(ROW())=FALSE,MyRowHidden(ROW()-1)=TRUE),0,(G1947-G1946)*unitsOfExo+J1946)</f>
        <v>50000</v>
      </c>
      <c r="K1947" s="9">
        <f t="shared" si="95"/>
        <v>50000</v>
      </c>
      <c r="L1947">
        <f t="shared" si="96"/>
        <v>46080</v>
      </c>
    </row>
    <row r="1948" spans="4:12" x14ac:dyDescent="0.25">
      <c r="D1948" s="1"/>
      <c r="E1948">
        <v>-5392</v>
      </c>
      <c r="F1948" s="1"/>
      <c r="H1948" s="1">
        <f t="shared" si="94"/>
        <v>0</v>
      </c>
      <c r="I1948">
        <f>IF(AND(MyRowHidden(ROW())=FALSE,MyRowHidden(ROW()-1)=TRUE),0,(E1948-E1947)*unitsOfDHp+I1947)</f>
        <v>-3920</v>
      </c>
      <c r="J1948">
        <f>IF(AND(MyRowHidden(ROW())=FALSE,MyRowHidden(ROW()-1)=TRUE),0,(G1948-G1947)*unitsOfExo+J1947)</f>
        <v>50000</v>
      </c>
      <c r="K1948" s="9">
        <f t="shared" si="95"/>
        <v>50000</v>
      </c>
      <c r="L1948">
        <f t="shared" si="96"/>
        <v>46080</v>
      </c>
    </row>
    <row r="1949" spans="4:12" x14ac:dyDescent="0.25">
      <c r="D1949" s="1"/>
      <c r="E1949">
        <v>-5392</v>
      </c>
      <c r="F1949" s="1"/>
      <c r="H1949" s="1">
        <f t="shared" si="94"/>
        <v>0</v>
      </c>
      <c r="I1949">
        <f>IF(AND(MyRowHidden(ROW())=FALSE,MyRowHidden(ROW()-1)=TRUE),0,(E1949-E1948)*unitsOfDHp+I1948)</f>
        <v>-3920</v>
      </c>
      <c r="J1949">
        <f>IF(AND(MyRowHidden(ROW())=FALSE,MyRowHidden(ROW()-1)=TRUE),0,(G1949-G1948)*unitsOfExo+J1948)</f>
        <v>50000</v>
      </c>
      <c r="K1949" s="9">
        <f t="shared" si="95"/>
        <v>50000</v>
      </c>
      <c r="L1949">
        <f t="shared" si="96"/>
        <v>46080</v>
      </c>
    </row>
    <row r="1950" spans="4:12" x14ac:dyDescent="0.25">
      <c r="D1950" s="1"/>
      <c r="E1950">
        <v>-5392</v>
      </c>
      <c r="F1950" s="1"/>
      <c r="H1950" s="1">
        <f t="shared" si="94"/>
        <v>0</v>
      </c>
      <c r="I1950">
        <f>IF(AND(MyRowHidden(ROW())=FALSE,MyRowHidden(ROW()-1)=TRUE),0,(E1950-E1949)*unitsOfDHp+I1949)</f>
        <v>-3920</v>
      </c>
      <c r="J1950">
        <f>IF(AND(MyRowHidden(ROW())=FALSE,MyRowHidden(ROW()-1)=TRUE),0,(G1950-G1949)*unitsOfExo+J1949)</f>
        <v>50000</v>
      </c>
      <c r="K1950" s="9">
        <f t="shared" si="95"/>
        <v>50000</v>
      </c>
      <c r="L1950">
        <f t="shared" si="96"/>
        <v>46080</v>
      </c>
    </row>
    <row r="1951" spans="4:12" x14ac:dyDescent="0.25">
      <c r="D1951" s="1"/>
      <c r="E1951">
        <v>-5392</v>
      </c>
      <c r="F1951" s="1"/>
      <c r="H1951" s="1">
        <f t="shared" si="94"/>
        <v>0</v>
      </c>
      <c r="I1951">
        <f>IF(AND(MyRowHidden(ROW())=FALSE,MyRowHidden(ROW()-1)=TRUE),0,(E1951-E1950)*unitsOfDHp+I1950)</f>
        <v>-3920</v>
      </c>
      <c r="J1951">
        <f>IF(AND(MyRowHidden(ROW())=FALSE,MyRowHidden(ROW()-1)=TRUE),0,(G1951-G1950)*unitsOfExo+J1950)</f>
        <v>50000</v>
      </c>
      <c r="K1951" s="9">
        <f t="shared" si="95"/>
        <v>50000</v>
      </c>
      <c r="L1951">
        <f t="shared" si="96"/>
        <v>46080</v>
      </c>
    </row>
    <row r="1952" spans="4:12" x14ac:dyDescent="0.25">
      <c r="D1952" s="1"/>
      <c r="E1952">
        <v>-5392</v>
      </c>
      <c r="F1952" s="1"/>
      <c r="H1952" s="1">
        <f t="shared" si="94"/>
        <v>0</v>
      </c>
      <c r="I1952">
        <f>IF(AND(MyRowHidden(ROW())=FALSE,MyRowHidden(ROW()-1)=TRUE),0,(E1952-E1951)*unitsOfDHp+I1951)</f>
        <v>-3920</v>
      </c>
      <c r="J1952">
        <f>IF(AND(MyRowHidden(ROW())=FALSE,MyRowHidden(ROW()-1)=TRUE),0,(G1952-G1951)*unitsOfExo+J1951)</f>
        <v>50000</v>
      </c>
      <c r="K1952" s="9">
        <f t="shared" si="95"/>
        <v>50000</v>
      </c>
      <c r="L1952">
        <f t="shared" si="96"/>
        <v>46080</v>
      </c>
    </row>
    <row r="1953" spans="4:12" x14ac:dyDescent="0.25">
      <c r="D1953" s="1"/>
      <c r="E1953">
        <v>-5392</v>
      </c>
      <c r="F1953" s="1"/>
      <c r="H1953" s="1">
        <f t="shared" si="94"/>
        <v>0</v>
      </c>
      <c r="I1953">
        <f>IF(AND(MyRowHidden(ROW())=FALSE,MyRowHidden(ROW()-1)=TRUE),0,(E1953-E1952)*unitsOfDHp+I1952)</f>
        <v>-3920</v>
      </c>
      <c r="J1953">
        <f>IF(AND(MyRowHidden(ROW())=FALSE,MyRowHidden(ROW()-1)=TRUE),0,(G1953-G1952)*unitsOfExo+J1952)</f>
        <v>50000</v>
      </c>
      <c r="K1953" s="9">
        <f t="shared" si="95"/>
        <v>50000</v>
      </c>
      <c r="L1953">
        <f t="shared" si="96"/>
        <v>46080</v>
      </c>
    </row>
    <row r="1954" spans="4:12" x14ac:dyDescent="0.25">
      <c r="D1954" s="1"/>
      <c r="E1954">
        <v>-5392</v>
      </c>
      <c r="F1954" s="1"/>
      <c r="H1954" s="1">
        <f t="shared" si="94"/>
        <v>0</v>
      </c>
      <c r="I1954">
        <f>IF(AND(MyRowHidden(ROW())=FALSE,MyRowHidden(ROW()-1)=TRUE),0,(E1954-E1953)*unitsOfDHp+I1953)</f>
        <v>-3920</v>
      </c>
      <c r="J1954">
        <f>IF(AND(MyRowHidden(ROW())=FALSE,MyRowHidden(ROW()-1)=TRUE),0,(G1954-G1953)*unitsOfExo+J1953)</f>
        <v>50000</v>
      </c>
      <c r="K1954" s="9">
        <f t="shared" si="95"/>
        <v>50000</v>
      </c>
      <c r="L1954">
        <f t="shared" si="96"/>
        <v>46080</v>
      </c>
    </row>
    <row r="1955" spans="4:12" x14ac:dyDescent="0.25">
      <c r="D1955" s="1"/>
      <c r="E1955">
        <v>-5392</v>
      </c>
      <c r="F1955" s="1"/>
      <c r="H1955" s="1">
        <f t="shared" si="94"/>
        <v>0</v>
      </c>
      <c r="I1955">
        <f>IF(AND(MyRowHidden(ROW())=FALSE,MyRowHidden(ROW()-1)=TRUE),0,(E1955-E1954)*unitsOfDHp+I1954)</f>
        <v>-3920</v>
      </c>
      <c r="J1955">
        <f>IF(AND(MyRowHidden(ROW())=FALSE,MyRowHidden(ROW()-1)=TRUE),0,(G1955-G1954)*unitsOfExo+J1954)</f>
        <v>50000</v>
      </c>
      <c r="K1955" s="9">
        <f t="shared" si="95"/>
        <v>50000</v>
      </c>
      <c r="L1955">
        <f t="shared" si="96"/>
        <v>46080</v>
      </c>
    </row>
    <row r="1956" spans="4:12" x14ac:dyDescent="0.25">
      <c r="D1956" s="1"/>
      <c r="E1956">
        <v>-5392</v>
      </c>
      <c r="F1956" s="1"/>
      <c r="H1956" s="1">
        <f t="shared" si="94"/>
        <v>0</v>
      </c>
      <c r="I1956">
        <f>IF(AND(MyRowHidden(ROW())=FALSE,MyRowHidden(ROW()-1)=TRUE),0,(E1956-E1955)*unitsOfDHp+I1955)</f>
        <v>-3920</v>
      </c>
      <c r="J1956">
        <f>IF(AND(MyRowHidden(ROW())=FALSE,MyRowHidden(ROW()-1)=TRUE),0,(G1956-G1955)*unitsOfExo+J1955)</f>
        <v>50000</v>
      </c>
      <c r="K1956" s="9">
        <f t="shared" si="95"/>
        <v>50000</v>
      </c>
      <c r="L1956">
        <f t="shared" si="96"/>
        <v>46080</v>
      </c>
    </row>
    <row r="1957" spans="4:12" x14ac:dyDescent="0.25">
      <c r="D1957" s="1"/>
      <c r="E1957">
        <v>-5392</v>
      </c>
      <c r="F1957" s="1"/>
      <c r="H1957" s="1">
        <f t="shared" si="94"/>
        <v>0</v>
      </c>
      <c r="I1957">
        <f>IF(AND(MyRowHidden(ROW())=FALSE,MyRowHidden(ROW()-1)=TRUE),0,(E1957-E1956)*unitsOfDHp+I1956)</f>
        <v>-3920</v>
      </c>
      <c r="J1957">
        <f>IF(AND(MyRowHidden(ROW())=FALSE,MyRowHidden(ROW()-1)=TRUE),0,(G1957-G1956)*unitsOfExo+J1956)</f>
        <v>50000</v>
      </c>
      <c r="K1957" s="9">
        <f t="shared" si="95"/>
        <v>50000</v>
      </c>
      <c r="L1957">
        <f t="shared" si="96"/>
        <v>46080</v>
      </c>
    </row>
    <row r="1958" spans="4:12" x14ac:dyDescent="0.25">
      <c r="D1958" s="1"/>
      <c r="E1958">
        <v>-5392</v>
      </c>
      <c r="F1958" s="1"/>
      <c r="H1958" s="1">
        <f t="shared" si="94"/>
        <v>0</v>
      </c>
      <c r="I1958">
        <f>IF(AND(MyRowHidden(ROW())=FALSE,MyRowHidden(ROW()-1)=TRUE),0,(E1958-E1957)*unitsOfDHp+I1957)</f>
        <v>-3920</v>
      </c>
      <c r="J1958">
        <f>IF(AND(MyRowHidden(ROW())=FALSE,MyRowHidden(ROW()-1)=TRUE),0,(G1958-G1957)*unitsOfExo+J1957)</f>
        <v>50000</v>
      </c>
      <c r="K1958" s="9">
        <f t="shared" si="95"/>
        <v>50000</v>
      </c>
      <c r="L1958">
        <f t="shared" si="96"/>
        <v>46080</v>
      </c>
    </row>
    <row r="1959" spans="4:12" x14ac:dyDescent="0.25">
      <c r="D1959" s="1"/>
      <c r="E1959">
        <v>-5392</v>
      </c>
      <c r="F1959" s="1"/>
      <c r="H1959" s="1">
        <f t="shared" si="94"/>
        <v>0</v>
      </c>
      <c r="I1959">
        <f>IF(AND(MyRowHidden(ROW())=FALSE,MyRowHidden(ROW()-1)=TRUE),0,(E1959-E1958)*unitsOfDHp+I1958)</f>
        <v>-3920</v>
      </c>
      <c r="J1959">
        <f>IF(AND(MyRowHidden(ROW())=FALSE,MyRowHidden(ROW()-1)=TRUE),0,(G1959-G1958)*unitsOfExo+J1958)</f>
        <v>50000</v>
      </c>
      <c r="K1959" s="9">
        <f t="shared" si="95"/>
        <v>50000</v>
      </c>
      <c r="L1959">
        <f t="shared" si="96"/>
        <v>46080</v>
      </c>
    </row>
    <row r="1960" spans="4:12" x14ac:dyDescent="0.25">
      <c r="D1960" s="1"/>
      <c r="E1960">
        <v>-5392</v>
      </c>
      <c r="F1960" s="1"/>
      <c r="H1960" s="1">
        <f t="shared" si="94"/>
        <v>0</v>
      </c>
      <c r="I1960">
        <f>IF(AND(MyRowHidden(ROW())=FALSE,MyRowHidden(ROW()-1)=TRUE),0,(E1960-E1959)*unitsOfDHp+I1959)</f>
        <v>-3920</v>
      </c>
      <c r="J1960">
        <f>IF(AND(MyRowHidden(ROW())=FALSE,MyRowHidden(ROW()-1)=TRUE),0,(G1960-G1959)*unitsOfExo+J1959)</f>
        <v>50000</v>
      </c>
      <c r="K1960" s="9">
        <f t="shared" si="95"/>
        <v>50000</v>
      </c>
      <c r="L1960">
        <f t="shared" si="96"/>
        <v>46080</v>
      </c>
    </row>
    <row r="1961" spans="4:12" x14ac:dyDescent="0.25">
      <c r="D1961" s="1"/>
      <c r="E1961">
        <v>-5392</v>
      </c>
      <c r="F1961" s="1"/>
      <c r="H1961" s="1">
        <f t="shared" si="94"/>
        <v>0</v>
      </c>
      <c r="I1961">
        <f>IF(AND(MyRowHidden(ROW())=FALSE,MyRowHidden(ROW()-1)=TRUE),0,(E1961-E1960)*unitsOfDHp+I1960)</f>
        <v>-3920</v>
      </c>
      <c r="J1961">
        <f>IF(AND(MyRowHidden(ROW())=FALSE,MyRowHidden(ROW()-1)=TRUE),0,(G1961-G1960)*unitsOfExo+J1960)</f>
        <v>50000</v>
      </c>
      <c r="K1961" s="9">
        <f t="shared" si="95"/>
        <v>50000</v>
      </c>
      <c r="L1961">
        <f t="shared" si="96"/>
        <v>46080</v>
      </c>
    </row>
    <row r="1962" spans="4:12" x14ac:dyDescent="0.25">
      <c r="D1962" s="1"/>
      <c r="E1962">
        <v>-5392</v>
      </c>
      <c r="F1962" s="1"/>
      <c r="H1962" s="1">
        <f t="shared" si="94"/>
        <v>0</v>
      </c>
      <c r="I1962">
        <f>IF(AND(MyRowHidden(ROW())=FALSE,MyRowHidden(ROW()-1)=TRUE),0,(E1962-E1961)*unitsOfDHp+I1961)</f>
        <v>-3920</v>
      </c>
      <c r="J1962">
        <f>IF(AND(MyRowHidden(ROW())=FALSE,MyRowHidden(ROW()-1)=TRUE),0,(G1962-G1961)*unitsOfExo+J1961)</f>
        <v>50000</v>
      </c>
      <c r="K1962" s="9">
        <f t="shared" si="95"/>
        <v>50000</v>
      </c>
      <c r="L1962">
        <f t="shared" si="96"/>
        <v>46080</v>
      </c>
    </row>
    <row r="1963" spans="4:12" x14ac:dyDescent="0.25">
      <c r="D1963" s="1"/>
      <c r="E1963">
        <v>-5392</v>
      </c>
      <c r="F1963" s="1"/>
      <c r="H1963" s="1">
        <f t="shared" si="94"/>
        <v>0</v>
      </c>
      <c r="I1963">
        <f>IF(AND(MyRowHidden(ROW())=FALSE,MyRowHidden(ROW()-1)=TRUE),0,(E1963-E1962)*unitsOfDHp+I1962)</f>
        <v>-3920</v>
      </c>
      <c r="J1963">
        <f>IF(AND(MyRowHidden(ROW())=FALSE,MyRowHidden(ROW()-1)=TRUE),0,(G1963-G1962)*unitsOfExo+J1962)</f>
        <v>50000</v>
      </c>
      <c r="K1963" s="9">
        <f t="shared" si="95"/>
        <v>50000</v>
      </c>
      <c r="L1963">
        <f t="shared" si="96"/>
        <v>46080</v>
      </c>
    </row>
    <row r="1964" spans="4:12" x14ac:dyDescent="0.25">
      <c r="D1964" s="1"/>
      <c r="E1964">
        <v>-5392</v>
      </c>
      <c r="F1964" s="1"/>
      <c r="H1964" s="1">
        <f t="shared" si="94"/>
        <v>0</v>
      </c>
      <c r="I1964">
        <f>IF(AND(MyRowHidden(ROW())=FALSE,MyRowHidden(ROW()-1)=TRUE),0,(E1964-E1963)*unitsOfDHp+I1963)</f>
        <v>-3920</v>
      </c>
      <c r="J1964">
        <f>IF(AND(MyRowHidden(ROW())=FALSE,MyRowHidden(ROW()-1)=TRUE),0,(G1964-G1963)*unitsOfExo+J1963)</f>
        <v>50000</v>
      </c>
      <c r="K1964" s="9">
        <f t="shared" si="95"/>
        <v>50000</v>
      </c>
      <c r="L1964">
        <f t="shared" si="96"/>
        <v>46080</v>
      </c>
    </row>
    <row r="1965" spans="4:12" x14ac:dyDescent="0.25">
      <c r="D1965" s="1"/>
      <c r="E1965">
        <v>-5392</v>
      </c>
      <c r="F1965" s="1"/>
      <c r="H1965" s="1">
        <f t="shared" si="94"/>
        <v>0</v>
      </c>
      <c r="I1965">
        <f>IF(AND(MyRowHidden(ROW())=FALSE,MyRowHidden(ROW()-1)=TRUE),0,(E1965-E1964)*unitsOfDHp+I1964)</f>
        <v>-3920</v>
      </c>
      <c r="J1965">
        <f>IF(AND(MyRowHidden(ROW())=FALSE,MyRowHidden(ROW()-1)=TRUE),0,(G1965-G1964)*unitsOfExo+J1964)</f>
        <v>50000</v>
      </c>
      <c r="K1965" s="9">
        <f t="shared" si="95"/>
        <v>50000</v>
      </c>
      <c r="L1965">
        <f t="shared" si="96"/>
        <v>46080</v>
      </c>
    </row>
    <row r="1966" spans="4:12" x14ac:dyDescent="0.25">
      <c r="D1966" s="1"/>
      <c r="E1966">
        <v>-5392</v>
      </c>
      <c r="F1966" s="1"/>
      <c r="H1966" s="1">
        <f t="shared" si="94"/>
        <v>0</v>
      </c>
      <c r="I1966">
        <f>IF(AND(MyRowHidden(ROW())=FALSE,MyRowHidden(ROW()-1)=TRUE),0,(E1966-E1965)*unitsOfDHp+I1965)</f>
        <v>-3920</v>
      </c>
      <c r="J1966">
        <f>IF(AND(MyRowHidden(ROW())=FALSE,MyRowHidden(ROW()-1)=TRUE),0,(G1966-G1965)*unitsOfExo+J1965)</f>
        <v>50000</v>
      </c>
      <c r="K1966" s="9">
        <f t="shared" si="95"/>
        <v>50000</v>
      </c>
      <c r="L1966">
        <f t="shared" si="96"/>
        <v>46080</v>
      </c>
    </row>
    <row r="1967" spans="4:12" x14ac:dyDescent="0.25">
      <c r="D1967" s="1"/>
      <c r="E1967">
        <v>-5392</v>
      </c>
      <c r="F1967" s="1"/>
      <c r="H1967" s="1">
        <f t="shared" si="94"/>
        <v>0</v>
      </c>
      <c r="I1967">
        <f>IF(AND(MyRowHidden(ROW())=FALSE,MyRowHidden(ROW()-1)=TRUE),0,(E1967-E1966)*unitsOfDHp+I1966)</f>
        <v>-3920</v>
      </c>
      <c r="J1967">
        <f>IF(AND(MyRowHidden(ROW())=FALSE,MyRowHidden(ROW()-1)=TRUE),0,(G1967-G1966)*unitsOfExo+J1966)</f>
        <v>50000</v>
      </c>
      <c r="K1967" s="9">
        <f t="shared" si="95"/>
        <v>50000</v>
      </c>
      <c r="L1967">
        <f t="shared" si="96"/>
        <v>46080</v>
      </c>
    </row>
    <row r="1968" spans="4:12" x14ac:dyDescent="0.25">
      <c r="D1968" s="1"/>
      <c r="E1968">
        <v>-5392</v>
      </c>
      <c r="F1968" s="1"/>
      <c r="H1968" s="1">
        <f t="shared" si="94"/>
        <v>0</v>
      </c>
      <c r="I1968">
        <f>IF(AND(MyRowHidden(ROW())=FALSE,MyRowHidden(ROW()-1)=TRUE),0,(E1968-E1967)*unitsOfDHp+I1967)</f>
        <v>-3920</v>
      </c>
      <c r="J1968">
        <f>IF(AND(MyRowHidden(ROW())=FALSE,MyRowHidden(ROW()-1)=TRUE),0,(G1968-G1967)*unitsOfExo+J1967)</f>
        <v>50000</v>
      </c>
      <c r="K1968" s="9">
        <f t="shared" si="95"/>
        <v>50000</v>
      </c>
      <c r="L1968">
        <f t="shared" si="96"/>
        <v>46080</v>
      </c>
    </row>
    <row r="1969" spans="4:12" x14ac:dyDescent="0.25">
      <c r="D1969" s="1"/>
      <c r="E1969">
        <v>-5392</v>
      </c>
      <c r="F1969" s="1"/>
      <c r="H1969" s="1">
        <f t="shared" si="94"/>
        <v>0</v>
      </c>
      <c r="I1969">
        <f>IF(AND(MyRowHidden(ROW())=FALSE,MyRowHidden(ROW()-1)=TRUE),0,(E1969-E1968)*unitsOfDHp+I1968)</f>
        <v>-3920</v>
      </c>
      <c r="J1969">
        <f>IF(AND(MyRowHidden(ROW())=FALSE,MyRowHidden(ROW()-1)=TRUE),0,(G1969-G1968)*unitsOfExo+J1968)</f>
        <v>50000</v>
      </c>
      <c r="K1969" s="9">
        <f t="shared" si="95"/>
        <v>50000</v>
      </c>
      <c r="L1969">
        <f t="shared" si="96"/>
        <v>46080</v>
      </c>
    </row>
    <row r="1970" spans="4:12" x14ac:dyDescent="0.25">
      <c r="D1970" s="1"/>
      <c r="E1970">
        <v>-5392</v>
      </c>
      <c r="F1970" s="1"/>
      <c r="H1970" s="1">
        <f t="shared" si="94"/>
        <v>0</v>
      </c>
      <c r="I1970">
        <f>IF(AND(MyRowHidden(ROW())=FALSE,MyRowHidden(ROW()-1)=TRUE),0,(E1970-E1969)*unitsOfDHp+I1969)</f>
        <v>-3920</v>
      </c>
      <c r="J1970">
        <f>IF(AND(MyRowHidden(ROW())=FALSE,MyRowHidden(ROW()-1)=TRUE),0,(G1970-G1969)*unitsOfExo+J1969)</f>
        <v>50000</v>
      </c>
      <c r="K1970" s="9">
        <f t="shared" si="95"/>
        <v>50000</v>
      </c>
      <c r="L1970">
        <f t="shared" si="96"/>
        <v>46080</v>
      </c>
    </row>
    <row r="1971" spans="4:12" x14ac:dyDescent="0.25">
      <c r="D1971" s="1"/>
      <c r="E1971">
        <v>-5392</v>
      </c>
      <c r="F1971" s="1"/>
      <c r="H1971" s="1">
        <f t="shared" si="94"/>
        <v>0</v>
      </c>
      <c r="I1971">
        <f>IF(AND(MyRowHidden(ROW())=FALSE,MyRowHidden(ROW()-1)=TRUE),0,(E1971-E1970)*unitsOfDHp+I1970)</f>
        <v>-3920</v>
      </c>
      <c r="J1971">
        <f>IF(AND(MyRowHidden(ROW())=FALSE,MyRowHidden(ROW()-1)=TRUE),0,(G1971-G1970)*unitsOfExo+J1970)</f>
        <v>50000</v>
      </c>
      <c r="K1971" s="9">
        <f t="shared" si="95"/>
        <v>50000</v>
      </c>
      <c r="L1971">
        <f t="shared" si="96"/>
        <v>46080</v>
      </c>
    </row>
    <row r="1972" spans="4:12" x14ac:dyDescent="0.25">
      <c r="D1972" s="1"/>
      <c r="E1972">
        <v>-5392</v>
      </c>
      <c r="F1972" s="1"/>
      <c r="H1972" s="1">
        <f t="shared" si="94"/>
        <v>0</v>
      </c>
      <c r="I1972">
        <f>IF(AND(MyRowHidden(ROW())=FALSE,MyRowHidden(ROW()-1)=TRUE),0,(E1972-E1971)*unitsOfDHp+I1971)</f>
        <v>-3920</v>
      </c>
      <c r="J1972">
        <f>IF(AND(MyRowHidden(ROW())=FALSE,MyRowHidden(ROW()-1)=TRUE),0,(G1972-G1971)*unitsOfExo+J1971)</f>
        <v>50000</v>
      </c>
      <c r="K1972" s="9">
        <f t="shared" si="95"/>
        <v>50000</v>
      </c>
      <c r="L1972">
        <f t="shared" si="96"/>
        <v>46080</v>
      </c>
    </row>
    <row r="1973" spans="4:12" x14ac:dyDescent="0.25">
      <c r="D1973" s="1"/>
      <c r="E1973">
        <v>-5392</v>
      </c>
      <c r="F1973" s="1"/>
      <c r="H1973" s="1">
        <f t="shared" si="94"/>
        <v>0</v>
      </c>
      <c r="I1973">
        <f>IF(AND(MyRowHidden(ROW())=FALSE,MyRowHidden(ROW()-1)=TRUE),0,(E1973-E1972)*unitsOfDHp+I1972)</f>
        <v>-3920</v>
      </c>
      <c r="J1973">
        <f>IF(AND(MyRowHidden(ROW())=FALSE,MyRowHidden(ROW()-1)=TRUE),0,(G1973-G1972)*unitsOfExo+J1972)</f>
        <v>50000</v>
      </c>
      <c r="K1973" s="9">
        <f t="shared" si="95"/>
        <v>50000</v>
      </c>
      <c r="L1973">
        <f t="shared" si="96"/>
        <v>46080</v>
      </c>
    </row>
    <row r="1974" spans="4:12" x14ac:dyDescent="0.25">
      <c r="D1974" s="1"/>
      <c r="E1974">
        <v>-5392</v>
      </c>
      <c r="F1974" s="1"/>
      <c r="H1974" s="1">
        <f t="shared" si="94"/>
        <v>0</v>
      </c>
      <c r="I1974">
        <f>IF(AND(MyRowHidden(ROW())=FALSE,MyRowHidden(ROW()-1)=TRUE),0,(E1974-E1973)*unitsOfDHp+I1973)</f>
        <v>-3920</v>
      </c>
      <c r="J1974">
        <f>IF(AND(MyRowHidden(ROW())=FALSE,MyRowHidden(ROW()-1)=TRUE),0,(G1974-G1973)*unitsOfExo+J1973)</f>
        <v>50000</v>
      </c>
      <c r="K1974" s="9">
        <f t="shared" si="95"/>
        <v>50000</v>
      </c>
      <c r="L1974">
        <f t="shared" si="96"/>
        <v>46080</v>
      </c>
    </row>
    <row r="1975" spans="4:12" x14ac:dyDescent="0.25">
      <c r="D1975" s="1"/>
      <c r="E1975">
        <v>-5392</v>
      </c>
      <c r="F1975" s="1"/>
      <c r="H1975" s="1">
        <f t="shared" si="94"/>
        <v>0</v>
      </c>
      <c r="I1975">
        <f>IF(AND(MyRowHidden(ROW())=FALSE,MyRowHidden(ROW()-1)=TRUE),0,(E1975-E1974)*unitsOfDHp+I1974)</f>
        <v>-3920</v>
      </c>
      <c r="J1975">
        <f>IF(AND(MyRowHidden(ROW())=FALSE,MyRowHidden(ROW()-1)=TRUE),0,(G1975-G1974)*unitsOfExo+J1974)</f>
        <v>50000</v>
      </c>
      <c r="K1975" s="9">
        <f t="shared" si="95"/>
        <v>50000</v>
      </c>
      <c r="L1975">
        <f t="shared" si="96"/>
        <v>46080</v>
      </c>
    </row>
    <row r="1976" spans="4:12" x14ac:dyDescent="0.25">
      <c r="D1976" s="1"/>
      <c r="E1976">
        <v>-5392</v>
      </c>
      <c r="F1976" s="1"/>
      <c r="H1976" s="1">
        <f t="shared" si="94"/>
        <v>0</v>
      </c>
      <c r="I1976">
        <f>IF(AND(MyRowHidden(ROW())=FALSE,MyRowHidden(ROW()-1)=TRUE),0,(E1976-E1975)*unitsOfDHp+I1975)</f>
        <v>-3920</v>
      </c>
      <c r="J1976">
        <f>IF(AND(MyRowHidden(ROW())=FALSE,MyRowHidden(ROW()-1)=TRUE),0,(G1976-G1975)*unitsOfExo+J1975)</f>
        <v>50000</v>
      </c>
      <c r="K1976" s="9">
        <f t="shared" si="95"/>
        <v>50000</v>
      </c>
      <c r="L1976">
        <f t="shared" si="96"/>
        <v>46080</v>
      </c>
    </row>
    <row r="1977" spans="4:12" x14ac:dyDescent="0.25">
      <c r="D1977" s="1"/>
      <c r="E1977">
        <v>-5392</v>
      </c>
      <c r="F1977" s="1"/>
      <c r="H1977" s="1">
        <f t="shared" si="94"/>
        <v>0</v>
      </c>
      <c r="I1977">
        <f>IF(AND(MyRowHidden(ROW())=FALSE,MyRowHidden(ROW()-1)=TRUE),0,(E1977-E1976)*unitsOfDHp+I1976)</f>
        <v>-3920</v>
      </c>
      <c r="J1977">
        <f>IF(AND(MyRowHidden(ROW())=FALSE,MyRowHidden(ROW()-1)=TRUE),0,(G1977-G1976)*unitsOfExo+J1976)</f>
        <v>50000</v>
      </c>
      <c r="K1977" s="9">
        <f t="shared" si="95"/>
        <v>50000</v>
      </c>
      <c r="L1977">
        <f t="shared" si="96"/>
        <v>46080</v>
      </c>
    </row>
    <row r="1978" spans="4:12" x14ac:dyDescent="0.25">
      <c r="D1978" s="1"/>
      <c r="E1978">
        <v>-5392</v>
      </c>
      <c r="F1978" s="1"/>
      <c r="H1978" s="1">
        <f t="shared" si="94"/>
        <v>0</v>
      </c>
      <c r="I1978">
        <f>IF(AND(MyRowHidden(ROW())=FALSE,MyRowHidden(ROW()-1)=TRUE),0,(E1978-E1977)*unitsOfDHp+I1977)</f>
        <v>-3920</v>
      </c>
      <c r="J1978">
        <f>IF(AND(MyRowHidden(ROW())=FALSE,MyRowHidden(ROW()-1)=TRUE),0,(G1978-G1977)*unitsOfExo+J1977)</f>
        <v>50000</v>
      </c>
      <c r="K1978" s="9">
        <f t="shared" si="95"/>
        <v>50000</v>
      </c>
      <c r="L1978">
        <f t="shared" si="96"/>
        <v>46080</v>
      </c>
    </row>
    <row r="1979" spans="4:12" x14ac:dyDescent="0.25">
      <c r="D1979" s="1"/>
      <c r="E1979">
        <v>-5392</v>
      </c>
      <c r="F1979" s="1"/>
      <c r="H1979" s="1">
        <f t="shared" si="94"/>
        <v>0</v>
      </c>
      <c r="I1979">
        <f>IF(AND(MyRowHidden(ROW())=FALSE,MyRowHidden(ROW()-1)=TRUE),0,(E1979-E1978)*unitsOfDHp+I1978)</f>
        <v>-3920</v>
      </c>
      <c r="J1979">
        <f>IF(AND(MyRowHidden(ROW())=FALSE,MyRowHidden(ROW()-1)=TRUE),0,(G1979-G1978)*unitsOfExo+J1978)</f>
        <v>50000</v>
      </c>
      <c r="K1979" s="9">
        <f t="shared" si="95"/>
        <v>50000</v>
      </c>
      <c r="L1979">
        <f t="shared" si="96"/>
        <v>46080</v>
      </c>
    </row>
    <row r="1980" spans="4:12" x14ac:dyDescent="0.25">
      <c r="D1980" s="1"/>
      <c r="E1980">
        <v>-5392</v>
      </c>
      <c r="F1980" s="1"/>
      <c r="H1980" s="1">
        <f t="shared" si="94"/>
        <v>0</v>
      </c>
      <c r="I1980">
        <f>IF(AND(MyRowHidden(ROW())=FALSE,MyRowHidden(ROW()-1)=TRUE),0,(E1980-E1979)*unitsOfDHp+I1979)</f>
        <v>-3920</v>
      </c>
      <c r="J1980">
        <f>IF(AND(MyRowHidden(ROW())=FALSE,MyRowHidden(ROW()-1)=TRUE),0,(G1980-G1979)*unitsOfExo+J1979)</f>
        <v>50000</v>
      </c>
      <c r="K1980" s="9">
        <f t="shared" si="95"/>
        <v>50000</v>
      </c>
      <c r="L1980">
        <f t="shared" si="96"/>
        <v>46080</v>
      </c>
    </row>
    <row r="1981" spans="4:12" x14ac:dyDescent="0.25">
      <c r="D1981" s="1"/>
      <c r="E1981">
        <v>-5392</v>
      </c>
      <c r="F1981" s="1"/>
      <c r="H1981" s="1">
        <f t="shared" si="94"/>
        <v>0</v>
      </c>
      <c r="I1981">
        <f>IF(AND(MyRowHidden(ROW())=FALSE,MyRowHidden(ROW()-1)=TRUE),0,(E1981-E1980)*unitsOfDHp+I1980)</f>
        <v>-3920</v>
      </c>
      <c r="J1981">
        <f>IF(AND(MyRowHidden(ROW())=FALSE,MyRowHidden(ROW()-1)=TRUE),0,(G1981-G1980)*unitsOfExo+J1980)</f>
        <v>50000</v>
      </c>
      <c r="K1981" s="9">
        <f t="shared" si="95"/>
        <v>50000</v>
      </c>
      <c r="L1981">
        <f t="shared" si="96"/>
        <v>46080</v>
      </c>
    </row>
    <row r="1982" spans="4:12" x14ac:dyDescent="0.25">
      <c r="D1982" s="1"/>
      <c r="E1982">
        <v>-5392</v>
      </c>
      <c r="F1982" s="1"/>
      <c r="H1982" s="1">
        <f t="shared" si="94"/>
        <v>0</v>
      </c>
      <c r="I1982">
        <f>IF(AND(MyRowHidden(ROW())=FALSE,MyRowHidden(ROW()-1)=TRUE),0,(E1982-E1981)*unitsOfDHp+I1981)</f>
        <v>-3920</v>
      </c>
      <c r="J1982">
        <f>IF(AND(MyRowHidden(ROW())=FALSE,MyRowHidden(ROW()-1)=TRUE),0,(G1982-G1981)*unitsOfExo+J1981)</f>
        <v>50000</v>
      </c>
      <c r="K1982" s="9">
        <f t="shared" si="95"/>
        <v>50000</v>
      </c>
      <c r="L1982">
        <f t="shared" si="96"/>
        <v>46080</v>
      </c>
    </row>
    <row r="1983" spans="4:12" x14ac:dyDescent="0.25">
      <c r="D1983" s="1"/>
      <c r="E1983">
        <v>-5392</v>
      </c>
      <c r="F1983" s="1"/>
      <c r="H1983" s="1">
        <f t="shared" si="94"/>
        <v>0</v>
      </c>
      <c r="I1983">
        <f>IF(AND(MyRowHidden(ROW())=FALSE,MyRowHidden(ROW()-1)=TRUE),0,(E1983-E1982)*unitsOfDHp+I1982)</f>
        <v>-3920</v>
      </c>
      <c r="J1983">
        <f>IF(AND(MyRowHidden(ROW())=FALSE,MyRowHidden(ROW()-1)=TRUE),0,(G1983-G1982)*unitsOfExo+J1982)</f>
        <v>50000</v>
      </c>
      <c r="K1983" s="9">
        <f t="shared" si="95"/>
        <v>50000</v>
      </c>
      <c r="L1983">
        <f t="shared" si="96"/>
        <v>46080</v>
      </c>
    </row>
    <row r="1984" spans="4:12" x14ac:dyDescent="0.25">
      <c r="D1984" s="1"/>
      <c r="E1984">
        <v>-5392</v>
      </c>
      <c r="F1984" s="1"/>
      <c r="H1984" s="1">
        <f t="shared" si="94"/>
        <v>0</v>
      </c>
      <c r="I1984">
        <f>IF(AND(MyRowHidden(ROW())=FALSE,MyRowHidden(ROW()-1)=TRUE),0,(E1984-E1983)*unitsOfDHp+I1983)</f>
        <v>-3920</v>
      </c>
      <c r="J1984">
        <f>IF(AND(MyRowHidden(ROW())=FALSE,MyRowHidden(ROW()-1)=TRUE),0,(G1984-G1983)*unitsOfExo+J1983)</f>
        <v>50000</v>
      </c>
      <c r="K1984" s="9">
        <f t="shared" si="95"/>
        <v>50000</v>
      </c>
      <c r="L1984">
        <f t="shared" si="96"/>
        <v>46080</v>
      </c>
    </row>
    <row r="1985" spans="4:12" x14ac:dyDescent="0.25">
      <c r="D1985" s="1"/>
      <c r="E1985">
        <v>-5392</v>
      </c>
      <c r="F1985" s="1"/>
      <c r="H1985" s="1">
        <f t="shared" si="94"/>
        <v>0</v>
      </c>
      <c r="I1985">
        <f>IF(AND(MyRowHidden(ROW())=FALSE,MyRowHidden(ROW()-1)=TRUE),0,(E1985-E1984)*unitsOfDHp+I1984)</f>
        <v>-3920</v>
      </c>
      <c r="J1985">
        <f>IF(AND(MyRowHidden(ROW())=FALSE,MyRowHidden(ROW()-1)=TRUE),0,(G1985-G1984)*unitsOfExo+J1984)</f>
        <v>50000</v>
      </c>
      <c r="K1985" s="9">
        <f t="shared" si="95"/>
        <v>50000</v>
      </c>
      <c r="L1985">
        <f t="shared" si="96"/>
        <v>46080</v>
      </c>
    </row>
    <row r="1986" spans="4:12" x14ac:dyDescent="0.25">
      <c r="D1986" s="1"/>
      <c r="E1986">
        <v>-5392</v>
      </c>
      <c r="F1986" s="1"/>
      <c r="H1986" s="1">
        <f t="shared" si="94"/>
        <v>0</v>
      </c>
      <c r="I1986">
        <f>IF(AND(MyRowHidden(ROW())=FALSE,MyRowHidden(ROW()-1)=TRUE),0,(E1986-E1985)*unitsOfDHp+I1985)</f>
        <v>-3920</v>
      </c>
      <c r="J1986">
        <f>IF(AND(MyRowHidden(ROW())=FALSE,MyRowHidden(ROW()-1)=TRUE),0,(G1986-G1985)*unitsOfExo+J1985)</f>
        <v>50000</v>
      </c>
      <c r="K1986" s="9">
        <f t="shared" si="95"/>
        <v>50000</v>
      </c>
      <c r="L1986">
        <f t="shared" si="96"/>
        <v>46080</v>
      </c>
    </row>
    <row r="1987" spans="4:12" x14ac:dyDescent="0.25">
      <c r="D1987" s="1"/>
      <c r="E1987">
        <v>-5392</v>
      </c>
      <c r="F1987" s="1"/>
      <c r="H1987" s="1">
        <f t="shared" si="94"/>
        <v>0</v>
      </c>
      <c r="I1987">
        <f>IF(AND(MyRowHidden(ROW())=FALSE,MyRowHidden(ROW()-1)=TRUE),0,(E1987-E1986)*unitsOfDHp+I1986)</f>
        <v>-3920</v>
      </c>
      <c r="J1987">
        <f>IF(AND(MyRowHidden(ROW())=FALSE,MyRowHidden(ROW()-1)=TRUE),0,(G1987-G1986)*unitsOfExo+J1986)</f>
        <v>50000</v>
      </c>
      <c r="K1987" s="9">
        <f t="shared" si="95"/>
        <v>50000</v>
      </c>
      <c r="L1987">
        <f t="shared" si="96"/>
        <v>46080</v>
      </c>
    </row>
    <row r="1988" spans="4:12" x14ac:dyDescent="0.25">
      <c r="D1988" s="1"/>
      <c r="E1988">
        <v>-5392</v>
      </c>
      <c r="F1988" s="1"/>
      <c r="H1988" s="1">
        <f t="shared" si="94"/>
        <v>0</v>
      </c>
      <c r="I1988">
        <f>IF(AND(MyRowHidden(ROW())=FALSE,MyRowHidden(ROW()-1)=TRUE),0,(E1988-E1987)*unitsOfDHp+I1987)</f>
        <v>-3920</v>
      </c>
      <c r="J1988">
        <f>IF(AND(MyRowHidden(ROW())=FALSE,MyRowHidden(ROW()-1)=TRUE),0,(G1988-G1987)*unitsOfExo+J1987)</f>
        <v>50000</v>
      </c>
      <c r="K1988" s="9">
        <f t="shared" si="95"/>
        <v>50000</v>
      </c>
      <c r="L1988">
        <f t="shared" si="96"/>
        <v>46080</v>
      </c>
    </row>
    <row r="1989" spans="4:12" x14ac:dyDescent="0.25">
      <c r="D1989" s="1"/>
      <c r="E1989">
        <v>-5392</v>
      </c>
      <c r="F1989" s="1"/>
      <c r="H1989" s="1">
        <f t="shared" si="94"/>
        <v>0</v>
      </c>
      <c r="I1989">
        <f>IF(AND(MyRowHidden(ROW())=FALSE,MyRowHidden(ROW()-1)=TRUE),0,(E1989-E1988)*unitsOfDHp+I1988)</f>
        <v>-3920</v>
      </c>
      <c r="J1989">
        <f>IF(AND(MyRowHidden(ROW())=FALSE,MyRowHidden(ROW()-1)=TRUE),0,(G1989-G1988)*unitsOfExo+J1988)</f>
        <v>50000</v>
      </c>
      <c r="K1989" s="9">
        <f t="shared" si="95"/>
        <v>50000</v>
      </c>
      <c r="L1989">
        <f t="shared" si="96"/>
        <v>46080</v>
      </c>
    </row>
    <row r="1990" spans="4:12" x14ac:dyDescent="0.25">
      <c r="D1990" s="1"/>
      <c r="E1990">
        <v>-5392</v>
      </c>
      <c r="F1990" s="1"/>
      <c r="H1990" s="1">
        <f t="shared" si="94"/>
        <v>0</v>
      </c>
      <c r="I1990">
        <f>IF(AND(MyRowHidden(ROW())=FALSE,MyRowHidden(ROW()-1)=TRUE),0,(E1990-E1989)*unitsOfDHp+I1989)</f>
        <v>-3920</v>
      </c>
      <c r="J1990">
        <f>IF(AND(MyRowHidden(ROW())=FALSE,MyRowHidden(ROW()-1)=TRUE),0,(G1990-G1989)*unitsOfExo+J1989)</f>
        <v>50000</v>
      </c>
      <c r="K1990" s="9">
        <f t="shared" si="95"/>
        <v>50000</v>
      </c>
      <c r="L1990">
        <f t="shared" si="96"/>
        <v>46080</v>
      </c>
    </row>
    <row r="1991" spans="4:12" x14ac:dyDescent="0.25">
      <c r="D1991" s="1"/>
      <c r="E1991">
        <v>-5392</v>
      </c>
      <c r="F1991" s="1"/>
      <c r="H1991" s="1">
        <f t="shared" si="94"/>
        <v>0</v>
      </c>
      <c r="I1991">
        <f>IF(AND(MyRowHidden(ROW())=FALSE,MyRowHidden(ROW()-1)=TRUE),0,(E1991-E1990)*unitsOfDHp+I1990)</f>
        <v>-3920</v>
      </c>
      <c r="J1991">
        <f>IF(AND(MyRowHidden(ROW())=FALSE,MyRowHidden(ROW()-1)=TRUE),0,(G1991-G1990)*unitsOfExo+J1990)</f>
        <v>50000</v>
      </c>
      <c r="K1991" s="9">
        <f t="shared" si="95"/>
        <v>50000</v>
      </c>
      <c r="L1991">
        <f t="shared" si="96"/>
        <v>46080</v>
      </c>
    </row>
    <row r="1992" spans="4:12" x14ac:dyDescent="0.25">
      <c r="D1992" s="1"/>
      <c r="E1992">
        <v>-5392</v>
      </c>
      <c r="F1992" s="1"/>
      <c r="H1992" s="1">
        <f t="shared" si="94"/>
        <v>0</v>
      </c>
      <c r="I1992">
        <f>IF(AND(MyRowHidden(ROW())=FALSE,MyRowHidden(ROW()-1)=TRUE),0,(E1992-E1991)*unitsOfDHp+I1991)</f>
        <v>-3920</v>
      </c>
      <c r="J1992">
        <f>IF(AND(MyRowHidden(ROW())=FALSE,MyRowHidden(ROW()-1)=TRUE),0,(G1992-G1991)*unitsOfExo+J1991)</f>
        <v>50000</v>
      </c>
      <c r="K1992" s="9">
        <f t="shared" si="95"/>
        <v>50000</v>
      </c>
      <c r="L1992">
        <f t="shared" si="96"/>
        <v>46080</v>
      </c>
    </row>
    <row r="1993" spans="4:12" x14ac:dyDescent="0.25">
      <c r="D1993" s="1"/>
      <c r="E1993">
        <v>-5392</v>
      </c>
      <c r="F1993" s="1"/>
      <c r="H1993" s="1">
        <f t="shared" si="94"/>
        <v>0</v>
      </c>
      <c r="I1993">
        <f>IF(AND(MyRowHidden(ROW())=FALSE,MyRowHidden(ROW()-1)=TRUE),0,(E1993-E1992)*unitsOfDHp+I1992)</f>
        <v>-3920</v>
      </c>
      <c r="J1993">
        <f>IF(AND(MyRowHidden(ROW())=FALSE,MyRowHidden(ROW()-1)=TRUE),0,(G1993-G1992)*unitsOfExo+J1992)</f>
        <v>50000</v>
      </c>
      <c r="K1993" s="9">
        <f t="shared" si="95"/>
        <v>50000</v>
      </c>
      <c r="L1993">
        <f t="shared" si="96"/>
        <v>46080</v>
      </c>
    </row>
    <row r="1994" spans="4:12" x14ac:dyDescent="0.25">
      <c r="D1994" s="1"/>
      <c r="E1994">
        <v>-5392</v>
      </c>
      <c r="F1994" s="1"/>
      <c r="H1994" s="1">
        <f t="shared" si="94"/>
        <v>0</v>
      </c>
      <c r="I1994">
        <f>IF(AND(MyRowHidden(ROW())=FALSE,MyRowHidden(ROW()-1)=TRUE),0,(E1994-E1993)*unitsOfDHp+I1993)</f>
        <v>-3920</v>
      </c>
      <c r="J1994">
        <f>IF(AND(MyRowHidden(ROW())=FALSE,MyRowHidden(ROW()-1)=TRUE),0,(G1994-G1993)*unitsOfExo+J1993)</f>
        <v>50000</v>
      </c>
      <c r="K1994" s="9">
        <f t="shared" si="95"/>
        <v>50000</v>
      </c>
      <c r="L1994">
        <f t="shared" si="96"/>
        <v>46080</v>
      </c>
    </row>
    <row r="1995" spans="4:12" x14ac:dyDescent="0.25">
      <c r="D1995" s="1"/>
      <c r="E1995">
        <v>-5392</v>
      </c>
      <c r="F1995" s="1"/>
      <c r="H1995" s="1">
        <f t="shared" si="94"/>
        <v>0</v>
      </c>
      <c r="I1995">
        <f>IF(AND(MyRowHidden(ROW())=FALSE,MyRowHidden(ROW()-1)=TRUE),0,(E1995-E1994)*unitsOfDHp+I1994)</f>
        <v>-3920</v>
      </c>
      <c r="J1995">
        <f>IF(AND(MyRowHidden(ROW())=FALSE,MyRowHidden(ROW()-1)=TRUE),0,(G1995-G1994)*unitsOfExo+J1994)</f>
        <v>50000</v>
      </c>
      <c r="K1995" s="9">
        <f t="shared" si="95"/>
        <v>50000</v>
      </c>
      <c r="L1995">
        <f t="shared" si="96"/>
        <v>46080</v>
      </c>
    </row>
    <row r="1996" spans="4:12" x14ac:dyDescent="0.25">
      <c r="D1996" s="1"/>
      <c r="E1996">
        <v>-5392</v>
      </c>
      <c r="F1996" s="1"/>
      <c r="H1996" s="1">
        <f t="shared" si="94"/>
        <v>0</v>
      </c>
      <c r="I1996">
        <f>IF(AND(MyRowHidden(ROW())=FALSE,MyRowHidden(ROW()-1)=TRUE),0,(E1996-E1995)*unitsOfDHp+I1995)</f>
        <v>-3920</v>
      </c>
      <c r="J1996">
        <f>IF(AND(MyRowHidden(ROW())=FALSE,MyRowHidden(ROW()-1)=TRUE),0,(G1996-G1995)*unitsOfExo+J1995)</f>
        <v>50000</v>
      </c>
      <c r="K1996" s="9">
        <f t="shared" si="95"/>
        <v>50000</v>
      </c>
      <c r="L1996">
        <f t="shared" si="96"/>
        <v>46080</v>
      </c>
    </row>
    <row r="1997" spans="4:12" x14ac:dyDescent="0.25">
      <c r="D1997" s="1"/>
      <c r="E1997">
        <v>-5392</v>
      </c>
      <c r="F1997" s="1"/>
      <c r="H1997" s="1">
        <f t="shared" ref="H1997:H2060" si="97">D1997</f>
        <v>0</v>
      </c>
      <c r="I1997">
        <f>IF(AND(MyRowHidden(ROW())=FALSE,MyRowHidden(ROW()-1)=TRUE),0,(E1997-E1996)*unitsOfDHp+I1996)</f>
        <v>-3920</v>
      </c>
      <c r="J1997">
        <f>IF(AND(MyRowHidden(ROW())=FALSE,MyRowHidden(ROW()-1)=TRUE),0,(G1997-G1996)*unitsOfExo+J1996)</f>
        <v>50000</v>
      </c>
      <c r="K1997" s="9">
        <f t="shared" ref="K1997:K2060" si="98">-(J1997-J1996)+K1996</f>
        <v>50000</v>
      </c>
      <c r="L1997">
        <f t="shared" ref="L1997:L2060" si="99">I1997+J1997</f>
        <v>46080</v>
      </c>
    </row>
    <row r="1998" spans="4:12" x14ac:dyDescent="0.25">
      <c r="D1998" s="1"/>
      <c r="E1998">
        <v>-5392</v>
      </c>
      <c r="F1998" s="1"/>
      <c r="H1998" s="1">
        <f t="shared" si="97"/>
        <v>0</v>
      </c>
      <c r="I1998">
        <f>IF(AND(MyRowHidden(ROW())=FALSE,MyRowHidden(ROW()-1)=TRUE),0,(E1998-E1997)*unitsOfDHp+I1997)</f>
        <v>-3920</v>
      </c>
      <c r="J1998">
        <f>IF(AND(MyRowHidden(ROW())=FALSE,MyRowHidden(ROW()-1)=TRUE),0,(G1998-G1997)*unitsOfExo+J1997)</f>
        <v>50000</v>
      </c>
      <c r="K1998" s="9">
        <f t="shared" si="98"/>
        <v>50000</v>
      </c>
      <c r="L1998">
        <f t="shared" si="99"/>
        <v>46080</v>
      </c>
    </row>
    <row r="1999" spans="4:12" x14ac:dyDescent="0.25">
      <c r="D1999" s="1"/>
      <c r="E1999">
        <v>-5392</v>
      </c>
      <c r="F1999" s="1"/>
      <c r="H1999" s="1">
        <f t="shared" si="97"/>
        <v>0</v>
      </c>
      <c r="I1999">
        <f>IF(AND(MyRowHidden(ROW())=FALSE,MyRowHidden(ROW()-1)=TRUE),0,(E1999-E1998)*unitsOfDHp+I1998)</f>
        <v>-3920</v>
      </c>
      <c r="J1999">
        <f>IF(AND(MyRowHidden(ROW())=FALSE,MyRowHidden(ROW()-1)=TRUE),0,(G1999-G1998)*unitsOfExo+J1998)</f>
        <v>50000</v>
      </c>
      <c r="K1999" s="9">
        <f t="shared" si="98"/>
        <v>50000</v>
      </c>
      <c r="L1999">
        <f t="shared" si="99"/>
        <v>46080</v>
      </c>
    </row>
    <row r="2000" spans="4:12" x14ac:dyDescent="0.25">
      <c r="D2000" s="1"/>
      <c r="E2000">
        <v>-5392</v>
      </c>
      <c r="F2000" s="1"/>
      <c r="H2000" s="1">
        <f t="shared" si="97"/>
        <v>0</v>
      </c>
      <c r="I2000">
        <f>IF(AND(MyRowHidden(ROW())=FALSE,MyRowHidden(ROW()-1)=TRUE),0,(E2000-E1999)*unitsOfDHp+I1999)</f>
        <v>-3920</v>
      </c>
      <c r="J2000">
        <f>IF(AND(MyRowHidden(ROW())=FALSE,MyRowHidden(ROW()-1)=TRUE),0,(G2000-G1999)*unitsOfExo+J1999)</f>
        <v>50000</v>
      </c>
      <c r="K2000" s="9">
        <f t="shared" si="98"/>
        <v>50000</v>
      </c>
      <c r="L2000">
        <f t="shared" si="99"/>
        <v>46080</v>
      </c>
    </row>
    <row r="2001" spans="4:12" x14ac:dyDescent="0.25">
      <c r="D2001" s="1"/>
      <c r="E2001">
        <v>-5392</v>
      </c>
      <c r="F2001" s="1"/>
      <c r="H2001" s="1">
        <f t="shared" si="97"/>
        <v>0</v>
      </c>
      <c r="I2001">
        <f>IF(AND(MyRowHidden(ROW())=FALSE,MyRowHidden(ROW()-1)=TRUE),0,(E2001-E2000)*unitsOfDHp+I2000)</f>
        <v>-3920</v>
      </c>
      <c r="J2001">
        <f>IF(AND(MyRowHidden(ROW())=FALSE,MyRowHidden(ROW()-1)=TRUE),0,(G2001-G2000)*unitsOfExo+J2000)</f>
        <v>50000</v>
      </c>
      <c r="K2001" s="9">
        <f t="shared" si="98"/>
        <v>50000</v>
      </c>
      <c r="L2001">
        <f t="shared" si="99"/>
        <v>46080</v>
      </c>
    </row>
    <row r="2002" spans="4:12" x14ac:dyDescent="0.25">
      <c r="D2002" s="1"/>
      <c r="E2002">
        <v>-5392</v>
      </c>
      <c r="F2002" s="1"/>
      <c r="H2002" s="1">
        <f t="shared" si="97"/>
        <v>0</v>
      </c>
      <c r="I2002">
        <f>IF(AND(MyRowHidden(ROW())=FALSE,MyRowHidden(ROW()-1)=TRUE),0,(E2002-E2001)*unitsOfDHp+I2001)</f>
        <v>-3920</v>
      </c>
      <c r="J2002">
        <f>IF(AND(MyRowHidden(ROW())=FALSE,MyRowHidden(ROW()-1)=TRUE),0,(G2002-G2001)*unitsOfExo+J2001)</f>
        <v>50000</v>
      </c>
      <c r="K2002" s="9">
        <f t="shared" si="98"/>
        <v>50000</v>
      </c>
      <c r="L2002">
        <f t="shared" si="99"/>
        <v>46080</v>
      </c>
    </row>
    <row r="2003" spans="4:12" x14ac:dyDescent="0.25">
      <c r="D2003" s="1"/>
      <c r="E2003">
        <v>-5392</v>
      </c>
      <c r="F2003" s="1"/>
      <c r="H2003" s="1">
        <f t="shared" si="97"/>
        <v>0</v>
      </c>
      <c r="I2003">
        <f>IF(AND(MyRowHidden(ROW())=FALSE,MyRowHidden(ROW()-1)=TRUE),0,(E2003-E2002)*unitsOfDHp+I2002)</f>
        <v>-3920</v>
      </c>
      <c r="J2003">
        <f>IF(AND(MyRowHidden(ROW())=FALSE,MyRowHidden(ROW()-1)=TRUE),0,(G2003-G2002)*unitsOfExo+J2002)</f>
        <v>50000</v>
      </c>
      <c r="K2003" s="9">
        <f t="shared" si="98"/>
        <v>50000</v>
      </c>
      <c r="L2003">
        <f t="shared" si="99"/>
        <v>46080</v>
      </c>
    </row>
    <row r="2004" spans="4:12" x14ac:dyDescent="0.25">
      <c r="D2004" s="1"/>
      <c r="E2004">
        <v>-5392</v>
      </c>
      <c r="F2004" s="1"/>
      <c r="H2004" s="1">
        <f t="shared" si="97"/>
        <v>0</v>
      </c>
      <c r="I2004">
        <f>IF(AND(MyRowHidden(ROW())=FALSE,MyRowHidden(ROW()-1)=TRUE),0,(E2004-E2003)*unitsOfDHp+I2003)</f>
        <v>-3920</v>
      </c>
      <c r="J2004">
        <f>IF(AND(MyRowHidden(ROW())=FALSE,MyRowHidden(ROW()-1)=TRUE),0,(G2004-G2003)*unitsOfExo+J2003)</f>
        <v>50000</v>
      </c>
      <c r="K2004" s="9">
        <f t="shared" si="98"/>
        <v>50000</v>
      </c>
      <c r="L2004">
        <f t="shared" si="99"/>
        <v>46080</v>
      </c>
    </row>
    <row r="2005" spans="4:12" x14ac:dyDescent="0.25">
      <c r="D2005" s="1"/>
      <c r="E2005">
        <v>-5392</v>
      </c>
      <c r="F2005" s="1"/>
      <c r="H2005" s="1">
        <f t="shared" si="97"/>
        <v>0</v>
      </c>
      <c r="I2005">
        <f>IF(AND(MyRowHidden(ROW())=FALSE,MyRowHidden(ROW()-1)=TRUE),0,(E2005-E2004)*unitsOfDHp+I2004)</f>
        <v>-3920</v>
      </c>
      <c r="J2005">
        <f>IF(AND(MyRowHidden(ROW())=FALSE,MyRowHidden(ROW()-1)=TRUE),0,(G2005-G2004)*unitsOfExo+J2004)</f>
        <v>50000</v>
      </c>
      <c r="K2005" s="9">
        <f t="shared" si="98"/>
        <v>50000</v>
      </c>
      <c r="L2005">
        <f t="shared" si="99"/>
        <v>46080</v>
      </c>
    </row>
    <row r="2006" spans="4:12" x14ac:dyDescent="0.25">
      <c r="D2006" s="1"/>
      <c r="E2006">
        <v>-5392</v>
      </c>
      <c r="F2006" s="1"/>
      <c r="H2006" s="1">
        <f t="shared" si="97"/>
        <v>0</v>
      </c>
      <c r="I2006">
        <f>IF(AND(MyRowHidden(ROW())=FALSE,MyRowHidden(ROW()-1)=TRUE),0,(E2006-E2005)*unitsOfDHp+I2005)</f>
        <v>-3920</v>
      </c>
      <c r="J2006">
        <f>IF(AND(MyRowHidden(ROW())=FALSE,MyRowHidden(ROW()-1)=TRUE),0,(G2006-G2005)*unitsOfExo+J2005)</f>
        <v>50000</v>
      </c>
      <c r="K2006" s="9">
        <f t="shared" si="98"/>
        <v>50000</v>
      </c>
      <c r="L2006">
        <f t="shared" si="99"/>
        <v>46080</v>
      </c>
    </row>
    <row r="2007" spans="4:12" x14ac:dyDescent="0.25">
      <c r="D2007" s="1"/>
      <c r="E2007">
        <v>-5392</v>
      </c>
      <c r="F2007" s="1"/>
      <c r="H2007" s="1">
        <f t="shared" si="97"/>
        <v>0</v>
      </c>
      <c r="I2007">
        <f>IF(AND(MyRowHidden(ROW())=FALSE,MyRowHidden(ROW()-1)=TRUE),0,(E2007-E2006)*unitsOfDHp+I2006)</f>
        <v>-3920</v>
      </c>
      <c r="J2007">
        <f>IF(AND(MyRowHidden(ROW())=FALSE,MyRowHidden(ROW()-1)=TRUE),0,(G2007-G2006)*unitsOfExo+J2006)</f>
        <v>50000</v>
      </c>
      <c r="K2007" s="9">
        <f t="shared" si="98"/>
        <v>50000</v>
      </c>
      <c r="L2007">
        <f t="shared" si="99"/>
        <v>46080</v>
      </c>
    </row>
    <row r="2008" spans="4:12" x14ac:dyDescent="0.25">
      <c r="D2008" s="1"/>
      <c r="E2008">
        <v>-5392</v>
      </c>
      <c r="F2008" s="1"/>
      <c r="H2008" s="1">
        <f t="shared" si="97"/>
        <v>0</v>
      </c>
      <c r="I2008">
        <f>IF(AND(MyRowHidden(ROW())=FALSE,MyRowHidden(ROW()-1)=TRUE),0,(E2008-E2007)*unitsOfDHp+I2007)</f>
        <v>-3920</v>
      </c>
      <c r="J2008">
        <f>IF(AND(MyRowHidden(ROW())=FALSE,MyRowHidden(ROW()-1)=TRUE),0,(G2008-G2007)*unitsOfExo+J2007)</f>
        <v>50000</v>
      </c>
      <c r="K2008" s="9">
        <f t="shared" si="98"/>
        <v>50000</v>
      </c>
      <c r="L2008">
        <f t="shared" si="99"/>
        <v>46080</v>
      </c>
    </row>
    <row r="2009" spans="4:12" x14ac:dyDescent="0.25">
      <c r="D2009" s="1"/>
      <c r="E2009">
        <v>-5392</v>
      </c>
      <c r="F2009" s="1"/>
      <c r="H2009" s="1">
        <f t="shared" si="97"/>
        <v>0</v>
      </c>
      <c r="I2009">
        <f>IF(AND(MyRowHidden(ROW())=FALSE,MyRowHidden(ROW()-1)=TRUE),0,(E2009-E2008)*unitsOfDHp+I2008)</f>
        <v>-3920</v>
      </c>
      <c r="J2009">
        <f>IF(AND(MyRowHidden(ROW())=FALSE,MyRowHidden(ROW()-1)=TRUE),0,(G2009-G2008)*unitsOfExo+J2008)</f>
        <v>50000</v>
      </c>
      <c r="K2009" s="9">
        <f t="shared" si="98"/>
        <v>50000</v>
      </c>
      <c r="L2009">
        <f t="shared" si="99"/>
        <v>46080</v>
      </c>
    </row>
    <row r="2010" spans="4:12" x14ac:dyDescent="0.25">
      <c r="D2010" s="1"/>
      <c r="E2010">
        <v>-5392</v>
      </c>
      <c r="F2010" s="1"/>
      <c r="H2010" s="1">
        <f t="shared" si="97"/>
        <v>0</v>
      </c>
      <c r="I2010">
        <f>IF(AND(MyRowHidden(ROW())=FALSE,MyRowHidden(ROW()-1)=TRUE),0,(E2010-E2009)*unitsOfDHp+I2009)</f>
        <v>-3920</v>
      </c>
      <c r="J2010">
        <f>IF(AND(MyRowHidden(ROW())=FALSE,MyRowHidden(ROW()-1)=TRUE),0,(G2010-G2009)*unitsOfExo+J2009)</f>
        <v>50000</v>
      </c>
      <c r="K2010" s="9">
        <f t="shared" si="98"/>
        <v>50000</v>
      </c>
      <c r="L2010">
        <f t="shared" si="99"/>
        <v>46080</v>
      </c>
    </row>
    <row r="2011" spans="4:12" x14ac:dyDescent="0.25">
      <c r="D2011" s="1"/>
      <c r="E2011">
        <v>-5392</v>
      </c>
      <c r="F2011" s="1"/>
      <c r="H2011" s="1">
        <f t="shared" si="97"/>
        <v>0</v>
      </c>
      <c r="I2011">
        <f>IF(AND(MyRowHidden(ROW())=FALSE,MyRowHidden(ROW()-1)=TRUE),0,(E2011-E2010)*unitsOfDHp+I2010)</f>
        <v>-3920</v>
      </c>
      <c r="J2011">
        <f>IF(AND(MyRowHidden(ROW())=FALSE,MyRowHidden(ROW()-1)=TRUE),0,(G2011-G2010)*unitsOfExo+J2010)</f>
        <v>50000</v>
      </c>
      <c r="K2011" s="9">
        <f t="shared" si="98"/>
        <v>50000</v>
      </c>
      <c r="L2011">
        <f t="shared" si="99"/>
        <v>46080</v>
      </c>
    </row>
    <row r="2012" spans="4:12" x14ac:dyDescent="0.25">
      <c r="D2012" s="1"/>
      <c r="E2012">
        <v>-5392</v>
      </c>
      <c r="F2012" s="1"/>
      <c r="H2012" s="1">
        <f t="shared" si="97"/>
        <v>0</v>
      </c>
      <c r="I2012">
        <f>IF(AND(MyRowHidden(ROW())=FALSE,MyRowHidden(ROW()-1)=TRUE),0,(E2012-E2011)*unitsOfDHp+I2011)</f>
        <v>-3920</v>
      </c>
      <c r="J2012">
        <f>IF(AND(MyRowHidden(ROW())=FALSE,MyRowHidden(ROW()-1)=TRUE),0,(G2012-G2011)*unitsOfExo+J2011)</f>
        <v>50000</v>
      </c>
      <c r="K2012" s="9">
        <f t="shared" si="98"/>
        <v>50000</v>
      </c>
      <c r="L2012">
        <f t="shared" si="99"/>
        <v>46080</v>
      </c>
    </row>
    <row r="2013" spans="4:12" x14ac:dyDescent="0.25">
      <c r="D2013" s="1"/>
      <c r="E2013">
        <v>-5392</v>
      </c>
      <c r="F2013" s="1"/>
      <c r="H2013" s="1">
        <f t="shared" si="97"/>
        <v>0</v>
      </c>
      <c r="I2013">
        <f>IF(AND(MyRowHidden(ROW())=FALSE,MyRowHidden(ROW()-1)=TRUE),0,(E2013-E2012)*unitsOfDHp+I2012)</f>
        <v>-3920</v>
      </c>
      <c r="J2013">
        <f>IF(AND(MyRowHidden(ROW())=FALSE,MyRowHidden(ROW()-1)=TRUE),0,(G2013-G2012)*unitsOfExo+J2012)</f>
        <v>50000</v>
      </c>
      <c r="K2013" s="9">
        <f t="shared" si="98"/>
        <v>50000</v>
      </c>
      <c r="L2013">
        <f t="shared" si="99"/>
        <v>46080</v>
      </c>
    </row>
    <row r="2014" spans="4:12" x14ac:dyDescent="0.25">
      <c r="D2014" s="1"/>
      <c r="E2014">
        <v>-5392</v>
      </c>
      <c r="F2014" s="1"/>
      <c r="H2014" s="1">
        <f t="shared" si="97"/>
        <v>0</v>
      </c>
      <c r="I2014">
        <f>IF(AND(MyRowHidden(ROW())=FALSE,MyRowHidden(ROW()-1)=TRUE),0,(E2014-E2013)*unitsOfDHp+I2013)</f>
        <v>-3920</v>
      </c>
      <c r="J2014">
        <f>IF(AND(MyRowHidden(ROW())=FALSE,MyRowHidden(ROW()-1)=TRUE),0,(G2014-G2013)*unitsOfExo+J2013)</f>
        <v>50000</v>
      </c>
      <c r="K2014" s="9">
        <f t="shared" si="98"/>
        <v>50000</v>
      </c>
      <c r="L2014">
        <f t="shared" si="99"/>
        <v>46080</v>
      </c>
    </row>
    <row r="2015" spans="4:12" x14ac:dyDescent="0.25">
      <c r="D2015" s="1"/>
      <c r="E2015">
        <v>-5392</v>
      </c>
      <c r="F2015" s="1"/>
      <c r="H2015" s="1">
        <f t="shared" si="97"/>
        <v>0</v>
      </c>
      <c r="I2015">
        <f>IF(AND(MyRowHidden(ROW())=FALSE,MyRowHidden(ROW()-1)=TRUE),0,(E2015-E2014)*unitsOfDHp+I2014)</f>
        <v>-3920</v>
      </c>
      <c r="J2015">
        <f>IF(AND(MyRowHidden(ROW())=FALSE,MyRowHidden(ROW()-1)=TRUE),0,(G2015-G2014)*unitsOfExo+J2014)</f>
        <v>50000</v>
      </c>
      <c r="K2015" s="9">
        <f t="shared" si="98"/>
        <v>50000</v>
      </c>
      <c r="L2015">
        <f t="shared" si="99"/>
        <v>46080</v>
      </c>
    </row>
    <row r="2016" spans="4:12" x14ac:dyDescent="0.25">
      <c r="D2016" s="1"/>
      <c r="E2016">
        <v>-5392</v>
      </c>
      <c r="F2016" s="1"/>
      <c r="H2016" s="1">
        <f t="shared" si="97"/>
        <v>0</v>
      </c>
      <c r="I2016">
        <f>IF(AND(MyRowHidden(ROW())=FALSE,MyRowHidden(ROW()-1)=TRUE),0,(E2016-E2015)*unitsOfDHp+I2015)</f>
        <v>-3920</v>
      </c>
      <c r="J2016">
        <f>IF(AND(MyRowHidden(ROW())=FALSE,MyRowHidden(ROW()-1)=TRUE),0,(G2016-G2015)*unitsOfExo+J2015)</f>
        <v>50000</v>
      </c>
      <c r="K2016" s="9">
        <f t="shared" si="98"/>
        <v>50000</v>
      </c>
      <c r="L2016">
        <f t="shared" si="99"/>
        <v>46080</v>
      </c>
    </row>
    <row r="2017" spans="4:12" x14ac:dyDescent="0.25">
      <c r="D2017" s="1"/>
      <c r="E2017">
        <v>-5392</v>
      </c>
      <c r="F2017" s="1"/>
      <c r="H2017" s="1">
        <f t="shared" si="97"/>
        <v>0</v>
      </c>
      <c r="I2017">
        <f>IF(AND(MyRowHidden(ROW())=FALSE,MyRowHidden(ROW()-1)=TRUE),0,(E2017-E2016)*unitsOfDHp+I2016)</f>
        <v>-3920</v>
      </c>
      <c r="J2017">
        <f>IF(AND(MyRowHidden(ROW())=FALSE,MyRowHidden(ROW()-1)=TRUE),0,(G2017-G2016)*unitsOfExo+J2016)</f>
        <v>50000</v>
      </c>
      <c r="K2017" s="9">
        <f t="shared" si="98"/>
        <v>50000</v>
      </c>
      <c r="L2017">
        <f t="shared" si="99"/>
        <v>46080</v>
      </c>
    </row>
    <row r="2018" spans="4:12" x14ac:dyDescent="0.25">
      <c r="D2018" s="1"/>
      <c r="E2018">
        <v>-5392</v>
      </c>
      <c r="F2018" s="1"/>
      <c r="H2018" s="1">
        <f t="shared" si="97"/>
        <v>0</v>
      </c>
      <c r="I2018">
        <f>IF(AND(MyRowHidden(ROW())=FALSE,MyRowHidden(ROW()-1)=TRUE),0,(E2018-E2017)*unitsOfDHp+I2017)</f>
        <v>-3920</v>
      </c>
      <c r="J2018">
        <f>IF(AND(MyRowHidden(ROW())=FALSE,MyRowHidden(ROW()-1)=TRUE),0,(G2018-G2017)*unitsOfExo+J2017)</f>
        <v>50000</v>
      </c>
      <c r="K2018" s="9">
        <f t="shared" si="98"/>
        <v>50000</v>
      </c>
      <c r="L2018">
        <f t="shared" si="99"/>
        <v>46080</v>
      </c>
    </row>
    <row r="2019" spans="4:12" x14ac:dyDescent="0.25">
      <c r="D2019" s="1"/>
      <c r="E2019">
        <v>-5392</v>
      </c>
      <c r="F2019" s="1"/>
      <c r="H2019" s="1">
        <f t="shared" si="97"/>
        <v>0</v>
      </c>
      <c r="I2019">
        <f>IF(AND(MyRowHidden(ROW())=FALSE,MyRowHidden(ROW()-1)=TRUE),0,(E2019-E2018)*unitsOfDHp+I2018)</f>
        <v>-3920</v>
      </c>
      <c r="J2019">
        <f>IF(AND(MyRowHidden(ROW())=FALSE,MyRowHidden(ROW()-1)=TRUE),0,(G2019-G2018)*unitsOfExo+J2018)</f>
        <v>50000</v>
      </c>
      <c r="K2019" s="9">
        <f t="shared" si="98"/>
        <v>50000</v>
      </c>
      <c r="L2019">
        <f t="shared" si="99"/>
        <v>46080</v>
      </c>
    </row>
    <row r="2020" spans="4:12" x14ac:dyDescent="0.25">
      <c r="D2020" s="1"/>
      <c r="E2020">
        <v>-5392</v>
      </c>
      <c r="F2020" s="1"/>
      <c r="H2020" s="1">
        <f t="shared" si="97"/>
        <v>0</v>
      </c>
      <c r="I2020">
        <f>IF(AND(MyRowHidden(ROW())=FALSE,MyRowHidden(ROW()-1)=TRUE),0,(E2020-E2019)*unitsOfDHp+I2019)</f>
        <v>-3920</v>
      </c>
      <c r="J2020">
        <f>IF(AND(MyRowHidden(ROW())=FALSE,MyRowHidden(ROW()-1)=TRUE),0,(G2020-G2019)*unitsOfExo+J2019)</f>
        <v>50000</v>
      </c>
      <c r="K2020" s="9">
        <f t="shared" si="98"/>
        <v>50000</v>
      </c>
      <c r="L2020">
        <f t="shared" si="99"/>
        <v>46080</v>
      </c>
    </row>
    <row r="2021" spans="4:12" x14ac:dyDescent="0.25">
      <c r="D2021" s="1"/>
      <c r="E2021">
        <v>-5392</v>
      </c>
      <c r="F2021" s="1"/>
      <c r="H2021" s="1">
        <f t="shared" si="97"/>
        <v>0</v>
      </c>
      <c r="I2021">
        <f>IF(AND(MyRowHidden(ROW())=FALSE,MyRowHidden(ROW()-1)=TRUE),0,(E2021-E2020)*unitsOfDHp+I2020)</f>
        <v>-3920</v>
      </c>
      <c r="J2021">
        <f>IF(AND(MyRowHidden(ROW())=FALSE,MyRowHidden(ROW()-1)=TRUE),0,(G2021-G2020)*unitsOfExo+J2020)</f>
        <v>50000</v>
      </c>
      <c r="K2021" s="9">
        <f t="shared" si="98"/>
        <v>50000</v>
      </c>
      <c r="L2021">
        <f t="shared" si="99"/>
        <v>46080</v>
      </c>
    </row>
    <row r="2022" spans="4:12" x14ac:dyDescent="0.25">
      <c r="D2022" s="1"/>
      <c r="E2022">
        <v>-5392</v>
      </c>
      <c r="F2022" s="1"/>
      <c r="H2022" s="1">
        <f t="shared" si="97"/>
        <v>0</v>
      </c>
      <c r="I2022">
        <f>IF(AND(MyRowHidden(ROW())=FALSE,MyRowHidden(ROW()-1)=TRUE),0,(E2022-E2021)*unitsOfDHp+I2021)</f>
        <v>-3920</v>
      </c>
      <c r="J2022">
        <f>IF(AND(MyRowHidden(ROW())=FALSE,MyRowHidden(ROW()-1)=TRUE),0,(G2022-G2021)*unitsOfExo+J2021)</f>
        <v>50000</v>
      </c>
      <c r="K2022" s="9">
        <f t="shared" si="98"/>
        <v>50000</v>
      </c>
      <c r="L2022">
        <f t="shared" si="99"/>
        <v>46080</v>
      </c>
    </row>
    <row r="2023" spans="4:12" x14ac:dyDescent="0.25">
      <c r="D2023" s="1"/>
      <c r="E2023">
        <v>-5392</v>
      </c>
      <c r="F2023" s="1"/>
      <c r="H2023" s="1">
        <f t="shared" si="97"/>
        <v>0</v>
      </c>
      <c r="I2023">
        <f>IF(AND(MyRowHidden(ROW())=FALSE,MyRowHidden(ROW()-1)=TRUE),0,(E2023-E2022)*unitsOfDHp+I2022)</f>
        <v>-3920</v>
      </c>
      <c r="J2023">
        <f>IF(AND(MyRowHidden(ROW())=FALSE,MyRowHidden(ROW()-1)=TRUE),0,(G2023-G2022)*unitsOfExo+J2022)</f>
        <v>50000</v>
      </c>
      <c r="K2023" s="9">
        <f t="shared" si="98"/>
        <v>50000</v>
      </c>
      <c r="L2023">
        <f t="shared" si="99"/>
        <v>46080</v>
      </c>
    </row>
    <row r="2024" spans="4:12" x14ac:dyDescent="0.25">
      <c r="D2024" s="1"/>
      <c r="E2024">
        <v>-5392</v>
      </c>
      <c r="F2024" s="1"/>
      <c r="H2024" s="1">
        <f t="shared" si="97"/>
        <v>0</v>
      </c>
      <c r="I2024">
        <f>IF(AND(MyRowHidden(ROW())=FALSE,MyRowHidden(ROW()-1)=TRUE),0,(E2024-E2023)*unitsOfDHp+I2023)</f>
        <v>-3920</v>
      </c>
      <c r="J2024">
        <f>IF(AND(MyRowHidden(ROW())=FALSE,MyRowHidden(ROW()-1)=TRUE),0,(G2024-G2023)*unitsOfExo+J2023)</f>
        <v>50000</v>
      </c>
      <c r="K2024" s="9">
        <f t="shared" si="98"/>
        <v>50000</v>
      </c>
      <c r="L2024">
        <f t="shared" si="99"/>
        <v>46080</v>
      </c>
    </row>
    <row r="2025" spans="4:12" x14ac:dyDescent="0.25">
      <c r="D2025" s="1"/>
      <c r="E2025">
        <v>-5392</v>
      </c>
      <c r="F2025" s="1"/>
      <c r="H2025" s="1">
        <f t="shared" si="97"/>
        <v>0</v>
      </c>
      <c r="I2025">
        <f>IF(AND(MyRowHidden(ROW())=FALSE,MyRowHidden(ROW()-1)=TRUE),0,(E2025-E2024)*unitsOfDHp+I2024)</f>
        <v>-3920</v>
      </c>
      <c r="J2025">
        <f>IF(AND(MyRowHidden(ROW())=FALSE,MyRowHidden(ROW()-1)=TRUE),0,(G2025-G2024)*unitsOfExo+J2024)</f>
        <v>50000</v>
      </c>
      <c r="K2025" s="9">
        <f t="shared" si="98"/>
        <v>50000</v>
      </c>
      <c r="L2025">
        <f t="shared" si="99"/>
        <v>46080</v>
      </c>
    </row>
    <row r="2026" spans="4:12" x14ac:dyDescent="0.25">
      <c r="D2026" s="1"/>
      <c r="E2026">
        <v>-5392</v>
      </c>
      <c r="F2026" s="1"/>
      <c r="H2026" s="1">
        <f t="shared" si="97"/>
        <v>0</v>
      </c>
      <c r="I2026">
        <f>IF(AND(MyRowHidden(ROW())=FALSE,MyRowHidden(ROW()-1)=TRUE),0,(E2026-E2025)*unitsOfDHp+I2025)</f>
        <v>-3920</v>
      </c>
      <c r="J2026">
        <f>IF(AND(MyRowHidden(ROW())=FALSE,MyRowHidden(ROW()-1)=TRUE),0,(G2026-G2025)*unitsOfExo+J2025)</f>
        <v>50000</v>
      </c>
      <c r="K2026" s="9">
        <f t="shared" si="98"/>
        <v>50000</v>
      </c>
      <c r="L2026">
        <f t="shared" si="99"/>
        <v>46080</v>
      </c>
    </row>
    <row r="2027" spans="4:12" x14ac:dyDescent="0.25">
      <c r="D2027" s="1"/>
      <c r="E2027">
        <v>-5392</v>
      </c>
      <c r="F2027" s="1"/>
      <c r="H2027" s="1">
        <f t="shared" si="97"/>
        <v>0</v>
      </c>
      <c r="I2027">
        <f>IF(AND(MyRowHidden(ROW())=FALSE,MyRowHidden(ROW()-1)=TRUE),0,(E2027-E2026)*unitsOfDHp+I2026)</f>
        <v>-3920</v>
      </c>
      <c r="J2027">
        <f>IF(AND(MyRowHidden(ROW())=FALSE,MyRowHidden(ROW()-1)=TRUE),0,(G2027-G2026)*unitsOfExo+J2026)</f>
        <v>50000</v>
      </c>
      <c r="K2027" s="9">
        <f t="shared" si="98"/>
        <v>50000</v>
      </c>
      <c r="L2027">
        <f t="shared" si="99"/>
        <v>46080</v>
      </c>
    </row>
    <row r="2028" spans="4:12" x14ac:dyDescent="0.25">
      <c r="D2028" s="1"/>
      <c r="E2028">
        <v>-5392</v>
      </c>
      <c r="F2028" s="1"/>
      <c r="H2028" s="1">
        <f t="shared" si="97"/>
        <v>0</v>
      </c>
      <c r="I2028">
        <f>IF(AND(MyRowHidden(ROW())=FALSE,MyRowHidden(ROW()-1)=TRUE),0,(E2028-E2027)*unitsOfDHp+I2027)</f>
        <v>-3920</v>
      </c>
      <c r="J2028">
        <f>IF(AND(MyRowHidden(ROW())=FALSE,MyRowHidden(ROW()-1)=TRUE),0,(G2028-G2027)*unitsOfExo+J2027)</f>
        <v>50000</v>
      </c>
      <c r="K2028" s="9">
        <f t="shared" si="98"/>
        <v>50000</v>
      </c>
      <c r="L2028">
        <f t="shared" si="99"/>
        <v>46080</v>
      </c>
    </row>
    <row r="2029" spans="4:12" x14ac:dyDescent="0.25">
      <c r="D2029" s="1"/>
      <c r="E2029">
        <v>-5392</v>
      </c>
      <c r="F2029" s="1"/>
      <c r="H2029" s="1">
        <f t="shared" si="97"/>
        <v>0</v>
      </c>
      <c r="I2029">
        <f>IF(AND(MyRowHidden(ROW())=FALSE,MyRowHidden(ROW()-1)=TRUE),0,(E2029-E2028)*unitsOfDHp+I2028)</f>
        <v>-3920</v>
      </c>
      <c r="J2029">
        <f>IF(AND(MyRowHidden(ROW())=FALSE,MyRowHidden(ROW()-1)=TRUE),0,(G2029-G2028)*unitsOfExo+J2028)</f>
        <v>50000</v>
      </c>
      <c r="K2029" s="9">
        <f t="shared" si="98"/>
        <v>50000</v>
      </c>
      <c r="L2029">
        <f t="shared" si="99"/>
        <v>46080</v>
      </c>
    </row>
    <row r="2030" spans="4:12" x14ac:dyDescent="0.25">
      <c r="D2030" s="1"/>
      <c r="E2030">
        <v>-5392</v>
      </c>
      <c r="F2030" s="1"/>
      <c r="H2030" s="1">
        <f t="shared" si="97"/>
        <v>0</v>
      </c>
      <c r="I2030">
        <f>IF(AND(MyRowHidden(ROW())=FALSE,MyRowHidden(ROW()-1)=TRUE),0,(E2030-E2029)*unitsOfDHp+I2029)</f>
        <v>-3920</v>
      </c>
      <c r="J2030">
        <f>IF(AND(MyRowHidden(ROW())=FALSE,MyRowHidden(ROW()-1)=TRUE),0,(G2030-G2029)*unitsOfExo+J2029)</f>
        <v>50000</v>
      </c>
      <c r="K2030" s="9">
        <f t="shared" si="98"/>
        <v>50000</v>
      </c>
      <c r="L2030">
        <f t="shared" si="99"/>
        <v>46080</v>
      </c>
    </row>
    <row r="2031" spans="4:12" x14ac:dyDescent="0.25">
      <c r="D2031" s="1"/>
      <c r="E2031">
        <v>-5392</v>
      </c>
      <c r="F2031" s="1"/>
      <c r="H2031" s="1">
        <f t="shared" si="97"/>
        <v>0</v>
      </c>
      <c r="I2031">
        <f>IF(AND(MyRowHidden(ROW())=FALSE,MyRowHidden(ROW()-1)=TRUE),0,(E2031-E2030)*unitsOfDHp+I2030)</f>
        <v>-3920</v>
      </c>
      <c r="J2031">
        <f>IF(AND(MyRowHidden(ROW())=FALSE,MyRowHidden(ROW()-1)=TRUE),0,(G2031-G2030)*unitsOfExo+J2030)</f>
        <v>50000</v>
      </c>
      <c r="K2031" s="9">
        <f t="shared" si="98"/>
        <v>50000</v>
      </c>
      <c r="L2031">
        <f t="shared" si="99"/>
        <v>46080</v>
      </c>
    </row>
    <row r="2032" spans="4:12" x14ac:dyDescent="0.25">
      <c r="D2032" s="1"/>
      <c r="E2032">
        <v>-5392</v>
      </c>
      <c r="F2032" s="1"/>
      <c r="H2032" s="1">
        <f t="shared" si="97"/>
        <v>0</v>
      </c>
      <c r="I2032">
        <f>IF(AND(MyRowHidden(ROW())=FALSE,MyRowHidden(ROW()-1)=TRUE),0,(E2032-E2031)*unitsOfDHp+I2031)</f>
        <v>-3920</v>
      </c>
      <c r="J2032">
        <f>IF(AND(MyRowHidden(ROW())=FALSE,MyRowHidden(ROW()-1)=TRUE),0,(G2032-G2031)*unitsOfExo+J2031)</f>
        <v>50000</v>
      </c>
      <c r="K2032" s="9">
        <f t="shared" si="98"/>
        <v>50000</v>
      </c>
      <c r="L2032">
        <f t="shared" si="99"/>
        <v>46080</v>
      </c>
    </row>
    <row r="2033" spans="4:12" x14ac:dyDescent="0.25">
      <c r="D2033" s="1"/>
      <c r="E2033">
        <v>-5392</v>
      </c>
      <c r="F2033" s="1"/>
      <c r="H2033" s="1">
        <f t="shared" si="97"/>
        <v>0</v>
      </c>
      <c r="I2033">
        <f>IF(AND(MyRowHidden(ROW())=FALSE,MyRowHidden(ROW()-1)=TRUE),0,(E2033-E2032)*unitsOfDHp+I2032)</f>
        <v>-3920</v>
      </c>
      <c r="J2033">
        <f>IF(AND(MyRowHidden(ROW())=FALSE,MyRowHidden(ROW()-1)=TRUE),0,(G2033-G2032)*unitsOfExo+J2032)</f>
        <v>50000</v>
      </c>
      <c r="K2033" s="9">
        <f t="shared" si="98"/>
        <v>50000</v>
      </c>
      <c r="L2033">
        <f t="shared" si="99"/>
        <v>46080</v>
      </c>
    </row>
    <row r="2034" spans="4:12" x14ac:dyDescent="0.25">
      <c r="D2034" s="1"/>
      <c r="E2034">
        <v>-5392</v>
      </c>
      <c r="F2034" s="1"/>
      <c r="H2034" s="1">
        <f t="shared" si="97"/>
        <v>0</v>
      </c>
      <c r="I2034">
        <f>IF(AND(MyRowHidden(ROW())=FALSE,MyRowHidden(ROW()-1)=TRUE),0,(E2034-E2033)*unitsOfDHp+I2033)</f>
        <v>-3920</v>
      </c>
      <c r="J2034">
        <f>IF(AND(MyRowHidden(ROW())=FALSE,MyRowHidden(ROW()-1)=TRUE),0,(G2034-G2033)*unitsOfExo+J2033)</f>
        <v>50000</v>
      </c>
      <c r="K2034" s="9">
        <f t="shared" si="98"/>
        <v>50000</v>
      </c>
      <c r="L2034">
        <f t="shared" si="99"/>
        <v>46080</v>
      </c>
    </row>
    <row r="2035" spans="4:12" x14ac:dyDescent="0.25">
      <c r="D2035" s="1"/>
      <c r="E2035">
        <v>-5392</v>
      </c>
      <c r="F2035" s="1"/>
      <c r="H2035" s="1">
        <f t="shared" si="97"/>
        <v>0</v>
      </c>
      <c r="I2035">
        <f>IF(AND(MyRowHidden(ROW())=FALSE,MyRowHidden(ROW()-1)=TRUE),0,(E2035-E2034)*unitsOfDHp+I2034)</f>
        <v>-3920</v>
      </c>
      <c r="J2035">
        <f>IF(AND(MyRowHidden(ROW())=FALSE,MyRowHidden(ROW()-1)=TRUE),0,(G2035-G2034)*unitsOfExo+J2034)</f>
        <v>50000</v>
      </c>
      <c r="K2035" s="9">
        <f t="shared" si="98"/>
        <v>50000</v>
      </c>
      <c r="L2035">
        <f t="shared" si="99"/>
        <v>46080</v>
      </c>
    </row>
    <row r="2036" spans="4:12" x14ac:dyDescent="0.25">
      <c r="D2036" s="1"/>
      <c r="E2036">
        <v>-5392</v>
      </c>
      <c r="F2036" s="1"/>
      <c r="H2036" s="1">
        <f t="shared" si="97"/>
        <v>0</v>
      </c>
      <c r="I2036">
        <f>IF(AND(MyRowHidden(ROW())=FALSE,MyRowHidden(ROW()-1)=TRUE),0,(E2036-E2035)*unitsOfDHp+I2035)</f>
        <v>-3920</v>
      </c>
      <c r="J2036">
        <f>IF(AND(MyRowHidden(ROW())=FALSE,MyRowHidden(ROW()-1)=TRUE),0,(G2036-G2035)*unitsOfExo+J2035)</f>
        <v>50000</v>
      </c>
      <c r="K2036" s="9">
        <f t="shared" si="98"/>
        <v>50000</v>
      </c>
      <c r="L2036">
        <f t="shared" si="99"/>
        <v>46080</v>
      </c>
    </row>
    <row r="2037" spans="4:12" x14ac:dyDescent="0.25">
      <c r="D2037" s="1"/>
      <c r="E2037">
        <v>-5392</v>
      </c>
      <c r="F2037" s="1"/>
      <c r="H2037" s="1">
        <f t="shared" si="97"/>
        <v>0</v>
      </c>
      <c r="I2037">
        <f>IF(AND(MyRowHidden(ROW())=FALSE,MyRowHidden(ROW()-1)=TRUE),0,(E2037-E2036)*unitsOfDHp+I2036)</f>
        <v>-3920</v>
      </c>
      <c r="J2037">
        <f>IF(AND(MyRowHidden(ROW())=FALSE,MyRowHidden(ROW()-1)=TRUE),0,(G2037-G2036)*unitsOfExo+J2036)</f>
        <v>50000</v>
      </c>
      <c r="K2037" s="9">
        <f t="shared" si="98"/>
        <v>50000</v>
      </c>
      <c r="L2037">
        <f t="shared" si="99"/>
        <v>46080</v>
      </c>
    </row>
    <row r="2038" spans="4:12" x14ac:dyDescent="0.25">
      <c r="D2038" s="1"/>
      <c r="E2038">
        <v>-5392</v>
      </c>
      <c r="F2038" s="1"/>
      <c r="H2038" s="1">
        <f t="shared" si="97"/>
        <v>0</v>
      </c>
      <c r="I2038">
        <f>IF(AND(MyRowHidden(ROW())=FALSE,MyRowHidden(ROW()-1)=TRUE),0,(E2038-E2037)*unitsOfDHp+I2037)</f>
        <v>-3920</v>
      </c>
      <c r="J2038">
        <f>IF(AND(MyRowHidden(ROW())=FALSE,MyRowHidden(ROW()-1)=TRUE),0,(G2038-G2037)*unitsOfExo+J2037)</f>
        <v>50000</v>
      </c>
      <c r="K2038" s="9">
        <f t="shared" si="98"/>
        <v>50000</v>
      </c>
      <c r="L2038">
        <f t="shared" si="99"/>
        <v>46080</v>
      </c>
    </row>
    <row r="2039" spans="4:12" x14ac:dyDescent="0.25">
      <c r="D2039" s="1"/>
      <c r="E2039">
        <v>-5392</v>
      </c>
      <c r="F2039" s="1"/>
      <c r="H2039" s="1">
        <f t="shared" si="97"/>
        <v>0</v>
      </c>
      <c r="I2039">
        <f>IF(AND(MyRowHidden(ROW())=FALSE,MyRowHidden(ROW()-1)=TRUE),0,(E2039-E2038)*unitsOfDHp+I2038)</f>
        <v>-3920</v>
      </c>
      <c r="J2039">
        <f>IF(AND(MyRowHidden(ROW())=FALSE,MyRowHidden(ROW()-1)=TRUE),0,(G2039-G2038)*unitsOfExo+J2038)</f>
        <v>50000</v>
      </c>
      <c r="K2039" s="9">
        <f t="shared" si="98"/>
        <v>50000</v>
      </c>
      <c r="L2039">
        <f t="shared" si="99"/>
        <v>46080</v>
      </c>
    </row>
    <row r="2040" spans="4:12" x14ac:dyDescent="0.25">
      <c r="D2040" s="1"/>
      <c r="E2040">
        <v>-5392</v>
      </c>
      <c r="F2040" s="1"/>
      <c r="H2040" s="1">
        <f t="shared" si="97"/>
        <v>0</v>
      </c>
      <c r="I2040">
        <f>IF(AND(MyRowHidden(ROW())=FALSE,MyRowHidden(ROW()-1)=TRUE),0,(E2040-E2039)*unitsOfDHp+I2039)</f>
        <v>-3920</v>
      </c>
      <c r="J2040">
        <f>IF(AND(MyRowHidden(ROW())=FALSE,MyRowHidden(ROW()-1)=TRUE),0,(G2040-G2039)*unitsOfExo+J2039)</f>
        <v>50000</v>
      </c>
      <c r="K2040" s="9">
        <f t="shared" si="98"/>
        <v>50000</v>
      </c>
      <c r="L2040">
        <f t="shared" si="99"/>
        <v>46080</v>
      </c>
    </row>
    <row r="2041" spans="4:12" x14ac:dyDescent="0.25">
      <c r="D2041" s="1"/>
      <c r="E2041">
        <v>-5392</v>
      </c>
      <c r="F2041" s="1"/>
      <c r="H2041" s="1">
        <f t="shared" si="97"/>
        <v>0</v>
      </c>
      <c r="I2041">
        <f>IF(AND(MyRowHidden(ROW())=FALSE,MyRowHidden(ROW()-1)=TRUE),0,(E2041-E2040)*unitsOfDHp+I2040)</f>
        <v>-3920</v>
      </c>
      <c r="J2041">
        <f>IF(AND(MyRowHidden(ROW())=FALSE,MyRowHidden(ROW()-1)=TRUE),0,(G2041-G2040)*unitsOfExo+J2040)</f>
        <v>50000</v>
      </c>
      <c r="K2041" s="9">
        <f t="shared" si="98"/>
        <v>50000</v>
      </c>
      <c r="L2041">
        <f t="shared" si="99"/>
        <v>46080</v>
      </c>
    </row>
    <row r="2042" spans="4:12" x14ac:dyDescent="0.25">
      <c r="D2042" s="1"/>
      <c r="E2042">
        <v>-5392</v>
      </c>
      <c r="F2042" s="1"/>
      <c r="H2042" s="1">
        <f t="shared" si="97"/>
        <v>0</v>
      </c>
      <c r="I2042">
        <f>IF(AND(MyRowHidden(ROW())=FALSE,MyRowHidden(ROW()-1)=TRUE),0,(E2042-E2041)*unitsOfDHp+I2041)</f>
        <v>-3920</v>
      </c>
      <c r="J2042">
        <f>IF(AND(MyRowHidden(ROW())=FALSE,MyRowHidden(ROW()-1)=TRUE),0,(G2042-G2041)*unitsOfExo+J2041)</f>
        <v>50000</v>
      </c>
      <c r="K2042" s="9">
        <f t="shared" si="98"/>
        <v>50000</v>
      </c>
      <c r="L2042">
        <f t="shared" si="99"/>
        <v>46080</v>
      </c>
    </row>
    <row r="2043" spans="4:12" x14ac:dyDescent="0.25">
      <c r="D2043" s="1"/>
      <c r="E2043">
        <v>-5392</v>
      </c>
      <c r="F2043" s="1"/>
      <c r="H2043" s="1">
        <f t="shared" si="97"/>
        <v>0</v>
      </c>
      <c r="I2043">
        <f>IF(AND(MyRowHidden(ROW())=FALSE,MyRowHidden(ROW()-1)=TRUE),0,(E2043-E2042)*unitsOfDHp+I2042)</f>
        <v>-3920</v>
      </c>
      <c r="J2043">
        <f>IF(AND(MyRowHidden(ROW())=FALSE,MyRowHidden(ROW()-1)=TRUE),0,(G2043-G2042)*unitsOfExo+J2042)</f>
        <v>50000</v>
      </c>
      <c r="K2043" s="9">
        <f t="shared" si="98"/>
        <v>50000</v>
      </c>
      <c r="L2043">
        <f t="shared" si="99"/>
        <v>46080</v>
      </c>
    </row>
    <row r="2044" spans="4:12" x14ac:dyDescent="0.25">
      <c r="D2044" s="1"/>
      <c r="E2044">
        <v>-5392</v>
      </c>
      <c r="F2044" s="1"/>
      <c r="H2044" s="1">
        <f t="shared" si="97"/>
        <v>0</v>
      </c>
      <c r="I2044">
        <f>IF(AND(MyRowHidden(ROW())=FALSE,MyRowHidden(ROW()-1)=TRUE),0,(E2044-E2043)*unitsOfDHp+I2043)</f>
        <v>-3920</v>
      </c>
      <c r="J2044">
        <f>IF(AND(MyRowHidden(ROW())=FALSE,MyRowHidden(ROW()-1)=TRUE),0,(G2044-G2043)*unitsOfExo+J2043)</f>
        <v>50000</v>
      </c>
      <c r="K2044" s="9">
        <f t="shared" si="98"/>
        <v>50000</v>
      </c>
      <c r="L2044">
        <f t="shared" si="99"/>
        <v>46080</v>
      </c>
    </row>
    <row r="2045" spans="4:12" x14ac:dyDescent="0.25">
      <c r="D2045" s="1"/>
      <c r="E2045">
        <v>-5392</v>
      </c>
      <c r="F2045" s="1"/>
      <c r="H2045" s="1">
        <f t="shared" si="97"/>
        <v>0</v>
      </c>
      <c r="I2045">
        <f>IF(AND(MyRowHidden(ROW())=FALSE,MyRowHidden(ROW()-1)=TRUE),0,(E2045-E2044)*unitsOfDHp+I2044)</f>
        <v>-3920</v>
      </c>
      <c r="J2045">
        <f>IF(AND(MyRowHidden(ROW())=FALSE,MyRowHidden(ROW()-1)=TRUE),0,(G2045-G2044)*unitsOfExo+J2044)</f>
        <v>50000</v>
      </c>
      <c r="K2045" s="9">
        <f t="shared" si="98"/>
        <v>50000</v>
      </c>
      <c r="L2045">
        <f t="shared" si="99"/>
        <v>46080</v>
      </c>
    </row>
    <row r="2046" spans="4:12" x14ac:dyDescent="0.25">
      <c r="D2046" s="1"/>
      <c r="E2046">
        <v>-5392</v>
      </c>
      <c r="F2046" s="1"/>
      <c r="H2046" s="1">
        <f t="shared" si="97"/>
        <v>0</v>
      </c>
      <c r="I2046">
        <f>IF(AND(MyRowHidden(ROW())=FALSE,MyRowHidden(ROW()-1)=TRUE),0,(E2046-E2045)*unitsOfDHp+I2045)</f>
        <v>-3920</v>
      </c>
      <c r="J2046">
        <f>IF(AND(MyRowHidden(ROW())=FALSE,MyRowHidden(ROW()-1)=TRUE),0,(G2046-G2045)*unitsOfExo+J2045)</f>
        <v>50000</v>
      </c>
      <c r="K2046" s="9">
        <f t="shared" si="98"/>
        <v>50000</v>
      </c>
      <c r="L2046">
        <f t="shared" si="99"/>
        <v>46080</v>
      </c>
    </row>
    <row r="2047" spans="4:12" x14ac:dyDescent="0.25">
      <c r="D2047" s="1"/>
      <c r="E2047">
        <v>-5392</v>
      </c>
      <c r="F2047" s="1"/>
      <c r="H2047" s="1">
        <f t="shared" si="97"/>
        <v>0</v>
      </c>
      <c r="I2047">
        <f>IF(AND(MyRowHidden(ROW())=FALSE,MyRowHidden(ROW()-1)=TRUE),0,(E2047-E2046)*unitsOfDHp+I2046)</f>
        <v>-3920</v>
      </c>
      <c r="J2047">
        <f>IF(AND(MyRowHidden(ROW())=FALSE,MyRowHidden(ROW()-1)=TRUE),0,(G2047-G2046)*unitsOfExo+J2046)</f>
        <v>50000</v>
      </c>
      <c r="K2047" s="9">
        <f t="shared" si="98"/>
        <v>50000</v>
      </c>
      <c r="L2047">
        <f t="shared" si="99"/>
        <v>46080</v>
      </c>
    </row>
    <row r="2048" spans="4:12" x14ac:dyDescent="0.25">
      <c r="D2048" s="1"/>
      <c r="E2048">
        <v>-5392</v>
      </c>
      <c r="F2048" s="1"/>
      <c r="H2048" s="1">
        <f t="shared" si="97"/>
        <v>0</v>
      </c>
      <c r="I2048">
        <f>IF(AND(MyRowHidden(ROW())=FALSE,MyRowHidden(ROW()-1)=TRUE),0,(E2048-E2047)*unitsOfDHp+I2047)</f>
        <v>-3920</v>
      </c>
      <c r="J2048">
        <f>IF(AND(MyRowHidden(ROW())=FALSE,MyRowHidden(ROW()-1)=TRUE),0,(G2048-G2047)*unitsOfExo+J2047)</f>
        <v>50000</v>
      </c>
      <c r="K2048" s="9">
        <f t="shared" si="98"/>
        <v>50000</v>
      </c>
      <c r="L2048">
        <f t="shared" si="99"/>
        <v>46080</v>
      </c>
    </row>
    <row r="2049" spans="4:12" x14ac:dyDescent="0.25">
      <c r="D2049" s="1"/>
      <c r="E2049">
        <v>-5392</v>
      </c>
      <c r="F2049" s="1"/>
      <c r="H2049" s="1">
        <f t="shared" si="97"/>
        <v>0</v>
      </c>
      <c r="I2049">
        <f>IF(AND(MyRowHidden(ROW())=FALSE,MyRowHidden(ROW()-1)=TRUE),0,(E2049-E2048)*unitsOfDHp+I2048)</f>
        <v>-3920</v>
      </c>
      <c r="J2049">
        <f>IF(AND(MyRowHidden(ROW())=FALSE,MyRowHidden(ROW()-1)=TRUE),0,(G2049-G2048)*unitsOfExo+J2048)</f>
        <v>50000</v>
      </c>
      <c r="K2049" s="9">
        <f t="shared" si="98"/>
        <v>50000</v>
      </c>
      <c r="L2049">
        <f t="shared" si="99"/>
        <v>46080</v>
      </c>
    </row>
    <row r="2050" spans="4:12" x14ac:dyDescent="0.25">
      <c r="D2050" s="1"/>
      <c r="E2050">
        <v>-5392</v>
      </c>
      <c r="F2050" s="1"/>
      <c r="H2050" s="1">
        <f t="shared" si="97"/>
        <v>0</v>
      </c>
      <c r="I2050">
        <f>IF(AND(MyRowHidden(ROW())=FALSE,MyRowHidden(ROW()-1)=TRUE),0,(E2050-E2049)*unitsOfDHp+I2049)</f>
        <v>-3920</v>
      </c>
      <c r="J2050">
        <f>IF(AND(MyRowHidden(ROW())=FALSE,MyRowHidden(ROW()-1)=TRUE),0,(G2050-G2049)*unitsOfExo+J2049)</f>
        <v>50000</v>
      </c>
      <c r="K2050" s="9">
        <f t="shared" si="98"/>
        <v>50000</v>
      </c>
      <c r="L2050">
        <f t="shared" si="99"/>
        <v>46080</v>
      </c>
    </row>
    <row r="2051" spans="4:12" x14ac:dyDescent="0.25">
      <c r="D2051" s="1"/>
      <c r="E2051">
        <v>-5392</v>
      </c>
      <c r="F2051" s="1"/>
      <c r="H2051" s="1">
        <f t="shared" si="97"/>
        <v>0</v>
      </c>
      <c r="I2051">
        <f>IF(AND(MyRowHidden(ROW())=FALSE,MyRowHidden(ROW()-1)=TRUE),0,(E2051-E2050)*unitsOfDHp+I2050)</f>
        <v>-3920</v>
      </c>
      <c r="J2051">
        <f>IF(AND(MyRowHidden(ROW())=FALSE,MyRowHidden(ROW()-1)=TRUE),0,(G2051-G2050)*unitsOfExo+J2050)</f>
        <v>50000</v>
      </c>
      <c r="K2051" s="9">
        <f t="shared" si="98"/>
        <v>50000</v>
      </c>
      <c r="L2051">
        <f t="shared" si="99"/>
        <v>46080</v>
      </c>
    </row>
    <row r="2052" spans="4:12" x14ac:dyDescent="0.25">
      <c r="D2052" s="1"/>
      <c r="E2052">
        <v>-5392</v>
      </c>
      <c r="F2052" s="1"/>
      <c r="H2052" s="1">
        <f t="shared" si="97"/>
        <v>0</v>
      </c>
      <c r="I2052">
        <f>IF(AND(MyRowHidden(ROW())=FALSE,MyRowHidden(ROW()-1)=TRUE),0,(E2052-E2051)*unitsOfDHp+I2051)</f>
        <v>-3920</v>
      </c>
      <c r="J2052">
        <f>IF(AND(MyRowHidden(ROW())=FALSE,MyRowHidden(ROW()-1)=TRUE),0,(G2052-G2051)*unitsOfExo+J2051)</f>
        <v>50000</v>
      </c>
      <c r="K2052" s="9">
        <f t="shared" si="98"/>
        <v>50000</v>
      </c>
      <c r="L2052">
        <f t="shared" si="99"/>
        <v>46080</v>
      </c>
    </row>
    <row r="2053" spans="4:12" x14ac:dyDescent="0.25">
      <c r="D2053" s="1"/>
      <c r="E2053">
        <v>-5392</v>
      </c>
      <c r="F2053" s="1"/>
      <c r="H2053" s="1">
        <f t="shared" si="97"/>
        <v>0</v>
      </c>
      <c r="I2053">
        <f>IF(AND(MyRowHidden(ROW())=FALSE,MyRowHidden(ROW()-1)=TRUE),0,(E2053-E2052)*unitsOfDHp+I2052)</f>
        <v>-3920</v>
      </c>
      <c r="J2053">
        <f>IF(AND(MyRowHidden(ROW())=FALSE,MyRowHidden(ROW()-1)=TRUE),0,(G2053-G2052)*unitsOfExo+J2052)</f>
        <v>50000</v>
      </c>
      <c r="K2053" s="9">
        <f t="shared" si="98"/>
        <v>50000</v>
      </c>
      <c r="L2053">
        <f t="shared" si="99"/>
        <v>46080</v>
      </c>
    </row>
    <row r="2054" spans="4:12" x14ac:dyDescent="0.25">
      <c r="D2054" s="1"/>
      <c r="E2054">
        <v>-5392</v>
      </c>
      <c r="F2054" s="1"/>
      <c r="H2054" s="1">
        <f t="shared" si="97"/>
        <v>0</v>
      </c>
      <c r="I2054">
        <f>IF(AND(MyRowHidden(ROW())=FALSE,MyRowHidden(ROW()-1)=TRUE),0,(E2054-E2053)*unitsOfDHp+I2053)</f>
        <v>-3920</v>
      </c>
      <c r="J2054">
        <f>IF(AND(MyRowHidden(ROW())=FALSE,MyRowHidden(ROW()-1)=TRUE),0,(G2054-G2053)*unitsOfExo+J2053)</f>
        <v>50000</v>
      </c>
      <c r="K2054" s="9">
        <f t="shared" si="98"/>
        <v>50000</v>
      </c>
      <c r="L2054">
        <f t="shared" si="99"/>
        <v>46080</v>
      </c>
    </row>
    <row r="2055" spans="4:12" x14ac:dyDescent="0.25">
      <c r="D2055" s="1"/>
      <c r="E2055">
        <v>-5392</v>
      </c>
      <c r="F2055" s="1"/>
      <c r="H2055" s="1">
        <f t="shared" si="97"/>
        <v>0</v>
      </c>
      <c r="I2055">
        <f>IF(AND(MyRowHidden(ROW())=FALSE,MyRowHidden(ROW()-1)=TRUE),0,(E2055-E2054)*unitsOfDHp+I2054)</f>
        <v>-3920</v>
      </c>
      <c r="J2055">
        <f>IF(AND(MyRowHidden(ROW())=FALSE,MyRowHidden(ROW()-1)=TRUE),0,(G2055-G2054)*unitsOfExo+J2054)</f>
        <v>50000</v>
      </c>
      <c r="K2055" s="9">
        <f t="shared" si="98"/>
        <v>50000</v>
      </c>
      <c r="L2055">
        <f t="shared" si="99"/>
        <v>46080</v>
      </c>
    </row>
    <row r="2056" spans="4:12" x14ac:dyDescent="0.25">
      <c r="D2056" s="1"/>
      <c r="E2056">
        <v>-5392</v>
      </c>
      <c r="F2056" s="1"/>
      <c r="H2056" s="1">
        <f t="shared" si="97"/>
        <v>0</v>
      </c>
      <c r="I2056">
        <f>IF(AND(MyRowHidden(ROW())=FALSE,MyRowHidden(ROW()-1)=TRUE),0,(E2056-E2055)*unitsOfDHp+I2055)</f>
        <v>-3920</v>
      </c>
      <c r="J2056">
        <f>IF(AND(MyRowHidden(ROW())=FALSE,MyRowHidden(ROW()-1)=TRUE),0,(G2056-G2055)*unitsOfExo+J2055)</f>
        <v>50000</v>
      </c>
      <c r="K2056" s="9">
        <f t="shared" si="98"/>
        <v>50000</v>
      </c>
      <c r="L2056">
        <f t="shared" si="99"/>
        <v>46080</v>
      </c>
    </row>
    <row r="2057" spans="4:12" x14ac:dyDescent="0.25">
      <c r="D2057" s="1"/>
      <c r="E2057">
        <v>-5392</v>
      </c>
      <c r="F2057" s="1"/>
      <c r="H2057" s="1">
        <f t="shared" si="97"/>
        <v>0</v>
      </c>
      <c r="I2057">
        <f>IF(AND(MyRowHidden(ROW())=FALSE,MyRowHidden(ROW()-1)=TRUE),0,(E2057-E2056)*unitsOfDHp+I2056)</f>
        <v>-3920</v>
      </c>
      <c r="J2057">
        <f>IF(AND(MyRowHidden(ROW())=FALSE,MyRowHidden(ROW()-1)=TRUE),0,(G2057-G2056)*unitsOfExo+J2056)</f>
        <v>50000</v>
      </c>
      <c r="K2057" s="9">
        <f t="shared" si="98"/>
        <v>50000</v>
      </c>
      <c r="L2057">
        <f t="shared" si="99"/>
        <v>46080</v>
      </c>
    </row>
    <row r="2058" spans="4:12" x14ac:dyDescent="0.25">
      <c r="D2058" s="1"/>
      <c r="E2058">
        <v>-5392</v>
      </c>
      <c r="F2058" s="1"/>
      <c r="H2058" s="1">
        <f t="shared" si="97"/>
        <v>0</v>
      </c>
      <c r="I2058">
        <f>IF(AND(MyRowHidden(ROW())=FALSE,MyRowHidden(ROW()-1)=TRUE),0,(E2058-E2057)*unitsOfDHp+I2057)</f>
        <v>-3920</v>
      </c>
      <c r="J2058">
        <f>IF(AND(MyRowHidden(ROW())=FALSE,MyRowHidden(ROW()-1)=TRUE),0,(G2058-G2057)*unitsOfExo+J2057)</f>
        <v>50000</v>
      </c>
      <c r="K2058" s="9">
        <f t="shared" si="98"/>
        <v>50000</v>
      </c>
      <c r="L2058">
        <f t="shared" si="99"/>
        <v>46080</v>
      </c>
    </row>
    <row r="2059" spans="4:12" x14ac:dyDescent="0.25">
      <c r="D2059" s="1"/>
      <c r="E2059">
        <v>-5392</v>
      </c>
      <c r="F2059" s="1"/>
      <c r="H2059" s="1">
        <f t="shared" si="97"/>
        <v>0</v>
      </c>
      <c r="I2059">
        <f>IF(AND(MyRowHidden(ROW())=FALSE,MyRowHidden(ROW()-1)=TRUE),0,(E2059-E2058)*unitsOfDHp+I2058)</f>
        <v>-3920</v>
      </c>
      <c r="J2059">
        <f>IF(AND(MyRowHidden(ROW())=FALSE,MyRowHidden(ROW()-1)=TRUE),0,(G2059-G2058)*unitsOfExo+J2058)</f>
        <v>50000</v>
      </c>
      <c r="K2059" s="9">
        <f t="shared" si="98"/>
        <v>50000</v>
      </c>
      <c r="L2059">
        <f t="shared" si="99"/>
        <v>46080</v>
      </c>
    </row>
    <row r="2060" spans="4:12" x14ac:dyDescent="0.25">
      <c r="D2060" s="1"/>
      <c r="E2060">
        <v>-5392</v>
      </c>
      <c r="F2060" s="1"/>
      <c r="H2060" s="1">
        <f t="shared" si="97"/>
        <v>0</v>
      </c>
      <c r="I2060">
        <f>IF(AND(MyRowHidden(ROW())=FALSE,MyRowHidden(ROW()-1)=TRUE),0,(E2060-E2059)*unitsOfDHp+I2059)</f>
        <v>-3920</v>
      </c>
      <c r="J2060">
        <f>IF(AND(MyRowHidden(ROW())=FALSE,MyRowHidden(ROW()-1)=TRUE),0,(G2060-G2059)*unitsOfExo+J2059)</f>
        <v>50000</v>
      </c>
      <c r="K2060" s="9">
        <f t="shared" si="98"/>
        <v>50000</v>
      </c>
      <c r="L2060">
        <f t="shared" si="99"/>
        <v>46080</v>
      </c>
    </row>
    <row r="2061" spans="4:12" x14ac:dyDescent="0.25">
      <c r="D2061" s="1"/>
      <c r="E2061">
        <v>-5392</v>
      </c>
      <c r="F2061" s="1"/>
      <c r="H2061" s="1">
        <f t="shared" ref="H2061:H2070" si="100">D2061</f>
        <v>0</v>
      </c>
      <c r="I2061">
        <f>IF(AND(MyRowHidden(ROW())=FALSE,MyRowHidden(ROW()-1)=TRUE),0,(E2061-E2060)*unitsOfDHp+I2060)</f>
        <v>-3920</v>
      </c>
      <c r="J2061">
        <f>IF(AND(MyRowHidden(ROW())=FALSE,MyRowHidden(ROW()-1)=TRUE),0,(G2061-G2060)*unitsOfExo+J2060)</f>
        <v>50000</v>
      </c>
      <c r="K2061" s="9">
        <f t="shared" ref="K2061:K2070" si="101">-(J2061-J2060)+K2060</f>
        <v>50000</v>
      </c>
      <c r="L2061">
        <f t="shared" ref="L2061:L2070" si="102">I2061+J2061</f>
        <v>46080</v>
      </c>
    </row>
    <row r="2062" spans="4:12" x14ac:dyDescent="0.25">
      <c r="D2062" s="1"/>
      <c r="E2062">
        <v>-5392</v>
      </c>
      <c r="F2062" s="1"/>
      <c r="H2062" s="1">
        <f t="shared" si="100"/>
        <v>0</v>
      </c>
      <c r="I2062">
        <f>IF(AND(MyRowHidden(ROW())=FALSE,MyRowHidden(ROW()-1)=TRUE),0,(E2062-E2061)*unitsOfDHp+I2061)</f>
        <v>-3920</v>
      </c>
      <c r="J2062">
        <f>IF(AND(MyRowHidden(ROW())=FALSE,MyRowHidden(ROW()-1)=TRUE),0,(G2062-G2061)*unitsOfExo+J2061)</f>
        <v>50000</v>
      </c>
      <c r="K2062" s="9">
        <f t="shared" si="101"/>
        <v>50000</v>
      </c>
      <c r="L2062">
        <f t="shared" si="102"/>
        <v>46080</v>
      </c>
    </row>
    <row r="2063" spans="4:12" x14ac:dyDescent="0.25">
      <c r="D2063" s="1"/>
      <c r="E2063">
        <v>-5392</v>
      </c>
      <c r="F2063" s="1"/>
      <c r="H2063" s="1">
        <f t="shared" si="100"/>
        <v>0</v>
      </c>
      <c r="I2063">
        <f>IF(AND(MyRowHidden(ROW())=FALSE,MyRowHidden(ROW()-1)=TRUE),0,(E2063-E2062)*unitsOfDHp+I2062)</f>
        <v>-3920</v>
      </c>
      <c r="J2063">
        <f>IF(AND(MyRowHidden(ROW())=FALSE,MyRowHidden(ROW()-1)=TRUE),0,(G2063-G2062)*unitsOfExo+J2062)</f>
        <v>50000</v>
      </c>
      <c r="K2063" s="9">
        <f t="shared" si="101"/>
        <v>50000</v>
      </c>
      <c r="L2063">
        <f t="shared" si="102"/>
        <v>46080</v>
      </c>
    </row>
    <row r="2064" spans="4:12" x14ac:dyDescent="0.25">
      <c r="D2064" s="1"/>
      <c r="E2064">
        <v>-5392</v>
      </c>
      <c r="F2064" s="1"/>
      <c r="H2064" s="1">
        <f t="shared" si="100"/>
        <v>0</v>
      </c>
      <c r="I2064">
        <f>IF(AND(MyRowHidden(ROW())=FALSE,MyRowHidden(ROW()-1)=TRUE),0,(E2064-E2063)*unitsOfDHp+I2063)</f>
        <v>-3920</v>
      </c>
      <c r="J2064">
        <f>IF(AND(MyRowHidden(ROW())=FALSE,MyRowHidden(ROW()-1)=TRUE),0,(G2064-G2063)*unitsOfExo+J2063)</f>
        <v>50000</v>
      </c>
      <c r="K2064" s="9">
        <f t="shared" si="101"/>
        <v>50000</v>
      </c>
      <c r="L2064">
        <f t="shared" si="102"/>
        <v>46080</v>
      </c>
    </row>
    <row r="2065" spans="4:12" x14ac:dyDescent="0.25">
      <c r="D2065" s="1"/>
      <c r="E2065">
        <v>-5392</v>
      </c>
      <c r="F2065" s="1"/>
      <c r="H2065" s="1">
        <f t="shared" si="100"/>
        <v>0</v>
      </c>
      <c r="I2065">
        <f>IF(AND(MyRowHidden(ROW())=FALSE,MyRowHidden(ROW()-1)=TRUE),0,(E2065-E2064)*unitsOfDHp+I2064)</f>
        <v>-3920</v>
      </c>
      <c r="J2065">
        <f>IF(AND(MyRowHidden(ROW())=FALSE,MyRowHidden(ROW()-1)=TRUE),0,(G2065-G2064)*unitsOfExo+J2064)</f>
        <v>50000</v>
      </c>
      <c r="K2065" s="9">
        <f t="shared" si="101"/>
        <v>50000</v>
      </c>
      <c r="L2065">
        <f t="shared" si="102"/>
        <v>46080</v>
      </c>
    </row>
    <row r="2066" spans="4:12" x14ac:dyDescent="0.25">
      <c r="D2066" s="1"/>
      <c r="E2066">
        <v>-5392</v>
      </c>
      <c r="F2066" s="1"/>
      <c r="H2066" s="1">
        <f t="shared" si="100"/>
        <v>0</v>
      </c>
      <c r="I2066">
        <f>IF(AND(MyRowHidden(ROW())=FALSE,MyRowHidden(ROW()-1)=TRUE),0,(E2066-E2065)*unitsOfDHp+I2065)</f>
        <v>-3920</v>
      </c>
      <c r="J2066">
        <f>IF(AND(MyRowHidden(ROW())=FALSE,MyRowHidden(ROW()-1)=TRUE),0,(G2066-G2065)*unitsOfExo+J2065)</f>
        <v>50000</v>
      </c>
      <c r="K2066" s="9">
        <f t="shared" si="101"/>
        <v>50000</v>
      </c>
      <c r="L2066">
        <f t="shared" si="102"/>
        <v>46080</v>
      </c>
    </row>
    <row r="2067" spans="4:12" x14ac:dyDescent="0.25">
      <c r="D2067" s="1"/>
      <c r="E2067">
        <v>-5392</v>
      </c>
      <c r="F2067" s="1"/>
      <c r="H2067" s="1">
        <f t="shared" si="100"/>
        <v>0</v>
      </c>
      <c r="I2067">
        <f>IF(AND(MyRowHidden(ROW())=FALSE,MyRowHidden(ROW()-1)=TRUE),0,(E2067-E2066)*unitsOfDHp+I2066)</f>
        <v>-3920</v>
      </c>
      <c r="J2067">
        <f>IF(AND(MyRowHidden(ROW())=FALSE,MyRowHidden(ROW()-1)=TRUE),0,(G2067-G2066)*unitsOfExo+J2066)</f>
        <v>50000</v>
      </c>
      <c r="K2067" s="9">
        <f t="shared" si="101"/>
        <v>50000</v>
      </c>
      <c r="L2067">
        <f t="shared" si="102"/>
        <v>46080</v>
      </c>
    </row>
    <row r="2068" spans="4:12" x14ac:dyDescent="0.25">
      <c r="D2068" s="1"/>
      <c r="E2068">
        <v>-5392</v>
      </c>
      <c r="F2068" s="1"/>
      <c r="H2068" s="1">
        <f t="shared" si="100"/>
        <v>0</v>
      </c>
      <c r="I2068">
        <f>IF(AND(MyRowHidden(ROW())=FALSE,MyRowHidden(ROW()-1)=TRUE),0,(E2068-E2067)*unitsOfDHp+I2067)</f>
        <v>-3920</v>
      </c>
      <c r="J2068">
        <f>IF(AND(MyRowHidden(ROW())=FALSE,MyRowHidden(ROW()-1)=TRUE),0,(G2068-G2067)*unitsOfExo+J2067)</f>
        <v>50000</v>
      </c>
      <c r="K2068" s="9">
        <f t="shared" si="101"/>
        <v>50000</v>
      </c>
      <c r="L2068">
        <f t="shared" si="102"/>
        <v>46080</v>
      </c>
    </row>
    <row r="2069" spans="4:12" x14ac:dyDescent="0.25">
      <c r="D2069" s="1">
        <v>42767</v>
      </c>
      <c r="E2069" s="10">
        <v>38731</v>
      </c>
      <c r="F2069" s="1"/>
      <c r="H2069" s="1">
        <f t="shared" si="100"/>
        <v>42767</v>
      </c>
      <c r="I2069">
        <f>IF(AND(MyRowHidden(ROW())=FALSE,MyRowHidden(ROW()-1)=TRUE),0,(E2069-E2068)*unitsOfDHp+I2068)</f>
        <v>437310</v>
      </c>
      <c r="J2069">
        <f>IF(AND(MyRowHidden(ROW())=FALSE,MyRowHidden(ROW()-1)=TRUE),0,(G2069-G2068)*unitsOfExo+J2068)</f>
        <v>50000</v>
      </c>
      <c r="K2069" s="9">
        <f t="shared" si="101"/>
        <v>50000</v>
      </c>
      <c r="L2069">
        <f t="shared" si="102"/>
        <v>487310</v>
      </c>
    </row>
    <row r="2070" spans="4:12" x14ac:dyDescent="0.25">
      <c r="D2070" s="1">
        <v>42768</v>
      </c>
      <c r="E2070" s="10">
        <v>38513</v>
      </c>
      <c r="F2070" s="1"/>
      <c r="H2070" s="1">
        <f t="shared" si="100"/>
        <v>42768</v>
      </c>
      <c r="I2070">
        <f>IF(AND(MyRowHidden(ROW())=FALSE,MyRowHidden(ROW()-1)=TRUE),0,(E2070-E2069)*unitsOfDHp+I2069)</f>
        <v>435130</v>
      </c>
      <c r="J2070">
        <f>IF(AND(MyRowHidden(ROW())=FALSE,MyRowHidden(ROW()-1)=TRUE),0,(G2070-G2069)*unitsOfExo+J2069)</f>
        <v>50000</v>
      </c>
      <c r="K2070" s="9">
        <f t="shared" si="101"/>
        <v>50000</v>
      </c>
      <c r="L2070">
        <f t="shared" si="102"/>
        <v>485130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>
      <selection activeCell="D3" sqref="D3"/>
    </sheetView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 t="s">
        <v>48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 t="s">
        <v>47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 t="s">
        <v>45</v>
      </c>
      <c r="C12" t="s">
        <v>35</v>
      </c>
      <c r="D12" t="s">
        <v>46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60"/>
  <sheetViews>
    <sheetView workbookViewId="0">
      <selection activeCell="G2" sqref="G2:H1446"/>
    </sheetView>
  </sheetViews>
  <sheetFormatPr defaultRowHeight="15" x14ac:dyDescent="0.25"/>
  <cols>
    <col min="5" max="5" width="12.7109375" customWidth="1"/>
  </cols>
  <sheetData>
    <row r="1" spans="1:8" s="11" customFormat="1" ht="45" x14ac:dyDescent="0.25">
      <c r="A1" s="11" t="s">
        <v>45</v>
      </c>
      <c r="C1" s="11" t="s">
        <v>46</v>
      </c>
      <c r="E1" t="s">
        <v>47</v>
      </c>
      <c r="F1"/>
      <c r="G1" t="s">
        <v>48</v>
      </c>
      <c r="H1"/>
    </row>
    <row r="2" spans="1:8" x14ac:dyDescent="0.25">
      <c r="A2" s="1"/>
      <c r="C2" s="1"/>
      <c r="E2" s="1">
        <v>40695</v>
      </c>
      <c r="F2">
        <v>0</v>
      </c>
      <c r="G2" s="1">
        <v>40695</v>
      </c>
      <c r="H2">
        <v>0</v>
      </c>
    </row>
    <row r="3" spans="1:8" x14ac:dyDescent="0.25">
      <c r="A3" s="1"/>
      <c r="C3" s="1"/>
      <c r="E3" s="1">
        <v>40696</v>
      </c>
      <c r="F3">
        <v>0</v>
      </c>
      <c r="G3" s="1">
        <v>40696</v>
      </c>
      <c r="H3">
        <v>550</v>
      </c>
    </row>
    <row r="4" spans="1:8" x14ac:dyDescent="0.25">
      <c r="A4" s="1"/>
      <c r="C4" s="1"/>
      <c r="E4" s="1">
        <v>40697</v>
      </c>
      <c r="F4">
        <v>0</v>
      </c>
      <c r="G4" s="1">
        <v>40697</v>
      </c>
      <c r="H4">
        <v>212.5</v>
      </c>
    </row>
    <row r="5" spans="1:8" x14ac:dyDescent="0.25">
      <c r="A5" s="1"/>
      <c r="C5" s="1"/>
      <c r="E5" s="1">
        <v>40700</v>
      </c>
      <c r="F5">
        <v>0</v>
      </c>
      <c r="G5" s="1">
        <v>40700</v>
      </c>
      <c r="H5">
        <v>-975</v>
      </c>
    </row>
    <row r="6" spans="1:8" x14ac:dyDescent="0.25">
      <c r="A6" s="1"/>
      <c r="C6" s="1"/>
      <c r="E6" s="1">
        <v>40701</v>
      </c>
      <c r="F6">
        <v>0</v>
      </c>
      <c r="G6" s="1">
        <v>40701</v>
      </c>
      <c r="H6">
        <v>-987.5</v>
      </c>
    </row>
    <row r="7" spans="1:8" x14ac:dyDescent="0.25">
      <c r="A7" s="1"/>
      <c r="C7" s="1"/>
      <c r="E7" s="1">
        <v>40702</v>
      </c>
      <c r="F7">
        <v>0</v>
      </c>
      <c r="G7" s="1">
        <v>40702</v>
      </c>
      <c r="H7">
        <v>312.5</v>
      </c>
    </row>
    <row r="8" spans="1:8" x14ac:dyDescent="0.25">
      <c r="A8" s="1"/>
      <c r="C8" s="1"/>
      <c r="E8" s="1">
        <v>40703</v>
      </c>
      <c r="F8">
        <v>0</v>
      </c>
      <c r="G8" s="1">
        <v>40703</v>
      </c>
      <c r="H8">
        <v>1712.5</v>
      </c>
    </row>
    <row r="9" spans="1:8" x14ac:dyDescent="0.25">
      <c r="A9" s="1"/>
      <c r="C9" s="1"/>
      <c r="E9" s="1">
        <v>40704</v>
      </c>
      <c r="F9">
        <v>0</v>
      </c>
      <c r="G9" s="1">
        <v>40704</v>
      </c>
      <c r="H9">
        <v>1775</v>
      </c>
    </row>
    <row r="10" spans="1:8" x14ac:dyDescent="0.25">
      <c r="A10" s="1"/>
      <c r="C10" s="1"/>
      <c r="E10" s="1">
        <v>40707</v>
      </c>
      <c r="F10">
        <v>-6</v>
      </c>
      <c r="G10" s="1">
        <v>40707</v>
      </c>
      <c r="H10">
        <v>1287.5</v>
      </c>
    </row>
    <row r="11" spans="1:8" x14ac:dyDescent="0.25">
      <c r="A11" s="1"/>
      <c r="C11" s="1"/>
      <c r="E11" s="1">
        <v>40708</v>
      </c>
      <c r="F11">
        <v>-403.10708618164</v>
      </c>
      <c r="G11" s="1">
        <v>40708</v>
      </c>
      <c r="H11">
        <v>75</v>
      </c>
    </row>
    <row r="12" spans="1:8" x14ac:dyDescent="0.25">
      <c r="A12" s="1"/>
      <c r="C12" s="1"/>
      <c r="E12" s="1">
        <v>40709</v>
      </c>
      <c r="F12">
        <v>-1143.4527893066399</v>
      </c>
      <c r="G12" s="1">
        <v>40709</v>
      </c>
      <c r="H12">
        <v>-1425</v>
      </c>
    </row>
    <row r="13" spans="1:8" x14ac:dyDescent="0.25">
      <c r="A13" s="1"/>
      <c r="C13" s="1"/>
      <c r="E13" s="1">
        <v>40710</v>
      </c>
      <c r="F13">
        <v>-1636.5301818847599</v>
      </c>
      <c r="G13" s="1">
        <v>40710</v>
      </c>
      <c r="H13">
        <v>-2462.5</v>
      </c>
    </row>
    <row r="14" spans="1:8" x14ac:dyDescent="0.25">
      <c r="A14" s="1"/>
      <c r="C14" s="1"/>
      <c r="E14" s="1">
        <v>40711</v>
      </c>
      <c r="F14">
        <v>-1790.5174865722599</v>
      </c>
      <c r="G14" s="1">
        <v>40711</v>
      </c>
      <c r="H14">
        <v>-2837.5</v>
      </c>
    </row>
    <row r="15" spans="1:8" x14ac:dyDescent="0.25">
      <c r="A15" s="1"/>
      <c r="C15" s="1"/>
      <c r="E15" s="1">
        <v>40714</v>
      </c>
      <c r="F15">
        <v>-1902.4827575683501</v>
      </c>
      <c r="G15" s="1">
        <v>40714</v>
      </c>
      <c r="H15">
        <v>-2537.5</v>
      </c>
    </row>
    <row r="16" spans="1:8" x14ac:dyDescent="0.25">
      <c r="A16" s="1"/>
      <c r="C16" s="1"/>
      <c r="E16" s="1">
        <v>40715</v>
      </c>
      <c r="F16">
        <v>-1865.65967464447</v>
      </c>
      <c r="G16" s="1">
        <v>40715</v>
      </c>
      <c r="H16">
        <v>-2450</v>
      </c>
    </row>
    <row r="17" spans="1:8" x14ac:dyDescent="0.25">
      <c r="A17" s="1"/>
      <c r="C17" s="1"/>
      <c r="E17" s="1">
        <v>40716</v>
      </c>
      <c r="F17">
        <v>-2266.22325038909</v>
      </c>
      <c r="G17" s="1">
        <v>40716</v>
      </c>
      <c r="H17">
        <v>-3825</v>
      </c>
    </row>
    <row r="18" spans="1:8" x14ac:dyDescent="0.25">
      <c r="A18" s="1"/>
      <c r="C18" s="1"/>
      <c r="E18" s="1">
        <v>40717</v>
      </c>
      <c r="F18">
        <v>-2227.4756498336701</v>
      </c>
      <c r="G18" s="1">
        <v>40717</v>
      </c>
      <c r="H18">
        <v>-3662.5</v>
      </c>
    </row>
    <row r="19" spans="1:8" x14ac:dyDescent="0.25">
      <c r="A19" s="1"/>
      <c r="C19" s="1"/>
      <c r="E19" s="1">
        <v>40718</v>
      </c>
      <c r="F19">
        <v>-2076.3576231002799</v>
      </c>
      <c r="G19" s="1">
        <v>40718</v>
      </c>
      <c r="H19">
        <v>-3862.5</v>
      </c>
    </row>
    <row r="20" spans="1:8" x14ac:dyDescent="0.25">
      <c r="A20" s="1"/>
      <c r="C20" s="1"/>
      <c r="E20" s="1">
        <v>40721</v>
      </c>
      <c r="F20">
        <v>-1917.60730266571</v>
      </c>
      <c r="G20" s="1">
        <v>40721</v>
      </c>
      <c r="H20">
        <v>-4600</v>
      </c>
    </row>
    <row r="21" spans="1:8" x14ac:dyDescent="0.25">
      <c r="A21" s="1"/>
      <c r="C21" s="1"/>
      <c r="E21" s="1">
        <v>40722</v>
      </c>
      <c r="F21">
        <v>-2436.6160306930501</v>
      </c>
      <c r="G21" s="1">
        <v>40722</v>
      </c>
      <c r="H21">
        <v>-3662.5</v>
      </c>
    </row>
    <row r="22" spans="1:8" x14ac:dyDescent="0.25">
      <c r="A22" s="1"/>
      <c r="C22" s="1"/>
      <c r="E22" s="1">
        <v>40723</v>
      </c>
      <c r="F22">
        <v>-2558.85802745819</v>
      </c>
      <c r="G22" s="1">
        <v>40723</v>
      </c>
      <c r="H22">
        <v>-2875</v>
      </c>
    </row>
    <row r="23" spans="1:8" x14ac:dyDescent="0.25">
      <c r="A23" s="1"/>
      <c r="C23" s="1"/>
      <c r="E23" s="1">
        <v>40724</v>
      </c>
      <c r="F23">
        <v>-1738.68480968475</v>
      </c>
      <c r="G23" s="1">
        <v>40724</v>
      </c>
      <c r="H23">
        <v>-6825</v>
      </c>
    </row>
    <row r="24" spans="1:8" x14ac:dyDescent="0.25">
      <c r="A24" s="1"/>
      <c r="C24" s="1"/>
      <c r="E24" s="1">
        <v>40725</v>
      </c>
      <c r="F24">
        <v>-377.66881847381501</v>
      </c>
      <c r="G24" s="1">
        <v>40725</v>
      </c>
      <c r="H24">
        <v>-5237.5</v>
      </c>
    </row>
    <row r="25" spans="1:8" x14ac:dyDescent="0.25">
      <c r="A25" s="1"/>
      <c r="C25" s="1"/>
      <c r="E25" s="1">
        <v>40729</v>
      </c>
      <c r="F25">
        <v>-1033.65539073944</v>
      </c>
      <c r="G25" s="1">
        <v>40729</v>
      </c>
      <c r="H25">
        <v>-3600</v>
      </c>
    </row>
    <row r="26" spans="1:8" x14ac:dyDescent="0.25">
      <c r="A26" s="1"/>
      <c r="C26" s="1"/>
      <c r="E26" s="1">
        <v>40730</v>
      </c>
      <c r="F26">
        <v>-1030.06125926971</v>
      </c>
      <c r="G26" s="1">
        <v>40730</v>
      </c>
      <c r="H26">
        <v>-5087.5</v>
      </c>
    </row>
    <row r="27" spans="1:8" x14ac:dyDescent="0.25">
      <c r="A27" s="1"/>
      <c r="C27" s="1"/>
      <c r="E27" s="1">
        <v>40731</v>
      </c>
      <c r="F27">
        <v>-960.56401157379105</v>
      </c>
      <c r="G27" s="1">
        <v>40731</v>
      </c>
      <c r="H27">
        <v>-5225</v>
      </c>
    </row>
    <row r="28" spans="1:8" x14ac:dyDescent="0.25">
      <c r="A28" s="1"/>
      <c r="C28" s="1"/>
      <c r="E28" s="1">
        <v>40732</v>
      </c>
      <c r="F28">
        <v>-848.24632358551003</v>
      </c>
      <c r="G28" s="1">
        <v>40732</v>
      </c>
      <c r="H28">
        <v>-4425</v>
      </c>
    </row>
    <row r="29" spans="1:8" x14ac:dyDescent="0.25">
      <c r="A29" s="1"/>
      <c r="C29" s="1"/>
      <c r="E29" s="1">
        <v>40735</v>
      </c>
      <c r="F29">
        <v>-764.50728416442803</v>
      </c>
      <c r="G29" s="1">
        <v>40735</v>
      </c>
      <c r="H29">
        <v>-3862.5</v>
      </c>
    </row>
    <row r="30" spans="1:8" x14ac:dyDescent="0.25">
      <c r="A30" s="1"/>
      <c r="C30" s="1"/>
      <c r="E30" s="1">
        <v>40736</v>
      </c>
      <c r="F30">
        <v>-1043.0938320159901</v>
      </c>
      <c r="G30" s="1">
        <v>40736</v>
      </c>
      <c r="H30">
        <v>-2200</v>
      </c>
    </row>
    <row r="31" spans="1:8" x14ac:dyDescent="0.25">
      <c r="A31" s="1"/>
      <c r="C31" s="1"/>
      <c r="E31" s="1">
        <v>40737</v>
      </c>
      <c r="F31">
        <v>-1952.75209617614</v>
      </c>
      <c r="G31" s="1">
        <v>40737</v>
      </c>
      <c r="H31">
        <v>-1112.5</v>
      </c>
    </row>
    <row r="32" spans="1:8" x14ac:dyDescent="0.25">
      <c r="A32" s="1"/>
      <c r="C32" s="1"/>
      <c r="E32" s="1">
        <v>40738</v>
      </c>
      <c r="F32">
        <v>-2051.15846061706</v>
      </c>
      <c r="G32" s="1">
        <v>40738</v>
      </c>
      <c r="H32">
        <v>-1087.5</v>
      </c>
    </row>
    <row r="33" spans="1:8" x14ac:dyDescent="0.25">
      <c r="A33" s="1"/>
      <c r="C33" s="1"/>
      <c r="E33" s="1">
        <v>40739</v>
      </c>
      <c r="F33">
        <v>-2249.6400890350301</v>
      </c>
      <c r="G33" s="1">
        <v>40739</v>
      </c>
      <c r="H33">
        <v>-875</v>
      </c>
    </row>
    <row r="34" spans="1:8" x14ac:dyDescent="0.25">
      <c r="A34" s="1"/>
      <c r="C34" s="1"/>
      <c r="E34" s="1">
        <v>40742</v>
      </c>
      <c r="F34">
        <v>-2435.8354167938201</v>
      </c>
      <c r="G34" s="1">
        <v>40742</v>
      </c>
      <c r="H34">
        <v>-775</v>
      </c>
    </row>
    <row r="35" spans="1:8" x14ac:dyDescent="0.25">
      <c r="A35" s="1"/>
      <c r="C35" s="1"/>
      <c r="E35" s="1">
        <v>40743</v>
      </c>
      <c r="F35">
        <v>-2476.22924613952</v>
      </c>
      <c r="G35" s="1">
        <v>40743</v>
      </c>
      <c r="H35">
        <v>-400</v>
      </c>
    </row>
    <row r="36" spans="1:8" x14ac:dyDescent="0.25">
      <c r="A36" s="1"/>
      <c r="C36" s="1"/>
      <c r="E36" s="1">
        <v>40744</v>
      </c>
      <c r="F36">
        <v>-2219.4955348968501</v>
      </c>
      <c r="G36" s="1">
        <v>40744</v>
      </c>
      <c r="H36">
        <v>-912.5</v>
      </c>
    </row>
    <row r="37" spans="1:8" x14ac:dyDescent="0.25">
      <c r="A37" s="1"/>
      <c r="C37" s="1"/>
      <c r="E37" s="1">
        <v>40745</v>
      </c>
      <c r="F37">
        <v>-2099.3526210784898</v>
      </c>
      <c r="G37" s="1">
        <v>40745</v>
      </c>
      <c r="H37">
        <v>-1500</v>
      </c>
    </row>
    <row r="38" spans="1:8" x14ac:dyDescent="0.25">
      <c r="A38" s="1"/>
      <c r="C38" s="1"/>
      <c r="E38" s="1">
        <v>40746</v>
      </c>
      <c r="F38">
        <v>-2205.4688777923502</v>
      </c>
      <c r="G38" s="1">
        <v>40746</v>
      </c>
      <c r="H38">
        <v>-1250</v>
      </c>
    </row>
    <row r="39" spans="1:8" x14ac:dyDescent="0.25">
      <c r="A39" s="1"/>
      <c r="C39" s="1"/>
      <c r="E39" s="1">
        <v>40749</v>
      </c>
      <c r="F39">
        <v>-2119.3025264739899</v>
      </c>
      <c r="G39" s="1">
        <v>40749</v>
      </c>
      <c r="H39">
        <v>-1562.5</v>
      </c>
    </row>
    <row r="40" spans="1:8" x14ac:dyDescent="0.25">
      <c r="A40" s="1"/>
      <c r="C40" s="1"/>
      <c r="E40" s="1">
        <v>40750</v>
      </c>
      <c r="F40">
        <v>-2342.9608364105202</v>
      </c>
      <c r="G40" s="1">
        <v>40750</v>
      </c>
      <c r="H40">
        <v>-1125</v>
      </c>
    </row>
    <row r="41" spans="1:8" x14ac:dyDescent="0.25">
      <c r="A41" s="1"/>
      <c r="C41" s="1"/>
      <c r="E41" s="1">
        <v>40751</v>
      </c>
      <c r="F41">
        <v>-2357.1682825088501</v>
      </c>
      <c r="G41" s="1">
        <v>40751</v>
      </c>
      <c r="H41">
        <v>-1025</v>
      </c>
    </row>
    <row r="42" spans="1:8" x14ac:dyDescent="0.25">
      <c r="A42" s="1"/>
      <c r="C42" s="1"/>
      <c r="E42" s="1">
        <v>40752</v>
      </c>
      <c r="F42">
        <v>-2257.8618402481002</v>
      </c>
      <c r="G42" s="1">
        <v>40752</v>
      </c>
      <c r="H42">
        <v>-1362.5</v>
      </c>
    </row>
    <row r="43" spans="1:8" x14ac:dyDescent="0.25">
      <c r="A43" s="1"/>
      <c r="C43" s="1"/>
      <c r="E43" s="1">
        <v>40753</v>
      </c>
      <c r="F43">
        <v>-1629.85952091217</v>
      </c>
      <c r="G43" s="1">
        <v>40753</v>
      </c>
      <c r="H43">
        <v>-2325</v>
      </c>
    </row>
    <row r="44" spans="1:8" x14ac:dyDescent="0.25">
      <c r="A44" s="1"/>
      <c r="C44" s="1"/>
      <c r="E44" s="1">
        <v>40756</v>
      </c>
      <c r="F44">
        <v>-1803.3114862442001</v>
      </c>
      <c r="G44" s="1">
        <v>40756</v>
      </c>
      <c r="H44">
        <v>-1525</v>
      </c>
    </row>
    <row r="45" spans="1:8" x14ac:dyDescent="0.25">
      <c r="A45" s="1"/>
      <c r="C45" s="1"/>
      <c r="E45" s="1">
        <v>40757</v>
      </c>
      <c r="F45">
        <v>-1792.25124454498</v>
      </c>
      <c r="G45" s="1">
        <v>40757</v>
      </c>
      <c r="H45">
        <v>-150</v>
      </c>
    </row>
    <row r="46" spans="1:8" x14ac:dyDescent="0.25">
      <c r="A46" s="1"/>
      <c r="C46" s="1"/>
      <c r="E46" s="1">
        <v>40758</v>
      </c>
      <c r="F46">
        <v>-1837.5697717666601</v>
      </c>
      <c r="G46" s="1">
        <v>40758</v>
      </c>
      <c r="H46">
        <v>-212.5</v>
      </c>
    </row>
    <row r="47" spans="1:8" x14ac:dyDescent="0.25">
      <c r="A47" s="1"/>
      <c r="C47" s="1"/>
      <c r="E47" s="1">
        <v>40759</v>
      </c>
      <c r="F47">
        <v>-1779.7382440567001</v>
      </c>
      <c r="G47" s="1">
        <v>40759</v>
      </c>
      <c r="H47">
        <v>-1012.5</v>
      </c>
    </row>
    <row r="48" spans="1:8" x14ac:dyDescent="0.25">
      <c r="A48" s="1"/>
      <c r="C48" s="1"/>
      <c r="E48" s="1">
        <v>40760</v>
      </c>
      <c r="F48">
        <v>-1933.5725946426301</v>
      </c>
      <c r="G48" s="1">
        <v>40760</v>
      </c>
      <c r="H48">
        <v>-600</v>
      </c>
    </row>
    <row r="49" spans="1:8" x14ac:dyDescent="0.25">
      <c r="A49" s="1"/>
      <c r="C49" s="1"/>
      <c r="E49" s="1">
        <v>40763</v>
      </c>
      <c r="F49">
        <v>-1945.5725946426301</v>
      </c>
      <c r="G49" s="1">
        <v>40763</v>
      </c>
      <c r="H49">
        <v>-1625</v>
      </c>
    </row>
    <row r="50" spans="1:8" x14ac:dyDescent="0.25">
      <c r="A50" s="1"/>
      <c r="C50" s="1"/>
      <c r="E50" s="1">
        <v>40764</v>
      </c>
      <c r="F50">
        <v>-1999.34909915924</v>
      </c>
      <c r="G50" s="1">
        <v>40764</v>
      </c>
      <c r="H50">
        <v>-1612.5</v>
      </c>
    </row>
    <row r="51" spans="1:8" x14ac:dyDescent="0.25">
      <c r="A51" s="1"/>
      <c r="C51" s="1"/>
      <c r="E51" s="1">
        <v>40765</v>
      </c>
      <c r="F51">
        <v>-2017.18517398834</v>
      </c>
      <c r="G51" s="1">
        <v>40765</v>
      </c>
      <c r="H51">
        <v>-1550</v>
      </c>
    </row>
    <row r="52" spans="1:8" x14ac:dyDescent="0.25">
      <c r="A52" s="1"/>
      <c r="C52" s="1"/>
      <c r="E52" s="1">
        <v>40766</v>
      </c>
      <c r="F52">
        <v>-2436.7771234512302</v>
      </c>
      <c r="G52" s="1">
        <v>40766</v>
      </c>
      <c r="H52">
        <v>-275</v>
      </c>
    </row>
    <row r="53" spans="1:8" x14ac:dyDescent="0.25">
      <c r="A53" s="1"/>
      <c r="C53" s="1"/>
      <c r="E53" s="1">
        <v>40767</v>
      </c>
      <c r="F53">
        <v>-2442.7771234512302</v>
      </c>
      <c r="G53" s="1">
        <v>40767</v>
      </c>
      <c r="H53">
        <v>-337.5</v>
      </c>
    </row>
    <row r="54" spans="1:8" x14ac:dyDescent="0.25">
      <c r="A54" s="1"/>
      <c r="C54" s="1"/>
      <c r="E54" s="1">
        <v>40770</v>
      </c>
      <c r="F54">
        <v>-2419.0996217727602</v>
      </c>
      <c r="G54" s="1">
        <v>40770</v>
      </c>
      <c r="H54">
        <v>-300</v>
      </c>
    </row>
    <row r="55" spans="1:8" x14ac:dyDescent="0.25">
      <c r="A55" s="1"/>
      <c r="C55" s="1"/>
      <c r="E55" s="1">
        <v>40771</v>
      </c>
      <c r="F55">
        <v>-2700.3314943313599</v>
      </c>
      <c r="G55" s="1">
        <v>40771</v>
      </c>
      <c r="H55">
        <v>137.5</v>
      </c>
    </row>
    <row r="56" spans="1:8" x14ac:dyDescent="0.25">
      <c r="A56" s="1"/>
      <c r="C56" s="1"/>
      <c r="E56" s="1">
        <v>40772</v>
      </c>
      <c r="F56">
        <v>-2780.91270160675</v>
      </c>
      <c r="G56" s="1">
        <v>40772</v>
      </c>
      <c r="H56">
        <v>225</v>
      </c>
    </row>
    <row r="57" spans="1:8" x14ac:dyDescent="0.25">
      <c r="A57" s="1"/>
      <c r="C57" s="1"/>
      <c r="E57" s="1">
        <v>40773</v>
      </c>
      <c r="F57">
        <v>-2332.5175600051798</v>
      </c>
      <c r="G57" s="1">
        <v>40773</v>
      </c>
      <c r="H57">
        <v>-500</v>
      </c>
    </row>
    <row r="58" spans="1:8" x14ac:dyDescent="0.25">
      <c r="A58" s="1"/>
      <c r="C58" s="1"/>
      <c r="E58" s="1">
        <v>40774</v>
      </c>
      <c r="F58">
        <v>-3116.3486146926798</v>
      </c>
      <c r="G58" s="1">
        <v>40774</v>
      </c>
      <c r="H58">
        <v>87.5</v>
      </c>
    </row>
    <row r="59" spans="1:8" x14ac:dyDescent="0.25">
      <c r="A59" s="1"/>
      <c r="C59" s="1"/>
      <c r="E59" s="1">
        <v>40777</v>
      </c>
      <c r="F59">
        <v>-3348.86681842803</v>
      </c>
      <c r="G59" s="1">
        <v>40777</v>
      </c>
      <c r="H59">
        <v>350</v>
      </c>
    </row>
    <row r="60" spans="1:8" x14ac:dyDescent="0.25">
      <c r="A60" s="1"/>
      <c r="C60" s="1"/>
      <c r="E60" s="1">
        <v>40778</v>
      </c>
      <c r="F60">
        <v>-4152.2814226150504</v>
      </c>
      <c r="G60" s="1">
        <v>40778</v>
      </c>
      <c r="H60">
        <v>925</v>
      </c>
    </row>
    <row r="61" spans="1:8" x14ac:dyDescent="0.25">
      <c r="A61" s="1"/>
      <c r="C61" s="1"/>
      <c r="E61" s="1">
        <v>40779</v>
      </c>
      <c r="F61">
        <v>-4451.0626859664899</v>
      </c>
      <c r="G61" s="1">
        <v>40779</v>
      </c>
      <c r="H61">
        <v>1062.5</v>
      </c>
    </row>
    <row r="62" spans="1:8" x14ac:dyDescent="0.25">
      <c r="A62" s="1"/>
      <c r="C62" s="1"/>
      <c r="E62" s="1">
        <v>40780</v>
      </c>
      <c r="F62">
        <v>-4404.3154821395801</v>
      </c>
      <c r="G62" s="1">
        <v>40780</v>
      </c>
      <c r="H62">
        <v>1087.5</v>
      </c>
    </row>
    <row r="63" spans="1:8" x14ac:dyDescent="0.25">
      <c r="A63" s="1"/>
      <c r="C63" s="1"/>
      <c r="E63" s="1">
        <v>40781</v>
      </c>
      <c r="F63">
        <v>-5167.0454626083301</v>
      </c>
      <c r="G63" s="1">
        <v>40781</v>
      </c>
      <c r="H63">
        <v>2012.5</v>
      </c>
    </row>
    <row r="64" spans="1:8" x14ac:dyDescent="0.25">
      <c r="A64" s="1"/>
      <c r="C64" s="1"/>
      <c r="E64" s="1">
        <v>40784</v>
      </c>
      <c r="F64">
        <v>-5282.56410884857</v>
      </c>
      <c r="G64" s="1">
        <v>40784</v>
      </c>
      <c r="H64">
        <v>2412.5</v>
      </c>
    </row>
    <row r="65" spans="1:8" x14ac:dyDescent="0.25">
      <c r="A65" s="1"/>
      <c r="C65" s="1"/>
      <c r="E65" s="1">
        <v>40785</v>
      </c>
      <c r="F65">
        <v>-5232.3884801864597</v>
      </c>
      <c r="G65" s="1">
        <v>40785</v>
      </c>
      <c r="H65">
        <v>2662.5</v>
      </c>
    </row>
    <row r="66" spans="1:8" x14ac:dyDescent="0.25">
      <c r="A66" s="1"/>
      <c r="C66" s="1"/>
      <c r="E66" s="1">
        <v>40786</v>
      </c>
      <c r="F66">
        <v>-5299.4774656295704</v>
      </c>
      <c r="G66" s="1">
        <v>40786</v>
      </c>
      <c r="H66">
        <v>2525</v>
      </c>
    </row>
    <row r="67" spans="1:8" x14ac:dyDescent="0.25">
      <c r="A67" s="1"/>
      <c r="C67" s="1"/>
      <c r="E67" s="1">
        <v>40787</v>
      </c>
      <c r="F67">
        <v>-5235.7251462936401</v>
      </c>
      <c r="G67" s="1">
        <v>40787</v>
      </c>
      <c r="H67">
        <v>1375</v>
      </c>
    </row>
    <row r="68" spans="1:8" x14ac:dyDescent="0.25">
      <c r="A68" s="1"/>
      <c r="C68" s="1"/>
      <c r="E68" s="1">
        <v>40788</v>
      </c>
      <c r="F68">
        <v>-5254.1128110885602</v>
      </c>
      <c r="G68" s="1">
        <v>40788</v>
      </c>
      <c r="H68">
        <v>2025</v>
      </c>
    </row>
    <row r="69" spans="1:8" x14ac:dyDescent="0.25">
      <c r="A69" s="1"/>
      <c r="C69" s="1"/>
      <c r="E69" s="1">
        <v>40792</v>
      </c>
      <c r="F69">
        <v>-5314.7228116989099</v>
      </c>
      <c r="G69" s="1">
        <v>40792</v>
      </c>
      <c r="H69">
        <v>1925</v>
      </c>
    </row>
    <row r="70" spans="1:8" x14ac:dyDescent="0.25">
      <c r="A70" s="1"/>
      <c r="C70" s="1"/>
      <c r="E70" s="1">
        <v>40793</v>
      </c>
      <c r="F70">
        <v>-5150.2191495895304</v>
      </c>
      <c r="G70" s="1">
        <v>40793</v>
      </c>
      <c r="H70">
        <v>1300</v>
      </c>
    </row>
    <row r="71" spans="1:8" x14ac:dyDescent="0.25">
      <c r="A71" s="1"/>
      <c r="C71" s="1"/>
      <c r="E71" s="1">
        <v>40794</v>
      </c>
      <c r="F71">
        <v>-5542.3025541305497</v>
      </c>
      <c r="G71" s="1">
        <v>40794</v>
      </c>
      <c r="H71">
        <v>650</v>
      </c>
    </row>
    <row r="72" spans="1:8" x14ac:dyDescent="0.25">
      <c r="A72" s="1"/>
      <c r="C72" s="1"/>
      <c r="E72" s="1">
        <v>40795</v>
      </c>
      <c r="F72">
        <v>-5348.6255064010602</v>
      </c>
      <c r="G72" s="1">
        <v>40795</v>
      </c>
      <c r="H72">
        <v>950</v>
      </c>
    </row>
    <row r="73" spans="1:8" x14ac:dyDescent="0.25">
      <c r="A73" s="1"/>
      <c r="C73" s="1"/>
      <c r="E73" s="1">
        <v>40798</v>
      </c>
      <c r="F73">
        <v>-5005.5656156539899</v>
      </c>
      <c r="G73" s="1">
        <v>40798</v>
      </c>
      <c r="H73">
        <v>1137.5</v>
      </c>
    </row>
    <row r="74" spans="1:8" x14ac:dyDescent="0.25">
      <c r="A74" s="1"/>
      <c r="C74" s="1"/>
      <c r="E74" s="1">
        <v>40799</v>
      </c>
      <c r="F74">
        <v>-4712.9507169723502</v>
      </c>
      <c r="G74" s="1">
        <v>40799</v>
      </c>
      <c r="H74">
        <v>187.5</v>
      </c>
    </row>
    <row r="75" spans="1:8" x14ac:dyDescent="0.25">
      <c r="A75" s="1"/>
      <c r="C75" s="1"/>
      <c r="E75" s="1">
        <v>40800</v>
      </c>
      <c r="F75">
        <v>-4563.88537883758</v>
      </c>
      <c r="G75" s="1">
        <v>40800</v>
      </c>
      <c r="H75">
        <v>137.5</v>
      </c>
    </row>
    <row r="76" spans="1:8" x14ac:dyDescent="0.25">
      <c r="A76" s="1"/>
      <c r="C76" s="1"/>
      <c r="E76" s="1">
        <v>40801</v>
      </c>
      <c r="F76">
        <v>-2915.6987028121898</v>
      </c>
      <c r="G76" s="1">
        <v>40801</v>
      </c>
      <c r="H76">
        <v>-987.5</v>
      </c>
    </row>
    <row r="77" spans="1:8" x14ac:dyDescent="0.25">
      <c r="A77" s="1"/>
      <c r="C77" s="1"/>
      <c r="E77" s="1">
        <v>40802</v>
      </c>
      <c r="F77">
        <v>-2857.6152677536002</v>
      </c>
      <c r="G77" s="1">
        <v>40802</v>
      </c>
      <c r="H77">
        <v>-1487.5</v>
      </c>
    </row>
    <row r="78" spans="1:8" x14ac:dyDescent="0.25">
      <c r="A78" s="1"/>
      <c r="C78" s="1"/>
      <c r="E78" s="1">
        <v>40805</v>
      </c>
      <c r="F78">
        <v>-3109.9686613082799</v>
      </c>
      <c r="G78" s="1">
        <v>40805</v>
      </c>
      <c r="H78">
        <v>-1762.5</v>
      </c>
    </row>
    <row r="79" spans="1:8" x14ac:dyDescent="0.25">
      <c r="A79" s="1"/>
      <c r="C79" s="1"/>
      <c r="E79" s="1">
        <v>40806</v>
      </c>
      <c r="F79">
        <v>-3014.8326787948599</v>
      </c>
      <c r="G79" s="1">
        <v>40806</v>
      </c>
      <c r="H79">
        <v>-1600</v>
      </c>
    </row>
    <row r="80" spans="1:8" x14ac:dyDescent="0.25">
      <c r="A80" s="1"/>
      <c r="C80" s="1"/>
      <c r="E80" s="1">
        <v>40807</v>
      </c>
      <c r="F80">
        <v>-3024.4509478807399</v>
      </c>
      <c r="G80" s="1">
        <v>40807</v>
      </c>
      <c r="H80">
        <v>-1650</v>
      </c>
    </row>
    <row r="81" spans="1:8" x14ac:dyDescent="0.25">
      <c r="A81" s="1"/>
      <c r="C81" s="1"/>
      <c r="E81" s="1">
        <v>40808</v>
      </c>
      <c r="F81">
        <v>149.665140986442</v>
      </c>
      <c r="G81" s="1">
        <v>40808</v>
      </c>
      <c r="H81">
        <v>-3450</v>
      </c>
    </row>
    <row r="82" spans="1:8" x14ac:dyDescent="0.25">
      <c r="A82" s="1"/>
      <c r="C82" s="1"/>
      <c r="E82" s="1">
        <v>40809</v>
      </c>
      <c r="F82">
        <v>466.925150752067</v>
      </c>
      <c r="G82" s="1">
        <v>40809</v>
      </c>
      <c r="H82">
        <v>-3912.5</v>
      </c>
    </row>
    <row r="83" spans="1:8" x14ac:dyDescent="0.25">
      <c r="A83" s="1"/>
      <c r="C83" s="1"/>
      <c r="E83" s="1">
        <v>40812</v>
      </c>
      <c r="F83">
        <v>55.919527888297999</v>
      </c>
      <c r="G83" s="1">
        <v>40812</v>
      </c>
      <c r="H83">
        <v>-3650</v>
      </c>
    </row>
    <row r="84" spans="1:8" x14ac:dyDescent="0.25">
      <c r="A84" s="1"/>
      <c r="C84" s="1"/>
      <c r="E84" s="1">
        <v>40813</v>
      </c>
      <c r="F84">
        <v>19.874174609780301</v>
      </c>
      <c r="G84" s="1">
        <v>40813</v>
      </c>
      <c r="H84">
        <v>-3650</v>
      </c>
    </row>
    <row r="85" spans="1:8" x14ac:dyDescent="0.25">
      <c r="A85" s="1"/>
      <c r="C85" s="1"/>
      <c r="E85" s="1">
        <v>40814</v>
      </c>
      <c r="F85">
        <v>1179.34554912149</v>
      </c>
      <c r="G85" s="1">
        <v>40814</v>
      </c>
      <c r="H85">
        <v>-4500</v>
      </c>
    </row>
    <row r="86" spans="1:8" x14ac:dyDescent="0.25">
      <c r="A86" s="1"/>
      <c r="C86" s="1"/>
      <c r="E86" s="1">
        <v>40815</v>
      </c>
      <c r="F86">
        <v>1113.0732579380201</v>
      </c>
      <c r="G86" s="1">
        <v>40815</v>
      </c>
      <c r="H86">
        <v>-4437.5</v>
      </c>
    </row>
    <row r="87" spans="1:8" x14ac:dyDescent="0.25">
      <c r="A87" s="1"/>
      <c r="C87" s="1"/>
      <c r="E87" s="1">
        <v>40816</v>
      </c>
      <c r="F87">
        <v>1927.5110631138</v>
      </c>
      <c r="G87" s="1">
        <v>40816</v>
      </c>
      <c r="H87">
        <v>-6500</v>
      </c>
    </row>
    <row r="88" spans="1:8" x14ac:dyDescent="0.25">
      <c r="A88" s="1"/>
      <c r="C88" s="1"/>
      <c r="E88" s="1">
        <v>40819</v>
      </c>
      <c r="F88">
        <v>2075.8578610569198</v>
      </c>
      <c r="G88" s="1">
        <v>40819</v>
      </c>
      <c r="H88">
        <v>-6562.5</v>
      </c>
    </row>
    <row r="89" spans="1:8" x14ac:dyDescent="0.25">
      <c r="A89" s="1"/>
      <c r="C89" s="1"/>
      <c r="E89" s="1">
        <v>40820</v>
      </c>
      <c r="F89">
        <v>2067.7618098407902</v>
      </c>
      <c r="G89" s="1">
        <v>40820</v>
      </c>
      <c r="H89">
        <v>-6625</v>
      </c>
    </row>
    <row r="90" spans="1:8" x14ac:dyDescent="0.25">
      <c r="A90" s="1"/>
      <c r="C90" s="1"/>
      <c r="E90" s="1">
        <v>40821</v>
      </c>
      <c r="F90">
        <v>1853.1785197407</v>
      </c>
      <c r="G90" s="1">
        <v>40821</v>
      </c>
      <c r="H90">
        <v>-5812.5</v>
      </c>
    </row>
    <row r="91" spans="1:8" x14ac:dyDescent="0.25">
      <c r="A91" s="1"/>
      <c r="C91" s="1"/>
      <c r="E91" s="1">
        <v>40822</v>
      </c>
      <c r="F91">
        <v>1857.15088750422</v>
      </c>
      <c r="G91" s="1">
        <v>40822</v>
      </c>
      <c r="H91">
        <v>-5762.5</v>
      </c>
    </row>
    <row r="92" spans="1:8" x14ac:dyDescent="0.25">
      <c r="A92" s="1"/>
      <c r="C92" s="1"/>
      <c r="E92" s="1">
        <v>40823</v>
      </c>
      <c r="F92">
        <v>2055.7074747234501</v>
      </c>
      <c r="G92" s="1">
        <v>40823</v>
      </c>
      <c r="H92">
        <v>-6087.5</v>
      </c>
    </row>
    <row r="93" spans="1:8" x14ac:dyDescent="0.25">
      <c r="A93" s="1"/>
      <c r="C93" s="1"/>
      <c r="E93" s="1">
        <v>40827</v>
      </c>
      <c r="F93">
        <v>916.70375157892704</v>
      </c>
      <c r="G93" s="1">
        <v>40827</v>
      </c>
      <c r="H93">
        <v>-3887.5</v>
      </c>
    </row>
    <row r="94" spans="1:8" x14ac:dyDescent="0.25">
      <c r="A94" s="1"/>
      <c r="C94" s="1"/>
      <c r="E94" s="1">
        <v>40828</v>
      </c>
      <c r="F94">
        <v>1054.4475603252599</v>
      </c>
      <c r="G94" s="1">
        <v>40828</v>
      </c>
      <c r="H94">
        <v>-4275</v>
      </c>
    </row>
    <row r="95" spans="1:8" x14ac:dyDescent="0.25">
      <c r="A95" s="1"/>
      <c r="C95" s="1"/>
      <c r="E95" s="1">
        <v>40829</v>
      </c>
      <c r="F95">
        <v>1628.3059740215499</v>
      </c>
      <c r="G95" s="1">
        <v>40829</v>
      </c>
      <c r="H95">
        <v>-4237.5</v>
      </c>
    </row>
    <row r="96" spans="1:8" x14ac:dyDescent="0.25">
      <c r="A96" s="1"/>
      <c r="C96" s="1"/>
      <c r="E96" s="1">
        <v>40830</v>
      </c>
      <c r="F96">
        <v>1648.83270145952</v>
      </c>
      <c r="G96" s="1">
        <v>40830</v>
      </c>
      <c r="H96">
        <v>-4087.5</v>
      </c>
    </row>
    <row r="97" spans="1:8" x14ac:dyDescent="0.25">
      <c r="A97" s="1"/>
      <c r="C97" s="1"/>
      <c r="E97" s="1">
        <v>40833</v>
      </c>
      <c r="F97">
        <v>1810.8127429634301</v>
      </c>
      <c r="G97" s="1">
        <v>40833</v>
      </c>
      <c r="H97">
        <v>-4075</v>
      </c>
    </row>
    <row r="98" spans="1:8" x14ac:dyDescent="0.25">
      <c r="A98" s="1"/>
      <c r="C98" s="1"/>
      <c r="E98" s="1">
        <v>40834</v>
      </c>
      <c r="F98">
        <v>1995.7632302790801</v>
      </c>
      <c r="G98" s="1">
        <v>40834</v>
      </c>
      <c r="H98">
        <v>-3937.5</v>
      </c>
    </row>
    <row r="99" spans="1:8" x14ac:dyDescent="0.25">
      <c r="A99" s="1"/>
      <c r="C99" s="1"/>
      <c r="E99" s="1">
        <v>40835</v>
      </c>
      <c r="F99">
        <v>2190.4381532222001</v>
      </c>
      <c r="G99" s="1">
        <v>40835</v>
      </c>
      <c r="H99">
        <v>-3875</v>
      </c>
    </row>
    <row r="100" spans="1:8" x14ac:dyDescent="0.25">
      <c r="A100" s="1"/>
      <c r="C100" s="1"/>
      <c r="E100" s="1">
        <v>40836</v>
      </c>
      <c r="F100">
        <v>2303.69659610092</v>
      </c>
      <c r="G100" s="1">
        <v>40836</v>
      </c>
      <c r="H100">
        <v>-3737.5</v>
      </c>
    </row>
    <row r="101" spans="1:8" x14ac:dyDescent="0.25">
      <c r="A101" s="1"/>
      <c r="C101" s="1"/>
      <c r="E101" s="1">
        <v>40837</v>
      </c>
      <c r="F101">
        <v>2445.93466372787</v>
      </c>
      <c r="G101" s="1">
        <v>40837</v>
      </c>
      <c r="H101">
        <v>-3500</v>
      </c>
    </row>
    <row r="102" spans="1:8" x14ac:dyDescent="0.25">
      <c r="A102" s="1"/>
      <c r="C102" s="1"/>
      <c r="E102" s="1">
        <v>40840</v>
      </c>
      <c r="F102">
        <v>2451.1335200816302</v>
      </c>
      <c r="G102" s="1">
        <v>40840</v>
      </c>
      <c r="H102">
        <v>-3412.5</v>
      </c>
    </row>
    <row r="103" spans="1:8" x14ac:dyDescent="0.25">
      <c r="A103" s="1"/>
      <c r="C103" s="1"/>
      <c r="E103" s="1">
        <v>40841</v>
      </c>
      <c r="F103">
        <v>2454.8026561289998</v>
      </c>
      <c r="G103" s="1">
        <v>40841</v>
      </c>
      <c r="H103">
        <v>-3537.5</v>
      </c>
    </row>
    <row r="104" spans="1:8" x14ac:dyDescent="0.25">
      <c r="A104" s="1"/>
      <c r="C104" s="1"/>
      <c r="E104" s="1">
        <v>40842</v>
      </c>
      <c r="F104">
        <v>2312.9580516368101</v>
      </c>
      <c r="G104" s="1">
        <v>40842</v>
      </c>
      <c r="H104">
        <v>-4300</v>
      </c>
    </row>
    <row r="105" spans="1:8" x14ac:dyDescent="0.25">
      <c r="A105" s="1"/>
      <c r="C105" s="1"/>
      <c r="E105" s="1">
        <v>40843</v>
      </c>
      <c r="F105">
        <v>2744.5977153331</v>
      </c>
      <c r="G105" s="1">
        <v>40843</v>
      </c>
      <c r="H105">
        <v>-3537.5</v>
      </c>
    </row>
    <row r="106" spans="1:8" x14ac:dyDescent="0.25">
      <c r="A106" s="1"/>
      <c r="C106" s="1"/>
      <c r="E106" s="1">
        <v>40844</v>
      </c>
      <c r="F106">
        <v>2809.6417436152601</v>
      </c>
      <c r="G106" s="1">
        <v>40844</v>
      </c>
      <c r="H106">
        <v>-3562.5</v>
      </c>
    </row>
    <row r="107" spans="1:8" x14ac:dyDescent="0.25">
      <c r="A107" s="1"/>
      <c r="C107" s="1"/>
      <c r="E107" s="1">
        <v>40847</v>
      </c>
      <c r="F107">
        <v>3005.7370500117499</v>
      </c>
      <c r="G107" s="1">
        <v>40847</v>
      </c>
      <c r="H107">
        <v>-3987.5</v>
      </c>
    </row>
    <row r="108" spans="1:8" x14ac:dyDescent="0.25">
      <c r="A108" s="1"/>
      <c r="C108" s="1"/>
      <c r="E108" s="1">
        <v>40848</v>
      </c>
      <c r="F108">
        <v>2837.38107772171</v>
      </c>
      <c r="G108" s="1">
        <v>40848</v>
      </c>
      <c r="H108">
        <v>-3800</v>
      </c>
    </row>
    <row r="109" spans="1:8" x14ac:dyDescent="0.25">
      <c r="A109" s="1"/>
      <c r="C109" s="1"/>
      <c r="E109" s="1">
        <v>40849</v>
      </c>
      <c r="F109">
        <v>2891.8042268305999</v>
      </c>
      <c r="G109" s="1">
        <v>40849</v>
      </c>
      <c r="H109">
        <v>-3975</v>
      </c>
    </row>
    <row r="110" spans="1:8" x14ac:dyDescent="0.25">
      <c r="A110" s="1"/>
      <c r="C110" s="1"/>
      <c r="E110" s="1">
        <v>40850</v>
      </c>
      <c r="F110">
        <v>2565.0530976802102</v>
      </c>
      <c r="G110" s="1">
        <v>40850</v>
      </c>
      <c r="H110">
        <v>-3500</v>
      </c>
    </row>
    <row r="111" spans="1:8" x14ac:dyDescent="0.25">
      <c r="A111" s="1"/>
      <c r="C111" s="1"/>
      <c r="E111" s="1">
        <v>40851</v>
      </c>
      <c r="F111">
        <v>2559.0530976802102</v>
      </c>
      <c r="G111" s="1">
        <v>40851</v>
      </c>
      <c r="H111">
        <v>-3362.5</v>
      </c>
    </row>
    <row r="112" spans="1:8" x14ac:dyDescent="0.25">
      <c r="A112" s="1"/>
      <c r="C112" s="1"/>
      <c r="E112" s="1">
        <v>40854</v>
      </c>
      <c r="F112">
        <v>2600.1399621516398</v>
      </c>
      <c r="G112" s="1">
        <v>40854</v>
      </c>
      <c r="H112">
        <v>-3487.5</v>
      </c>
    </row>
    <row r="113" spans="1:8" x14ac:dyDescent="0.25">
      <c r="A113" s="1"/>
      <c r="C113" s="1"/>
      <c r="E113" s="1">
        <v>40855</v>
      </c>
      <c r="F113">
        <v>2264.0422448664899</v>
      </c>
      <c r="G113" s="1">
        <v>40855</v>
      </c>
      <c r="H113">
        <v>-3075</v>
      </c>
    </row>
    <row r="114" spans="1:8" x14ac:dyDescent="0.25">
      <c r="A114" s="1"/>
      <c r="C114" s="1"/>
      <c r="E114" s="1">
        <v>40856</v>
      </c>
      <c r="F114">
        <v>2354.7224816828898</v>
      </c>
      <c r="G114" s="1">
        <v>40856</v>
      </c>
      <c r="H114">
        <v>-3337.5</v>
      </c>
    </row>
    <row r="115" spans="1:8" x14ac:dyDescent="0.25">
      <c r="A115" s="1"/>
      <c r="C115" s="1"/>
      <c r="E115" s="1">
        <v>40857</v>
      </c>
      <c r="F115">
        <v>2854.2398767024201</v>
      </c>
      <c r="G115" s="1">
        <v>40857</v>
      </c>
      <c r="H115">
        <v>-3762.5</v>
      </c>
    </row>
    <row r="116" spans="1:8" x14ac:dyDescent="0.25">
      <c r="A116" s="1"/>
      <c r="C116" s="1"/>
      <c r="E116" s="1">
        <v>40861</v>
      </c>
      <c r="F116">
        <v>3720.6417321711701</v>
      </c>
      <c r="G116" s="1">
        <v>40861</v>
      </c>
      <c r="H116">
        <v>-4437.5</v>
      </c>
    </row>
    <row r="117" spans="1:8" x14ac:dyDescent="0.25">
      <c r="A117" s="1"/>
      <c r="C117" s="1"/>
      <c r="E117" s="1">
        <v>40862</v>
      </c>
      <c r="F117">
        <v>3644.9924401789899</v>
      </c>
      <c r="G117" s="1">
        <v>40862</v>
      </c>
      <c r="H117">
        <v>-4037.5</v>
      </c>
    </row>
    <row r="118" spans="1:8" x14ac:dyDescent="0.25">
      <c r="A118" s="1"/>
      <c r="C118" s="1"/>
      <c r="E118" s="1">
        <v>40863</v>
      </c>
      <c r="F118">
        <v>3795.1043672114602</v>
      </c>
      <c r="G118" s="1">
        <v>40863</v>
      </c>
      <c r="H118">
        <v>-4137.5</v>
      </c>
    </row>
    <row r="119" spans="1:8" x14ac:dyDescent="0.25">
      <c r="A119" s="1"/>
      <c r="C119" s="1"/>
      <c r="E119" s="1">
        <v>40864</v>
      </c>
      <c r="F119">
        <v>3739.88836379349</v>
      </c>
      <c r="G119" s="1">
        <v>40864</v>
      </c>
      <c r="H119">
        <v>-5537.5</v>
      </c>
    </row>
    <row r="120" spans="1:8" x14ac:dyDescent="0.25">
      <c r="A120" s="1"/>
      <c r="C120" s="1"/>
      <c r="E120" s="1">
        <v>40865</v>
      </c>
      <c r="F120">
        <v>3670.8913831263699</v>
      </c>
      <c r="G120" s="1">
        <v>40865</v>
      </c>
      <c r="H120">
        <v>-5787.5</v>
      </c>
    </row>
    <row r="121" spans="1:8" x14ac:dyDescent="0.25">
      <c r="A121" s="1"/>
      <c r="C121" s="1"/>
      <c r="E121" s="1">
        <v>40868</v>
      </c>
      <c r="F121">
        <v>3744.4407910853602</v>
      </c>
      <c r="G121" s="1">
        <v>40868</v>
      </c>
      <c r="H121">
        <v>-6237.5</v>
      </c>
    </row>
    <row r="122" spans="1:8" x14ac:dyDescent="0.25">
      <c r="A122" s="1"/>
      <c r="C122" s="1"/>
      <c r="E122" s="1">
        <v>40869</v>
      </c>
      <c r="F122">
        <v>3813.10438923537</v>
      </c>
      <c r="G122" s="1">
        <v>40869</v>
      </c>
      <c r="H122">
        <v>-6250</v>
      </c>
    </row>
    <row r="123" spans="1:8" x14ac:dyDescent="0.25">
      <c r="A123" s="1"/>
      <c r="C123" s="1"/>
      <c r="E123" s="1">
        <v>40870</v>
      </c>
      <c r="F123">
        <v>4010.1054401844699</v>
      </c>
      <c r="G123" s="1">
        <v>40870</v>
      </c>
      <c r="H123">
        <v>-6625</v>
      </c>
    </row>
    <row r="124" spans="1:8" x14ac:dyDescent="0.25">
      <c r="A124" s="1"/>
      <c r="C124" s="1"/>
      <c r="E124" s="1">
        <v>40872</v>
      </c>
      <c r="F124">
        <v>5015.2887745350599</v>
      </c>
      <c r="G124" s="1">
        <v>40872</v>
      </c>
      <c r="H124">
        <v>-7012.5</v>
      </c>
    </row>
    <row r="125" spans="1:8" x14ac:dyDescent="0.25">
      <c r="A125" s="1"/>
      <c r="C125" s="1"/>
      <c r="E125" s="1">
        <v>40875</v>
      </c>
      <c r="F125">
        <v>4115.9398060291996</v>
      </c>
      <c r="G125" s="1">
        <v>40875</v>
      </c>
      <c r="H125">
        <v>-6550</v>
      </c>
    </row>
    <row r="126" spans="1:8" x14ac:dyDescent="0.25">
      <c r="A126" s="1"/>
      <c r="C126" s="1"/>
      <c r="E126" s="1">
        <v>40876</v>
      </c>
      <c r="F126">
        <v>3521.1470814198201</v>
      </c>
      <c r="G126" s="1">
        <v>40876</v>
      </c>
      <c r="H126">
        <v>-6175</v>
      </c>
    </row>
    <row r="127" spans="1:8" x14ac:dyDescent="0.25">
      <c r="A127" s="1"/>
      <c r="C127" s="1"/>
      <c r="E127" s="1">
        <v>40877</v>
      </c>
      <c r="F127">
        <v>3369.7421360462899</v>
      </c>
      <c r="G127" s="1">
        <v>40877</v>
      </c>
      <c r="H127">
        <v>-5975</v>
      </c>
    </row>
    <row r="128" spans="1:8" x14ac:dyDescent="0.25">
      <c r="A128" s="1"/>
      <c r="C128" s="1"/>
      <c r="E128" s="1">
        <v>40878</v>
      </c>
      <c r="F128">
        <v>4008.1331577748001</v>
      </c>
      <c r="G128" s="1">
        <v>40878</v>
      </c>
      <c r="H128">
        <v>-6400</v>
      </c>
    </row>
    <row r="129" spans="1:8" x14ac:dyDescent="0.25">
      <c r="A129" s="1"/>
      <c r="C129" s="1"/>
      <c r="E129" s="1">
        <v>40879</v>
      </c>
      <c r="F129">
        <v>4961.3088932484297</v>
      </c>
      <c r="G129" s="1">
        <v>40879</v>
      </c>
      <c r="H129">
        <v>-6850</v>
      </c>
    </row>
    <row r="130" spans="1:8" x14ac:dyDescent="0.25">
      <c r="A130" s="1"/>
      <c r="C130" s="1"/>
      <c r="E130" s="1">
        <v>40882</v>
      </c>
      <c r="F130">
        <v>5303.8328190296797</v>
      </c>
      <c r="G130" s="1">
        <v>40882</v>
      </c>
      <c r="H130">
        <v>-7050</v>
      </c>
    </row>
    <row r="131" spans="1:8" x14ac:dyDescent="0.25">
      <c r="A131" s="1"/>
      <c r="C131" s="1"/>
      <c r="E131" s="1">
        <v>40883</v>
      </c>
      <c r="F131">
        <v>4928.9821567982399</v>
      </c>
      <c r="G131" s="1">
        <v>40883</v>
      </c>
      <c r="H131">
        <v>-6875</v>
      </c>
    </row>
    <row r="132" spans="1:8" x14ac:dyDescent="0.25">
      <c r="A132" s="1"/>
      <c r="C132" s="1"/>
      <c r="E132" s="1">
        <v>40884</v>
      </c>
      <c r="F132">
        <v>5218.6819858997997</v>
      </c>
      <c r="G132" s="1">
        <v>40884</v>
      </c>
      <c r="H132">
        <v>-7200</v>
      </c>
    </row>
    <row r="133" spans="1:8" x14ac:dyDescent="0.25">
      <c r="A133" s="1"/>
      <c r="C133" s="1"/>
      <c r="E133" s="1">
        <v>40885</v>
      </c>
      <c r="F133">
        <v>4932.2859898060497</v>
      </c>
      <c r="G133" s="1">
        <v>40885</v>
      </c>
      <c r="H133">
        <v>-6575</v>
      </c>
    </row>
    <row r="134" spans="1:8" x14ac:dyDescent="0.25">
      <c r="A134" s="1"/>
      <c r="C134" s="1"/>
      <c r="E134" s="1">
        <v>40886</v>
      </c>
      <c r="F134">
        <v>4658.5949650257799</v>
      </c>
      <c r="G134" s="1">
        <v>40886</v>
      </c>
      <c r="H134">
        <v>-7087.5</v>
      </c>
    </row>
    <row r="135" spans="1:8" x14ac:dyDescent="0.25">
      <c r="A135" s="1"/>
      <c r="C135" s="1"/>
      <c r="E135" s="1">
        <v>40889</v>
      </c>
      <c r="F135">
        <v>4927.3211307972597</v>
      </c>
      <c r="G135" s="1">
        <v>40889</v>
      </c>
      <c r="H135">
        <v>-6837.5</v>
      </c>
    </row>
    <row r="136" spans="1:8" x14ac:dyDescent="0.25">
      <c r="A136" s="1"/>
      <c r="C136" s="1"/>
      <c r="E136" s="1">
        <v>40890</v>
      </c>
      <c r="F136">
        <v>5014.8402424305596</v>
      </c>
      <c r="G136" s="1">
        <v>40890</v>
      </c>
      <c r="H136">
        <v>-6975</v>
      </c>
    </row>
    <row r="137" spans="1:8" x14ac:dyDescent="0.25">
      <c r="A137" s="1"/>
      <c r="C137" s="1"/>
      <c r="E137" s="1">
        <v>40891</v>
      </c>
      <c r="F137">
        <v>4867.5679645985301</v>
      </c>
      <c r="G137" s="1">
        <v>40891</v>
      </c>
      <c r="H137">
        <v>-7387.5</v>
      </c>
    </row>
    <row r="138" spans="1:8" x14ac:dyDescent="0.25">
      <c r="A138" s="1"/>
      <c r="C138" s="1"/>
      <c r="E138" s="1">
        <v>40892</v>
      </c>
      <c r="F138">
        <v>4729.3734074085896</v>
      </c>
      <c r="G138" s="1">
        <v>40892</v>
      </c>
      <c r="H138">
        <v>-7550</v>
      </c>
    </row>
    <row r="139" spans="1:8" x14ac:dyDescent="0.25">
      <c r="A139" s="1"/>
      <c r="C139" s="1"/>
      <c r="E139" s="1">
        <v>40893</v>
      </c>
      <c r="F139">
        <v>4831.3073940724098</v>
      </c>
      <c r="G139" s="1">
        <v>40893</v>
      </c>
      <c r="H139">
        <v>-7437.5</v>
      </c>
    </row>
    <row r="140" spans="1:8" x14ac:dyDescent="0.25">
      <c r="A140" s="1"/>
      <c r="C140" s="1"/>
      <c r="E140" s="1">
        <v>40896</v>
      </c>
      <c r="F140">
        <v>5480.1662807911598</v>
      </c>
      <c r="G140" s="1">
        <v>40896</v>
      </c>
      <c r="H140">
        <v>-6600</v>
      </c>
    </row>
    <row r="141" spans="1:8" x14ac:dyDescent="0.25">
      <c r="A141" s="1"/>
      <c r="C141" s="1"/>
      <c r="E141" s="1">
        <v>40897</v>
      </c>
      <c r="F141">
        <v>5614.0193920582497</v>
      </c>
      <c r="G141" s="1">
        <v>40897</v>
      </c>
      <c r="H141">
        <v>-6237.5</v>
      </c>
    </row>
    <row r="142" spans="1:8" x14ac:dyDescent="0.25">
      <c r="A142" s="1"/>
      <c r="C142" s="1"/>
      <c r="E142" s="1">
        <v>40898</v>
      </c>
      <c r="F142">
        <v>5504.84095577895</v>
      </c>
      <c r="G142" s="1">
        <v>40898</v>
      </c>
      <c r="H142">
        <v>-5825</v>
      </c>
    </row>
    <row r="143" spans="1:8" x14ac:dyDescent="0.25">
      <c r="A143" s="1"/>
      <c r="C143" s="1"/>
      <c r="E143" s="1">
        <v>40899</v>
      </c>
      <c r="F143">
        <v>5824.1595287769997</v>
      </c>
      <c r="G143" s="1">
        <v>40899</v>
      </c>
      <c r="H143">
        <v>-5450</v>
      </c>
    </row>
    <row r="144" spans="1:8" x14ac:dyDescent="0.25">
      <c r="A144" s="1"/>
      <c r="C144" s="1"/>
      <c r="E144" s="1">
        <v>40900</v>
      </c>
      <c r="F144">
        <v>5722.4403849095097</v>
      </c>
      <c r="G144" s="1">
        <v>40900</v>
      </c>
      <c r="H144">
        <v>-5512.5</v>
      </c>
    </row>
    <row r="145" spans="1:8" x14ac:dyDescent="0.25">
      <c r="A145" s="1"/>
      <c r="C145" s="1"/>
      <c r="E145" s="1">
        <v>40904</v>
      </c>
      <c r="F145">
        <v>6266.2661295384096</v>
      </c>
      <c r="G145" s="1">
        <v>40904</v>
      </c>
      <c r="H145">
        <v>-4925</v>
      </c>
    </row>
    <row r="146" spans="1:8" x14ac:dyDescent="0.25">
      <c r="A146" s="1"/>
      <c r="C146" s="1"/>
      <c r="E146" s="1">
        <v>40905</v>
      </c>
      <c r="F146">
        <v>6133.3042154759096</v>
      </c>
      <c r="G146" s="1">
        <v>40905</v>
      </c>
      <c r="H146">
        <v>-4400</v>
      </c>
    </row>
    <row r="147" spans="1:8" x14ac:dyDescent="0.25">
      <c r="A147" s="1"/>
      <c r="C147" s="1"/>
      <c r="E147" s="1">
        <v>40906</v>
      </c>
      <c r="F147">
        <v>6035.2187052220097</v>
      </c>
      <c r="G147" s="1">
        <v>40906</v>
      </c>
      <c r="H147">
        <v>-4712.5</v>
      </c>
    </row>
    <row r="148" spans="1:8" x14ac:dyDescent="0.25">
      <c r="A148" s="1"/>
      <c r="C148" s="1"/>
      <c r="E148" s="1">
        <v>40907</v>
      </c>
      <c r="F148">
        <v>5862.28788094222</v>
      </c>
      <c r="G148" s="1">
        <v>40907</v>
      </c>
      <c r="H148">
        <v>-4312.5</v>
      </c>
    </row>
    <row r="149" spans="1:8" x14ac:dyDescent="0.25">
      <c r="A149" s="1"/>
      <c r="C149" s="1"/>
      <c r="E149" s="1">
        <v>40911</v>
      </c>
      <c r="F149">
        <v>5839.9774866551097</v>
      </c>
      <c r="G149" s="1">
        <v>40911</v>
      </c>
      <c r="H149">
        <v>-3837.5</v>
      </c>
    </row>
    <row r="150" spans="1:8" x14ac:dyDescent="0.25">
      <c r="A150" s="1"/>
      <c r="C150" s="1"/>
      <c r="E150" s="1">
        <v>40912</v>
      </c>
      <c r="F150">
        <v>5834.7897305935603</v>
      </c>
      <c r="G150" s="1">
        <v>40912</v>
      </c>
      <c r="H150">
        <v>-3762.5</v>
      </c>
    </row>
    <row r="151" spans="1:8" x14ac:dyDescent="0.25">
      <c r="A151" s="1"/>
      <c r="C151" s="1"/>
      <c r="E151" s="1">
        <v>40913</v>
      </c>
      <c r="F151">
        <v>5723.6319013088896</v>
      </c>
      <c r="G151" s="1">
        <v>40913</v>
      </c>
      <c r="H151">
        <v>-4337.5</v>
      </c>
    </row>
    <row r="152" spans="1:8" x14ac:dyDescent="0.25">
      <c r="A152" s="1"/>
      <c r="C152" s="1"/>
      <c r="E152" s="1">
        <v>40914</v>
      </c>
      <c r="F152">
        <v>5762.5215249508601</v>
      </c>
      <c r="G152" s="1">
        <v>40914</v>
      </c>
      <c r="H152">
        <v>-4262.5</v>
      </c>
    </row>
    <row r="153" spans="1:8" x14ac:dyDescent="0.25">
      <c r="A153" s="1"/>
      <c r="C153" s="1"/>
      <c r="E153" s="1">
        <v>40917</v>
      </c>
      <c r="F153">
        <v>5721.3055062740996</v>
      </c>
      <c r="G153" s="1">
        <v>40917</v>
      </c>
      <c r="H153">
        <v>-3862.5</v>
      </c>
    </row>
    <row r="154" spans="1:8" x14ac:dyDescent="0.25">
      <c r="A154" s="1"/>
      <c r="C154" s="1"/>
      <c r="E154" s="1">
        <v>40918</v>
      </c>
      <c r="F154">
        <v>5769.6015382260002</v>
      </c>
      <c r="G154" s="1">
        <v>40918</v>
      </c>
      <c r="H154">
        <v>-3850</v>
      </c>
    </row>
    <row r="155" spans="1:8" x14ac:dyDescent="0.25">
      <c r="A155" s="1"/>
      <c r="C155" s="1"/>
      <c r="E155" s="1">
        <v>40919</v>
      </c>
      <c r="F155">
        <v>5736.4788575619395</v>
      </c>
      <c r="G155" s="1">
        <v>40919</v>
      </c>
      <c r="H155">
        <v>-3987.5</v>
      </c>
    </row>
    <row r="156" spans="1:8" x14ac:dyDescent="0.25">
      <c r="A156" s="1"/>
      <c r="C156" s="1"/>
      <c r="E156" s="1">
        <v>40920</v>
      </c>
      <c r="F156">
        <v>5890.4279542416298</v>
      </c>
      <c r="G156" s="1">
        <v>40920</v>
      </c>
      <c r="H156">
        <v>-5987.5</v>
      </c>
    </row>
    <row r="157" spans="1:8" x14ac:dyDescent="0.25">
      <c r="A157" s="1"/>
      <c r="C157" s="1"/>
      <c r="E157" s="1">
        <v>40921</v>
      </c>
      <c r="F157">
        <v>6118.3414521664299</v>
      </c>
      <c r="G157" s="1">
        <v>40921</v>
      </c>
      <c r="H157">
        <v>-6475</v>
      </c>
    </row>
    <row r="158" spans="1:8" x14ac:dyDescent="0.25">
      <c r="A158" s="1"/>
      <c r="C158" s="1"/>
      <c r="E158" s="1">
        <v>40925</v>
      </c>
      <c r="F158">
        <v>6222.9759126156496</v>
      </c>
      <c r="G158" s="1">
        <v>40925</v>
      </c>
      <c r="H158">
        <v>-6200</v>
      </c>
    </row>
    <row r="159" spans="1:8" x14ac:dyDescent="0.25">
      <c r="A159" s="1"/>
      <c r="C159" s="1"/>
      <c r="E159" s="1">
        <v>40926</v>
      </c>
      <c r="F159">
        <v>5743.4490266293196</v>
      </c>
      <c r="G159" s="1">
        <v>40926</v>
      </c>
      <c r="H159">
        <v>-6837.5</v>
      </c>
    </row>
    <row r="160" spans="1:8" x14ac:dyDescent="0.25">
      <c r="A160" s="1"/>
      <c r="C160" s="1"/>
      <c r="E160" s="1">
        <v>40927</v>
      </c>
      <c r="F160">
        <v>5607.7625337093996</v>
      </c>
      <c r="G160" s="1">
        <v>40927</v>
      </c>
      <c r="H160">
        <v>-6350</v>
      </c>
    </row>
    <row r="161" spans="1:8" x14ac:dyDescent="0.25">
      <c r="A161" s="1"/>
      <c r="C161" s="1"/>
      <c r="E161" s="1">
        <v>40928</v>
      </c>
      <c r="F161">
        <v>5607.7625337093996</v>
      </c>
      <c r="G161" s="1">
        <v>40928</v>
      </c>
      <c r="H161">
        <v>-6162.5</v>
      </c>
    </row>
    <row r="162" spans="1:8" x14ac:dyDescent="0.25">
      <c r="A162" s="1"/>
      <c r="C162" s="1"/>
      <c r="E162" s="1">
        <v>40931</v>
      </c>
      <c r="F162">
        <v>5607.7625337093996</v>
      </c>
      <c r="G162" s="1">
        <v>40931</v>
      </c>
      <c r="H162">
        <v>-5575</v>
      </c>
    </row>
    <row r="163" spans="1:8" x14ac:dyDescent="0.25">
      <c r="A163" s="1"/>
      <c r="C163" s="1"/>
      <c r="E163" s="1">
        <v>40932</v>
      </c>
      <c r="F163">
        <v>5607.7625337093996</v>
      </c>
      <c r="G163" s="1">
        <v>40932</v>
      </c>
      <c r="H163">
        <v>-4950</v>
      </c>
    </row>
    <row r="164" spans="1:8" x14ac:dyDescent="0.25">
      <c r="A164" s="1"/>
      <c r="C164" s="1"/>
      <c r="E164" s="1">
        <v>40933</v>
      </c>
      <c r="F164">
        <v>5607.7625337093996</v>
      </c>
      <c r="G164" s="1">
        <v>40933</v>
      </c>
      <c r="H164">
        <v>-4837.5</v>
      </c>
    </row>
    <row r="165" spans="1:8" x14ac:dyDescent="0.25">
      <c r="A165" s="1"/>
      <c r="C165" s="1"/>
      <c r="E165" s="1">
        <v>40934</v>
      </c>
      <c r="F165">
        <v>5601.7625337093996</v>
      </c>
      <c r="G165" s="1">
        <v>40934</v>
      </c>
      <c r="H165">
        <v>-4625</v>
      </c>
    </row>
    <row r="166" spans="1:8" x14ac:dyDescent="0.25">
      <c r="A166" s="1"/>
      <c r="C166" s="1"/>
      <c r="E166" s="1">
        <v>40935</v>
      </c>
      <c r="F166">
        <v>5600.0781848877596</v>
      </c>
      <c r="G166" s="1">
        <v>40935</v>
      </c>
      <c r="H166">
        <v>-4625</v>
      </c>
    </row>
    <row r="167" spans="1:8" x14ac:dyDescent="0.25">
      <c r="A167" s="1"/>
      <c r="C167" s="1"/>
      <c r="E167" s="1">
        <v>40938</v>
      </c>
      <c r="F167">
        <v>5782.22639350593</v>
      </c>
      <c r="G167" s="1">
        <v>40938</v>
      </c>
      <c r="H167">
        <v>-5025</v>
      </c>
    </row>
    <row r="168" spans="1:8" x14ac:dyDescent="0.25">
      <c r="A168" s="1"/>
      <c r="C168" s="1"/>
      <c r="E168" s="1">
        <v>40939</v>
      </c>
      <c r="F168">
        <v>5687.1384494751601</v>
      </c>
      <c r="G168" s="1">
        <v>40939</v>
      </c>
      <c r="H168">
        <v>-4787.5</v>
      </c>
    </row>
    <row r="169" spans="1:8" x14ac:dyDescent="0.25">
      <c r="A169" s="1"/>
      <c r="C169" s="1"/>
      <c r="E169" s="1">
        <v>40940</v>
      </c>
      <c r="F169">
        <v>5699.75958900153</v>
      </c>
      <c r="G169" s="1">
        <v>40940</v>
      </c>
      <c r="H169">
        <v>-4387.5</v>
      </c>
    </row>
    <row r="170" spans="1:8" x14ac:dyDescent="0.25">
      <c r="A170" s="1"/>
      <c r="C170" s="1"/>
      <c r="E170" s="1">
        <v>40941</v>
      </c>
      <c r="F170">
        <v>5762.3720691651097</v>
      </c>
      <c r="G170" s="1">
        <v>40941</v>
      </c>
      <c r="H170">
        <v>-4562.5</v>
      </c>
    </row>
    <row r="171" spans="1:8" x14ac:dyDescent="0.25">
      <c r="A171" s="1"/>
      <c r="C171" s="1"/>
      <c r="E171" s="1">
        <v>40942</v>
      </c>
      <c r="F171">
        <v>5686.2273929566099</v>
      </c>
      <c r="G171" s="1">
        <v>40942</v>
      </c>
      <c r="H171">
        <v>-4450</v>
      </c>
    </row>
    <row r="172" spans="1:8" x14ac:dyDescent="0.25">
      <c r="A172" s="1"/>
      <c r="C172" s="1"/>
      <c r="E172" s="1">
        <v>40945</v>
      </c>
      <c r="F172">
        <v>5662.0476482361501</v>
      </c>
      <c r="G172" s="1">
        <v>40945</v>
      </c>
      <c r="H172">
        <v>-4400</v>
      </c>
    </row>
    <row r="173" spans="1:8" x14ac:dyDescent="0.25">
      <c r="A173" s="1"/>
      <c r="C173" s="1"/>
      <c r="E173" s="1">
        <v>40946</v>
      </c>
      <c r="F173">
        <v>5656.0476482361501</v>
      </c>
      <c r="G173" s="1">
        <v>40946</v>
      </c>
      <c r="H173">
        <v>-4475</v>
      </c>
    </row>
    <row r="174" spans="1:8" x14ac:dyDescent="0.25">
      <c r="A174" s="1"/>
      <c r="C174" s="1"/>
      <c r="E174" s="1">
        <v>40947</v>
      </c>
      <c r="F174">
        <v>5645.5735004395201</v>
      </c>
      <c r="G174" s="1">
        <v>40947</v>
      </c>
      <c r="H174">
        <v>-4425</v>
      </c>
    </row>
    <row r="175" spans="1:8" x14ac:dyDescent="0.25">
      <c r="A175" s="1"/>
      <c r="C175" s="1"/>
      <c r="E175" s="1">
        <v>40948</v>
      </c>
      <c r="F175">
        <v>5633.5735004395201</v>
      </c>
      <c r="G175" s="1">
        <v>40948</v>
      </c>
      <c r="H175">
        <v>-4925</v>
      </c>
    </row>
    <row r="176" spans="1:8" x14ac:dyDescent="0.25">
      <c r="A176" s="1"/>
      <c r="C176" s="1"/>
      <c r="E176" s="1">
        <v>40949</v>
      </c>
      <c r="F176">
        <v>5757.52374152839</v>
      </c>
      <c r="G176" s="1">
        <v>40949</v>
      </c>
      <c r="H176">
        <v>-5087.5</v>
      </c>
    </row>
    <row r="177" spans="1:8" x14ac:dyDescent="0.25">
      <c r="A177" s="1"/>
      <c r="C177" s="1"/>
      <c r="E177" s="1">
        <v>40952</v>
      </c>
      <c r="F177">
        <v>5869.0666492432301</v>
      </c>
      <c r="G177" s="1">
        <v>40952</v>
      </c>
      <c r="H177">
        <v>-4787.5</v>
      </c>
    </row>
    <row r="178" spans="1:8" x14ac:dyDescent="0.25">
      <c r="A178" s="1"/>
      <c r="C178" s="1"/>
      <c r="E178" s="1">
        <v>40953</v>
      </c>
      <c r="F178">
        <v>5940.6845844238997</v>
      </c>
      <c r="G178" s="1">
        <v>40953</v>
      </c>
      <c r="H178">
        <v>-4900</v>
      </c>
    </row>
    <row r="179" spans="1:8" x14ac:dyDescent="0.25">
      <c r="A179" s="1"/>
      <c r="C179" s="1"/>
      <c r="E179" s="1">
        <v>40954</v>
      </c>
      <c r="F179">
        <v>6367.3042591065096</v>
      </c>
      <c r="G179" s="1">
        <v>40954</v>
      </c>
      <c r="H179">
        <v>-5225</v>
      </c>
    </row>
    <row r="180" spans="1:8" x14ac:dyDescent="0.25">
      <c r="A180" s="1"/>
      <c r="C180" s="1"/>
      <c r="E180" s="1">
        <v>40955</v>
      </c>
      <c r="F180">
        <v>6293.1276996582701</v>
      </c>
      <c r="G180" s="1">
        <v>40955</v>
      </c>
      <c r="H180">
        <v>-4887.5</v>
      </c>
    </row>
    <row r="181" spans="1:8" x14ac:dyDescent="0.25">
      <c r="A181" s="1"/>
      <c r="C181" s="1"/>
      <c r="E181" s="1">
        <v>40956</v>
      </c>
      <c r="F181">
        <v>5982.2427204102196</v>
      </c>
      <c r="G181" s="1">
        <v>40956</v>
      </c>
      <c r="H181">
        <v>-4400</v>
      </c>
    </row>
    <row r="182" spans="1:8" x14ac:dyDescent="0.25">
      <c r="A182" s="1"/>
      <c r="C182" s="1"/>
      <c r="E182" s="1">
        <v>40960</v>
      </c>
      <c r="F182">
        <v>6285.8979022949898</v>
      </c>
      <c r="G182" s="1">
        <v>40960</v>
      </c>
      <c r="H182">
        <v>-5087.5</v>
      </c>
    </row>
    <row r="183" spans="1:8" x14ac:dyDescent="0.25">
      <c r="A183" s="1"/>
      <c r="C183" s="1"/>
      <c r="E183" s="1">
        <v>40961</v>
      </c>
      <c r="F183">
        <v>6318.8049457520201</v>
      </c>
      <c r="G183" s="1">
        <v>40961</v>
      </c>
      <c r="H183">
        <v>-4737.5</v>
      </c>
    </row>
    <row r="184" spans="1:8" x14ac:dyDescent="0.25">
      <c r="A184" s="1"/>
      <c r="C184" s="1"/>
      <c r="E184" s="1">
        <v>40962</v>
      </c>
      <c r="F184">
        <v>6373.2474945038502</v>
      </c>
      <c r="G184" s="1">
        <v>40962</v>
      </c>
      <c r="H184">
        <v>-4625</v>
      </c>
    </row>
    <row r="185" spans="1:8" x14ac:dyDescent="0.25">
      <c r="A185" s="1"/>
      <c r="C185" s="1"/>
      <c r="E185" s="1">
        <v>40963</v>
      </c>
      <c r="F185">
        <v>6424.4842231720604</v>
      </c>
      <c r="G185" s="1">
        <v>40963</v>
      </c>
      <c r="H185">
        <v>-4512.5</v>
      </c>
    </row>
    <row r="186" spans="1:8" x14ac:dyDescent="0.25">
      <c r="A186" s="1"/>
      <c r="C186" s="1"/>
      <c r="E186" s="1">
        <v>40966</v>
      </c>
      <c r="F186">
        <v>6558.5249031037001</v>
      </c>
      <c r="G186" s="1">
        <v>40966</v>
      </c>
      <c r="H186">
        <v>-4350</v>
      </c>
    </row>
    <row r="187" spans="1:8" x14ac:dyDescent="0.25">
      <c r="A187" s="1"/>
      <c r="C187" s="1"/>
      <c r="E187" s="1">
        <v>40967</v>
      </c>
      <c r="F187">
        <v>6708.8145301789</v>
      </c>
      <c r="G187" s="1">
        <v>40967</v>
      </c>
      <c r="H187">
        <v>-3987.5</v>
      </c>
    </row>
    <row r="188" spans="1:8" x14ac:dyDescent="0.25">
      <c r="A188" s="1"/>
      <c r="C188" s="1"/>
      <c r="E188" s="1">
        <v>40968</v>
      </c>
      <c r="F188">
        <v>6597.4016502350496</v>
      </c>
      <c r="G188" s="1">
        <v>40968</v>
      </c>
      <c r="H188">
        <v>-3687.5</v>
      </c>
    </row>
    <row r="189" spans="1:8" x14ac:dyDescent="0.25">
      <c r="A189" s="1"/>
      <c r="C189" s="1"/>
      <c r="E189" s="1">
        <v>40969</v>
      </c>
      <c r="F189">
        <v>7199.4669425934499</v>
      </c>
      <c r="G189" s="1">
        <v>40969</v>
      </c>
      <c r="H189">
        <v>-3887.5</v>
      </c>
    </row>
    <row r="190" spans="1:8" x14ac:dyDescent="0.25">
      <c r="A190" s="1"/>
      <c r="C190" s="1"/>
      <c r="E190" s="1">
        <v>40970</v>
      </c>
      <c r="F190">
        <v>7703.6093452423802</v>
      </c>
      <c r="G190" s="1">
        <v>40970</v>
      </c>
      <c r="H190">
        <v>-3862.5</v>
      </c>
    </row>
    <row r="191" spans="1:8" x14ac:dyDescent="0.25">
      <c r="A191" s="1"/>
      <c r="C191" s="1"/>
      <c r="E191" s="1">
        <v>40973</v>
      </c>
      <c r="F191">
        <v>6530.9650886505797</v>
      </c>
      <c r="G191" s="1">
        <v>40973</v>
      </c>
      <c r="H191">
        <v>-3300</v>
      </c>
    </row>
    <row r="192" spans="1:8" x14ac:dyDescent="0.25">
      <c r="A192" s="1"/>
      <c r="C192" s="1"/>
      <c r="E192" s="1">
        <v>40974</v>
      </c>
      <c r="F192">
        <v>6803.3900611847603</v>
      </c>
      <c r="G192" s="1">
        <v>40974</v>
      </c>
      <c r="H192">
        <v>-3462.5</v>
      </c>
    </row>
    <row r="193" spans="1:8" x14ac:dyDescent="0.25">
      <c r="A193" s="1"/>
      <c r="C193" s="1"/>
      <c r="E193" s="1">
        <v>40975</v>
      </c>
      <c r="F193">
        <v>8274.5677955597603</v>
      </c>
      <c r="G193" s="1">
        <v>40975</v>
      </c>
      <c r="H193">
        <v>-4325</v>
      </c>
    </row>
    <row r="194" spans="1:8" x14ac:dyDescent="0.25">
      <c r="A194" s="1"/>
      <c r="C194" s="1"/>
      <c r="E194" s="1">
        <v>40976</v>
      </c>
      <c r="F194">
        <v>8510.9573677033095</v>
      </c>
      <c r="G194" s="1">
        <v>40976</v>
      </c>
      <c r="H194">
        <v>-4425</v>
      </c>
    </row>
    <row r="195" spans="1:8" x14ac:dyDescent="0.25">
      <c r="A195" s="1"/>
      <c r="C195" s="1"/>
      <c r="E195" s="1">
        <v>40977</v>
      </c>
      <c r="F195">
        <v>8741.3319862335902</v>
      </c>
      <c r="G195" s="1">
        <v>40977</v>
      </c>
      <c r="H195">
        <v>-3925</v>
      </c>
    </row>
    <row r="196" spans="1:8" x14ac:dyDescent="0.25">
      <c r="A196" s="1"/>
      <c r="C196" s="1"/>
      <c r="E196" s="1">
        <v>40980</v>
      </c>
      <c r="F196">
        <v>9527.2715309113191</v>
      </c>
      <c r="G196" s="1">
        <v>40980</v>
      </c>
      <c r="H196">
        <v>-3212.5</v>
      </c>
    </row>
    <row r="197" spans="1:8" x14ac:dyDescent="0.25">
      <c r="A197" s="1"/>
      <c r="C197" s="1"/>
      <c r="E197" s="1">
        <v>40981</v>
      </c>
      <c r="F197">
        <v>9750.3565683811903</v>
      </c>
      <c r="G197" s="1">
        <v>40981</v>
      </c>
      <c r="H197">
        <v>-3062.5</v>
      </c>
    </row>
    <row r="198" spans="1:8" x14ac:dyDescent="0.25">
      <c r="A198" s="1"/>
      <c r="C198" s="1"/>
      <c r="E198" s="1">
        <v>40982</v>
      </c>
      <c r="F198">
        <v>9946.3602571934407</v>
      </c>
      <c r="G198" s="1">
        <v>40982</v>
      </c>
      <c r="H198">
        <v>-3237.5</v>
      </c>
    </row>
    <row r="199" spans="1:8" x14ac:dyDescent="0.25">
      <c r="A199" s="1"/>
      <c r="C199" s="1"/>
      <c r="E199" s="1">
        <v>40983</v>
      </c>
      <c r="F199">
        <v>8415.24197106063</v>
      </c>
      <c r="G199" s="1">
        <v>40983</v>
      </c>
      <c r="H199">
        <v>-2662.5</v>
      </c>
    </row>
    <row r="200" spans="1:8" x14ac:dyDescent="0.25">
      <c r="A200" s="1"/>
      <c r="C200" s="1"/>
      <c r="E200" s="1">
        <v>40984</v>
      </c>
      <c r="F200">
        <v>7859.6454744785997</v>
      </c>
      <c r="G200" s="1">
        <v>40984</v>
      </c>
      <c r="H200">
        <v>-2537.5</v>
      </c>
    </row>
    <row r="201" spans="1:8" x14ac:dyDescent="0.25">
      <c r="A201" s="1"/>
      <c r="C201" s="1"/>
      <c r="E201" s="1">
        <v>40987</v>
      </c>
      <c r="F201">
        <v>8334.1503191441298</v>
      </c>
      <c r="G201" s="1">
        <v>40987</v>
      </c>
      <c r="H201">
        <v>-2712.5</v>
      </c>
    </row>
    <row r="202" spans="1:8" x14ac:dyDescent="0.25">
      <c r="A202" s="1"/>
      <c r="C202" s="1"/>
      <c r="E202" s="1">
        <v>40988</v>
      </c>
      <c r="F202">
        <v>12291.257435843299</v>
      </c>
      <c r="G202" s="1">
        <v>40988</v>
      </c>
      <c r="H202">
        <v>-3750</v>
      </c>
    </row>
    <row r="203" spans="1:8" x14ac:dyDescent="0.25">
      <c r="A203" s="1"/>
      <c r="C203" s="1"/>
      <c r="E203" s="1">
        <v>40989</v>
      </c>
      <c r="F203">
        <v>12642.079717680799</v>
      </c>
      <c r="G203" s="1">
        <v>40989</v>
      </c>
      <c r="H203">
        <v>-3850</v>
      </c>
    </row>
    <row r="204" spans="1:8" x14ac:dyDescent="0.25">
      <c r="A204" s="1"/>
      <c r="C204" s="1"/>
      <c r="E204" s="1">
        <v>40990</v>
      </c>
      <c r="F204">
        <v>12753.158166929999</v>
      </c>
      <c r="G204" s="1">
        <v>40990</v>
      </c>
      <c r="H204">
        <v>-3900</v>
      </c>
    </row>
    <row r="205" spans="1:8" x14ac:dyDescent="0.25">
      <c r="A205" s="1"/>
      <c r="C205" s="1"/>
      <c r="E205" s="1">
        <v>40991</v>
      </c>
      <c r="F205">
        <v>12749.0353517979</v>
      </c>
      <c r="G205" s="1">
        <v>40991</v>
      </c>
      <c r="H205">
        <v>-3887.5</v>
      </c>
    </row>
    <row r="206" spans="1:8" x14ac:dyDescent="0.25">
      <c r="A206" s="1"/>
      <c r="C206" s="1"/>
      <c r="E206" s="1">
        <v>40994</v>
      </c>
      <c r="F206">
        <v>13002.326170966</v>
      </c>
      <c r="G206" s="1">
        <v>40994</v>
      </c>
      <c r="H206">
        <v>-3987.5</v>
      </c>
    </row>
    <row r="207" spans="1:8" x14ac:dyDescent="0.25">
      <c r="A207" s="1"/>
      <c r="C207" s="1"/>
      <c r="E207" s="1">
        <v>40995</v>
      </c>
      <c r="F207">
        <v>13574.7676077336</v>
      </c>
      <c r="G207" s="1">
        <v>40995</v>
      </c>
      <c r="H207">
        <v>-4337.5</v>
      </c>
    </row>
    <row r="208" spans="1:8" x14ac:dyDescent="0.25">
      <c r="A208" s="1"/>
      <c r="C208" s="1"/>
      <c r="E208" s="1">
        <v>40996</v>
      </c>
      <c r="F208">
        <v>14279.8095236271</v>
      </c>
      <c r="G208" s="1">
        <v>40996</v>
      </c>
      <c r="H208">
        <v>-4937.5</v>
      </c>
    </row>
    <row r="209" spans="1:8" x14ac:dyDescent="0.25">
      <c r="A209" s="1"/>
      <c r="C209" s="1"/>
      <c r="E209" s="1">
        <v>40997</v>
      </c>
      <c r="F209">
        <v>15003.202879950401</v>
      </c>
      <c r="G209" s="1">
        <v>40997</v>
      </c>
      <c r="H209">
        <v>-5600</v>
      </c>
    </row>
    <row r="210" spans="1:8" x14ac:dyDescent="0.25">
      <c r="A210" s="1"/>
      <c r="C210" s="1"/>
      <c r="E210" s="1">
        <v>40998</v>
      </c>
      <c r="F210">
        <v>14446.930480048</v>
      </c>
      <c r="G210" s="1">
        <v>40998</v>
      </c>
      <c r="H210">
        <v>-3837.5</v>
      </c>
    </row>
    <row r="211" spans="1:8" x14ac:dyDescent="0.25">
      <c r="A211" s="1"/>
      <c r="C211" s="1"/>
      <c r="E211" s="1">
        <v>41001</v>
      </c>
      <c r="F211">
        <v>13631.073607489399</v>
      </c>
      <c r="G211" s="1">
        <v>41001</v>
      </c>
      <c r="H211">
        <v>-3175</v>
      </c>
    </row>
    <row r="212" spans="1:8" x14ac:dyDescent="0.25">
      <c r="A212" s="1"/>
      <c r="C212" s="1"/>
      <c r="E212" s="1">
        <v>41002</v>
      </c>
      <c r="F212">
        <v>12990.557127997199</v>
      </c>
      <c r="G212" s="1">
        <v>41002</v>
      </c>
      <c r="H212">
        <v>-2900</v>
      </c>
    </row>
    <row r="213" spans="1:8" x14ac:dyDescent="0.25">
      <c r="A213" s="1"/>
      <c r="C213" s="1"/>
      <c r="E213" s="1">
        <v>41003</v>
      </c>
      <c r="F213">
        <v>13664.6736593693</v>
      </c>
      <c r="G213" s="1">
        <v>41003</v>
      </c>
      <c r="H213">
        <v>-3337.5</v>
      </c>
    </row>
    <row r="214" spans="1:8" x14ac:dyDescent="0.25">
      <c r="A214" s="1"/>
      <c r="C214" s="1"/>
      <c r="E214" s="1">
        <v>41004</v>
      </c>
      <c r="F214">
        <v>13161.435835883</v>
      </c>
      <c r="G214" s="1">
        <v>41004</v>
      </c>
      <c r="H214">
        <v>-3125</v>
      </c>
    </row>
    <row r="215" spans="1:8" x14ac:dyDescent="0.25">
      <c r="A215" s="1"/>
      <c r="C215" s="1"/>
      <c r="E215" s="1">
        <v>41005</v>
      </c>
      <c r="F215">
        <v>13062.664906010001</v>
      </c>
      <c r="G215" s="1">
        <v>41005</v>
      </c>
      <c r="H215">
        <v>-3125</v>
      </c>
    </row>
    <row r="216" spans="1:8" x14ac:dyDescent="0.25">
      <c r="A216" s="1"/>
      <c r="C216" s="1"/>
      <c r="E216" s="1">
        <v>41008</v>
      </c>
      <c r="F216">
        <v>13702.9280819743</v>
      </c>
      <c r="G216" s="1">
        <v>41008</v>
      </c>
      <c r="H216">
        <v>-3425</v>
      </c>
    </row>
    <row r="217" spans="1:8" x14ac:dyDescent="0.25">
      <c r="A217" s="1"/>
      <c r="C217" s="1"/>
      <c r="E217" s="1">
        <v>41009</v>
      </c>
      <c r="F217">
        <v>14900.680431827899</v>
      </c>
      <c r="G217" s="1">
        <v>41009</v>
      </c>
      <c r="H217">
        <v>-4212.5</v>
      </c>
    </row>
    <row r="218" spans="1:8" x14ac:dyDescent="0.25">
      <c r="A218" s="1"/>
      <c r="C218" s="1"/>
      <c r="E218" s="1">
        <v>41010</v>
      </c>
      <c r="F218">
        <v>15124.3719181865</v>
      </c>
      <c r="G218" s="1">
        <v>41010</v>
      </c>
      <c r="H218">
        <v>-4362.5</v>
      </c>
    </row>
    <row r="219" spans="1:8" x14ac:dyDescent="0.25">
      <c r="A219" s="1"/>
      <c r="C219" s="1"/>
      <c r="E219" s="1">
        <v>41011</v>
      </c>
      <c r="F219">
        <v>15122.6121678203</v>
      </c>
      <c r="G219" s="1">
        <v>41011</v>
      </c>
      <c r="H219">
        <v>-4050</v>
      </c>
    </row>
    <row r="220" spans="1:8" x14ac:dyDescent="0.25">
      <c r="A220" s="1"/>
      <c r="C220" s="1"/>
      <c r="E220" s="1">
        <v>41012</v>
      </c>
      <c r="F220">
        <v>15826.798386082</v>
      </c>
      <c r="G220" s="1">
        <v>41012</v>
      </c>
      <c r="H220">
        <v>-4725</v>
      </c>
    </row>
    <row r="221" spans="1:8" x14ac:dyDescent="0.25">
      <c r="A221" s="1"/>
      <c r="C221" s="1"/>
      <c r="E221" s="1">
        <v>41015</v>
      </c>
      <c r="F221">
        <v>15872.811703666999</v>
      </c>
      <c r="G221" s="1">
        <v>41015</v>
      </c>
      <c r="H221">
        <v>-4737.5</v>
      </c>
    </row>
    <row r="222" spans="1:8" x14ac:dyDescent="0.25">
      <c r="A222" s="1"/>
      <c r="C222" s="1"/>
      <c r="E222" s="1">
        <v>41016</v>
      </c>
      <c r="F222">
        <v>15563.941151604</v>
      </c>
      <c r="G222" s="1">
        <v>41016</v>
      </c>
      <c r="H222">
        <v>-5037.5</v>
      </c>
    </row>
    <row r="223" spans="1:8" x14ac:dyDescent="0.25">
      <c r="A223" s="1"/>
      <c r="C223" s="1"/>
      <c r="E223" s="1">
        <v>41017</v>
      </c>
      <c r="F223">
        <v>14163.4370546191</v>
      </c>
      <c r="G223" s="1">
        <v>41017</v>
      </c>
      <c r="H223">
        <v>-5762.5</v>
      </c>
    </row>
    <row r="224" spans="1:8" x14ac:dyDescent="0.25">
      <c r="A224" s="1"/>
      <c r="C224" s="1"/>
      <c r="E224" s="1">
        <v>41018</v>
      </c>
      <c r="F224">
        <v>15033.1247224658</v>
      </c>
      <c r="G224" s="1">
        <v>41018</v>
      </c>
      <c r="H224">
        <v>-5175</v>
      </c>
    </row>
    <row r="225" spans="1:8" x14ac:dyDescent="0.25">
      <c r="A225" s="1"/>
      <c r="C225" s="1"/>
      <c r="E225" s="1">
        <v>41019</v>
      </c>
      <c r="F225">
        <v>14657.8922166675</v>
      </c>
      <c r="G225" s="1">
        <v>41019</v>
      </c>
      <c r="H225">
        <v>-5300</v>
      </c>
    </row>
    <row r="226" spans="1:8" x14ac:dyDescent="0.25">
      <c r="A226" s="1"/>
      <c r="C226" s="1"/>
      <c r="E226" s="1">
        <v>41022</v>
      </c>
      <c r="F226">
        <v>15439.3970689624</v>
      </c>
      <c r="G226" s="1">
        <v>41022</v>
      </c>
      <c r="H226">
        <v>-5012.5</v>
      </c>
    </row>
    <row r="227" spans="1:8" x14ac:dyDescent="0.25">
      <c r="A227" s="1"/>
      <c r="C227" s="1"/>
      <c r="E227" s="1">
        <v>41023</v>
      </c>
      <c r="F227">
        <v>15631.7201623767</v>
      </c>
      <c r="G227" s="1">
        <v>41023</v>
      </c>
      <c r="H227">
        <v>-4975</v>
      </c>
    </row>
    <row r="228" spans="1:8" x14ac:dyDescent="0.25">
      <c r="A228" s="1"/>
      <c r="C228" s="1"/>
      <c r="E228" s="1">
        <v>41024</v>
      </c>
      <c r="F228">
        <v>15093.006432518299</v>
      </c>
      <c r="G228" s="1">
        <v>41024</v>
      </c>
      <c r="H228">
        <v>-5362.5</v>
      </c>
    </row>
    <row r="229" spans="1:8" x14ac:dyDescent="0.25">
      <c r="A229" s="1"/>
      <c r="C229" s="1"/>
      <c r="E229" s="1">
        <v>41025</v>
      </c>
      <c r="F229">
        <v>15009.313115105</v>
      </c>
      <c r="G229" s="1">
        <v>41025</v>
      </c>
      <c r="H229">
        <v>-5175</v>
      </c>
    </row>
    <row r="230" spans="1:8" x14ac:dyDescent="0.25">
      <c r="A230" s="1"/>
      <c r="C230" s="1"/>
      <c r="E230" s="1">
        <v>41026</v>
      </c>
      <c r="F230">
        <v>16516.459172233899</v>
      </c>
      <c r="G230" s="1">
        <v>41026</v>
      </c>
      <c r="H230">
        <v>-3537.5</v>
      </c>
    </row>
    <row r="231" spans="1:8" x14ac:dyDescent="0.25">
      <c r="A231" s="1"/>
      <c r="C231" s="1"/>
      <c r="E231" s="1">
        <v>41029</v>
      </c>
      <c r="F231">
        <v>16242.846775993699</v>
      </c>
      <c r="G231" s="1">
        <v>41029</v>
      </c>
      <c r="H231">
        <v>-3375</v>
      </c>
    </row>
    <row r="232" spans="1:8" x14ac:dyDescent="0.25">
      <c r="A232" s="1"/>
      <c r="C232" s="1"/>
      <c r="E232" s="1">
        <v>41030</v>
      </c>
      <c r="F232">
        <v>15881.561696037599</v>
      </c>
      <c r="G232" s="1">
        <v>41030</v>
      </c>
      <c r="H232">
        <v>-2837.5</v>
      </c>
    </row>
    <row r="233" spans="1:8" x14ac:dyDescent="0.25">
      <c r="A233" s="1"/>
      <c r="C233" s="1"/>
      <c r="E233" s="1">
        <v>41031</v>
      </c>
      <c r="F233">
        <v>17420.004689201702</v>
      </c>
      <c r="G233" s="1">
        <v>41031</v>
      </c>
      <c r="H233">
        <v>-3900</v>
      </c>
    </row>
    <row r="234" spans="1:8" x14ac:dyDescent="0.25">
      <c r="A234" s="1"/>
      <c r="C234" s="1"/>
      <c r="E234" s="1">
        <v>41032</v>
      </c>
      <c r="F234">
        <v>17565.622021660201</v>
      </c>
      <c r="G234" s="1">
        <v>41032</v>
      </c>
      <c r="H234">
        <v>-3687.5</v>
      </c>
    </row>
    <row r="235" spans="1:8" x14ac:dyDescent="0.25">
      <c r="A235" s="1"/>
      <c r="C235" s="1"/>
      <c r="E235" s="1">
        <v>41033</v>
      </c>
      <c r="F235">
        <v>17109.179089531299</v>
      </c>
      <c r="G235" s="1">
        <v>41033</v>
      </c>
      <c r="H235">
        <v>-2525</v>
      </c>
    </row>
    <row r="236" spans="1:8" x14ac:dyDescent="0.25">
      <c r="A236" s="1"/>
      <c r="C236" s="1"/>
      <c r="E236" s="1">
        <v>41036</v>
      </c>
      <c r="F236">
        <v>17519.499279960899</v>
      </c>
      <c r="G236" s="1">
        <v>41036</v>
      </c>
      <c r="H236">
        <v>-3012.5</v>
      </c>
    </row>
    <row r="237" spans="1:8" x14ac:dyDescent="0.25">
      <c r="A237" s="1"/>
      <c r="C237" s="1"/>
      <c r="E237" s="1">
        <v>41037</v>
      </c>
      <c r="F237">
        <v>16665.813778862299</v>
      </c>
      <c r="G237" s="1">
        <v>41037</v>
      </c>
      <c r="H237">
        <v>-2587.5</v>
      </c>
    </row>
    <row r="238" spans="1:8" x14ac:dyDescent="0.25">
      <c r="A238" s="1"/>
      <c r="C238" s="1"/>
      <c r="E238" s="1">
        <v>41038</v>
      </c>
      <c r="F238">
        <v>17141.1293916553</v>
      </c>
      <c r="G238" s="1">
        <v>41038</v>
      </c>
      <c r="H238">
        <v>-3187.5</v>
      </c>
    </row>
    <row r="239" spans="1:8" x14ac:dyDescent="0.25">
      <c r="A239" s="1"/>
      <c r="C239" s="1"/>
      <c r="E239" s="1">
        <v>41039</v>
      </c>
      <c r="F239">
        <v>19149.934689506801</v>
      </c>
      <c r="G239" s="1">
        <v>41039</v>
      </c>
      <c r="H239">
        <v>-4937.5</v>
      </c>
    </row>
    <row r="240" spans="1:8" x14ac:dyDescent="0.25">
      <c r="A240" s="1"/>
      <c r="C240" s="1"/>
      <c r="E240" s="1">
        <v>41040</v>
      </c>
      <c r="F240">
        <v>17965.575772270498</v>
      </c>
      <c r="G240" s="1">
        <v>41040</v>
      </c>
      <c r="H240">
        <v>-5650</v>
      </c>
    </row>
    <row r="241" spans="1:8" x14ac:dyDescent="0.25">
      <c r="A241" s="1"/>
      <c r="C241" s="1"/>
      <c r="E241" s="1">
        <v>41043</v>
      </c>
      <c r="F241">
        <v>18542.443005546898</v>
      </c>
      <c r="G241" s="1">
        <v>41043</v>
      </c>
      <c r="H241">
        <v>-5612.5</v>
      </c>
    </row>
    <row r="242" spans="1:8" x14ac:dyDescent="0.25">
      <c r="A242" s="1"/>
      <c r="C242" s="1"/>
      <c r="E242" s="1">
        <v>41044</v>
      </c>
      <c r="F242">
        <v>20604.135418876998</v>
      </c>
      <c r="G242" s="1">
        <v>41044</v>
      </c>
      <c r="H242">
        <v>-4887.5</v>
      </c>
    </row>
    <row r="243" spans="1:8" x14ac:dyDescent="0.25">
      <c r="A243" s="1"/>
      <c r="C243" s="1"/>
      <c r="E243" s="1">
        <v>41045</v>
      </c>
      <c r="F243">
        <v>22542.861615165999</v>
      </c>
      <c r="G243" s="1">
        <v>41045</v>
      </c>
      <c r="H243">
        <v>-4112.5</v>
      </c>
    </row>
    <row r="244" spans="1:8" x14ac:dyDescent="0.25">
      <c r="A244" s="1"/>
      <c r="C244" s="1"/>
      <c r="E244" s="1">
        <v>41046</v>
      </c>
      <c r="F244">
        <v>21848.095807060599</v>
      </c>
      <c r="G244" s="1">
        <v>41046</v>
      </c>
      <c r="H244">
        <v>-3487.5</v>
      </c>
    </row>
    <row r="245" spans="1:8" x14ac:dyDescent="0.25">
      <c r="A245" s="1"/>
      <c r="C245" s="1"/>
      <c r="E245" s="1">
        <v>41047</v>
      </c>
      <c r="F245">
        <v>20688.767399773002</v>
      </c>
      <c r="G245" s="1">
        <v>41047</v>
      </c>
      <c r="H245">
        <v>-3025</v>
      </c>
    </row>
    <row r="246" spans="1:8" x14ac:dyDescent="0.25">
      <c r="A246" s="1"/>
      <c r="C246" s="1"/>
      <c r="E246" s="1">
        <v>41050</v>
      </c>
      <c r="F246">
        <v>20287.298146232901</v>
      </c>
      <c r="G246" s="1">
        <v>41050</v>
      </c>
      <c r="H246">
        <v>-2962.5</v>
      </c>
    </row>
    <row r="247" spans="1:8" x14ac:dyDescent="0.25">
      <c r="A247" s="1"/>
      <c r="C247" s="1"/>
      <c r="E247" s="1">
        <v>41051</v>
      </c>
      <c r="F247">
        <v>24090.264698967301</v>
      </c>
      <c r="G247" s="1">
        <v>41051</v>
      </c>
      <c r="H247">
        <v>-4337.5</v>
      </c>
    </row>
    <row r="248" spans="1:8" x14ac:dyDescent="0.25">
      <c r="A248" s="1"/>
      <c r="C248" s="1"/>
      <c r="E248" s="1">
        <v>41052</v>
      </c>
      <c r="F248">
        <v>24130.073346123099</v>
      </c>
      <c r="G248" s="1">
        <v>41052</v>
      </c>
      <c r="H248">
        <v>-4425</v>
      </c>
    </row>
    <row r="249" spans="1:8" x14ac:dyDescent="0.25">
      <c r="A249" s="1"/>
      <c r="C249" s="1"/>
      <c r="E249" s="1">
        <v>41053</v>
      </c>
      <c r="F249">
        <v>23171.398663505901</v>
      </c>
      <c r="G249" s="1">
        <v>41053</v>
      </c>
      <c r="H249">
        <v>-5637.5</v>
      </c>
    </row>
    <row r="250" spans="1:8" x14ac:dyDescent="0.25">
      <c r="A250" s="1"/>
      <c r="C250" s="1"/>
      <c r="E250" s="1">
        <v>41054</v>
      </c>
      <c r="F250">
        <v>22781.827969536102</v>
      </c>
      <c r="G250" s="1">
        <v>41054</v>
      </c>
      <c r="H250">
        <v>-5925</v>
      </c>
    </row>
    <row r="251" spans="1:8" x14ac:dyDescent="0.25">
      <c r="A251" s="1"/>
      <c r="C251" s="1"/>
      <c r="E251" s="1">
        <v>41058</v>
      </c>
      <c r="F251">
        <v>22178.0737275928</v>
      </c>
      <c r="G251" s="1">
        <v>41058</v>
      </c>
      <c r="H251">
        <v>-6550</v>
      </c>
    </row>
    <row r="252" spans="1:8" x14ac:dyDescent="0.25">
      <c r="A252" s="1"/>
      <c r="C252" s="1"/>
      <c r="E252" s="1">
        <v>41059</v>
      </c>
      <c r="F252">
        <v>22016.757962211901</v>
      </c>
      <c r="G252" s="1">
        <v>41059</v>
      </c>
      <c r="H252">
        <v>-6662.5</v>
      </c>
    </row>
    <row r="253" spans="1:8" x14ac:dyDescent="0.25">
      <c r="A253" s="1"/>
      <c r="C253" s="1"/>
      <c r="E253" s="1">
        <v>41060</v>
      </c>
      <c r="F253">
        <v>21985.6108312457</v>
      </c>
      <c r="G253" s="1">
        <v>41060</v>
      </c>
      <c r="H253">
        <v>-6637.5</v>
      </c>
    </row>
    <row r="254" spans="1:8" x14ac:dyDescent="0.25">
      <c r="A254" s="1"/>
      <c r="C254" s="1"/>
      <c r="E254" s="1">
        <v>41061</v>
      </c>
      <c r="F254">
        <v>21721.091956123699</v>
      </c>
      <c r="G254" s="1">
        <v>41061</v>
      </c>
      <c r="H254">
        <v>-6875</v>
      </c>
    </row>
    <row r="255" spans="1:8" x14ac:dyDescent="0.25">
      <c r="A255" s="1"/>
      <c r="C255" s="1"/>
      <c r="E255" s="1">
        <v>41064</v>
      </c>
      <c r="F255">
        <v>21823.3189000934</v>
      </c>
      <c r="G255" s="1">
        <v>41064</v>
      </c>
      <c r="H255">
        <v>-6437.5</v>
      </c>
    </row>
    <row r="256" spans="1:8" x14ac:dyDescent="0.25">
      <c r="A256" s="1"/>
      <c r="C256" s="1"/>
      <c r="E256" s="1">
        <v>41065</v>
      </c>
      <c r="F256">
        <v>21931.035330757499</v>
      </c>
      <c r="G256" s="1">
        <v>41065</v>
      </c>
      <c r="H256">
        <v>-6250</v>
      </c>
    </row>
    <row r="257" spans="1:8" x14ac:dyDescent="0.25">
      <c r="A257" s="1"/>
      <c r="C257" s="1"/>
      <c r="E257" s="1">
        <v>41066</v>
      </c>
      <c r="F257">
        <v>23103.584982857101</v>
      </c>
      <c r="G257" s="1">
        <v>41066</v>
      </c>
      <c r="H257">
        <v>-5525</v>
      </c>
    </row>
    <row r="258" spans="1:8" x14ac:dyDescent="0.25">
      <c r="A258" s="1"/>
      <c r="C258" s="1"/>
      <c r="E258" s="1">
        <v>41067</v>
      </c>
      <c r="F258">
        <v>23984.272223457599</v>
      </c>
      <c r="G258" s="1">
        <v>41067</v>
      </c>
      <c r="H258">
        <v>-4950</v>
      </c>
    </row>
    <row r="259" spans="1:8" x14ac:dyDescent="0.25">
      <c r="A259" s="1"/>
      <c r="C259" s="1"/>
      <c r="E259" s="1">
        <v>41068</v>
      </c>
      <c r="F259">
        <v>24367.773276314099</v>
      </c>
      <c r="G259" s="1">
        <v>41068</v>
      </c>
      <c r="H259">
        <v>-4725</v>
      </c>
    </row>
    <row r="260" spans="1:8" x14ac:dyDescent="0.25">
      <c r="A260" s="1"/>
      <c r="C260" s="1"/>
      <c r="E260" s="1">
        <v>41071</v>
      </c>
      <c r="F260">
        <v>23917.672736152999</v>
      </c>
      <c r="G260" s="1">
        <v>41071</v>
      </c>
      <c r="H260">
        <v>-5125</v>
      </c>
    </row>
    <row r="261" spans="1:8" x14ac:dyDescent="0.25">
      <c r="A261" s="1"/>
      <c r="C261" s="1"/>
      <c r="E261" s="1">
        <v>41072</v>
      </c>
      <c r="F261">
        <v>23370.962317451798</v>
      </c>
      <c r="G261" s="1">
        <v>41072</v>
      </c>
      <c r="H261">
        <v>-5562.5</v>
      </c>
    </row>
    <row r="262" spans="1:8" x14ac:dyDescent="0.25">
      <c r="A262" s="1"/>
      <c r="C262" s="1"/>
      <c r="E262" s="1">
        <v>41073</v>
      </c>
      <c r="F262">
        <v>24922.409827217401</v>
      </c>
      <c r="G262" s="1">
        <v>41073</v>
      </c>
      <c r="H262">
        <v>-4837.5</v>
      </c>
    </row>
    <row r="263" spans="1:8" x14ac:dyDescent="0.25">
      <c r="A263" s="1"/>
      <c r="C263" s="1"/>
      <c r="E263" s="1">
        <v>41074</v>
      </c>
      <c r="F263">
        <v>25391.231787666598</v>
      </c>
      <c r="G263" s="1">
        <v>41074</v>
      </c>
      <c r="H263">
        <v>-4662.5</v>
      </c>
    </row>
    <row r="264" spans="1:8" x14ac:dyDescent="0.25">
      <c r="A264" s="1"/>
      <c r="C264" s="1"/>
      <c r="E264" s="1">
        <v>41075</v>
      </c>
      <c r="F264">
        <v>22895.744421944</v>
      </c>
      <c r="G264" s="1">
        <v>41075</v>
      </c>
      <c r="H264">
        <v>-5600</v>
      </c>
    </row>
    <row r="265" spans="1:8" x14ac:dyDescent="0.25">
      <c r="A265" s="1"/>
      <c r="C265" s="1"/>
      <c r="E265" s="1">
        <v>41078</v>
      </c>
      <c r="F265">
        <v>24614.590186104098</v>
      </c>
      <c r="G265" s="1">
        <v>41078</v>
      </c>
      <c r="H265">
        <v>-4587.5</v>
      </c>
    </row>
    <row r="266" spans="1:8" x14ac:dyDescent="0.25">
      <c r="A266" s="1"/>
      <c r="C266" s="1"/>
      <c r="E266" s="1">
        <v>41079</v>
      </c>
      <c r="F266">
        <v>25087.040900215499</v>
      </c>
      <c r="G266" s="1">
        <v>41079</v>
      </c>
      <c r="H266">
        <v>-4137.5</v>
      </c>
    </row>
    <row r="267" spans="1:8" x14ac:dyDescent="0.25">
      <c r="A267" s="1"/>
      <c r="C267" s="1"/>
      <c r="E267" s="1">
        <v>41080</v>
      </c>
      <c r="F267">
        <v>25314.3102311939</v>
      </c>
      <c r="G267" s="1">
        <v>41080</v>
      </c>
      <c r="H267">
        <v>-4212.5</v>
      </c>
    </row>
    <row r="268" spans="1:8" x14ac:dyDescent="0.25">
      <c r="A268" s="1"/>
      <c r="C268" s="1"/>
      <c r="E268" s="1">
        <v>41081</v>
      </c>
      <c r="F268">
        <v>24995.762951835899</v>
      </c>
      <c r="G268" s="1">
        <v>41081</v>
      </c>
      <c r="H268">
        <v>-5012.5</v>
      </c>
    </row>
    <row r="269" spans="1:8" x14ac:dyDescent="0.25">
      <c r="A269" s="1"/>
      <c r="C269" s="1"/>
      <c r="E269" s="1">
        <v>41082</v>
      </c>
      <c r="F269">
        <v>24828.7705488055</v>
      </c>
      <c r="G269" s="1">
        <v>41082</v>
      </c>
      <c r="H269">
        <v>-5012.5</v>
      </c>
    </row>
    <row r="270" spans="1:8" x14ac:dyDescent="0.25">
      <c r="A270" s="1"/>
      <c r="C270" s="1"/>
      <c r="E270" s="1">
        <v>41085</v>
      </c>
      <c r="F270">
        <v>27698.228922828999</v>
      </c>
      <c r="G270" s="1">
        <v>41085</v>
      </c>
      <c r="H270">
        <v>-3275</v>
      </c>
    </row>
    <row r="271" spans="1:8" x14ac:dyDescent="0.25">
      <c r="A271" s="1"/>
      <c r="C271" s="1"/>
      <c r="E271" s="1">
        <v>41086</v>
      </c>
      <c r="F271">
        <v>25696.504160866101</v>
      </c>
      <c r="G271" s="1">
        <v>41086</v>
      </c>
      <c r="H271">
        <v>-2500</v>
      </c>
    </row>
    <row r="272" spans="1:8" x14ac:dyDescent="0.25">
      <c r="A272" s="1"/>
      <c r="C272" s="1"/>
      <c r="E272" s="1">
        <v>41087</v>
      </c>
      <c r="F272">
        <v>24042.832041725502</v>
      </c>
      <c r="G272" s="1">
        <v>41087</v>
      </c>
      <c r="H272">
        <v>-2150</v>
      </c>
    </row>
    <row r="273" spans="1:8" x14ac:dyDescent="0.25">
      <c r="A273" s="1"/>
      <c r="C273" s="1"/>
      <c r="E273" s="1">
        <v>41088</v>
      </c>
      <c r="F273">
        <v>24262.5565290302</v>
      </c>
      <c r="G273" s="1">
        <v>41088</v>
      </c>
      <c r="H273">
        <v>-2300</v>
      </c>
    </row>
    <row r="274" spans="1:8" x14ac:dyDescent="0.25">
      <c r="A274" s="1"/>
      <c r="C274" s="1"/>
      <c r="E274" s="1">
        <v>41089</v>
      </c>
      <c r="F274">
        <v>23629.929194435401</v>
      </c>
      <c r="G274" s="1">
        <v>41089</v>
      </c>
      <c r="H274">
        <v>-1037.5</v>
      </c>
    </row>
    <row r="275" spans="1:8" x14ac:dyDescent="0.25">
      <c r="A275" s="1"/>
      <c r="C275" s="1"/>
      <c r="E275" s="1">
        <v>41092</v>
      </c>
      <c r="F275">
        <v>22716.841517433499</v>
      </c>
      <c r="G275" s="1">
        <v>41092</v>
      </c>
      <c r="H275">
        <v>-175</v>
      </c>
    </row>
    <row r="276" spans="1:8" x14ac:dyDescent="0.25">
      <c r="A276" s="1"/>
      <c r="C276" s="1"/>
      <c r="E276" s="1">
        <v>41093</v>
      </c>
      <c r="F276">
        <v>21836.287760719599</v>
      </c>
      <c r="G276" s="1">
        <v>41093</v>
      </c>
      <c r="H276">
        <v>1250</v>
      </c>
    </row>
    <row r="277" spans="1:8" x14ac:dyDescent="0.25">
      <c r="A277" s="1"/>
      <c r="C277" s="1"/>
      <c r="E277" s="1">
        <v>41095</v>
      </c>
      <c r="F277">
        <v>21168.704096779202</v>
      </c>
      <c r="G277" s="1">
        <v>41095</v>
      </c>
      <c r="H277">
        <v>3275</v>
      </c>
    </row>
    <row r="278" spans="1:8" x14ac:dyDescent="0.25">
      <c r="A278" s="1"/>
      <c r="C278" s="1"/>
      <c r="E278" s="1">
        <v>41096</v>
      </c>
      <c r="F278">
        <v>21188.880312904701</v>
      </c>
      <c r="G278" s="1">
        <v>41096</v>
      </c>
      <c r="H278">
        <v>2937.5</v>
      </c>
    </row>
    <row r="279" spans="1:8" x14ac:dyDescent="0.25">
      <c r="A279" s="1"/>
      <c r="C279" s="1"/>
      <c r="E279" s="1">
        <v>41099</v>
      </c>
      <c r="F279">
        <v>20843.617342934001</v>
      </c>
      <c r="G279" s="1">
        <v>41099</v>
      </c>
      <c r="H279">
        <v>4300</v>
      </c>
    </row>
    <row r="280" spans="1:8" x14ac:dyDescent="0.25">
      <c r="A280" s="1"/>
      <c r="C280" s="1"/>
      <c r="E280" s="1">
        <v>41100</v>
      </c>
      <c r="F280">
        <v>20880.265547737399</v>
      </c>
      <c r="G280" s="1">
        <v>41100</v>
      </c>
      <c r="H280">
        <v>3612.5</v>
      </c>
    </row>
    <row r="281" spans="1:8" x14ac:dyDescent="0.25">
      <c r="A281" s="1"/>
      <c r="C281" s="1"/>
      <c r="E281" s="1">
        <v>41101</v>
      </c>
      <c r="F281">
        <v>20992.297507271101</v>
      </c>
      <c r="G281" s="1">
        <v>41101</v>
      </c>
      <c r="H281">
        <v>2037.5</v>
      </c>
    </row>
    <row r="282" spans="1:8" x14ac:dyDescent="0.25">
      <c r="A282" s="1"/>
      <c r="C282" s="1"/>
      <c r="E282" s="1">
        <v>41102</v>
      </c>
      <c r="F282">
        <v>20730.340056404399</v>
      </c>
      <c r="G282" s="1">
        <v>41102</v>
      </c>
      <c r="H282">
        <v>4212.5</v>
      </c>
    </row>
    <row r="283" spans="1:8" x14ac:dyDescent="0.25">
      <c r="A283" s="1"/>
      <c r="C283" s="1"/>
      <c r="E283" s="1">
        <v>41103</v>
      </c>
      <c r="F283">
        <v>20712.416161440298</v>
      </c>
      <c r="G283" s="1">
        <v>41103</v>
      </c>
      <c r="H283">
        <v>4287.5</v>
      </c>
    </row>
    <row r="284" spans="1:8" x14ac:dyDescent="0.25">
      <c r="A284" s="1"/>
      <c r="C284" s="1"/>
      <c r="E284" s="1">
        <v>41106</v>
      </c>
      <c r="F284">
        <v>18708.441344164301</v>
      </c>
      <c r="G284" s="1">
        <v>41106</v>
      </c>
      <c r="H284">
        <v>6075</v>
      </c>
    </row>
    <row r="285" spans="1:8" x14ac:dyDescent="0.25">
      <c r="A285" s="1"/>
      <c r="C285" s="1"/>
      <c r="E285" s="1">
        <v>41107</v>
      </c>
      <c r="F285">
        <v>18234.575645826699</v>
      </c>
      <c r="G285" s="1">
        <v>41107</v>
      </c>
      <c r="H285">
        <v>6475</v>
      </c>
    </row>
    <row r="286" spans="1:8" x14ac:dyDescent="0.25">
      <c r="A286" s="1"/>
      <c r="C286" s="1"/>
      <c r="E286" s="1">
        <v>41108</v>
      </c>
      <c r="F286">
        <v>17465.834177397101</v>
      </c>
      <c r="G286" s="1">
        <v>41108</v>
      </c>
      <c r="H286">
        <v>7062.5</v>
      </c>
    </row>
    <row r="287" spans="1:8" x14ac:dyDescent="0.25">
      <c r="A287" s="1"/>
      <c r="C287" s="1"/>
      <c r="E287" s="1">
        <v>41109</v>
      </c>
      <c r="F287">
        <v>16941.4400706589</v>
      </c>
      <c r="G287" s="1">
        <v>41109</v>
      </c>
      <c r="H287">
        <v>7437.5</v>
      </c>
    </row>
    <row r="288" spans="1:8" x14ac:dyDescent="0.25">
      <c r="A288" s="1"/>
      <c r="C288" s="1"/>
      <c r="E288" s="1">
        <v>41110</v>
      </c>
      <c r="F288">
        <v>15763.4631959572</v>
      </c>
      <c r="G288" s="1">
        <v>41110</v>
      </c>
      <c r="H288">
        <v>8412.5</v>
      </c>
    </row>
    <row r="289" spans="1:8" x14ac:dyDescent="0.25">
      <c r="A289" s="1"/>
      <c r="C289" s="1"/>
      <c r="E289" s="1">
        <v>41113</v>
      </c>
      <c r="F289">
        <v>16177.2124836817</v>
      </c>
      <c r="G289" s="1">
        <v>41113</v>
      </c>
      <c r="H289">
        <v>7662.5</v>
      </c>
    </row>
    <row r="290" spans="1:8" x14ac:dyDescent="0.25">
      <c r="A290" s="1"/>
      <c r="C290" s="1"/>
      <c r="E290" s="1">
        <v>41114</v>
      </c>
      <c r="F290">
        <v>16178.1081978455</v>
      </c>
      <c r="G290" s="1">
        <v>41114</v>
      </c>
      <c r="H290">
        <v>6687.5</v>
      </c>
    </row>
    <row r="291" spans="1:8" x14ac:dyDescent="0.25">
      <c r="A291" s="1"/>
      <c r="C291" s="1"/>
      <c r="E291" s="1">
        <v>41115</v>
      </c>
      <c r="F291">
        <v>16129.0428597107</v>
      </c>
      <c r="G291" s="1">
        <v>41115</v>
      </c>
      <c r="H291">
        <v>7200</v>
      </c>
    </row>
    <row r="292" spans="1:8" x14ac:dyDescent="0.25">
      <c r="A292" s="1"/>
      <c r="C292" s="1"/>
      <c r="E292" s="1">
        <v>41116</v>
      </c>
      <c r="F292">
        <v>16579.7626778259</v>
      </c>
      <c r="G292" s="1">
        <v>41116</v>
      </c>
      <c r="H292">
        <v>6450</v>
      </c>
    </row>
    <row r="293" spans="1:8" x14ac:dyDescent="0.25">
      <c r="A293" s="1"/>
      <c r="C293" s="1"/>
      <c r="E293" s="1">
        <v>41117</v>
      </c>
      <c r="F293">
        <v>16187.911725677501</v>
      </c>
      <c r="G293" s="1">
        <v>41117</v>
      </c>
      <c r="H293">
        <v>7262.5</v>
      </c>
    </row>
    <row r="294" spans="1:8" x14ac:dyDescent="0.25">
      <c r="A294" s="1"/>
      <c r="C294" s="1"/>
      <c r="E294" s="1">
        <v>41120</v>
      </c>
      <c r="F294">
        <v>15904.746625579801</v>
      </c>
      <c r="G294" s="1">
        <v>41120</v>
      </c>
      <c r="H294">
        <v>8387.5</v>
      </c>
    </row>
    <row r="295" spans="1:8" x14ac:dyDescent="0.25">
      <c r="A295" s="1"/>
      <c r="C295" s="1"/>
      <c r="E295" s="1">
        <v>41121</v>
      </c>
      <c r="F295">
        <v>16010.332418121299</v>
      </c>
      <c r="G295" s="1">
        <v>41121</v>
      </c>
      <c r="H295">
        <v>7875</v>
      </c>
    </row>
    <row r="296" spans="1:8" x14ac:dyDescent="0.25">
      <c r="A296" s="1"/>
      <c r="C296" s="1"/>
      <c r="E296" s="1">
        <v>41122</v>
      </c>
      <c r="F296">
        <v>16622.223165191699</v>
      </c>
      <c r="G296" s="1">
        <v>41122</v>
      </c>
      <c r="H296">
        <v>6662.5</v>
      </c>
    </row>
    <row r="297" spans="1:8" x14ac:dyDescent="0.25">
      <c r="A297" s="1"/>
      <c r="C297" s="1"/>
      <c r="E297" s="1">
        <v>41123</v>
      </c>
      <c r="F297">
        <v>16293.6112724915</v>
      </c>
      <c r="G297" s="1">
        <v>41123</v>
      </c>
      <c r="H297">
        <v>7312.5</v>
      </c>
    </row>
    <row r="298" spans="1:8" x14ac:dyDescent="0.25">
      <c r="A298" s="1"/>
      <c r="C298" s="1"/>
      <c r="E298" s="1">
        <v>41124</v>
      </c>
      <c r="F298">
        <v>16100.684972442599</v>
      </c>
      <c r="G298" s="1">
        <v>41124</v>
      </c>
      <c r="H298">
        <v>7975</v>
      </c>
    </row>
    <row r="299" spans="1:8" x14ac:dyDescent="0.25">
      <c r="A299" s="1"/>
      <c r="C299" s="1"/>
      <c r="E299" s="1">
        <v>41127</v>
      </c>
      <c r="F299">
        <v>16082.663279213</v>
      </c>
      <c r="G299" s="1">
        <v>41127</v>
      </c>
      <c r="H299">
        <v>7700</v>
      </c>
    </row>
    <row r="300" spans="1:8" x14ac:dyDescent="0.25">
      <c r="A300" s="1"/>
      <c r="C300" s="1"/>
      <c r="E300" s="1">
        <v>41128</v>
      </c>
      <c r="F300">
        <v>16374.722407020599</v>
      </c>
      <c r="G300" s="1">
        <v>41128</v>
      </c>
      <c r="H300">
        <v>7200</v>
      </c>
    </row>
    <row r="301" spans="1:8" x14ac:dyDescent="0.25">
      <c r="A301" s="1"/>
      <c r="C301" s="1"/>
      <c r="E301" s="1">
        <v>41129</v>
      </c>
      <c r="F301">
        <v>15960.642573036201</v>
      </c>
      <c r="G301" s="1">
        <v>41129</v>
      </c>
      <c r="H301">
        <v>7850</v>
      </c>
    </row>
    <row r="302" spans="1:8" x14ac:dyDescent="0.25">
      <c r="A302" s="1"/>
      <c r="C302" s="1"/>
      <c r="E302" s="1">
        <v>41130</v>
      </c>
      <c r="F302">
        <v>15728.218760170001</v>
      </c>
      <c r="G302" s="1">
        <v>41130</v>
      </c>
      <c r="H302">
        <v>8612.5</v>
      </c>
    </row>
    <row r="303" spans="1:8" x14ac:dyDescent="0.25">
      <c r="A303" s="1"/>
      <c r="C303" s="1"/>
      <c r="E303" s="1">
        <v>41131</v>
      </c>
      <c r="F303">
        <v>16225.5845133438</v>
      </c>
      <c r="G303" s="1">
        <v>41131</v>
      </c>
      <c r="H303">
        <v>7687.5</v>
      </c>
    </row>
    <row r="304" spans="1:8" x14ac:dyDescent="0.25">
      <c r="A304" s="1"/>
      <c r="C304" s="1"/>
      <c r="E304" s="1">
        <v>41134</v>
      </c>
      <c r="F304">
        <v>17623.157511390698</v>
      </c>
      <c r="G304" s="1">
        <v>41134</v>
      </c>
      <c r="H304">
        <v>6825</v>
      </c>
    </row>
    <row r="305" spans="1:8" x14ac:dyDescent="0.25">
      <c r="A305" s="1"/>
      <c r="C305" s="1"/>
      <c r="E305" s="1">
        <v>41135</v>
      </c>
      <c r="F305">
        <v>18087.155802406302</v>
      </c>
      <c r="G305" s="1">
        <v>41135</v>
      </c>
      <c r="H305">
        <v>6325</v>
      </c>
    </row>
    <row r="306" spans="1:8" x14ac:dyDescent="0.25">
      <c r="A306" s="1"/>
      <c r="C306" s="1"/>
      <c r="E306" s="1">
        <v>41136</v>
      </c>
      <c r="F306">
        <v>17878.773661292998</v>
      </c>
      <c r="G306" s="1">
        <v>41136</v>
      </c>
      <c r="H306">
        <v>6950</v>
      </c>
    </row>
    <row r="307" spans="1:8" x14ac:dyDescent="0.25">
      <c r="A307" s="1"/>
      <c r="C307" s="1"/>
      <c r="E307" s="1">
        <v>41137</v>
      </c>
      <c r="F307">
        <v>17878.773661292998</v>
      </c>
      <c r="G307" s="1">
        <v>41137</v>
      </c>
      <c r="H307">
        <v>7425</v>
      </c>
    </row>
    <row r="308" spans="1:8" x14ac:dyDescent="0.25">
      <c r="A308" s="1"/>
      <c r="C308" s="1"/>
      <c r="E308" s="1">
        <v>41138</v>
      </c>
      <c r="F308">
        <v>17872.773661292998</v>
      </c>
      <c r="G308" s="1">
        <v>41138</v>
      </c>
      <c r="H308">
        <v>7362.5</v>
      </c>
    </row>
    <row r="309" spans="1:8" x14ac:dyDescent="0.25">
      <c r="A309" s="1"/>
      <c r="C309" s="1"/>
      <c r="E309" s="1">
        <v>41141</v>
      </c>
      <c r="F309">
        <v>17272.860026039099</v>
      </c>
      <c r="G309" s="1">
        <v>41141</v>
      </c>
      <c r="H309">
        <v>8212.5</v>
      </c>
    </row>
    <row r="310" spans="1:8" x14ac:dyDescent="0.25">
      <c r="A310" s="1"/>
      <c r="C310" s="1"/>
      <c r="E310" s="1">
        <v>41142</v>
      </c>
      <c r="F310">
        <v>17897.0801798477</v>
      </c>
      <c r="G310" s="1">
        <v>41142</v>
      </c>
      <c r="H310">
        <v>9000</v>
      </c>
    </row>
    <row r="311" spans="1:8" x14ac:dyDescent="0.25">
      <c r="A311" s="1"/>
      <c r="C311" s="1"/>
      <c r="E311" s="1">
        <v>41143</v>
      </c>
      <c r="F311">
        <v>17987.8808867111</v>
      </c>
      <c r="G311" s="1">
        <v>41143</v>
      </c>
      <c r="H311">
        <v>8787.5</v>
      </c>
    </row>
    <row r="312" spans="1:8" x14ac:dyDescent="0.25">
      <c r="A312" s="1"/>
      <c r="C312" s="1"/>
      <c r="E312" s="1">
        <v>41144</v>
      </c>
      <c r="F312">
        <v>18492.1653410568</v>
      </c>
      <c r="G312" s="1">
        <v>41144</v>
      </c>
      <c r="H312">
        <v>7812.5</v>
      </c>
    </row>
    <row r="313" spans="1:8" x14ac:dyDescent="0.25">
      <c r="A313" s="1"/>
      <c r="C313" s="1"/>
      <c r="E313" s="1">
        <v>41145</v>
      </c>
      <c r="F313">
        <v>18839.648228324899</v>
      </c>
      <c r="G313" s="1">
        <v>41145</v>
      </c>
      <c r="H313">
        <v>7562.5</v>
      </c>
    </row>
    <row r="314" spans="1:8" x14ac:dyDescent="0.25">
      <c r="A314" s="1"/>
      <c r="C314" s="1"/>
      <c r="E314" s="1">
        <v>41148</v>
      </c>
      <c r="F314">
        <v>19040.928524650601</v>
      </c>
      <c r="G314" s="1">
        <v>41148</v>
      </c>
      <c r="H314">
        <v>7250</v>
      </c>
    </row>
    <row r="315" spans="1:8" x14ac:dyDescent="0.25">
      <c r="A315" s="1"/>
      <c r="C315" s="1"/>
      <c r="E315" s="1">
        <v>41149</v>
      </c>
      <c r="F315">
        <v>19228.288571037301</v>
      </c>
      <c r="G315" s="1">
        <v>41149</v>
      </c>
      <c r="H315">
        <v>6975</v>
      </c>
    </row>
    <row r="316" spans="1:8" x14ac:dyDescent="0.25">
      <c r="A316" s="1"/>
      <c r="C316" s="1"/>
      <c r="E316" s="1">
        <v>41150</v>
      </c>
      <c r="F316">
        <v>18597.932797111502</v>
      </c>
      <c r="G316" s="1">
        <v>41150</v>
      </c>
      <c r="H316">
        <v>7925</v>
      </c>
    </row>
    <row r="317" spans="1:8" x14ac:dyDescent="0.25">
      <c r="A317" s="1"/>
      <c r="C317" s="1"/>
      <c r="E317" s="1">
        <v>41151</v>
      </c>
      <c r="F317">
        <v>18528.413616813701</v>
      </c>
      <c r="G317" s="1">
        <v>41151</v>
      </c>
      <c r="H317">
        <v>8225</v>
      </c>
    </row>
    <row r="318" spans="1:8" x14ac:dyDescent="0.25">
      <c r="A318" s="1"/>
      <c r="C318" s="1"/>
      <c r="E318" s="1">
        <v>41152</v>
      </c>
      <c r="F318">
        <v>19050.181362785399</v>
      </c>
      <c r="G318" s="1">
        <v>41152</v>
      </c>
      <c r="H318">
        <v>7562.5</v>
      </c>
    </row>
    <row r="319" spans="1:8" x14ac:dyDescent="0.25">
      <c r="A319" s="1"/>
      <c r="C319" s="1"/>
      <c r="E319" s="1">
        <v>41156</v>
      </c>
      <c r="F319">
        <v>19166.269493736301</v>
      </c>
      <c r="G319" s="1">
        <v>41156</v>
      </c>
      <c r="H319">
        <v>7412.5</v>
      </c>
    </row>
    <row r="320" spans="1:8" x14ac:dyDescent="0.25">
      <c r="A320" s="1"/>
      <c r="C320" s="1"/>
      <c r="E320" s="1">
        <v>41157</v>
      </c>
      <c r="F320">
        <v>19099.9987723007</v>
      </c>
      <c r="G320" s="1">
        <v>41157</v>
      </c>
      <c r="H320">
        <v>7050</v>
      </c>
    </row>
    <row r="321" spans="1:8" x14ac:dyDescent="0.25">
      <c r="A321" s="1"/>
      <c r="C321" s="1"/>
      <c r="E321" s="1">
        <v>41158</v>
      </c>
      <c r="F321">
        <v>19079.822708763098</v>
      </c>
      <c r="G321" s="1">
        <v>41158</v>
      </c>
      <c r="H321">
        <v>7412.5</v>
      </c>
    </row>
    <row r="322" spans="1:8" x14ac:dyDescent="0.25">
      <c r="A322" s="1"/>
      <c r="C322" s="1"/>
      <c r="E322" s="1">
        <v>41159</v>
      </c>
      <c r="F322">
        <v>19192.971062339799</v>
      </c>
      <c r="G322" s="1">
        <v>41159</v>
      </c>
      <c r="H322">
        <v>7337.5</v>
      </c>
    </row>
    <row r="323" spans="1:8" x14ac:dyDescent="0.25">
      <c r="A323" s="1"/>
      <c r="C323" s="1"/>
      <c r="E323" s="1">
        <v>41162</v>
      </c>
      <c r="F323">
        <v>19450.845390953102</v>
      </c>
      <c r="G323" s="1">
        <v>41162</v>
      </c>
      <c r="H323">
        <v>6500</v>
      </c>
    </row>
    <row r="324" spans="1:8" x14ac:dyDescent="0.25">
      <c r="A324" s="1"/>
      <c r="C324" s="1"/>
      <c r="E324" s="1">
        <v>41163</v>
      </c>
      <c r="F324">
        <v>19526.5557655468</v>
      </c>
      <c r="G324" s="1">
        <v>41163</v>
      </c>
      <c r="H324">
        <v>6662.5</v>
      </c>
    </row>
    <row r="325" spans="1:8" x14ac:dyDescent="0.25">
      <c r="A325" s="1"/>
      <c r="C325" s="1"/>
      <c r="E325" s="1">
        <v>41164</v>
      </c>
      <c r="F325">
        <v>19863.908853925699</v>
      </c>
      <c r="G325" s="1">
        <v>41164</v>
      </c>
      <c r="H325">
        <v>5962.5</v>
      </c>
    </row>
    <row r="326" spans="1:8" x14ac:dyDescent="0.25">
      <c r="A326" s="1"/>
      <c r="C326" s="1"/>
      <c r="E326" s="1">
        <v>41165</v>
      </c>
      <c r="F326">
        <v>19988.715811170601</v>
      </c>
      <c r="G326" s="1">
        <v>41165</v>
      </c>
      <c r="H326">
        <v>6237.5</v>
      </c>
    </row>
    <row r="327" spans="1:8" x14ac:dyDescent="0.25">
      <c r="A327" s="1"/>
      <c r="C327" s="1"/>
      <c r="E327" s="1">
        <v>41166</v>
      </c>
      <c r="F327">
        <v>19875.054469265</v>
      </c>
      <c r="G327" s="1">
        <v>41166</v>
      </c>
      <c r="H327">
        <v>6700</v>
      </c>
    </row>
    <row r="328" spans="1:8" x14ac:dyDescent="0.25">
      <c r="A328" s="1"/>
      <c r="C328" s="1"/>
      <c r="E328" s="1">
        <v>41169</v>
      </c>
      <c r="F328">
        <v>20443.390719570201</v>
      </c>
      <c r="G328" s="1">
        <v>41169</v>
      </c>
      <c r="H328">
        <v>5262.5</v>
      </c>
    </row>
    <row r="329" spans="1:8" x14ac:dyDescent="0.25">
      <c r="A329" s="1"/>
      <c r="C329" s="1"/>
      <c r="E329" s="1">
        <v>41170</v>
      </c>
      <c r="F329">
        <v>20439.7896298542</v>
      </c>
      <c r="G329" s="1">
        <v>41170</v>
      </c>
      <c r="H329">
        <v>4662.5</v>
      </c>
    </row>
    <row r="330" spans="1:8" x14ac:dyDescent="0.25">
      <c r="A330" s="1"/>
      <c r="C330" s="1"/>
      <c r="E330" s="1">
        <v>41171</v>
      </c>
      <c r="F330">
        <v>20444.580130971899</v>
      </c>
      <c r="G330" s="1">
        <v>41171</v>
      </c>
      <c r="H330">
        <v>5312.5</v>
      </c>
    </row>
    <row r="331" spans="1:8" x14ac:dyDescent="0.25">
      <c r="A331" s="1"/>
      <c r="C331" s="1"/>
      <c r="E331" s="1">
        <v>41172</v>
      </c>
      <c r="F331">
        <v>20293.053153432898</v>
      </c>
      <c r="G331" s="1">
        <v>41172</v>
      </c>
      <c r="H331">
        <v>4875</v>
      </c>
    </row>
    <row r="332" spans="1:8" x14ac:dyDescent="0.25">
      <c r="A332" s="1"/>
      <c r="C332" s="1"/>
      <c r="E332" s="1">
        <v>41173</v>
      </c>
      <c r="F332">
        <v>20310.131690420199</v>
      </c>
      <c r="G332" s="1">
        <v>41173</v>
      </c>
      <c r="H332">
        <v>5037.5</v>
      </c>
    </row>
    <row r="333" spans="1:8" x14ac:dyDescent="0.25">
      <c r="A333" s="1"/>
      <c r="C333" s="1"/>
      <c r="E333" s="1">
        <v>41176</v>
      </c>
      <c r="F333">
        <v>20252.310275472701</v>
      </c>
      <c r="G333" s="1">
        <v>41176</v>
      </c>
      <c r="H333">
        <v>4837.5</v>
      </c>
    </row>
    <row r="334" spans="1:8" x14ac:dyDescent="0.25">
      <c r="A334" s="1"/>
      <c r="C334" s="1"/>
      <c r="E334" s="1">
        <v>41177</v>
      </c>
      <c r="F334">
        <v>20201.163718618402</v>
      </c>
      <c r="G334" s="1">
        <v>41177</v>
      </c>
      <c r="H334">
        <v>4737.5</v>
      </c>
    </row>
    <row r="335" spans="1:8" x14ac:dyDescent="0.25">
      <c r="A335" s="1"/>
      <c r="C335" s="1"/>
      <c r="E335" s="1">
        <v>41178</v>
      </c>
      <c r="F335">
        <v>19703.330756582302</v>
      </c>
      <c r="G335" s="1">
        <v>41178</v>
      </c>
      <c r="H335">
        <v>3875</v>
      </c>
    </row>
    <row r="336" spans="1:8" x14ac:dyDescent="0.25">
      <c r="A336" s="1"/>
      <c r="C336" s="1"/>
      <c r="E336" s="1">
        <v>41179</v>
      </c>
      <c r="F336">
        <v>19417.042830862101</v>
      </c>
      <c r="G336" s="1">
        <v>41179</v>
      </c>
      <c r="H336">
        <v>3325</v>
      </c>
    </row>
    <row r="337" spans="1:8" x14ac:dyDescent="0.25">
      <c r="A337" s="1"/>
      <c r="C337" s="1"/>
      <c r="E337" s="1">
        <v>41180</v>
      </c>
      <c r="F337">
        <v>20363.483199514401</v>
      </c>
      <c r="G337" s="1">
        <v>41180</v>
      </c>
      <c r="H337">
        <v>5437.5</v>
      </c>
    </row>
    <row r="338" spans="1:8" x14ac:dyDescent="0.25">
      <c r="A338" s="1"/>
      <c r="C338" s="1"/>
      <c r="E338" s="1">
        <v>41183</v>
      </c>
      <c r="F338">
        <v>20656.427432455101</v>
      </c>
      <c r="G338" s="1">
        <v>41183</v>
      </c>
      <c r="H338">
        <v>5525</v>
      </c>
    </row>
    <row r="339" spans="1:8" x14ac:dyDescent="0.25">
      <c r="A339" s="1"/>
      <c r="C339" s="1"/>
      <c r="E339" s="1">
        <v>41184</v>
      </c>
      <c r="F339">
        <v>20839.859729208001</v>
      </c>
      <c r="G339" s="1">
        <v>41184</v>
      </c>
      <c r="H339">
        <v>5250</v>
      </c>
    </row>
    <row r="340" spans="1:8" x14ac:dyDescent="0.25">
      <c r="A340" s="1"/>
      <c r="C340" s="1"/>
      <c r="E340" s="1">
        <v>41185</v>
      </c>
      <c r="F340">
        <v>20831.174495138199</v>
      </c>
      <c r="G340" s="1">
        <v>41185</v>
      </c>
      <c r="H340">
        <v>5537.5</v>
      </c>
    </row>
    <row r="341" spans="1:8" x14ac:dyDescent="0.25">
      <c r="A341" s="1"/>
      <c r="C341" s="1"/>
      <c r="E341" s="1">
        <v>41186</v>
      </c>
      <c r="F341">
        <v>20891.190150655799</v>
      </c>
      <c r="G341" s="1">
        <v>41186</v>
      </c>
      <c r="H341">
        <v>5762.5</v>
      </c>
    </row>
    <row r="342" spans="1:8" x14ac:dyDescent="0.25">
      <c r="A342" s="1"/>
      <c r="C342" s="1"/>
      <c r="E342" s="1">
        <v>41187</v>
      </c>
      <c r="F342">
        <v>20838.777858175301</v>
      </c>
      <c r="G342" s="1">
        <v>41187</v>
      </c>
      <c r="H342">
        <v>5075</v>
      </c>
    </row>
    <row r="343" spans="1:8" x14ac:dyDescent="0.25">
      <c r="A343" s="1"/>
      <c r="C343" s="1"/>
      <c r="E343" s="1">
        <v>41191</v>
      </c>
      <c r="F343">
        <v>21025.554026998499</v>
      </c>
      <c r="G343" s="1">
        <v>41191</v>
      </c>
      <c r="H343">
        <v>4750</v>
      </c>
    </row>
    <row r="344" spans="1:8" x14ac:dyDescent="0.25">
      <c r="A344" s="1"/>
      <c r="C344" s="1"/>
      <c r="E344" s="1">
        <v>41192</v>
      </c>
      <c r="F344">
        <v>20995.834193624501</v>
      </c>
      <c r="G344" s="1">
        <v>41192</v>
      </c>
      <c r="H344">
        <v>4450</v>
      </c>
    </row>
    <row r="345" spans="1:8" x14ac:dyDescent="0.25">
      <c r="A345" s="1"/>
      <c r="C345" s="1"/>
      <c r="E345" s="1">
        <v>41193</v>
      </c>
      <c r="F345">
        <v>20187.1348528042</v>
      </c>
      <c r="G345" s="1">
        <v>41193</v>
      </c>
      <c r="H345">
        <v>6375</v>
      </c>
    </row>
    <row r="346" spans="1:8" x14ac:dyDescent="0.25">
      <c r="A346" s="1"/>
      <c r="C346" s="1"/>
      <c r="E346" s="1">
        <v>41194</v>
      </c>
      <c r="F346">
        <v>20527.9900926724</v>
      </c>
      <c r="G346" s="1">
        <v>41194</v>
      </c>
      <c r="H346">
        <v>5225</v>
      </c>
    </row>
    <row r="347" spans="1:8" x14ac:dyDescent="0.25">
      <c r="A347" s="1"/>
      <c r="C347" s="1"/>
      <c r="E347" s="1">
        <v>41197</v>
      </c>
      <c r="F347">
        <v>20927.337199606001</v>
      </c>
      <c r="G347" s="1">
        <v>41197</v>
      </c>
      <c r="H347">
        <v>4412.5</v>
      </c>
    </row>
    <row r="348" spans="1:8" x14ac:dyDescent="0.25">
      <c r="A348" s="1"/>
      <c r="C348" s="1"/>
      <c r="E348" s="1">
        <v>41198</v>
      </c>
      <c r="F348">
        <v>20875.852534688998</v>
      </c>
      <c r="G348" s="1">
        <v>41198</v>
      </c>
      <c r="H348">
        <v>4412.5</v>
      </c>
    </row>
    <row r="349" spans="1:8" x14ac:dyDescent="0.25">
      <c r="A349" s="1"/>
      <c r="C349" s="1"/>
      <c r="E349" s="1">
        <v>41199</v>
      </c>
      <c r="F349">
        <v>21131.036616720201</v>
      </c>
      <c r="G349" s="1">
        <v>41199</v>
      </c>
      <c r="H349">
        <v>4775</v>
      </c>
    </row>
    <row r="350" spans="1:8" x14ac:dyDescent="0.25">
      <c r="A350" s="1"/>
      <c r="C350" s="1"/>
      <c r="E350" s="1">
        <v>41200</v>
      </c>
      <c r="F350">
        <v>22378.986506856902</v>
      </c>
      <c r="G350" s="1">
        <v>41200</v>
      </c>
      <c r="H350">
        <v>5612.5</v>
      </c>
    </row>
    <row r="351" spans="1:8" x14ac:dyDescent="0.25">
      <c r="A351" s="1"/>
      <c r="C351" s="1"/>
      <c r="E351" s="1">
        <v>41201</v>
      </c>
      <c r="F351">
        <v>22700.684565938998</v>
      </c>
      <c r="G351" s="1">
        <v>41201</v>
      </c>
      <c r="H351">
        <v>5825</v>
      </c>
    </row>
    <row r="352" spans="1:8" x14ac:dyDescent="0.25">
      <c r="A352" s="1"/>
      <c r="C352" s="1"/>
      <c r="E352" s="1">
        <v>41204</v>
      </c>
      <c r="F352">
        <v>22622.586963094702</v>
      </c>
      <c r="G352" s="1">
        <v>41204</v>
      </c>
      <c r="H352">
        <v>5775</v>
      </c>
    </row>
    <row r="353" spans="1:8" x14ac:dyDescent="0.25">
      <c r="A353" s="1"/>
      <c r="C353" s="1"/>
      <c r="E353" s="1">
        <v>41205</v>
      </c>
      <c r="F353">
        <v>22322.5253175869</v>
      </c>
      <c r="G353" s="1">
        <v>41205</v>
      </c>
      <c r="H353">
        <v>5312.5</v>
      </c>
    </row>
    <row r="354" spans="1:8" x14ac:dyDescent="0.25">
      <c r="A354" s="1"/>
      <c r="C354" s="1"/>
      <c r="E354" s="1">
        <v>41206</v>
      </c>
      <c r="F354">
        <v>22319.7068399563</v>
      </c>
      <c r="G354" s="1">
        <v>41206</v>
      </c>
      <c r="H354">
        <v>5312.5</v>
      </c>
    </row>
    <row r="355" spans="1:8" x14ac:dyDescent="0.25">
      <c r="A355" s="1"/>
      <c r="C355" s="1"/>
      <c r="E355" s="1">
        <v>41207</v>
      </c>
      <c r="F355">
        <v>22105.6843332424</v>
      </c>
      <c r="G355" s="1">
        <v>41207</v>
      </c>
      <c r="H355">
        <v>4825</v>
      </c>
    </row>
    <row r="356" spans="1:8" x14ac:dyDescent="0.25">
      <c r="A356" s="1"/>
      <c r="C356" s="1"/>
      <c r="E356" s="1">
        <v>41208</v>
      </c>
      <c r="F356">
        <v>21963.949347890899</v>
      </c>
      <c r="G356" s="1">
        <v>41208</v>
      </c>
      <c r="H356">
        <v>4537.5</v>
      </c>
    </row>
    <row r="357" spans="1:8" x14ac:dyDescent="0.25">
      <c r="A357" s="1"/>
      <c r="C357" s="1"/>
      <c r="E357" s="1">
        <v>41211</v>
      </c>
      <c r="F357">
        <v>21902.330344595</v>
      </c>
      <c r="G357" s="1">
        <v>41211</v>
      </c>
      <c r="H357">
        <v>4475</v>
      </c>
    </row>
    <row r="358" spans="1:8" x14ac:dyDescent="0.25">
      <c r="A358" s="1"/>
      <c r="C358" s="1"/>
      <c r="E358" s="1">
        <v>41212</v>
      </c>
      <c r="F358">
        <v>21865.929500021</v>
      </c>
      <c r="G358" s="1">
        <v>41212</v>
      </c>
      <c r="H358">
        <v>4612.5</v>
      </c>
    </row>
    <row r="359" spans="1:8" x14ac:dyDescent="0.25">
      <c r="A359" s="1"/>
      <c r="C359" s="1"/>
      <c r="E359" s="1">
        <v>41213</v>
      </c>
      <c r="F359">
        <v>21853.929500021</v>
      </c>
      <c r="G359" s="1">
        <v>41213</v>
      </c>
      <c r="H359">
        <v>5300</v>
      </c>
    </row>
    <row r="360" spans="1:8" x14ac:dyDescent="0.25">
      <c r="A360" s="1"/>
      <c r="C360" s="1"/>
      <c r="E360" s="1">
        <v>41214</v>
      </c>
      <c r="F360">
        <v>21742.478923238799</v>
      </c>
      <c r="G360" s="1">
        <v>41214</v>
      </c>
      <c r="H360">
        <v>5337.5</v>
      </c>
    </row>
    <row r="361" spans="1:8" x14ac:dyDescent="0.25">
      <c r="A361" s="1"/>
      <c r="C361" s="1"/>
      <c r="E361" s="1">
        <v>41215</v>
      </c>
      <c r="F361">
        <v>22405.1230882778</v>
      </c>
      <c r="G361" s="1">
        <v>41215</v>
      </c>
      <c r="H361">
        <v>4687.5</v>
      </c>
    </row>
    <row r="362" spans="1:8" x14ac:dyDescent="0.25">
      <c r="A362" s="1"/>
      <c r="C362" s="1"/>
      <c r="E362" s="1">
        <v>41218</v>
      </c>
      <c r="F362">
        <v>22584.5059770718</v>
      </c>
      <c r="G362" s="1">
        <v>41218</v>
      </c>
      <c r="H362">
        <v>4325</v>
      </c>
    </row>
    <row r="363" spans="1:8" x14ac:dyDescent="0.25">
      <c r="A363" s="1"/>
      <c r="C363" s="1"/>
      <c r="E363" s="1">
        <v>41219</v>
      </c>
      <c r="F363">
        <v>22613.022212423301</v>
      </c>
      <c r="G363" s="1">
        <v>41219</v>
      </c>
      <c r="H363">
        <v>4625</v>
      </c>
    </row>
    <row r="364" spans="1:8" x14ac:dyDescent="0.25">
      <c r="A364" s="1"/>
      <c r="C364" s="1"/>
      <c r="E364" s="1">
        <v>41220</v>
      </c>
      <c r="F364">
        <v>22708.7497667446</v>
      </c>
      <c r="G364" s="1">
        <v>41220</v>
      </c>
      <c r="H364">
        <v>4787.5</v>
      </c>
    </row>
    <row r="365" spans="1:8" x14ac:dyDescent="0.25">
      <c r="A365" s="1"/>
      <c r="C365" s="1"/>
      <c r="E365" s="1">
        <v>41221</v>
      </c>
      <c r="F365">
        <v>22806.456836141599</v>
      </c>
      <c r="G365" s="1">
        <v>41221</v>
      </c>
      <c r="H365">
        <v>4837.5</v>
      </c>
    </row>
    <row r="366" spans="1:8" x14ac:dyDescent="0.25">
      <c r="A366" s="1"/>
      <c r="C366" s="1"/>
      <c r="E366" s="1">
        <v>41222</v>
      </c>
      <c r="F366">
        <v>22614.100070394499</v>
      </c>
      <c r="G366" s="1">
        <v>41222</v>
      </c>
      <c r="H366">
        <v>4675</v>
      </c>
    </row>
    <row r="367" spans="1:8" x14ac:dyDescent="0.25">
      <c r="A367" s="1"/>
      <c r="C367" s="1"/>
      <c r="E367" s="1">
        <v>41226</v>
      </c>
      <c r="F367">
        <v>22208.998660482401</v>
      </c>
      <c r="G367" s="1">
        <v>41226</v>
      </c>
      <c r="H367">
        <v>3512.5</v>
      </c>
    </row>
    <row r="368" spans="1:8" x14ac:dyDescent="0.25">
      <c r="A368" s="1"/>
      <c r="C368" s="1"/>
      <c r="E368" s="1">
        <v>41227</v>
      </c>
      <c r="F368">
        <v>22459.613181509001</v>
      </c>
      <c r="G368" s="1">
        <v>41227</v>
      </c>
      <c r="H368">
        <v>4000</v>
      </c>
    </row>
    <row r="369" spans="1:8" x14ac:dyDescent="0.25">
      <c r="A369" s="1"/>
      <c r="C369" s="1"/>
      <c r="E369" s="1">
        <v>41228</v>
      </c>
      <c r="F369">
        <v>22259.530448354701</v>
      </c>
      <c r="G369" s="1">
        <v>41228</v>
      </c>
      <c r="H369">
        <v>3750</v>
      </c>
    </row>
    <row r="370" spans="1:8" x14ac:dyDescent="0.25">
      <c r="A370" s="1"/>
      <c r="C370" s="1"/>
      <c r="E370" s="1">
        <v>41229</v>
      </c>
      <c r="F370">
        <v>22404.166188158</v>
      </c>
      <c r="G370" s="1">
        <v>41229</v>
      </c>
      <c r="H370">
        <v>3962.5</v>
      </c>
    </row>
    <row r="371" spans="1:8" x14ac:dyDescent="0.25">
      <c r="A371" s="1"/>
      <c r="C371" s="1"/>
      <c r="E371" s="1">
        <v>41232</v>
      </c>
      <c r="F371">
        <v>22784.737706102402</v>
      </c>
      <c r="G371" s="1">
        <v>41232</v>
      </c>
      <c r="H371">
        <v>4525</v>
      </c>
    </row>
    <row r="372" spans="1:8" x14ac:dyDescent="0.25">
      <c r="A372" s="1"/>
      <c r="C372" s="1"/>
      <c r="E372" s="1">
        <v>41233</v>
      </c>
      <c r="F372">
        <v>23392.1186875477</v>
      </c>
      <c r="G372" s="1">
        <v>41233</v>
      </c>
      <c r="H372">
        <v>4837.5</v>
      </c>
    </row>
    <row r="373" spans="1:8" x14ac:dyDescent="0.25">
      <c r="A373" s="1"/>
      <c r="C373" s="1"/>
      <c r="E373" s="1">
        <v>41234</v>
      </c>
      <c r="F373">
        <v>23157.282322801599</v>
      </c>
      <c r="G373" s="1">
        <v>41234</v>
      </c>
      <c r="H373">
        <v>4587.5</v>
      </c>
    </row>
    <row r="374" spans="1:8" x14ac:dyDescent="0.25">
      <c r="A374" s="1"/>
      <c r="C374" s="1"/>
      <c r="E374" s="1">
        <v>41236</v>
      </c>
      <c r="F374">
        <v>22855.020939745002</v>
      </c>
      <c r="G374" s="1">
        <v>41236</v>
      </c>
      <c r="H374">
        <v>4900</v>
      </c>
    </row>
    <row r="375" spans="1:8" x14ac:dyDescent="0.25">
      <c r="A375" s="1"/>
      <c r="C375" s="1"/>
      <c r="E375" s="1">
        <v>41239</v>
      </c>
      <c r="F375">
        <v>22718.989987291301</v>
      </c>
      <c r="G375" s="1">
        <v>41239</v>
      </c>
      <c r="H375">
        <v>5050</v>
      </c>
    </row>
    <row r="376" spans="1:8" x14ac:dyDescent="0.25">
      <c r="A376" s="1"/>
      <c r="C376" s="1"/>
      <c r="E376" s="1">
        <v>41240</v>
      </c>
      <c r="F376">
        <v>22455.739201463701</v>
      </c>
      <c r="G376" s="1">
        <v>41240</v>
      </c>
      <c r="H376">
        <v>5212.5</v>
      </c>
    </row>
    <row r="377" spans="1:8" x14ac:dyDescent="0.25">
      <c r="A377" s="1"/>
      <c r="C377" s="1"/>
      <c r="E377" s="1">
        <v>41241</v>
      </c>
      <c r="F377">
        <v>22375.638371385601</v>
      </c>
      <c r="G377" s="1">
        <v>41241</v>
      </c>
      <c r="H377">
        <v>5737.5</v>
      </c>
    </row>
    <row r="378" spans="1:8" x14ac:dyDescent="0.25">
      <c r="A378" s="1"/>
      <c r="C378" s="1"/>
      <c r="E378" s="1">
        <v>41242</v>
      </c>
      <c r="F378">
        <v>22852.006314195602</v>
      </c>
      <c r="G378" s="1">
        <v>41242</v>
      </c>
      <c r="H378">
        <v>5350</v>
      </c>
    </row>
    <row r="379" spans="1:8" x14ac:dyDescent="0.25">
      <c r="A379" s="1"/>
      <c r="C379" s="1"/>
      <c r="E379" s="1">
        <v>41243</v>
      </c>
      <c r="F379">
        <v>23746.663082994499</v>
      </c>
      <c r="G379" s="1">
        <v>41243</v>
      </c>
      <c r="H379">
        <v>4900</v>
      </c>
    </row>
    <row r="380" spans="1:8" x14ac:dyDescent="0.25">
      <c r="A380" s="1"/>
      <c r="C380" s="1"/>
      <c r="E380" s="1">
        <v>41246</v>
      </c>
      <c r="F380">
        <v>23527.619542039902</v>
      </c>
      <c r="G380" s="1">
        <v>41246</v>
      </c>
      <c r="H380">
        <v>5037.5</v>
      </c>
    </row>
    <row r="381" spans="1:8" x14ac:dyDescent="0.25">
      <c r="A381" s="1"/>
      <c r="C381" s="1"/>
      <c r="E381" s="1">
        <v>41247</v>
      </c>
      <c r="F381">
        <v>23538.0049370899</v>
      </c>
      <c r="G381" s="1">
        <v>41247</v>
      </c>
      <c r="H381">
        <v>4900</v>
      </c>
    </row>
    <row r="382" spans="1:8" x14ac:dyDescent="0.25">
      <c r="A382" s="1"/>
      <c r="C382" s="1"/>
      <c r="E382" s="1">
        <v>41248</v>
      </c>
      <c r="F382">
        <v>22913.797379411699</v>
      </c>
      <c r="G382" s="1">
        <v>41248</v>
      </c>
      <c r="H382">
        <v>5200</v>
      </c>
    </row>
    <row r="383" spans="1:8" x14ac:dyDescent="0.25">
      <c r="A383" s="1"/>
      <c r="C383" s="1"/>
      <c r="E383" s="1">
        <v>41249</v>
      </c>
      <c r="F383">
        <v>22973.666825212498</v>
      </c>
      <c r="G383" s="1">
        <v>41249</v>
      </c>
      <c r="H383">
        <v>4862.5</v>
      </c>
    </row>
    <row r="384" spans="1:8" x14ac:dyDescent="0.25">
      <c r="A384" s="1"/>
      <c r="C384" s="1"/>
      <c r="E384" s="1">
        <v>41250</v>
      </c>
      <c r="F384">
        <v>24277.8817299976</v>
      </c>
      <c r="G384" s="1">
        <v>41250</v>
      </c>
      <c r="H384">
        <v>4312.5</v>
      </c>
    </row>
    <row r="385" spans="1:8" x14ac:dyDescent="0.25">
      <c r="A385" s="1"/>
      <c r="C385" s="1"/>
      <c r="E385" s="1">
        <v>41253</v>
      </c>
      <c r="F385">
        <v>24761.0302285328</v>
      </c>
      <c r="G385" s="1">
        <v>41253</v>
      </c>
      <c r="H385">
        <v>3875</v>
      </c>
    </row>
    <row r="386" spans="1:8" x14ac:dyDescent="0.25">
      <c r="A386" s="1"/>
      <c r="C386" s="1"/>
      <c r="E386" s="1">
        <v>41254</v>
      </c>
      <c r="F386">
        <v>24979.482403673199</v>
      </c>
      <c r="G386" s="1">
        <v>41254</v>
      </c>
      <c r="H386">
        <v>3712.5</v>
      </c>
    </row>
    <row r="387" spans="1:8" x14ac:dyDescent="0.25">
      <c r="A387" s="1"/>
      <c r="C387" s="1"/>
      <c r="E387" s="1">
        <v>41255</v>
      </c>
      <c r="F387">
        <v>25112.649556077999</v>
      </c>
      <c r="G387" s="1">
        <v>41255</v>
      </c>
      <c r="H387">
        <v>3650</v>
      </c>
    </row>
    <row r="388" spans="1:8" x14ac:dyDescent="0.25">
      <c r="A388" s="1"/>
      <c r="C388" s="1"/>
      <c r="E388" s="1">
        <v>41256</v>
      </c>
      <c r="F388">
        <v>25498.452862657599</v>
      </c>
      <c r="G388" s="1">
        <v>41256</v>
      </c>
      <c r="H388">
        <v>3300</v>
      </c>
    </row>
    <row r="389" spans="1:8" x14ac:dyDescent="0.25">
      <c r="A389" s="1"/>
      <c r="C389" s="1"/>
      <c r="E389" s="1">
        <v>41257</v>
      </c>
      <c r="F389">
        <v>24831.199200548199</v>
      </c>
      <c r="G389" s="1">
        <v>41257</v>
      </c>
      <c r="H389">
        <v>3912.5</v>
      </c>
    </row>
    <row r="390" spans="1:8" x14ac:dyDescent="0.25">
      <c r="A390" s="1"/>
      <c r="C390" s="1"/>
      <c r="E390" s="1">
        <v>41260</v>
      </c>
      <c r="F390">
        <v>25076.0023011341</v>
      </c>
      <c r="G390" s="1">
        <v>41260</v>
      </c>
      <c r="H390">
        <v>3587.5</v>
      </c>
    </row>
    <row r="391" spans="1:8" x14ac:dyDescent="0.25">
      <c r="A391" s="1"/>
      <c r="C391" s="1"/>
      <c r="E391" s="1">
        <v>41261</v>
      </c>
      <c r="F391">
        <v>25526.097536958699</v>
      </c>
      <c r="G391" s="1">
        <v>41261</v>
      </c>
      <c r="H391">
        <v>3362.5</v>
      </c>
    </row>
    <row r="392" spans="1:8" x14ac:dyDescent="0.25">
      <c r="A392" s="1"/>
      <c r="C392" s="1"/>
      <c r="E392" s="1">
        <v>41262</v>
      </c>
      <c r="F392">
        <v>26092.558802522701</v>
      </c>
      <c r="G392" s="1">
        <v>41262</v>
      </c>
      <c r="H392">
        <v>2662.5</v>
      </c>
    </row>
    <row r="393" spans="1:8" x14ac:dyDescent="0.25">
      <c r="A393" s="1"/>
      <c r="C393" s="1"/>
      <c r="E393" s="1">
        <v>41263</v>
      </c>
      <c r="F393">
        <v>25764.942362703299</v>
      </c>
      <c r="G393" s="1">
        <v>41263</v>
      </c>
      <c r="H393">
        <v>2175</v>
      </c>
    </row>
    <row r="394" spans="1:8" x14ac:dyDescent="0.25">
      <c r="A394" s="1"/>
      <c r="C394" s="1"/>
      <c r="E394" s="1">
        <v>41264</v>
      </c>
      <c r="F394">
        <v>25874.503436006598</v>
      </c>
      <c r="G394" s="1">
        <v>41264</v>
      </c>
      <c r="H394">
        <v>2437.5</v>
      </c>
    </row>
    <row r="395" spans="1:8" x14ac:dyDescent="0.25">
      <c r="A395" s="1"/>
      <c r="C395" s="1"/>
      <c r="E395" s="1">
        <v>41267</v>
      </c>
      <c r="F395">
        <v>26133.441607393299</v>
      </c>
      <c r="G395" s="1">
        <v>41267</v>
      </c>
      <c r="H395">
        <v>2650</v>
      </c>
    </row>
    <row r="396" spans="1:8" x14ac:dyDescent="0.25">
      <c r="A396" s="1"/>
      <c r="C396" s="1"/>
      <c r="E396" s="1">
        <v>41269</v>
      </c>
      <c r="F396">
        <v>25683.145769990901</v>
      </c>
      <c r="G396" s="1">
        <v>41269</v>
      </c>
      <c r="H396">
        <v>2125</v>
      </c>
    </row>
    <row r="397" spans="1:8" x14ac:dyDescent="0.25">
      <c r="A397" s="1"/>
      <c r="C397" s="1"/>
      <c r="E397" s="1">
        <v>41270</v>
      </c>
      <c r="F397">
        <v>25665.061770357101</v>
      </c>
      <c r="G397" s="1">
        <v>41270</v>
      </c>
      <c r="H397">
        <v>1962.5</v>
      </c>
    </row>
    <row r="398" spans="1:8" x14ac:dyDescent="0.25">
      <c r="A398" s="1"/>
      <c r="C398" s="1"/>
      <c r="E398" s="1">
        <v>41271</v>
      </c>
      <c r="F398">
        <v>25732.2331647053</v>
      </c>
      <c r="G398" s="1">
        <v>41271</v>
      </c>
      <c r="H398">
        <v>2050</v>
      </c>
    </row>
    <row r="399" spans="1:8" x14ac:dyDescent="0.25">
      <c r="A399" s="1"/>
      <c r="C399" s="1"/>
      <c r="E399" s="1">
        <v>41274</v>
      </c>
      <c r="F399">
        <v>25959.4147442951</v>
      </c>
      <c r="G399" s="1">
        <v>41274</v>
      </c>
      <c r="H399">
        <v>2250</v>
      </c>
    </row>
    <row r="400" spans="1:8" x14ac:dyDescent="0.25">
      <c r="A400" s="1"/>
      <c r="C400" s="1"/>
      <c r="E400" s="1">
        <v>41276</v>
      </c>
      <c r="F400">
        <v>25600.768198885002</v>
      </c>
      <c r="G400" s="1">
        <v>41276</v>
      </c>
      <c r="H400">
        <v>1900</v>
      </c>
    </row>
    <row r="401" spans="1:8" x14ac:dyDescent="0.25">
      <c r="A401" s="1"/>
      <c r="C401" s="1"/>
      <c r="E401" s="1">
        <v>41277</v>
      </c>
      <c r="F401">
        <v>25556.966895021498</v>
      </c>
      <c r="G401" s="1">
        <v>41277</v>
      </c>
      <c r="H401">
        <v>1950</v>
      </c>
    </row>
    <row r="402" spans="1:8" x14ac:dyDescent="0.25">
      <c r="A402" s="1"/>
      <c r="C402" s="1"/>
      <c r="E402" s="1">
        <v>41278</v>
      </c>
      <c r="F402">
        <v>25376.535712160101</v>
      </c>
      <c r="G402" s="1">
        <v>41278</v>
      </c>
      <c r="H402">
        <v>1575</v>
      </c>
    </row>
    <row r="403" spans="1:8" x14ac:dyDescent="0.25">
      <c r="A403" s="1"/>
      <c r="C403" s="1"/>
      <c r="E403" s="1">
        <v>41281</v>
      </c>
      <c r="F403">
        <v>25399.1486281529</v>
      </c>
      <c r="G403" s="1">
        <v>41281</v>
      </c>
      <c r="H403">
        <v>1662.5</v>
      </c>
    </row>
    <row r="404" spans="1:8" x14ac:dyDescent="0.25">
      <c r="A404" s="1"/>
      <c r="C404" s="1"/>
      <c r="E404" s="1">
        <v>41282</v>
      </c>
      <c r="F404">
        <v>25375.413413919501</v>
      </c>
      <c r="G404" s="1">
        <v>41282</v>
      </c>
      <c r="H404">
        <v>2000</v>
      </c>
    </row>
    <row r="405" spans="1:8" x14ac:dyDescent="0.25">
      <c r="A405" s="1"/>
      <c r="C405" s="1"/>
      <c r="E405" s="1">
        <v>41283</v>
      </c>
      <c r="F405">
        <v>25335.3760069981</v>
      </c>
      <c r="G405" s="1">
        <v>41283</v>
      </c>
      <c r="H405">
        <v>2125</v>
      </c>
    </row>
    <row r="406" spans="1:8" x14ac:dyDescent="0.25">
      <c r="A406" s="1"/>
      <c r="C406" s="1"/>
      <c r="E406" s="1">
        <v>41284</v>
      </c>
      <c r="F406">
        <v>25306.466949380901</v>
      </c>
      <c r="G406" s="1">
        <v>41284</v>
      </c>
      <c r="H406">
        <v>2312.5</v>
      </c>
    </row>
    <row r="407" spans="1:8" x14ac:dyDescent="0.25">
      <c r="A407" s="1"/>
      <c r="C407" s="1"/>
      <c r="E407" s="1">
        <v>41285</v>
      </c>
      <c r="F407">
        <v>24451.338531412101</v>
      </c>
      <c r="G407" s="1">
        <v>41285</v>
      </c>
      <c r="H407">
        <v>3162.5</v>
      </c>
    </row>
    <row r="408" spans="1:8" x14ac:dyDescent="0.25">
      <c r="A408" s="1"/>
      <c r="C408" s="1"/>
      <c r="E408" s="1">
        <v>41288</v>
      </c>
      <c r="F408">
        <v>24502.746917642598</v>
      </c>
      <c r="G408" s="1">
        <v>41288</v>
      </c>
      <c r="H408">
        <v>3550</v>
      </c>
    </row>
    <row r="409" spans="1:8" x14ac:dyDescent="0.25">
      <c r="A409" s="1"/>
      <c r="C409" s="1"/>
      <c r="E409" s="1">
        <v>41289</v>
      </c>
      <c r="F409">
        <v>24520.4972838535</v>
      </c>
      <c r="G409" s="1">
        <v>41289</v>
      </c>
      <c r="H409">
        <v>4000</v>
      </c>
    </row>
    <row r="410" spans="1:8" x14ac:dyDescent="0.25">
      <c r="A410" s="1"/>
      <c r="C410" s="1"/>
      <c r="E410" s="1">
        <v>41290</v>
      </c>
      <c r="F410">
        <v>24609.1575144901</v>
      </c>
      <c r="G410" s="1">
        <v>41290</v>
      </c>
      <c r="H410">
        <v>3875</v>
      </c>
    </row>
    <row r="411" spans="1:8" x14ac:dyDescent="0.25">
      <c r="A411" s="1"/>
      <c r="C411" s="1"/>
      <c r="E411" s="1">
        <v>41291</v>
      </c>
      <c r="F411">
        <v>24700.591513551699</v>
      </c>
      <c r="G411" s="1">
        <v>41291</v>
      </c>
      <c r="H411">
        <v>3787.5</v>
      </c>
    </row>
    <row r="412" spans="1:8" x14ac:dyDescent="0.25">
      <c r="A412" s="1"/>
      <c r="C412" s="1"/>
      <c r="E412" s="1">
        <v>41292</v>
      </c>
      <c r="F412">
        <v>24792.701598085401</v>
      </c>
      <c r="G412" s="1">
        <v>41292</v>
      </c>
      <c r="H412">
        <v>3837.5</v>
      </c>
    </row>
    <row r="413" spans="1:8" x14ac:dyDescent="0.25">
      <c r="A413" s="1"/>
      <c r="C413" s="1"/>
      <c r="E413" s="1">
        <v>41296</v>
      </c>
      <c r="F413">
        <v>24828.3340291157</v>
      </c>
      <c r="G413" s="1">
        <v>41296</v>
      </c>
      <c r="H413">
        <v>3937.5</v>
      </c>
    </row>
    <row r="414" spans="1:8" x14ac:dyDescent="0.25">
      <c r="A414" s="1"/>
      <c r="C414" s="1"/>
      <c r="E414" s="1">
        <v>41297</v>
      </c>
      <c r="F414">
        <v>25061.508253969201</v>
      </c>
      <c r="G414" s="1">
        <v>41297</v>
      </c>
      <c r="H414">
        <v>3587.5</v>
      </c>
    </row>
    <row r="415" spans="1:8" x14ac:dyDescent="0.25">
      <c r="A415" s="1"/>
      <c r="C415" s="1"/>
      <c r="E415" s="1">
        <v>41298</v>
      </c>
      <c r="F415">
        <v>25130.5357846394</v>
      </c>
      <c r="G415" s="1">
        <v>41298</v>
      </c>
      <c r="H415">
        <v>3487.5</v>
      </c>
    </row>
    <row r="416" spans="1:8" x14ac:dyDescent="0.25">
      <c r="A416" s="1"/>
      <c r="C416" s="1"/>
      <c r="E416" s="1">
        <v>41299</v>
      </c>
      <c r="F416">
        <v>25049.0538243427</v>
      </c>
      <c r="G416" s="1">
        <v>41299</v>
      </c>
      <c r="H416">
        <v>3450</v>
      </c>
    </row>
    <row r="417" spans="1:8" x14ac:dyDescent="0.25">
      <c r="A417" s="1"/>
      <c r="C417" s="1"/>
      <c r="E417" s="1">
        <v>41302</v>
      </c>
      <c r="F417">
        <v>25245.550360597601</v>
      </c>
      <c r="G417" s="1">
        <v>41302</v>
      </c>
      <c r="H417">
        <v>3600</v>
      </c>
    </row>
    <row r="418" spans="1:8" x14ac:dyDescent="0.25">
      <c r="A418" s="1"/>
      <c r="C418" s="1"/>
      <c r="E418" s="1">
        <v>41303</v>
      </c>
      <c r="F418">
        <v>25451.846716798798</v>
      </c>
      <c r="G418" s="1">
        <v>41303</v>
      </c>
      <c r="H418">
        <v>3962.5</v>
      </c>
    </row>
    <row r="419" spans="1:8" x14ac:dyDescent="0.25">
      <c r="A419" s="1"/>
      <c r="C419" s="1"/>
      <c r="E419" s="1">
        <v>41304</v>
      </c>
      <c r="F419">
        <v>25684.327902711899</v>
      </c>
      <c r="G419" s="1">
        <v>41304</v>
      </c>
      <c r="H419">
        <v>4437.5</v>
      </c>
    </row>
    <row r="420" spans="1:8" x14ac:dyDescent="0.25">
      <c r="A420" s="1"/>
      <c r="C420" s="1"/>
      <c r="E420" s="1">
        <v>41305</v>
      </c>
      <c r="F420">
        <v>25668.568249620399</v>
      </c>
      <c r="G420" s="1">
        <v>41305</v>
      </c>
      <c r="H420">
        <v>4400</v>
      </c>
    </row>
    <row r="421" spans="1:8" x14ac:dyDescent="0.25">
      <c r="A421" s="1"/>
      <c r="C421" s="1"/>
      <c r="E421" s="1">
        <v>41306</v>
      </c>
      <c r="F421">
        <v>25771.487430013702</v>
      </c>
      <c r="G421" s="1">
        <v>41306</v>
      </c>
      <c r="H421">
        <v>4325</v>
      </c>
    </row>
    <row r="422" spans="1:8" x14ac:dyDescent="0.25">
      <c r="A422" s="1"/>
      <c r="C422" s="1"/>
      <c r="E422" s="1">
        <v>41309</v>
      </c>
      <c r="F422">
        <v>26002.679080404301</v>
      </c>
      <c r="G422" s="1">
        <v>41309</v>
      </c>
      <c r="H422">
        <v>4087.5</v>
      </c>
    </row>
    <row r="423" spans="1:8" x14ac:dyDescent="0.25">
      <c r="A423" s="1"/>
      <c r="C423" s="1"/>
      <c r="E423" s="1">
        <v>41310</v>
      </c>
      <c r="F423">
        <v>26043.878726400399</v>
      </c>
      <c r="G423" s="1">
        <v>41310</v>
      </c>
      <c r="H423">
        <v>3775</v>
      </c>
    </row>
    <row r="424" spans="1:8" x14ac:dyDescent="0.25">
      <c r="A424" s="1"/>
      <c r="C424" s="1"/>
      <c r="E424" s="1">
        <v>41311</v>
      </c>
      <c r="F424">
        <v>26339.8933977261</v>
      </c>
      <c r="G424" s="1">
        <v>41311</v>
      </c>
      <c r="H424">
        <v>3587.5</v>
      </c>
    </row>
    <row r="425" spans="1:8" x14ac:dyDescent="0.25">
      <c r="A425" s="1"/>
      <c r="C425" s="1"/>
      <c r="E425" s="1">
        <v>41312</v>
      </c>
      <c r="F425">
        <v>26821.349254049299</v>
      </c>
      <c r="G425" s="1">
        <v>41312</v>
      </c>
      <c r="H425">
        <v>3137.5</v>
      </c>
    </row>
    <row r="426" spans="1:8" x14ac:dyDescent="0.25">
      <c r="A426" s="1"/>
      <c r="C426" s="1"/>
      <c r="E426" s="1">
        <v>41313</v>
      </c>
      <c r="F426">
        <v>26731.469230093</v>
      </c>
      <c r="G426" s="1">
        <v>41313</v>
      </c>
      <c r="H426">
        <v>3037.5</v>
      </c>
    </row>
    <row r="427" spans="1:8" x14ac:dyDescent="0.25">
      <c r="A427" s="1"/>
      <c r="C427" s="1"/>
      <c r="E427" s="1">
        <v>41316</v>
      </c>
      <c r="F427">
        <v>26262.698554433799</v>
      </c>
      <c r="G427" s="1">
        <v>41316</v>
      </c>
      <c r="H427">
        <v>2512.5</v>
      </c>
    </row>
    <row r="428" spans="1:8" x14ac:dyDescent="0.25">
      <c r="A428" s="1"/>
      <c r="C428" s="1"/>
      <c r="E428" s="1">
        <v>41317</v>
      </c>
      <c r="F428">
        <v>25279.5404199734</v>
      </c>
      <c r="G428" s="1">
        <v>41317</v>
      </c>
      <c r="H428">
        <v>2112.5</v>
      </c>
    </row>
    <row r="429" spans="1:8" x14ac:dyDescent="0.25">
      <c r="A429" s="1"/>
      <c r="C429" s="1"/>
      <c r="E429" s="1">
        <v>41318</v>
      </c>
      <c r="F429">
        <v>25080.338033117299</v>
      </c>
      <c r="G429" s="1">
        <v>41318</v>
      </c>
      <c r="H429">
        <v>2062.5</v>
      </c>
    </row>
    <row r="430" spans="1:8" x14ac:dyDescent="0.25">
      <c r="A430" s="1"/>
      <c r="C430" s="1"/>
      <c r="E430" s="1">
        <v>41319</v>
      </c>
      <c r="F430">
        <v>24937.500184453998</v>
      </c>
      <c r="G430" s="1">
        <v>41319</v>
      </c>
      <c r="H430">
        <v>1962.5</v>
      </c>
    </row>
    <row r="431" spans="1:8" x14ac:dyDescent="0.25">
      <c r="A431" s="1"/>
      <c r="C431" s="1"/>
      <c r="E431" s="1">
        <v>41320</v>
      </c>
      <c r="F431">
        <v>25332.6119379177</v>
      </c>
      <c r="G431" s="1">
        <v>41320</v>
      </c>
      <c r="H431">
        <v>2287.5</v>
      </c>
    </row>
    <row r="432" spans="1:8" x14ac:dyDescent="0.25">
      <c r="A432" s="1"/>
      <c r="C432" s="1"/>
      <c r="E432" s="1">
        <v>41324</v>
      </c>
      <c r="F432">
        <v>24960.196486867899</v>
      </c>
      <c r="G432" s="1">
        <v>41324</v>
      </c>
      <c r="H432">
        <v>2087.5</v>
      </c>
    </row>
    <row r="433" spans="1:8" x14ac:dyDescent="0.25">
      <c r="A433" s="1"/>
      <c r="C433" s="1"/>
      <c r="E433" s="1">
        <v>41325</v>
      </c>
      <c r="F433">
        <v>25094.364808477399</v>
      </c>
      <c r="G433" s="1">
        <v>41325</v>
      </c>
      <c r="H433">
        <v>2375</v>
      </c>
    </row>
    <row r="434" spans="1:8" x14ac:dyDescent="0.25">
      <c r="A434" s="1"/>
      <c r="C434" s="1"/>
      <c r="E434" s="1">
        <v>41326</v>
      </c>
      <c r="F434">
        <v>25271.091737188399</v>
      </c>
      <c r="G434" s="1">
        <v>41326</v>
      </c>
      <c r="H434">
        <v>2100</v>
      </c>
    </row>
    <row r="435" spans="1:8" x14ac:dyDescent="0.25">
      <c r="A435" s="1"/>
      <c r="C435" s="1"/>
      <c r="E435" s="1">
        <v>41327</v>
      </c>
      <c r="F435">
        <v>25278.150535024699</v>
      </c>
      <c r="G435" s="1">
        <v>41327</v>
      </c>
      <c r="H435">
        <v>2037.5</v>
      </c>
    </row>
    <row r="436" spans="1:8" x14ac:dyDescent="0.25">
      <c r="A436" s="1"/>
      <c r="C436" s="1"/>
      <c r="E436" s="1">
        <v>41330</v>
      </c>
      <c r="F436">
        <v>25363.0688699856</v>
      </c>
      <c r="G436" s="1">
        <v>41330</v>
      </c>
      <c r="H436">
        <v>2137.5</v>
      </c>
    </row>
    <row r="437" spans="1:8" x14ac:dyDescent="0.25">
      <c r="A437" s="1"/>
      <c r="C437" s="1"/>
      <c r="E437" s="1">
        <v>41331</v>
      </c>
      <c r="F437">
        <v>25575.966941274699</v>
      </c>
      <c r="G437" s="1">
        <v>41331</v>
      </c>
      <c r="H437">
        <v>2562.5</v>
      </c>
    </row>
    <row r="438" spans="1:8" x14ac:dyDescent="0.25">
      <c r="A438" s="1"/>
      <c r="C438" s="1"/>
      <c r="E438" s="1">
        <v>41332</v>
      </c>
      <c r="F438">
        <v>25785.254195608199</v>
      </c>
      <c r="G438" s="1">
        <v>41332</v>
      </c>
      <c r="H438">
        <v>2975</v>
      </c>
    </row>
    <row r="439" spans="1:8" x14ac:dyDescent="0.25">
      <c r="A439" s="1"/>
      <c r="C439" s="1"/>
      <c r="E439" s="1">
        <v>41333</v>
      </c>
      <c r="F439">
        <v>25796.9398492947</v>
      </c>
      <c r="G439" s="1">
        <v>41333</v>
      </c>
      <c r="H439">
        <v>3375</v>
      </c>
    </row>
    <row r="440" spans="1:8" x14ac:dyDescent="0.25">
      <c r="A440" s="1"/>
      <c r="C440" s="1"/>
      <c r="E440" s="1">
        <v>41334</v>
      </c>
      <c r="F440">
        <v>25470.585578359602</v>
      </c>
      <c r="G440" s="1">
        <v>41334</v>
      </c>
      <c r="H440">
        <v>3725</v>
      </c>
    </row>
    <row r="441" spans="1:8" x14ac:dyDescent="0.25">
      <c r="A441" s="1"/>
      <c r="C441" s="1"/>
      <c r="E441" s="1">
        <v>41337</v>
      </c>
      <c r="F441">
        <v>26141.218711294201</v>
      </c>
      <c r="G441" s="1">
        <v>41337</v>
      </c>
      <c r="H441">
        <v>3400</v>
      </c>
    </row>
    <row r="442" spans="1:8" x14ac:dyDescent="0.25">
      <c r="A442" s="1"/>
      <c r="C442" s="1"/>
      <c r="E442" s="1">
        <v>41338</v>
      </c>
      <c r="F442">
        <v>25366.9352945461</v>
      </c>
      <c r="G442" s="1">
        <v>41338</v>
      </c>
      <c r="H442">
        <v>3950</v>
      </c>
    </row>
    <row r="443" spans="1:8" x14ac:dyDescent="0.25">
      <c r="A443" s="1"/>
      <c r="C443" s="1"/>
      <c r="E443" s="1">
        <v>41339</v>
      </c>
      <c r="F443">
        <v>26520.9907449856</v>
      </c>
      <c r="G443" s="1">
        <v>41339</v>
      </c>
      <c r="H443">
        <v>3012.5</v>
      </c>
    </row>
    <row r="444" spans="1:8" x14ac:dyDescent="0.25">
      <c r="A444" s="1"/>
      <c r="C444" s="1"/>
      <c r="E444" s="1">
        <v>41340</v>
      </c>
      <c r="F444">
        <v>27232.185462392801</v>
      </c>
      <c r="G444" s="1">
        <v>41340</v>
      </c>
      <c r="H444">
        <v>2725</v>
      </c>
    </row>
    <row r="445" spans="1:8" x14ac:dyDescent="0.25">
      <c r="A445" s="1"/>
      <c r="C445" s="1"/>
      <c r="E445" s="1">
        <v>41341</v>
      </c>
      <c r="F445">
        <v>26038.124366201399</v>
      </c>
      <c r="G445" s="1">
        <v>41341</v>
      </c>
      <c r="H445">
        <v>3425</v>
      </c>
    </row>
    <row r="446" spans="1:8" x14ac:dyDescent="0.25">
      <c r="A446" s="1"/>
      <c r="C446" s="1"/>
      <c r="E446" s="1">
        <v>41344</v>
      </c>
      <c r="F446">
        <v>25616.863257803001</v>
      </c>
      <c r="G446" s="1">
        <v>41344</v>
      </c>
      <c r="H446">
        <v>4187.5</v>
      </c>
    </row>
    <row r="447" spans="1:8" x14ac:dyDescent="0.25">
      <c r="A447" s="1"/>
      <c r="C447" s="1"/>
      <c r="E447" s="1">
        <v>41345</v>
      </c>
      <c r="F447">
        <v>25588.593070424999</v>
      </c>
      <c r="G447" s="1">
        <v>41345</v>
      </c>
      <c r="H447">
        <v>4512.5</v>
      </c>
    </row>
    <row r="448" spans="1:8" x14ac:dyDescent="0.25">
      <c r="A448" s="1"/>
      <c r="C448" s="1"/>
      <c r="E448" s="1">
        <v>41346</v>
      </c>
      <c r="F448">
        <v>25622.0981058254</v>
      </c>
      <c r="G448" s="1">
        <v>41346</v>
      </c>
      <c r="H448">
        <v>4200</v>
      </c>
    </row>
    <row r="449" spans="1:8" x14ac:dyDescent="0.25">
      <c r="A449" s="1"/>
      <c r="C449" s="1"/>
      <c r="E449" s="1">
        <v>41347</v>
      </c>
      <c r="F449">
        <v>25315.5427164211</v>
      </c>
      <c r="G449" s="1">
        <v>41347</v>
      </c>
      <c r="H449">
        <v>4487.5</v>
      </c>
    </row>
    <row r="450" spans="1:8" x14ac:dyDescent="0.25">
      <c r="A450" s="1"/>
      <c r="C450" s="1"/>
      <c r="E450" s="1">
        <v>41348</v>
      </c>
      <c r="F450">
        <v>25280.607753194799</v>
      </c>
      <c r="G450" s="1">
        <v>41348</v>
      </c>
      <c r="H450">
        <v>4550</v>
      </c>
    </row>
    <row r="451" spans="1:8" x14ac:dyDescent="0.25">
      <c r="A451" s="1"/>
      <c r="C451" s="1"/>
      <c r="E451" s="1">
        <v>41351</v>
      </c>
      <c r="F451">
        <v>25262.689748205201</v>
      </c>
      <c r="G451" s="1">
        <v>41351</v>
      </c>
      <c r="H451">
        <v>4562.5</v>
      </c>
    </row>
    <row r="452" spans="1:8" x14ac:dyDescent="0.25">
      <c r="A452" s="1"/>
      <c r="C452" s="1"/>
      <c r="E452" s="1">
        <v>41352</v>
      </c>
      <c r="F452">
        <v>25118.5681661739</v>
      </c>
      <c r="G452" s="1">
        <v>41352</v>
      </c>
      <c r="H452">
        <v>5012.5</v>
      </c>
    </row>
    <row r="453" spans="1:8" x14ac:dyDescent="0.25">
      <c r="A453" s="1"/>
      <c r="C453" s="1"/>
      <c r="E453" s="1">
        <v>41353</v>
      </c>
      <c r="F453">
        <v>25064.671971715899</v>
      </c>
      <c r="G453" s="1">
        <v>41353</v>
      </c>
      <c r="H453">
        <v>5275</v>
      </c>
    </row>
    <row r="454" spans="1:8" x14ac:dyDescent="0.25">
      <c r="A454" s="1"/>
      <c r="C454" s="1"/>
      <c r="E454" s="1">
        <v>41354</v>
      </c>
      <c r="F454">
        <v>25078.347421087299</v>
      </c>
      <c r="G454" s="1">
        <v>41354</v>
      </c>
      <c r="H454">
        <v>5425</v>
      </c>
    </row>
    <row r="455" spans="1:8" x14ac:dyDescent="0.25">
      <c r="A455" s="1"/>
      <c r="C455" s="1"/>
      <c r="E455" s="1">
        <v>41355</v>
      </c>
      <c r="F455">
        <v>25029.1986326351</v>
      </c>
      <c r="G455" s="1">
        <v>41355</v>
      </c>
      <c r="H455">
        <v>5075</v>
      </c>
    </row>
    <row r="456" spans="1:8" x14ac:dyDescent="0.25">
      <c r="A456" s="1"/>
      <c r="C456" s="1"/>
      <c r="E456" s="1">
        <v>41358</v>
      </c>
      <c r="F456">
        <v>24973.067078985201</v>
      </c>
      <c r="G456" s="1">
        <v>41358</v>
      </c>
      <c r="H456">
        <v>5262.5</v>
      </c>
    </row>
    <row r="457" spans="1:8" x14ac:dyDescent="0.25">
      <c r="A457" s="1"/>
      <c r="C457" s="1"/>
      <c r="E457" s="1">
        <v>41359</v>
      </c>
      <c r="F457">
        <v>24948.224629797001</v>
      </c>
      <c r="G457" s="1">
        <v>41359</v>
      </c>
      <c r="H457">
        <v>5137.5</v>
      </c>
    </row>
    <row r="458" spans="1:8" x14ac:dyDescent="0.25">
      <c r="A458" s="1"/>
      <c r="C458" s="1"/>
      <c r="E458" s="1">
        <v>41360</v>
      </c>
      <c r="F458">
        <v>24820.968694128002</v>
      </c>
      <c r="G458" s="1">
        <v>41360</v>
      </c>
      <c r="H458">
        <v>5537.5</v>
      </c>
    </row>
    <row r="459" spans="1:8" x14ac:dyDescent="0.25">
      <c r="A459" s="1"/>
      <c r="C459" s="1"/>
      <c r="E459" s="1">
        <v>41361</v>
      </c>
      <c r="F459">
        <v>26471.459416784299</v>
      </c>
      <c r="G459" s="1">
        <v>41361</v>
      </c>
      <c r="H459">
        <v>3487.5</v>
      </c>
    </row>
    <row r="460" spans="1:8" x14ac:dyDescent="0.25">
      <c r="A460" s="1"/>
      <c r="C460" s="1"/>
      <c r="E460" s="1">
        <v>41362</v>
      </c>
      <c r="F460">
        <v>26186.0991872921</v>
      </c>
      <c r="G460" s="1">
        <v>41362</v>
      </c>
      <c r="H460">
        <v>3487.5</v>
      </c>
    </row>
    <row r="461" spans="1:8" x14ac:dyDescent="0.25">
      <c r="A461" s="1"/>
      <c r="C461" s="1"/>
      <c r="E461" s="1">
        <v>41365</v>
      </c>
      <c r="F461">
        <v>25340.064534582099</v>
      </c>
      <c r="G461" s="1">
        <v>41365</v>
      </c>
      <c r="H461">
        <v>1037.5</v>
      </c>
    </row>
    <row r="462" spans="1:8" x14ac:dyDescent="0.25">
      <c r="A462" s="1"/>
      <c r="C462" s="1"/>
      <c r="E462" s="1">
        <v>41366</v>
      </c>
      <c r="F462">
        <v>25013.4381994381</v>
      </c>
      <c r="G462" s="1">
        <v>41366</v>
      </c>
      <c r="H462">
        <v>475</v>
      </c>
    </row>
    <row r="463" spans="1:8" x14ac:dyDescent="0.25">
      <c r="A463" s="1"/>
      <c r="C463" s="1"/>
      <c r="E463" s="1">
        <v>41367</v>
      </c>
      <c r="F463">
        <v>24815.781375326202</v>
      </c>
      <c r="G463" s="1">
        <v>41367</v>
      </c>
      <c r="H463">
        <v>700</v>
      </c>
    </row>
    <row r="464" spans="1:8" x14ac:dyDescent="0.25">
      <c r="A464" s="1"/>
      <c r="C464" s="1"/>
      <c r="E464" s="1">
        <v>41368</v>
      </c>
      <c r="F464">
        <v>24924.244087614101</v>
      </c>
      <c r="G464" s="1">
        <v>41368</v>
      </c>
      <c r="H464">
        <v>350</v>
      </c>
    </row>
    <row r="465" spans="1:8" x14ac:dyDescent="0.25">
      <c r="A465" s="1"/>
      <c r="C465" s="1"/>
      <c r="E465" s="1">
        <v>41369</v>
      </c>
      <c r="F465">
        <v>25020.079201139499</v>
      </c>
      <c r="G465" s="1">
        <v>41369</v>
      </c>
      <c r="H465">
        <v>200</v>
      </c>
    </row>
    <row r="466" spans="1:8" x14ac:dyDescent="0.25">
      <c r="A466" s="1"/>
      <c r="C466" s="1"/>
      <c r="E466" s="1">
        <v>41372</v>
      </c>
      <c r="F466">
        <v>24906.672508634601</v>
      </c>
      <c r="G466" s="1">
        <v>41372</v>
      </c>
      <c r="H466">
        <v>362.5</v>
      </c>
    </row>
    <row r="467" spans="1:8" x14ac:dyDescent="0.25">
      <c r="A467" s="1"/>
      <c r="C467" s="1"/>
      <c r="E467" s="1">
        <v>41373</v>
      </c>
      <c r="F467">
        <v>24765.544815458299</v>
      </c>
      <c r="G467" s="1">
        <v>41373</v>
      </c>
      <c r="H467">
        <v>900</v>
      </c>
    </row>
    <row r="468" spans="1:8" x14ac:dyDescent="0.25">
      <c r="A468" s="1"/>
      <c r="C468" s="1"/>
      <c r="E468" s="1">
        <v>41374</v>
      </c>
      <c r="F468">
        <v>24724.2711614742</v>
      </c>
      <c r="G468" s="1">
        <v>41374</v>
      </c>
      <c r="H468">
        <v>987.5</v>
      </c>
    </row>
    <row r="469" spans="1:8" x14ac:dyDescent="0.25">
      <c r="A469" s="1"/>
      <c r="C469" s="1"/>
      <c r="E469" s="1">
        <v>41375</v>
      </c>
      <c r="F469">
        <v>24558.4496702328</v>
      </c>
      <c r="G469" s="1">
        <v>41375</v>
      </c>
      <c r="H469">
        <v>1387.5</v>
      </c>
    </row>
    <row r="470" spans="1:8" x14ac:dyDescent="0.25">
      <c r="A470" s="1"/>
      <c r="C470" s="1"/>
      <c r="E470" s="1">
        <v>41376</v>
      </c>
      <c r="F470">
        <v>24388.054940141701</v>
      </c>
      <c r="G470" s="1">
        <v>41376</v>
      </c>
      <c r="H470">
        <v>1550</v>
      </c>
    </row>
    <row r="471" spans="1:8" x14ac:dyDescent="0.25">
      <c r="A471" s="1"/>
      <c r="C471" s="1"/>
      <c r="E471" s="1">
        <v>41379</v>
      </c>
      <c r="F471">
        <v>24254.079680360799</v>
      </c>
      <c r="G471" s="1">
        <v>41379</v>
      </c>
      <c r="H471">
        <v>1175</v>
      </c>
    </row>
    <row r="472" spans="1:8" x14ac:dyDescent="0.25">
      <c r="A472" s="1"/>
      <c r="C472" s="1"/>
      <c r="E472" s="1">
        <v>41380</v>
      </c>
      <c r="F472">
        <v>24688.030326761302</v>
      </c>
      <c r="G472" s="1">
        <v>41380</v>
      </c>
      <c r="H472">
        <v>1737.5</v>
      </c>
    </row>
    <row r="473" spans="1:8" x14ac:dyDescent="0.25">
      <c r="A473" s="1"/>
      <c r="C473" s="1"/>
      <c r="E473" s="1">
        <v>41381</v>
      </c>
      <c r="F473">
        <v>24604.3565796986</v>
      </c>
      <c r="G473" s="1">
        <v>41381</v>
      </c>
      <c r="H473">
        <v>1700</v>
      </c>
    </row>
    <row r="474" spans="1:8" x14ac:dyDescent="0.25">
      <c r="A474" s="1"/>
      <c r="C474" s="1"/>
      <c r="E474" s="1">
        <v>41382</v>
      </c>
      <c r="F474">
        <v>23984.438458360699</v>
      </c>
      <c r="G474" s="1">
        <v>41382</v>
      </c>
      <c r="H474">
        <v>1025</v>
      </c>
    </row>
    <row r="475" spans="1:8" x14ac:dyDescent="0.25">
      <c r="A475" s="1"/>
      <c r="C475" s="1"/>
      <c r="E475" s="1">
        <v>41383</v>
      </c>
      <c r="F475">
        <v>24156.388260759399</v>
      </c>
      <c r="G475" s="1">
        <v>41383</v>
      </c>
      <c r="H475">
        <v>1237.5</v>
      </c>
    </row>
    <row r="476" spans="1:8" x14ac:dyDescent="0.25">
      <c r="A476" s="1"/>
      <c r="C476" s="1"/>
      <c r="E476" s="1">
        <v>41386</v>
      </c>
      <c r="F476">
        <v>23897.123868383402</v>
      </c>
      <c r="G476" s="1">
        <v>41386</v>
      </c>
      <c r="H476">
        <v>987.5</v>
      </c>
    </row>
    <row r="477" spans="1:8" x14ac:dyDescent="0.25">
      <c r="A477" s="1"/>
      <c r="C477" s="1"/>
      <c r="E477" s="1">
        <v>41387</v>
      </c>
      <c r="F477">
        <v>23745.270006723698</v>
      </c>
      <c r="G477" s="1">
        <v>41387</v>
      </c>
      <c r="H477">
        <v>750</v>
      </c>
    </row>
    <row r="478" spans="1:8" x14ac:dyDescent="0.25">
      <c r="A478" s="1"/>
      <c r="C478" s="1"/>
      <c r="E478" s="1">
        <v>41388</v>
      </c>
      <c r="F478">
        <v>23616.312257356902</v>
      </c>
      <c r="G478" s="1">
        <v>41388</v>
      </c>
      <c r="H478">
        <v>612.5</v>
      </c>
    </row>
    <row r="479" spans="1:8" x14ac:dyDescent="0.25">
      <c r="A479" s="1"/>
      <c r="C479" s="1"/>
      <c r="E479" s="1">
        <v>41389</v>
      </c>
      <c r="F479">
        <v>24007.599175996998</v>
      </c>
      <c r="G479" s="1">
        <v>41389</v>
      </c>
      <c r="H479">
        <v>912.5</v>
      </c>
    </row>
    <row r="480" spans="1:8" x14ac:dyDescent="0.25">
      <c r="A480" s="1"/>
      <c r="C480" s="1"/>
      <c r="E480" s="1">
        <v>41390</v>
      </c>
      <c r="F480">
        <v>23899.069505281699</v>
      </c>
      <c r="G480" s="1">
        <v>41390</v>
      </c>
      <c r="H480">
        <v>937.5</v>
      </c>
    </row>
    <row r="481" spans="1:8" x14ac:dyDescent="0.25">
      <c r="A481" s="1"/>
      <c r="C481" s="1"/>
      <c r="E481" s="1">
        <v>41393</v>
      </c>
      <c r="F481">
        <v>24205.8442855551</v>
      </c>
      <c r="G481" s="1">
        <v>41393</v>
      </c>
      <c r="H481">
        <v>2787.5</v>
      </c>
    </row>
    <row r="482" spans="1:8" x14ac:dyDescent="0.25">
      <c r="A482" s="1"/>
      <c r="C482" s="1"/>
      <c r="E482" s="1">
        <v>41394</v>
      </c>
      <c r="F482">
        <v>24017.082292146901</v>
      </c>
      <c r="G482" s="1">
        <v>41394</v>
      </c>
      <c r="H482">
        <v>3012.5</v>
      </c>
    </row>
    <row r="483" spans="1:8" x14ac:dyDescent="0.25">
      <c r="A483" s="1"/>
      <c r="C483" s="1"/>
      <c r="E483" s="1">
        <v>41395</v>
      </c>
      <c r="F483">
        <v>24067.608598299299</v>
      </c>
      <c r="G483" s="1">
        <v>41395</v>
      </c>
      <c r="H483">
        <v>2925</v>
      </c>
    </row>
    <row r="484" spans="1:8" x14ac:dyDescent="0.25">
      <c r="A484" s="1"/>
      <c r="C484" s="1"/>
      <c r="E484" s="1">
        <v>41396</v>
      </c>
      <c r="F484">
        <v>23826.168092317799</v>
      </c>
      <c r="G484" s="1">
        <v>41396</v>
      </c>
      <c r="H484">
        <v>3600</v>
      </c>
    </row>
    <row r="485" spans="1:8" x14ac:dyDescent="0.25">
      <c r="A485" s="1"/>
      <c r="C485" s="1"/>
      <c r="E485" s="1">
        <v>41397</v>
      </c>
      <c r="F485">
        <v>23833.427554674399</v>
      </c>
      <c r="G485" s="1">
        <v>41397</v>
      </c>
      <c r="H485">
        <v>3687.5</v>
      </c>
    </row>
    <row r="486" spans="1:8" x14ac:dyDescent="0.25">
      <c r="A486" s="1"/>
      <c r="C486" s="1"/>
      <c r="E486" s="1">
        <v>41400</v>
      </c>
      <c r="F486">
        <v>23511.269321031799</v>
      </c>
      <c r="G486" s="1">
        <v>41400</v>
      </c>
      <c r="H486">
        <v>2725</v>
      </c>
    </row>
    <row r="487" spans="1:8" x14ac:dyDescent="0.25">
      <c r="A487" s="1"/>
      <c r="C487" s="1"/>
      <c r="E487" s="1">
        <v>41401</v>
      </c>
      <c r="F487">
        <v>23645.502826280801</v>
      </c>
      <c r="G487" s="1">
        <v>41401</v>
      </c>
      <c r="H487">
        <v>2725</v>
      </c>
    </row>
    <row r="488" spans="1:8" x14ac:dyDescent="0.25">
      <c r="A488" s="1"/>
      <c r="C488" s="1"/>
      <c r="E488" s="1">
        <v>41402</v>
      </c>
      <c r="F488">
        <v>23130.841586656799</v>
      </c>
      <c r="G488" s="1">
        <v>41402</v>
      </c>
      <c r="H488">
        <v>2400</v>
      </c>
    </row>
    <row r="489" spans="1:8" x14ac:dyDescent="0.25">
      <c r="A489" s="1"/>
      <c r="C489" s="1"/>
      <c r="E489" s="1">
        <v>41403</v>
      </c>
      <c r="F489">
        <v>23454.930514879499</v>
      </c>
      <c r="G489" s="1">
        <v>41403</v>
      </c>
      <c r="H489">
        <v>3625</v>
      </c>
    </row>
    <row r="490" spans="1:8" x14ac:dyDescent="0.25">
      <c r="A490" s="1"/>
      <c r="C490" s="1"/>
      <c r="E490" s="1">
        <v>41404</v>
      </c>
      <c r="F490">
        <v>23816.512576647099</v>
      </c>
      <c r="G490" s="1">
        <v>41404</v>
      </c>
      <c r="H490">
        <v>3225</v>
      </c>
    </row>
    <row r="491" spans="1:8" x14ac:dyDescent="0.25">
      <c r="A491" s="1"/>
      <c r="C491" s="1"/>
      <c r="E491" s="1">
        <v>41407</v>
      </c>
      <c r="F491">
        <v>22721.610965318901</v>
      </c>
      <c r="G491" s="1">
        <v>41407</v>
      </c>
      <c r="H491">
        <v>4075</v>
      </c>
    </row>
    <row r="492" spans="1:8" x14ac:dyDescent="0.25">
      <c r="A492" s="1"/>
      <c r="C492" s="1"/>
      <c r="E492" s="1">
        <v>41408</v>
      </c>
      <c r="F492">
        <v>22959.0023761466</v>
      </c>
      <c r="G492" s="1">
        <v>41408</v>
      </c>
      <c r="H492">
        <v>3850</v>
      </c>
    </row>
    <row r="493" spans="1:8" x14ac:dyDescent="0.25">
      <c r="A493" s="1"/>
      <c r="C493" s="1"/>
      <c r="E493" s="1">
        <v>41409</v>
      </c>
      <c r="F493">
        <v>23137.2485843375</v>
      </c>
      <c r="G493" s="1">
        <v>41409</v>
      </c>
      <c r="H493">
        <v>3762.5</v>
      </c>
    </row>
    <row r="494" spans="1:8" x14ac:dyDescent="0.25">
      <c r="A494" s="1"/>
      <c r="C494" s="1"/>
      <c r="E494" s="1">
        <v>41410</v>
      </c>
      <c r="F494">
        <v>23760.3833804801</v>
      </c>
      <c r="G494" s="1">
        <v>41410</v>
      </c>
      <c r="H494">
        <v>3412.5</v>
      </c>
    </row>
    <row r="495" spans="1:8" x14ac:dyDescent="0.25">
      <c r="A495" s="1"/>
      <c r="C495" s="1"/>
      <c r="E495" s="1">
        <v>41411</v>
      </c>
      <c r="F495">
        <v>23160.833682604101</v>
      </c>
      <c r="G495" s="1">
        <v>41411</v>
      </c>
      <c r="H495">
        <v>3912.5</v>
      </c>
    </row>
    <row r="496" spans="1:8" x14ac:dyDescent="0.25">
      <c r="A496" s="1"/>
      <c r="C496" s="1"/>
      <c r="E496" s="1">
        <v>41414</v>
      </c>
      <c r="F496">
        <v>23373.6749911978</v>
      </c>
      <c r="G496" s="1">
        <v>41414</v>
      </c>
      <c r="H496">
        <v>3687.5</v>
      </c>
    </row>
    <row r="497" spans="1:8" x14ac:dyDescent="0.25">
      <c r="A497" s="1"/>
      <c r="C497" s="1"/>
      <c r="E497" s="1">
        <v>41415</v>
      </c>
      <c r="F497">
        <v>24163.7287326529</v>
      </c>
      <c r="G497" s="1">
        <v>41415</v>
      </c>
      <c r="H497">
        <v>3137.5</v>
      </c>
    </row>
    <row r="498" spans="1:8" x14ac:dyDescent="0.25">
      <c r="A498" s="1"/>
      <c r="C498" s="1"/>
      <c r="E498" s="1">
        <v>41416</v>
      </c>
      <c r="F498">
        <v>23830.4094577506</v>
      </c>
      <c r="G498" s="1">
        <v>41416</v>
      </c>
      <c r="H498">
        <v>4100</v>
      </c>
    </row>
    <row r="499" spans="1:8" x14ac:dyDescent="0.25">
      <c r="A499" s="1"/>
      <c r="C499" s="1"/>
      <c r="E499" s="1">
        <v>41417</v>
      </c>
      <c r="F499">
        <v>23522.175876207599</v>
      </c>
      <c r="G499" s="1">
        <v>41417</v>
      </c>
      <c r="H499">
        <v>4425</v>
      </c>
    </row>
    <row r="500" spans="1:8" x14ac:dyDescent="0.25">
      <c r="A500" s="1"/>
      <c r="C500" s="1"/>
      <c r="E500" s="1">
        <v>41418</v>
      </c>
      <c r="F500">
        <v>23673.051532335499</v>
      </c>
      <c r="G500" s="1">
        <v>41418</v>
      </c>
      <c r="H500">
        <v>4262.5</v>
      </c>
    </row>
    <row r="501" spans="1:8" x14ac:dyDescent="0.25">
      <c r="A501" s="1"/>
      <c r="C501" s="1"/>
      <c r="E501" s="1">
        <v>41422</v>
      </c>
      <c r="F501">
        <v>23278.3342166617</v>
      </c>
      <c r="G501" s="1">
        <v>41422</v>
      </c>
      <c r="H501">
        <v>4562.5</v>
      </c>
    </row>
    <row r="502" spans="1:8" x14ac:dyDescent="0.25">
      <c r="A502" s="1"/>
      <c r="C502" s="1"/>
      <c r="E502" s="1">
        <v>41423</v>
      </c>
      <c r="F502">
        <v>23313.224568910799</v>
      </c>
      <c r="G502" s="1">
        <v>41423</v>
      </c>
      <c r="H502">
        <v>4537.5</v>
      </c>
    </row>
    <row r="503" spans="1:8" x14ac:dyDescent="0.25">
      <c r="A503" s="1"/>
      <c r="C503" s="1"/>
      <c r="E503" s="1">
        <v>41424</v>
      </c>
      <c r="F503">
        <v>24153.600423403001</v>
      </c>
      <c r="G503" s="1">
        <v>41424</v>
      </c>
      <c r="H503">
        <v>3937.5</v>
      </c>
    </row>
    <row r="504" spans="1:8" x14ac:dyDescent="0.25">
      <c r="A504" s="1"/>
      <c r="C504" s="1"/>
      <c r="E504" s="1">
        <v>41425</v>
      </c>
      <c r="F504">
        <v>24160.057378359099</v>
      </c>
      <c r="G504" s="1">
        <v>41425</v>
      </c>
      <c r="H504">
        <v>4425</v>
      </c>
    </row>
    <row r="505" spans="1:8" x14ac:dyDescent="0.25">
      <c r="A505" s="1"/>
      <c r="C505" s="1"/>
      <c r="E505" s="1">
        <v>41428</v>
      </c>
      <c r="F505">
        <v>24028.182401247301</v>
      </c>
      <c r="G505" s="1">
        <v>41428</v>
      </c>
      <c r="H505">
        <v>4237.5</v>
      </c>
    </row>
    <row r="506" spans="1:8" x14ac:dyDescent="0.25">
      <c r="A506" s="1"/>
      <c r="C506" s="1"/>
      <c r="E506" s="1">
        <v>41429</v>
      </c>
      <c r="F506">
        <v>24021.055341310799</v>
      </c>
      <c r="G506" s="1">
        <v>41429</v>
      </c>
      <c r="H506">
        <v>4062.5</v>
      </c>
    </row>
    <row r="507" spans="1:8" x14ac:dyDescent="0.25">
      <c r="A507" s="1"/>
      <c r="C507" s="1"/>
      <c r="E507" s="1">
        <v>41430</v>
      </c>
      <c r="F507">
        <v>24011.9505592063</v>
      </c>
      <c r="G507" s="1">
        <v>41430</v>
      </c>
      <c r="H507">
        <v>4362.5</v>
      </c>
    </row>
    <row r="508" spans="1:8" x14ac:dyDescent="0.25">
      <c r="A508" s="1"/>
      <c r="C508" s="1"/>
      <c r="E508" s="1">
        <v>41431</v>
      </c>
      <c r="F508">
        <v>24013.913739748299</v>
      </c>
      <c r="G508" s="1">
        <v>41431</v>
      </c>
      <c r="H508">
        <v>4362.5</v>
      </c>
    </row>
    <row r="509" spans="1:8" x14ac:dyDescent="0.25">
      <c r="A509" s="1"/>
      <c r="C509" s="1"/>
      <c r="E509" s="1">
        <v>41432</v>
      </c>
      <c r="F509">
        <v>23908.008153505602</v>
      </c>
      <c r="G509" s="1">
        <v>41432</v>
      </c>
      <c r="H509">
        <v>4575</v>
      </c>
    </row>
    <row r="510" spans="1:8" x14ac:dyDescent="0.25">
      <c r="A510" s="1"/>
      <c r="C510" s="1"/>
      <c r="E510" s="1">
        <v>41435</v>
      </c>
      <c r="F510">
        <v>24504.094335146201</v>
      </c>
      <c r="G510" s="1">
        <v>41435</v>
      </c>
      <c r="H510">
        <v>3762.5</v>
      </c>
    </row>
    <row r="511" spans="1:8" x14ac:dyDescent="0.25">
      <c r="A511" s="1"/>
      <c r="C511" s="1"/>
      <c r="E511" s="1">
        <v>41436</v>
      </c>
      <c r="F511">
        <v>24690.815877504599</v>
      </c>
      <c r="G511" s="1">
        <v>41436</v>
      </c>
      <c r="H511">
        <v>4100</v>
      </c>
    </row>
    <row r="512" spans="1:8" x14ac:dyDescent="0.25">
      <c r="A512" s="1"/>
      <c r="C512" s="1"/>
      <c r="E512" s="1">
        <v>41437</v>
      </c>
      <c r="F512">
        <v>24298.007100649102</v>
      </c>
      <c r="G512" s="1">
        <v>41437</v>
      </c>
      <c r="H512">
        <v>3775</v>
      </c>
    </row>
    <row r="513" spans="1:8" x14ac:dyDescent="0.25">
      <c r="A513" s="1"/>
      <c r="C513" s="1"/>
      <c r="E513" s="1">
        <v>41438</v>
      </c>
      <c r="F513">
        <v>24133.541585512401</v>
      </c>
      <c r="G513" s="1">
        <v>41438</v>
      </c>
      <c r="H513">
        <v>3512.5</v>
      </c>
    </row>
    <row r="514" spans="1:8" x14ac:dyDescent="0.25">
      <c r="A514" s="1"/>
      <c r="C514" s="1"/>
      <c r="E514" s="1">
        <v>41439</v>
      </c>
      <c r="F514">
        <v>24520.828603334699</v>
      </c>
      <c r="G514" s="1">
        <v>41439</v>
      </c>
      <c r="H514">
        <v>4025</v>
      </c>
    </row>
    <row r="515" spans="1:8" x14ac:dyDescent="0.25">
      <c r="A515" s="1"/>
      <c r="C515" s="1"/>
      <c r="E515" s="1">
        <v>41442</v>
      </c>
      <c r="F515">
        <v>24620.5451255515</v>
      </c>
      <c r="G515" s="1">
        <v>41442</v>
      </c>
      <c r="H515">
        <v>4512.5</v>
      </c>
    </row>
    <row r="516" spans="1:8" x14ac:dyDescent="0.25">
      <c r="A516" s="1"/>
      <c r="C516" s="1"/>
      <c r="E516" s="1">
        <v>41443</v>
      </c>
      <c r="F516">
        <v>24451.653173036801</v>
      </c>
      <c r="G516" s="1">
        <v>41443</v>
      </c>
      <c r="H516">
        <v>4812.5</v>
      </c>
    </row>
    <row r="517" spans="1:8" x14ac:dyDescent="0.25">
      <c r="A517" s="1"/>
      <c r="C517" s="1"/>
      <c r="E517" s="1">
        <v>41444</v>
      </c>
      <c r="F517">
        <v>23626.081334657902</v>
      </c>
      <c r="G517" s="1">
        <v>41444</v>
      </c>
      <c r="H517">
        <v>5362.5</v>
      </c>
    </row>
    <row r="518" spans="1:8" x14ac:dyDescent="0.25">
      <c r="A518" s="1"/>
      <c r="C518" s="1"/>
      <c r="E518" s="1">
        <v>41445</v>
      </c>
      <c r="F518">
        <v>23841.700650759001</v>
      </c>
      <c r="G518" s="1">
        <v>41445</v>
      </c>
      <c r="H518">
        <v>4975</v>
      </c>
    </row>
    <row r="519" spans="1:8" x14ac:dyDescent="0.25">
      <c r="A519" s="1"/>
      <c r="C519" s="1"/>
      <c r="E519" s="1">
        <v>41446</v>
      </c>
      <c r="F519">
        <v>24090.123776979701</v>
      </c>
      <c r="G519" s="1">
        <v>41446</v>
      </c>
      <c r="H519">
        <v>4600</v>
      </c>
    </row>
    <row r="520" spans="1:8" x14ac:dyDescent="0.25">
      <c r="A520" s="1"/>
      <c r="C520" s="1"/>
      <c r="E520" s="1">
        <v>41449</v>
      </c>
      <c r="F520">
        <v>25120.003720827401</v>
      </c>
      <c r="G520" s="1">
        <v>41449</v>
      </c>
      <c r="H520">
        <v>3987.5</v>
      </c>
    </row>
    <row r="521" spans="1:8" x14ac:dyDescent="0.25">
      <c r="A521" s="1"/>
      <c r="C521" s="1"/>
      <c r="E521" s="1">
        <v>41450</v>
      </c>
      <c r="F521">
        <v>25165.256757326399</v>
      </c>
      <c r="G521" s="1">
        <v>41450</v>
      </c>
      <c r="H521">
        <v>4137.5</v>
      </c>
    </row>
    <row r="522" spans="1:8" x14ac:dyDescent="0.25">
      <c r="A522" s="1"/>
      <c r="C522" s="1"/>
      <c r="E522" s="1">
        <v>41451</v>
      </c>
      <c r="F522">
        <v>25197.663800783401</v>
      </c>
      <c r="G522" s="1">
        <v>41451</v>
      </c>
      <c r="H522">
        <v>4487.5</v>
      </c>
    </row>
    <row r="523" spans="1:8" x14ac:dyDescent="0.25">
      <c r="A523" s="1"/>
      <c r="C523" s="1"/>
      <c r="E523" s="1">
        <v>41452</v>
      </c>
      <c r="F523">
        <v>25260.449338503098</v>
      </c>
      <c r="G523" s="1">
        <v>41452</v>
      </c>
      <c r="H523">
        <v>4737.5</v>
      </c>
    </row>
    <row r="524" spans="1:8" x14ac:dyDescent="0.25">
      <c r="A524" s="1"/>
      <c r="C524" s="1"/>
      <c r="E524" s="1">
        <v>41453</v>
      </c>
      <c r="F524">
        <v>25526.6195045188</v>
      </c>
      <c r="G524" s="1">
        <v>41453</v>
      </c>
      <c r="H524">
        <v>4550</v>
      </c>
    </row>
    <row r="525" spans="1:8" x14ac:dyDescent="0.25">
      <c r="A525" s="1"/>
      <c r="C525" s="1"/>
      <c r="E525" s="1">
        <v>41456</v>
      </c>
      <c r="F525">
        <v>25736.123532839101</v>
      </c>
      <c r="G525" s="1">
        <v>41456</v>
      </c>
      <c r="H525">
        <v>4112.5</v>
      </c>
    </row>
    <row r="526" spans="1:8" x14ac:dyDescent="0.25">
      <c r="A526" s="1"/>
      <c r="C526" s="1"/>
      <c r="E526" s="1">
        <v>41457</v>
      </c>
      <c r="F526">
        <v>25640.839459963099</v>
      </c>
      <c r="G526" s="1">
        <v>41457</v>
      </c>
      <c r="H526">
        <v>4837.5</v>
      </c>
    </row>
    <row r="527" spans="1:8" x14ac:dyDescent="0.25">
      <c r="A527" s="1"/>
      <c r="C527" s="1"/>
      <c r="E527" s="1">
        <v>41458</v>
      </c>
      <c r="F527">
        <v>25639.031525202001</v>
      </c>
      <c r="G527" s="1">
        <v>41458</v>
      </c>
      <c r="H527">
        <v>5212.5</v>
      </c>
    </row>
    <row r="528" spans="1:8" x14ac:dyDescent="0.25">
      <c r="A528" s="1"/>
      <c r="C528" s="1"/>
      <c r="E528" s="1">
        <v>41460</v>
      </c>
      <c r="F528">
        <v>25423.602638788499</v>
      </c>
      <c r="G528" s="1">
        <v>41460</v>
      </c>
      <c r="H528">
        <v>5637.5</v>
      </c>
    </row>
    <row r="529" spans="1:8" x14ac:dyDescent="0.25">
      <c r="A529" s="1"/>
      <c r="C529" s="1"/>
      <c r="E529" s="1">
        <v>41463</v>
      </c>
      <c r="F529">
        <v>25543.075383789801</v>
      </c>
      <c r="G529" s="1">
        <v>41463</v>
      </c>
      <c r="H529">
        <v>5987.5</v>
      </c>
    </row>
    <row r="530" spans="1:8" x14ac:dyDescent="0.25">
      <c r="A530" s="1"/>
      <c r="C530" s="1"/>
      <c r="E530" s="1">
        <v>41464</v>
      </c>
      <c r="F530">
        <v>26004.9681869819</v>
      </c>
      <c r="G530" s="1">
        <v>41464</v>
      </c>
      <c r="H530">
        <v>6512.5</v>
      </c>
    </row>
    <row r="531" spans="1:8" x14ac:dyDescent="0.25">
      <c r="A531" s="1"/>
      <c r="C531" s="1"/>
      <c r="E531" s="1">
        <v>41465</v>
      </c>
      <c r="F531">
        <v>25908.142690308301</v>
      </c>
      <c r="G531" s="1">
        <v>41465</v>
      </c>
      <c r="H531">
        <v>6750</v>
      </c>
    </row>
    <row r="532" spans="1:8" x14ac:dyDescent="0.25">
      <c r="A532" s="1"/>
      <c r="C532" s="1"/>
      <c r="E532" s="1">
        <v>41466</v>
      </c>
      <c r="F532">
        <v>25755.300092346901</v>
      </c>
      <c r="G532" s="1">
        <v>41466</v>
      </c>
      <c r="H532">
        <v>7200</v>
      </c>
    </row>
    <row r="533" spans="1:8" x14ac:dyDescent="0.25">
      <c r="A533" s="1"/>
      <c r="C533" s="1"/>
      <c r="E533" s="1">
        <v>41467</v>
      </c>
      <c r="F533">
        <v>25970.563825257101</v>
      </c>
      <c r="G533" s="1">
        <v>41467</v>
      </c>
      <c r="H533">
        <v>6612.5</v>
      </c>
    </row>
    <row r="534" spans="1:8" x14ac:dyDescent="0.25">
      <c r="A534" s="1"/>
      <c r="C534" s="1"/>
      <c r="E534" s="1">
        <v>41470</v>
      </c>
      <c r="F534">
        <v>26466.4038978889</v>
      </c>
      <c r="G534" s="1">
        <v>41470</v>
      </c>
      <c r="H534">
        <v>6025</v>
      </c>
    </row>
    <row r="535" spans="1:8" x14ac:dyDescent="0.25">
      <c r="A535" s="1"/>
      <c r="C535" s="1"/>
      <c r="E535" s="1">
        <v>41471</v>
      </c>
      <c r="F535">
        <v>26288.210161335701</v>
      </c>
      <c r="G535" s="1">
        <v>41471</v>
      </c>
      <c r="H535">
        <v>6400</v>
      </c>
    </row>
    <row r="536" spans="1:8" x14ac:dyDescent="0.25">
      <c r="A536" s="1"/>
      <c r="C536" s="1"/>
      <c r="E536" s="1">
        <v>41472</v>
      </c>
      <c r="F536">
        <v>26482.253038532999</v>
      </c>
      <c r="G536" s="1">
        <v>41472</v>
      </c>
      <c r="H536">
        <v>6125</v>
      </c>
    </row>
    <row r="537" spans="1:8" x14ac:dyDescent="0.25">
      <c r="A537" s="1"/>
      <c r="C537" s="1"/>
      <c r="E537" s="1">
        <v>41473</v>
      </c>
      <c r="F537">
        <v>26443.8118859604</v>
      </c>
      <c r="G537" s="1">
        <v>41473</v>
      </c>
      <c r="H537">
        <v>6212.5</v>
      </c>
    </row>
    <row r="538" spans="1:8" x14ac:dyDescent="0.25">
      <c r="A538" s="1"/>
      <c r="C538" s="1"/>
      <c r="E538" s="1">
        <v>41474</v>
      </c>
      <c r="F538">
        <v>26395.9206925705</v>
      </c>
      <c r="G538" s="1">
        <v>41474</v>
      </c>
      <c r="H538">
        <v>6387.5</v>
      </c>
    </row>
    <row r="539" spans="1:8" x14ac:dyDescent="0.25">
      <c r="A539" s="1"/>
      <c r="C539" s="1"/>
      <c r="E539" s="1">
        <v>41477</v>
      </c>
      <c r="F539">
        <v>26777.985565312199</v>
      </c>
      <c r="G539" s="1">
        <v>41477</v>
      </c>
      <c r="H539">
        <v>6250</v>
      </c>
    </row>
    <row r="540" spans="1:8" x14ac:dyDescent="0.25">
      <c r="A540" s="1"/>
      <c r="C540" s="1"/>
      <c r="E540" s="1">
        <v>41478</v>
      </c>
      <c r="F540">
        <v>27020.8422869518</v>
      </c>
      <c r="G540" s="1">
        <v>41478</v>
      </c>
      <c r="H540">
        <v>5375</v>
      </c>
    </row>
    <row r="541" spans="1:8" x14ac:dyDescent="0.25">
      <c r="A541" s="1"/>
      <c r="C541" s="1"/>
      <c r="E541" s="1">
        <v>41479</v>
      </c>
      <c r="F541">
        <v>27207.197969324799</v>
      </c>
      <c r="G541" s="1">
        <v>41479</v>
      </c>
      <c r="H541">
        <v>4612.5</v>
      </c>
    </row>
    <row r="542" spans="1:8" x14ac:dyDescent="0.25">
      <c r="A542" s="1"/>
      <c r="C542" s="1"/>
      <c r="E542" s="1">
        <v>41480</v>
      </c>
      <c r="F542">
        <v>26798.6626299694</v>
      </c>
      <c r="G542" s="1">
        <v>41480</v>
      </c>
      <c r="H542">
        <v>3975</v>
      </c>
    </row>
    <row r="543" spans="1:8" x14ac:dyDescent="0.25">
      <c r="A543" s="1"/>
      <c r="C543" s="1"/>
      <c r="E543" s="1">
        <v>41481</v>
      </c>
      <c r="F543">
        <v>26612.474927790401</v>
      </c>
      <c r="G543" s="1">
        <v>41481</v>
      </c>
      <c r="H543">
        <v>3887.5</v>
      </c>
    </row>
    <row r="544" spans="1:8" x14ac:dyDescent="0.25">
      <c r="A544" s="1"/>
      <c r="C544" s="1"/>
      <c r="E544" s="1">
        <v>41484</v>
      </c>
      <c r="F544">
        <v>26138.816160090199</v>
      </c>
      <c r="G544" s="1">
        <v>41484</v>
      </c>
      <c r="H544">
        <v>3612.5</v>
      </c>
    </row>
    <row r="545" spans="1:8" x14ac:dyDescent="0.25">
      <c r="A545" s="1"/>
      <c r="C545" s="1"/>
      <c r="E545" s="1">
        <v>41485</v>
      </c>
      <c r="F545">
        <v>26655.077543146901</v>
      </c>
      <c r="G545" s="1">
        <v>41485</v>
      </c>
      <c r="H545">
        <v>3812.5</v>
      </c>
    </row>
    <row r="546" spans="1:8" x14ac:dyDescent="0.25">
      <c r="A546" s="1"/>
      <c r="C546" s="1"/>
      <c r="E546" s="1">
        <v>41486</v>
      </c>
      <c r="F546">
        <v>27394.949781306001</v>
      </c>
      <c r="G546" s="1">
        <v>41486</v>
      </c>
      <c r="H546">
        <v>4125</v>
      </c>
    </row>
    <row r="547" spans="1:8" x14ac:dyDescent="0.25">
      <c r="A547" s="1"/>
      <c r="C547" s="1"/>
      <c r="E547" s="1">
        <v>41487</v>
      </c>
      <c r="F547">
        <v>26048.375532038499</v>
      </c>
      <c r="G547" s="1">
        <v>41487</v>
      </c>
      <c r="H547">
        <v>3550</v>
      </c>
    </row>
    <row r="548" spans="1:8" x14ac:dyDescent="0.25">
      <c r="A548" s="1"/>
      <c r="C548" s="1"/>
      <c r="E548" s="1">
        <v>41488</v>
      </c>
      <c r="F548">
        <v>24945.8368357494</v>
      </c>
      <c r="G548" s="1">
        <v>41488</v>
      </c>
      <c r="H548">
        <v>3087.5</v>
      </c>
    </row>
    <row r="549" spans="1:8" x14ac:dyDescent="0.25">
      <c r="A549" s="1"/>
      <c r="C549" s="1"/>
      <c r="E549" s="1">
        <v>41491</v>
      </c>
      <c r="F549">
        <v>23803.730901606301</v>
      </c>
      <c r="G549" s="1">
        <v>41491</v>
      </c>
      <c r="H549">
        <v>2612.5</v>
      </c>
    </row>
    <row r="550" spans="1:8" x14ac:dyDescent="0.25">
      <c r="A550" s="1"/>
      <c r="C550" s="1"/>
      <c r="E550" s="1">
        <v>41492</v>
      </c>
      <c r="F550">
        <v>23939.1710795238</v>
      </c>
      <c r="G550" s="1">
        <v>41492</v>
      </c>
      <c r="H550">
        <v>2762.5</v>
      </c>
    </row>
    <row r="551" spans="1:8" x14ac:dyDescent="0.25">
      <c r="A551" s="1"/>
      <c r="C551" s="1"/>
      <c r="E551" s="1">
        <v>41493</v>
      </c>
      <c r="F551">
        <v>23574.6885584667</v>
      </c>
      <c r="G551" s="1">
        <v>41493</v>
      </c>
      <c r="H551">
        <v>2612.5</v>
      </c>
    </row>
    <row r="552" spans="1:8" x14ac:dyDescent="0.25">
      <c r="A552" s="1"/>
      <c r="C552" s="1"/>
      <c r="E552" s="1">
        <v>41494</v>
      </c>
      <c r="F552">
        <v>23760.396024592199</v>
      </c>
      <c r="G552" s="1">
        <v>41494</v>
      </c>
      <c r="H552">
        <v>2737.5</v>
      </c>
    </row>
    <row r="553" spans="1:8" x14ac:dyDescent="0.25">
      <c r="A553" s="1"/>
      <c r="C553" s="1"/>
      <c r="E553" s="1">
        <v>41495</v>
      </c>
      <c r="F553">
        <v>23410.208051569702</v>
      </c>
      <c r="G553" s="1">
        <v>41495</v>
      </c>
      <c r="H553">
        <v>2562.5</v>
      </c>
    </row>
    <row r="554" spans="1:8" x14ac:dyDescent="0.25">
      <c r="A554" s="1"/>
      <c r="C554" s="1"/>
      <c r="E554" s="1">
        <v>41498</v>
      </c>
      <c r="F554">
        <v>24249.914090998402</v>
      </c>
      <c r="G554" s="1">
        <v>41498</v>
      </c>
      <c r="H554">
        <v>2875</v>
      </c>
    </row>
    <row r="555" spans="1:8" x14ac:dyDescent="0.25">
      <c r="A555" s="1"/>
      <c r="C555" s="1"/>
      <c r="E555" s="1">
        <v>41499</v>
      </c>
      <c r="F555">
        <v>22763.499418146901</v>
      </c>
      <c r="G555" s="1">
        <v>41499</v>
      </c>
      <c r="H555">
        <v>2112.5</v>
      </c>
    </row>
    <row r="556" spans="1:8" x14ac:dyDescent="0.25">
      <c r="A556" s="1"/>
      <c r="C556" s="1"/>
      <c r="E556" s="1">
        <v>41500</v>
      </c>
      <c r="F556">
        <v>22915.929064638902</v>
      </c>
      <c r="G556" s="1">
        <v>41500</v>
      </c>
      <c r="H556">
        <v>2300</v>
      </c>
    </row>
    <row r="557" spans="1:8" x14ac:dyDescent="0.25">
      <c r="A557" s="1"/>
      <c r="C557" s="1"/>
      <c r="E557" s="1">
        <v>41501</v>
      </c>
      <c r="F557">
        <v>25197.935290224799</v>
      </c>
      <c r="G557" s="1">
        <v>41501</v>
      </c>
      <c r="H557">
        <v>3112.5</v>
      </c>
    </row>
    <row r="558" spans="1:8" x14ac:dyDescent="0.25">
      <c r="A558" s="1"/>
      <c r="C558" s="1"/>
      <c r="E558" s="1">
        <v>41502</v>
      </c>
      <c r="F558">
        <v>24773.457484133502</v>
      </c>
      <c r="G558" s="1">
        <v>41502</v>
      </c>
      <c r="H558">
        <v>2850</v>
      </c>
    </row>
    <row r="559" spans="1:8" x14ac:dyDescent="0.25">
      <c r="A559" s="1"/>
      <c r="C559" s="1"/>
      <c r="E559" s="1">
        <v>41505</v>
      </c>
      <c r="F559">
        <v>26344.791163332698</v>
      </c>
      <c r="G559" s="1">
        <v>41505</v>
      </c>
      <c r="H559">
        <v>3650</v>
      </c>
    </row>
    <row r="560" spans="1:8" x14ac:dyDescent="0.25">
      <c r="A560" s="1"/>
      <c r="C560" s="1"/>
      <c r="E560" s="1">
        <v>41506</v>
      </c>
      <c r="F560">
        <v>26142.069701083001</v>
      </c>
      <c r="G560" s="1">
        <v>41506</v>
      </c>
      <c r="H560">
        <v>3500</v>
      </c>
    </row>
    <row r="561" spans="1:8" x14ac:dyDescent="0.25">
      <c r="A561" s="1"/>
      <c r="C561" s="1"/>
      <c r="E561" s="1">
        <v>41507</v>
      </c>
      <c r="F561">
        <v>26879.2079304531</v>
      </c>
      <c r="G561" s="1">
        <v>41507</v>
      </c>
      <c r="H561">
        <v>4112.5</v>
      </c>
    </row>
    <row r="562" spans="1:8" x14ac:dyDescent="0.25">
      <c r="A562" s="1"/>
      <c r="C562" s="1"/>
      <c r="E562" s="1">
        <v>41508</v>
      </c>
      <c r="F562">
        <v>26276.456496126899</v>
      </c>
      <c r="G562" s="1">
        <v>41508</v>
      </c>
      <c r="H562">
        <v>3712.5</v>
      </c>
    </row>
    <row r="563" spans="1:8" x14ac:dyDescent="0.25">
      <c r="A563" s="1"/>
      <c r="C563" s="1"/>
      <c r="E563" s="1">
        <v>41509</v>
      </c>
      <c r="F563">
        <v>26690.560797579499</v>
      </c>
      <c r="G563" s="1">
        <v>41509</v>
      </c>
      <c r="H563">
        <v>4075</v>
      </c>
    </row>
    <row r="564" spans="1:8" x14ac:dyDescent="0.25">
      <c r="A564" s="1"/>
      <c r="C564" s="1"/>
      <c r="E564" s="1">
        <v>41512</v>
      </c>
      <c r="F564">
        <v>30989.145697481901</v>
      </c>
      <c r="G564" s="1">
        <v>41512</v>
      </c>
      <c r="H564">
        <v>5237.5</v>
      </c>
    </row>
    <row r="565" spans="1:8" x14ac:dyDescent="0.25">
      <c r="A565" s="1"/>
      <c r="C565" s="1"/>
      <c r="E565" s="1">
        <v>41513</v>
      </c>
      <c r="F565">
        <v>30610.104163058098</v>
      </c>
      <c r="G565" s="1">
        <v>41513</v>
      </c>
      <c r="H565">
        <v>4412.5</v>
      </c>
    </row>
    <row r="566" spans="1:8" x14ac:dyDescent="0.25">
      <c r="A566" s="1"/>
      <c r="C566" s="1"/>
      <c r="E566" s="1">
        <v>41514</v>
      </c>
      <c r="F566">
        <v>30591.997519381301</v>
      </c>
      <c r="G566" s="1">
        <v>41514</v>
      </c>
      <c r="H566">
        <v>4262.5</v>
      </c>
    </row>
    <row r="567" spans="1:8" x14ac:dyDescent="0.25">
      <c r="A567" s="1"/>
      <c r="C567" s="1"/>
      <c r="E567" s="1">
        <v>41515</v>
      </c>
      <c r="F567">
        <v>30681.824133761202</v>
      </c>
      <c r="G567" s="1">
        <v>41515</v>
      </c>
      <c r="H567">
        <v>4175</v>
      </c>
    </row>
    <row r="568" spans="1:8" x14ac:dyDescent="0.25">
      <c r="A568" s="1"/>
      <c r="C568" s="1"/>
      <c r="E568" s="1">
        <v>41516</v>
      </c>
      <c r="F568">
        <v>30672.854759104499</v>
      </c>
      <c r="G568" s="1">
        <v>41516</v>
      </c>
      <c r="H568">
        <v>3625</v>
      </c>
    </row>
    <row r="569" spans="1:8" x14ac:dyDescent="0.25">
      <c r="A569" s="1"/>
      <c r="C569" s="1"/>
      <c r="E569" s="1">
        <v>41520</v>
      </c>
      <c r="F569">
        <v>30106.823829539098</v>
      </c>
      <c r="G569" s="1">
        <v>41520</v>
      </c>
      <c r="H569">
        <v>3712.5</v>
      </c>
    </row>
    <row r="570" spans="1:8" x14ac:dyDescent="0.25">
      <c r="A570" s="1"/>
      <c r="C570" s="1"/>
      <c r="E570" s="1">
        <v>41521</v>
      </c>
      <c r="F570">
        <v>29973.591766245601</v>
      </c>
      <c r="G570" s="1">
        <v>41521</v>
      </c>
      <c r="H570">
        <v>3937.5</v>
      </c>
    </row>
    <row r="571" spans="1:8" x14ac:dyDescent="0.25">
      <c r="A571" s="1"/>
      <c r="C571" s="1"/>
      <c r="E571" s="1">
        <v>41522</v>
      </c>
      <c r="F571">
        <v>29554.257903940899</v>
      </c>
      <c r="G571" s="1">
        <v>41522</v>
      </c>
      <c r="H571">
        <v>3412.5</v>
      </c>
    </row>
    <row r="572" spans="1:8" x14ac:dyDescent="0.25">
      <c r="A572" s="1"/>
      <c r="C572" s="1"/>
      <c r="E572" s="1">
        <v>41523</v>
      </c>
      <c r="F572">
        <v>29927.091789133799</v>
      </c>
      <c r="G572" s="1">
        <v>41523</v>
      </c>
      <c r="H572">
        <v>3812.5</v>
      </c>
    </row>
    <row r="573" spans="1:8" x14ac:dyDescent="0.25">
      <c r="A573" s="1"/>
      <c r="C573" s="1"/>
      <c r="E573" s="1">
        <v>41526</v>
      </c>
      <c r="F573">
        <v>29694.528335459501</v>
      </c>
      <c r="G573" s="1">
        <v>41526</v>
      </c>
      <c r="H573">
        <v>3025</v>
      </c>
    </row>
    <row r="574" spans="1:8" x14ac:dyDescent="0.25">
      <c r="A574" s="1"/>
      <c r="C574" s="1"/>
      <c r="E574" s="1">
        <v>41527</v>
      </c>
      <c r="F574">
        <v>29949.0336226299</v>
      </c>
      <c r="G574" s="1">
        <v>41527</v>
      </c>
      <c r="H574">
        <v>2900</v>
      </c>
    </row>
    <row r="575" spans="1:8" x14ac:dyDescent="0.25">
      <c r="A575" s="1"/>
      <c r="C575" s="1"/>
      <c r="E575" s="1">
        <v>41528</v>
      </c>
      <c r="F575">
        <v>30018.434074289999</v>
      </c>
      <c r="G575" s="1">
        <v>41528</v>
      </c>
      <c r="H575">
        <v>2987.5</v>
      </c>
    </row>
    <row r="576" spans="1:8" x14ac:dyDescent="0.25">
      <c r="A576" s="1"/>
      <c r="C576" s="1"/>
      <c r="E576" s="1">
        <v>41529</v>
      </c>
      <c r="F576">
        <v>30160.878501780298</v>
      </c>
      <c r="G576" s="1">
        <v>41529</v>
      </c>
      <c r="H576">
        <v>2537.5</v>
      </c>
    </row>
    <row r="577" spans="1:8" x14ac:dyDescent="0.25">
      <c r="A577" s="1"/>
      <c r="C577" s="1"/>
      <c r="E577" s="1">
        <v>41530</v>
      </c>
      <c r="F577">
        <v>30307.851535685299</v>
      </c>
      <c r="G577" s="1">
        <v>41530</v>
      </c>
      <c r="H577">
        <v>2525</v>
      </c>
    </row>
    <row r="578" spans="1:8" x14ac:dyDescent="0.25">
      <c r="A578" s="1"/>
      <c r="C578" s="1"/>
      <c r="E578" s="1">
        <v>41533</v>
      </c>
      <c r="F578">
        <v>30032.990985758599</v>
      </c>
      <c r="G578" s="1">
        <v>41533</v>
      </c>
      <c r="H578">
        <v>2337.5</v>
      </c>
    </row>
    <row r="579" spans="1:8" x14ac:dyDescent="0.25">
      <c r="A579" s="1"/>
      <c r="C579" s="1"/>
      <c r="E579" s="1">
        <v>41534</v>
      </c>
      <c r="F579">
        <v>29952.9880579784</v>
      </c>
      <c r="G579" s="1">
        <v>41534</v>
      </c>
      <c r="H579">
        <v>2300</v>
      </c>
    </row>
    <row r="580" spans="1:8" x14ac:dyDescent="0.25">
      <c r="A580" s="1"/>
      <c r="C580" s="1"/>
      <c r="E580" s="1">
        <v>41535</v>
      </c>
      <c r="F580">
        <v>29799.852043039999</v>
      </c>
      <c r="G580" s="1">
        <v>41535</v>
      </c>
      <c r="H580">
        <v>2225</v>
      </c>
    </row>
    <row r="581" spans="1:8" x14ac:dyDescent="0.25">
      <c r="A581" s="1"/>
      <c r="C581" s="1"/>
      <c r="E581" s="1">
        <v>41536</v>
      </c>
      <c r="F581">
        <v>29962.6861571148</v>
      </c>
      <c r="G581" s="1">
        <v>41536</v>
      </c>
      <c r="H581">
        <v>2375</v>
      </c>
    </row>
    <row r="582" spans="1:8" x14ac:dyDescent="0.25">
      <c r="A582" s="1"/>
      <c r="C582" s="1"/>
      <c r="E582" s="1">
        <v>41537</v>
      </c>
      <c r="F582">
        <v>29661.8677214458</v>
      </c>
      <c r="G582" s="1">
        <v>41537</v>
      </c>
      <c r="H582">
        <v>2075</v>
      </c>
    </row>
    <row r="583" spans="1:8" x14ac:dyDescent="0.25">
      <c r="A583" s="1"/>
      <c r="C583" s="1"/>
      <c r="E583" s="1">
        <v>41540</v>
      </c>
      <c r="F583">
        <v>29664.647609598898</v>
      </c>
      <c r="G583" s="1">
        <v>41540</v>
      </c>
      <c r="H583">
        <v>2125</v>
      </c>
    </row>
    <row r="584" spans="1:8" x14ac:dyDescent="0.25">
      <c r="A584" s="1"/>
      <c r="C584" s="1"/>
      <c r="E584" s="1">
        <v>41541</v>
      </c>
      <c r="F584">
        <v>29563.4699515178</v>
      </c>
      <c r="G584" s="1">
        <v>41541</v>
      </c>
      <c r="H584">
        <v>1937.5</v>
      </c>
    </row>
    <row r="585" spans="1:8" x14ac:dyDescent="0.25">
      <c r="A585" s="1"/>
      <c r="C585" s="1"/>
      <c r="E585" s="1">
        <v>41542</v>
      </c>
      <c r="F585">
        <v>29579.0449179485</v>
      </c>
      <c r="G585" s="1">
        <v>41542</v>
      </c>
      <c r="H585">
        <v>2337.5</v>
      </c>
    </row>
    <row r="586" spans="1:8" x14ac:dyDescent="0.25">
      <c r="A586" s="1"/>
      <c r="C586" s="1"/>
      <c r="E586" s="1">
        <v>41543</v>
      </c>
      <c r="F586">
        <v>29574.2018836811</v>
      </c>
      <c r="G586" s="1">
        <v>41543</v>
      </c>
      <c r="H586">
        <v>2275</v>
      </c>
    </row>
    <row r="587" spans="1:8" x14ac:dyDescent="0.25">
      <c r="A587" s="1"/>
      <c r="C587" s="1"/>
      <c r="E587" s="1">
        <v>41544</v>
      </c>
      <c r="F587">
        <v>29576.0932091549</v>
      </c>
      <c r="G587" s="1">
        <v>41544</v>
      </c>
      <c r="H587">
        <v>2237.5</v>
      </c>
    </row>
    <row r="588" spans="1:8" x14ac:dyDescent="0.25">
      <c r="A588" s="1"/>
      <c r="C588" s="1"/>
      <c r="E588" s="1">
        <v>41547</v>
      </c>
      <c r="F588">
        <v>29267.0925072506</v>
      </c>
      <c r="G588" s="1">
        <v>41547</v>
      </c>
      <c r="H588">
        <v>1750</v>
      </c>
    </row>
    <row r="589" spans="1:8" x14ac:dyDescent="0.25">
      <c r="A589" s="1"/>
      <c r="C589" s="1"/>
      <c r="E589" s="1">
        <v>41548</v>
      </c>
      <c r="F589">
        <v>28650.270653612901</v>
      </c>
      <c r="G589" s="1">
        <v>41548</v>
      </c>
      <c r="H589">
        <v>1387.5</v>
      </c>
    </row>
    <row r="590" spans="1:8" x14ac:dyDescent="0.25">
      <c r="A590" s="1"/>
      <c r="C590" s="1"/>
      <c r="E590" s="1">
        <v>41549</v>
      </c>
      <c r="F590">
        <v>28793.028564341301</v>
      </c>
      <c r="G590" s="1">
        <v>41549</v>
      </c>
      <c r="H590">
        <v>1487.5</v>
      </c>
    </row>
    <row r="591" spans="1:8" x14ac:dyDescent="0.25">
      <c r="A591" s="1"/>
      <c r="C591" s="1"/>
      <c r="E591" s="1">
        <v>41550</v>
      </c>
      <c r="F591">
        <v>28962.3521117046</v>
      </c>
      <c r="G591" s="1">
        <v>41550</v>
      </c>
      <c r="H591">
        <v>1587.5</v>
      </c>
    </row>
    <row r="592" spans="1:8" x14ac:dyDescent="0.25">
      <c r="A592" s="1"/>
      <c r="C592" s="1"/>
      <c r="E592" s="1">
        <v>41551</v>
      </c>
      <c r="F592">
        <v>29151.482635386201</v>
      </c>
      <c r="G592" s="1">
        <v>41551</v>
      </c>
      <c r="H592">
        <v>1700</v>
      </c>
    </row>
    <row r="593" spans="1:8" x14ac:dyDescent="0.25">
      <c r="A593" s="1"/>
      <c r="C593" s="1"/>
      <c r="E593" s="1">
        <v>41554</v>
      </c>
      <c r="F593">
        <v>29527.906341440899</v>
      </c>
      <c r="G593" s="1">
        <v>41554</v>
      </c>
      <c r="H593">
        <v>1912.5</v>
      </c>
    </row>
    <row r="594" spans="1:8" x14ac:dyDescent="0.25">
      <c r="A594" s="1"/>
      <c r="C594" s="1"/>
      <c r="E594" s="1">
        <v>41555</v>
      </c>
      <c r="F594">
        <v>29316.7124022319</v>
      </c>
      <c r="G594" s="1">
        <v>41555</v>
      </c>
      <c r="H594">
        <v>1600</v>
      </c>
    </row>
    <row r="595" spans="1:8" x14ac:dyDescent="0.25">
      <c r="A595" s="1"/>
      <c r="C595" s="1"/>
      <c r="E595" s="1">
        <v>41556</v>
      </c>
      <c r="F595">
        <v>29262.462543375699</v>
      </c>
      <c r="G595" s="1">
        <v>41556</v>
      </c>
      <c r="H595">
        <v>1700</v>
      </c>
    </row>
    <row r="596" spans="1:8" x14ac:dyDescent="0.25">
      <c r="A596" s="1"/>
      <c r="C596" s="1"/>
      <c r="E596" s="1">
        <v>41557</v>
      </c>
      <c r="F596">
        <v>29256.462543375699</v>
      </c>
      <c r="G596" s="1">
        <v>41557</v>
      </c>
      <c r="H596">
        <v>1412.5</v>
      </c>
    </row>
    <row r="597" spans="1:8" x14ac:dyDescent="0.25">
      <c r="A597" s="1"/>
      <c r="C597" s="1"/>
      <c r="E597" s="1">
        <v>41558</v>
      </c>
      <c r="F597">
        <v>29314.340694315699</v>
      </c>
      <c r="G597" s="1">
        <v>41558</v>
      </c>
      <c r="H597">
        <v>1237.5</v>
      </c>
    </row>
    <row r="598" spans="1:8" x14ac:dyDescent="0.25">
      <c r="A598" s="1"/>
      <c r="C598" s="1"/>
      <c r="E598" s="1">
        <v>41562</v>
      </c>
      <c r="F598">
        <v>29872.3997458294</v>
      </c>
      <c r="G598" s="1">
        <v>41562</v>
      </c>
      <c r="H598">
        <v>1662.5</v>
      </c>
    </row>
    <row r="599" spans="1:8" x14ac:dyDescent="0.25">
      <c r="A599" s="1"/>
      <c r="C599" s="1"/>
      <c r="E599" s="1">
        <v>41563</v>
      </c>
      <c r="F599">
        <v>29876.3554600551</v>
      </c>
      <c r="G599" s="1">
        <v>41563</v>
      </c>
      <c r="H599">
        <v>1637.5</v>
      </c>
    </row>
    <row r="600" spans="1:8" x14ac:dyDescent="0.25">
      <c r="A600" s="1"/>
      <c r="C600" s="1"/>
      <c r="E600" s="1">
        <v>41564</v>
      </c>
      <c r="F600">
        <v>29905.545780427699</v>
      </c>
      <c r="G600" s="1">
        <v>41564</v>
      </c>
      <c r="H600">
        <v>1637.5</v>
      </c>
    </row>
    <row r="601" spans="1:8" x14ac:dyDescent="0.25">
      <c r="A601" s="1"/>
      <c r="C601" s="1"/>
      <c r="E601" s="1">
        <v>41565</v>
      </c>
      <c r="F601">
        <v>29947.927564866801</v>
      </c>
      <c r="G601" s="1">
        <v>41565</v>
      </c>
      <c r="H601">
        <v>1675</v>
      </c>
    </row>
    <row r="602" spans="1:8" x14ac:dyDescent="0.25">
      <c r="A602" s="1"/>
      <c r="C602" s="1"/>
      <c r="E602" s="1">
        <v>41568</v>
      </c>
      <c r="F602">
        <v>29947.3128645494</v>
      </c>
      <c r="G602" s="1">
        <v>41568</v>
      </c>
      <c r="H602">
        <v>1687.5</v>
      </c>
    </row>
    <row r="603" spans="1:8" x14ac:dyDescent="0.25">
      <c r="A603" s="1"/>
      <c r="C603" s="1"/>
      <c r="E603" s="1">
        <v>41569</v>
      </c>
      <c r="F603">
        <v>29740.808538682701</v>
      </c>
      <c r="G603" s="1">
        <v>41569</v>
      </c>
      <c r="H603">
        <v>1537.5</v>
      </c>
    </row>
    <row r="604" spans="1:8" x14ac:dyDescent="0.25">
      <c r="A604" s="1"/>
      <c r="C604" s="1"/>
      <c r="E604" s="1">
        <v>41570</v>
      </c>
      <c r="F604">
        <v>29792.969517000001</v>
      </c>
      <c r="G604" s="1">
        <v>41570</v>
      </c>
      <c r="H604">
        <v>1687.5</v>
      </c>
    </row>
    <row r="605" spans="1:8" x14ac:dyDescent="0.25">
      <c r="A605" s="1"/>
      <c r="C605" s="1"/>
      <c r="E605" s="1">
        <v>41571</v>
      </c>
      <c r="F605">
        <v>29846.6126139238</v>
      </c>
      <c r="G605" s="1">
        <v>41571</v>
      </c>
      <c r="H605">
        <v>1512.5</v>
      </c>
    </row>
    <row r="606" spans="1:8" x14ac:dyDescent="0.25">
      <c r="A606" s="1"/>
      <c r="C606" s="1"/>
      <c r="E606" s="1">
        <v>41572</v>
      </c>
      <c r="F606">
        <v>29810.2994558885</v>
      </c>
      <c r="G606" s="1">
        <v>41572</v>
      </c>
      <c r="H606">
        <v>1550</v>
      </c>
    </row>
    <row r="607" spans="1:8" x14ac:dyDescent="0.25">
      <c r="A607" s="1"/>
      <c r="C607" s="1"/>
      <c r="E607" s="1">
        <v>41575</v>
      </c>
      <c r="F607">
        <v>29994.2798941209</v>
      </c>
      <c r="G607" s="1">
        <v>41575</v>
      </c>
      <c r="H607">
        <v>1087.5</v>
      </c>
    </row>
    <row r="608" spans="1:8" x14ac:dyDescent="0.25">
      <c r="A608" s="1"/>
      <c r="C608" s="1"/>
      <c r="E608" s="1">
        <v>41576</v>
      </c>
      <c r="F608">
        <v>29938.1557123735</v>
      </c>
      <c r="G608" s="1">
        <v>41576</v>
      </c>
      <c r="H608">
        <v>1062.5</v>
      </c>
    </row>
    <row r="609" spans="1:8" x14ac:dyDescent="0.25">
      <c r="A609" s="1"/>
      <c r="C609" s="1"/>
      <c r="E609" s="1">
        <v>41577</v>
      </c>
      <c r="F609">
        <v>29947.058985955999</v>
      </c>
      <c r="G609" s="1">
        <v>41577</v>
      </c>
      <c r="H609">
        <v>1062.5</v>
      </c>
    </row>
    <row r="610" spans="1:8" x14ac:dyDescent="0.25">
      <c r="A610" s="1"/>
      <c r="C610" s="1"/>
      <c r="E610" s="1">
        <v>41578</v>
      </c>
      <c r="F610">
        <v>29899.690783746501</v>
      </c>
      <c r="G610" s="1">
        <v>41578</v>
      </c>
      <c r="H610">
        <v>887.5</v>
      </c>
    </row>
    <row r="611" spans="1:8" x14ac:dyDescent="0.25">
      <c r="A611" s="1"/>
      <c r="C611" s="1"/>
      <c r="E611" s="1">
        <v>41579</v>
      </c>
      <c r="F611">
        <v>29911.093467004499</v>
      </c>
      <c r="G611" s="1">
        <v>41579</v>
      </c>
      <c r="H611">
        <v>912.5</v>
      </c>
    </row>
    <row r="612" spans="1:8" x14ac:dyDescent="0.25">
      <c r="A612" s="1"/>
      <c r="C612" s="1"/>
      <c r="E612" s="1">
        <v>41582</v>
      </c>
      <c r="F612">
        <v>29874.046065576302</v>
      </c>
      <c r="G612" s="1">
        <v>41582</v>
      </c>
      <c r="H612">
        <v>862.5</v>
      </c>
    </row>
    <row r="613" spans="1:8" x14ac:dyDescent="0.25">
      <c r="A613" s="1"/>
      <c r="C613" s="1"/>
      <c r="E613" s="1">
        <v>41583</v>
      </c>
      <c r="F613">
        <v>29849.2296364381</v>
      </c>
      <c r="G613" s="1">
        <v>41583</v>
      </c>
      <c r="H613">
        <v>762.5</v>
      </c>
    </row>
    <row r="614" spans="1:8" x14ac:dyDescent="0.25">
      <c r="A614" s="1"/>
      <c r="C614" s="1"/>
      <c r="E614" s="1">
        <v>41584</v>
      </c>
      <c r="F614">
        <v>29776.6605522707</v>
      </c>
      <c r="G614" s="1">
        <v>41584</v>
      </c>
      <c r="H614">
        <v>587.5</v>
      </c>
    </row>
    <row r="615" spans="1:8" x14ac:dyDescent="0.25">
      <c r="A615" s="1"/>
      <c r="C615" s="1"/>
      <c r="E615" s="1">
        <v>41585</v>
      </c>
      <c r="F615">
        <v>29790.1150457933</v>
      </c>
      <c r="G615" s="1">
        <v>41585</v>
      </c>
      <c r="H615">
        <v>587.5</v>
      </c>
    </row>
    <row r="616" spans="1:8" x14ac:dyDescent="0.25">
      <c r="A616" s="1"/>
      <c r="C616" s="1"/>
      <c r="E616" s="1">
        <v>41586</v>
      </c>
      <c r="F616">
        <v>29822.358652360701</v>
      </c>
      <c r="G616" s="1">
        <v>41586</v>
      </c>
      <c r="H616">
        <v>762.5</v>
      </c>
    </row>
    <row r="617" spans="1:8" x14ac:dyDescent="0.25">
      <c r="A617" s="1"/>
      <c r="C617" s="1"/>
      <c r="E617" s="1">
        <v>41590</v>
      </c>
      <c r="F617">
        <v>30247.364694841199</v>
      </c>
      <c r="G617" s="1">
        <v>41590</v>
      </c>
      <c r="H617">
        <v>1225</v>
      </c>
    </row>
    <row r="618" spans="1:8" x14ac:dyDescent="0.25">
      <c r="A618" s="1"/>
      <c r="C618" s="1"/>
      <c r="E618" s="1">
        <v>41591</v>
      </c>
      <c r="F618">
        <v>30225.455850847</v>
      </c>
      <c r="G618" s="1">
        <v>41591</v>
      </c>
      <c r="H618">
        <v>1037.5</v>
      </c>
    </row>
    <row r="619" spans="1:8" x14ac:dyDescent="0.25">
      <c r="A619" s="1"/>
      <c r="C619" s="1"/>
      <c r="E619" s="1">
        <v>41592</v>
      </c>
      <c r="F619">
        <v>30176.1103537157</v>
      </c>
      <c r="G619" s="1">
        <v>41592</v>
      </c>
      <c r="H619">
        <v>825</v>
      </c>
    </row>
    <row r="620" spans="1:8" x14ac:dyDescent="0.25">
      <c r="A620" s="1"/>
      <c r="C620" s="1"/>
      <c r="E620" s="1">
        <v>41593</v>
      </c>
      <c r="F620">
        <v>30112.525762803802</v>
      </c>
      <c r="G620" s="1">
        <v>41593</v>
      </c>
      <c r="H620">
        <v>737.5</v>
      </c>
    </row>
    <row r="621" spans="1:8" x14ac:dyDescent="0.25">
      <c r="A621" s="1"/>
      <c r="C621" s="1"/>
      <c r="E621" s="1">
        <v>41596</v>
      </c>
      <c r="F621">
        <v>29619.486597307001</v>
      </c>
      <c r="G621" s="1">
        <v>41596</v>
      </c>
      <c r="H621">
        <v>187.5</v>
      </c>
    </row>
    <row r="622" spans="1:8" x14ac:dyDescent="0.25">
      <c r="A622" s="1"/>
      <c r="C622" s="1"/>
      <c r="E622" s="1">
        <v>41597</v>
      </c>
      <c r="F622">
        <v>29815.966974504201</v>
      </c>
      <c r="G622" s="1">
        <v>41597</v>
      </c>
      <c r="H622">
        <v>300</v>
      </c>
    </row>
    <row r="623" spans="1:8" x14ac:dyDescent="0.25">
      <c r="A623" s="1"/>
      <c r="C623" s="1"/>
      <c r="E623" s="1">
        <v>41598</v>
      </c>
      <c r="F623">
        <v>29941.295632608199</v>
      </c>
      <c r="G623" s="1">
        <v>41598</v>
      </c>
      <c r="H623">
        <v>400</v>
      </c>
    </row>
    <row r="624" spans="1:8" x14ac:dyDescent="0.25">
      <c r="A624" s="1"/>
      <c r="C624" s="1"/>
      <c r="E624" s="1">
        <v>41599</v>
      </c>
      <c r="F624">
        <v>30032.4463741853</v>
      </c>
      <c r="G624" s="1">
        <v>41599</v>
      </c>
      <c r="H624">
        <v>612.5</v>
      </c>
    </row>
    <row r="625" spans="1:8" x14ac:dyDescent="0.25">
      <c r="A625" s="1"/>
      <c r="C625" s="1"/>
      <c r="E625" s="1">
        <v>41600</v>
      </c>
      <c r="F625">
        <v>30122.703995950498</v>
      </c>
      <c r="G625" s="1">
        <v>41600</v>
      </c>
      <c r="H625">
        <v>612.5</v>
      </c>
    </row>
    <row r="626" spans="1:8" x14ac:dyDescent="0.25">
      <c r="A626" s="1"/>
      <c r="C626" s="1"/>
      <c r="E626" s="1">
        <v>41603</v>
      </c>
      <c r="F626">
        <v>30166.406621225098</v>
      </c>
      <c r="G626" s="1">
        <v>41603</v>
      </c>
      <c r="H626">
        <v>675</v>
      </c>
    </row>
    <row r="627" spans="1:8" x14ac:dyDescent="0.25">
      <c r="A627" s="1"/>
      <c r="C627" s="1"/>
      <c r="E627" s="1">
        <v>41604</v>
      </c>
      <c r="F627">
        <v>30309.7493641451</v>
      </c>
      <c r="G627" s="1">
        <v>41604</v>
      </c>
      <c r="H627">
        <v>412.5</v>
      </c>
    </row>
    <row r="628" spans="1:8" x14ac:dyDescent="0.25">
      <c r="A628" s="1"/>
      <c r="C628" s="1"/>
      <c r="E628" s="1">
        <v>41605</v>
      </c>
      <c r="F628">
        <v>30295.2103703096</v>
      </c>
      <c r="G628" s="1">
        <v>41605</v>
      </c>
      <c r="H628">
        <v>400</v>
      </c>
    </row>
    <row r="629" spans="1:8" x14ac:dyDescent="0.25">
      <c r="A629" s="1"/>
      <c r="C629" s="1"/>
      <c r="E629" s="1">
        <v>41607</v>
      </c>
      <c r="F629">
        <v>30170.1324207857</v>
      </c>
      <c r="G629" s="1">
        <v>41607</v>
      </c>
      <c r="H629">
        <v>275</v>
      </c>
    </row>
    <row r="630" spans="1:8" x14ac:dyDescent="0.25">
      <c r="A630" s="1"/>
      <c r="C630" s="1"/>
      <c r="E630" s="1">
        <v>41610</v>
      </c>
      <c r="F630">
        <v>30140.658442743101</v>
      </c>
      <c r="G630" s="1">
        <v>41610</v>
      </c>
      <c r="H630">
        <v>300</v>
      </c>
    </row>
    <row r="631" spans="1:8" x14ac:dyDescent="0.25">
      <c r="A631" s="1"/>
      <c r="C631" s="1"/>
      <c r="E631" s="1">
        <v>41611</v>
      </c>
      <c r="F631">
        <v>30356.4909775331</v>
      </c>
      <c r="G631" s="1">
        <v>41611</v>
      </c>
      <c r="H631">
        <v>562.5</v>
      </c>
    </row>
    <row r="632" spans="1:8" x14ac:dyDescent="0.25">
      <c r="A632" s="1"/>
      <c r="C632" s="1"/>
      <c r="E632" s="1">
        <v>41612</v>
      </c>
      <c r="F632">
        <v>30363.210826165901</v>
      </c>
      <c r="G632" s="1">
        <v>41612</v>
      </c>
      <c r="H632">
        <v>737.5</v>
      </c>
    </row>
    <row r="633" spans="1:8" x14ac:dyDescent="0.25">
      <c r="A633" s="1"/>
      <c r="C633" s="1"/>
      <c r="E633" s="1">
        <v>41613</v>
      </c>
      <c r="F633">
        <v>30414.762954004102</v>
      </c>
      <c r="G633" s="1">
        <v>41613</v>
      </c>
      <c r="H633">
        <v>712.5</v>
      </c>
    </row>
    <row r="634" spans="1:8" x14ac:dyDescent="0.25">
      <c r="A634" s="1"/>
      <c r="C634" s="1"/>
      <c r="E634" s="1">
        <v>41614</v>
      </c>
      <c r="F634">
        <v>30738.000098474298</v>
      </c>
      <c r="G634" s="1">
        <v>41614</v>
      </c>
      <c r="H634">
        <v>600</v>
      </c>
    </row>
    <row r="635" spans="1:8" x14ac:dyDescent="0.25">
      <c r="A635" s="1"/>
      <c r="C635" s="1"/>
      <c r="E635" s="1">
        <v>41617</v>
      </c>
      <c r="F635">
        <v>30282.198783166699</v>
      </c>
      <c r="G635" s="1">
        <v>41617</v>
      </c>
      <c r="H635">
        <v>912.5</v>
      </c>
    </row>
    <row r="636" spans="1:8" x14ac:dyDescent="0.25">
      <c r="A636" s="1"/>
      <c r="C636" s="1"/>
      <c r="E636" s="1">
        <v>41618</v>
      </c>
      <c r="F636">
        <v>30368.004870660599</v>
      </c>
      <c r="G636" s="1">
        <v>41618</v>
      </c>
      <c r="H636">
        <v>887.5</v>
      </c>
    </row>
    <row r="637" spans="1:8" x14ac:dyDescent="0.25">
      <c r="A637" s="1"/>
      <c r="C637" s="1"/>
      <c r="E637" s="1">
        <v>41619</v>
      </c>
      <c r="F637">
        <v>30068.207911737201</v>
      </c>
      <c r="G637" s="1">
        <v>41619</v>
      </c>
      <c r="H637">
        <v>1087.5</v>
      </c>
    </row>
    <row r="638" spans="1:8" x14ac:dyDescent="0.25">
      <c r="A638" s="1"/>
      <c r="C638" s="1"/>
      <c r="E638" s="1">
        <v>41620</v>
      </c>
      <c r="F638">
        <v>30391.235705621501</v>
      </c>
      <c r="G638" s="1">
        <v>41620</v>
      </c>
      <c r="H638">
        <v>800</v>
      </c>
    </row>
    <row r="639" spans="1:8" x14ac:dyDescent="0.25">
      <c r="A639" s="1"/>
      <c r="C639" s="1"/>
      <c r="E639" s="1">
        <v>41621</v>
      </c>
      <c r="F639">
        <v>30453.976596124401</v>
      </c>
      <c r="G639" s="1">
        <v>41621</v>
      </c>
      <c r="H639">
        <v>462.5</v>
      </c>
    </row>
    <row r="640" spans="1:8" x14ac:dyDescent="0.25">
      <c r="A640" s="1"/>
      <c r="C640" s="1"/>
      <c r="E640" s="1">
        <v>41624</v>
      </c>
      <c r="F640">
        <v>30557.860682733299</v>
      </c>
      <c r="G640" s="1">
        <v>41624</v>
      </c>
      <c r="H640">
        <v>400</v>
      </c>
    </row>
    <row r="641" spans="1:8" x14ac:dyDescent="0.25">
      <c r="A641" s="1"/>
      <c r="C641" s="1"/>
      <c r="E641" s="1">
        <v>41625</v>
      </c>
      <c r="F641">
        <v>30603.617396600501</v>
      </c>
      <c r="G641" s="1">
        <v>41625</v>
      </c>
      <c r="H641">
        <v>500</v>
      </c>
    </row>
    <row r="642" spans="1:8" x14ac:dyDescent="0.25">
      <c r="A642" s="1"/>
      <c r="C642" s="1"/>
      <c r="E642" s="1">
        <v>41626</v>
      </c>
      <c r="F642">
        <v>30502.1285126283</v>
      </c>
      <c r="G642" s="1">
        <v>41626</v>
      </c>
      <c r="H642">
        <v>400</v>
      </c>
    </row>
    <row r="643" spans="1:8" x14ac:dyDescent="0.25">
      <c r="A643" s="1"/>
      <c r="C643" s="1"/>
      <c r="E643" s="1">
        <v>41627</v>
      </c>
      <c r="F643">
        <v>30484.5867798402</v>
      </c>
      <c r="G643" s="1">
        <v>41627</v>
      </c>
      <c r="H643">
        <v>612.5</v>
      </c>
    </row>
    <row r="644" spans="1:8" x14ac:dyDescent="0.25">
      <c r="A644" s="1"/>
      <c r="C644" s="1"/>
      <c r="E644" s="1">
        <v>41628</v>
      </c>
      <c r="F644">
        <v>30612.818087823602</v>
      </c>
      <c r="G644" s="1">
        <v>41628</v>
      </c>
      <c r="H644">
        <v>775</v>
      </c>
    </row>
    <row r="645" spans="1:8" x14ac:dyDescent="0.25">
      <c r="A645" s="1"/>
      <c r="C645" s="1"/>
      <c r="E645" s="1">
        <v>41631</v>
      </c>
      <c r="F645">
        <v>30665.485697992099</v>
      </c>
      <c r="G645" s="1">
        <v>41631</v>
      </c>
      <c r="H645">
        <v>862.5</v>
      </c>
    </row>
    <row r="646" spans="1:8" x14ac:dyDescent="0.25">
      <c r="A646" s="1"/>
      <c r="C646" s="1"/>
      <c r="E646" s="1">
        <v>41632</v>
      </c>
      <c r="F646">
        <v>30615.700690515299</v>
      </c>
      <c r="G646" s="1">
        <v>41632</v>
      </c>
      <c r="H646">
        <v>875</v>
      </c>
    </row>
    <row r="647" spans="1:8" x14ac:dyDescent="0.25">
      <c r="A647" s="1"/>
      <c r="C647" s="1"/>
      <c r="E647" s="1">
        <v>41634</v>
      </c>
      <c r="F647">
        <v>31140.9843208864</v>
      </c>
      <c r="G647" s="1">
        <v>41634</v>
      </c>
      <c r="H647">
        <v>512.5</v>
      </c>
    </row>
    <row r="648" spans="1:8" x14ac:dyDescent="0.25">
      <c r="A648" s="1"/>
      <c r="C648" s="1"/>
      <c r="E648" s="1">
        <v>41635</v>
      </c>
      <c r="F648">
        <v>31108.894570596502</v>
      </c>
      <c r="G648" s="1">
        <v>41635</v>
      </c>
      <c r="H648">
        <v>500</v>
      </c>
    </row>
    <row r="649" spans="1:8" x14ac:dyDescent="0.25">
      <c r="A649" s="1"/>
      <c r="C649" s="1"/>
      <c r="E649" s="1">
        <v>41638</v>
      </c>
      <c r="F649">
        <v>30985.680878884999</v>
      </c>
      <c r="G649" s="1">
        <v>41638</v>
      </c>
      <c r="H649">
        <v>325</v>
      </c>
    </row>
    <row r="650" spans="1:8" x14ac:dyDescent="0.25">
      <c r="A650" s="1"/>
      <c r="C650" s="1"/>
      <c r="E650" s="1">
        <v>41639</v>
      </c>
      <c r="F650">
        <v>30985.680878884999</v>
      </c>
      <c r="G650" s="1">
        <v>41639</v>
      </c>
      <c r="H650">
        <v>275</v>
      </c>
    </row>
    <row r="651" spans="1:8" x14ac:dyDescent="0.25">
      <c r="A651" s="1"/>
      <c r="C651" s="1"/>
      <c r="E651" s="1">
        <v>41641</v>
      </c>
      <c r="F651">
        <v>30973.680878884999</v>
      </c>
      <c r="G651" s="1">
        <v>41641</v>
      </c>
      <c r="H651">
        <v>75</v>
      </c>
    </row>
    <row r="652" spans="1:8" x14ac:dyDescent="0.25">
      <c r="A652" s="1"/>
      <c r="C652" s="1"/>
      <c r="E652" s="1">
        <v>41642</v>
      </c>
      <c r="F652">
        <v>31265.401612527599</v>
      </c>
      <c r="G652" s="1">
        <v>41642</v>
      </c>
      <c r="H652">
        <v>325</v>
      </c>
    </row>
    <row r="653" spans="1:8" x14ac:dyDescent="0.25">
      <c r="A653" s="1"/>
      <c r="C653" s="1"/>
      <c r="E653" s="1">
        <v>41645</v>
      </c>
      <c r="F653">
        <v>31414.057107217599</v>
      </c>
      <c r="G653" s="1">
        <v>41645</v>
      </c>
      <c r="H653">
        <v>475</v>
      </c>
    </row>
    <row r="654" spans="1:8" x14ac:dyDescent="0.25">
      <c r="A654" s="1"/>
      <c r="C654" s="1"/>
      <c r="E654" s="1">
        <v>41646</v>
      </c>
      <c r="F654">
        <v>31402.292322881502</v>
      </c>
      <c r="G654" s="1">
        <v>41646</v>
      </c>
      <c r="H654">
        <v>487.5</v>
      </c>
    </row>
    <row r="655" spans="1:8" x14ac:dyDescent="0.25">
      <c r="A655" s="1"/>
      <c r="C655" s="1"/>
      <c r="E655" s="1">
        <v>41647</v>
      </c>
      <c r="F655">
        <v>31339.357340581701</v>
      </c>
      <c r="G655" s="1">
        <v>41647</v>
      </c>
      <c r="H655">
        <v>87.5</v>
      </c>
    </row>
    <row r="656" spans="1:8" x14ac:dyDescent="0.25">
      <c r="A656" s="1"/>
      <c r="C656" s="1"/>
      <c r="E656" s="1">
        <v>41648</v>
      </c>
      <c r="F656">
        <v>31327.357340581701</v>
      </c>
      <c r="G656" s="1">
        <v>41648</v>
      </c>
      <c r="H656">
        <v>-287.5</v>
      </c>
    </row>
    <row r="657" spans="1:8" x14ac:dyDescent="0.25">
      <c r="A657" s="1"/>
      <c r="C657" s="1"/>
      <c r="E657" s="1">
        <v>41649</v>
      </c>
      <c r="F657">
        <v>32613.657267339499</v>
      </c>
      <c r="G657" s="1">
        <v>41649</v>
      </c>
      <c r="H657">
        <v>575</v>
      </c>
    </row>
    <row r="658" spans="1:8" x14ac:dyDescent="0.25">
      <c r="A658" s="1"/>
      <c r="C658" s="1"/>
      <c r="E658" s="1">
        <v>41652</v>
      </c>
      <c r="F658">
        <v>32633.791678197598</v>
      </c>
      <c r="G658" s="1">
        <v>41652</v>
      </c>
      <c r="H658">
        <v>862.5</v>
      </c>
    </row>
    <row r="659" spans="1:8" x14ac:dyDescent="0.25">
      <c r="A659" s="1"/>
      <c r="C659" s="1"/>
      <c r="E659" s="1">
        <v>41653</v>
      </c>
      <c r="F659">
        <v>32351.547568090198</v>
      </c>
      <c r="G659" s="1">
        <v>41653</v>
      </c>
      <c r="H659">
        <v>687.5</v>
      </c>
    </row>
    <row r="660" spans="1:8" x14ac:dyDescent="0.25">
      <c r="A660" s="1"/>
      <c r="C660" s="1"/>
      <c r="E660" s="1">
        <v>41654</v>
      </c>
      <c r="F660">
        <v>32083.463186986701</v>
      </c>
      <c r="G660" s="1">
        <v>41654</v>
      </c>
      <c r="H660">
        <v>475</v>
      </c>
    </row>
    <row r="661" spans="1:8" x14ac:dyDescent="0.25">
      <c r="A661" s="1"/>
      <c r="C661" s="1"/>
      <c r="E661" s="1">
        <v>41655</v>
      </c>
      <c r="F661">
        <v>32074.590882904798</v>
      </c>
      <c r="G661" s="1">
        <v>41655</v>
      </c>
      <c r="H661">
        <v>475</v>
      </c>
    </row>
    <row r="662" spans="1:8" x14ac:dyDescent="0.25">
      <c r="A662" s="1"/>
      <c r="C662" s="1"/>
      <c r="E662" s="1">
        <v>41656</v>
      </c>
      <c r="F662">
        <v>32136.356187470199</v>
      </c>
      <c r="G662" s="1">
        <v>41656</v>
      </c>
      <c r="H662">
        <v>337.5</v>
      </c>
    </row>
    <row r="663" spans="1:8" x14ac:dyDescent="0.25">
      <c r="A663" s="1"/>
      <c r="C663" s="1"/>
      <c r="E663" s="1">
        <v>41660</v>
      </c>
      <c r="F663">
        <v>32136.356187470199</v>
      </c>
      <c r="G663" s="1">
        <v>41660</v>
      </c>
      <c r="H663">
        <v>325</v>
      </c>
    </row>
    <row r="664" spans="1:8" x14ac:dyDescent="0.25">
      <c r="A664" s="1"/>
      <c r="C664" s="1"/>
      <c r="E664" s="1">
        <v>41661</v>
      </c>
      <c r="F664">
        <v>32094.356187470199</v>
      </c>
      <c r="G664" s="1">
        <v>41661</v>
      </c>
      <c r="H664">
        <v>450</v>
      </c>
    </row>
    <row r="665" spans="1:8" x14ac:dyDescent="0.25">
      <c r="A665" s="1"/>
      <c r="C665" s="1"/>
      <c r="E665" s="1">
        <v>41662</v>
      </c>
      <c r="F665">
        <v>31990.482904084001</v>
      </c>
      <c r="G665" s="1">
        <v>41662</v>
      </c>
      <c r="H665">
        <v>612.5</v>
      </c>
    </row>
    <row r="666" spans="1:8" x14ac:dyDescent="0.25">
      <c r="A666" s="1"/>
      <c r="C666" s="1"/>
      <c r="E666" s="1">
        <v>41663</v>
      </c>
      <c r="F666">
        <v>32027.9921985939</v>
      </c>
      <c r="G666" s="1">
        <v>41663</v>
      </c>
      <c r="H666">
        <v>625</v>
      </c>
    </row>
    <row r="667" spans="1:8" x14ac:dyDescent="0.25">
      <c r="A667" s="1"/>
      <c r="C667" s="1"/>
      <c r="E667" s="1">
        <v>41666</v>
      </c>
      <c r="F667">
        <v>32168.2791782692</v>
      </c>
      <c r="G667" s="1">
        <v>41666</v>
      </c>
      <c r="H667">
        <v>737.5</v>
      </c>
    </row>
    <row r="668" spans="1:8" x14ac:dyDescent="0.25">
      <c r="A668" s="1"/>
      <c r="C668" s="1"/>
      <c r="E668" s="1">
        <v>41667</v>
      </c>
      <c r="F668">
        <v>32142.804076798198</v>
      </c>
      <c r="G668" s="1">
        <v>41667</v>
      </c>
      <c r="H668">
        <v>775</v>
      </c>
    </row>
    <row r="669" spans="1:8" x14ac:dyDescent="0.25">
      <c r="A669" s="1"/>
      <c r="C669" s="1"/>
      <c r="E669" s="1">
        <v>41668</v>
      </c>
      <c r="F669">
        <v>32472.325164444701</v>
      </c>
      <c r="G669" s="1">
        <v>41668</v>
      </c>
      <c r="H669">
        <v>537.5</v>
      </c>
    </row>
    <row r="670" spans="1:8" x14ac:dyDescent="0.25">
      <c r="A670" s="1"/>
      <c r="C670" s="1"/>
      <c r="E670" s="1">
        <v>41669</v>
      </c>
      <c r="F670">
        <v>32401.7446895912</v>
      </c>
      <c r="G670" s="1">
        <v>41669</v>
      </c>
      <c r="H670">
        <v>800</v>
      </c>
    </row>
    <row r="671" spans="1:8" x14ac:dyDescent="0.25">
      <c r="A671" s="1"/>
      <c r="C671" s="1"/>
      <c r="E671" s="1">
        <v>41670</v>
      </c>
      <c r="F671">
        <v>32441.1875644996</v>
      </c>
      <c r="G671" s="1">
        <v>41670</v>
      </c>
      <c r="H671">
        <v>737.5</v>
      </c>
    </row>
    <row r="672" spans="1:8" x14ac:dyDescent="0.25">
      <c r="A672" s="1"/>
      <c r="C672" s="1"/>
      <c r="E672" s="1">
        <v>41673</v>
      </c>
      <c r="F672">
        <v>31957.3371235206</v>
      </c>
      <c r="G672" s="1">
        <v>41673</v>
      </c>
      <c r="H672">
        <v>950</v>
      </c>
    </row>
    <row r="673" spans="1:8" x14ac:dyDescent="0.25">
      <c r="A673" s="1"/>
      <c r="C673" s="1"/>
      <c r="E673" s="1">
        <v>41674</v>
      </c>
      <c r="F673">
        <v>31182.245685227201</v>
      </c>
      <c r="G673" s="1">
        <v>41674</v>
      </c>
      <c r="H673">
        <v>1187.5</v>
      </c>
    </row>
    <row r="674" spans="1:8" x14ac:dyDescent="0.25">
      <c r="A674" s="1"/>
      <c r="C674" s="1"/>
      <c r="E674" s="1">
        <v>41675</v>
      </c>
      <c r="F674">
        <v>30702.829503662801</v>
      </c>
      <c r="G674" s="1">
        <v>41675</v>
      </c>
      <c r="H674">
        <v>1325</v>
      </c>
    </row>
    <row r="675" spans="1:8" x14ac:dyDescent="0.25">
      <c r="A675" s="1"/>
      <c r="C675" s="1"/>
      <c r="E675" s="1">
        <v>41676</v>
      </c>
      <c r="F675">
        <v>30820.764549858799</v>
      </c>
      <c r="G675" s="1">
        <v>41676</v>
      </c>
      <c r="H675">
        <v>1287.5</v>
      </c>
    </row>
    <row r="676" spans="1:8" x14ac:dyDescent="0.25">
      <c r="A676" s="1"/>
      <c r="C676" s="1"/>
      <c r="E676" s="1">
        <v>41677</v>
      </c>
      <c r="F676">
        <v>30663.501862175701</v>
      </c>
      <c r="G676" s="1">
        <v>41677</v>
      </c>
      <c r="H676">
        <v>1325</v>
      </c>
    </row>
    <row r="677" spans="1:8" x14ac:dyDescent="0.25">
      <c r="A677" s="1"/>
      <c r="C677" s="1"/>
      <c r="E677" s="1">
        <v>41680</v>
      </c>
      <c r="F677">
        <v>31022.622671730802</v>
      </c>
      <c r="G677" s="1">
        <v>41680</v>
      </c>
      <c r="H677">
        <v>1200</v>
      </c>
    </row>
    <row r="678" spans="1:8" x14ac:dyDescent="0.25">
      <c r="A678" s="1"/>
      <c r="C678" s="1"/>
      <c r="E678" s="1">
        <v>41681</v>
      </c>
      <c r="F678">
        <v>30944.859585411799</v>
      </c>
      <c r="G678" s="1">
        <v>41681</v>
      </c>
      <c r="H678">
        <v>1237.5</v>
      </c>
    </row>
    <row r="679" spans="1:8" x14ac:dyDescent="0.25">
      <c r="A679" s="1"/>
      <c r="C679" s="1"/>
      <c r="E679" s="1">
        <v>41682</v>
      </c>
      <c r="F679">
        <v>30960.827296860502</v>
      </c>
      <c r="G679" s="1">
        <v>41682</v>
      </c>
      <c r="H679">
        <v>1150</v>
      </c>
    </row>
    <row r="680" spans="1:8" x14ac:dyDescent="0.25">
      <c r="A680" s="1"/>
      <c r="C680" s="1"/>
      <c r="E680" s="1">
        <v>41683</v>
      </c>
      <c r="F680">
        <v>30940.962819702901</v>
      </c>
      <c r="G680" s="1">
        <v>41683</v>
      </c>
      <c r="H680">
        <v>1112.5</v>
      </c>
    </row>
    <row r="681" spans="1:8" x14ac:dyDescent="0.25">
      <c r="A681" s="1"/>
      <c r="C681" s="1"/>
      <c r="E681" s="1">
        <v>41684</v>
      </c>
      <c r="F681">
        <v>30771.066495545201</v>
      </c>
      <c r="G681" s="1">
        <v>41684</v>
      </c>
      <c r="H681">
        <v>1350</v>
      </c>
    </row>
    <row r="682" spans="1:8" x14ac:dyDescent="0.25">
      <c r="A682" s="1"/>
      <c r="C682" s="1"/>
      <c r="E682" s="1">
        <v>41688</v>
      </c>
      <c r="F682">
        <v>30377.708028443099</v>
      </c>
      <c r="G682" s="1">
        <v>41688</v>
      </c>
      <c r="H682">
        <v>1562.5</v>
      </c>
    </row>
    <row r="683" spans="1:8" x14ac:dyDescent="0.25">
      <c r="A683" s="1"/>
      <c r="C683" s="1"/>
      <c r="E683" s="1">
        <v>41689</v>
      </c>
      <c r="F683">
        <v>29877.3051163032</v>
      </c>
      <c r="G683" s="1">
        <v>41689</v>
      </c>
      <c r="H683">
        <v>1812.5</v>
      </c>
    </row>
    <row r="684" spans="1:8" x14ac:dyDescent="0.25">
      <c r="A684" s="1"/>
      <c r="C684" s="1"/>
      <c r="E684" s="1">
        <v>41690</v>
      </c>
      <c r="F684">
        <v>29621.4588295295</v>
      </c>
      <c r="G684" s="1">
        <v>41690</v>
      </c>
      <c r="H684">
        <v>1912.5</v>
      </c>
    </row>
    <row r="685" spans="1:8" x14ac:dyDescent="0.25">
      <c r="A685" s="1"/>
      <c r="C685" s="1"/>
      <c r="E685" s="1">
        <v>41691</v>
      </c>
      <c r="F685">
        <v>29701.652303345501</v>
      </c>
      <c r="G685" s="1">
        <v>41691</v>
      </c>
      <c r="H685">
        <v>1887.5</v>
      </c>
    </row>
    <row r="686" spans="1:8" x14ac:dyDescent="0.25">
      <c r="A686" s="1"/>
      <c r="C686" s="1"/>
      <c r="E686" s="1">
        <v>41694</v>
      </c>
      <c r="F686">
        <v>30331.773511536401</v>
      </c>
      <c r="G686" s="1">
        <v>41694</v>
      </c>
      <c r="H686">
        <v>1662.5</v>
      </c>
    </row>
    <row r="687" spans="1:8" x14ac:dyDescent="0.25">
      <c r="A687" s="1"/>
      <c r="C687" s="1"/>
      <c r="E687" s="1">
        <v>41695</v>
      </c>
      <c r="F687">
        <v>30169.1786629036</v>
      </c>
      <c r="G687" s="1">
        <v>41695</v>
      </c>
      <c r="H687">
        <v>1787.5</v>
      </c>
    </row>
    <row r="688" spans="1:8" x14ac:dyDescent="0.25">
      <c r="A688" s="1"/>
      <c r="C688" s="1"/>
      <c r="E688" s="1">
        <v>41696</v>
      </c>
      <c r="F688">
        <v>30024.195554383099</v>
      </c>
      <c r="G688" s="1">
        <v>41696</v>
      </c>
      <c r="H688">
        <v>2037.5</v>
      </c>
    </row>
    <row r="689" spans="1:8" x14ac:dyDescent="0.25">
      <c r="A689" s="1"/>
      <c r="C689" s="1"/>
      <c r="E689" s="1">
        <v>41697</v>
      </c>
      <c r="F689">
        <v>30462.401059754098</v>
      </c>
      <c r="G689" s="1">
        <v>41697</v>
      </c>
      <c r="H689">
        <v>1687.5</v>
      </c>
    </row>
    <row r="690" spans="1:8" x14ac:dyDescent="0.25">
      <c r="A690" s="1"/>
      <c r="C690" s="1"/>
      <c r="E690" s="1">
        <v>41698</v>
      </c>
      <c r="F690">
        <v>30217.326703675</v>
      </c>
      <c r="G690" s="1">
        <v>41698</v>
      </c>
      <c r="H690">
        <v>2025</v>
      </c>
    </row>
    <row r="691" spans="1:8" x14ac:dyDescent="0.25">
      <c r="A691" s="1"/>
      <c r="C691" s="1"/>
      <c r="E691" s="1">
        <v>41701</v>
      </c>
      <c r="F691">
        <v>30220.720403321</v>
      </c>
      <c r="G691" s="1">
        <v>41701</v>
      </c>
      <c r="H691">
        <v>2162.5</v>
      </c>
    </row>
    <row r="692" spans="1:8" x14ac:dyDescent="0.25">
      <c r="A692" s="1"/>
      <c r="C692" s="1"/>
      <c r="E692" s="1">
        <v>41702</v>
      </c>
      <c r="F692">
        <v>29036.164937622802</v>
      </c>
      <c r="G692" s="1">
        <v>41702</v>
      </c>
      <c r="H692">
        <v>2800</v>
      </c>
    </row>
    <row r="693" spans="1:8" x14ac:dyDescent="0.25">
      <c r="A693" s="1"/>
      <c r="C693" s="1"/>
      <c r="E693" s="1">
        <v>41703</v>
      </c>
      <c r="F693">
        <v>29005.820718415001</v>
      </c>
      <c r="G693" s="1">
        <v>41703</v>
      </c>
      <c r="H693">
        <v>2850</v>
      </c>
    </row>
    <row r="694" spans="1:8" x14ac:dyDescent="0.25">
      <c r="A694" s="1"/>
      <c r="C694" s="1"/>
      <c r="E694" s="1">
        <v>41704</v>
      </c>
      <c r="F694">
        <v>28430.641793854498</v>
      </c>
      <c r="G694" s="1">
        <v>41704</v>
      </c>
      <c r="H694">
        <v>3512.5</v>
      </c>
    </row>
    <row r="695" spans="1:8" x14ac:dyDescent="0.25">
      <c r="A695" s="1"/>
      <c r="C695" s="1"/>
      <c r="E695" s="1">
        <v>41705</v>
      </c>
      <c r="F695">
        <v>28446.400128968002</v>
      </c>
      <c r="G695" s="1">
        <v>41705</v>
      </c>
      <c r="H695">
        <v>3275</v>
      </c>
    </row>
    <row r="696" spans="1:8" x14ac:dyDescent="0.25">
      <c r="A696" s="1"/>
      <c r="C696" s="1"/>
      <c r="E696" s="1">
        <v>41708</v>
      </c>
      <c r="F696">
        <v>29472.533612854699</v>
      </c>
      <c r="G696" s="1">
        <v>41708</v>
      </c>
      <c r="H696">
        <v>2775</v>
      </c>
    </row>
    <row r="697" spans="1:8" x14ac:dyDescent="0.25">
      <c r="A697" s="1"/>
      <c r="C697" s="1"/>
      <c r="E697" s="1">
        <v>41709</v>
      </c>
      <c r="F697">
        <v>29240.652623779999</v>
      </c>
      <c r="G697" s="1">
        <v>41709</v>
      </c>
      <c r="H697">
        <v>3025</v>
      </c>
    </row>
    <row r="698" spans="1:8" x14ac:dyDescent="0.25">
      <c r="A698" s="1"/>
      <c r="C698" s="1"/>
      <c r="E698" s="1">
        <v>41710</v>
      </c>
      <c r="F698">
        <v>29234.652623779999</v>
      </c>
      <c r="G698" s="1">
        <v>41710</v>
      </c>
      <c r="H698">
        <v>3350</v>
      </c>
    </row>
    <row r="699" spans="1:8" x14ac:dyDescent="0.25">
      <c r="A699" s="1"/>
      <c r="C699" s="1"/>
      <c r="E699" s="1">
        <v>41711</v>
      </c>
      <c r="F699">
        <v>29253.126786835401</v>
      </c>
      <c r="G699" s="1">
        <v>41711</v>
      </c>
      <c r="H699">
        <v>3312.5</v>
      </c>
    </row>
    <row r="700" spans="1:8" x14ac:dyDescent="0.25">
      <c r="A700" s="1"/>
      <c r="C700" s="1"/>
      <c r="E700" s="1">
        <v>41712</v>
      </c>
      <c r="F700">
        <v>29439.066791184199</v>
      </c>
      <c r="G700" s="1">
        <v>41712</v>
      </c>
      <c r="H700">
        <v>3112.5</v>
      </c>
    </row>
    <row r="701" spans="1:8" x14ac:dyDescent="0.25">
      <c r="A701" s="1"/>
      <c r="C701" s="1"/>
      <c r="E701" s="1">
        <v>41715</v>
      </c>
      <c r="F701">
        <v>29500.989211685901</v>
      </c>
      <c r="G701" s="1">
        <v>41715</v>
      </c>
      <c r="H701">
        <v>3012.5</v>
      </c>
    </row>
    <row r="702" spans="1:8" x14ac:dyDescent="0.25">
      <c r="A702" s="1"/>
      <c r="C702" s="1"/>
      <c r="E702" s="1">
        <v>41716</v>
      </c>
      <c r="F702">
        <v>29198.123061783601</v>
      </c>
      <c r="G702" s="1">
        <v>41716</v>
      </c>
      <c r="H702">
        <v>3325</v>
      </c>
    </row>
    <row r="703" spans="1:8" x14ac:dyDescent="0.25">
      <c r="A703" s="1"/>
      <c r="C703" s="1"/>
      <c r="E703" s="1">
        <v>41717</v>
      </c>
      <c r="F703">
        <v>29139.143367417098</v>
      </c>
      <c r="G703" s="1">
        <v>41717</v>
      </c>
      <c r="H703">
        <v>3487.5</v>
      </c>
    </row>
    <row r="704" spans="1:8" x14ac:dyDescent="0.25">
      <c r="A704" s="1"/>
      <c r="C704" s="1"/>
      <c r="E704" s="1">
        <v>41718</v>
      </c>
      <c r="F704">
        <v>29599.540370590901</v>
      </c>
      <c r="G704" s="1">
        <v>41718</v>
      </c>
      <c r="H704">
        <v>2937.5</v>
      </c>
    </row>
    <row r="705" spans="1:8" x14ac:dyDescent="0.25">
      <c r="A705" s="1"/>
      <c r="C705" s="1"/>
      <c r="E705" s="1">
        <v>41719</v>
      </c>
      <c r="F705">
        <v>29584.5935736969</v>
      </c>
      <c r="G705" s="1">
        <v>41719</v>
      </c>
      <c r="H705">
        <v>3012.5</v>
      </c>
    </row>
    <row r="706" spans="1:8" x14ac:dyDescent="0.25">
      <c r="A706" s="1"/>
      <c r="C706" s="1"/>
      <c r="E706" s="1">
        <v>41722</v>
      </c>
      <c r="F706">
        <v>29247.958869106998</v>
      </c>
      <c r="G706" s="1">
        <v>41722</v>
      </c>
      <c r="H706">
        <v>3437.5</v>
      </c>
    </row>
    <row r="707" spans="1:8" x14ac:dyDescent="0.25">
      <c r="A707" s="1"/>
      <c r="C707" s="1"/>
      <c r="E707" s="1">
        <v>41723</v>
      </c>
      <c r="F707">
        <v>29280.3106299713</v>
      </c>
      <c r="G707" s="1">
        <v>41723</v>
      </c>
      <c r="H707">
        <v>3287.5</v>
      </c>
    </row>
    <row r="708" spans="1:8" x14ac:dyDescent="0.25">
      <c r="A708" s="1"/>
      <c r="C708" s="1"/>
      <c r="E708" s="1">
        <v>41724</v>
      </c>
      <c r="F708">
        <v>29393.869197018401</v>
      </c>
      <c r="G708" s="1">
        <v>41724</v>
      </c>
      <c r="H708">
        <v>3175</v>
      </c>
    </row>
    <row r="709" spans="1:8" x14ac:dyDescent="0.25">
      <c r="A709" s="1"/>
      <c r="C709" s="1"/>
      <c r="E709" s="1">
        <v>41725</v>
      </c>
      <c r="F709">
        <v>28661.646235592601</v>
      </c>
      <c r="G709" s="1">
        <v>41725</v>
      </c>
      <c r="H709">
        <v>3575</v>
      </c>
    </row>
    <row r="710" spans="1:8" x14ac:dyDescent="0.25">
      <c r="A710" s="1"/>
      <c r="C710" s="1"/>
      <c r="E710" s="1">
        <v>41726</v>
      </c>
      <c r="F710">
        <v>28468.38933862</v>
      </c>
      <c r="G710" s="1">
        <v>41726</v>
      </c>
      <c r="H710">
        <v>3675</v>
      </c>
    </row>
    <row r="711" spans="1:8" x14ac:dyDescent="0.25">
      <c r="A711" s="1"/>
      <c r="C711" s="1"/>
      <c r="E711" s="1">
        <v>41729</v>
      </c>
      <c r="F711">
        <v>27891.9273635223</v>
      </c>
      <c r="G711" s="1">
        <v>41729</v>
      </c>
      <c r="H711">
        <v>4050</v>
      </c>
    </row>
    <row r="712" spans="1:8" x14ac:dyDescent="0.25">
      <c r="A712" s="1"/>
      <c r="C712" s="1"/>
      <c r="E712" s="1">
        <v>41730</v>
      </c>
      <c r="F712">
        <v>27475.2630263641</v>
      </c>
      <c r="G712" s="1">
        <v>41730</v>
      </c>
      <c r="H712">
        <v>4387.5</v>
      </c>
    </row>
    <row r="713" spans="1:8" x14ac:dyDescent="0.25">
      <c r="A713" s="1"/>
      <c r="C713" s="1"/>
      <c r="E713" s="1">
        <v>41731</v>
      </c>
      <c r="F713">
        <v>28084.268000729298</v>
      </c>
      <c r="G713" s="1">
        <v>41731</v>
      </c>
      <c r="H713">
        <v>3712.5</v>
      </c>
    </row>
    <row r="714" spans="1:8" x14ac:dyDescent="0.25">
      <c r="A714" s="1"/>
      <c r="C714" s="1"/>
      <c r="E714" s="1">
        <v>41732</v>
      </c>
      <c r="F714">
        <v>27932.669703610201</v>
      </c>
      <c r="G714" s="1">
        <v>41732</v>
      </c>
      <c r="H714">
        <v>3850</v>
      </c>
    </row>
    <row r="715" spans="1:8" x14ac:dyDescent="0.25">
      <c r="A715" s="1"/>
      <c r="C715" s="1"/>
      <c r="E715" s="1">
        <v>41733</v>
      </c>
      <c r="F715">
        <v>27834.189265377801</v>
      </c>
      <c r="G715" s="1">
        <v>41733</v>
      </c>
      <c r="H715">
        <v>3962.5</v>
      </c>
    </row>
    <row r="716" spans="1:8" x14ac:dyDescent="0.25">
      <c r="A716" s="1"/>
      <c r="C716" s="1"/>
      <c r="E716" s="1">
        <v>41736</v>
      </c>
      <c r="F716">
        <v>27778.8459464386</v>
      </c>
      <c r="G716" s="1">
        <v>41736</v>
      </c>
      <c r="H716">
        <v>3900</v>
      </c>
    </row>
    <row r="717" spans="1:8" x14ac:dyDescent="0.25">
      <c r="A717" s="1"/>
      <c r="C717" s="1"/>
      <c r="E717" s="1">
        <v>41737</v>
      </c>
      <c r="F717">
        <v>27278.9276419952</v>
      </c>
      <c r="G717" s="1">
        <v>41737</v>
      </c>
      <c r="H717">
        <v>4337.5</v>
      </c>
    </row>
    <row r="718" spans="1:8" x14ac:dyDescent="0.25">
      <c r="A718" s="1"/>
      <c r="C718" s="1"/>
      <c r="E718" s="1">
        <v>41738</v>
      </c>
      <c r="F718">
        <v>27314.0005656555</v>
      </c>
      <c r="G718" s="1">
        <v>41738</v>
      </c>
      <c r="H718">
        <v>4212.5</v>
      </c>
    </row>
    <row r="719" spans="1:8" x14ac:dyDescent="0.25">
      <c r="A719" s="1"/>
      <c r="C719" s="1"/>
      <c r="E719" s="1">
        <v>41739</v>
      </c>
      <c r="F719">
        <v>27440.913397915599</v>
      </c>
      <c r="G719" s="1">
        <v>41739</v>
      </c>
      <c r="H719">
        <v>4112.5</v>
      </c>
    </row>
    <row r="720" spans="1:8" x14ac:dyDescent="0.25">
      <c r="A720" s="1"/>
      <c r="C720" s="1"/>
      <c r="E720" s="1">
        <v>41740</v>
      </c>
      <c r="F720">
        <v>27644.9836570099</v>
      </c>
      <c r="G720" s="1">
        <v>41740</v>
      </c>
      <c r="H720">
        <v>3950</v>
      </c>
    </row>
    <row r="721" spans="1:8" x14ac:dyDescent="0.25">
      <c r="A721" s="1"/>
      <c r="C721" s="1"/>
      <c r="E721" s="1">
        <v>41743</v>
      </c>
      <c r="F721">
        <v>27132.640730984502</v>
      </c>
      <c r="G721" s="1">
        <v>41743</v>
      </c>
      <c r="H721">
        <v>4200</v>
      </c>
    </row>
    <row r="722" spans="1:8" x14ac:dyDescent="0.25">
      <c r="A722" s="1"/>
      <c r="C722" s="1"/>
      <c r="E722" s="1">
        <v>41744</v>
      </c>
      <c r="F722">
        <v>27146.468449719199</v>
      </c>
      <c r="G722" s="1">
        <v>41744</v>
      </c>
      <c r="H722">
        <v>4137.5</v>
      </c>
    </row>
    <row r="723" spans="1:8" x14ac:dyDescent="0.25">
      <c r="A723" s="1"/>
      <c r="C723" s="1"/>
      <c r="E723" s="1">
        <v>41745</v>
      </c>
      <c r="F723">
        <v>27675.607380993599</v>
      </c>
      <c r="G723" s="1">
        <v>41745</v>
      </c>
      <c r="H723">
        <v>3825</v>
      </c>
    </row>
    <row r="724" spans="1:8" x14ac:dyDescent="0.25">
      <c r="A724" s="1"/>
      <c r="C724" s="1"/>
      <c r="E724" s="1">
        <v>41746</v>
      </c>
      <c r="F724">
        <v>27808.225239880299</v>
      </c>
      <c r="G724" s="1">
        <v>41746</v>
      </c>
      <c r="H724">
        <v>3675</v>
      </c>
    </row>
    <row r="725" spans="1:8" x14ac:dyDescent="0.25">
      <c r="A725" s="1"/>
      <c r="C725" s="1"/>
      <c r="E725" s="1">
        <v>41747</v>
      </c>
      <c r="F725">
        <v>27722.443448193299</v>
      </c>
      <c r="G725" s="1">
        <v>41747</v>
      </c>
      <c r="H725">
        <v>3737.5</v>
      </c>
    </row>
    <row r="726" spans="1:8" x14ac:dyDescent="0.25">
      <c r="A726" s="1"/>
      <c r="C726" s="1"/>
      <c r="E726" s="1">
        <v>41750</v>
      </c>
      <c r="F726">
        <v>27301.394284375001</v>
      </c>
      <c r="G726" s="1">
        <v>41750</v>
      </c>
      <c r="H726">
        <v>3362.5</v>
      </c>
    </row>
    <row r="727" spans="1:8" x14ac:dyDescent="0.25">
      <c r="A727" s="1"/>
      <c r="C727" s="1"/>
      <c r="E727" s="1">
        <v>41751</v>
      </c>
      <c r="F727">
        <v>27087.054806835898</v>
      </c>
      <c r="G727" s="1">
        <v>41751</v>
      </c>
      <c r="H727">
        <v>3900</v>
      </c>
    </row>
    <row r="728" spans="1:8" x14ac:dyDescent="0.25">
      <c r="A728" s="1"/>
      <c r="C728" s="1"/>
      <c r="E728" s="1">
        <v>41752</v>
      </c>
      <c r="F728">
        <v>27270.998746044901</v>
      </c>
      <c r="G728" s="1">
        <v>41752</v>
      </c>
      <c r="H728">
        <v>4125</v>
      </c>
    </row>
    <row r="729" spans="1:8" x14ac:dyDescent="0.25">
      <c r="A729" s="1"/>
      <c r="C729" s="1"/>
      <c r="E729" s="1">
        <v>41753</v>
      </c>
      <c r="F729">
        <v>27262.685998089601</v>
      </c>
      <c r="G729" s="1">
        <v>41753</v>
      </c>
      <c r="H729">
        <v>4062.5</v>
      </c>
    </row>
    <row r="730" spans="1:8" x14ac:dyDescent="0.25">
      <c r="A730" s="1"/>
      <c r="C730" s="1"/>
      <c r="E730" s="1">
        <v>41754</v>
      </c>
      <c r="F730">
        <v>27074.570794232099</v>
      </c>
      <c r="G730" s="1">
        <v>41754</v>
      </c>
      <c r="H730">
        <v>4350</v>
      </c>
    </row>
    <row r="731" spans="1:8" x14ac:dyDescent="0.25">
      <c r="A731" s="1"/>
      <c r="C731" s="1"/>
      <c r="E731" s="1">
        <v>41757</v>
      </c>
      <c r="F731">
        <v>26992.114880688401</v>
      </c>
      <c r="G731" s="1">
        <v>41757</v>
      </c>
      <c r="H731">
        <v>4437.5</v>
      </c>
    </row>
    <row r="732" spans="1:8" x14ac:dyDescent="0.25">
      <c r="A732" s="1"/>
      <c r="C732" s="1"/>
      <c r="E732" s="1">
        <v>41758</v>
      </c>
      <c r="F732">
        <v>26829.854367382799</v>
      </c>
      <c r="G732" s="1">
        <v>41758</v>
      </c>
      <c r="H732">
        <v>4712.5</v>
      </c>
    </row>
    <row r="733" spans="1:8" x14ac:dyDescent="0.25">
      <c r="A733" s="1"/>
      <c r="C733" s="1"/>
      <c r="E733" s="1">
        <v>41759</v>
      </c>
      <c r="F733">
        <v>26869.966622479202</v>
      </c>
      <c r="G733" s="1">
        <v>41759</v>
      </c>
      <c r="H733">
        <v>4650</v>
      </c>
    </row>
    <row r="734" spans="1:8" x14ac:dyDescent="0.25">
      <c r="A734" s="1"/>
      <c r="C734" s="1"/>
      <c r="E734" s="1">
        <v>41760</v>
      </c>
      <c r="F734">
        <v>27471.819756634501</v>
      </c>
      <c r="G734" s="1">
        <v>41760</v>
      </c>
      <c r="H734">
        <v>4175</v>
      </c>
    </row>
    <row r="735" spans="1:8" x14ac:dyDescent="0.25">
      <c r="A735" s="1"/>
      <c r="C735" s="1"/>
      <c r="E735" s="1">
        <v>41761</v>
      </c>
      <c r="F735">
        <v>27468.805215008499</v>
      </c>
      <c r="G735" s="1">
        <v>41761</v>
      </c>
      <c r="H735">
        <v>3637.5</v>
      </c>
    </row>
    <row r="736" spans="1:8" x14ac:dyDescent="0.25">
      <c r="A736" s="1"/>
      <c r="C736" s="1"/>
      <c r="E736" s="1">
        <v>41764</v>
      </c>
      <c r="F736">
        <v>27645.898537762401</v>
      </c>
      <c r="G736" s="1">
        <v>41764</v>
      </c>
      <c r="H736">
        <v>4175</v>
      </c>
    </row>
    <row r="737" spans="1:8" x14ac:dyDescent="0.25">
      <c r="A737" s="1"/>
      <c r="C737" s="1"/>
      <c r="E737" s="1">
        <v>41765</v>
      </c>
      <c r="F737">
        <v>28145.7988673523</v>
      </c>
      <c r="G737" s="1">
        <v>41765</v>
      </c>
      <c r="H737">
        <v>4662.5</v>
      </c>
    </row>
    <row r="738" spans="1:8" x14ac:dyDescent="0.25">
      <c r="A738" s="1"/>
      <c r="C738" s="1"/>
      <c r="E738" s="1">
        <v>41766</v>
      </c>
      <c r="F738">
        <v>27972.187768109099</v>
      </c>
      <c r="G738" s="1">
        <v>41766</v>
      </c>
      <c r="H738">
        <v>4362.5</v>
      </c>
    </row>
    <row r="739" spans="1:8" x14ac:dyDescent="0.25">
      <c r="A739" s="1"/>
      <c r="C739" s="1"/>
      <c r="E739" s="1">
        <v>41767</v>
      </c>
      <c r="F739">
        <v>27660.907479412799</v>
      </c>
      <c r="G739" s="1">
        <v>41767</v>
      </c>
      <c r="H739">
        <v>4662.5</v>
      </c>
    </row>
    <row r="740" spans="1:8" x14ac:dyDescent="0.25">
      <c r="A740" s="1"/>
      <c r="C740" s="1"/>
      <c r="E740" s="1">
        <v>41768</v>
      </c>
      <c r="F740">
        <v>27774.450371868901</v>
      </c>
      <c r="G740" s="1">
        <v>41768</v>
      </c>
      <c r="H740">
        <v>4337.5</v>
      </c>
    </row>
    <row r="741" spans="1:8" x14ac:dyDescent="0.25">
      <c r="A741" s="1"/>
      <c r="C741" s="1"/>
      <c r="E741" s="1">
        <v>41771</v>
      </c>
      <c r="F741">
        <v>28913.109765179401</v>
      </c>
      <c r="G741" s="1">
        <v>41771</v>
      </c>
      <c r="H741">
        <v>3887.5</v>
      </c>
    </row>
    <row r="742" spans="1:8" x14ac:dyDescent="0.25">
      <c r="A742" s="1"/>
      <c r="C742" s="1"/>
      <c r="E742" s="1">
        <v>41772</v>
      </c>
      <c r="F742">
        <v>28770.1375590637</v>
      </c>
      <c r="G742" s="1">
        <v>41772</v>
      </c>
      <c r="H742">
        <v>3987.5</v>
      </c>
    </row>
    <row r="743" spans="1:8" x14ac:dyDescent="0.25">
      <c r="A743" s="1"/>
      <c r="C743" s="1"/>
      <c r="E743" s="1">
        <v>41773</v>
      </c>
      <c r="F743">
        <v>28884.075623638899</v>
      </c>
      <c r="G743" s="1">
        <v>41773</v>
      </c>
      <c r="H743">
        <v>3725</v>
      </c>
    </row>
    <row r="744" spans="1:8" x14ac:dyDescent="0.25">
      <c r="A744" s="1"/>
      <c r="C744" s="1"/>
      <c r="E744" s="1">
        <v>41774</v>
      </c>
      <c r="F744">
        <v>31339.156296856701</v>
      </c>
      <c r="G744" s="1">
        <v>41774</v>
      </c>
      <c r="H744">
        <v>3125</v>
      </c>
    </row>
    <row r="745" spans="1:8" x14ac:dyDescent="0.25">
      <c r="A745" s="1"/>
      <c r="C745" s="1"/>
      <c r="E745" s="1">
        <v>41775</v>
      </c>
      <c r="F745">
        <v>31430.078561909399</v>
      </c>
      <c r="G745" s="1">
        <v>41775</v>
      </c>
      <c r="H745">
        <v>3025</v>
      </c>
    </row>
    <row r="746" spans="1:8" x14ac:dyDescent="0.25">
      <c r="A746" s="1"/>
      <c r="C746" s="1"/>
      <c r="E746" s="1">
        <v>41778</v>
      </c>
      <c r="F746">
        <v>31674.6917630508</v>
      </c>
      <c r="G746" s="1">
        <v>41778</v>
      </c>
      <c r="H746">
        <v>2775</v>
      </c>
    </row>
    <row r="747" spans="1:8" x14ac:dyDescent="0.25">
      <c r="A747" s="1"/>
      <c r="C747" s="1"/>
      <c r="E747" s="1">
        <v>41779</v>
      </c>
      <c r="F747">
        <v>31755.2181514576</v>
      </c>
      <c r="G747" s="1">
        <v>41779</v>
      </c>
      <c r="H747">
        <v>2625</v>
      </c>
    </row>
    <row r="748" spans="1:8" x14ac:dyDescent="0.25">
      <c r="A748" s="1"/>
      <c r="C748" s="1"/>
      <c r="E748" s="1">
        <v>41780</v>
      </c>
      <c r="F748">
        <v>31713.916553862298</v>
      </c>
      <c r="G748" s="1">
        <v>41780</v>
      </c>
      <c r="H748">
        <v>2637.5</v>
      </c>
    </row>
    <row r="749" spans="1:8" x14ac:dyDescent="0.25">
      <c r="A749" s="1"/>
      <c r="C749" s="1"/>
      <c r="E749" s="1">
        <v>41781</v>
      </c>
      <c r="F749">
        <v>31693.9954360798</v>
      </c>
      <c r="G749" s="1">
        <v>41781</v>
      </c>
      <c r="H749">
        <v>2700</v>
      </c>
    </row>
    <row r="750" spans="1:8" x14ac:dyDescent="0.25">
      <c r="A750" s="1"/>
      <c r="C750" s="1"/>
      <c r="E750" s="1">
        <v>41782</v>
      </c>
      <c r="F750">
        <v>31703.657671339799</v>
      </c>
      <c r="G750" s="1">
        <v>41782</v>
      </c>
      <c r="H750">
        <v>2787.5</v>
      </c>
    </row>
    <row r="751" spans="1:8" x14ac:dyDescent="0.25">
      <c r="A751" s="1"/>
      <c r="C751" s="1"/>
      <c r="E751" s="1">
        <v>41786</v>
      </c>
      <c r="F751">
        <v>31465.499605543901</v>
      </c>
      <c r="G751" s="1">
        <v>41786</v>
      </c>
      <c r="H751">
        <v>2437.5</v>
      </c>
    </row>
    <row r="752" spans="1:8" x14ac:dyDescent="0.25">
      <c r="A752" s="1"/>
      <c r="C752" s="1"/>
      <c r="E752" s="1">
        <v>41787</v>
      </c>
      <c r="F752">
        <v>31413.691488631001</v>
      </c>
      <c r="G752" s="1">
        <v>41787</v>
      </c>
      <c r="H752">
        <v>2512.5</v>
      </c>
    </row>
    <row r="753" spans="1:8" x14ac:dyDescent="0.25">
      <c r="A753" s="1"/>
      <c r="C753" s="1"/>
      <c r="E753" s="1">
        <v>41788</v>
      </c>
      <c r="F753">
        <v>31479.536322004999</v>
      </c>
      <c r="G753" s="1">
        <v>41788</v>
      </c>
      <c r="H753">
        <v>2350</v>
      </c>
    </row>
    <row r="754" spans="1:8" x14ac:dyDescent="0.25">
      <c r="A754" s="1"/>
      <c r="C754" s="1"/>
      <c r="E754" s="1">
        <v>41789</v>
      </c>
      <c r="F754">
        <v>31598.3741477802</v>
      </c>
      <c r="G754" s="1">
        <v>41789</v>
      </c>
      <c r="H754">
        <v>2262.5</v>
      </c>
    </row>
    <row r="755" spans="1:8" x14ac:dyDescent="0.25">
      <c r="A755" s="1"/>
      <c r="C755" s="1"/>
      <c r="E755" s="1">
        <v>41792</v>
      </c>
      <c r="F755">
        <v>31610.276643164401</v>
      </c>
      <c r="G755" s="1">
        <v>41792</v>
      </c>
      <c r="H755">
        <v>2262.5</v>
      </c>
    </row>
    <row r="756" spans="1:8" x14ac:dyDescent="0.25">
      <c r="A756" s="1"/>
      <c r="C756" s="1"/>
      <c r="E756" s="1">
        <v>41793</v>
      </c>
      <c r="F756">
        <v>32136.882417090201</v>
      </c>
      <c r="G756" s="1">
        <v>41793</v>
      </c>
      <c r="H756">
        <v>1787.5</v>
      </c>
    </row>
    <row r="757" spans="1:8" x14ac:dyDescent="0.25">
      <c r="A757" s="1"/>
      <c r="C757" s="1"/>
      <c r="E757" s="1">
        <v>41794</v>
      </c>
      <c r="F757">
        <v>32158.645767576902</v>
      </c>
      <c r="G757" s="1">
        <v>41794</v>
      </c>
      <c r="H757">
        <v>1737.5</v>
      </c>
    </row>
    <row r="758" spans="1:8" x14ac:dyDescent="0.25">
      <c r="A758" s="1"/>
      <c r="C758" s="1"/>
      <c r="E758" s="1">
        <v>41795</v>
      </c>
      <c r="F758">
        <v>32337.683319456799</v>
      </c>
      <c r="G758" s="1">
        <v>41795</v>
      </c>
      <c r="H758">
        <v>1437.5</v>
      </c>
    </row>
    <row r="759" spans="1:8" x14ac:dyDescent="0.25">
      <c r="A759" s="1"/>
      <c r="C759" s="1"/>
      <c r="E759" s="1">
        <v>41796</v>
      </c>
      <c r="F759">
        <v>32177.266312010499</v>
      </c>
      <c r="G759" s="1">
        <v>41796</v>
      </c>
      <c r="H759">
        <v>1762.5</v>
      </c>
    </row>
    <row r="760" spans="1:8" x14ac:dyDescent="0.25">
      <c r="A760" s="1"/>
      <c r="C760" s="1"/>
      <c r="E760" s="1">
        <v>41799</v>
      </c>
      <c r="F760">
        <v>32446.358200438299</v>
      </c>
      <c r="G760" s="1">
        <v>41799</v>
      </c>
      <c r="H760">
        <v>1287.5</v>
      </c>
    </row>
    <row r="761" spans="1:8" x14ac:dyDescent="0.25">
      <c r="A761" s="1"/>
      <c r="C761" s="1"/>
      <c r="E761" s="1">
        <v>41800</v>
      </c>
      <c r="F761">
        <v>32454.325744040299</v>
      </c>
      <c r="G761" s="1">
        <v>41800</v>
      </c>
      <c r="H761">
        <v>1237.5</v>
      </c>
    </row>
    <row r="762" spans="1:8" x14ac:dyDescent="0.25">
      <c r="A762" s="1"/>
      <c r="C762" s="1"/>
      <c r="E762" s="1">
        <v>41801</v>
      </c>
      <c r="F762">
        <v>32608.321044333199</v>
      </c>
      <c r="G762" s="1">
        <v>41801</v>
      </c>
      <c r="H762">
        <v>925</v>
      </c>
    </row>
    <row r="763" spans="1:8" x14ac:dyDescent="0.25">
      <c r="A763" s="1"/>
      <c r="C763" s="1"/>
      <c r="E763" s="1">
        <v>41802</v>
      </c>
      <c r="F763">
        <v>32601.574541933802</v>
      </c>
      <c r="G763" s="1">
        <v>41802</v>
      </c>
      <c r="H763">
        <v>1037.5</v>
      </c>
    </row>
    <row r="764" spans="1:8" x14ac:dyDescent="0.25">
      <c r="A764" s="1"/>
      <c r="C764" s="1"/>
      <c r="E764" s="1">
        <v>41803</v>
      </c>
      <c r="F764">
        <v>32580.384668238399</v>
      </c>
      <c r="G764" s="1">
        <v>41803</v>
      </c>
      <c r="H764">
        <v>1162.5</v>
      </c>
    </row>
    <row r="765" spans="1:8" x14ac:dyDescent="0.25">
      <c r="A765" s="1"/>
      <c r="C765" s="1"/>
      <c r="E765" s="1">
        <v>41806</v>
      </c>
      <c r="F765">
        <v>32732.633132822801</v>
      </c>
      <c r="G765" s="1">
        <v>41806</v>
      </c>
      <c r="H765">
        <v>987.5</v>
      </c>
    </row>
    <row r="766" spans="1:8" x14ac:dyDescent="0.25">
      <c r="A766" s="1"/>
      <c r="C766" s="1"/>
      <c r="E766" s="1">
        <v>41807</v>
      </c>
      <c r="F766">
        <v>32765.443066485201</v>
      </c>
      <c r="G766" s="1">
        <v>41807</v>
      </c>
      <c r="H766">
        <v>862.5</v>
      </c>
    </row>
    <row r="767" spans="1:8" x14ac:dyDescent="0.25">
      <c r="A767" s="1"/>
      <c r="C767" s="1"/>
      <c r="E767" s="1">
        <v>41808</v>
      </c>
      <c r="F767">
        <v>32842.127612002099</v>
      </c>
      <c r="G767" s="1">
        <v>41808</v>
      </c>
      <c r="H767">
        <v>1037.5</v>
      </c>
    </row>
    <row r="768" spans="1:8" x14ac:dyDescent="0.25">
      <c r="A768" s="1"/>
      <c r="C768" s="1"/>
      <c r="E768" s="1">
        <v>41809</v>
      </c>
      <c r="F768">
        <v>32817.592104800002</v>
      </c>
      <c r="G768" s="1">
        <v>41809</v>
      </c>
      <c r="H768">
        <v>1412.5</v>
      </c>
    </row>
    <row r="769" spans="1:8" x14ac:dyDescent="0.25">
      <c r="A769" s="1"/>
      <c r="C769" s="1"/>
      <c r="E769" s="1">
        <v>41810</v>
      </c>
      <c r="F769">
        <v>32386.974200136901</v>
      </c>
      <c r="G769" s="1">
        <v>41810</v>
      </c>
      <c r="H769">
        <v>1525</v>
      </c>
    </row>
    <row r="770" spans="1:8" x14ac:dyDescent="0.25">
      <c r="A770" s="1"/>
      <c r="C770" s="1"/>
      <c r="E770" s="1">
        <v>41813</v>
      </c>
      <c r="F770">
        <v>32568.260744936699</v>
      </c>
      <c r="G770" s="1">
        <v>41813</v>
      </c>
      <c r="H770">
        <v>1187.5</v>
      </c>
    </row>
    <row r="771" spans="1:8" x14ac:dyDescent="0.25">
      <c r="A771" s="1"/>
      <c r="C771" s="1"/>
      <c r="E771" s="1">
        <v>41814</v>
      </c>
      <c r="F771">
        <v>32661.651041872799</v>
      </c>
      <c r="G771" s="1">
        <v>41814</v>
      </c>
      <c r="H771">
        <v>1050</v>
      </c>
    </row>
    <row r="772" spans="1:8" x14ac:dyDescent="0.25">
      <c r="A772" s="1"/>
      <c r="C772" s="1"/>
      <c r="E772" s="1">
        <v>41815</v>
      </c>
      <c r="F772">
        <v>32658.430564768601</v>
      </c>
      <c r="G772" s="1">
        <v>41815</v>
      </c>
      <c r="H772">
        <v>937.5</v>
      </c>
    </row>
    <row r="773" spans="1:8" x14ac:dyDescent="0.25">
      <c r="A773" s="1"/>
      <c r="C773" s="1"/>
      <c r="E773" s="1">
        <v>41816</v>
      </c>
      <c r="F773">
        <v>32789.129707224602</v>
      </c>
      <c r="G773" s="1">
        <v>41816</v>
      </c>
      <c r="H773">
        <v>1150</v>
      </c>
    </row>
    <row r="774" spans="1:8" x14ac:dyDescent="0.25">
      <c r="A774" s="1"/>
      <c r="C774" s="1"/>
      <c r="E774" s="1">
        <v>41817</v>
      </c>
      <c r="F774">
        <v>32818.913679964797</v>
      </c>
      <c r="G774" s="1">
        <v>41817</v>
      </c>
      <c r="H774">
        <v>987.5</v>
      </c>
    </row>
    <row r="775" spans="1:8" x14ac:dyDescent="0.25">
      <c r="A775" s="1"/>
      <c r="C775" s="1"/>
      <c r="E775" s="1">
        <v>41820</v>
      </c>
      <c r="F775">
        <v>31658.405257113202</v>
      </c>
      <c r="G775" s="1">
        <v>41820</v>
      </c>
      <c r="H775">
        <v>162.5</v>
      </c>
    </row>
    <row r="776" spans="1:8" x14ac:dyDescent="0.25">
      <c r="A776" s="1"/>
      <c r="C776" s="1"/>
      <c r="E776" s="1">
        <v>41821</v>
      </c>
      <c r="F776">
        <v>31718.7713459804</v>
      </c>
      <c r="G776" s="1">
        <v>41821</v>
      </c>
      <c r="H776">
        <v>0</v>
      </c>
    </row>
    <row r="777" spans="1:8" x14ac:dyDescent="0.25">
      <c r="A777" s="1"/>
      <c r="C777" s="1"/>
      <c r="E777" s="1">
        <v>41822</v>
      </c>
      <c r="F777">
        <v>31674.621008761202</v>
      </c>
      <c r="G777" s="1">
        <v>41822</v>
      </c>
      <c r="H777">
        <v>-175</v>
      </c>
    </row>
    <row r="778" spans="1:8" x14ac:dyDescent="0.25">
      <c r="A778" s="1"/>
      <c r="C778" s="1"/>
      <c r="E778" s="1">
        <v>41823</v>
      </c>
      <c r="F778">
        <v>31648.566847689399</v>
      </c>
      <c r="G778" s="1">
        <v>41823</v>
      </c>
      <c r="H778">
        <v>-225</v>
      </c>
    </row>
    <row r="779" spans="1:8" x14ac:dyDescent="0.25">
      <c r="A779" s="1"/>
      <c r="C779" s="1"/>
      <c r="E779" s="1">
        <v>41827</v>
      </c>
      <c r="F779">
        <v>31322.6296910122</v>
      </c>
      <c r="G779" s="1">
        <v>41827</v>
      </c>
      <c r="H779">
        <v>-625</v>
      </c>
    </row>
    <row r="780" spans="1:8" x14ac:dyDescent="0.25">
      <c r="A780" s="1"/>
      <c r="C780" s="1"/>
      <c r="E780" s="1">
        <v>41828</v>
      </c>
      <c r="F780">
        <v>31143.675156004701</v>
      </c>
      <c r="G780" s="1">
        <v>41828</v>
      </c>
      <c r="H780">
        <v>-650</v>
      </c>
    </row>
    <row r="781" spans="1:8" x14ac:dyDescent="0.25">
      <c r="A781" s="1"/>
      <c r="C781" s="1"/>
      <c r="E781" s="1">
        <v>41829</v>
      </c>
      <c r="F781">
        <v>30808.789673216601</v>
      </c>
      <c r="G781" s="1">
        <v>41829</v>
      </c>
      <c r="H781">
        <v>-862.5</v>
      </c>
    </row>
    <row r="782" spans="1:8" x14ac:dyDescent="0.25">
      <c r="A782" s="1"/>
      <c r="C782" s="1"/>
      <c r="E782" s="1">
        <v>41830</v>
      </c>
      <c r="F782">
        <v>30652.5694614723</v>
      </c>
      <c r="G782" s="1">
        <v>41830</v>
      </c>
      <c r="H782">
        <v>-1025</v>
      </c>
    </row>
    <row r="783" spans="1:8" x14ac:dyDescent="0.25">
      <c r="A783" s="1"/>
      <c r="C783" s="1"/>
      <c r="E783" s="1">
        <v>41831</v>
      </c>
      <c r="F783">
        <v>30599.383400089999</v>
      </c>
      <c r="G783" s="1">
        <v>41831</v>
      </c>
      <c r="H783">
        <v>-1325</v>
      </c>
    </row>
    <row r="784" spans="1:8" x14ac:dyDescent="0.25">
      <c r="A784" s="1"/>
      <c r="C784" s="1"/>
      <c r="E784" s="1">
        <v>41834</v>
      </c>
      <c r="F784">
        <v>30480.372419483901</v>
      </c>
      <c r="G784" s="1">
        <v>41834</v>
      </c>
      <c r="H784">
        <v>-950</v>
      </c>
    </row>
    <row r="785" spans="1:8" x14ac:dyDescent="0.25">
      <c r="A785" s="1"/>
      <c r="C785" s="1"/>
      <c r="E785" s="1">
        <v>41835</v>
      </c>
      <c r="F785">
        <v>30543.098712094099</v>
      </c>
      <c r="G785" s="1">
        <v>41835</v>
      </c>
      <c r="H785">
        <v>-1262.5</v>
      </c>
    </row>
    <row r="786" spans="1:8" x14ac:dyDescent="0.25">
      <c r="A786" s="1"/>
      <c r="C786" s="1"/>
      <c r="E786" s="1">
        <v>41836</v>
      </c>
      <c r="F786">
        <v>30538.833486683601</v>
      </c>
      <c r="G786" s="1">
        <v>41836</v>
      </c>
      <c r="H786">
        <v>-1200</v>
      </c>
    </row>
    <row r="787" spans="1:8" x14ac:dyDescent="0.25">
      <c r="A787" s="1"/>
      <c r="C787" s="1"/>
      <c r="E787" s="1">
        <v>41837</v>
      </c>
      <c r="F787">
        <v>30447.5144978836</v>
      </c>
      <c r="G787" s="1">
        <v>41837</v>
      </c>
      <c r="H787">
        <v>-1025</v>
      </c>
    </row>
    <row r="788" spans="1:8" x14ac:dyDescent="0.25">
      <c r="A788" s="1"/>
      <c r="C788" s="1"/>
      <c r="E788" s="1">
        <v>41838</v>
      </c>
      <c r="F788">
        <v>30582.4687228277</v>
      </c>
      <c r="G788" s="1">
        <v>41838</v>
      </c>
      <c r="H788">
        <v>-1400</v>
      </c>
    </row>
    <row r="789" spans="1:8" x14ac:dyDescent="0.25">
      <c r="A789" s="1"/>
      <c r="C789" s="1"/>
      <c r="E789" s="1">
        <v>41841</v>
      </c>
      <c r="F789">
        <v>30849.264510639001</v>
      </c>
      <c r="G789" s="1">
        <v>41841</v>
      </c>
      <c r="H789">
        <v>-1750</v>
      </c>
    </row>
    <row r="790" spans="1:8" x14ac:dyDescent="0.25">
      <c r="A790" s="1"/>
      <c r="C790" s="1"/>
      <c r="E790" s="1">
        <v>41842</v>
      </c>
      <c r="F790">
        <v>30930.409049518399</v>
      </c>
      <c r="G790" s="1">
        <v>41842</v>
      </c>
      <c r="H790">
        <v>-1950</v>
      </c>
    </row>
    <row r="791" spans="1:8" x14ac:dyDescent="0.25">
      <c r="A791" s="1"/>
      <c r="C791" s="1"/>
      <c r="E791" s="1">
        <v>41843</v>
      </c>
      <c r="F791">
        <v>30904.0178008154</v>
      </c>
      <c r="G791" s="1">
        <v>41843</v>
      </c>
      <c r="H791">
        <v>-1900</v>
      </c>
    </row>
    <row r="792" spans="1:8" x14ac:dyDescent="0.25">
      <c r="A792" s="1"/>
      <c r="C792" s="1"/>
      <c r="E792" s="1">
        <v>41844</v>
      </c>
      <c r="F792">
        <v>30931.6278166845</v>
      </c>
      <c r="G792" s="1">
        <v>41844</v>
      </c>
      <c r="H792">
        <v>-1975</v>
      </c>
    </row>
    <row r="793" spans="1:8" x14ac:dyDescent="0.25">
      <c r="A793" s="1"/>
      <c r="C793" s="1"/>
      <c r="E793" s="1">
        <v>41845</v>
      </c>
      <c r="F793">
        <v>30880.6620268896</v>
      </c>
      <c r="G793" s="1">
        <v>41845</v>
      </c>
      <c r="H793">
        <v>-1887.5</v>
      </c>
    </row>
    <row r="794" spans="1:8" x14ac:dyDescent="0.25">
      <c r="A794" s="1"/>
      <c r="C794" s="1"/>
      <c r="E794" s="1">
        <v>41848</v>
      </c>
      <c r="F794">
        <v>30679.969186313399</v>
      </c>
      <c r="G794" s="1">
        <v>41848</v>
      </c>
      <c r="H794">
        <v>-1600</v>
      </c>
    </row>
    <row r="795" spans="1:8" x14ac:dyDescent="0.25">
      <c r="A795" s="1"/>
      <c r="C795" s="1"/>
      <c r="E795" s="1">
        <v>41849</v>
      </c>
      <c r="F795">
        <v>31655.746606357301</v>
      </c>
      <c r="G795" s="1">
        <v>41849</v>
      </c>
      <c r="H795">
        <v>-1950</v>
      </c>
    </row>
    <row r="796" spans="1:8" x14ac:dyDescent="0.25">
      <c r="A796" s="1"/>
      <c r="C796" s="1"/>
      <c r="E796" s="1">
        <v>41850</v>
      </c>
      <c r="F796">
        <v>31790.211076267002</v>
      </c>
      <c r="G796" s="1">
        <v>41850</v>
      </c>
      <c r="H796">
        <v>-1975</v>
      </c>
    </row>
    <row r="797" spans="1:8" x14ac:dyDescent="0.25">
      <c r="A797" s="1"/>
      <c r="C797" s="1"/>
      <c r="E797" s="1">
        <v>41851</v>
      </c>
      <c r="F797">
        <v>31954.827729709399</v>
      </c>
      <c r="G797" s="1">
        <v>41851</v>
      </c>
      <c r="H797">
        <v>-2112.5</v>
      </c>
    </row>
    <row r="798" spans="1:8" x14ac:dyDescent="0.25">
      <c r="A798" s="1"/>
      <c r="C798" s="1"/>
      <c r="E798" s="1">
        <v>41852</v>
      </c>
      <c r="F798">
        <v>32086.3987898901</v>
      </c>
      <c r="G798" s="1">
        <v>41852</v>
      </c>
      <c r="H798">
        <v>-2300</v>
      </c>
    </row>
    <row r="799" spans="1:8" x14ac:dyDescent="0.25">
      <c r="A799" s="1"/>
      <c r="C799" s="1"/>
      <c r="E799" s="1">
        <v>41855</v>
      </c>
      <c r="F799">
        <v>31941.2463545873</v>
      </c>
      <c r="G799" s="1">
        <v>41855</v>
      </c>
      <c r="H799">
        <v>-2037.5</v>
      </c>
    </row>
    <row r="800" spans="1:8" x14ac:dyDescent="0.25">
      <c r="A800" s="1"/>
      <c r="C800" s="1"/>
      <c r="E800" s="1">
        <v>41856</v>
      </c>
      <c r="F800">
        <v>31908.655091769899</v>
      </c>
      <c r="G800" s="1">
        <v>41856</v>
      </c>
      <c r="H800">
        <v>-2262.5</v>
      </c>
    </row>
    <row r="801" spans="1:8" x14ac:dyDescent="0.25">
      <c r="A801" s="1"/>
      <c r="C801" s="1"/>
      <c r="E801" s="1">
        <v>41857</v>
      </c>
      <c r="F801">
        <v>31468.853913791401</v>
      </c>
      <c r="G801" s="1">
        <v>41857</v>
      </c>
      <c r="H801">
        <v>-1912.5</v>
      </c>
    </row>
    <row r="802" spans="1:8" x14ac:dyDescent="0.25">
      <c r="A802" s="1"/>
      <c r="C802" s="1"/>
      <c r="E802" s="1">
        <v>41858</v>
      </c>
      <c r="F802">
        <v>31843.5277113989</v>
      </c>
      <c r="G802" s="1">
        <v>41858</v>
      </c>
      <c r="H802">
        <v>-2112.5</v>
      </c>
    </row>
    <row r="803" spans="1:8" x14ac:dyDescent="0.25">
      <c r="A803" s="1"/>
      <c r="C803" s="1"/>
      <c r="E803" s="1">
        <v>41859</v>
      </c>
      <c r="F803">
        <v>32639.0364852026</v>
      </c>
      <c r="G803" s="1">
        <v>41859</v>
      </c>
      <c r="H803">
        <v>-2400</v>
      </c>
    </row>
    <row r="804" spans="1:8" x14ac:dyDescent="0.25">
      <c r="A804" s="1"/>
      <c r="C804" s="1"/>
      <c r="E804" s="1">
        <v>41862</v>
      </c>
      <c r="F804">
        <v>32583.634057529202</v>
      </c>
      <c r="G804" s="1">
        <v>41862</v>
      </c>
      <c r="H804">
        <v>-2225</v>
      </c>
    </row>
    <row r="805" spans="1:8" x14ac:dyDescent="0.25">
      <c r="A805" s="1"/>
      <c r="C805" s="1"/>
      <c r="E805" s="1">
        <v>41863</v>
      </c>
      <c r="F805">
        <v>32610.9512877538</v>
      </c>
      <c r="G805" s="1">
        <v>41863</v>
      </c>
      <c r="H805">
        <v>-2050</v>
      </c>
    </row>
    <row r="806" spans="1:8" x14ac:dyDescent="0.25">
      <c r="A806" s="1"/>
      <c r="C806" s="1"/>
      <c r="E806" s="1">
        <v>41864</v>
      </c>
      <c r="F806">
        <v>32608.772626407401</v>
      </c>
      <c r="G806" s="1">
        <v>41864</v>
      </c>
      <c r="H806">
        <v>-2087.5</v>
      </c>
    </row>
    <row r="807" spans="1:8" x14ac:dyDescent="0.25">
      <c r="A807" s="1"/>
      <c r="C807" s="1"/>
      <c r="E807" s="1">
        <v>41865</v>
      </c>
      <c r="F807">
        <v>32713.7768378332</v>
      </c>
      <c r="G807" s="1">
        <v>41865</v>
      </c>
      <c r="H807">
        <v>-1900</v>
      </c>
    </row>
    <row r="808" spans="1:8" x14ac:dyDescent="0.25">
      <c r="A808" s="1"/>
      <c r="C808" s="1"/>
      <c r="E808" s="1">
        <v>41866</v>
      </c>
      <c r="F808">
        <v>32651.288838870802</v>
      </c>
      <c r="G808" s="1">
        <v>41866</v>
      </c>
      <c r="H808">
        <v>-1712.5</v>
      </c>
    </row>
    <row r="809" spans="1:8" x14ac:dyDescent="0.25">
      <c r="A809" s="1"/>
      <c r="C809" s="1"/>
      <c r="E809" s="1">
        <v>41869</v>
      </c>
      <c r="F809">
        <v>33180.398953921998</v>
      </c>
      <c r="G809" s="1">
        <v>41869</v>
      </c>
      <c r="H809">
        <v>-1937.5</v>
      </c>
    </row>
    <row r="810" spans="1:8" x14ac:dyDescent="0.25">
      <c r="A810" s="1"/>
      <c r="C810" s="1"/>
      <c r="E810" s="1">
        <v>41870</v>
      </c>
      <c r="F810">
        <v>33118.962154395798</v>
      </c>
      <c r="G810" s="1">
        <v>41870</v>
      </c>
      <c r="H810">
        <v>-1925</v>
      </c>
    </row>
    <row r="811" spans="1:8" x14ac:dyDescent="0.25">
      <c r="A811" s="1"/>
      <c r="C811" s="1"/>
      <c r="E811" s="1">
        <v>41871</v>
      </c>
      <c r="F811">
        <v>33618.595249183403</v>
      </c>
      <c r="G811" s="1">
        <v>41871</v>
      </c>
      <c r="H811">
        <v>-2075</v>
      </c>
    </row>
    <row r="812" spans="1:8" x14ac:dyDescent="0.25">
      <c r="A812" s="1"/>
      <c r="C812" s="1"/>
      <c r="E812" s="1">
        <v>41872</v>
      </c>
      <c r="F812">
        <v>33456.7482566908</v>
      </c>
      <c r="G812" s="1">
        <v>41872</v>
      </c>
      <c r="H812">
        <v>-1850</v>
      </c>
    </row>
    <row r="813" spans="1:8" x14ac:dyDescent="0.25">
      <c r="A813" s="1"/>
      <c r="C813" s="1"/>
      <c r="E813" s="1">
        <v>41873</v>
      </c>
      <c r="F813">
        <v>33370.5562019422</v>
      </c>
      <c r="G813" s="1">
        <v>41873</v>
      </c>
      <c r="H813">
        <v>-1687.5</v>
      </c>
    </row>
    <row r="814" spans="1:8" x14ac:dyDescent="0.25">
      <c r="A814" s="1"/>
      <c r="C814" s="1"/>
      <c r="E814" s="1">
        <v>41876</v>
      </c>
      <c r="F814">
        <v>33518.705951698103</v>
      </c>
      <c r="G814" s="1">
        <v>41876</v>
      </c>
      <c r="H814">
        <v>-1987.5</v>
      </c>
    </row>
    <row r="815" spans="1:8" x14ac:dyDescent="0.25">
      <c r="A815" s="1"/>
      <c r="C815" s="1"/>
      <c r="E815" s="1">
        <v>41877</v>
      </c>
      <c r="F815">
        <v>33928.173656471001</v>
      </c>
      <c r="G815" s="1">
        <v>41877</v>
      </c>
      <c r="H815">
        <v>-2262.5</v>
      </c>
    </row>
    <row r="816" spans="1:8" x14ac:dyDescent="0.25">
      <c r="A816" s="1"/>
      <c r="C816" s="1"/>
      <c r="E816" s="1">
        <v>41878</v>
      </c>
      <c r="F816">
        <v>33933.741052635</v>
      </c>
      <c r="G816" s="1">
        <v>41878</v>
      </c>
      <c r="H816">
        <v>-2262.5</v>
      </c>
    </row>
    <row r="817" spans="1:8" x14ac:dyDescent="0.25">
      <c r="A817" s="1"/>
      <c r="C817" s="1"/>
      <c r="E817" s="1">
        <v>41879</v>
      </c>
      <c r="F817">
        <v>33936.531702048997</v>
      </c>
      <c r="G817" s="1">
        <v>41879</v>
      </c>
      <c r="H817">
        <v>-1987.5</v>
      </c>
    </row>
    <row r="818" spans="1:8" x14ac:dyDescent="0.25">
      <c r="A818" s="1"/>
      <c r="C818" s="1"/>
      <c r="E818" s="1">
        <v>41880</v>
      </c>
      <c r="F818">
        <v>33903.871194846899</v>
      </c>
      <c r="G818" s="1">
        <v>41880</v>
      </c>
      <c r="H818">
        <v>-2162.5</v>
      </c>
    </row>
    <row r="819" spans="1:8" x14ac:dyDescent="0.25">
      <c r="A819" s="1"/>
      <c r="C819" s="1"/>
      <c r="E819" s="1">
        <v>41884</v>
      </c>
      <c r="F819">
        <v>33872.968336112797</v>
      </c>
      <c r="G819" s="1">
        <v>41884</v>
      </c>
      <c r="H819">
        <v>-2212.5</v>
      </c>
    </row>
    <row r="820" spans="1:8" x14ac:dyDescent="0.25">
      <c r="A820" s="1"/>
      <c r="C820" s="1"/>
      <c r="E820" s="1">
        <v>41885</v>
      </c>
      <c r="F820">
        <v>34194.8973217085</v>
      </c>
      <c r="G820" s="1">
        <v>41885</v>
      </c>
      <c r="H820">
        <v>-2875</v>
      </c>
    </row>
    <row r="821" spans="1:8" x14ac:dyDescent="0.25">
      <c r="A821" s="1"/>
      <c r="C821" s="1"/>
      <c r="E821" s="1">
        <v>41886</v>
      </c>
      <c r="F821">
        <v>34249.907392509202</v>
      </c>
      <c r="G821" s="1">
        <v>41886</v>
      </c>
      <c r="H821">
        <v>-3200</v>
      </c>
    </row>
    <row r="822" spans="1:8" x14ac:dyDescent="0.25">
      <c r="A822" s="1"/>
      <c r="C822" s="1"/>
      <c r="E822" s="1">
        <v>41887</v>
      </c>
      <c r="F822">
        <v>34150.130445487797</v>
      </c>
      <c r="G822" s="1">
        <v>41887</v>
      </c>
      <c r="H822">
        <v>-2737.5</v>
      </c>
    </row>
    <row r="823" spans="1:8" x14ac:dyDescent="0.25">
      <c r="A823" s="1"/>
      <c r="C823" s="1"/>
      <c r="E823" s="1">
        <v>41890</v>
      </c>
      <c r="F823">
        <v>34075.394346244597</v>
      </c>
      <c r="G823" s="1">
        <v>41890</v>
      </c>
      <c r="H823">
        <v>-3075</v>
      </c>
    </row>
    <row r="824" spans="1:8" x14ac:dyDescent="0.25">
      <c r="A824" s="1"/>
      <c r="C824" s="1"/>
      <c r="E824" s="1">
        <v>41891</v>
      </c>
      <c r="F824">
        <v>34116.489141471597</v>
      </c>
      <c r="G824" s="1">
        <v>41891</v>
      </c>
      <c r="H824">
        <v>-3200</v>
      </c>
    </row>
    <row r="825" spans="1:8" x14ac:dyDescent="0.25">
      <c r="A825" s="1"/>
      <c r="C825" s="1"/>
      <c r="E825" s="1">
        <v>41892</v>
      </c>
      <c r="F825">
        <v>34122.060617454299</v>
      </c>
      <c r="G825" s="1">
        <v>41892</v>
      </c>
      <c r="H825">
        <v>-3012.5</v>
      </c>
    </row>
    <row r="826" spans="1:8" x14ac:dyDescent="0.25">
      <c r="A826" s="1"/>
      <c r="C826" s="1"/>
      <c r="E826" s="1">
        <v>41893</v>
      </c>
      <c r="F826">
        <v>34035.0681705549</v>
      </c>
      <c r="G826" s="1">
        <v>41893</v>
      </c>
      <c r="H826">
        <v>-3387.5</v>
      </c>
    </row>
    <row r="827" spans="1:8" x14ac:dyDescent="0.25">
      <c r="A827" s="1"/>
      <c r="C827" s="1"/>
      <c r="E827" s="1">
        <v>41894</v>
      </c>
      <c r="F827">
        <v>34096.258398063401</v>
      </c>
      <c r="G827" s="1">
        <v>41894</v>
      </c>
      <c r="H827">
        <v>-3425</v>
      </c>
    </row>
    <row r="828" spans="1:8" x14ac:dyDescent="0.25">
      <c r="A828" s="1"/>
      <c r="C828" s="1"/>
      <c r="E828" s="1">
        <v>41897</v>
      </c>
      <c r="F828">
        <v>34181.0922660902</v>
      </c>
      <c r="G828" s="1">
        <v>41897</v>
      </c>
      <c r="H828">
        <v>-3200</v>
      </c>
    </row>
    <row r="829" spans="1:8" x14ac:dyDescent="0.25">
      <c r="A829" s="1"/>
      <c r="C829" s="1"/>
      <c r="E829" s="1">
        <v>41898</v>
      </c>
      <c r="F829">
        <v>34177.888050086702</v>
      </c>
      <c r="G829" s="1">
        <v>41898</v>
      </c>
      <c r="H829">
        <v>-3112.5</v>
      </c>
    </row>
    <row r="830" spans="1:8" x14ac:dyDescent="0.25">
      <c r="A830" s="1"/>
      <c r="C830" s="1"/>
      <c r="E830" s="1">
        <v>41899</v>
      </c>
      <c r="F830">
        <v>34149.181575782597</v>
      </c>
      <c r="G830" s="1">
        <v>41899</v>
      </c>
      <c r="H830">
        <v>-3275</v>
      </c>
    </row>
    <row r="831" spans="1:8" x14ac:dyDescent="0.25">
      <c r="A831" s="1"/>
      <c r="C831" s="1"/>
      <c r="E831" s="1">
        <v>41900</v>
      </c>
      <c r="F831">
        <v>34161.2033424451</v>
      </c>
      <c r="G831" s="1">
        <v>41900</v>
      </c>
      <c r="H831">
        <v>-3412.5</v>
      </c>
    </row>
    <row r="832" spans="1:8" x14ac:dyDescent="0.25">
      <c r="A832" s="1"/>
      <c r="C832" s="1"/>
      <c r="E832" s="1">
        <v>41901</v>
      </c>
      <c r="F832">
        <v>34061.169515617097</v>
      </c>
      <c r="G832" s="1">
        <v>41901</v>
      </c>
      <c r="H832">
        <v>-3712.5</v>
      </c>
    </row>
    <row r="833" spans="1:8" x14ac:dyDescent="0.25">
      <c r="A833" s="1"/>
      <c r="C833" s="1"/>
      <c r="E833" s="1">
        <v>41904</v>
      </c>
      <c r="F833">
        <v>33880.061076171602</v>
      </c>
      <c r="G833" s="1">
        <v>41904</v>
      </c>
      <c r="H833">
        <v>-3825</v>
      </c>
    </row>
    <row r="834" spans="1:8" x14ac:dyDescent="0.25">
      <c r="A834" s="1"/>
      <c r="C834" s="1"/>
      <c r="E834" s="1">
        <v>41905</v>
      </c>
      <c r="F834">
        <v>33263.6456136778</v>
      </c>
      <c r="G834" s="1">
        <v>41905</v>
      </c>
      <c r="H834">
        <v>-4062.5</v>
      </c>
    </row>
    <row r="835" spans="1:8" x14ac:dyDescent="0.25">
      <c r="A835" s="1"/>
      <c r="C835" s="1"/>
      <c r="E835" s="1">
        <v>41906</v>
      </c>
      <c r="F835">
        <v>33563.7941503599</v>
      </c>
      <c r="G835" s="1">
        <v>41906</v>
      </c>
      <c r="H835">
        <v>-3875</v>
      </c>
    </row>
    <row r="836" spans="1:8" x14ac:dyDescent="0.25">
      <c r="A836" s="1"/>
      <c r="C836" s="1"/>
      <c r="E836" s="1">
        <v>41907</v>
      </c>
      <c r="F836">
        <v>33334.196410186501</v>
      </c>
      <c r="G836" s="1">
        <v>41907</v>
      </c>
      <c r="H836">
        <v>-4050</v>
      </c>
    </row>
    <row r="837" spans="1:8" x14ac:dyDescent="0.25">
      <c r="A837" s="1"/>
      <c r="C837" s="1"/>
      <c r="E837" s="1">
        <v>41908</v>
      </c>
      <c r="F837">
        <v>33303.048575408699</v>
      </c>
      <c r="G837" s="1">
        <v>41908</v>
      </c>
      <c r="H837">
        <v>-4175</v>
      </c>
    </row>
    <row r="838" spans="1:8" x14ac:dyDescent="0.25">
      <c r="A838" s="1"/>
      <c r="C838" s="1"/>
      <c r="E838" s="1">
        <v>41911</v>
      </c>
      <c r="F838">
        <v>33398.974696166799</v>
      </c>
      <c r="G838" s="1">
        <v>41911</v>
      </c>
      <c r="H838">
        <v>-4075</v>
      </c>
    </row>
    <row r="839" spans="1:8" x14ac:dyDescent="0.25">
      <c r="A839" s="1"/>
      <c r="C839" s="1"/>
      <c r="E839" s="1">
        <v>41912</v>
      </c>
      <c r="F839">
        <v>33251.780291564697</v>
      </c>
      <c r="G839" s="1">
        <v>41912</v>
      </c>
      <c r="H839">
        <v>-4262.5</v>
      </c>
    </row>
    <row r="840" spans="1:8" x14ac:dyDescent="0.25">
      <c r="A840" s="1"/>
      <c r="C840" s="1"/>
      <c r="E840" s="1">
        <v>41913</v>
      </c>
      <c r="F840">
        <v>33330.264998443403</v>
      </c>
      <c r="G840" s="1">
        <v>41913</v>
      </c>
      <c r="H840">
        <v>-4287.5</v>
      </c>
    </row>
    <row r="841" spans="1:8" x14ac:dyDescent="0.25">
      <c r="A841" s="1"/>
      <c r="C841" s="1"/>
      <c r="E841" s="1">
        <v>41914</v>
      </c>
      <c r="F841">
        <v>33338.359660155998</v>
      </c>
      <c r="G841" s="1">
        <v>41914</v>
      </c>
      <c r="H841">
        <v>-4275</v>
      </c>
    </row>
    <row r="842" spans="1:8" x14ac:dyDescent="0.25">
      <c r="A842" s="1"/>
      <c r="C842" s="1"/>
      <c r="E842" s="1">
        <v>41915</v>
      </c>
      <c r="F842">
        <v>33389.610560424597</v>
      </c>
      <c r="G842" s="1">
        <v>41915</v>
      </c>
      <c r="H842">
        <v>-4200</v>
      </c>
    </row>
    <row r="843" spans="1:8" x14ac:dyDescent="0.25">
      <c r="A843" s="1"/>
      <c r="C843" s="1"/>
      <c r="E843" s="1">
        <v>41918</v>
      </c>
      <c r="F843">
        <v>33396.300623901101</v>
      </c>
      <c r="G843" s="1">
        <v>41918</v>
      </c>
      <c r="H843">
        <v>-3750</v>
      </c>
    </row>
    <row r="844" spans="1:8" x14ac:dyDescent="0.25">
      <c r="A844" s="1"/>
      <c r="C844" s="1"/>
      <c r="E844" s="1">
        <v>41919</v>
      </c>
      <c r="F844">
        <v>32363.776148803499</v>
      </c>
      <c r="G844" s="1">
        <v>41919</v>
      </c>
      <c r="H844">
        <v>-3375</v>
      </c>
    </row>
    <row r="845" spans="1:8" x14ac:dyDescent="0.25">
      <c r="A845" s="1"/>
      <c r="C845" s="1"/>
      <c r="E845" s="1">
        <v>41920</v>
      </c>
      <c r="F845">
        <v>32114.179869659201</v>
      </c>
      <c r="G845" s="1">
        <v>41920</v>
      </c>
      <c r="H845">
        <v>-3237.5</v>
      </c>
    </row>
    <row r="846" spans="1:8" x14ac:dyDescent="0.25">
      <c r="A846" s="1"/>
      <c r="C846" s="1"/>
      <c r="E846" s="1">
        <v>41921</v>
      </c>
      <c r="F846">
        <v>31919.384245879901</v>
      </c>
      <c r="G846" s="1">
        <v>41921</v>
      </c>
      <c r="H846">
        <v>-3075</v>
      </c>
    </row>
    <row r="847" spans="1:8" x14ac:dyDescent="0.25">
      <c r="A847" s="1"/>
      <c r="C847" s="1"/>
      <c r="E847" s="1">
        <v>41922</v>
      </c>
      <c r="F847">
        <v>32596.3086233213</v>
      </c>
      <c r="G847" s="1">
        <v>41922</v>
      </c>
      <c r="H847">
        <v>-3712.5</v>
      </c>
    </row>
    <row r="848" spans="1:8" x14ac:dyDescent="0.25">
      <c r="A848" s="1"/>
      <c r="C848" s="1"/>
      <c r="E848" s="1">
        <v>41926</v>
      </c>
      <c r="F848">
        <v>31725.600188262699</v>
      </c>
      <c r="G848" s="1">
        <v>41926</v>
      </c>
      <c r="H848">
        <v>-2612.5</v>
      </c>
    </row>
    <row r="849" spans="1:8" x14ac:dyDescent="0.25">
      <c r="A849" s="1"/>
      <c r="C849" s="1"/>
      <c r="E849" s="1">
        <v>41927</v>
      </c>
      <c r="F849">
        <v>32371.174345977601</v>
      </c>
      <c r="G849" s="1">
        <v>41927</v>
      </c>
      <c r="H849">
        <v>-2925</v>
      </c>
    </row>
    <row r="850" spans="1:8" x14ac:dyDescent="0.25">
      <c r="A850" s="1"/>
      <c r="C850" s="1"/>
      <c r="E850" s="1">
        <v>41928</v>
      </c>
      <c r="F850">
        <v>32010.1402463987</v>
      </c>
      <c r="G850" s="1">
        <v>41928</v>
      </c>
      <c r="H850">
        <v>-2787.5</v>
      </c>
    </row>
    <row r="851" spans="1:8" x14ac:dyDescent="0.25">
      <c r="A851" s="1"/>
      <c r="C851" s="1"/>
      <c r="E851" s="1">
        <v>41929</v>
      </c>
      <c r="F851">
        <v>32387.551577575501</v>
      </c>
      <c r="G851" s="1">
        <v>41929</v>
      </c>
      <c r="H851">
        <v>-2962.5</v>
      </c>
    </row>
    <row r="852" spans="1:8" x14ac:dyDescent="0.25">
      <c r="A852" s="1"/>
      <c r="C852" s="1"/>
      <c r="E852" s="1">
        <v>41932</v>
      </c>
      <c r="F852">
        <v>32507.623301513398</v>
      </c>
      <c r="G852" s="1">
        <v>41932</v>
      </c>
      <c r="H852">
        <v>-2987.5</v>
      </c>
    </row>
    <row r="853" spans="1:8" x14ac:dyDescent="0.25">
      <c r="A853" s="1"/>
      <c r="C853" s="1"/>
      <c r="E853" s="1">
        <v>41933</v>
      </c>
      <c r="F853">
        <v>31909.8816061094</v>
      </c>
      <c r="G853" s="1">
        <v>41933</v>
      </c>
      <c r="H853">
        <v>-2512.5</v>
      </c>
    </row>
    <row r="854" spans="1:8" x14ac:dyDescent="0.25">
      <c r="A854" s="1"/>
      <c r="C854" s="1"/>
      <c r="E854" s="1">
        <v>41934</v>
      </c>
      <c r="F854">
        <v>31921.159964568898</v>
      </c>
      <c r="G854" s="1">
        <v>41934</v>
      </c>
      <c r="H854">
        <v>-2675</v>
      </c>
    </row>
    <row r="855" spans="1:8" x14ac:dyDescent="0.25">
      <c r="A855" s="1"/>
      <c r="C855" s="1"/>
      <c r="E855" s="1">
        <v>41935</v>
      </c>
      <c r="F855">
        <v>31976.132620818898</v>
      </c>
      <c r="G855" s="1">
        <v>41935</v>
      </c>
      <c r="H855">
        <v>-2387.5</v>
      </c>
    </row>
    <row r="856" spans="1:8" x14ac:dyDescent="0.25">
      <c r="A856" s="1"/>
      <c r="C856" s="1"/>
      <c r="E856" s="1">
        <v>41936</v>
      </c>
      <c r="F856">
        <v>31983.001822479</v>
      </c>
      <c r="G856" s="1">
        <v>41936</v>
      </c>
      <c r="H856">
        <v>-2687.5</v>
      </c>
    </row>
    <row r="857" spans="1:8" x14ac:dyDescent="0.25">
      <c r="A857" s="1"/>
      <c r="C857" s="1"/>
      <c r="E857" s="1">
        <v>41939</v>
      </c>
      <c r="F857">
        <v>32063.571036346199</v>
      </c>
      <c r="G857" s="1">
        <v>41939</v>
      </c>
      <c r="H857">
        <v>-2312.5</v>
      </c>
    </row>
    <row r="858" spans="1:8" x14ac:dyDescent="0.25">
      <c r="A858" s="1"/>
      <c r="C858" s="1"/>
      <c r="E858" s="1">
        <v>41940</v>
      </c>
      <c r="F858">
        <v>31911.847937591301</v>
      </c>
      <c r="G858" s="1">
        <v>41940</v>
      </c>
      <c r="H858">
        <v>-2137.5</v>
      </c>
    </row>
    <row r="859" spans="1:8" x14ac:dyDescent="0.25">
      <c r="A859" s="1"/>
      <c r="C859" s="1"/>
      <c r="E859" s="1">
        <v>41941</v>
      </c>
      <c r="F859">
        <v>31540.566351898</v>
      </c>
      <c r="G859" s="1">
        <v>41941</v>
      </c>
      <c r="H859">
        <v>-1712.5</v>
      </c>
    </row>
    <row r="860" spans="1:8" x14ac:dyDescent="0.25">
      <c r="A860" s="1"/>
      <c r="C860" s="1"/>
      <c r="E860" s="1">
        <v>41942</v>
      </c>
      <c r="F860">
        <v>31380.103186614801</v>
      </c>
      <c r="G860" s="1">
        <v>41942</v>
      </c>
      <c r="H860">
        <v>-1562.5</v>
      </c>
    </row>
    <row r="861" spans="1:8" x14ac:dyDescent="0.25">
      <c r="A861" s="1"/>
      <c r="C861" s="1"/>
      <c r="E861" s="1">
        <v>41943</v>
      </c>
      <c r="F861">
        <v>31483.8254575803</v>
      </c>
      <c r="G861" s="1">
        <v>41943</v>
      </c>
      <c r="H861">
        <v>-1712.5</v>
      </c>
    </row>
    <row r="862" spans="1:8" x14ac:dyDescent="0.25">
      <c r="A862" s="1"/>
      <c r="C862" s="1"/>
      <c r="E862" s="1">
        <v>41946</v>
      </c>
      <c r="F862">
        <v>31605.756787307499</v>
      </c>
      <c r="G862" s="1">
        <v>41946</v>
      </c>
      <c r="H862">
        <v>-1775</v>
      </c>
    </row>
    <row r="863" spans="1:8" x14ac:dyDescent="0.25">
      <c r="A863" s="1"/>
      <c r="C863" s="1"/>
      <c r="E863" s="1">
        <v>41947</v>
      </c>
      <c r="F863">
        <v>31887.724362380799</v>
      </c>
      <c r="G863" s="1">
        <v>41947</v>
      </c>
      <c r="H863">
        <v>-2062.5</v>
      </c>
    </row>
    <row r="864" spans="1:8" x14ac:dyDescent="0.25">
      <c r="A864" s="1"/>
      <c r="C864" s="1"/>
      <c r="E864" s="1">
        <v>41948</v>
      </c>
      <c r="F864">
        <v>31760.429173476899</v>
      </c>
      <c r="G864" s="1">
        <v>41948</v>
      </c>
      <c r="H864">
        <v>-1887.5</v>
      </c>
    </row>
    <row r="865" spans="1:8" x14ac:dyDescent="0.25">
      <c r="A865" s="1"/>
      <c r="C865" s="1"/>
      <c r="E865" s="1">
        <v>41949</v>
      </c>
      <c r="F865">
        <v>31759.916188247498</v>
      </c>
      <c r="G865" s="1">
        <v>41949</v>
      </c>
      <c r="H865">
        <v>-1762.5</v>
      </c>
    </row>
    <row r="866" spans="1:8" x14ac:dyDescent="0.25">
      <c r="A866" s="1"/>
      <c r="C866" s="1"/>
      <c r="E866" s="1">
        <v>41950</v>
      </c>
      <c r="F866">
        <v>31788.297017104898</v>
      </c>
      <c r="G866" s="1">
        <v>41950</v>
      </c>
      <c r="H866">
        <v>-1937.5</v>
      </c>
    </row>
    <row r="867" spans="1:8" x14ac:dyDescent="0.25">
      <c r="A867" s="1"/>
      <c r="C867" s="1"/>
      <c r="E867" s="1">
        <v>41953</v>
      </c>
      <c r="F867">
        <v>31686.168095596098</v>
      </c>
      <c r="G867" s="1">
        <v>41953</v>
      </c>
      <c r="H867">
        <v>-1812.5</v>
      </c>
    </row>
    <row r="868" spans="1:8" x14ac:dyDescent="0.25">
      <c r="A868" s="1"/>
      <c r="C868" s="1"/>
      <c r="E868" s="1">
        <v>41955</v>
      </c>
      <c r="F868">
        <v>31647.151768691801</v>
      </c>
      <c r="G868" s="1">
        <v>41955</v>
      </c>
      <c r="H868">
        <v>-1450</v>
      </c>
    </row>
    <row r="869" spans="1:8" x14ac:dyDescent="0.25">
      <c r="A869" s="1"/>
      <c r="C869" s="1"/>
      <c r="E869" s="1">
        <v>41956</v>
      </c>
      <c r="F869">
        <v>31321.7903490141</v>
      </c>
      <c r="G869" s="1">
        <v>41956</v>
      </c>
      <c r="H869">
        <v>-1187.5</v>
      </c>
    </row>
    <row r="870" spans="1:8" x14ac:dyDescent="0.25">
      <c r="A870" s="1"/>
      <c r="C870" s="1"/>
      <c r="E870" s="1">
        <v>41957</v>
      </c>
      <c r="F870">
        <v>31303.4315705671</v>
      </c>
      <c r="G870" s="1">
        <v>41957</v>
      </c>
      <c r="H870">
        <v>-1187.5</v>
      </c>
    </row>
    <row r="871" spans="1:8" x14ac:dyDescent="0.25">
      <c r="A871" s="1"/>
      <c r="C871" s="1"/>
      <c r="E871" s="1">
        <v>41960</v>
      </c>
      <c r="F871">
        <v>31704.626440562301</v>
      </c>
      <c r="G871" s="1">
        <v>41960</v>
      </c>
      <c r="H871">
        <v>-1487.5</v>
      </c>
    </row>
    <row r="872" spans="1:8" x14ac:dyDescent="0.25">
      <c r="A872" s="1"/>
      <c r="C872" s="1"/>
      <c r="E872" s="1">
        <v>41961</v>
      </c>
      <c r="F872">
        <v>31906.216545619001</v>
      </c>
      <c r="G872" s="1">
        <v>41961</v>
      </c>
      <c r="H872">
        <v>-1675</v>
      </c>
    </row>
    <row r="873" spans="1:8" x14ac:dyDescent="0.25">
      <c r="A873" s="1"/>
      <c r="C873" s="1"/>
      <c r="E873" s="1">
        <v>41962</v>
      </c>
      <c r="F873">
        <v>32459.783318080001</v>
      </c>
      <c r="G873" s="1">
        <v>41962</v>
      </c>
      <c r="H873">
        <v>-2162.5</v>
      </c>
    </row>
    <row r="874" spans="1:8" x14ac:dyDescent="0.25">
      <c r="A874" s="1"/>
      <c r="C874" s="1"/>
      <c r="E874" s="1">
        <v>41963</v>
      </c>
      <c r="F874">
        <v>33049.567513026297</v>
      </c>
      <c r="G874" s="1">
        <v>41963</v>
      </c>
      <c r="H874">
        <v>-1700</v>
      </c>
    </row>
    <row r="875" spans="1:8" x14ac:dyDescent="0.25">
      <c r="A875" s="1"/>
      <c r="C875" s="1"/>
      <c r="E875" s="1">
        <v>41964</v>
      </c>
      <c r="F875">
        <v>33381.936485804603</v>
      </c>
      <c r="G875" s="1">
        <v>41964</v>
      </c>
      <c r="H875">
        <v>-1500</v>
      </c>
    </row>
    <row r="876" spans="1:8" x14ac:dyDescent="0.25">
      <c r="A876" s="1"/>
      <c r="C876" s="1"/>
      <c r="E876" s="1">
        <v>41967</v>
      </c>
      <c r="F876">
        <v>33092.599785365099</v>
      </c>
      <c r="G876" s="1">
        <v>41967</v>
      </c>
      <c r="H876">
        <v>-2012.5</v>
      </c>
    </row>
    <row r="877" spans="1:8" x14ac:dyDescent="0.25">
      <c r="A877" s="1"/>
      <c r="C877" s="1"/>
      <c r="E877" s="1">
        <v>41968</v>
      </c>
      <c r="F877">
        <v>33037.195869959804</v>
      </c>
      <c r="G877" s="1">
        <v>41968</v>
      </c>
      <c r="H877">
        <v>-1725</v>
      </c>
    </row>
    <row r="878" spans="1:8" x14ac:dyDescent="0.25">
      <c r="A878" s="1"/>
      <c r="C878" s="1"/>
      <c r="E878" s="1">
        <v>41969</v>
      </c>
      <c r="F878">
        <v>32846.931664027201</v>
      </c>
      <c r="G878" s="1">
        <v>41969</v>
      </c>
      <c r="H878">
        <v>-1425</v>
      </c>
    </row>
    <row r="879" spans="1:8" x14ac:dyDescent="0.25">
      <c r="A879" s="1"/>
      <c r="C879" s="1"/>
      <c r="E879" s="1">
        <v>41971</v>
      </c>
      <c r="F879">
        <v>32907.854881800697</v>
      </c>
      <c r="G879" s="1">
        <v>41971</v>
      </c>
      <c r="H879">
        <v>-1550</v>
      </c>
    </row>
    <row r="880" spans="1:8" x14ac:dyDescent="0.25">
      <c r="A880" s="1"/>
      <c r="C880" s="1"/>
      <c r="E880" s="1">
        <v>41974</v>
      </c>
      <c r="F880">
        <v>33000.530056513802</v>
      </c>
      <c r="G880" s="1">
        <v>41974</v>
      </c>
      <c r="H880">
        <v>-1625</v>
      </c>
    </row>
    <row r="881" spans="1:8" x14ac:dyDescent="0.25">
      <c r="A881" s="1"/>
      <c r="C881" s="1"/>
      <c r="E881" s="1">
        <v>41975</v>
      </c>
      <c r="F881">
        <v>33496.190846003497</v>
      </c>
      <c r="G881" s="1">
        <v>41975</v>
      </c>
      <c r="H881">
        <v>-1900</v>
      </c>
    </row>
    <row r="882" spans="1:8" x14ac:dyDescent="0.25">
      <c r="A882" s="1"/>
      <c r="C882" s="1"/>
      <c r="E882" s="1">
        <v>41976</v>
      </c>
      <c r="F882">
        <v>33666.646030940101</v>
      </c>
      <c r="G882" s="1">
        <v>41976</v>
      </c>
      <c r="H882">
        <v>-2000</v>
      </c>
    </row>
    <row r="883" spans="1:8" x14ac:dyDescent="0.25">
      <c r="A883" s="1"/>
      <c r="C883" s="1"/>
      <c r="E883" s="1">
        <v>41977</v>
      </c>
      <c r="F883">
        <v>33561.339542902999</v>
      </c>
      <c r="G883" s="1">
        <v>41977</v>
      </c>
      <c r="H883">
        <v>-1562.5</v>
      </c>
    </row>
    <row r="884" spans="1:8" x14ac:dyDescent="0.25">
      <c r="A884" s="1"/>
      <c r="C884" s="1"/>
      <c r="E884" s="1">
        <v>41978</v>
      </c>
      <c r="F884">
        <v>33978.165897883402</v>
      </c>
      <c r="G884" s="1">
        <v>41978</v>
      </c>
      <c r="H884">
        <v>-1250</v>
      </c>
    </row>
    <row r="885" spans="1:8" x14ac:dyDescent="0.25">
      <c r="A885" s="1"/>
      <c r="C885" s="1"/>
      <c r="E885" s="1">
        <v>41981</v>
      </c>
      <c r="F885">
        <v>34001.483311213502</v>
      </c>
      <c r="G885" s="1">
        <v>41981</v>
      </c>
      <c r="H885">
        <v>-1362.5</v>
      </c>
    </row>
    <row r="886" spans="1:8" x14ac:dyDescent="0.25">
      <c r="A886" s="1"/>
      <c r="C886" s="1"/>
      <c r="E886" s="1">
        <v>41982</v>
      </c>
      <c r="F886">
        <v>33900.8013539686</v>
      </c>
      <c r="G886" s="1">
        <v>41982</v>
      </c>
      <c r="H886">
        <v>-1212.5</v>
      </c>
    </row>
    <row r="887" spans="1:8" x14ac:dyDescent="0.25">
      <c r="A887" s="1"/>
      <c r="C887" s="1"/>
      <c r="E887" s="1">
        <v>41983</v>
      </c>
      <c r="F887">
        <v>33889.959089793199</v>
      </c>
      <c r="G887" s="1">
        <v>41983</v>
      </c>
      <c r="H887">
        <v>-1300</v>
      </c>
    </row>
    <row r="888" spans="1:8" x14ac:dyDescent="0.25">
      <c r="A888" s="1"/>
      <c r="C888" s="1"/>
      <c r="E888" s="1">
        <v>41984</v>
      </c>
      <c r="F888">
        <v>33383.066015757599</v>
      </c>
      <c r="G888" s="1">
        <v>41984</v>
      </c>
      <c r="H888">
        <v>-1062.5</v>
      </c>
    </row>
    <row r="889" spans="1:8" x14ac:dyDescent="0.25">
      <c r="A889" s="1"/>
      <c r="C889" s="1"/>
      <c r="E889" s="1">
        <v>41985</v>
      </c>
      <c r="F889">
        <v>32346.7234635725</v>
      </c>
      <c r="G889" s="1">
        <v>41985</v>
      </c>
      <c r="H889">
        <v>-425</v>
      </c>
    </row>
    <row r="890" spans="1:8" x14ac:dyDescent="0.25">
      <c r="A890" s="1"/>
      <c r="C890" s="1"/>
      <c r="E890" s="1">
        <v>41988</v>
      </c>
      <c r="F890">
        <v>32485.063022173901</v>
      </c>
      <c r="G890" s="1">
        <v>41988</v>
      </c>
      <c r="H890">
        <v>-500</v>
      </c>
    </row>
    <row r="891" spans="1:8" x14ac:dyDescent="0.25">
      <c r="A891" s="1"/>
      <c r="C891" s="1"/>
      <c r="E891" s="1">
        <v>41989</v>
      </c>
      <c r="F891">
        <v>32627.194369353299</v>
      </c>
      <c r="G891" s="1">
        <v>41989</v>
      </c>
      <c r="H891">
        <v>-575</v>
      </c>
    </row>
    <row r="892" spans="1:8" x14ac:dyDescent="0.25">
      <c r="A892" s="1"/>
      <c r="C892" s="1"/>
      <c r="E892" s="1">
        <v>41990</v>
      </c>
      <c r="F892">
        <v>32465.468997515702</v>
      </c>
      <c r="G892" s="1">
        <v>41990</v>
      </c>
      <c r="H892">
        <v>-512.5</v>
      </c>
    </row>
    <row r="893" spans="1:8" x14ac:dyDescent="0.25">
      <c r="A893" s="1"/>
      <c r="C893" s="1"/>
      <c r="E893" s="1">
        <v>41991</v>
      </c>
      <c r="F893">
        <v>32184.085998095499</v>
      </c>
      <c r="G893" s="1">
        <v>41991</v>
      </c>
      <c r="H893">
        <v>-362.5</v>
      </c>
    </row>
    <row r="894" spans="1:8" x14ac:dyDescent="0.25">
      <c r="A894" s="1"/>
      <c r="C894" s="1"/>
      <c r="E894" s="1">
        <v>41992</v>
      </c>
      <c r="F894">
        <v>32273.912536419899</v>
      </c>
      <c r="G894" s="1">
        <v>41992</v>
      </c>
      <c r="H894">
        <v>-462.5</v>
      </c>
    </row>
    <row r="895" spans="1:8" x14ac:dyDescent="0.25">
      <c r="A895" s="1"/>
      <c r="C895" s="1"/>
      <c r="E895" s="1">
        <v>41995</v>
      </c>
      <c r="F895">
        <v>31743.8591173067</v>
      </c>
      <c r="G895" s="1">
        <v>41995</v>
      </c>
      <c r="H895">
        <v>-300</v>
      </c>
    </row>
    <row r="896" spans="1:8" x14ac:dyDescent="0.25">
      <c r="A896" s="1"/>
      <c r="C896" s="1"/>
      <c r="E896" s="1">
        <v>41996</v>
      </c>
      <c r="F896">
        <v>31595.6317183151</v>
      </c>
      <c r="G896" s="1">
        <v>41996</v>
      </c>
      <c r="H896">
        <v>-225</v>
      </c>
    </row>
    <row r="897" spans="1:8" x14ac:dyDescent="0.25">
      <c r="A897" s="1"/>
      <c r="C897" s="1"/>
      <c r="E897" s="1">
        <v>41997</v>
      </c>
      <c r="F897">
        <v>31901.619092620898</v>
      </c>
      <c r="G897" s="1">
        <v>41997</v>
      </c>
      <c r="H897">
        <v>-512.5</v>
      </c>
    </row>
    <row r="898" spans="1:8" x14ac:dyDescent="0.25">
      <c r="A898" s="1"/>
      <c r="C898" s="1"/>
      <c r="E898" s="1">
        <v>41999</v>
      </c>
      <c r="F898">
        <v>31362.5232750549</v>
      </c>
      <c r="G898" s="1">
        <v>41999</v>
      </c>
      <c r="H898">
        <v>-250</v>
      </c>
    </row>
    <row r="899" spans="1:8" x14ac:dyDescent="0.25">
      <c r="A899" s="1"/>
      <c r="C899" s="1"/>
      <c r="E899" s="1">
        <v>42002</v>
      </c>
      <c r="F899">
        <v>31422.4903380051</v>
      </c>
      <c r="G899" s="1">
        <v>42002</v>
      </c>
      <c r="H899">
        <v>-287.5</v>
      </c>
    </row>
    <row r="900" spans="1:8" x14ac:dyDescent="0.25">
      <c r="A900" s="1"/>
      <c r="C900" s="1"/>
      <c r="E900" s="1">
        <v>42003</v>
      </c>
      <c r="F900">
        <v>32054.835552848799</v>
      </c>
      <c r="G900" s="1">
        <v>42003</v>
      </c>
      <c r="H900">
        <v>-575</v>
      </c>
    </row>
    <row r="901" spans="1:8" x14ac:dyDescent="0.25">
      <c r="A901" s="1"/>
      <c r="C901" s="1"/>
      <c r="E901" s="1">
        <v>42004</v>
      </c>
      <c r="F901">
        <v>32365.196957267799</v>
      </c>
      <c r="G901" s="1">
        <v>42004</v>
      </c>
      <c r="H901">
        <v>-1075</v>
      </c>
    </row>
    <row r="902" spans="1:8" x14ac:dyDescent="0.25">
      <c r="A902" s="1"/>
      <c r="C902" s="1"/>
      <c r="E902" s="1">
        <v>42006</v>
      </c>
      <c r="F902">
        <v>32408.392079032899</v>
      </c>
      <c r="G902" s="1">
        <v>42006</v>
      </c>
      <c r="H902">
        <v>-1125</v>
      </c>
    </row>
    <row r="903" spans="1:8" x14ac:dyDescent="0.25">
      <c r="A903" s="1"/>
      <c r="C903" s="1"/>
      <c r="E903" s="1">
        <v>42009</v>
      </c>
      <c r="F903">
        <v>32012.8224226608</v>
      </c>
      <c r="G903" s="1">
        <v>42009</v>
      </c>
      <c r="H903">
        <v>-625</v>
      </c>
    </row>
    <row r="904" spans="1:8" x14ac:dyDescent="0.25">
      <c r="A904" s="1"/>
      <c r="C904" s="1"/>
      <c r="E904" s="1">
        <v>42010</v>
      </c>
      <c r="F904">
        <v>32006.3794123306</v>
      </c>
      <c r="G904" s="1">
        <v>42010</v>
      </c>
      <c r="H904">
        <v>-662.5</v>
      </c>
    </row>
    <row r="905" spans="1:8" x14ac:dyDescent="0.25">
      <c r="A905" s="1"/>
      <c r="C905" s="1"/>
      <c r="E905" s="1">
        <v>42011</v>
      </c>
      <c r="F905">
        <v>32646.656969703701</v>
      </c>
      <c r="G905" s="1">
        <v>42011</v>
      </c>
      <c r="H905">
        <v>-1075</v>
      </c>
    </row>
    <row r="906" spans="1:8" x14ac:dyDescent="0.25">
      <c r="A906" s="1"/>
      <c r="C906" s="1"/>
      <c r="E906" s="1">
        <v>42012</v>
      </c>
      <c r="F906">
        <v>32879.569571174601</v>
      </c>
      <c r="G906" s="1">
        <v>42012</v>
      </c>
      <c r="H906">
        <v>-1175</v>
      </c>
    </row>
    <row r="907" spans="1:8" x14ac:dyDescent="0.25">
      <c r="A907" s="1"/>
      <c r="C907" s="1"/>
      <c r="E907" s="1">
        <v>42013</v>
      </c>
      <c r="F907">
        <v>32736.9305636063</v>
      </c>
      <c r="G907" s="1">
        <v>42013</v>
      </c>
      <c r="H907">
        <v>-862.5</v>
      </c>
    </row>
    <row r="908" spans="1:8" x14ac:dyDescent="0.25">
      <c r="A908" s="1"/>
      <c r="C908" s="1"/>
      <c r="E908" s="1">
        <v>42016</v>
      </c>
      <c r="F908">
        <v>32645.6320244446</v>
      </c>
      <c r="G908" s="1">
        <v>42016</v>
      </c>
      <c r="H908">
        <v>-762.5</v>
      </c>
    </row>
    <row r="909" spans="1:8" x14ac:dyDescent="0.25">
      <c r="A909" s="1"/>
      <c r="C909" s="1"/>
      <c r="E909" s="1">
        <v>42017</v>
      </c>
      <c r="F909">
        <v>33224.461980499298</v>
      </c>
      <c r="G909" s="1">
        <v>42017</v>
      </c>
      <c r="H909">
        <v>-1587.5</v>
      </c>
    </row>
    <row r="910" spans="1:8" x14ac:dyDescent="0.25">
      <c r="A910" s="1"/>
      <c r="C910" s="1"/>
      <c r="E910" s="1">
        <v>42018</v>
      </c>
      <c r="F910">
        <v>33350.766942657501</v>
      </c>
      <c r="G910" s="1">
        <v>42018</v>
      </c>
      <c r="H910">
        <v>-1912.5</v>
      </c>
    </row>
    <row r="911" spans="1:8" x14ac:dyDescent="0.25">
      <c r="A911" s="1"/>
      <c r="C911" s="1"/>
      <c r="E911" s="1">
        <v>42019</v>
      </c>
      <c r="F911">
        <v>33466.300862945602</v>
      </c>
      <c r="G911" s="1">
        <v>42019</v>
      </c>
      <c r="H911">
        <v>-1987.5</v>
      </c>
    </row>
    <row r="912" spans="1:8" x14ac:dyDescent="0.25">
      <c r="A912" s="1"/>
      <c r="C912" s="1"/>
      <c r="E912" s="1">
        <v>42020</v>
      </c>
      <c r="F912">
        <v>33235.170735992397</v>
      </c>
      <c r="G912" s="1">
        <v>42020</v>
      </c>
      <c r="H912">
        <v>-1550</v>
      </c>
    </row>
    <row r="913" spans="1:8" x14ac:dyDescent="0.25">
      <c r="A913" s="1"/>
      <c r="C913" s="1"/>
      <c r="E913" s="1">
        <v>42024</v>
      </c>
      <c r="F913">
        <v>33203.272353805602</v>
      </c>
      <c r="G913" s="1">
        <v>42024</v>
      </c>
      <c r="H913">
        <v>-1425</v>
      </c>
    </row>
    <row r="914" spans="1:8" x14ac:dyDescent="0.25">
      <c r="A914" s="1"/>
      <c r="C914" s="1"/>
      <c r="E914" s="1">
        <v>42025</v>
      </c>
      <c r="F914">
        <v>33155.272353805602</v>
      </c>
      <c r="G914" s="1">
        <v>42025</v>
      </c>
      <c r="H914">
        <v>-1512.5</v>
      </c>
    </row>
    <row r="915" spans="1:8" x14ac:dyDescent="0.25">
      <c r="A915" s="1"/>
      <c r="C915" s="1"/>
      <c r="E915" s="1">
        <v>42026</v>
      </c>
      <c r="F915">
        <v>33155.272353805602</v>
      </c>
      <c r="G915" s="1">
        <v>42026</v>
      </c>
      <c r="H915">
        <v>-1712.5</v>
      </c>
    </row>
    <row r="916" spans="1:8" x14ac:dyDescent="0.25">
      <c r="A916" s="1"/>
      <c r="C916" s="1"/>
      <c r="E916" s="1">
        <v>42027</v>
      </c>
      <c r="F916">
        <v>33149.272351898202</v>
      </c>
      <c r="G916" s="1">
        <v>42027</v>
      </c>
      <c r="H916">
        <v>-1625</v>
      </c>
    </row>
    <row r="917" spans="1:8" x14ac:dyDescent="0.25">
      <c r="A917" s="1"/>
      <c r="C917" s="1"/>
      <c r="E917" s="1">
        <v>42030</v>
      </c>
      <c r="F917">
        <v>33063.824735321097</v>
      </c>
      <c r="G917" s="1">
        <v>42030</v>
      </c>
      <c r="H917">
        <v>-1675</v>
      </c>
    </row>
    <row r="918" spans="1:8" x14ac:dyDescent="0.25">
      <c r="A918" s="1"/>
      <c r="C918" s="1"/>
      <c r="E918" s="1">
        <v>42031</v>
      </c>
      <c r="F918">
        <v>33051.824735321097</v>
      </c>
      <c r="G918" s="1">
        <v>42031</v>
      </c>
      <c r="H918">
        <v>-1762.5</v>
      </c>
    </row>
    <row r="919" spans="1:8" x14ac:dyDescent="0.25">
      <c r="A919" s="1"/>
      <c r="C919" s="1"/>
      <c r="E919" s="1">
        <v>42032</v>
      </c>
      <c r="F919">
        <v>32640.900022186299</v>
      </c>
      <c r="G919" s="1">
        <v>42032</v>
      </c>
      <c r="H919">
        <v>-2087.5</v>
      </c>
    </row>
    <row r="920" spans="1:8" x14ac:dyDescent="0.25">
      <c r="A920" s="1"/>
      <c r="C920" s="1"/>
      <c r="E920" s="1">
        <v>42033</v>
      </c>
      <c r="F920">
        <v>31937.1289650574</v>
      </c>
      <c r="G920" s="1">
        <v>42033</v>
      </c>
      <c r="H920">
        <v>-2387.5</v>
      </c>
    </row>
    <row r="921" spans="1:8" x14ac:dyDescent="0.25">
      <c r="A921" s="1"/>
      <c r="C921" s="1"/>
      <c r="E921" s="1">
        <v>42034</v>
      </c>
      <c r="F921">
        <v>31921.8635441437</v>
      </c>
      <c r="G921" s="1">
        <v>42034</v>
      </c>
      <c r="H921">
        <v>-2400</v>
      </c>
    </row>
    <row r="922" spans="1:8" x14ac:dyDescent="0.25">
      <c r="A922" s="1"/>
      <c r="C922" s="1"/>
      <c r="E922" s="1">
        <v>42037</v>
      </c>
      <c r="F922">
        <v>31938.4701325073</v>
      </c>
      <c r="G922" s="1">
        <v>42037</v>
      </c>
      <c r="H922">
        <v>-2375</v>
      </c>
    </row>
    <row r="923" spans="1:8" x14ac:dyDescent="0.25">
      <c r="A923" s="1"/>
      <c r="C923" s="1"/>
      <c r="E923" s="1">
        <v>42038</v>
      </c>
      <c r="F923">
        <v>32537.988931335502</v>
      </c>
      <c r="G923" s="1">
        <v>42038</v>
      </c>
      <c r="H923">
        <v>-1600</v>
      </c>
    </row>
    <row r="924" spans="1:8" x14ac:dyDescent="0.25">
      <c r="A924" s="1"/>
      <c r="C924" s="1"/>
      <c r="E924" s="1">
        <v>42039</v>
      </c>
      <c r="F924">
        <v>32343.1607987061</v>
      </c>
      <c r="G924" s="1">
        <v>42039</v>
      </c>
      <c r="H924">
        <v>-1862.5</v>
      </c>
    </row>
    <row r="925" spans="1:8" x14ac:dyDescent="0.25">
      <c r="A925" s="1"/>
      <c r="C925" s="1"/>
      <c r="E925" s="1">
        <v>42040</v>
      </c>
      <c r="F925">
        <v>32245.719636596699</v>
      </c>
      <c r="G925" s="1">
        <v>42040</v>
      </c>
      <c r="H925">
        <v>-1712.5</v>
      </c>
    </row>
    <row r="926" spans="1:8" x14ac:dyDescent="0.25">
      <c r="A926" s="1"/>
      <c r="C926" s="1"/>
      <c r="E926" s="1">
        <v>42041</v>
      </c>
      <c r="F926">
        <v>32210.0118614807</v>
      </c>
      <c r="G926" s="1">
        <v>42041</v>
      </c>
      <c r="H926">
        <v>-1775</v>
      </c>
    </row>
    <row r="927" spans="1:8" x14ac:dyDescent="0.25">
      <c r="A927" s="1"/>
      <c r="C927" s="1"/>
      <c r="E927" s="1">
        <v>42044</v>
      </c>
      <c r="F927">
        <v>31953.815084137001</v>
      </c>
      <c r="G927" s="1">
        <v>42044</v>
      </c>
      <c r="H927">
        <v>-1375</v>
      </c>
    </row>
    <row r="928" spans="1:8" x14ac:dyDescent="0.25">
      <c r="A928" s="1"/>
      <c r="C928" s="1"/>
      <c r="E928" s="1">
        <v>42045</v>
      </c>
      <c r="F928">
        <v>32153.002477325499</v>
      </c>
      <c r="G928" s="1">
        <v>42045</v>
      </c>
      <c r="H928">
        <v>-1550</v>
      </c>
    </row>
    <row r="929" spans="1:8" x14ac:dyDescent="0.25">
      <c r="A929" s="1"/>
      <c r="C929" s="1"/>
      <c r="E929" s="1">
        <v>42046</v>
      </c>
      <c r="F929">
        <v>32202.905706085199</v>
      </c>
      <c r="G929" s="1">
        <v>42046</v>
      </c>
      <c r="H929">
        <v>-1550</v>
      </c>
    </row>
    <row r="930" spans="1:8" x14ac:dyDescent="0.25">
      <c r="A930" s="1"/>
      <c r="C930" s="1"/>
      <c r="E930" s="1">
        <v>42047</v>
      </c>
      <c r="F930">
        <v>32782.188451446498</v>
      </c>
      <c r="G930" s="1">
        <v>42047</v>
      </c>
      <c r="H930">
        <v>-1762.5</v>
      </c>
    </row>
    <row r="931" spans="1:8" x14ac:dyDescent="0.25">
      <c r="A931" s="1"/>
      <c r="C931" s="1"/>
      <c r="E931" s="1">
        <v>42048</v>
      </c>
      <c r="F931">
        <v>32776.952855743402</v>
      </c>
      <c r="G931" s="1">
        <v>42048</v>
      </c>
      <c r="H931">
        <v>-1637.5</v>
      </c>
    </row>
    <row r="932" spans="1:8" x14ac:dyDescent="0.25">
      <c r="A932" s="1"/>
      <c r="C932" s="1"/>
      <c r="E932" s="1">
        <v>42052</v>
      </c>
      <c r="F932">
        <v>32805.611486114503</v>
      </c>
      <c r="G932" s="1">
        <v>42052</v>
      </c>
      <c r="H932">
        <v>-1462.5</v>
      </c>
    </row>
    <row r="933" spans="1:8" x14ac:dyDescent="0.25">
      <c r="A933" s="1"/>
      <c r="C933" s="1"/>
      <c r="E933" s="1">
        <v>42053</v>
      </c>
      <c r="F933">
        <v>32660.904943145801</v>
      </c>
      <c r="G933" s="1">
        <v>42053</v>
      </c>
      <c r="H933">
        <v>-1725</v>
      </c>
    </row>
    <row r="934" spans="1:8" x14ac:dyDescent="0.25">
      <c r="A934" s="1"/>
      <c r="C934" s="1"/>
      <c r="E934" s="1">
        <v>42054</v>
      </c>
      <c r="F934">
        <v>32619.5495735779</v>
      </c>
      <c r="G934" s="1">
        <v>42054</v>
      </c>
      <c r="H934">
        <v>-1462.5</v>
      </c>
    </row>
    <row r="935" spans="1:8" x14ac:dyDescent="0.25">
      <c r="A935" s="1"/>
      <c r="C935" s="1"/>
      <c r="E935" s="1">
        <v>42055</v>
      </c>
      <c r="F935">
        <v>32381.6642357483</v>
      </c>
      <c r="G935" s="1">
        <v>42055</v>
      </c>
      <c r="H935">
        <v>-1712.5</v>
      </c>
    </row>
    <row r="936" spans="1:8" x14ac:dyDescent="0.25">
      <c r="A936" s="1"/>
      <c r="C936" s="1"/>
      <c r="E936" s="1">
        <v>42058</v>
      </c>
      <c r="F936">
        <v>32137.819799102799</v>
      </c>
      <c r="G936" s="1">
        <v>42058</v>
      </c>
      <c r="H936">
        <v>-1937.5</v>
      </c>
    </row>
    <row r="937" spans="1:8" x14ac:dyDescent="0.25">
      <c r="A937" s="1"/>
      <c r="C937" s="1"/>
      <c r="E937" s="1">
        <v>42059</v>
      </c>
      <c r="F937">
        <v>32125.137809432999</v>
      </c>
      <c r="G937" s="1">
        <v>42059</v>
      </c>
      <c r="H937">
        <v>-1975</v>
      </c>
    </row>
    <row r="938" spans="1:8" x14ac:dyDescent="0.25">
      <c r="A938" s="1"/>
      <c r="C938" s="1"/>
      <c r="E938" s="1">
        <v>42060</v>
      </c>
      <c r="F938">
        <v>31920.650428451499</v>
      </c>
      <c r="G938" s="1">
        <v>42060</v>
      </c>
      <c r="H938">
        <v>-2262.5</v>
      </c>
    </row>
    <row r="939" spans="1:8" x14ac:dyDescent="0.25">
      <c r="A939" s="1"/>
      <c r="C939" s="1"/>
      <c r="E939" s="1">
        <v>42061</v>
      </c>
      <c r="F939">
        <v>32179.685279525798</v>
      </c>
      <c r="G939" s="1">
        <v>42061</v>
      </c>
      <c r="H939">
        <v>-1925</v>
      </c>
    </row>
    <row r="940" spans="1:8" x14ac:dyDescent="0.25">
      <c r="A940" s="1"/>
      <c r="C940" s="1"/>
      <c r="E940" s="1">
        <v>42062</v>
      </c>
      <c r="F940">
        <v>32871.421363510097</v>
      </c>
      <c r="G940" s="1">
        <v>42062</v>
      </c>
      <c r="H940">
        <v>-1562.5</v>
      </c>
    </row>
    <row r="941" spans="1:8" x14ac:dyDescent="0.25">
      <c r="A941" s="1"/>
      <c r="C941" s="1"/>
      <c r="E941" s="1">
        <v>42065</v>
      </c>
      <c r="F941">
        <v>32608.212958969099</v>
      </c>
      <c r="G941" s="1">
        <v>42065</v>
      </c>
      <c r="H941">
        <v>-1975</v>
      </c>
    </row>
    <row r="942" spans="1:8" x14ac:dyDescent="0.25">
      <c r="A942" s="1"/>
      <c r="C942" s="1"/>
      <c r="E942" s="1">
        <v>42066</v>
      </c>
      <c r="F942">
        <v>32551.923724807799</v>
      </c>
      <c r="G942" s="1">
        <v>42066</v>
      </c>
      <c r="H942">
        <v>-1850</v>
      </c>
    </row>
    <row r="943" spans="1:8" x14ac:dyDescent="0.25">
      <c r="A943" s="1"/>
      <c r="C943" s="1"/>
      <c r="E943" s="1">
        <v>42067</v>
      </c>
      <c r="F943">
        <v>32545.037633188</v>
      </c>
      <c r="G943" s="1">
        <v>42067</v>
      </c>
      <c r="H943">
        <v>-1875</v>
      </c>
    </row>
    <row r="944" spans="1:8" x14ac:dyDescent="0.25">
      <c r="A944" s="1"/>
      <c r="C944" s="1"/>
      <c r="E944" s="1">
        <v>42068</v>
      </c>
      <c r="F944">
        <v>32513.822383172799</v>
      </c>
      <c r="G944" s="1">
        <v>42068</v>
      </c>
      <c r="H944">
        <v>-1750</v>
      </c>
    </row>
    <row r="945" spans="1:8" x14ac:dyDescent="0.25">
      <c r="A945" s="1"/>
      <c r="C945" s="1"/>
      <c r="E945" s="1">
        <v>42069</v>
      </c>
      <c r="F945">
        <v>32472.624598748898</v>
      </c>
      <c r="G945" s="1">
        <v>42069</v>
      </c>
      <c r="H945">
        <v>-2050</v>
      </c>
    </row>
    <row r="946" spans="1:8" x14ac:dyDescent="0.25">
      <c r="A946" s="1"/>
      <c r="C946" s="1"/>
      <c r="E946" s="1">
        <v>42072</v>
      </c>
      <c r="F946">
        <v>32715.984111078</v>
      </c>
      <c r="G946" s="1">
        <v>42072</v>
      </c>
      <c r="H946">
        <v>-1700</v>
      </c>
    </row>
    <row r="947" spans="1:8" x14ac:dyDescent="0.25">
      <c r="A947" s="1"/>
      <c r="C947" s="1"/>
      <c r="E947" s="1">
        <v>42073</v>
      </c>
      <c r="F947">
        <v>32548.700053460801</v>
      </c>
      <c r="G947" s="1">
        <v>42073</v>
      </c>
      <c r="H947">
        <v>-1900</v>
      </c>
    </row>
    <row r="948" spans="1:8" x14ac:dyDescent="0.25">
      <c r="A948" s="1"/>
      <c r="C948" s="1"/>
      <c r="E948" s="1">
        <v>42074</v>
      </c>
      <c r="F948">
        <v>32713.934718377801</v>
      </c>
      <c r="G948" s="1">
        <v>42074</v>
      </c>
      <c r="H948">
        <v>-1675</v>
      </c>
    </row>
    <row r="949" spans="1:8" x14ac:dyDescent="0.25">
      <c r="A949" s="1"/>
      <c r="C949" s="1"/>
      <c r="E949" s="1">
        <v>42075</v>
      </c>
      <c r="F949">
        <v>32713.144320733802</v>
      </c>
      <c r="G949" s="1">
        <v>42075</v>
      </c>
      <c r="H949">
        <v>-1775</v>
      </c>
    </row>
    <row r="950" spans="1:8" x14ac:dyDescent="0.25">
      <c r="A950" s="1"/>
      <c r="C950" s="1"/>
      <c r="E950" s="1">
        <v>42076</v>
      </c>
      <c r="F950">
        <v>32898.283694513098</v>
      </c>
      <c r="G950" s="1">
        <v>42076</v>
      </c>
      <c r="H950">
        <v>-2187.5</v>
      </c>
    </row>
    <row r="951" spans="1:8" x14ac:dyDescent="0.25">
      <c r="A951" s="1"/>
      <c r="C951" s="1"/>
      <c r="E951" s="1">
        <v>42079</v>
      </c>
      <c r="F951">
        <v>32565.688094384899</v>
      </c>
      <c r="G951" s="1">
        <v>42079</v>
      </c>
      <c r="H951">
        <v>-2312.5</v>
      </c>
    </row>
    <row r="952" spans="1:8" x14ac:dyDescent="0.25">
      <c r="A952" s="1"/>
      <c r="C952" s="1"/>
      <c r="E952" s="1">
        <v>42080</v>
      </c>
      <c r="F952">
        <v>31361.0160362795</v>
      </c>
      <c r="G952" s="1">
        <v>42080</v>
      </c>
      <c r="H952">
        <v>-2712.5</v>
      </c>
    </row>
    <row r="953" spans="1:8" x14ac:dyDescent="0.25">
      <c r="A953" s="1"/>
      <c r="C953" s="1"/>
      <c r="E953" s="1">
        <v>42081</v>
      </c>
      <c r="F953">
        <v>31624.5094769075</v>
      </c>
      <c r="G953" s="1">
        <v>42081</v>
      </c>
      <c r="H953">
        <v>-2612.5</v>
      </c>
    </row>
    <row r="954" spans="1:8" x14ac:dyDescent="0.25">
      <c r="A954" s="1"/>
      <c r="C954" s="1"/>
      <c r="E954" s="1">
        <v>42082</v>
      </c>
      <c r="F954">
        <v>31638.6537866666</v>
      </c>
      <c r="G954" s="1">
        <v>42082</v>
      </c>
      <c r="H954">
        <v>-2612.5</v>
      </c>
    </row>
    <row r="955" spans="1:8" x14ac:dyDescent="0.25">
      <c r="A955" s="1"/>
      <c r="C955" s="1"/>
      <c r="E955" s="1">
        <v>42083</v>
      </c>
      <c r="F955">
        <v>33592.342324264297</v>
      </c>
      <c r="G955" s="1">
        <v>42083</v>
      </c>
      <c r="H955">
        <v>-1937.5</v>
      </c>
    </row>
    <row r="956" spans="1:8" x14ac:dyDescent="0.25">
      <c r="A956" s="1"/>
      <c r="C956" s="1"/>
      <c r="E956" s="1">
        <v>42086</v>
      </c>
      <c r="F956">
        <v>34008.115654952802</v>
      </c>
      <c r="G956" s="1">
        <v>42086</v>
      </c>
      <c r="H956">
        <v>-1700</v>
      </c>
    </row>
    <row r="957" spans="1:8" x14ac:dyDescent="0.25">
      <c r="A957" s="1"/>
      <c r="C957" s="1"/>
      <c r="E957" s="1">
        <v>42087</v>
      </c>
      <c r="F957">
        <v>34315.8765497282</v>
      </c>
      <c r="G957" s="1">
        <v>42087</v>
      </c>
      <c r="H957">
        <v>-1600</v>
      </c>
    </row>
    <row r="958" spans="1:8" x14ac:dyDescent="0.25">
      <c r="A958" s="1"/>
      <c r="C958" s="1"/>
      <c r="E958" s="1">
        <v>42088</v>
      </c>
      <c r="F958">
        <v>34153.213418014297</v>
      </c>
      <c r="G958" s="1">
        <v>42088</v>
      </c>
      <c r="H958">
        <v>-1475</v>
      </c>
    </row>
    <row r="959" spans="1:8" x14ac:dyDescent="0.25">
      <c r="A959" s="1"/>
      <c r="C959" s="1"/>
      <c r="E959" s="1">
        <v>42089</v>
      </c>
      <c r="F959">
        <v>34169.270165450798</v>
      </c>
      <c r="G959" s="1">
        <v>42089</v>
      </c>
      <c r="H959">
        <v>-1687.5</v>
      </c>
    </row>
    <row r="960" spans="1:8" x14ac:dyDescent="0.25">
      <c r="A960" s="1"/>
      <c r="C960" s="1"/>
      <c r="E960" s="1">
        <v>42090</v>
      </c>
      <c r="F960">
        <v>34241.621371500099</v>
      </c>
      <c r="G960" s="1">
        <v>42090</v>
      </c>
      <c r="H960">
        <v>-1700</v>
      </c>
    </row>
    <row r="961" spans="1:8" x14ac:dyDescent="0.25">
      <c r="A961" s="1"/>
      <c r="C961" s="1"/>
      <c r="E961" s="1">
        <v>42093</v>
      </c>
      <c r="F961">
        <v>34454.4318993017</v>
      </c>
      <c r="G961" s="1">
        <v>42093</v>
      </c>
      <c r="H961">
        <v>-1550</v>
      </c>
    </row>
    <row r="962" spans="1:8" x14ac:dyDescent="0.25">
      <c r="A962" s="1"/>
      <c r="C962" s="1"/>
      <c r="E962" s="1">
        <v>42094</v>
      </c>
      <c r="F962">
        <v>33817.145156137602</v>
      </c>
      <c r="G962" s="1">
        <v>42094</v>
      </c>
      <c r="H962">
        <v>-2400</v>
      </c>
    </row>
    <row r="963" spans="1:8" x14ac:dyDescent="0.25">
      <c r="A963" s="1"/>
      <c r="C963" s="1"/>
      <c r="E963" s="1">
        <v>42095</v>
      </c>
      <c r="F963">
        <v>33464.245993845099</v>
      </c>
      <c r="G963" s="1">
        <v>42095</v>
      </c>
      <c r="H963">
        <v>-2175</v>
      </c>
    </row>
    <row r="964" spans="1:8" x14ac:dyDescent="0.25">
      <c r="A964" s="1"/>
      <c r="C964" s="1"/>
      <c r="E964" s="1">
        <v>42096</v>
      </c>
      <c r="F964">
        <v>33262.394099466503</v>
      </c>
      <c r="G964" s="1">
        <v>42096</v>
      </c>
      <c r="H964">
        <v>-1887.5</v>
      </c>
    </row>
    <row r="965" spans="1:8" x14ac:dyDescent="0.25">
      <c r="A965" s="1"/>
      <c r="C965" s="1"/>
      <c r="E965" s="1">
        <v>42097</v>
      </c>
      <c r="F965">
        <v>33229.927664987699</v>
      </c>
      <c r="G965" s="1">
        <v>42097</v>
      </c>
      <c r="H965">
        <v>-1887.5</v>
      </c>
    </row>
    <row r="966" spans="1:8" x14ac:dyDescent="0.25">
      <c r="A966" s="1"/>
      <c r="C966" s="1"/>
      <c r="E966" s="1">
        <v>42100</v>
      </c>
      <c r="F966">
        <v>33376.902781717399</v>
      </c>
      <c r="G966" s="1">
        <v>42100</v>
      </c>
      <c r="H966">
        <v>-1975</v>
      </c>
    </row>
    <row r="967" spans="1:8" x14ac:dyDescent="0.25">
      <c r="A967" s="1"/>
      <c r="C967" s="1"/>
      <c r="E967" s="1">
        <v>42101</v>
      </c>
      <c r="F967">
        <v>33498.288989298002</v>
      </c>
      <c r="G967" s="1">
        <v>42101</v>
      </c>
      <c r="H967">
        <v>-2100</v>
      </c>
    </row>
    <row r="968" spans="1:8" x14ac:dyDescent="0.25">
      <c r="A968" s="1"/>
      <c r="C968" s="1"/>
      <c r="E968" s="1">
        <v>42102</v>
      </c>
      <c r="F968">
        <v>33712.683551065602</v>
      </c>
      <c r="G968" s="1">
        <v>42102</v>
      </c>
      <c r="H968">
        <v>-2337.5</v>
      </c>
    </row>
    <row r="969" spans="1:8" x14ac:dyDescent="0.25">
      <c r="A969" s="1"/>
      <c r="C969" s="1"/>
      <c r="E969" s="1">
        <v>42103</v>
      </c>
      <c r="F969">
        <v>33688.930604927198</v>
      </c>
      <c r="G969" s="1">
        <v>42103</v>
      </c>
      <c r="H969">
        <v>-2312.5</v>
      </c>
    </row>
    <row r="970" spans="1:8" x14ac:dyDescent="0.25">
      <c r="A970" s="1"/>
      <c r="C970" s="1"/>
      <c r="E970" s="1">
        <v>42104</v>
      </c>
      <c r="F970">
        <v>33849.093790046798</v>
      </c>
      <c r="G970" s="1">
        <v>42104</v>
      </c>
      <c r="H970">
        <v>-2437.5</v>
      </c>
    </row>
    <row r="971" spans="1:8" x14ac:dyDescent="0.25">
      <c r="A971" s="1"/>
      <c r="C971" s="1"/>
      <c r="E971" s="1">
        <v>42107</v>
      </c>
      <c r="F971">
        <v>33883.767324440101</v>
      </c>
      <c r="G971" s="1">
        <v>42107</v>
      </c>
      <c r="H971">
        <v>-2650</v>
      </c>
    </row>
    <row r="972" spans="1:8" x14ac:dyDescent="0.25">
      <c r="A972" s="1"/>
      <c r="C972" s="1"/>
      <c r="E972" s="1">
        <v>42108</v>
      </c>
      <c r="F972">
        <v>33854.277767173902</v>
      </c>
      <c r="G972" s="1">
        <v>42108</v>
      </c>
      <c r="H972">
        <v>-2525</v>
      </c>
    </row>
    <row r="973" spans="1:8" x14ac:dyDescent="0.25">
      <c r="A973" s="1"/>
      <c r="C973" s="1"/>
      <c r="E973" s="1">
        <v>42109</v>
      </c>
      <c r="F973">
        <v>33848.277767173902</v>
      </c>
      <c r="G973" s="1">
        <v>42109</v>
      </c>
      <c r="H973">
        <v>-2475</v>
      </c>
    </row>
    <row r="974" spans="1:8" x14ac:dyDescent="0.25">
      <c r="A974" s="1"/>
      <c r="C974" s="1"/>
      <c r="E974" s="1">
        <v>42110</v>
      </c>
      <c r="F974">
        <v>33836.729949943699</v>
      </c>
      <c r="G974" s="1">
        <v>42110</v>
      </c>
      <c r="H974">
        <v>-2362.5</v>
      </c>
    </row>
    <row r="975" spans="1:8" x14ac:dyDescent="0.25">
      <c r="A975" s="1"/>
      <c r="C975" s="1"/>
      <c r="E975" s="1">
        <v>42111</v>
      </c>
      <c r="F975">
        <v>33818.729949943699</v>
      </c>
      <c r="G975" s="1">
        <v>42111</v>
      </c>
      <c r="H975">
        <v>-2312.5</v>
      </c>
    </row>
    <row r="976" spans="1:8" x14ac:dyDescent="0.25">
      <c r="A976" s="1"/>
      <c r="C976" s="1"/>
      <c r="E976" s="1">
        <v>42114</v>
      </c>
      <c r="F976">
        <v>33739.460409156898</v>
      </c>
      <c r="G976" s="1">
        <v>42114</v>
      </c>
      <c r="H976">
        <v>-2300</v>
      </c>
    </row>
    <row r="977" spans="1:8" x14ac:dyDescent="0.25">
      <c r="A977" s="1"/>
      <c r="C977" s="1"/>
      <c r="E977" s="1">
        <v>42115</v>
      </c>
      <c r="F977">
        <v>33715.9430580064</v>
      </c>
      <c r="G977" s="1">
        <v>42115</v>
      </c>
      <c r="H977">
        <v>-2587.5</v>
      </c>
    </row>
    <row r="978" spans="1:8" x14ac:dyDescent="0.25">
      <c r="A978" s="1"/>
      <c r="C978" s="1"/>
      <c r="E978" s="1">
        <v>42116</v>
      </c>
      <c r="F978">
        <v>33674.588294975401</v>
      </c>
      <c r="G978" s="1">
        <v>42116</v>
      </c>
      <c r="H978">
        <v>-2612.5</v>
      </c>
    </row>
    <row r="979" spans="1:8" x14ac:dyDescent="0.25">
      <c r="A979" s="1"/>
      <c r="C979" s="1"/>
      <c r="E979" s="1">
        <v>42117</v>
      </c>
      <c r="F979">
        <v>33662.588294975401</v>
      </c>
      <c r="G979" s="1">
        <v>42117</v>
      </c>
      <c r="H979">
        <v>-2475</v>
      </c>
    </row>
    <row r="980" spans="1:8" x14ac:dyDescent="0.25">
      <c r="A980" s="1"/>
      <c r="C980" s="1"/>
      <c r="E980" s="1">
        <v>42118</v>
      </c>
      <c r="F980">
        <v>34287.554969780103</v>
      </c>
      <c r="G980" s="1">
        <v>42118</v>
      </c>
      <c r="H980">
        <v>-2962.5</v>
      </c>
    </row>
    <row r="981" spans="1:8" x14ac:dyDescent="0.25">
      <c r="A981" s="1"/>
      <c r="C981" s="1"/>
      <c r="E981" s="1">
        <v>42121</v>
      </c>
      <c r="F981">
        <v>34200.616615287901</v>
      </c>
      <c r="G981" s="1">
        <v>42121</v>
      </c>
      <c r="H981">
        <v>-3150</v>
      </c>
    </row>
    <row r="982" spans="1:8" x14ac:dyDescent="0.25">
      <c r="A982" s="1"/>
      <c r="C982" s="1"/>
      <c r="E982" s="1">
        <v>42122</v>
      </c>
      <c r="F982">
        <v>34215.3531455919</v>
      </c>
      <c r="G982" s="1">
        <v>42122</v>
      </c>
      <c r="H982">
        <v>-3112.5</v>
      </c>
    </row>
    <row r="983" spans="1:8" x14ac:dyDescent="0.25">
      <c r="A983" s="1"/>
      <c r="C983" s="1"/>
      <c r="E983" s="1">
        <v>42123</v>
      </c>
      <c r="F983">
        <v>34352.556301109398</v>
      </c>
      <c r="G983" s="1">
        <v>42123</v>
      </c>
      <c r="H983">
        <v>-3075</v>
      </c>
    </row>
    <row r="984" spans="1:8" x14ac:dyDescent="0.25">
      <c r="A984" s="1"/>
      <c r="C984" s="1"/>
      <c r="E984" s="1">
        <v>42124</v>
      </c>
      <c r="F984">
        <v>34186.393596641698</v>
      </c>
      <c r="G984" s="1">
        <v>42124</v>
      </c>
      <c r="H984">
        <v>-3175</v>
      </c>
    </row>
    <row r="985" spans="1:8" x14ac:dyDescent="0.25">
      <c r="A985" s="1"/>
      <c r="C985" s="1"/>
      <c r="E985" s="1">
        <v>42125</v>
      </c>
      <c r="F985">
        <v>34120.164302818397</v>
      </c>
      <c r="G985" s="1">
        <v>42125</v>
      </c>
      <c r="H985">
        <v>-3300</v>
      </c>
    </row>
    <row r="986" spans="1:8" x14ac:dyDescent="0.25">
      <c r="A986" s="1"/>
      <c r="C986" s="1"/>
      <c r="E986" s="1">
        <v>42128</v>
      </c>
      <c r="F986">
        <v>34192.850961916098</v>
      </c>
      <c r="G986" s="1">
        <v>42128</v>
      </c>
      <c r="H986">
        <v>-3225</v>
      </c>
    </row>
    <row r="987" spans="1:8" x14ac:dyDescent="0.25">
      <c r="A987" s="1"/>
      <c r="C987" s="1"/>
      <c r="E987" s="1">
        <v>42129</v>
      </c>
      <c r="F987">
        <v>33929.292646638998</v>
      </c>
      <c r="G987" s="1">
        <v>42129</v>
      </c>
      <c r="H987">
        <v>-3287.5</v>
      </c>
    </row>
    <row r="988" spans="1:8" x14ac:dyDescent="0.25">
      <c r="A988" s="1"/>
      <c r="C988" s="1"/>
      <c r="E988" s="1">
        <v>42130</v>
      </c>
      <c r="F988">
        <v>34308.363722078502</v>
      </c>
      <c r="G988" s="1">
        <v>42130</v>
      </c>
      <c r="H988">
        <v>-2950</v>
      </c>
    </row>
    <row r="989" spans="1:8" x14ac:dyDescent="0.25">
      <c r="A989" s="1"/>
      <c r="C989" s="1"/>
      <c r="E989" s="1">
        <v>42131</v>
      </c>
      <c r="F989">
        <v>33533.029226534003</v>
      </c>
      <c r="G989" s="1">
        <v>42131</v>
      </c>
      <c r="H989">
        <v>-3325</v>
      </c>
    </row>
    <row r="990" spans="1:8" x14ac:dyDescent="0.25">
      <c r="A990" s="1"/>
      <c r="C990" s="1"/>
      <c r="E990" s="1">
        <v>42132</v>
      </c>
      <c r="F990">
        <v>33547.3736197873</v>
      </c>
      <c r="G990" s="1">
        <v>42132</v>
      </c>
      <c r="H990">
        <v>-3400</v>
      </c>
    </row>
    <row r="991" spans="1:8" x14ac:dyDescent="0.25">
      <c r="A991" s="1"/>
      <c r="C991" s="1"/>
      <c r="E991" s="1">
        <v>42135</v>
      </c>
      <c r="F991">
        <v>32987.831406347403</v>
      </c>
      <c r="G991" s="1">
        <v>42135</v>
      </c>
      <c r="H991">
        <v>-3362.5</v>
      </c>
    </row>
    <row r="992" spans="1:8" x14ac:dyDescent="0.25">
      <c r="A992" s="1"/>
      <c r="C992" s="1"/>
      <c r="E992" s="1">
        <v>42136</v>
      </c>
      <c r="F992">
        <v>33534.281105749302</v>
      </c>
      <c r="G992" s="1">
        <v>42136</v>
      </c>
      <c r="H992">
        <v>-3300</v>
      </c>
    </row>
    <row r="993" spans="1:8" x14ac:dyDescent="0.25">
      <c r="A993" s="1"/>
      <c r="C993" s="1"/>
      <c r="E993" s="1">
        <v>42137</v>
      </c>
      <c r="F993">
        <v>33212.503517858597</v>
      </c>
      <c r="G993" s="1">
        <v>42137</v>
      </c>
      <c r="H993">
        <v>-3387.5</v>
      </c>
    </row>
    <row r="994" spans="1:8" x14ac:dyDescent="0.25">
      <c r="A994" s="1"/>
      <c r="C994" s="1"/>
      <c r="E994" s="1">
        <v>42138</v>
      </c>
      <c r="F994">
        <v>33932.267250768797</v>
      </c>
      <c r="G994" s="1">
        <v>42138</v>
      </c>
      <c r="H994">
        <v>-3062.5</v>
      </c>
    </row>
    <row r="995" spans="1:8" x14ac:dyDescent="0.25">
      <c r="A995" s="1"/>
      <c r="C995" s="1"/>
      <c r="E995" s="1">
        <v>42139</v>
      </c>
      <c r="F995">
        <v>33511.732903234602</v>
      </c>
      <c r="G995" s="1">
        <v>42139</v>
      </c>
      <c r="H995">
        <v>-3212.5</v>
      </c>
    </row>
    <row r="996" spans="1:8" x14ac:dyDescent="0.25">
      <c r="A996" s="1"/>
      <c r="C996" s="1"/>
      <c r="E996" s="1">
        <v>42142</v>
      </c>
      <c r="F996">
        <v>33724.0617186948</v>
      </c>
      <c r="G996" s="1">
        <v>42142</v>
      </c>
      <c r="H996">
        <v>-2937.5</v>
      </c>
    </row>
    <row r="997" spans="1:8" x14ac:dyDescent="0.25">
      <c r="A997" s="1"/>
      <c r="C997" s="1"/>
      <c r="E997" s="1">
        <v>42143</v>
      </c>
      <c r="F997">
        <v>33237.180645696797</v>
      </c>
      <c r="G997" s="1">
        <v>42143</v>
      </c>
      <c r="H997">
        <v>-3350</v>
      </c>
    </row>
    <row r="998" spans="1:8" x14ac:dyDescent="0.25">
      <c r="A998" s="1"/>
      <c r="C998" s="1"/>
      <c r="E998" s="1">
        <v>42144</v>
      </c>
      <c r="F998">
        <v>33196.023020498396</v>
      </c>
      <c r="G998" s="1">
        <v>42144</v>
      </c>
      <c r="H998">
        <v>-3450</v>
      </c>
    </row>
    <row r="999" spans="1:8" x14ac:dyDescent="0.25">
      <c r="A999" s="1"/>
      <c r="C999" s="1"/>
      <c r="E999" s="1">
        <v>42145</v>
      </c>
      <c r="F999">
        <v>33024.827952139</v>
      </c>
      <c r="G999" s="1">
        <v>42145</v>
      </c>
      <c r="H999">
        <v>-3200</v>
      </c>
    </row>
    <row r="1000" spans="1:8" x14ac:dyDescent="0.25">
      <c r="A1000" s="1"/>
      <c r="C1000" s="1"/>
      <c r="E1000" s="1">
        <v>42146</v>
      </c>
      <c r="F1000">
        <v>33252.220560781599</v>
      </c>
      <c r="G1000" s="1">
        <v>42146</v>
      </c>
      <c r="H1000">
        <v>-3400</v>
      </c>
    </row>
    <row r="1001" spans="1:8" x14ac:dyDescent="0.25">
      <c r="A1001" s="1"/>
      <c r="C1001" s="1"/>
      <c r="E1001" s="1">
        <v>42150</v>
      </c>
      <c r="F1001">
        <v>33855.130152456397</v>
      </c>
      <c r="G1001" s="1">
        <v>42150</v>
      </c>
      <c r="H1001">
        <v>-3737.5</v>
      </c>
    </row>
    <row r="1002" spans="1:8" x14ac:dyDescent="0.25">
      <c r="A1002" s="1"/>
      <c r="C1002" s="1"/>
      <c r="E1002" s="1">
        <v>42151</v>
      </c>
      <c r="F1002">
        <v>33676.640452139</v>
      </c>
      <c r="G1002" s="1">
        <v>42151</v>
      </c>
      <c r="H1002">
        <v>-3937.5</v>
      </c>
    </row>
    <row r="1003" spans="1:8" x14ac:dyDescent="0.25">
      <c r="A1003" s="1"/>
      <c r="C1003" s="1"/>
      <c r="E1003" s="1">
        <v>42152</v>
      </c>
      <c r="F1003">
        <v>33907.022791616597</v>
      </c>
      <c r="G1003" s="1">
        <v>42152</v>
      </c>
      <c r="H1003">
        <v>-3750</v>
      </c>
    </row>
    <row r="1004" spans="1:8" x14ac:dyDescent="0.25">
      <c r="A1004" s="1"/>
      <c r="C1004" s="1"/>
      <c r="E1004" s="1">
        <v>42153</v>
      </c>
      <c r="F1004">
        <v>33670.105677358799</v>
      </c>
      <c r="G1004" s="1">
        <v>42153</v>
      </c>
      <c r="H1004">
        <v>-3912.5</v>
      </c>
    </row>
    <row r="1005" spans="1:8" x14ac:dyDescent="0.25">
      <c r="A1005" s="1"/>
      <c r="C1005" s="1"/>
      <c r="E1005" s="1">
        <v>42156</v>
      </c>
      <c r="F1005">
        <v>33704.768748037503</v>
      </c>
      <c r="G1005" s="1">
        <v>42156</v>
      </c>
      <c r="H1005">
        <v>-3837.5</v>
      </c>
    </row>
    <row r="1006" spans="1:8" x14ac:dyDescent="0.25">
      <c r="A1006" s="1"/>
      <c r="C1006" s="1"/>
      <c r="E1006" s="1">
        <v>42157</v>
      </c>
      <c r="F1006">
        <v>33953.966257803098</v>
      </c>
      <c r="G1006" s="1">
        <v>42157</v>
      </c>
      <c r="H1006">
        <v>-3475</v>
      </c>
    </row>
    <row r="1007" spans="1:8" x14ac:dyDescent="0.25">
      <c r="A1007" s="1"/>
      <c r="C1007" s="1"/>
      <c r="E1007" s="1">
        <v>42158</v>
      </c>
      <c r="F1007">
        <v>33938.343760244497</v>
      </c>
      <c r="G1007" s="1">
        <v>42158</v>
      </c>
      <c r="H1007">
        <v>-3562.5</v>
      </c>
    </row>
    <row r="1008" spans="1:8" x14ac:dyDescent="0.25">
      <c r="A1008" s="1"/>
      <c r="C1008" s="1"/>
      <c r="E1008" s="1">
        <v>42159</v>
      </c>
      <c r="F1008">
        <v>33765.071528188797</v>
      </c>
      <c r="G1008" s="1">
        <v>42159</v>
      </c>
      <c r="H1008">
        <v>-3262.5</v>
      </c>
    </row>
    <row r="1009" spans="1:8" x14ac:dyDescent="0.25">
      <c r="A1009" s="1"/>
      <c r="C1009" s="1"/>
      <c r="E1009" s="1">
        <v>42160</v>
      </c>
      <c r="F1009">
        <v>33947.6350810453</v>
      </c>
      <c r="G1009" s="1">
        <v>42160</v>
      </c>
      <c r="H1009">
        <v>-3425</v>
      </c>
    </row>
    <row r="1010" spans="1:8" x14ac:dyDescent="0.25">
      <c r="A1010" s="1"/>
      <c r="C1010" s="1"/>
      <c r="E1010" s="1">
        <v>42163</v>
      </c>
      <c r="F1010">
        <v>33566.596155874402</v>
      </c>
      <c r="G1010" s="1">
        <v>42163</v>
      </c>
      <c r="H1010">
        <v>-3212.5</v>
      </c>
    </row>
    <row r="1011" spans="1:8" x14ac:dyDescent="0.25">
      <c r="A1011" s="1"/>
      <c r="C1011" s="1"/>
      <c r="E1011" s="1">
        <v>42164</v>
      </c>
      <c r="F1011">
        <v>33499.943817846397</v>
      </c>
      <c r="G1011" s="1">
        <v>42164</v>
      </c>
      <c r="H1011">
        <v>-3175</v>
      </c>
    </row>
    <row r="1012" spans="1:8" x14ac:dyDescent="0.25">
      <c r="A1012" s="1"/>
      <c r="C1012" s="1"/>
      <c r="E1012" s="1">
        <v>42165</v>
      </c>
      <c r="F1012">
        <v>33930.894104711697</v>
      </c>
      <c r="G1012" s="1">
        <v>42165</v>
      </c>
      <c r="H1012">
        <v>-3475</v>
      </c>
    </row>
    <row r="1013" spans="1:8" x14ac:dyDescent="0.25">
      <c r="A1013" s="1"/>
      <c r="C1013" s="1"/>
      <c r="E1013" s="1">
        <v>42166</v>
      </c>
      <c r="F1013">
        <v>34002.446442358101</v>
      </c>
      <c r="G1013" s="1">
        <v>42166</v>
      </c>
      <c r="H1013">
        <v>-3675</v>
      </c>
    </row>
    <row r="1014" spans="1:8" x14ac:dyDescent="0.25">
      <c r="A1014" s="1"/>
      <c r="C1014" s="1"/>
      <c r="E1014" s="1">
        <v>42167</v>
      </c>
      <c r="F1014">
        <v>34062.357590429398</v>
      </c>
      <c r="G1014" s="1">
        <v>42167</v>
      </c>
      <c r="H1014">
        <v>-3775</v>
      </c>
    </row>
    <row r="1015" spans="1:8" x14ac:dyDescent="0.25">
      <c r="A1015" s="1"/>
      <c r="C1015" s="1"/>
      <c r="E1015" s="1">
        <v>42170</v>
      </c>
      <c r="F1015">
        <v>33760.631943456799</v>
      </c>
      <c r="G1015" s="1">
        <v>42170</v>
      </c>
      <c r="H1015">
        <v>-4050</v>
      </c>
    </row>
    <row r="1016" spans="1:8" x14ac:dyDescent="0.25">
      <c r="A1016" s="1"/>
      <c r="C1016" s="1"/>
      <c r="E1016" s="1">
        <v>42171</v>
      </c>
      <c r="F1016">
        <v>33974.580025427</v>
      </c>
      <c r="G1016" s="1">
        <v>42171</v>
      </c>
      <c r="H1016">
        <v>-3862.5</v>
      </c>
    </row>
    <row r="1017" spans="1:8" x14ac:dyDescent="0.25">
      <c r="A1017" s="1"/>
      <c r="C1017" s="1"/>
      <c r="E1017" s="1">
        <v>42172</v>
      </c>
      <c r="F1017">
        <v>34543.170418493399</v>
      </c>
      <c r="G1017" s="1">
        <v>42172</v>
      </c>
      <c r="H1017">
        <v>-3537.5</v>
      </c>
    </row>
    <row r="1018" spans="1:8" x14ac:dyDescent="0.25">
      <c r="A1018" s="1"/>
      <c r="C1018" s="1"/>
      <c r="E1018" s="1">
        <v>42173</v>
      </c>
      <c r="F1018">
        <v>34638.439125768797</v>
      </c>
      <c r="G1018" s="1">
        <v>42173</v>
      </c>
      <c r="H1018">
        <v>-3487.5</v>
      </c>
    </row>
    <row r="1019" spans="1:8" x14ac:dyDescent="0.25">
      <c r="A1019" s="1"/>
      <c r="C1019" s="1"/>
      <c r="E1019" s="1">
        <v>42174</v>
      </c>
      <c r="F1019">
        <v>34482.893013708199</v>
      </c>
      <c r="G1019" s="1">
        <v>42174</v>
      </c>
      <c r="H1019">
        <v>-3712.5</v>
      </c>
    </row>
    <row r="1020" spans="1:8" x14ac:dyDescent="0.25">
      <c r="A1020" s="1"/>
      <c r="C1020" s="1"/>
      <c r="E1020" s="1">
        <v>42177</v>
      </c>
      <c r="F1020">
        <v>34551.1119010373</v>
      </c>
      <c r="G1020" s="1">
        <v>42177</v>
      </c>
      <c r="H1020">
        <v>-3525</v>
      </c>
    </row>
    <row r="1021" spans="1:8" x14ac:dyDescent="0.25">
      <c r="A1021" s="1"/>
      <c r="C1021" s="1"/>
      <c r="E1021" s="1">
        <v>42178</v>
      </c>
      <c r="F1021">
        <v>34512.337334386997</v>
      </c>
      <c r="G1021" s="1">
        <v>42178</v>
      </c>
      <c r="H1021">
        <v>-3100</v>
      </c>
    </row>
    <row r="1022" spans="1:8" x14ac:dyDescent="0.25">
      <c r="A1022" s="1"/>
      <c r="C1022" s="1"/>
      <c r="E1022" s="1">
        <v>42179</v>
      </c>
      <c r="F1022">
        <v>34367.2705733701</v>
      </c>
      <c r="G1022" s="1">
        <v>42179</v>
      </c>
      <c r="H1022">
        <v>-3062.5</v>
      </c>
    </row>
    <row r="1023" spans="1:8" x14ac:dyDescent="0.25">
      <c r="A1023" s="1"/>
      <c r="C1023" s="1"/>
      <c r="E1023" s="1">
        <v>42180</v>
      </c>
      <c r="F1023">
        <v>34004.3293960019</v>
      </c>
      <c r="G1023" s="1">
        <v>42180</v>
      </c>
      <c r="H1023">
        <v>-2675</v>
      </c>
    </row>
    <row r="1024" spans="1:8" x14ac:dyDescent="0.25">
      <c r="A1024" s="1"/>
      <c r="C1024" s="1"/>
      <c r="E1024" s="1">
        <v>42181</v>
      </c>
      <c r="F1024">
        <v>34533.849293462903</v>
      </c>
      <c r="G1024" s="1">
        <v>42181</v>
      </c>
      <c r="H1024">
        <v>-2175</v>
      </c>
    </row>
    <row r="1025" spans="1:8" x14ac:dyDescent="0.25">
      <c r="A1025" s="1"/>
      <c r="C1025" s="1"/>
      <c r="E1025" s="1">
        <v>42184</v>
      </c>
      <c r="F1025">
        <v>34476.688679449202</v>
      </c>
      <c r="G1025" s="1">
        <v>42184</v>
      </c>
      <c r="H1025">
        <v>-2175</v>
      </c>
    </row>
    <row r="1026" spans="1:8" x14ac:dyDescent="0.25">
      <c r="A1026" s="1"/>
      <c r="C1026" s="1"/>
      <c r="E1026" s="1">
        <v>42185</v>
      </c>
      <c r="F1026">
        <v>33786.571797124998</v>
      </c>
      <c r="G1026" s="1">
        <v>42185</v>
      </c>
      <c r="H1026">
        <v>-950</v>
      </c>
    </row>
    <row r="1027" spans="1:8" x14ac:dyDescent="0.25">
      <c r="A1027" s="1"/>
      <c r="C1027" s="1"/>
      <c r="E1027" s="1">
        <v>42186</v>
      </c>
      <c r="F1027">
        <v>33775.820042364299</v>
      </c>
      <c r="G1027" s="1">
        <v>42186</v>
      </c>
      <c r="H1027">
        <v>-1075</v>
      </c>
    </row>
    <row r="1028" spans="1:8" x14ac:dyDescent="0.25">
      <c r="A1028" s="1"/>
      <c r="C1028" s="1"/>
      <c r="E1028" s="1">
        <v>42187</v>
      </c>
      <c r="F1028">
        <v>33472.503941290001</v>
      </c>
      <c r="G1028" s="1">
        <v>42187</v>
      </c>
      <c r="H1028">
        <v>-450</v>
      </c>
    </row>
    <row r="1029" spans="1:8" x14ac:dyDescent="0.25">
      <c r="A1029" s="1"/>
      <c r="C1029" s="1"/>
      <c r="E1029" s="1">
        <v>42191</v>
      </c>
      <c r="F1029">
        <v>33481.6417920514</v>
      </c>
      <c r="G1029" s="1">
        <v>42191</v>
      </c>
      <c r="H1029">
        <v>-525</v>
      </c>
    </row>
    <row r="1030" spans="1:8" x14ac:dyDescent="0.25">
      <c r="A1030" s="1"/>
      <c r="C1030" s="1"/>
      <c r="E1030" s="1">
        <v>42192</v>
      </c>
      <c r="F1030">
        <v>33640.160011045598</v>
      </c>
      <c r="G1030" s="1">
        <v>42192</v>
      </c>
      <c r="H1030">
        <v>-637.5</v>
      </c>
    </row>
    <row r="1031" spans="1:8" x14ac:dyDescent="0.25">
      <c r="A1031" s="1"/>
      <c r="C1031" s="1"/>
      <c r="E1031" s="1">
        <v>42193</v>
      </c>
      <c r="F1031">
        <v>33358.175361387403</v>
      </c>
      <c r="G1031" s="1">
        <v>42193</v>
      </c>
      <c r="H1031">
        <v>-612.5</v>
      </c>
    </row>
    <row r="1032" spans="1:8" x14ac:dyDescent="0.25">
      <c r="A1032" s="1"/>
      <c r="C1032" s="1"/>
      <c r="E1032" s="1">
        <v>42194</v>
      </c>
      <c r="F1032">
        <v>33185.104621641301</v>
      </c>
      <c r="G1032" s="1">
        <v>42194</v>
      </c>
      <c r="H1032">
        <v>-275</v>
      </c>
    </row>
    <row r="1033" spans="1:8" x14ac:dyDescent="0.25">
      <c r="A1033" s="1"/>
      <c r="C1033" s="1"/>
      <c r="E1033" s="1">
        <v>42195</v>
      </c>
      <c r="F1033">
        <v>33092.584594480599</v>
      </c>
      <c r="G1033" s="1">
        <v>42195</v>
      </c>
      <c r="H1033">
        <v>-37.5</v>
      </c>
    </row>
    <row r="1034" spans="1:8" x14ac:dyDescent="0.25">
      <c r="A1034" s="1"/>
      <c r="C1034" s="1"/>
      <c r="E1034" s="1">
        <v>42198</v>
      </c>
      <c r="F1034">
        <v>32896.204925291197</v>
      </c>
      <c r="G1034" s="1">
        <v>42198</v>
      </c>
      <c r="H1034">
        <v>250</v>
      </c>
    </row>
    <row r="1035" spans="1:8" x14ac:dyDescent="0.25">
      <c r="A1035" s="1"/>
      <c r="C1035" s="1"/>
      <c r="E1035" s="1">
        <v>42199</v>
      </c>
      <c r="F1035">
        <v>33041.220138303899</v>
      </c>
      <c r="G1035" s="1">
        <v>42199</v>
      </c>
      <c r="H1035">
        <v>-237.5</v>
      </c>
    </row>
    <row r="1036" spans="1:8" x14ac:dyDescent="0.25">
      <c r="A1036" s="1"/>
      <c r="C1036" s="1"/>
      <c r="E1036" s="1">
        <v>42200</v>
      </c>
      <c r="F1036">
        <v>33121.9823834821</v>
      </c>
      <c r="G1036" s="1">
        <v>42200</v>
      </c>
      <c r="H1036">
        <v>-437.5</v>
      </c>
    </row>
    <row r="1037" spans="1:8" x14ac:dyDescent="0.25">
      <c r="A1037" s="1"/>
      <c r="C1037" s="1"/>
      <c r="E1037" s="1">
        <v>42201</v>
      </c>
      <c r="F1037">
        <v>32912.749381773101</v>
      </c>
      <c r="G1037" s="1">
        <v>42201</v>
      </c>
      <c r="H1037">
        <v>-275</v>
      </c>
    </row>
    <row r="1038" spans="1:8" x14ac:dyDescent="0.25">
      <c r="A1038" s="1"/>
      <c r="C1038" s="1"/>
      <c r="E1038" s="1">
        <v>42202</v>
      </c>
      <c r="F1038">
        <v>33140.912437193001</v>
      </c>
      <c r="G1038" s="1">
        <v>42202</v>
      </c>
      <c r="H1038">
        <v>-812.5</v>
      </c>
    </row>
    <row r="1039" spans="1:8" x14ac:dyDescent="0.25">
      <c r="A1039" s="1"/>
      <c r="C1039" s="1"/>
      <c r="E1039" s="1">
        <v>42205</v>
      </c>
      <c r="F1039">
        <v>32535.5888898298</v>
      </c>
      <c r="G1039" s="1">
        <v>42205</v>
      </c>
      <c r="H1039">
        <v>-1500</v>
      </c>
    </row>
    <row r="1040" spans="1:8" x14ac:dyDescent="0.25">
      <c r="A1040" s="1"/>
      <c r="C1040" s="1"/>
      <c r="E1040" s="1">
        <v>42206</v>
      </c>
      <c r="F1040">
        <v>32521.673202268699</v>
      </c>
      <c r="G1040" s="1">
        <v>42206</v>
      </c>
      <c r="H1040">
        <v>-1437.5</v>
      </c>
    </row>
    <row r="1041" spans="1:8" x14ac:dyDescent="0.25">
      <c r="A1041" s="1"/>
      <c r="C1041" s="1"/>
      <c r="E1041" s="1">
        <v>42207</v>
      </c>
      <c r="F1041">
        <v>32048.1522071287</v>
      </c>
      <c r="G1041" s="1">
        <v>42207</v>
      </c>
      <c r="H1041">
        <v>-1700</v>
      </c>
    </row>
    <row r="1042" spans="1:8" x14ac:dyDescent="0.25">
      <c r="A1042" s="1"/>
      <c r="C1042" s="1"/>
      <c r="E1042" s="1">
        <v>42208</v>
      </c>
      <c r="F1042">
        <v>32003.396305792001</v>
      </c>
      <c r="G1042" s="1">
        <v>42208</v>
      </c>
      <c r="H1042">
        <v>-1762.5</v>
      </c>
    </row>
    <row r="1043" spans="1:8" x14ac:dyDescent="0.25">
      <c r="A1043" s="1"/>
      <c r="C1043" s="1"/>
      <c r="E1043" s="1">
        <v>42209</v>
      </c>
      <c r="F1043">
        <v>31686.608616582998</v>
      </c>
      <c r="G1043" s="1">
        <v>42209</v>
      </c>
      <c r="H1043">
        <v>-2075</v>
      </c>
    </row>
    <row r="1044" spans="1:8" x14ac:dyDescent="0.25">
      <c r="A1044" s="1"/>
      <c r="C1044" s="1"/>
      <c r="E1044" s="1">
        <v>42212</v>
      </c>
      <c r="F1044">
        <v>31040.846897832998</v>
      </c>
      <c r="G1044" s="1">
        <v>42212</v>
      </c>
      <c r="H1044">
        <v>-2962.5</v>
      </c>
    </row>
    <row r="1045" spans="1:8" x14ac:dyDescent="0.25">
      <c r="A1045" s="1"/>
      <c r="C1045" s="1"/>
      <c r="E1045" s="1">
        <v>42213</v>
      </c>
      <c r="F1045">
        <v>30724.461254827602</v>
      </c>
      <c r="G1045" s="1">
        <v>42213</v>
      </c>
      <c r="H1045">
        <v>-3262.5</v>
      </c>
    </row>
    <row r="1046" spans="1:8" x14ac:dyDescent="0.25">
      <c r="A1046" s="1"/>
      <c r="C1046" s="1"/>
      <c r="E1046" s="1">
        <v>42214</v>
      </c>
      <c r="F1046">
        <v>30500.4388625547</v>
      </c>
      <c r="G1046" s="1">
        <v>42214</v>
      </c>
      <c r="H1046">
        <v>-3362.5</v>
      </c>
    </row>
    <row r="1047" spans="1:8" x14ac:dyDescent="0.25">
      <c r="A1047" s="1"/>
      <c r="C1047" s="1"/>
      <c r="E1047" s="1">
        <v>42215</v>
      </c>
      <c r="F1047">
        <v>30577.952221624499</v>
      </c>
      <c r="G1047" s="1">
        <v>42215</v>
      </c>
      <c r="H1047">
        <v>-3262.5</v>
      </c>
    </row>
    <row r="1048" spans="1:8" x14ac:dyDescent="0.25">
      <c r="A1048" s="1"/>
      <c r="C1048" s="1"/>
      <c r="E1048" s="1">
        <v>42216</v>
      </c>
      <c r="F1048">
        <v>30853.3108184263</v>
      </c>
      <c r="G1048" s="1">
        <v>42216</v>
      </c>
      <c r="H1048">
        <v>-3087.5</v>
      </c>
    </row>
    <row r="1049" spans="1:8" x14ac:dyDescent="0.25">
      <c r="A1049" s="1"/>
      <c r="C1049" s="1"/>
      <c r="E1049" s="1">
        <v>42219</v>
      </c>
      <c r="F1049">
        <v>30517.712658636199</v>
      </c>
      <c r="G1049" s="1">
        <v>42219</v>
      </c>
      <c r="H1049">
        <v>-3387.5</v>
      </c>
    </row>
    <row r="1050" spans="1:8" x14ac:dyDescent="0.25">
      <c r="A1050" s="1"/>
      <c r="C1050" s="1"/>
      <c r="E1050" s="1">
        <v>42220</v>
      </c>
      <c r="F1050">
        <v>30641.298619024401</v>
      </c>
      <c r="G1050" s="1">
        <v>42220</v>
      </c>
      <c r="H1050">
        <v>-3462.5</v>
      </c>
    </row>
    <row r="1051" spans="1:8" x14ac:dyDescent="0.25">
      <c r="A1051" s="1"/>
      <c r="C1051" s="1"/>
      <c r="E1051" s="1">
        <v>42221</v>
      </c>
      <c r="F1051">
        <v>30334.0820968076</v>
      </c>
      <c r="G1051" s="1">
        <v>42221</v>
      </c>
      <c r="H1051">
        <v>-3212.5</v>
      </c>
    </row>
    <row r="1052" spans="1:8" x14ac:dyDescent="0.25">
      <c r="A1052" s="1"/>
      <c r="C1052" s="1"/>
      <c r="E1052" s="1">
        <v>42222</v>
      </c>
      <c r="F1052">
        <v>30291.814057104199</v>
      </c>
      <c r="G1052" s="1">
        <v>42222</v>
      </c>
      <c r="H1052">
        <v>-3250</v>
      </c>
    </row>
    <row r="1053" spans="1:8" x14ac:dyDescent="0.25">
      <c r="A1053" s="1"/>
      <c r="C1053" s="1"/>
      <c r="E1053" s="1">
        <v>42223</v>
      </c>
      <c r="F1053">
        <v>30188.607575170601</v>
      </c>
      <c r="G1053" s="1">
        <v>42223</v>
      </c>
      <c r="H1053">
        <v>-3175</v>
      </c>
    </row>
    <row r="1054" spans="1:8" x14ac:dyDescent="0.25">
      <c r="A1054" s="1"/>
      <c r="C1054" s="1"/>
      <c r="E1054" s="1">
        <v>42226</v>
      </c>
      <c r="F1054">
        <v>30149.132813207802</v>
      </c>
      <c r="G1054" s="1">
        <v>42226</v>
      </c>
      <c r="H1054">
        <v>-2487.5</v>
      </c>
    </row>
    <row r="1055" spans="1:8" x14ac:dyDescent="0.25">
      <c r="A1055" s="1"/>
      <c r="C1055" s="1"/>
      <c r="E1055" s="1">
        <v>42227</v>
      </c>
      <c r="F1055">
        <v>30380.3572699949</v>
      </c>
      <c r="G1055" s="1">
        <v>42227</v>
      </c>
      <c r="H1055">
        <v>-2800</v>
      </c>
    </row>
    <row r="1056" spans="1:8" x14ac:dyDescent="0.25">
      <c r="A1056" s="1"/>
      <c r="C1056" s="1"/>
      <c r="E1056" s="1">
        <v>42228</v>
      </c>
      <c r="F1056">
        <v>31480.1494452878</v>
      </c>
      <c r="G1056" s="1">
        <v>42228</v>
      </c>
      <c r="H1056">
        <v>-3950</v>
      </c>
    </row>
    <row r="1057" spans="1:8" x14ac:dyDescent="0.25">
      <c r="A1057" s="1"/>
      <c r="C1057" s="1"/>
      <c r="E1057" s="1">
        <v>42229</v>
      </c>
      <c r="F1057">
        <v>31714.401732198799</v>
      </c>
      <c r="G1057" s="1">
        <v>42229</v>
      </c>
      <c r="H1057">
        <v>-3737.5</v>
      </c>
    </row>
    <row r="1058" spans="1:8" x14ac:dyDescent="0.25">
      <c r="A1058" s="1"/>
      <c r="C1058" s="1"/>
      <c r="E1058" s="1">
        <v>42230</v>
      </c>
      <c r="F1058">
        <v>31821.250513307699</v>
      </c>
      <c r="G1058" s="1">
        <v>42230</v>
      </c>
      <c r="H1058">
        <v>-3675</v>
      </c>
    </row>
    <row r="1059" spans="1:8" x14ac:dyDescent="0.25">
      <c r="A1059" s="1"/>
      <c r="C1059" s="1"/>
      <c r="E1059" s="1">
        <v>42233</v>
      </c>
      <c r="F1059">
        <v>31904.9701149389</v>
      </c>
      <c r="G1059" s="1">
        <v>42233</v>
      </c>
      <c r="H1059">
        <v>-3625</v>
      </c>
    </row>
    <row r="1060" spans="1:8" x14ac:dyDescent="0.25">
      <c r="A1060" s="1"/>
      <c r="C1060" s="1"/>
      <c r="E1060" s="1">
        <v>42234</v>
      </c>
      <c r="F1060">
        <v>32174.195364229301</v>
      </c>
      <c r="G1060" s="1">
        <v>42234</v>
      </c>
      <c r="H1060">
        <v>-3512.5</v>
      </c>
    </row>
    <row r="1061" spans="1:8" x14ac:dyDescent="0.25">
      <c r="A1061" s="1"/>
      <c r="C1061" s="1"/>
      <c r="E1061" s="1">
        <v>42235</v>
      </c>
      <c r="F1061">
        <v>32225.508131258099</v>
      </c>
      <c r="G1061" s="1">
        <v>42235</v>
      </c>
      <c r="H1061">
        <v>-3450</v>
      </c>
    </row>
    <row r="1062" spans="1:8" x14ac:dyDescent="0.25">
      <c r="A1062" s="1"/>
      <c r="C1062" s="1"/>
      <c r="E1062" s="1">
        <v>42236</v>
      </c>
      <c r="F1062">
        <v>32105.386427156602</v>
      </c>
      <c r="G1062" s="1">
        <v>42236</v>
      </c>
      <c r="H1062">
        <v>-3287.5</v>
      </c>
    </row>
    <row r="1063" spans="1:8" x14ac:dyDescent="0.25">
      <c r="A1063" s="1"/>
      <c r="C1063" s="1"/>
      <c r="E1063" s="1">
        <v>42237</v>
      </c>
      <c r="F1063">
        <v>32068.243108980299</v>
      </c>
      <c r="G1063" s="1">
        <v>42237</v>
      </c>
      <c r="H1063">
        <v>-3575</v>
      </c>
    </row>
    <row r="1064" spans="1:8" x14ac:dyDescent="0.25">
      <c r="A1064" s="1"/>
      <c r="C1064" s="1"/>
      <c r="E1064" s="1">
        <v>42240</v>
      </c>
      <c r="F1064">
        <v>32085.6068022176</v>
      </c>
      <c r="G1064" s="1">
        <v>42240</v>
      </c>
      <c r="H1064">
        <v>-3425</v>
      </c>
    </row>
    <row r="1065" spans="1:8" x14ac:dyDescent="0.25">
      <c r="A1065" s="1"/>
      <c r="C1065" s="1"/>
      <c r="E1065" s="1">
        <v>42241</v>
      </c>
      <c r="F1065">
        <v>32004.536169283001</v>
      </c>
      <c r="G1065" s="1">
        <v>42241</v>
      </c>
      <c r="H1065">
        <v>-3587.5</v>
      </c>
    </row>
    <row r="1066" spans="1:8" x14ac:dyDescent="0.25">
      <c r="A1066" s="1"/>
      <c r="C1066" s="1"/>
      <c r="E1066" s="1">
        <v>42242</v>
      </c>
      <c r="F1066">
        <v>32049.324892274999</v>
      </c>
      <c r="G1066" s="1">
        <v>42242</v>
      </c>
      <c r="H1066">
        <v>-3712.5</v>
      </c>
    </row>
    <row r="1067" spans="1:8" x14ac:dyDescent="0.25">
      <c r="A1067" s="1"/>
      <c r="C1067" s="1"/>
      <c r="E1067" s="1">
        <v>42243</v>
      </c>
      <c r="F1067">
        <v>32043.192214243099</v>
      </c>
      <c r="G1067" s="1">
        <v>42243</v>
      </c>
      <c r="H1067">
        <v>-3700</v>
      </c>
    </row>
    <row r="1068" spans="1:8" x14ac:dyDescent="0.25">
      <c r="A1068" s="1"/>
      <c r="C1068" s="1"/>
      <c r="E1068" s="1">
        <v>42244</v>
      </c>
      <c r="F1068">
        <v>32148.065444223499</v>
      </c>
      <c r="G1068" s="1">
        <v>42244</v>
      </c>
      <c r="H1068">
        <v>-3650</v>
      </c>
    </row>
    <row r="1069" spans="1:8" x14ac:dyDescent="0.25">
      <c r="A1069" s="1"/>
      <c r="C1069" s="1"/>
      <c r="E1069" s="1">
        <v>42247</v>
      </c>
      <c r="F1069">
        <v>32030.813227884399</v>
      </c>
      <c r="G1069" s="1">
        <v>42247</v>
      </c>
      <c r="H1069">
        <v>-3712.5</v>
      </c>
    </row>
    <row r="1070" spans="1:8" x14ac:dyDescent="0.25">
      <c r="A1070" s="1"/>
      <c r="C1070" s="1"/>
      <c r="E1070" s="1">
        <v>42248</v>
      </c>
      <c r="F1070">
        <v>31798.529399149102</v>
      </c>
      <c r="G1070" s="1">
        <v>42248</v>
      </c>
      <c r="H1070">
        <v>-4000</v>
      </c>
    </row>
    <row r="1071" spans="1:8" x14ac:dyDescent="0.25">
      <c r="A1071" s="1"/>
      <c r="C1071" s="1"/>
      <c r="E1071" s="1">
        <v>42249</v>
      </c>
      <c r="F1071">
        <v>31747.4775192663</v>
      </c>
      <c r="G1071" s="1">
        <v>42249</v>
      </c>
      <c r="H1071">
        <v>-4212.5</v>
      </c>
    </row>
    <row r="1072" spans="1:8" x14ac:dyDescent="0.25">
      <c r="A1072" s="1"/>
      <c r="C1072" s="1"/>
      <c r="E1072" s="1">
        <v>42250</v>
      </c>
      <c r="F1072">
        <v>31537.405734293101</v>
      </c>
      <c r="G1072" s="1">
        <v>42250</v>
      </c>
      <c r="H1072">
        <v>-4450</v>
      </c>
    </row>
    <row r="1073" spans="1:8" x14ac:dyDescent="0.25">
      <c r="A1073" s="1"/>
      <c r="C1073" s="1"/>
      <c r="E1073" s="1">
        <v>42251</v>
      </c>
      <c r="F1073">
        <v>31698.032344095402</v>
      </c>
      <c r="G1073" s="1">
        <v>42251</v>
      </c>
      <c r="H1073">
        <v>-4375</v>
      </c>
    </row>
    <row r="1074" spans="1:8" x14ac:dyDescent="0.25">
      <c r="A1074" s="1"/>
      <c r="C1074" s="1"/>
      <c r="E1074" s="1">
        <v>42255</v>
      </c>
      <c r="F1074">
        <v>32110.9210312291</v>
      </c>
      <c r="G1074" s="1">
        <v>42255</v>
      </c>
      <c r="H1074">
        <v>-4187.5</v>
      </c>
    </row>
    <row r="1075" spans="1:8" x14ac:dyDescent="0.25">
      <c r="A1075" s="1"/>
      <c r="C1075" s="1"/>
      <c r="E1075" s="1">
        <v>42256</v>
      </c>
      <c r="F1075">
        <v>32640.799372903999</v>
      </c>
      <c r="G1075" s="1">
        <v>42256</v>
      </c>
      <c r="H1075">
        <v>-4000</v>
      </c>
    </row>
    <row r="1076" spans="1:8" x14ac:dyDescent="0.25">
      <c r="A1076" s="1"/>
      <c r="C1076" s="1"/>
      <c r="E1076" s="1">
        <v>42257</v>
      </c>
      <c r="F1076">
        <v>33490.324229471298</v>
      </c>
      <c r="G1076" s="1">
        <v>42257</v>
      </c>
      <c r="H1076">
        <v>-3750</v>
      </c>
    </row>
    <row r="1077" spans="1:8" x14ac:dyDescent="0.25">
      <c r="A1077" s="1"/>
      <c r="C1077" s="1"/>
      <c r="E1077" s="1">
        <v>42258</v>
      </c>
      <c r="F1077">
        <v>34376.642680399098</v>
      </c>
      <c r="G1077" s="1">
        <v>42258</v>
      </c>
      <c r="H1077">
        <v>-3250</v>
      </c>
    </row>
    <row r="1078" spans="1:8" x14ac:dyDescent="0.25">
      <c r="A1078" s="1"/>
      <c r="C1078" s="1"/>
      <c r="E1078" s="1">
        <v>42261</v>
      </c>
      <c r="F1078">
        <v>35293.6951706334</v>
      </c>
      <c r="G1078" s="1">
        <v>42261</v>
      </c>
      <c r="H1078">
        <v>-2787.5</v>
      </c>
    </row>
    <row r="1079" spans="1:8" x14ac:dyDescent="0.25">
      <c r="A1079" s="1"/>
      <c r="C1079" s="1"/>
      <c r="E1079" s="1">
        <v>42262</v>
      </c>
      <c r="F1079">
        <v>35259.215243570499</v>
      </c>
      <c r="G1079" s="1">
        <v>42262</v>
      </c>
      <c r="H1079">
        <v>-2887.5</v>
      </c>
    </row>
    <row r="1080" spans="1:8" x14ac:dyDescent="0.25">
      <c r="A1080" s="1"/>
      <c r="C1080" s="1"/>
      <c r="E1080" s="1">
        <v>42263</v>
      </c>
      <c r="F1080">
        <v>35397.003566019201</v>
      </c>
      <c r="G1080" s="1">
        <v>42263</v>
      </c>
      <c r="H1080">
        <v>-3137.5</v>
      </c>
    </row>
    <row r="1081" spans="1:8" x14ac:dyDescent="0.25">
      <c r="A1081" s="1"/>
      <c r="C1081" s="1"/>
      <c r="E1081" s="1">
        <v>42264</v>
      </c>
      <c r="F1081">
        <v>34860.734126321899</v>
      </c>
      <c r="G1081" s="1">
        <v>42264</v>
      </c>
      <c r="H1081">
        <v>-3362.5</v>
      </c>
    </row>
    <row r="1082" spans="1:8" x14ac:dyDescent="0.25">
      <c r="A1082" s="1"/>
      <c r="C1082" s="1"/>
      <c r="E1082" s="1">
        <v>42265</v>
      </c>
      <c r="F1082">
        <v>34389.7030746862</v>
      </c>
      <c r="G1082" s="1">
        <v>42265</v>
      </c>
      <c r="H1082">
        <v>-3537.5</v>
      </c>
    </row>
    <row r="1083" spans="1:8" x14ac:dyDescent="0.25">
      <c r="A1083" s="1"/>
      <c r="C1083" s="1"/>
      <c r="E1083" s="1">
        <v>42268</v>
      </c>
      <c r="F1083">
        <v>35167.0940201208</v>
      </c>
      <c r="G1083" s="1">
        <v>42268</v>
      </c>
      <c r="H1083">
        <v>-3237.5</v>
      </c>
    </row>
    <row r="1084" spans="1:8" x14ac:dyDescent="0.25">
      <c r="A1084" s="1"/>
      <c r="C1084" s="1"/>
      <c r="E1084" s="1">
        <v>42269</v>
      </c>
      <c r="F1084">
        <v>34655.193927042099</v>
      </c>
      <c r="G1084" s="1">
        <v>42269</v>
      </c>
      <c r="H1084">
        <v>-3450</v>
      </c>
    </row>
    <row r="1085" spans="1:8" x14ac:dyDescent="0.25">
      <c r="A1085" s="1"/>
      <c r="C1085" s="1"/>
      <c r="E1085" s="1">
        <v>42270</v>
      </c>
      <c r="F1085">
        <v>35048.653414957203</v>
      </c>
      <c r="G1085" s="1">
        <v>42270</v>
      </c>
      <c r="H1085">
        <v>-3325</v>
      </c>
    </row>
    <row r="1086" spans="1:8" x14ac:dyDescent="0.25">
      <c r="A1086" s="1"/>
      <c r="C1086" s="1"/>
      <c r="E1086" s="1">
        <v>42271</v>
      </c>
      <c r="F1086">
        <v>34832.528956644201</v>
      </c>
      <c r="G1086" s="1">
        <v>42271</v>
      </c>
      <c r="H1086">
        <v>-3412.5</v>
      </c>
    </row>
    <row r="1087" spans="1:8" x14ac:dyDescent="0.25">
      <c r="A1087" s="1"/>
      <c r="C1087" s="1"/>
      <c r="E1087" s="1">
        <v>42272</v>
      </c>
      <c r="F1087">
        <v>35306.094523660802</v>
      </c>
      <c r="G1087" s="1">
        <v>42272</v>
      </c>
      <c r="H1087">
        <v>-3037.5</v>
      </c>
    </row>
    <row r="1088" spans="1:8" x14ac:dyDescent="0.25">
      <c r="A1088" s="1"/>
      <c r="C1088" s="1"/>
      <c r="E1088" s="1">
        <v>42275</v>
      </c>
      <c r="F1088">
        <v>35204.826632730597</v>
      </c>
      <c r="G1088" s="1">
        <v>42275</v>
      </c>
      <c r="H1088">
        <v>-3137.5</v>
      </c>
    </row>
    <row r="1089" spans="1:8" x14ac:dyDescent="0.25">
      <c r="A1089" s="1"/>
      <c r="C1089" s="1"/>
      <c r="E1089" s="1">
        <v>42276</v>
      </c>
      <c r="F1089">
        <v>35256.270423166403</v>
      </c>
      <c r="G1089" s="1">
        <v>42276</v>
      </c>
      <c r="H1089">
        <v>-3012.5</v>
      </c>
    </row>
    <row r="1090" spans="1:8" x14ac:dyDescent="0.25">
      <c r="A1090" s="1"/>
      <c r="C1090" s="1"/>
      <c r="E1090" s="1">
        <v>42277</v>
      </c>
      <c r="F1090">
        <v>35197.033774606803</v>
      </c>
      <c r="G1090" s="1">
        <v>42277</v>
      </c>
      <c r="H1090">
        <v>-3175</v>
      </c>
    </row>
    <row r="1091" spans="1:8" x14ac:dyDescent="0.25">
      <c r="A1091" s="1"/>
      <c r="C1091" s="1"/>
      <c r="E1091" s="1">
        <v>42278</v>
      </c>
      <c r="F1091">
        <v>35833.1002876684</v>
      </c>
      <c r="G1091" s="1">
        <v>42278</v>
      </c>
      <c r="H1091">
        <v>-2937.5</v>
      </c>
    </row>
    <row r="1092" spans="1:8" x14ac:dyDescent="0.25">
      <c r="A1092" s="1"/>
      <c r="C1092" s="1"/>
      <c r="E1092" s="1">
        <v>42279</v>
      </c>
      <c r="F1092">
        <v>35861.145016662696</v>
      </c>
      <c r="G1092" s="1">
        <v>42279</v>
      </c>
      <c r="H1092">
        <v>-2937.5</v>
      </c>
    </row>
    <row r="1093" spans="1:8" x14ac:dyDescent="0.25">
      <c r="A1093" s="1"/>
      <c r="C1093" s="1"/>
      <c r="E1093" s="1">
        <v>42282</v>
      </c>
      <c r="F1093">
        <v>35716.693112365901</v>
      </c>
      <c r="G1093" s="1">
        <v>42282</v>
      </c>
      <c r="H1093">
        <v>-2800</v>
      </c>
    </row>
    <row r="1094" spans="1:8" x14ac:dyDescent="0.25">
      <c r="A1094" s="1"/>
      <c r="C1094" s="1"/>
      <c r="E1094" s="1">
        <v>42283</v>
      </c>
      <c r="F1094">
        <v>35167.396359436199</v>
      </c>
      <c r="G1094" s="1">
        <v>42283</v>
      </c>
      <c r="H1094">
        <v>-2562.5</v>
      </c>
    </row>
    <row r="1095" spans="1:8" x14ac:dyDescent="0.25">
      <c r="A1095" s="1"/>
      <c r="C1095" s="1"/>
      <c r="E1095" s="1">
        <v>42284</v>
      </c>
      <c r="F1095">
        <v>35245.539643280201</v>
      </c>
      <c r="G1095" s="1">
        <v>42284</v>
      </c>
      <c r="H1095">
        <v>-2650</v>
      </c>
    </row>
    <row r="1096" spans="1:8" x14ac:dyDescent="0.25">
      <c r="A1096" s="1"/>
      <c r="C1096" s="1"/>
      <c r="E1096" s="1">
        <v>42285</v>
      </c>
      <c r="F1096">
        <v>35595.616578094603</v>
      </c>
      <c r="G1096" s="1">
        <v>42285</v>
      </c>
      <c r="H1096">
        <v>-2850</v>
      </c>
    </row>
    <row r="1097" spans="1:8" x14ac:dyDescent="0.25">
      <c r="A1097" s="1"/>
      <c r="C1097" s="1"/>
      <c r="E1097" s="1">
        <v>42286</v>
      </c>
      <c r="F1097">
        <v>35860.995194427604</v>
      </c>
      <c r="G1097" s="1">
        <v>42286</v>
      </c>
      <c r="H1097">
        <v>-3175</v>
      </c>
    </row>
    <row r="1098" spans="1:8" x14ac:dyDescent="0.25">
      <c r="A1098" s="1"/>
      <c r="C1098" s="1"/>
      <c r="E1098" s="1">
        <v>42290</v>
      </c>
      <c r="F1098">
        <v>35956.0754480287</v>
      </c>
      <c r="G1098" s="1">
        <v>42290</v>
      </c>
      <c r="H1098">
        <v>-3237.5</v>
      </c>
    </row>
    <row r="1099" spans="1:8" x14ac:dyDescent="0.25">
      <c r="A1099" s="1"/>
      <c r="C1099" s="1"/>
      <c r="E1099" s="1">
        <v>42291</v>
      </c>
      <c r="F1099">
        <v>35638.7561120912</v>
      </c>
      <c r="G1099" s="1">
        <v>42291</v>
      </c>
      <c r="H1099">
        <v>-3487.5</v>
      </c>
    </row>
    <row r="1100" spans="1:8" x14ac:dyDescent="0.25">
      <c r="A1100" s="1"/>
      <c r="C1100" s="1"/>
      <c r="E1100" s="1">
        <v>42292</v>
      </c>
      <c r="F1100">
        <v>35386.1893167421</v>
      </c>
      <c r="G1100" s="1">
        <v>42292</v>
      </c>
      <c r="H1100">
        <v>-3662.5</v>
      </c>
    </row>
    <row r="1101" spans="1:8" x14ac:dyDescent="0.25">
      <c r="A1101" s="1"/>
      <c r="C1101" s="1"/>
      <c r="E1101" s="1">
        <v>42293</v>
      </c>
      <c r="F1101">
        <v>35401.765113823101</v>
      </c>
      <c r="G1101" s="1">
        <v>42293</v>
      </c>
      <c r="H1101">
        <v>-3637.5</v>
      </c>
    </row>
    <row r="1102" spans="1:8" x14ac:dyDescent="0.25">
      <c r="A1102" s="1"/>
      <c r="C1102" s="1"/>
      <c r="E1102" s="1">
        <v>42296</v>
      </c>
      <c r="F1102">
        <v>35072.134971611202</v>
      </c>
      <c r="G1102" s="1">
        <v>42296</v>
      </c>
      <c r="H1102">
        <v>-3762.5</v>
      </c>
    </row>
    <row r="1103" spans="1:8" x14ac:dyDescent="0.25">
      <c r="A1103" s="1"/>
      <c r="C1103" s="1"/>
      <c r="E1103" s="1">
        <v>42297</v>
      </c>
      <c r="F1103">
        <v>35089.3513908311</v>
      </c>
      <c r="G1103" s="1">
        <v>42297</v>
      </c>
      <c r="H1103">
        <v>-3687.5</v>
      </c>
    </row>
    <row r="1104" spans="1:8" x14ac:dyDescent="0.25">
      <c r="A1104" s="1"/>
      <c r="C1104" s="1"/>
      <c r="E1104" s="1">
        <v>42298</v>
      </c>
      <c r="F1104">
        <v>35605.920314781302</v>
      </c>
      <c r="G1104" s="1">
        <v>42298</v>
      </c>
      <c r="H1104">
        <v>-3425</v>
      </c>
    </row>
    <row r="1105" spans="1:8" x14ac:dyDescent="0.25">
      <c r="A1105" s="1"/>
      <c r="C1105" s="1"/>
      <c r="E1105" s="1">
        <v>42299</v>
      </c>
      <c r="F1105">
        <v>35474.769048683302</v>
      </c>
      <c r="G1105" s="1">
        <v>42299</v>
      </c>
      <c r="H1105">
        <v>-3487.5</v>
      </c>
    </row>
    <row r="1106" spans="1:8" x14ac:dyDescent="0.25">
      <c r="A1106" s="1"/>
      <c r="C1106" s="1"/>
      <c r="E1106" s="1">
        <v>42300</v>
      </c>
      <c r="F1106">
        <v>35386.774728767501</v>
      </c>
      <c r="G1106" s="1">
        <v>42300</v>
      </c>
      <c r="H1106">
        <v>-3537.5</v>
      </c>
    </row>
    <row r="1107" spans="1:8" x14ac:dyDescent="0.25">
      <c r="A1107" s="1"/>
      <c r="C1107" s="1"/>
      <c r="E1107" s="1">
        <v>42303</v>
      </c>
      <c r="F1107">
        <v>35720.981470100502</v>
      </c>
      <c r="G1107" s="1">
        <v>42303</v>
      </c>
      <c r="H1107">
        <v>-3237.5</v>
      </c>
    </row>
    <row r="1108" spans="1:8" x14ac:dyDescent="0.25">
      <c r="A1108" s="1"/>
      <c r="C1108" s="1"/>
      <c r="E1108" s="1">
        <v>42304</v>
      </c>
      <c r="F1108">
        <v>35802.667772285597</v>
      </c>
      <c r="G1108" s="1">
        <v>42304</v>
      </c>
      <c r="H1108">
        <v>-3375</v>
      </c>
    </row>
    <row r="1109" spans="1:8" x14ac:dyDescent="0.25">
      <c r="A1109" s="1"/>
      <c r="C1109" s="1"/>
      <c r="E1109" s="1">
        <v>42305</v>
      </c>
      <c r="F1109">
        <v>36103.773057930099</v>
      </c>
      <c r="G1109" s="1">
        <v>42305</v>
      </c>
      <c r="H1109">
        <v>-3637.5</v>
      </c>
    </row>
    <row r="1110" spans="1:8" x14ac:dyDescent="0.25">
      <c r="A1110" s="1"/>
      <c r="C1110" s="1"/>
      <c r="E1110" s="1">
        <v>42306</v>
      </c>
      <c r="F1110">
        <v>35831.766511909598</v>
      </c>
      <c r="G1110" s="1">
        <v>42306</v>
      </c>
      <c r="H1110">
        <v>-3475</v>
      </c>
    </row>
    <row r="1111" spans="1:8" x14ac:dyDescent="0.25">
      <c r="A1111" s="1"/>
      <c r="C1111" s="1"/>
      <c r="E1111" s="1">
        <v>42307</v>
      </c>
      <c r="F1111">
        <v>35644.118349067801</v>
      </c>
      <c r="G1111" s="1">
        <v>42307</v>
      </c>
      <c r="H1111">
        <v>-3337.5</v>
      </c>
    </row>
    <row r="1112" spans="1:8" x14ac:dyDescent="0.25">
      <c r="A1112" s="1"/>
      <c r="C1112" s="1"/>
      <c r="E1112" s="1">
        <v>42310</v>
      </c>
      <c r="F1112">
        <v>35877.034776680099</v>
      </c>
      <c r="G1112" s="1">
        <v>42310</v>
      </c>
      <c r="H1112">
        <v>-3612.5</v>
      </c>
    </row>
    <row r="1113" spans="1:8" x14ac:dyDescent="0.25">
      <c r="A1113" s="1"/>
      <c r="C1113" s="1"/>
      <c r="E1113" s="1">
        <v>42311</v>
      </c>
      <c r="F1113">
        <v>35463.312021247999</v>
      </c>
      <c r="G1113" s="1">
        <v>42311</v>
      </c>
      <c r="H1113">
        <v>-3462.5</v>
      </c>
    </row>
    <row r="1114" spans="1:8" x14ac:dyDescent="0.25">
      <c r="A1114" s="1"/>
      <c r="C1114" s="1"/>
      <c r="E1114" s="1">
        <v>42312</v>
      </c>
      <c r="F1114">
        <v>35213.0407047197</v>
      </c>
      <c r="G1114" s="1">
        <v>42312</v>
      </c>
      <c r="H1114">
        <v>-3275</v>
      </c>
    </row>
    <row r="1115" spans="1:8" x14ac:dyDescent="0.25">
      <c r="A1115" s="1"/>
      <c r="C1115" s="1"/>
      <c r="E1115" s="1">
        <v>42313</v>
      </c>
      <c r="F1115">
        <v>35565.048608772398</v>
      </c>
      <c r="G1115" s="1">
        <v>42313</v>
      </c>
      <c r="H1115">
        <v>-3662.5</v>
      </c>
    </row>
    <row r="1116" spans="1:8" x14ac:dyDescent="0.25">
      <c r="A1116" s="1"/>
      <c r="C1116" s="1"/>
      <c r="E1116" s="1">
        <v>42314</v>
      </c>
      <c r="F1116">
        <v>35928.888078682103</v>
      </c>
      <c r="G1116" s="1">
        <v>42314</v>
      </c>
      <c r="H1116">
        <v>-3775</v>
      </c>
    </row>
    <row r="1117" spans="1:8" x14ac:dyDescent="0.25">
      <c r="A1117" s="1"/>
      <c r="C1117" s="1"/>
      <c r="E1117" s="1">
        <v>42317</v>
      </c>
      <c r="F1117">
        <v>36216.805849067801</v>
      </c>
      <c r="G1117" s="1">
        <v>42317</v>
      </c>
      <c r="H1117">
        <v>-4000</v>
      </c>
    </row>
    <row r="1118" spans="1:8" x14ac:dyDescent="0.25">
      <c r="A1118" s="1"/>
      <c r="C1118" s="1"/>
      <c r="E1118" s="1">
        <v>42318</v>
      </c>
      <c r="F1118">
        <v>36050.804658882298</v>
      </c>
      <c r="G1118" s="1">
        <v>42318</v>
      </c>
      <c r="H1118">
        <v>-4525</v>
      </c>
    </row>
    <row r="1119" spans="1:8" x14ac:dyDescent="0.25">
      <c r="A1119" s="1"/>
      <c r="C1119" s="1"/>
      <c r="E1119" s="1">
        <v>42320</v>
      </c>
      <c r="F1119">
        <v>36101.860048286602</v>
      </c>
      <c r="G1119" s="1">
        <v>42320</v>
      </c>
      <c r="H1119">
        <v>-4375</v>
      </c>
    </row>
    <row r="1120" spans="1:8" x14ac:dyDescent="0.25">
      <c r="A1120" s="1"/>
      <c r="C1120" s="1"/>
      <c r="E1120" s="1">
        <v>42321</v>
      </c>
      <c r="F1120">
        <v>36033.1004733964</v>
      </c>
      <c r="G1120" s="1">
        <v>42321</v>
      </c>
      <c r="H1120">
        <v>-4487.5</v>
      </c>
    </row>
    <row r="1121" spans="1:8" x14ac:dyDescent="0.25">
      <c r="A1121" s="1"/>
      <c r="C1121" s="1"/>
      <c r="E1121" s="1">
        <v>42324</v>
      </c>
      <c r="F1121">
        <v>35998.614301674002</v>
      </c>
      <c r="G1121" s="1">
        <v>42324</v>
      </c>
      <c r="H1121">
        <v>-4500</v>
      </c>
    </row>
    <row r="1122" spans="1:8" x14ac:dyDescent="0.25">
      <c r="A1122" s="1"/>
      <c r="C1122" s="1"/>
      <c r="E1122" s="1">
        <v>42325</v>
      </c>
      <c r="F1122">
        <v>36012.487843506002</v>
      </c>
      <c r="G1122" s="1">
        <v>42325</v>
      </c>
      <c r="H1122">
        <v>-4437.5</v>
      </c>
    </row>
    <row r="1123" spans="1:8" x14ac:dyDescent="0.25">
      <c r="A1123" s="1"/>
      <c r="C1123" s="1"/>
      <c r="E1123" s="1">
        <v>42326</v>
      </c>
      <c r="F1123">
        <v>36109.574359886297</v>
      </c>
      <c r="G1123" s="1">
        <v>42326</v>
      </c>
      <c r="H1123">
        <v>-4362.5</v>
      </c>
    </row>
    <row r="1124" spans="1:8" x14ac:dyDescent="0.25">
      <c r="A1124" s="1"/>
      <c r="C1124" s="1"/>
      <c r="E1124" s="1">
        <v>42327</v>
      </c>
      <c r="F1124">
        <v>36066.151458732696</v>
      </c>
      <c r="G1124" s="1">
        <v>42327</v>
      </c>
      <c r="H1124">
        <v>-4225</v>
      </c>
    </row>
    <row r="1125" spans="1:8" x14ac:dyDescent="0.25">
      <c r="A1125" s="1"/>
      <c r="C1125" s="1"/>
      <c r="E1125" s="1">
        <v>42328</v>
      </c>
      <c r="F1125">
        <v>36058.198975913198</v>
      </c>
      <c r="G1125" s="1">
        <v>42328</v>
      </c>
      <c r="H1125">
        <v>-4262.5</v>
      </c>
    </row>
    <row r="1126" spans="1:8" x14ac:dyDescent="0.25">
      <c r="A1126" s="1"/>
      <c r="C1126" s="1"/>
      <c r="E1126" s="1">
        <v>42331</v>
      </c>
      <c r="F1126">
        <v>35892.694207541601</v>
      </c>
      <c r="G1126" s="1">
        <v>42331</v>
      </c>
      <c r="H1126">
        <v>-4112.5</v>
      </c>
    </row>
    <row r="1127" spans="1:8" x14ac:dyDescent="0.25">
      <c r="A1127" s="1"/>
      <c r="C1127" s="1"/>
      <c r="E1127" s="1">
        <v>42332</v>
      </c>
      <c r="F1127">
        <v>36192.202424399497</v>
      </c>
      <c r="G1127" s="1">
        <v>42332</v>
      </c>
      <c r="H1127">
        <v>-4212.5</v>
      </c>
    </row>
    <row r="1128" spans="1:8" x14ac:dyDescent="0.25">
      <c r="A1128" s="1"/>
      <c r="C1128" s="1"/>
      <c r="E1128" s="1">
        <v>42333</v>
      </c>
      <c r="F1128">
        <v>36077.585553519399</v>
      </c>
      <c r="G1128" s="1">
        <v>42333</v>
      </c>
      <c r="H1128">
        <v>-4212.5</v>
      </c>
    </row>
    <row r="1129" spans="1:8" x14ac:dyDescent="0.25">
      <c r="A1129" s="1"/>
      <c r="C1129" s="1"/>
      <c r="E1129" s="1">
        <v>42335</v>
      </c>
      <c r="F1129">
        <v>36153.073537222997</v>
      </c>
      <c r="G1129" s="1">
        <v>42335</v>
      </c>
      <c r="H1129">
        <v>-4462.5</v>
      </c>
    </row>
    <row r="1130" spans="1:8" x14ac:dyDescent="0.25">
      <c r="A1130" s="1"/>
      <c r="C1130" s="1"/>
      <c r="E1130" s="1">
        <v>42338</v>
      </c>
      <c r="F1130">
        <v>35953.658696524799</v>
      </c>
      <c r="G1130" s="1">
        <v>42338</v>
      </c>
      <c r="H1130">
        <v>-4237.5</v>
      </c>
    </row>
    <row r="1131" spans="1:8" x14ac:dyDescent="0.25">
      <c r="A1131" s="1"/>
      <c r="C1131" s="1"/>
      <c r="E1131" s="1">
        <v>42339</v>
      </c>
      <c r="F1131">
        <v>35882.713536612602</v>
      </c>
      <c r="G1131" s="1">
        <v>42339</v>
      </c>
      <c r="H1131">
        <v>-4087.5</v>
      </c>
    </row>
    <row r="1132" spans="1:8" x14ac:dyDescent="0.25">
      <c r="A1132" s="1"/>
      <c r="C1132" s="1"/>
      <c r="E1132" s="1">
        <v>42340</v>
      </c>
      <c r="F1132">
        <v>35934.164426199997</v>
      </c>
      <c r="G1132" s="1">
        <v>42340</v>
      </c>
      <c r="H1132">
        <v>-4225</v>
      </c>
    </row>
    <row r="1133" spans="1:8" x14ac:dyDescent="0.25">
      <c r="A1133" s="1"/>
      <c r="C1133" s="1"/>
      <c r="E1133" s="1">
        <v>42341</v>
      </c>
      <c r="F1133">
        <v>35624.110928885602</v>
      </c>
      <c r="G1133" s="1">
        <v>42341</v>
      </c>
      <c r="H1133">
        <v>-3912.5</v>
      </c>
    </row>
    <row r="1134" spans="1:8" x14ac:dyDescent="0.25">
      <c r="A1134" s="1"/>
      <c r="C1134" s="1"/>
      <c r="E1134" s="1">
        <v>42342</v>
      </c>
      <c r="F1134">
        <v>35126.796002738098</v>
      </c>
      <c r="G1134" s="1">
        <v>42342</v>
      </c>
      <c r="H1134">
        <v>-3675</v>
      </c>
    </row>
    <row r="1135" spans="1:8" x14ac:dyDescent="0.25">
      <c r="A1135" s="1"/>
      <c r="C1135" s="1"/>
      <c r="E1135" s="1">
        <v>42345</v>
      </c>
      <c r="F1135">
        <v>36009.463437430502</v>
      </c>
      <c r="G1135" s="1">
        <v>42345</v>
      </c>
      <c r="H1135">
        <v>-3962.5</v>
      </c>
    </row>
    <row r="1136" spans="1:8" x14ac:dyDescent="0.25">
      <c r="A1136" s="1"/>
      <c r="C1136" s="1"/>
      <c r="E1136" s="1">
        <v>42346</v>
      </c>
      <c r="F1136">
        <v>35986.499327473299</v>
      </c>
      <c r="G1136" s="1">
        <v>42346</v>
      </c>
      <c r="H1136">
        <v>-3937.5</v>
      </c>
    </row>
    <row r="1137" spans="1:8" x14ac:dyDescent="0.25">
      <c r="A1137" s="1"/>
      <c r="C1137" s="1"/>
      <c r="E1137" s="1">
        <v>42347</v>
      </c>
      <c r="F1137">
        <v>36046.600328736</v>
      </c>
      <c r="G1137" s="1">
        <v>42347</v>
      </c>
      <c r="H1137">
        <v>-3887.5</v>
      </c>
    </row>
    <row r="1138" spans="1:8" x14ac:dyDescent="0.25">
      <c r="A1138" s="1"/>
      <c r="C1138" s="1"/>
      <c r="E1138" s="1">
        <v>42348</v>
      </c>
      <c r="F1138">
        <v>35497.689821533801</v>
      </c>
      <c r="G1138" s="1">
        <v>42348</v>
      </c>
      <c r="H1138">
        <v>-3575</v>
      </c>
    </row>
    <row r="1139" spans="1:8" x14ac:dyDescent="0.25">
      <c r="A1139" s="1"/>
      <c r="C1139" s="1"/>
      <c r="E1139" s="1">
        <v>42349</v>
      </c>
      <c r="F1139">
        <v>35555.379656128498</v>
      </c>
      <c r="G1139" s="1">
        <v>42349</v>
      </c>
      <c r="H1139">
        <v>-3737.5</v>
      </c>
    </row>
    <row r="1140" spans="1:8" x14ac:dyDescent="0.25">
      <c r="A1140" s="1"/>
      <c r="C1140" s="1"/>
      <c r="E1140" s="1">
        <v>42352</v>
      </c>
      <c r="F1140">
        <v>35311.047830872201</v>
      </c>
      <c r="G1140" s="1">
        <v>42352</v>
      </c>
      <c r="H1140">
        <v>-3662.5</v>
      </c>
    </row>
    <row r="1141" spans="1:8" x14ac:dyDescent="0.25">
      <c r="A1141" s="1"/>
      <c r="C1141" s="1"/>
      <c r="E1141" s="1">
        <v>42353</v>
      </c>
      <c r="F1141">
        <v>35293.389646820702</v>
      </c>
      <c r="G1141" s="1">
        <v>42353</v>
      </c>
      <c r="H1141">
        <v>-3650</v>
      </c>
    </row>
    <row r="1142" spans="1:8" x14ac:dyDescent="0.25">
      <c r="A1142" s="1"/>
      <c r="C1142" s="1"/>
      <c r="E1142" s="1">
        <v>42354</v>
      </c>
      <c r="F1142">
        <v>35758.194319061899</v>
      </c>
      <c r="G1142" s="1">
        <v>42354</v>
      </c>
      <c r="H1142">
        <v>-4087.5</v>
      </c>
    </row>
    <row r="1143" spans="1:8" x14ac:dyDescent="0.25">
      <c r="A1143" s="1"/>
      <c r="C1143" s="1"/>
      <c r="E1143" s="1">
        <v>42355</v>
      </c>
      <c r="F1143">
        <v>35571.3898985907</v>
      </c>
      <c r="G1143" s="1">
        <v>42355</v>
      </c>
      <c r="H1143">
        <v>-3925</v>
      </c>
    </row>
    <row r="1144" spans="1:8" x14ac:dyDescent="0.25">
      <c r="A1144" s="1"/>
      <c r="C1144" s="1"/>
      <c r="E1144" s="1">
        <v>42356</v>
      </c>
      <c r="F1144">
        <v>35529.160415939899</v>
      </c>
      <c r="G1144" s="1">
        <v>42356</v>
      </c>
      <c r="H1144">
        <v>-3862.5</v>
      </c>
    </row>
    <row r="1145" spans="1:8" x14ac:dyDescent="0.25">
      <c r="A1145" s="1"/>
      <c r="C1145" s="1"/>
      <c r="E1145" s="1">
        <v>42359</v>
      </c>
      <c r="F1145">
        <v>35558.2237628027</v>
      </c>
      <c r="G1145" s="1">
        <v>42359</v>
      </c>
      <c r="H1145">
        <v>-4012.5</v>
      </c>
    </row>
    <row r="1146" spans="1:8" x14ac:dyDescent="0.25">
      <c r="A1146" s="1"/>
      <c r="C1146" s="1"/>
      <c r="E1146" s="1">
        <v>42360</v>
      </c>
      <c r="F1146">
        <v>35772.356819443397</v>
      </c>
      <c r="G1146" s="1">
        <v>42360</v>
      </c>
      <c r="H1146">
        <v>-4262.5</v>
      </c>
    </row>
    <row r="1147" spans="1:8" x14ac:dyDescent="0.25">
      <c r="A1147" s="1"/>
      <c r="C1147" s="1"/>
      <c r="E1147" s="1">
        <v>42361</v>
      </c>
      <c r="F1147">
        <v>35761.815010361301</v>
      </c>
      <c r="G1147" s="1">
        <v>42361</v>
      </c>
      <c r="H1147">
        <v>-4312.5</v>
      </c>
    </row>
    <row r="1148" spans="1:8" x14ac:dyDescent="0.25">
      <c r="A1148" s="1"/>
      <c r="C1148" s="1"/>
      <c r="E1148" s="1">
        <v>42362</v>
      </c>
      <c r="F1148">
        <v>35742.373062424303</v>
      </c>
      <c r="G1148" s="1">
        <v>42362</v>
      </c>
      <c r="H1148">
        <v>-4362.5</v>
      </c>
    </row>
    <row r="1149" spans="1:8" x14ac:dyDescent="0.25">
      <c r="A1149" s="1"/>
      <c r="C1149" s="1"/>
      <c r="E1149" s="1">
        <v>42366</v>
      </c>
      <c r="F1149">
        <v>35661.164985947296</v>
      </c>
      <c r="G1149" s="1">
        <v>42366</v>
      </c>
      <c r="H1149">
        <v>-4550</v>
      </c>
    </row>
    <row r="1150" spans="1:8" x14ac:dyDescent="0.25">
      <c r="A1150" s="1"/>
      <c r="C1150" s="1"/>
      <c r="E1150" s="1">
        <v>42367</v>
      </c>
      <c r="F1150">
        <v>35689.876426987299</v>
      </c>
      <c r="G1150" s="1">
        <v>42367</v>
      </c>
      <c r="H1150">
        <v>-4500</v>
      </c>
    </row>
    <row r="1151" spans="1:8" x14ac:dyDescent="0.25">
      <c r="A1151" s="1"/>
      <c r="C1151" s="1"/>
      <c r="E1151" s="1">
        <v>42368</v>
      </c>
      <c r="F1151">
        <v>35526.171829514198</v>
      </c>
      <c r="G1151" s="1">
        <v>42368</v>
      </c>
      <c r="H1151">
        <v>-4625</v>
      </c>
    </row>
    <row r="1152" spans="1:8" x14ac:dyDescent="0.25">
      <c r="A1152" s="1"/>
      <c r="C1152" s="1"/>
      <c r="E1152" s="1">
        <v>42369</v>
      </c>
      <c r="F1152">
        <v>35501.0514109656</v>
      </c>
      <c r="G1152" s="1">
        <v>42369</v>
      </c>
      <c r="H1152">
        <v>-4662.5</v>
      </c>
    </row>
    <row r="1153" spans="1:8" x14ac:dyDescent="0.25">
      <c r="A1153" s="1"/>
      <c r="C1153" s="1"/>
      <c r="E1153" s="1">
        <v>42373</v>
      </c>
      <c r="F1153">
        <v>35231.6831553503</v>
      </c>
      <c r="G1153" s="1">
        <v>42373</v>
      </c>
      <c r="H1153">
        <v>-5000</v>
      </c>
    </row>
    <row r="1154" spans="1:8" x14ac:dyDescent="0.25">
      <c r="A1154" s="1"/>
      <c r="C1154" s="1"/>
      <c r="E1154" s="1">
        <v>42374</v>
      </c>
      <c r="F1154">
        <v>35176.446293167697</v>
      </c>
      <c r="G1154" s="1">
        <v>42374</v>
      </c>
      <c r="H1154">
        <v>-4925</v>
      </c>
    </row>
    <row r="1155" spans="1:8" x14ac:dyDescent="0.25">
      <c r="A1155" s="1"/>
      <c r="C1155" s="1"/>
      <c r="E1155" s="1">
        <v>42375</v>
      </c>
      <c r="F1155">
        <v>35246.220798782997</v>
      </c>
      <c r="G1155" s="1">
        <v>42375</v>
      </c>
      <c r="H1155">
        <v>-4875</v>
      </c>
    </row>
    <row r="1156" spans="1:8" x14ac:dyDescent="0.25">
      <c r="A1156" s="1"/>
      <c r="C1156" s="1"/>
      <c r="E1156" s="1">
        <v>42376</v>
      </c>
      <c r="F1156">
        <v>35153.854061417202</v>
      </c>
      <c r="G1156" s="1">
        <v>42376</v>
      </c>
      <c r="H1156">
        <v>-4962.5</v>
      </c>
    </row>
    <row r="1157" spans="1:8" x14ac:dyDescent="0.25">
      <c r="A1157" s="1"/>
      <c r="C1157" s="1"/>
      <c r="E1157" s="1">
        <v>42377</v>
      </c>
      <c r="F1157">
        <v>35092.007038406999</v>
      </c>
      <c r="G1157" s="1">
        <v>42377</v>
      </c>
      <c r="H1157">
        <v>-4762.5</v>
      </c>
    </row>
    <row r="1158" spans="1:8" x14ac:dyDescent="0.25">
      <c r="A1158" s="1"/>
      <c r="C1158" s="1"/>
      <c r="E1158" s="1">
        <v>42380</v>
      </c>
      <c r="F1158">
        <v>34677.901569656999</v>
      </c>
      <c r="G1158" s="1">
        <v>42380</v>
      </c>
      <c r="H1158">
        <v>-5037.5</v>
      </c>
    </row>
    <row r="1159" spans="1:8" x14ac:dyDescent="0.25">
      <c r="A1159" s="1"/>
      <c r="C1159" s="1"/>
      <c r="E1159" s="1">
        <v>42381</v>
      </c>
      <c r="F1159">
        <v>35360.995518021198</v>
      </c>
      <c r="G1159" s="1">
        <v>42381</v>
      </c>
      <c r="H1159">
        <v>-4687.5</v>
      </c>
    </row>
    <row r="1160" spans="1:8" x14ac:dyDescent="0.25">
      <c r="A1160" s="1"/>
      <c r="C1160" s="1"/>
      <c r="E1160" s="1">
        <v>42382</v>
      </c>
      <c r="F1160">
        <v>35548.791843704799</v>
      </c>
      <c r="G1160" s="1">
        <v>42382</v>
      </c>
      <c r="H1160">
        <v>-4650</v>
      </c>
    </row>
    <row r="1161" spans="1:8" x14ac:dyDescent="0.25">
      <c r="A1161" s="1"/>
      <c r="C1161" s="1"/>
      <c r="E1161" s="1">
        <v>42383</v>
      </c>
      <c r="F1161">
        <v>35613.745258621799</v>
      </c>
      <c r="G1161" s="1">
        <v>42383</v>
      </c>
      <c r="H1161">
        <v>-4650</v>
      </c>
    </row>
    <row r="1162" spans="1:8" x14ac:dyDescent="0.25">
      <c r="A1162" s="1"/>
      <c r="C1162" s="1"/>
      <c r="E1162" s="1">
        <v>42384</v>
      </c>
      <c r="F1162">
        <v>35701.997883133503</v>
      </c>
      <c r="G1162" s="1">
        <v>42384</v>
      </c>
      <c r="H1162">
        <v>-4475</v>
      </c>
    </row>
    <row r="1163" spans="1:8" x14ac:dyDescent="0.25">
      <c r="A1163" s="1"/>
      <c r="C1163" s="1"/>
      <c r="E1163" s="1">
        <v>42388</v>
      </c>
      <c r="F1163">
        <v>35630.679859451899</v>
      </c>
      <c r="G1163" s="1">
        <v>42388</v>
      </c>
      <c r="H1163">
        <v>-4162.5</v>
      </c>
    </row>
    <row r="1164" spans="1:8" x14ac:dyDescent="0.25">
      <c r="A1164" s="1"/>
      <c r="C1164" s="1"/>
      <c r="E1164" s="1">
        <v>42389</v>
      </c>
      <c r="F1164">
        <v>35604.618287853897</v>
      </c>
      <c r="G1164" s="1">
        <v>42389</v>
      </c>
      <c r="H1164">
        <v>-4187.5</v>
      </c>
    </row>
    <row r="1165" spans="1:8" x14ac:dyDescent="0.25">
      <c r="A1165" s="1"/>
      <c r="C1165" s="1"/>
      <c r="E1165" s="1">
        <v>42390</v>
      </c>
      <c r="F1165">
        <v>35735.661289028802</v>
      </c>
      <c r="G1165" s="1">
        <v>42390</v>
      </c>
      <c r="H1165">
        <v>-4212.5</v>
      </c>
    </row>
    <row r="1166" spans="1:8" x14ac:dyDescent="0.25">
      <c r="A1166" s="1"/>
      <c r="C1166" s="1"/>
      <c r="E1166" s="1">
        <v>42391</v>
      </c>
      <c r="F1166">
        <v>35749.643115810999</v>
      </c>
      <c r="G1166" s="1">
        <v>42391</v>
      </c>
      <c r="H1166">
        <v>-4100</v>
      </c>
    </row>
    <row r="1167" spans="1:8" x14ac:dyDescent="0.25">
      <c r="A1167" s="1"/>
      <c r="C1167" s="1"/>
      <c r="E1167" s="1">
        <v>42394</v>
      </c>
      <c r="F1167">
        <v>35825.6422479674</v>
      </c>
      <c r="G1167" s="1">
        <v>42394</v>
      </c>
      <c r="H1167">
        <v>-4112.5</v>
      </c>
    </row>
    <row r="1168" spans="1:8" x14ac:dyDescent="0.25">
      <c r="A1168" s="1"/>
      <c r="C1168" s="1"/>
      <c r="E1168" s="1">
        <v>42395</v>
      </c>
      <c r="F1168">
        <v>35918.9728801772</v>
      </c>
      <c r="G1168" s="1">
        <v>42395</v>
      </c>
      <c r="H1168">
        <v>-4137.5</v>
      </c>
    </row>
    <row r="1169" spans="1:8" x14ac:dyDescent="0.25">
      <c r="A1169" s="1"/>
      <c r="C1169" s="1"/>
      <c r="E1169" s="1">
        <v>42396</v>
      </c>
      <c r="F1169">
        <v>35818.271899036998</v>
      </c>
      <c r="G1169" s="1">
        <v>42396</v>
      </c>
      <c r="H1169">
        <v>-4087.5</v>
      </c>
    </row>
    <row r="1170" spans="1:8" x14ac:dyDescent="0.25">
      <c r="A1170" s="1"/>
      <c r="C1170" s="1"/>
      <c r="E1170" s="1">
        <v>42397</v>
      </c>
      <c r="F1170">
        <v>36175.597552113199</v>
      </c>
      <c r="G1170" s="1">
        <v>42397</v>
      </c>
      <c r="H1170">
        <v>-4287.5</v>
      </c>
    </row>
    <row r="1171" spans="1:8" x14ac:dyDescent="0.25">
      <c r="A1171" s="1"/>
      <c r="C1171" s="1"/>
      <c r="E1171" s="1">
        <v>42398</v>
      </c>
      <c r="F1171">
        <v>35638.091692738199</v>
      </c>
      <c r="G1171" s="1">
        <v>42398</v>
      </c>
      <c r="H1171">
        <v>-4050</v>
      </c>
    </row>
    <row r="1172" spans="1:8" x14ac:dyDescent="0.25">
      <c r="A1172" s="1"/>
      <c r="C1172" s="1"/>
      <c r="E1172" s="1">
        <v>42401</v>
      </c>
      <c r="F1172">
        <v>35624.779845051402</v>
      </c>
      <c r="G1172" s="1">
        <v>42401</v>
      </c>
      <c r="H1172">
        <v>-4075</v>
      </c>
    </row>
    <row r="1173" spans="1:8" x14ac:dyDescent="0.25">
      <c r="A1173" s="1"/>
      <c r="C1173" s="1"/>
      <c r="E1173" s="1">
        <v>42402</v>
      </c>
      <c r="F1173">
        <v>35326.5055149123</v>
      </c>
      <c r="G1173" s="1">
        <v>42402</v>
      </c>
      <c r="H1173">
        <v>-4000</v>
      </c>
    </row>
    <row r="1174" spans="1:8" x14ac:dyDescent="0.25">
      <c r="A1174" s="1"/>
      <c r="C1174" s="1"/>
      <c r="E1174" s="1">
        <v>42403</v>
      </c>
      <c r="F1174">
        <v>35405.484240345599</v>
      </c>
      <c r="G1174" s="1">
        <v>42403</v>
      </c>
      <c r="H1174">
        <v>-4062.5</v>
      </c>
    </row>
    <row r="1175" spans="1:8" x14ac:dyDescent="0.25">
      <c r="A1175" s="1"/>
      <c r="C1175" s="1"/>
      <c r="E1175" s="1">
        <v>42404</v>
      </c>
      <c r="F1175">
        <v>35633.600268177601</v>
      </c>
      <c r="G1175" s="1">
        <v>42404</v>
      </c>
      <c r="H1175">
        <v>-4150</v>
      </c>
    </row>
    <row r="1176" spans="1:8" x14ac:dyDescent="0.25">
      <c r="A1176" s="1"/>
      <c r="C1176" s="1"/>
      <c r="E1176" s="1">
        <v>42405</v>
      </c>
      <c r="F1176">
        <v>35843.047152332903</v>
      </c>
      <c r="G1176" s="1">
        <v>42405</v>
      </c>
      <c r="H1176">
        <v>-4275</v>
      </c>
    </row>
    <row r="1177" spans="1:8" x14ac:dyDescent="0.25">
      <c r="A1177" s="1"/>
      <c r="C1177" s="1"/>
      <c r="E1177" s="1">
        <v>42408</v>
      </c>
      <c r="F1177">
        <v>36210.060732655198</v>
      </c>
      <c r="G1177" s="1">
        <v>42408</v>
      </c>
      <c r="H1177">
        <v>-4512.5</v>
      </c>
    </row>
    <row r="1178" spans="1:8" x14ac:dyDescent="0.25">
      <c r="A1178" s="1"/>
      <c r="C1178" s="1"/>
      <c r="E1178" s="1">
        <v>42409</v>
      </c>
      <c r="F1178">
        <v>36265.382967762598</v>
      </c>
      <c r="G1178" s="1">
        <v>42409</v>
      </c>
      <c r="H1178">
        <v>-4562.5</v>
      </c>
    </row>
    <row r="1179" spans="1:8" x14ac:dyDescent="0.25">
      <c r="A1179" s="1"/>
      <c r="C1179" s="1"/>
      <c r="E1179" s="1">
        <v>42410</v>
      </c>
      <c r="F1179">
        <v>36276.746640019097</v>
      </c>
      <c r="G1179" s="1">
        <v>42410</v>
      </c>
      <c r="H1179">
        <v>-4575</v>
      </c>
    </row>
    <row r="1180" spans="1:8" x14ac:dyDescent="0.25">
      <c r="A1180" s="1"/>
      <c r="C1180" s="1"/>
      <c r="E1180" s="1">
        <v>42411</v>
      </c>
      <c r="F1180">
        <v>36297.961869053499</v>
      </c>
      <c r="G1180" s="1">
        <v>42411</v>
      </c>
      <c r="H1180">
        <v>-4600</v>
      </c>
    </row>
    <row r="1181" spans="1:8" x14ac:dyDescent="0.25">
      <c r="A1181" s="1"/>
      <c r="C1181" s="1"/>
      <c r="E1181" s="1">
        <v>42412</v>
      </c>
      <c r="F1181">
        <v>36358.171768955799</v>
      </c>
      <c r="G1181" s="1">
        <v>42412</v>
      </c>
      <c r="H1181">
        <v>-4662.5</v>
      </c>
    </row>
    <row r="1182" spans="1:8" x14ac:dyDescent="0.25">
      <c r="A1182" s="1"/>
      <c r="C1182" s="1"/>
      <c r="E1182" s="1">
        <v>42416</v>
      </c>
      <c r="F1182">
        <v>36228.147507481197</v>
      </c>
      <c r="G1182" s="1">
        <v>42416</v>
      </c>
      <c r="H1182">
        <v>-4537.5</v>
      </c>
    </row>
    <row r="1183" spans="1:8" x14ac:dyDescent="0.25">
      <c r="A1183" s="1"/>
      <c r="C1183" s="1"/>
      <c r="E1183" s="1">
        <v>42417</v>
      </c>
      <c r="F1183">
        <v>36384.635697178499</v>
      </c>
      <c r="G1183" s="1">
        <v>42417</v>
      </c>
      <c r="H1183">
        <v>-4250</v>
      </c>
    </row>
    <row r="1184" spans="1:8" x14ac:dyDescent="0.25">
      <c r="A1184" s="1"/>
      <c r="C1184" s="1"/>
      <c r="E1184" s="1">
        <v>42418</v>
      </c>
      <c r="F1184">
        <v>36311.6988132521</v>
      </c>
      <c r="G1184" s="1">
        <v>42418</v>
      </c>
      <c r="H1184">
        <v>-4287.5</v>
      </c>
    </row>
    <row r="1185" spans="1:8" x14ac:dyDescent="0.25">
      <c r="A1185" s="1"/>
      <c r="C1185" s="1"/>
      <c r="E1185" s="1">
        <v>42419</v>
      </c>
      <c r="F1185">
        <v>36206.674681477198</v>
      </c>
      <c r="G1185" s="1">
        <v>42419</v>
      </c>
      <c r="H1185">
        <v>-4312.5</v>
      </c>
    </row>
    <row r="1186" spans="1:8" x14ac:dyDescent="0.25">
      <c r="A1186" s="1"/>
      <c r="C1186" s="1"/>
      <c r="E1186" s="1">
        <v>42422</v>
      </c>
      <c r="F1186">
        <v>36214.989363483997</v>
      </c>
      <c r="G1186" s="1">
        <v>42422</v>
      </c>
      <c r="H1186">
        <v>-4212.5</v>
      </c>
    </row>
    <row r="1187" spans="1:8" x14ac:dyDescent="0.25">
      <c r="A1187" s="1"/>
      <c r="C1187" s="1"/>
      <c r="E1187" s="1">
        <v>42423</v>
      </c>
      <c r="F1187">
        <v>36618.4349506422</v>
      </c>
      <c r="G1187" s="1">
        <v>42423</v>
      </c>
      <c r="H1187">
        <v>-4500</v>
      </c>
    </row>
    <row r="1188" spans="1:8" x14ac:dyDescent="0.25">
      <c r="A1188" s="1"/>
      <c r="C1188" s="1"/>
      <c r="E1188" s="1">
        <v>42424</v>
      </c>
      <c r="F1188">
        <v>36647.315375141799</v>
      </c>
      <c r="G1188" s="1">
        <v>42424</v>
      </c>
      <c r="H1188">
        <v>-4587.5</v>
      </c>
    </row>
    <row r="1189" spans="1:8" x14ac:dyDescent="0.25">
      <c r="A1189" s="1"/>
      <c r="C1189" s="1"/>
      <c r="E1189" s="1">
        <v>42425</v>
      </c>
      <c r="F1189">
        <v>37049.555693440103</v>
      </c>
      <c r="G1189" s="1">
        <v>42425</v>
      </c>
      <c r="H1189">
        <v>-4800</v>
      </c>
    </row>
    <row r="1190" spans="1:8" x14ac:dyDescent="0.25">
      <c r="A1190" s="1"/>
      <c r="C1190" s="1"/>
      <c r="E1190" s="1">
        <v>42426</v>
      </c>
      <c r="F1190">
        <v>37209.844305805796</v>
      </c>
      <c r="G1190" s="1">
        <v>42426</v>
      </c>
      <c r="H1190">
        <v>-4900</v>
      </c>
    </row>
    <row r="1191" spans="1:8" x14ac:dyDescent="0.25">
      <c r="A1191" s="1"/>
      <c r="C1191" s="1"/>
      <c r="E1191" s="1">
        <v>42429</v>
      </c>
      <c r="F1191">
        <v>37224.745867542901</v>
      </c>
      <c r="G1191" s="1">
        <v>42429</v>
      </c>
      <c r="H1191">
        <v>-4925</v>
      </c>
    </row>
    <row r="1192" spans="1:8" x14ac:dyDescent="0.25">
      <c r="A1192" s="1"/>
      <c r="C1192" s="1"/>
      <c r="E1192" s="1">
        <v>42430</v>
      </c>
      <c r="F1192">
        <v>37220.854654125797</v>
      </c>
      <c r="G1192" s="1">
        <v>42430</v>
      </c>
      <c r="H1192">
        <v>-4850</v>
      </c>
    </row>
    <row r="1193" spans="1:8" x14ac:dyDescent="0.25">
      <c r="A1193" s="1"/>
      <c r="C1193" s="1"/>
      <c r="E1193" s="1">
        <v>42431</v>
      </c>
      <c r="F1193">
        <v>37187.997291378597</v>
      </c>
      <c r="G1193" s="1">
        <v>42431</v>
      </c>
      <c r="H1193">
        <v>-4887.5</v>
      </c>
    </row>
    <row r="1194" spans="1:8" x14ac:dyDescent="0.25">
      <c r="A1194" s="1"/>
      <c r="C1194" s="1"/>
      <c r="E1194" s="1">
        <v>42432</v>
      </c>
      <c r="F1194">
        <v>37205.796229176201</v>
      </c>
      <c r="G1194" s="1">
        <v>42432</v>
      </c>
      <c r="H1194">
        <v>-4950</v>
      </c>
    </row>
    <row r="1195" spans="1:8" x14ac:dyDescent="0.25">
      <c r="A1195" s="1"/>
      <c r="C1195" s="1"/>
      <c r="E1195" s="1">
        <v>42433</v>
      </c>
      <c r="F1195">
        <v>37483.025431446702</v>
      </c>
      <c r="G1195" s="1">
        <v>42433</v>
      </c>
      <c r="H1195">
        <v>-4875</v>
      </c>
    </row>
    <row r="1196" spans="1:8" x14ac:dyDescent="0.25">
      <c r="A1196" s="1"/>
      <c r="C1196" s="1"/>
      <c r="E1196" s="1">
        <v>42436</v>
      </c>
      <c r="F1196">
        <v>37834.820200733797</v>
      </c>
      <c r="G1196" s="1">
        <v>42436</v>
      </c>
      <c r="H1196">
        <v>-4800</v>
      </c>
    </row>
    <row r="1197" spans="1:8" x14ac:dyDescent="0.25">
      <c r="A1197" s="1"/>
      <c r="C1197" s="1"/>
      <c r="E1197" s="1">
        <v>42437</v>
      </c>
      <c r="F1197">
        <v>37776.026995472603</v>
      </c>
      <c r="G1197" s="1">
        <v>42437</v>
      </c>
      <c r="H1197">
        <v>-4700</v>
      </c>
    </row>
    <row r="1198" spans="1:8" x14ac:dyDescent="0.25">
      <c r="A1198" s="1"/>
      <c r="C1198" s="1"/>
      <c r="E1198" s="1">
        <v>42438</v>
      </c>
      <c r="F1198">
        <v>37750.305457882503</v>
      </c>
      <c r="G1198" s="1">
        <v>42438</v>
      </c>
      <c r="H1198">
        <v>-4625</v>
      </c>
    </row>
    <row r="1199" spans="1:8" x14ac:dyDescent="0.25">
      <c r="A1199" s="1"/>
      <c r="C1199" s="1"/>
      <c r="E1199" s="1">
        <v>42439</v>
      </c>
      <c r="F1199">
        <v>37670.046760372803</v>
      </c>
      <c r="G1199" s="1">
        <v>42439</v>
      </c>
      <c r="H1199">
        <v>-4487.5</v>
      </c>
    </row>
    <row r="1200" spans="1:8" x14ac:dyDescent="0.25">
      <c r="A1200" s="1"/>
      <c r="C1200" s="1"/>
      <c r="E1200" s="1">
        <v>42440</v>
      </c>
      <c r="F1200">
        <v>37506.304633907901</v>
      </c>
      <c r="G1200" s="1">
        <v>42440</v>
      </c>
      <c r="H1200">
        <v>-4312.5</v>
      </c>
    </row>
    <row r="1201" spans="1:8" x14ac:dyDescent="0.25">
      <c r="A1201" s="1"/>
      <c r="C1201" s="1"/>
      <c r="E1201" s="1">
        <v>42443</v>
      </c>
      <c r="F1201">
        <v>37322.136756710701</v>
      </c>
      <c r="G1201" s="1">
        <v>42443</v>
      </c>
      <c r="H1201">
        <v>-4050</v>
      </c>
    </row>
    <row r="1202" spans="1:8" x14ac:dyDescent="0.25">
      <c r="A1202" s="1"/>
      <c r="C1202" s="1"/>
      <c r="E1202" s="1">
        <v>42444</v>
      </c>
      <c r="F1202">
        <v>37342.703173451097</v>
      </c>
      <c r="G1202" s="1">
        <v>42444</v>
      </c>
      <c r="H1202">
        <v>-4062.5</v>
      </c>
    </row>
    <row r="1203" spans="1:8" x14ac:dyDescent="0.25">
      <c r="A1203" s="1"/>
      <c r="C1203" s="1"/>
      <c r="E1203" s="1">
        <v>42445</v>
      </c>
      <c r="F1203">
        <v>37458.980387501397</v>
      </c>
      <c r="G1203" s="1">
        <v>42445</v>
      </c>
      <c r="H1203">
        <v>-4112.5</v>
      </c>
    </row>
    <row r="1204" spans="1:8" x14ac:dyDescent="0.25">
      <c r="A1204" s="1"/>
      <c r="C1204" s="1"/>
      <c r="E1204" s="1">
        <v>42446</v>
      </c>
      <c r="F1204">
        <v>37385.817245297098</v>
      </c>
      <c r="G1204" s="1">
        <v>42446</v>
      </c>
      <c r="H1204">
        <v>-4087.5</v>
      </c>
    </row>
    <row r="1205" spans="1:8" x14ac:dyDescent="0.25">
      <c r="A1205" s="1"/>
      <c r="C1205" s="1"/>
      <c r="E1205" s="1">
        <v>42447</v>
      </c>
      <c r="F1205">
        <v>37472.9793203398</v>
      </c>
      <c r="G1205" s="1">
        <v>42447</v>
      </c>
      <c r="H1205">
        <v>-4162.5</v>
      </c>
    </row>
    <row r="1206" spans="1:8" x14ac:dyDescent="0.25">
      <c r="A1206" s="1"/>
      <c r="C1206" s="1"/>
      <c r="E1206" s="1">
        <v>42450</v>
      </c>
      <c r="F1206">
        <v>37236.515468411097</v>
      </c>
      <c r="G1206" s="1">
        <v>42450</v>
      </c>
      <c r="H1206">
        <v>-4025</v>
      </c>
    </row>
    <row r="1207" spans="1:8" x14ac:dyDescent="0.25">
      <c r="A1207" s="1"/>
      <c r="C1207" s="1"/>
      <c r="E1207" s="1">
        <v>42451</v>
      </c>
      <c r="F1207">
        <v>37216.070902638101</v>
      </c>
      <c r="G1207" s="1">
        <v>42451</v>
      </c>
      <c r="H1207">
        <v>-4012.5</v>
      </c>
    </row>
    <row r="1208" spans="1:8" x14ac:dyDescent="0.25">
      <c r="A1208" s="1"/>
      <c r="C1208" s="1"/>
      <c r="E1208" s="1">
        <v>42452</v>
      </c>
      <c r="F1208">
        <v>37227.069348149002</v>
      </c>
      <c r="G1208" s="1">
        <v>42452</v>
      </c>
      <c r="H1208">
        <v>-4087.5</v>
      </c>
    </row>
    <row r="1209" spans="1:8" x14ac:dyDescent="0.25">
      <c r="A1209" s="1"/>
      <c r="C1209" s="1"/>
      <c r="E1209" s="1">
        <v>42453</v>
      </c>
      <c r="F1209">
        <v>37168.900120548897</v>
      </c>
      <c r="G1209" s="1">
        <v>42453</v>
      </c>
      <c r="H1209">
        <v>-4012.5</v>
      </c>
    </row>
    <row r="1210" spans="1:8" x14ac:dyDescent="0.25">
      <c r="A1210" s="1"/>
      <c r="C1210" s="1"/>
      <c r="E1210" s="1">
        <v>42454</v>
      </c>
      <c r="F1210">
        <v>37155.127771191299</v>
      </c>
      <c r="G1210" s="1">
        <v>42454</v>
      </c>
      <c r="H1210">
        <v>-4000</v>
      </c>
    </row>
    <row r="1211" spans="1:8" x14ac:dyDescent="0.25">
      <c r="A1211" s="1"/>
      <c r="C1211" s="1"/>
      <c r="E1211" s="1">
        <v>42457</v>
      </c>
      <c r="F1211">
        <v>37079.952432446102</v>
      </c>
      <c r="G1211" s="1">
        <v>42457</v>
      </c>
      <c r="H1211">
        <v>-3925</v>
      </c>
    </row>
    <row r="1212" spans="1:8" x14ac:dyDescent="0.25">
      <c r="A1212" s="1"/>
      <c r="C1212" s="1"/>
      <c r="E1212" s="1">
        <v>42458</v>
      </c>
      <c r="F1212">
        <v>37022.904769711196</v>
      </c>
      <c r="G1212" s="1">
        <v>42458</v>
      </c>
      <c r="H1212">
        <v>-3887.5</v>
      </c>
    </row>
    <row r="1213" spans="1:8" x14ac:dyDescent="0.25">
      <c r="A1213" s="1"/>
      <c r="C1213" s="1"/>
      <c r="E1213" s="1">
        <v>42459</v>
      </c>
      <c r="F1213">
        <v>37236.480697445499</v>
      </c>
      <c r="G1213" s="1">
        <v>42459</v>
      </c>
      <c r="H1213">
        <v>-4025</v>
      </c>
    </row>
    <row r="1214" spans="1:8" x14ac:dyDescent="0.25">
      <c r="A1214" s="1"/>
      <c r="C1214" s="1"/>
      <c r="E1214" s="1">
        <v>42460</v>
      </c>
      <c r="F1214">
        <v>38893.857711605699</v>
      </c>
      <c r="G1214" s="1">
        <v>42460</v>
      </c>
      <c r="H1214">
        <v>-5075</v>
      </c>
    </row>
    <row r="1215" spans="1:8" x14ac:dyDescent="0.25">
      <c r="A1215" s="1"/>
      <c r="C1215" s="1"/>
      <c r="E1215" s="1">
        <v>42461</v>
      </c>
      <c r="F1215">
        <v>38900.862384609798</v>
      </c>
      <c r="G1215" s="1">
        <v>42461</v>
      </c>
      <c r="H1215">
        <v>-4925</v>
      </c>
    </row>
    <row r="1216" spans="1:8" x14ac:dyDescent="0.25">
      <c r="A1216" s="1"/>
      <c r="C1216" s="1"/>
      <c r="E1216" s="1">
        <v>42464</v>
      </c>
      <c r="F1216">
        <v>38915.034656338299</v>
      </c>
      <c r="G1216" s="1">
        <v>42464</v>
      </c>
      <c r="H1216">
        <v>-4762.5</v>
      </c>
    </row>
    <row r="1217" spans="1:8" x14ac:dyDescent="0.25">
      <c r="A1217" s="1"/>
      <c r="C1217" s="1"/>
      <c r="E1217" s="1">
        <v>42465</v>
      </c>
      <c r="F1217">
        <v>38909.224865727097</v>
      </c>
      <c r="G1217" s="1">
        <v>42465</v>
      </c>
      <c r="H1217">
        <v>-4712.5</v>
      </c>
    </row>
    <row r="1218" spans="1:8" x14ac:dyDescent="0.25">
      <c r="A1218" s="1"/>
      <c r="C1218" s="1"/>
      <c r="E1218" s="1">
        <v>42466</v>
      </c>
      <c r="F1218">
        <v>39106.023068241702</v>
      </c>
      <c r="G1218" s="1">
        <v>42466</v>
      </c>
      <c r="H1218">
        <v>-4587.5</v>
      </c>
    </row>
    <row r="1219" spans="1:8" x14ac:dyDescent="0.25">
      <c r="A1219" s="1"/>
      <c r="C1219" s="1"/>
      <c r="E1219" s="1">
        <v>42467</v>
      </c>
      <c r="F1219">
        <v>39341.608906559602</v>
      </c>
      <c r="G1219" s="1">
        <v>42467</v>
      </c>
      <c r="H1219">
        <v>-4425</v>
      </c>
    </row>
    <row r="1220" spans="1:8" x14ac:dyDescent="0.25">
      <c r="A1220" s="1"/>
      <c r="C1220" s="1"/>
      <c r="E1220" s="1">
        <v>42468</v>
      </c>
      <c r="F1220">
        <v>39414.966229252503</v>
      </c>
      <c r="G1220" s="1">
        <v>42468</v>
      </c>
      <c r="H1220">
        <v>-4400</v>
      </c>
    </row>
    <row r="1221" spans="1:8" x14ac:dyDescent="0.25">
      <c r="A1221" s="1"/>
      <c r="C1221" s="1"/>
      <c r="E1221" s="1">
        <v>42471</v>
      </c>
      <c r="F1221">
        <v>38906.194989018099</v>
      </c>
      <c r="G1221" s="1">
        <v>42471</v>
      </c>
      <c r="H1221">
        <v>-4662.5</v>
      </c>
    </row>
    <row r="1222" spans="1:8" x14ac:dyDescent="0.25">
      <c r="A1222" s="1"/>
      <c r="C1222" s="1"/>
      <c r="E1222" s="1">
        <v>42472</v>
      </c>
      <c r="F1222">
        <v>38903.761448673897</v>
      </c>
      <c r="G1222" s="1">
        <v>42472</v>
      </c>
      <c r="H1222">
        <v>-4525</v>
      </c>
    </row>
    <row r="1223" spans="1:8" x14ac:dyDescent="0.25">
      <c r="A1223" s="1"/>
      <c r="C1223" s="1"/>
      <c r="E1223" s="1">
        <v>42473</v>
      </c>
      <c r="F1223">
        <v>39992.598881535203</v>
      </c>
      <c r="G1223" s="1">
        <v>42473</v>
      </c>
      <c r="H1223">
        <v>-3800</v>
      </c>
    </row>
    <row r="1224" spans="1:8" x14ac:dyDescent="0.25">
      <c r="A1224" s="1"/>
      <c r="C1224" s="1"/>
      <c r="E1224" s="1">
        <v>42474</v>
      </c>
      <c r="F1224">
        <v>39939.011450581202</v>
      </c>
      <c r="G1224" s="1">
        <v>42474</v>
      </c>
      <c r="H1224">
        <v>-3800</v>
      </c>
    </row>
    <row r="1225" spans="1:8" x14ac:dyDescent="0.25">
      <c r="A1225" s="1"/>
      <c r="C1225" s="1"/>
      <c r="E1225" s="1">
        <v>42475</v>
      </c>
      <c r="F1225">
        <v>39618.6216648146</v>
      </c>
      <c r="G1225" s="1">
        <v>42475</v>
      </c>
      <c r="H1225">
        <v>-3500</v>
      </c>
    </row>
    <row r="1226" spans="1:8" x14ac:dyDescent="0.25">
      <c r="A1226" s="1"/>
      <c r="C1226" s="1"/>
      <c r="E1226" s="1">
        <v>42478</v>
      </c>
      <c r="F1226">
        <v>39475.823439411797</v>
      </c>
      <c r="G1226" s="1">
        <v>42478</v>
      </c>
      <c r="H1226">
        <v>-3437.5</v>
      </c>
    </row>
    <row r="1227" spans="1:8" x14ac:dyDescent="0.25">
      <c r="A1227" s="1"/>
      <c r="C1227" s="1"/>
      <c r="E1227" s="1">
        <v>42479</v>
      </c>
      <c r="F1227">
        <v>39188.258917622203</v>
      </c>
      <c r="G1227" s="1">
        <v>42479</v>
      </c>
      <c r="H1227">
        <v>-3262.5</v>
      </c>
    </row>
    <row r="1228" spans="1:8" x14ac:dyDescent="0.25">
      <c r="A1228" s="1"/>
      <c r="C1228" s="1"/>
      <c r="E1228" s="1">
        <v>42480</v>
      </c>
      <c r="F1228">
        <v>38579.193030171002</v>
      </c>
      <c r="G1228" s="1">
        <v>42480</v>
      </c>
      <c r="H1228">
        <v>-2937.5</v>
      </c>
    </row>
    <row r="1229" spans="1:8" x14ac:dyDescent="0.25">
      <c r="A1229" s="1"/>
      <c r="C1229" s="1"/>
      <c r="E1229" s="1">
        <v>42481</v>
      </c>
      <c r="F1229">
        <v>38525.405049137698</v>
      </c>
      <c r="G1229" s="1">
        <v>42481</v>
      </c>
      <c r="H1229">
        <v>-2987.5</v>
      </c>
    </row>
    <row r="1230" spans="1:8" x14ac:dyDescent="0.25">
      <c r="A1230" s="1"/>
      <c r="C1230" s="1"/>
      <c r="E1230" s="1">
        <v>42482</v>
      </c>
      <c r="F1230">
        <v>39334.557118229503</v>
      </c>
      <c r="G1230" s="1">
        <v>42482</v>
      </c>
      <c r="H1230">
        <v>-3812.5</v>
      </c>
    </row>
    <row r="1231" spans="1:8" x14ac:dyDescent="0.25">
      <c r="A1231" s="1"/>
      <c r="C1231" s="1"/>
      <c r="E1231" s="1">
        <v>42485</v>
      </c>
      <c r="F1231">
        <v>39394.161930851602</v>
      </c>
      <c r="G1231" s="1">
        <v>42485</v>
      </c>
      <c r="H1231">
        <v>-3462.5</v>
      </c>
    </row>
    <row r="1232" spans="1:8" x14ac:dyDescent="0.25">
      <c r="A1232" s="1"/>
      <c r="C1232" s="1"/>
      <c r="E1232" s="1">
        <v>42486</v>
      </c>
      <c r="F1232">
        <v>39355.702718548397</v>
      </c>
      <c r="G1232" s="1">
        <v>42486</v>
      </c>
      <c r="H1232">
        <v>-3475</v>
      </c>
    </row>
    <row r="1233" spans="1:8" x14ac:dyDescent="0.25">
      <c r="A1233" s="1"/>
      <c r="C1233" s="1"/>
      <c r="E1233" s="1">
        <v>42487</v>
      </c>
      <c r="F1233">
        <v>39315.737779431001</v>
      </c>
      <c r="G1233" s="1">
        <v>42487</v>
      </c>
      <c r="H1233">
        <v>-3575</v>
      </c>
    </row>
    <row r="1234" spans="1:8" x14ac:dyDescent="0.25">
      <c r="A1234" s="1"/>
      <c r="C1234" s="1"/>
      <c r="E1234" s="1">
        <v>42488</v>
      </c>
      <c r="F1234">
        <v>38726.6631639525</v>
      </c>
      <c r="G1234" s="1">
        <v>42488</v>
      </c>
      <c r="H1234">
        <v>-3150</v>
      </c>
    </row>
    <row r="1235" spans="1:8" x14ac:dyDescent="0.25">
      <c r="A1235" s="1"/>
      <c r="C1235" s="1"/>
      <c r="E1235" s="1">
        <v>42489</v>
      </c>
      <c r="F1235">
        <v>38727.989248089398</v>
      </c>
      <c r="G1235" s="1">
        <v>42489</v>
      </c>
      <c r="H1235">
        <v>-3050</v>
      </c>
    </row>
    <row r="1236" spans="1:8" x14ac:dyDescent="0.25">
      <c r="A1236" s="1"/>
      <c r="C1236" s="1"/>
      <c r="E1236" s="1">
        <v>42492</v>
      </c>
      <c r="F1236">
        <v>38837.169328503303</v>
      </c>
      <c r="G1236" s="1">
        <v>42492</v>
      </c>
      <c r="H1236">
        <v>-3137.5</v>
      </c>
    </row>
    <row r="1237" spans="1:8" x14ac:dyDescent="0.25">
      <c r="A1237" s="1"/>
      <c r="C1237" s="1"/>
      <c r="E1237" s="1">
        <v>42493</v>
      </c>
      <c r="F1237">
        <v>39493.588060192698</v>
      </c>
      <c r="G1237" s="1">
        <v>42493</v>
      </c>
      <c r="H1237">
        <v>-3650</v>
      </c>
    </row>
    <row r="1238" spans="1:8" x14ac:dyDescent="0.25">
      <c r="A1238" s="1"/>
      <c r="C1238" s="1"/>
      <c r="E1238" s="1">
        <v>42494</v>
      </c>
      <c r="F1238">
        <v>39517.029113583201</v>
      </c>
      <c r="G1238" s="1">
        <v>42494</v>
      </c>
      <c r="H1238">
        <v>-3762.5</v>
      </c>
    </row>
    <row r="1239" spans="1:8" x14ac:dyDescent="0.25">
      <c r="A1239" s="1"/>
      <c r="C1239" s="1"/>
      <c r="E1239" s="1">
        <v>42495</v>
      </c>
      <c r="F1239">
        <v>39833.001739315601</v>
      </c>
      <c r="G1239" s="1">
        <v>42495</v>
      </c>
      <c r="H1239">
        <v>-3937.5</v>
      </c>
    </row>
    <row r="1240" spans="1:8" x14ac:dyDescent="0.25">
      <c r="A1240" s="1"/>
      <c r="C1240" s="1"/>
      <c r="E1240" s="1">
        <v>42496</v>
      </c>
      <c r="F1240">
        <v>39618.4164732024</v>
      </c>
      <c r="G1240" s="1">
        <v>42496</v>
      </c>
      <c r="H1240">
        <v>-3725</v>
      </c>
    </row>
    <row r="1241" spans="1:8" x14ac:dyDescent="0.25">
      <c r="A1241" s="1"/>
      <c r="C1241" s="1"/>
      <c r="E1241" s="1">
        <v>42499</v>
      </c>
      <c r="F1241">
        <v>39893.414062313699</v>
      </c>
      <c r="G1241" s="1">
        <v>42499</v>
      </c>
      <c r="H1241">
        <v>-4012.5</v>
      </c>
    </row>
    <row r="1242" spans="1:8" x14ac:dyDescent="0.25">
      <c r="A1242" s="1"/>
      <c r="C1242" s="1"/>
      <c r="E1242" s="1">
        <v>42500</v>
      </c>
      <c r="F1242">
        <v>39217.874938778499</v>
      </c>
      <c r="G1242" s="1">
        <v>42500</v>
      </c>
      <c r="H1242">
        <v>-3587.5</v>
      </c>
    </row>
    <row r="1243" spans="1:8" x14ac:dyDescent="0.25">
      <c r="A1243" s="1"/>
      <c r="C1243" s="1"/>
      <c r="E1243" s="1">
        <v>42501</v>
      </c>
      <c r="F1243">
        <v>39225.745670132303</v>
      </c>
      <c r="G1243" s="1">
        <v>42501</v>
      </c>
      <c r="H1243">
        <v>-3887.5</v>
      </c>
    </row>
    <row r="1244" spans="1:8" x14ac:dyDescent="0.25">
      <c r="A1244" s="1"/>
      <c r="C1244" s="1"/>
      <c r="E1244" s="1">
        <v>42502</v>
      </c>
      <c r="F1244">
        <v>39213.745670132303</v>
      </c>
      <c r="G1244" s="1">
        <v>42502</v>
      </c>
      <c r="H1244">
        <v>-3325</v>
      </c>
    </row>
    <row r="1245" spans="1:8" x14ac:dyDescent="0.25">
      <c r="A1245" s="1"/>
      <c r="C1245" s="1"/>
      <c r="E1245" s="1">
        <v>42503</v>
      </c>
      <c r="F1245">
        <v>39195.745677761697</v>
      </c>
      <c r="G1245" s="1">
        <v>42503</v>
      </c>
      <c r="H1245">
        <v>-3175</v>
      </c>
    </row>
    <row r="1246" spans="1:8" x14ac:dyDescent="0.25">
      <c r="A1246" s="1"/>
      <c r="C1246" s="1"/>
      <c r="E1246" s="1">
        <v>42506</v>
      </c>
      <c r="F1246">
        <v>39426.086626700999</v>
      </c>
      <c r="G1246" s="1">
        <v>42506</v>
      </c>
      <c r="H1246">
        <v>-3087.5</v>
      </c>
    </row>
    <row r="1247" spans="1:8" x14ac:dyDescent="0.25">
      <c r="A1247" s="1"/>
      <c r="C1247" s="1"/>
      <c r="E1247" s="1">
        <v>42507</v>
      </c>
      <c r="F1247">
        <v>39407.654329948098</v>
      </c>
      <c r="G1247" s="1">
        <v>42507</v>
      </c>
      <c r="H1247">
        <v>-2850</v>
      </c>
    </row>
    <row r="1248" spans="1:8" x14ac:dyDescent="0.25">
      <c r="A1248" s="1"/>
      <c r="C1248" s="1"/>
      <c r="E1248" s="1">
        <v>42508</v>
      </c>
      <c r="F1248">
        <v>39495.740221671702</v>
      </c>
      <c r="G1248" s="1">
        <v>42508</v>
      </c>
      <c r="H1248">
        <v>-2725</v>
      </c>
    </row>
    <row r="1249" spans="1:8" x14ac:dyDescent="0.25">
      <c r="A1249" s="1"/>
      <c r="C1249" s="1"/>
      <c r="E1249" s="1">
        <v>42509</v>
      </c>
      <c r="F1249">
        <v>39166.021990470501</v>
      </c>
      <c r="G1249" s="1">
        <v>42509</v>
      </c>
      <c r="H1249">
        <v>-3237.5</v>
      </c>
    </row>
    <row r="1250" spans="1:8" x14ac:dyDescent="0.25">
      <c r="A1250" s="1"/>
      <c r="C1250" s="1"/>
      <c r="E1250" s="1">
        <v>42510</v>
      </c>
      <c r="F1250">
        <v>39086.676485709802</v>
      </c>
      <c r="G1250" s="1">
        <v>42510</v>
      </c>
      <c r="H1250">
        <v>-3050</v>
      </c>
    </row>
    <row r="1251" spans="1:8" x14ac:dyDescent="0.25">
      <c r="A1251" s="1"/>
      <c r="C1251" s="1"/>
      <c r="E1251" s="1">
        <v>42513</v>
      </c>
      <c r="F1251">
        <v>39087.768618278198</v>
      </c>
      <c r="G1251" s="1">
        <v>42513</v>
      </c>
      <c r="H1251">
        <v>-2837.5</v>
      </c>
    </row>
    <row r="1252" spans="1:8" x14ac:dyDescent="0.25">
      <c r="A1252" s="1"/>
      <c r="C1252" s="1"/>
      <c r="E1252" s="1">
        <v>42514</v>
      </c>
      <c r="F1252">
        <v>39086.697634391399</v>
      </c>
      <c r="G1252" s="1">
        <v>42514</v>
      </c>
      <c r="H1252">
        <v>-2675</v>
      </c>
    </row>
    <row r="1253" spans="1:8" x14ac:dyDescent="0.25">
      <c r="A1253" s="1"/>
      <c r="C1253" s="1"/>
      <c r="E1253" s="1">
        <v>42515</v>
      </c>
      <c r="F1253">
        <v>39077.268419913897</v>
      </c>
      <c r="G1253" s="1">
        <v>42515</v>
      </c>
      <c r="H1253">
        <v>-2487.5</v>
      </c>
    </row>
    <row r="1254" spans="1:8" x14ac:dyDescent="0.25">
      <c r="A1254" s="1"/>
      <c r="C1254" s="1"/>
      <c r="E1254" s="1">
        <v>42516</v>
      </c>
      <c r="F1254">
        <v>38963.714930228802</v>
      </c>
      <c r="G1254" s="1">
        <v>42516</v>
      </c>
      <c r="H1254">
        <v>-2300</v>
      </c>
    </row>
    <row r="1255" spans="1:8" x14ac:dyDescent="0.25">
      <c r="A1255" s="1"/>
      <c r="C1255" s="1"/>
      <c r="E1255" s="1">
        <v>42517</v>
      </c>
      <c r="F1255">
        <v>38843.866175345996</v>
      </c>
      <c r="G1255" s="1">
        <v>42517</v>
      </c>
      <c r="H1255">
        <v>-2087.5</v>
      </c>
    </row>
    <row r="1256" spans="1:8" x14ac:dyDescent="0.25">
      <c r="A1256" s="1"/>
      <c r="C1256" s="1"/>
      <c r="E1256" s="1">
        <v>42521</v>
      </c>
      <c r="F1256">
        <v>38952.015452079402</v>
      </c>
      <c r="G1256" s="1">
        <v>42521</v>
      </c>
      <c r="H1256">
        <v>-2400</v>
      </c>
    </row>
    <row r="1257" spans="1:8" x14ac:dyDescent="0.25">
      <c r="A1257" s="1"/>
      <c r="C1257" s="1"/>
      <c r="E1257" s="1">
        <v>42522</v>
      </c>
      <c r="F1257">
        <v>38529.041407279597</v>
      </c>
      <c r="G1257" s="1">
        <v>42522</v>
      </c>
      <c r="H1257">
        <v>-2062.5</v>
      </c>
    </row>
    <row r="1258" spans="1:8" x14ac:dyDescent="0.25">
      <c r="A1258" s="1"/>
      <c r="C1258" s="1"/>
      <c r="E1258" s="1">
        <v>42523</v>
      </c>
      <c r="F1258">
        <v>38449.565722159998</v>
      </c>
      <c r="G1258" s="1">
        <v>42523</v>
      </c>
      <c r="H1258">
        <v>-1850</v>
      </c>
    </row>
    <row r="1259" spans="1:8" x14ac:dyDescent="0.25">
      <c r="A1259" s="1"/>
      <c r="C1259" s="1"/>
      <c r="E1259" s="1">
        <v>42524</v>
      </c>
      <c r="F1259">
        <v>38423.033569984102</v>
      </c>
      <c r="G1259" s="1">
        <v>42524</v>
      </c>
      <c r="H1259">
        <v>-1812.5</v>
      </c>
    </row>
    <row r="1260" spans="1:8" x14ac:dyDescent="0.25">
      <c r="A1260" s="1"/>
      <c r="C1260" s="1"/>
      <c r="E1260" s="1">
        <v>42527</v>
      </c>
      <c r="F1260">
        <v>38248.325333289802</v>
      </c>
      <c r="G1260" s="1">
        <v>42527</v>
      </c>
      <c r="H1260">
        <v>-1325</v>
      </c>
    </row>
    <row r="1261" spans="1:8" x14ac:dyDescent="0.25">
      <c r="A1261" s="1"/>
      <c r="C1261" s="1"/>
      <c r="E1261" s="1">
        <v>42528</v>
      </c>
      <c r="F1261">
        <v>38312.067177466997</v>
      </c>
      <c r="G1261" s="1">
        <v>42528</v>
      </c>
      <c r="H1261">
        <v>-1337.5</v>
      </c>
    </row>
    <row r="1262" spans="1:8" x14ac:dyDescent="0.25">
      <c r="A1262" s="1"/>
      <c r="C1262" s="1"/>
      <c r="E1262" s="1">
        <v>42529</v>
      </c>
      <c r="F1262">
        <v>37988.9777380749</v>
      </c>
      <c r="G1262" s="1">
        <v>42529</v>
      </c>
      <c r="H1262">
        <v>-1062.5</v>
      </c>
    </row>
    <row r="1263" spans="1:8" x14ac:dyDescent="0.25">
      <c r="A1263" s="1"/>
      <c r="C1263" s="1"/>
      <c r="E1263" s="1">
        <v>42530</v>
      </c>
      <c r="F1263">
        <v>38070.285797767297</v>
      </c>
      <c r="G1263" s="1">
        <v>42530</v>
      </c>
      <c r="H1263">
        <v>-1387.5</v>
      </c>
    </row>
    <row r="1264" spans="1:8" x14ac:dyDescent="0.25">
      <c r="A1264" s="1"/>
      <c r="C1264" s="1"/>
      <c r="E1264" s="1">
        <v>42531</v>
      </c>
      <c r="F1264">
        <v>38104.728737525598</v>
      </c>
      <c r="G1264" s="1">
        <v>42531</v>
      </c>
      <c r="H1264">
        <v>-1562.5</v>
      </c>
    </row>
    <row r="1265" spans="1:8" x14ac:dyDescent="0.25">
      <c r="A1265" s="1"/>
      <c r="C1265" s="1"/>
      <c r="E1265" s="1">
        <v>42534</v>
      </c>
      <c r="F1265">
        <v>37938.577400855698</v>
      </c>
      <c r="G1265" s="1">
        <v>42534</v>
      </c>
      <c r="H1265">
        <v>-1225</v>
      </c>
    </row>
    <row r="1266" spans="1:8" x14ac:dyDescent="0.25">
      <c r="A1266" s="1"/>
      <c r="C1266" s="1"/>
      <c r="E1266" s="1">
        <v>42535</v>
      </c>
      <c r="F1266">
        <v>38079.427300147698</v>
      </c>
      <c r="G1266" s="1">
        <v>42535</v>
      </c>
      <c r="H1266">
        <v>-1000</v>
      </c>
    </row>
    <row r="1267" spans="1:8" x14ac:dyDescent="0.25">
      <c r="A1267" s="1"/>
      <c r="C1267" s="1"/>
      <c r="E1267" s="1">
        <v>42536</v>
      </c>
      <c r="F1267">
        <v>38093.401677779802</v>
      </c>
      <c r="G1267" s="1">
        <v>42536</v>
      </c>
      <c r="H1267">
        <v>-1137.5</v>
      </c>
    </row>
    <row r="1268" spans="1:8" x14ac:dyDescent="0.25">
      <c r="A1268" s="1"/>
      <c r="C1268" s="1"/>
      <c r="E1268" s="1">
        <v>42537</v>
      </c>
      <c r="F1268">
        <v>38354.167627982701</v>
      </c>
      <c r="G1268" s="1">
        <v>42537</v>
      </c>
      <c r="H1268">
        <v>-1450</v>
      </c>
    </row>
    <row r="1269" spans="1:8" x14ac:dyDescent="0.25">
      <c r="A1269" s="1"/>
      <c r="C1269" s="1"/>
      <c r="E1269" s="1">
        <v>42538</v>
      </c>
      <c r="F1269">
        <v>38183.495268516199</v>
      </c>
      <c r="G1269" s="1">
        <v>42538</v>
      </c>
      <c r="H1269">
        <v>-975</v>
      </c>
    </row>
    <row r="1270" spans="1:8" x14ac:dyDescent="0.25">
      <c r="A1270" s="1"/>
      <c r="C1270" s="1"/>
      <c r="E1270" s="1">
        <v>42541</v>
      </c>
      <c r="F1270">
        <v>38348.725718192698</v>
      </c>
      <c r="G1270" s="1">
        <v>42541</v>
      </c>
      <c r="H1270">
        <v>-1537.5</v>
      </c>
    </row>
    <row r="1271" spans="1:8" x14ac:dyDescent="0.25">
      <c r="A1271" s="1"/>
      <c r="C1271" s="1"/>
      <c r="E1271" s="1">
        <v>42542</v>
      </c>
      <c r="F1271">
        <v>39716.910746268899</v>
      </c>
      <c r="G1271" s="1">
        <v>42542</v>
      </c>
      <c r="H1271">
        <v>-2812.5</v>
      </c>
    </row>
    <row r="1272" spans="1:8" x14ac:dyDescent="0.25">
      <c r="A1272" s="1"/>
      <c r="C1272" s="1"/>
      <c r="E1272" s="1">
        <v>42543</v>
      </c>
      <c r="F1272">
        <v>39660.655583076099</v>
      </c>
      <c r="G1272" s="1">
        <v>42543</v>
      </c>
      <c r="H1272">
        <v>-2825</v>
      </c>
    </row>
    <row r="1273" spans="1:8" x14ac:dyDescent="0.25">
      <c r="A1273" s="1"/>
      <c r="C1273" s="1"/>
      <c r="E1273" s="1">
        <v>42544</v>
      </c>
      <c r="F1273">
        <v>39617.300160102503</v>
      </c>
      <c r="G1273" s="1">
        <v>42544</v>
      </c>
      <c r="H1273">
        <v>-3287.5</v>
      </c>
    </row>
    <row r="1274" spans="1:8" x14ac:dyDescent="0.25">
      <c r="A1274" s="1"/>
      <c r="C1274" s="1"/>
      <c r="E1274" s="1">
        <v>42545</v>
      </c>
      <c r="F1274">
        <v>39647.685719184497</v>
      </c>
      <c r="G1274" s="1">
        <v>42545</v>
      </c>
      <c r="H1274">
        <v>-3587.5</v>
      </c>
    </row>
    <row r="1275" spans="1:8" x14ac:dyDescent="0.25">
      <c r="A1275" s="1"/>
      <c r="C1275" s="1"/>
      <c r="E1275" s="1">
        <v>42548</v>
      </c>
      <c r="F1275">
        <v>39551.332367591502</v>
      </c>
      <c r="G1275" s="1">
        <v>42548</v>
      </c>
      <c r="H1275">
        <v>-3450</v>
      </c>
    </row>
    <row r="1276" spans="1:8" x14ac:dyDescent="0.25">
      <c r="A1276" s="1"/>
      <c r="C1276" s="1"/>
      <c r="E1276" s="1">
        <v>42549</v>
      </c>
      <c r="F1276">
        <v>39471.561222724602</v>
      </c>
      <c r="G1276" s="1">
        <v>42549</v>
      </c>
      <c r="H1276">
        <v>-3400</v>
      </c>
    </row>
    <row r="1277" spans="1:8" x14ac:dyDescent="0.25">
      <c r="A1277" s="1"/>
      <c r="C1277" s="1"/>
      <c r="E1277" s="1">
        <v>42550</v>
      </c>
      <c r="F1277">
        <v>40648.341404609302</v>
      </c>
      <c r="G1277" s="1">
        <v>42550</v>
      </c>
      <c r="H1277">
        <v>-3987.5</v>
      </c>
    </row>
    <row r="1278" spans="1:8" x14ac:dyDescent="0.25">
      <c r="A1278" s="1"/>
      <c r="C1278" s="1"/>
      <c r="E1278" s="1">
        <v>42551</v>
      </c>
      <c r="F1278">
        <v>42188.552403144502</v>
      </c>
      <c r="G1278" s="1">
        <v>42551</v>
      </c>
      <c r="H1278">
        <v>-4700</v>
      </c>
    </row>
    <row r="1279" spans="1:8" x14ac:dyDescent="0.25">
      <c r="A1279" s="1"/>
      <c r="C1279" s="1"/>
      <c r="E1279" s="1">
        <v>42552</v>
      </c>
      <c r="F1279">
        <v>43193.901173286104</v>
      </c>
      <c r="G1279" s="1">
        <v>42552</v>
      </c>
      <c r="H1279">
        <v>-5025</v>
      </c>
    </row>
    <row r="1280" spans="1:8" x14ac:dyDescent="0.25">
      <c r="A1280" s="1"/>
      <c r="C1280" s="1"/>
      <c r="E1280" s="1">
        <v>42556</v>
      </c>
      <c r="F1280">
        <v>44266.397728614502</v>
      </c>
      <c r="G1280" s="1">
        <v>42556</v>
      </c>
      <c r="H1280">
        <v>-5600</v>
      </c>
    </row>
    <row r="1281" spans="1:8" x14ac:dyDescent="0.25">
      <c r="A1281" s="1"/>
      <c r="C1281" s="1"/>
      <c r="E1281" s="1">
        <v>42557</v>
      </c>
      <c r="F1281">
        <v>44796.352551154698</v>
      </c>
      <c r="G1281" s="1">
        <v>42557</v>
      </c>
      <c r="H1281">
        <v>-5775</v>
      </c>
    </row>
    <row r="1282" spans="1:8" x14ac:dyDescent="0.25">
      <c r="A1282" s="1"/>
      <c r="C1282" s="1"/>
      <c r="E1282" s="1">
        <v>42558</v>
      </c>
      <c r="F1282">
        <v>44829.867798499698</v>
      </c>
      <c r="G1282" s="1">
        <v>42558</v>
      </c>
      <c r="H1282">
        <v>-5900</v>
      </c>
    </row>
    <row r="1283" spans="1:8" x14ac:dyDescent="0.25">
      <c r="A1283" s="1"/>
      <c r="C1283" s="1"/>
      <c r="E1283" s="1">
        <v>42559</v>
      </c>
      <c r="F1283">
        <v>44570.254532508501</v>
      </c>
      <c r="G1283" s="1">
        <v>42559</v>
      </c>
      <c r="H1283">
        <v>-5237.5</v>
      </c>
    </row>
    <row r="1284" spans="1:8" x14ac:dyDescent="0.25">
      <c r="A1284" s="1"/>
      <c r="C1284" s="1"/>
      <c r="E1284" s="1">
        <v>42562</v>
      </c>
      <c r="F1284">
        <v>44549.144943885498</v>
      </c>
      <c r="G1284" s="1">
        <v>42562</v>
      </c>
      <c r="H1284">
        <v>-5512.5</v>
      </c>
    </row>
    <row r="1285" spans="1:8" x14ac:dyDescent="0.25">
      <c r="A1285" s="1"/>
      <c r="C1285" s="1"/>
      <c r="E1285" s="1">
        <v>42563</v>
      </c>
      <c r="F1285">
        <v>44379.270466499001</v>
      </c>
      <c r="G1285" s="1">
        <v>42563</v>
      </c>
      <c r="H1285">
        <v>-5162.5</v>
      </c>
    </row>
    <row r="1286" spans="1:8" x14ac:dyDescent="0.25">
      <c r="A1286" s="1"/>
      <c r="C1286" s="1"/>
      <c r="E1286" s="1">
        <v>42564</v>
      </c>
      <c r="F1286">
        <v>44381.772236518504</v>
      </c>
      <c r="G1286" s="1">
        <v>42564</v>
      </c>
      <c r="H1286">
        <v>-4675</v>
      </c>
    </row>
    <row r="1287" spans="1:8" x14ac:dyDescent="0.25">
      <c r="A1287" s="1"/>
      <c r="C1287" s="1"/>
      <c r="E1287" s="1">
        <v>42565</v>
      </c>
      <c r="F1287">
        <v>44479.425594977998</v>
      </c>
      <c r="G1287" s="1">
        <v>42565</v>
      </c>
      <c r="H1287">
        <v>-4862.5</v>
      </c>
    </row>
    <row r="1288" spans="1:8" x14ac:dyDescent="0.25">
      <c r="A1288" s="1"/>
      <c r="C1288" s="1"/>
      <c r="E1288" s="1">
        <v>42566</v>
      </c>
      <c r="F1288">
        <v>44671.756405524902</v>
      </c>
      <c r="G1288" s="1">
        <v>42566</v>
      </c>
      <c r="H1288">
        <v>-5125</v>
      </c>
    </row>
    <row r="1289" spans="1:8" x14ac:dyDescent="0.25">
      <c r="A1289" s="1"/>
      <c r="C1289" s="1"/>
      <c r="E1289" s="1">
        <v>42569</v>
      </c>
      <c r="F1289">
        <v>44629.106472663501</v>
      </c>
      <c r="G1289" s="1">
        <v>42569</v>
      </c>
      <c r="H1289">
        <v>-5012.5</v>
      </c>
    </row>
    <row r="1290" spans="1:8" x14ac:dyDescent="0.25">
      <c r="A1290" s="1"/>
      <c r="C1290" s="1"/>
      <c r="E1290" s="1">
        <v>42570</v>
      </c>
      <c r="F1290">
        <v>44640.896450690903</v>
      </c>
      <c r="G1290" s="1">
        <v>42570</v>
      </c>
      <c r="H1290">
        <v>-5600</v>
      </c>
    </row>
    <row r="1291" spans="1:8" x14ac:dyDescent="0.25">
      <c r="A1291" s="1"/>
      <c r="C1291" s="1"/>
      <c r="E1291" s="1">
        <v>42571</v>
      </c>
      <c r="F1291">
        <v>44563.445347480403</v>
      </c>
      <c r="G1291" s="1">
        <v>42571</v>
      </c>
      <c r="H1291">
        <v>-6000</v>
      </c>
    </row>
    <row r="1292" spans="1:8" x14ac:dyDescent="0.25">
      <c r="A1292" s="1"/>
      <c r="C1292" s="1"/>
      <c r="E1292" s="1">
        <v>42572</v>
      </c>
      <c r="F1292">
        <v>44581.757890872599</v>
      </c>
      <c r="G1292" s="1">
        <v>42572</v>
      </c>
      <c r="H1292">
        <v>-6025</v>
      </c>
    </row>
    <row r="1293" spans="1:8" x14ac:dyDescent="0.25">
      <c r="A1293" s="1"/>
      <c r="C1293" s="1"/>
      <c r="E1293" s="1">
        <v>42573</v>
      </c>
      <c r="F1293">
        <v>44598.665070705101</v>
      </c>
      <c r="G1293" s="1">
        <v>42573</v>
      </c>
      <c r="H1293">
        <v>-6012.5</v>
      </c>
    </row>
    <row r="1294" spans="1:8" x14ac:dyDescent="0.25">
      <c r="A1294" s="1"/>
      <c r="C1294" s="1"/>
      <c r="E1294" s="1">
        <v>42576</v>
      </c>
      <c r="F1294">
        <v>44583.031562022799</v>
      </c>
      <c r="G1294" s="1">
        <v>42576</v>
      </c>
      <c r="H1294">
        <v>-6087.5</v>
      </c>
    </row>
    <row r="1295" spans="1:8" x14ac:dyDescent="0.25">
      <c r="A1295" s="1"/>
      <c r="C1295" s="1"/>
      <c r="E1295" s="1">
        <v>42577</v>
      </c>
      <c r="F1295">
        <v>44655.234534434901</v>
      </c>
      <c r="G1295" s="1">
        <v>42577</v>
      </c>
      <c r="H1295">
        <v>-6200</v>
      </c>
    </row>
    <row r="1296" spans="1:8" x14ac:dyDescent="0.25">
      <c r="A1296" s="1"/>
      <c r="C1296" s="1"/>
      <c r="E1296" s="1">
        <v>42578</v>
      </c>
      <c r="F1296">
        <v>44670.800284557001</v>
      </c>
      <c r="G1296" s="1">
        <v>42578</v>
      </c>
      <c r="H1296">
        <v>-5975</v>
      </c>
    </row>
    <row r="1297" spans="1:8" x14ac:dyDescent="0.25">
      <c r="A1297" s="1"/>
      <c r="C1297" s="1"/>
      <c r="E1297" s="1">
        <v>42579</v>
      </c>
      <c r="F1297">
        <v>44459.574378184901</v>
      </c>
      <c r="G1297" s="1">
        <v>42579</v>
      </c>
      <c r="H1297">
        <v>-6287.5</v>
      </c>
    </row>
    <row r="1298" spans="1:8" x14ac:dyDescent="0.25">
      <c r="A1298" s="1"/>
      <c r="C1298" s="1"/>
      <c r="E1298" s="1">
        <v>42580</v>
      </c>
      <c r="F1298">
        <v>44237.971266917797</v>
      </c>
      <c r="G1298" s="1">
        <v>42580</v>
      </c>
      <c r="H1298">
        <v>-6100</v>
      </c>
    </row>
    <row r="1299" spans="1:8" x14ac:dyDescent="0.25">
      <c r="A1299" s="1"/>
      <c r="C1299" s="1"/>
      <c r="E1299" s="1">
        <v>42583</v>
      </c>
      <c r="F1299">
        <v>44234.328475169801</v>
      </c>
      <c r="G1299" s="1">
        <v>42583</v>
      </c>
      <c r="H1299">
        <v>-6362.5</v>
      </c>
    </row>
    <row r="1300" spans="1:8" x14ac:dyDescent="0.25">
      <c r="A1300" s="1"/>
      <c r="C1300" s="1"/>
      <c r="E1300" s="1">
        <v>42584</v>
      </c>
      <c r="F1300">
        <v>44381.171324901203</v>
      </c>
      <c r="G1300" s="1">
        <v>42584</v>
      </c>
      <c r="H1300">
        <v>-6700</v>
      </c>
    </row>
    <row r="1301" spans="1:8" x14ac:dyDescent="0.25">
      <c r="A1301" s="1"/>
      <c r="C1301" s="1"/>
      <c r="E1301" s="1">
        <v>42585</v>
      </c>
      <c r="F1301">
        <v>44306.978423289896</v>
      </c>
      <c r="G1301" s="1">
        <v>42585</v>
      </c>
      <c r="H1301">
        <v>-6525</v>
      </c>
    </row>
    <row r="1302" spans="1:8" x14ac:dyDescent="0.25">
      <c r="A1302" s="1"/>
      <c r="C1302" s="1"/>
      <c r="E1302" s="1">
        <v>42586</v>
      </c>
      <c r="F1302">
        <v>44293.751883678102</v>
      </c>
      <c r="G1302" s="1">
        <v>42586</v>
      </c>
      <c r="H1302">
        <v>-6650</v>
      </c>
    </row>
    <row r="1303" spans="1:8" x14ac:dyDescent="0.25">
      <c r="A1303" s="1"/>
      <c r="C1303" s="1"/>
      <c r="E1303" s="1">
        <v>42587</v>
      </c>
      <c r="F1303">
        <v>44299.211022071497</v>
      </c>
      <c r="G1303" s="1">
        <v>42587</v>
      </c>
      <c r="H1303">
        <v>-6637.5</v>
      </c>
    </row>
    <row r="1304" spans="1:8" x14ac:dyDescent="0.25">
      <c r="A1304" s="1"/>
      <c r="C1304" s="1"/>
      <c r="E1304" s="1">
        <v>42590</v>
      </c>
      <c r="F1304">
        <v>44172.879284553201</v>
      </c>
      <c r="G1304" s="1">
        <v>42590</v>
      </c>
      <c r="H1304">
        <v>-6537.5</v>
      </c>
    </row>
    <row r="1305" spans="1:8" x14ac:dyDescent="0.25">
      <c r="A1305" s="1"/>
      <c r="C1305" s="1"/>
      <c r="E1305" s="1">
        <v>42591</v>
      </c>
      <c r="F1305">
        <v>44170.244162492403</v>
      </c>
      <c r="G1305" s="1">
        <v>42591</v>
      </c>
      <c r="H1305">
        <v>-6562.5</v>
      </c>
    </row>
    <row r="1306" spans="1:8" x14ac:dyDescent="0.25">
      <c r="A1306" s="1"/>
      <c r="C1306" s="1"/>
      <c r="E1306" s="1">
        <v>42592</v>
      </c>
      <c r="F1306">
        <v>44160.548981241802</v>
      </c>
      <c r="G1306" s="1">
        <v>42592</v>
      </c>
      <c r="H1306">
        <v>-6537.5</v>
      </c>
    </row>
    <row r="1307" spans="1:8" x14ac:dyDescent="0.25">
      <c r="A1307" s="1"/>
      <c r="C1307" s="1"/>
      <c r="E1307" s="1">
        <v>42593</v>
      </c>
      <c r="F1307">
        <v>44115.6592259928</v>
      </c>
      <c r="G1307" s="1">
        <v>42593</v>
      </c>
      <c r="H1307">
        <v>-6700</v>
      </c>
    </row>
    <row r="1308" spans="1:8" x14ac:dyDescent="0.25">
      <c r="A1308" s="1"/>
      <c r="C1308" s="1"/>
      <c r="E1308" s="1">
        <v>42594</v>
      </c>
      <c r="F1308">
        <v>44125.454613260903</v>
      </c>
      <c r="G1308" s="1">
        <v>42594</v>
      </c>
      <c r="H1308">
        <v>-6837.5</v>
      </c>
    </row>
    <row r="1309" spans="1:8" x14ac:dyDescent="0.25">
      <c r="A1309" s="1"/>
      <c r="C1309" s="1"/>
      <c r="E1309" s="1">
        <v>42597</v>
      </c>
      <c r="F1309">
        <v>44513.816879801401</v>
      </c>
      <c r="G1309" s="1">
        <v>42597</v>
      </c>
      <c r="H1309">
        <v>-6412.5</v>
      </c>
    </row>
    <row r="1310" spans="1:8" x14ac:dyDescent="0.25">
      <c r="A1310" s="1"/>
      <c r="C1310" s="1"/>
      <c r="E1310" s="1">
        <v>42598</v>
      </c>
      <c r="F1310">
        <v>44561.329552225703</v>
      </c>
      <c r="G1310" s="1">
        <v>42598</v>
      </c>
      <c r="H1310">
        <v>-6375</v>
      </c>
    </row>
    <row r="1311" spans="1:8" x14ac:dyDescent="0.25">
      <c r="A1311" s="1"/>
      <c r="C1311" s="1"/>
      <c r="E1311" s="1">
        <v>42599</v>
      </c>
      <c r="F1311">
        <v>44608.477977804803</v>
      </c>
      <c r="G1311" s="1">
        <v>42599</v>
      </c>
      <c r="H1311">
        <v>-6350</v>
      </c>
    </row>
    <row r="1312" spans="1:8" x14ac:dyDescent="0.25">
      <c r="A1312" s="1"/>
      <c r="C1312" s="1"/>
      <c r="E1312" s="1">
        <v>42600</v>
      </c>
      <c r="F1312">
        <v>44689.252140097298</v>
      </c>
      <c r="G1312" s="1">
        <v>42600</v>
      </c>
      <c r="H1312">
        <v>-6237.5</v>
      </c>
    </row>
    <row r="1313" spans="1:8" x14ac:dyDescent="0.25">
      <c r="A1313" s="1"/>
      <c r="C1313" s="1"/>
      <c r="E1313" s="1">
        <v>42601</v>
      </c>
      <c r="F1313">
        <v>44562.781887106597</v>
      </c>
      <c r="G1313" s="1">
        <v>42601</v>
      </c>
      <c r="H1313">
        <v>-6050</v>
      </c>
    </row>
    <row r="1314" spans="1:8" x14ac:dyDescent="0.25">
      <c r="A1314" s="1"/>
      <c r="C1314" s="1"/>
      <c r="E1314" s="1">
        <v>42604</v>
      </c>
      <c r="F1314">
        <v>44631.067343764</v>
      </c>
      <c r="G1314" s="1">
        <v>42604</v>
      </c>
      <c r="H1314">
        <v>-6112.5</v>
      </c>
    </row>
    <row r="1315" spans="1:8" x14ac:dyDescent="0.25">
      <c r="A1315" s="1"/>
      <c r="C1315" s="1"/>
      <c r="E1315" s="1">
        <v>42605</v>
      </c>
      <c r="F1315">
        <v>45088.791495375299</v>
      </c>
      <c r="G1315" s="1">
        <v>42605</v>
      </c>
      <c r="H1315">
        <v>-6312.5</v>
      </c>
    </row>
    <row r="1316" spans="1:8" x14ac:dyDescent="0.25">
      <c r="A1316" s="1"/>
      <c r="C1316" s="1"/>
      <c r="E1316" s="1">
        <v>42606</v>
      </c>
      <c r="F1316">
        <v>45398.149046949999</v>
      </c>
      <c r="G1316" s="1">
        <v>42606</v>
      </c>
      <c r="H1316">
        <v>-6425</v>
      </c>
    </row>
    <row r="1317" spans="1:8" x14ac:dyDescent="0.25">
      <c r="A1317" s="1"/>
      <c r="C1317" s="1"/>
      <c r="E1317" s="1">
        <v>42607</v>
      </c>
      <c r="F1317">
        <v>45749.427046827899</v>
      </c>
      <c r="G1317" s="1">
        <v>42607</v>
      </c>
      <c r="H1317">
        <v>-6600</v>
      </c>
    </row>
    <row r="1318" spans="1:8" x14ac:dyDescent="0.25">
      <c r="A1318" s="1"/>
      <c r="C1318" s="1"/>
      <c r="E1318" s="1">
        <v>42608</v>
      </c>
      <c r="F1318">
        <v>46218.541335157999</v>
      </c>
      <c r="G1318" s="1">
        <v>42608</v>
      </c>
      <c r="H1318">
        <v>-6875</v>
      </c>
    </row>
    <row r="1319" spans="1:8" x14ac:dyDescent="0.25">
      <c r="A1319" s="1"/>
      <c r="C1319" s="1"/>
      <c r="E1319" s="1">
        <v>42611</v>
      </c>
      <c r="F1319">
        <v>46728.409163527103</v>
      </c>
      <c r="G1319" s="1">
        <v>42611</v>
      </c>
      <c r="H1319">
        <v>-7200</v>
      </c>
    </row>
    <row r="1320" spans="1:8" x14ac:dyDescent="0.25">
      <c r="A1320" s="1"/>
      <c r="C1320" s="1"/>
      <c r="E1320" s="1">
        <v>42612</v>
      </c>
      <c r="F1320">
        <v>46528.702605299601</v>
      </c>
      <c r="G1320" s="1">
        <v>42612</v>
      </c>
      <c r="H1320">
        <v>-7487.5</v>
      </c>
    </row>
    <row r="1321" spans="1:8" x14ac:dyDescent="0.25">
      <c r="A1321" s="1"/>
      <c r="C1321" s="1"/>
      <c r="E1321" s="1">
        <v>42613</v>
      </c>
      <c r="F1321">
        <v>46438.956177286796</v>
      </c>
      <c r="G1321" s="1">
        <v>42613</v>
      </c>
      <c r="H1321">
        <v>-7625</v>
      </c>
    </row>
    <row r="1322" spans="1:8" x14ac:dyDescent="0.25">
      <c r="A1322" s="1"/>
      <c r="C1322" s="1"/>
      <c r="E1322" s="1">
        <v>42614</v>
      </c>
      <c r="F1322">
        <v>46758.939537577302</v>
      </c>
      <c r="G1322" s="1">
        <v>42614</v>
      </c>
      <c r="H1322">
        <v>-7312.5</v>
      </c>
    </row>
    <row r="1323" spans="1:8" x14ac:dyDescent="0.25">
      <c r="A1323" s="1"/>
      <c r="C1323" s="1"/>
      <c r="E1323" s="1">
        <v>42615</v>
      </c>
      <c r="F1323">
        <v>47134.960793070401</v>
      </c>
      <c r="G1323" s="1">
        <v>42615</v>
      </c>
      <c r="H1323">
        <v>-6962.5</v>
      </c>
    </row>
    <row r="1324" spans="1:8" x14ac:dyDescent="0.25">
      <c r="A1324" s="1"/>
      <c r="C1324" s="1"/>
      <c r="E1324" s="1">
        <v>42619</v>
      </c>
      <c r="F1324">
        <v>47125.752361826599</v>
      </c>
      <c r="G1324" s="1">
        <v>42619</v>
      </c>
      <c r="H1324">
        <v>-6975</v>
      </c>
    </row>
    <row r="1325" spans="1:8" x14ac:dyDescent="0.25">
      <c r="A1325" s="1"/>
      <c r="C1325" s="1"/>
      <c r="E1325" s="1">
        <v>42620</v>
      </c>
      <c r="F1325">
        <v>47198.423962168301</v>
      </c>
      <c r="G1325" s="1">
        <v>42620</v>
      </c>
      <c r="H1325">
        <v>-6750</v>
      </c>
    </row>
    <row r="1326" spans="1:8" x14ac:dyDescent="0.25">
      <c r="A1326" s="1"/>
      <c r="C1326" s="1"/>
      <c r="E1326" s="1">
        <v>42621</v>
      </c>
      <c r="F1326">
        <v>47254.138393931004</v>
      </c>
      <c r="G1326" s="1">
        <v>42621</v>
      </c>
      <c r="H1326">
        <v>-6462.5</v>
      </c>
    </row>
    <row r="1327" spans="1:8" x14ac:dyDescent="0.25">
      <c r="A1327" s="1"/>
      <c r="C1327" s="1"/>
      <c r="E1327" s="1">
        <v>42622</v>
      </c>
      <c r="F1327">
        <v>47055.713894419299</v>
      </c>
      <c r="G1327" s="1">
        <v>42622</v>
      </c>
      <c r="H1327">
        <v>-6275</v>
      </c>
    </row>
    <row r="1328" spans="1:8" x14ac:dyDescent="0.25">
      <c r="A1328" s="1"/>
      <c r="C1328" s="1"/>
      <c r="E1328" s="1">
        <v>42625</v>
      </c>
      <c r="F1328">
        <v>47160.810482554101</v>
      </c>
      <c r="G1328" s="1">
        <v>42625</v>
      </c>
      <c r="H1328">
        <v>-6400</v>
      </c>
    </row>
    <row r="1329" spans="1:8" x14ac:dyDescent="0.25">
      <c r="A1329" s="1"/>
      <c r="C1329" s="1"/>
      <c r="E1329" s="1">
        <v>42626</v>
      </c>
      <c r="F1329">
        <v>48193.868801645898</v>
      </c>
      <c r="G1329" s="1">
        <v>42626</v>
      </c>
      <c r="H1329">
        <v>-6875</v>
      </c>
    </row>
    <row r="1330" spans="1:8" x14ac:dyDescent="0.25">
      <c r="A1330" s="1"/>
      <c r="C1330" s="1"/>
      <c r="E1330" s="1">
        <v>42627</v>
      </c>
      <c r="F1330">
        <v>48160.2452650591</v>
      </c>
      <c r="G1330" s="1">
        <v>42627</v>
      </c>
      <c r="H1330">
        <v>-6850</v>
      </c>
    </row>
    <row r="1331" spans="1:8" x14ac:dyDescent="0.25">
      <c r="A1331" s="1"/>
      <c r="C1331" s="1"/>
      <c r="E1331" s="1">
        <v>42628</v>
      </c>
      <c r="F1331">
        <v>48279.0088491961</v>
      </c>
      <c r="G1331" s="1">
        <v>42628</v>
      </c>
      <c r="H1331">
        <v>-6937.5</v>
      </c>
    </row>
    <row r="1332" spans="1:8" x14ac:dyDescent="0.25">
      <c r="A1332" s="1"/>
      <c r="C1332" s="1"/>
      <c r="E1332" s="1">
        <v>42629</v>
      </c>
      <c r="F1332">
        <v>47684.142165236102</v>
      </c>
      <c r="G1332" s="1">
        <v>42629</v>
      </c>
      <c r="H1332">
        <v>-6537.5</v>
      </c>
    </row>
    <row r="1333" spans="1:8" x14ac:dyDescent="0.25">
      <c r="A1333" s="1"/>
      <c r="C1333" s="1"/>
      <c r="E1333" s="1">
        <v>42632</v>
      </c>
      <c r="F1333">
        <v>47730.164982847797</v>
      </c>
      <c r="G1333" s="1">
        <v>42632</v>
      </c>
      <c r="H1333">
        <v>-6650</v>
      </c>
    </row>
    <row r="1334" spans="1:8" x14ac:dyDescent="0.25">
      <c r="A1334" s="1"/>
      <c r="C1334" s="1"/>
      <c r="E1334" s="1">
        <v>42633</v>
      </c>
      <c r="F1334">
        <v>47315.598263792599</v>
      </c>
      <c r="G1334" s="1">
        <v>42633</v>
      </c>
      <c r="H1334">
        <v>-6375</v>
      </c>
    </row>
    <row r="1335" spans="1:8" x14ac:dyDescent="0.25">
      <c r="A1335" s="1"/>
      <c r="C1335" s="1"/>
      <c r="E1335" s="1">
        <v>42634</v>
      </c>
      <c r="F1335">
        <v>47248.940301947201</v>
      </c>
      <c r="G1335" s="1">
        <v>42634</v>
      </c>
      <c r="H1335">
        <v>-6375</v>
      </c>
    </row>
    <row r="1336" spans="1:8" x14ac:dyDescent="0.25">
      <c r="A1336" s="1"/>
      <c r="C1336" s="1"/>
      <c r="E1336" s="1">
        <v>42635</v>
      </c>
      <c r="F1336">
        <v>47775.061952643096</v>
      </c>
      <c r="G1336" s="1">
        <v>42635</v>
      </c>
      <c r="H1336">
        <v>-6612.5</v>
      </c>
    </row>
    <row r="1337" spans="1:8" x14ac:dyDescent="0.25">
      <c r="A1337" s="1"/>
      <c r="C1337" s="1"/>
      <c r="E1337" s="1">
        <v>42636</v>
      </c>
      <c r="F1337">
        <v>47913.975103430399</v>
      </c>
      <c r="G1337" s="1">
        <v>42636</v>
      </c>
      <c r="H1337">
        <v>-6637.5</v>
      </c>
    </row>
    <row r="1338" spans="1:8" x14ac:dyDescent="0.25">
      <c r="A1338" s="1"/>
      <c r="C1338" s="1"/>
      <c r="E1338" s="1">
        <v>42639</v>
      </c>
      <c r="F1338">
        <v>48540.702856115997</v>
      </c>
      <c r="G1338" s="1">
        <v>42639</v>
      </c>
      <c r="H1338">
        <v>-6925</v>
      </c>
    </row>
    <row r="1339" spans="1:8" x14ac:dyDescent="0.25">
      <c r="A1339" s="1"/>
      <c r="C1339" s="1"/>
      <c r="E1339" s="1">
        <v>42640</v>
      </c>
      <c r="F1339">
        <v>48392.682895712504</v>
      </c>
      <c r="G1339" s="1">
        <v>42640</v>
      </c>
      <c r="H1339">
        <v>-6825</v>
      </c>
    </row>
    <row r="1340" spans="1:8" x14ac:dyDescent="0.25">
      <c r="A1340" s="1"/>
      <c r="C1340" s="1"/>
      <c r="E1340" s="1">
        <v>42641</v>
      </c>
      <c r="F1340">
        <v>48500.5778809115</v>
      </c>
      <c r="G1340" s="1">
        <v>42641</v>
      </c>
      <c r="H1340">
        <v>-6925</v>
      </c>
    </row>
    <row r="1341" spans="1:8" x14ac:dyDescent="0.25">
      <c r="A1341" s="1"/>
      <c r="C1341" s="1"/>
      <c r="E1341" s="1">
        <v>42642</v>
      </c>
      <c r="F1341">
        <v>48533.940977863902</v>
      </c>
      <c r="G1341" s="1">
        <v>42642</v>
      </c>
      <c r="H1341">
        <v>-6925</v>
      </c>
    </row>
    <row r="1342" spans="1:8" x14ac:dyDescent="0.25">
      <c r="A1342" s="1"/>
      <c r="C1342" s="1"/>
      <c r="E1342" s="1">
        <v>42643</v>
      </c>
      <c r="F1342">
        <v>48313.202803425404</v>
      </c>
      <c r="G1342" s="1">
        <v>42643</v>
      </c>
      <c r="H1342">
        <v>-6687.5</v>
      </c>
    </row>
    <row r="1343" spans="1:8" x14ac:dyDescent="0.25">
      <c r="A1343" s="1"/>
      <c r="C1343" s="1"/>
      <c r="E1343" s="1">
        <v>42646</v>
      </c>
      <c r="F1343">
        <v>47967.753004841499</v>
      </c>
      <c r="G1343" s="1">
        <v>42646</v>
      </c>
      <c r="H1343">
        <v>-6125</v>
      </c>
    </row>
    <row r="1344" spans="1:8" x14ac:dyDescent="0.25">
      <c r="A1344" s="1"/>
      <c r="C1344" s="1"/>
      <c r="E1344" s="1">
        <v>42647</v>
      </c>
      <c r="F1344">
        <v>48055.218947224297</v>
      </c>
      <c r="G1344" s="1">
        <v>42647</v>
      </c>
      <c r="H1344">
        <v>-5987.5</v>
      </c>
    </row>
    <row r="1345" spans="1:8" x14ac:dyDescent="0.25">
      <c r="A1345" s="1"/>
      <c r="C1345" s="1"/>
      <c r="E1345" s="1">
        <v>42648</v>
      </c>
      <c r="F1345">
        <v>48055.371097378396</v>
      </c>
      <c r="G1345" s="1">
        <v>42648</v>
      </c>
      <c r="H1345">
        <v>-5975</v>
      </c>
    </row>
    <row r="1346" spans="1:8" x14ac:dyDescent="0.25">
      <c r="A1346" s="1"/>
      <c r="C1346" s="1"/>
      <c r="E1346" s="1">
        <v>42649</v>
      </c>
      <c r="F1346">
        <v>47925.469333462403</v>
      </c>
      <c r="G1346" s="1">
        <v>42649</v>
      </c>
      <c r="H1346">
        <v>-6362.5</v>
      </c>
    </row>
    <row r="1347" spans="1:8" x14ac:dyDescent="0.25">
      <c r="A1347" s="1"/>
      <c r="C1347" s="1"/>
      <c r="E1347" s="1">
        <v>42650</v>
      </c>
      <c r="F1347">
        <v>47925.576707653701</v>
      </c>
      <c r="G1347" s="1">
        <v>42650</v>
      </c>
      <c r="H1347">
        <v>-6300</v>
      </c>
    </row>
    <row r="1348" spans="1:8" x14ac:dyDescent="0.25">
      <c r="A1348" s="1"/>
      <c r="C1348" s="1"/>
      <c r="E1348" s="1">
        <v>42654</v>
      </c>
      <c r="F1348">
        <v>48092.664003185899</v>
      </c>
      <c r="G1348" s="1">
        <v>42654</v>
      </c>
      <c r="H1348">
        <v>-6112.5</v>
      </c>
    </row>
    <row r="1349" spans="1:8" x14ac:dyDescent="0.25">
      <c r="A1349" s="1"/>
      <c r="C1349" s="1"/>
      <c r="E1349" s="1">
        <v>42655</v>
      </c>
      <c r="F1349">
        <v>47682.022188000301</v>
      </c>
      <c r="G1349" s="1">
        <v>42655</v>
      </c>
      <c r="H1349">
        <v>-6475</v>
      </c>
    </row>
    <row r="1350" spans="1:8" x14ac:dyDescent="0.25">
      <c r="A1350" s="1"/>
      <c r="C1350" s="1"/>
      <c r="E1350" s="1">
        <v>42656</v>
      </c>
      <c r="F1350">
        <v>47420.472383312801</v>
      </c>
      <c r="G1350" s="1">
        <v>42656</v>
      </c>
      <c r="H1350">
        <v>-6037.5</v>
      </c>
    </row>
    <row r="1351" spans="1:8" x14ac:dyDescent="0.25">
      <c r="A1351" s="1"/>
      <c r="C1351" s="1"/>
      <c r="E1351" s="1">
        <v>42657</v>
      </c>
      <c r="F1351">
        <v>48186.7961748167</v>
      </c>
      <c r="G1351" s="1">
        <v>42657</v>
      </c>
      <c r="H1351">
        <v>-5537.5</v>
      </c>
    </row>
    <row r="1352" spans="1:8" x14ac:dyDescent="0.25">
      <c r="A1352" s="1"/>
      <c r="C1352" s="1"/>
      <c r="E1352" s="1">
        <v>42660</v>
      </c>
      <c r="F1352">
        <v>48030.397615246402</v>
      </c>
      <c r="G1352" s="1">
        <v>42660</v>
      </c>
      <c r="H1352">
        <v>-5787.5</v>
      </c>
    </row>
    <row r="1353" spans="1:8" x14ac:dyDescent="0.25">
      <c r="A1353" s="1"/>
      <c r="C1353" s="1"/>
      <c r="E1353" s="1">
        <v>42661</v>
      </c>
      <c r="F1353">
        <v>47968.5005853697</v>
      </c>
      <c r="G1353" s="1">
        <v>42661</v>
      </c>
      <c r="H1353">
        <v>-5725</v>
      </c>
    </row>
    <row r="1354" spans="1:8" x14ac:dyDescent="0.25">
      <c r="A1354" s="1"/>
      <c r="C1354" s="1"/>
      <c r="E1354" s="1">
        <v>42662</v>
      </c>
      <c r="F1354">
        <v>48030.029485516199</v>
      </c>
      <c r="G1354" s="1">
        <v>42662</v>
      </c>
      <c r="H1354">
        <v>-5562.5</v>
      </c>
    </row>
    <row r="1355" spans="1:8" x14ac:dyDescent="0.25">
      <c r="A1355" s="1"/>
      <c r="C1355" s="1"/>
      <c r="E1355" s="1">
        <v>42663</v>
      </c>
      <c r="F1355">
        <v>47945.9498041197</v>
      </c>
      <c r="G1355" s="1">
        <v>42663</v>
      </c>
      <c r="H1355">
        <v>-5812.5</v>
      </c>
    </row>
    <row r="1356" spans="1:8" x14ac:dyDescent="0.25">
      <c r="A1356" s="1"/>
      <c r="C1356" s="1"/>
      <c r="E1356" s="1">
        <v>42664</v>
      </c>
      <c r="F1356">
        <v>47966.925296597103</v>
      </c>
      <c r="G1356" s="1">
        <v>42664</v>
      </c>
      <c r="H1356">
        <v>-5812.5</v>
      </c>
    </row>
    <row r="1357" spans="1:8" x14ac:dyDescent="0.25">
      <c r="A1357" s="1"/>
      <c r="C1357" s="1"/>
      <c r="E1357" s="1">
        <v>42667</v>
      </c>
      <c r="F1357">
        <v>47871.767551235796</v>
      </c>
      <c r="G1357" s="1">
        <v>42667</v>
      </c>
      <c r="H1357">
        <v>-5987.5</v>
      </c>
    </row>
    <row r="1358" spans="1:8" x14ac:dyDescent="0.25">
      <c r="A1358" s="1"/>
      <c r="C1358" s="1"/>
      <c r="E1358" s="1">
        <v>42668</v>
      </c>
      <c r="F1358">
        <v>47865.276557736099</v>
      </c>
      <c r="G1358" s="1">
        <v>42668</v>
      </c>
      <c r="H1358">
        <v>-5962.5</v>
      </c>
    </row>
    <row r="1359" spans="1:8" x14ac:dyDescent="0.25">
      <c r="A1359" s="1"/>
      <c r="C1359" s="1"/>
      <c r="E1359" s="1">
        <v>42669</v>
      </c>
      <c r="F1359">
        <v>47865.276557736099</v>
      </c>
      <c r="G1359" s="1">
        <v>42669</v>
      </c>
      <c r="H1359">
        <v>-5687.5</v>
      </c>
    </row>
    <row r="1360" spans="1:8" x14ac:dyDescent="0.25">
      <c r="A1360" s="1"/>
      <c r="C1360" s="1"/>
      <c r="E1360" s="1">
        <v>42670</v>
      </c>
      <c r="F1360">
        <v>47859.276557736099</v>
      </c>
      <c r="G1360" s="1">
        <v>42670</v>
      </c>
      <c r="H1360">
        <v>-5562.5</v>
      </c>
    </row>
    <row r="1361" spans="1:8" x14ac:dyDescent="0.25">
      <c r="A1361" s="1"/>
      <c r="C1361" s="1"/>
      <c r="E1361" s="1">
        <v>42671</v>
      </c>
      <c r="F1361">
        <v>47899.581950954998</v>
      </c>
      <c r="G1361" s="1">
        <v>42671</v>
      </c>
      <c r="H1361">
        <v>-5637.5</v>
      </c>
    </row>
    <row r="1362" spans="1:8" x14ac:dyDescent="0.25">
      <c r="A1362" s="1"/>
      <c r="C1362" s="1"/>
      <c r="E1362" s="1">
        <v>42674</v>
      </c>
      <c r="F1362">
        <v>47856.481588177303</v>
      </c>
      <c r="G1362" s="1">
        <v>42674</v>
      </c>
      <c r="H1362">
        <v>-5600</v>
      </c>
    </row>
    <row r="1363" spans="1:8" x14ac:dyDescent="0.25">
      <c r="A1363" s="1"/>
      <c r="C1363" s="1"/>
      <c r="E1363" s="1">
        <v>42675</v>
      </c>
      <c r="F1363">
        <v>48088.202718548397</v>
      </c>
      <c r="G1363" s="1">
        <v>42675</v>
      </c>
      <c r="H1363">
        <v>-5962.5</v>
      </c>
    </row>
    <row r="1364" spans="1:8" x14ac:dyDescent="0.25">
      <c r="A1364" s="1"/>
      <c r="C1364" s="1"/>
      <c r="E1364" s="1">
        <v>42676</v>
      </c>
      <c r="F1364">
        <v>48444.659627728099</v>
      </c>
      <c r="G1364" s="1">
        <v>42676</v>
      </c>
      <c r="H1364">
        <v>-6162.5</v>
      </c>
    </row>
    <row r="1365" spans="1:8" x14ac:dyDescent="0.25">
      <c r="A1365" s="1"/>
      <c r="C1365" s="1"/>
      <c r="E1365" s="1">
        <v>42677</v>
      </c>
      <c r="F1365">
        <v>48242.086862377801</v>
      </c>
      <c r="G1365" s="1">
        <v>42677</v>
      </c>
      <c r="H1365">
        <v>-6050</v>
      </c>
    </row>
    <row r="1366" spans="1:8" x14ac:dyDescent="0.25">
      <c r="A1366" s="1"/>
      <c r="C1366" s="1"/>
      <c r="E1366" s="1">
        <v>42678</v>
      </c>
      <c r="F1366">
        <v>48201.414102606403</v>
      </c>
      <c r="G1366" s="1">
        <v>42678</v>
      </c>
      <c r="H1366">
        <v>-6025</v>
      </c>
    </row>
    <row r="1367" spans="1:8" x14ac:dyDescent="0.25">
      <c r="A1367" s="1"/>
      <c r="C1367" s="1"/>
      <c r="E1367" s="1">
        <v>42681</v>
      </c>
      <c r="F1367">
        <v>48428.706316046402</v>
      </c>
      <c r="G1367" s="1">
        <v>42681</v>
      </c>
      <c r="H1367">
        <v>-6125</v>
      </c>
    </row>
    <row r="1368" spans="1:8" x14ac:dyDescent="0.25">
      <c r="A1368" s="1"/>
      <c r="C1368" s="1"/>
      <c r="E1368" s="1">
        <v>42682</v>
      </c>
      <c r="F1368">
        <v>47622.2991200014</v>
      </c>
      <c r="G1368" s="1">
        <v>42682</v>
      </c>
      <c r="H1368">
        <v>-5762.5</v>
      </c>
    </row>
    <row r="1369" spans="1:8" x14ac:dyDescent="0.25">
      <c r="A1369" s="1"/>
      <c r="C1369" s="1"/>
      <c r="E1369" s="1">
        <v>42683</v>
      </c>
      <c r="F1369">
        <v>48040.721696905697</v>
      </c>
      <c r="G1369" s="1">
        <v>42683</v>
      </c>
      <c r="H1369">
        <v>-6300</v>
      </c>
    </row>
    <row r="1370" spans="1:8" x14ac:dyDescent="0.25">
      <c r="A1370" s="1"/>
      <c r="C1370" s="1"/>
      <c r="E1370" s="1">
        <v>42684</v>
      </c>
      <c r="F1370">
        <v>48102.106145910897</v>
      </c>
      <c r="G1370" s="1">
        <v>42684</v>
      </c>
      <c r="H1370">
        <v>-6325</v>
      </c>
    </row>
    <row r="1371" spans="1:8" x14ac:dyDescent="0.25">
      <c r="A1371" s="1"/>
      <c r="C1371" s="1"/>
      <c r="E1371" s="1">
        <v>42688</v>
      </c>
      <c r="F1371">
        <v>48349.828283362003</v>
      </c>
      <c r="G1371" s="1">
        <v>42688</v>
      </c>
      <c r="H1371">
        <v>-6512.5</v>
      </c>
    </row>
    <row r="1372" spans="1:8" x14ac:dyDescent="0.25">
      <c r="A1372" s="1"/>
      <c r="C1372" s="1"/>
      <c r="E1372" s="1">
        <v>42689</v>
      </c>
      <c r="F1372">
        <v>48300.236600928001</v>
      </c>
      <c r="G1372" s="1">
        <v>42689</v>
      </c>
      <c r="H1372">
        <v>-6337.5</v>
      </c>
    </row>
    <row r="1373" spans="1:8" x14ac:dyDescent="0.25">
      <c r="A1373" s="1"/>
      <c r="C1373" s="1"/>
      <c r="E1373" s="1">
        <v>42690</v>
      </c>
      <c r="F1373">
        <v>48288.236600928001</v>
      </c>
      <c r="G1373" s="1">
        <v>42690</v>
      </c>
      <c r="H1373">
        <v>-6437.5</v>
      </c>
    </row>
    <row r="1374" spans="1:8" x14ac:dyDescent="0.25">
      <c r="A1374" s="1"/>
      <c r="C1374" s="1"/>
      <c r="E1374" s="1">
        <v>42691</v>
      </c>
      <c r="F1374">
        <v>48132.7744484469</v>
      </c>
      <c r="G1374" s="1">
        <v>42691</v>
      </c>
      <c r="H1374">
        <v>-6300</v>
      </c>
    </row>
    <row r="1375" spans="1:8" x14ac:dyDescent="0.25">
      <c r="A1375" s="1"/>
      <c r="C1375" s="1"/>
      <c r="E1375" s="1">
        <v>42692</v>
      </c>
      <c r="F1375">
        <v>48114.7744484469</v>
      </c>
      <c r="G1375" s="1">
        <v>42692</v>
      </c>
      <c r="H1375">
        <v>-6162.5</v>
      </c>
    </row>
    <row r="1376" spans="1:8" x14ac:dyDescent="0.25">
      <c r="A1376" s="1"/>
      <c r="C1376" s="1"/>
      <c r="E1376" s="1">
        <v>42695</v>
      </c>
      <c r="F1376">
        <v>48209.464176230103</v>
      </c>
      <c r="G1376" s="1">
        <v>42695</v>
      </c>
      <c r="H1376">
        <v>-5937.5</v>
      </c>
    </row>
    <row r="1377" spans="1:8" x14ac:dyDescent="0.25">
      <c r="A1377" s="1"/>
      <c r="C1377" s="1"/>
      <c r="E1377" s="1">
        <v>42696</v>
      </c>
      <c r="F1377">
        <v>48031.3695030733</v>
      </c>
      <c r="G1377" s="1">
        <v>42696</v>
      </c>
      <c r="H1377">
        <v>-5875</v>
      </c>
    </row>
    <row r="1378" spans="1:8" x14ac:dyDescent="0.25">
      <c r="A1378" s="1"/>
      <c r="C1378" s="1"/>
      <c r="E1378" s="1">
        <v>42697</v>
      </c>
      <c r="F1378">
        <v>48090.338069967896</v>
      </c>
      <c r="G1378" s="1">
        <v>42697</v>
      </c>
      <c r="H1378">
        <v>-5912.5</v>
      </c>
    </row>
    <row r="1379" spans="1:8" x14ac:dyDescent="0.25">
      <c r="A1379" s="1"/>
      <c r="C1379" s="1"/>
      <c r="E1379" s="1">
        <v>42699</v>
      </c>
      <c r="F1379">
        <v>48036.549309782597</v>
      </c>
      <c r="G1379" s="1">
        <v>42699</v>
      </c>
      <c r="H1379">
        <v>-5875</v>
      </c>
    </row>
    <row r="1380" spans="1:8" x14ac:dyDescent="0.25">
      <c r="A1380" s="1"/>
      <c r="C1380" s="1"/>
      <c r="E1380" s="1">
        <v>42702</v>
      </c>
      <c r="F1380">
        <v>48161.549933485599</v>
      </c>
      <c r="G1380" s="1">
        <v>42702</v>
      </c>
      <c r="H1380">
        <v>-5962.5</v>
      </c>
    </row>
    <row r="1381" spans="1:8" x14ac:dyDescent="0.25">
      <c r="A1381" s="1"/>
      <c r="C1381" s="1"/>
      <c r="E1381" s="1">
        <v>42703</v>
      </c>
      <c r="F1381">
        <v>48976.828620009102</v>
      </c>
      <c r="G1381" s="1">
        <v>42703</v>
      </c>
      <c r="H1381">
        <v>-6500</v>
      </c>
    </row>
    <row r="1382" spans="1:8" x14ac:dyDescent="0.25">
      <c r="A1382" s="1"/>
      <c r="C1382" s="1"/>
      <c r="E1382" s="1">
        <v>42704</v>
      </c>
      <c r="F1382">
        <v>48968.4020853564</v>
      </c>
      <c r="G1382" s="1">
        <v>42704</v>
      </c>
      <c r="H1382">
        <v>-6500</v>
      </c>
    </row>
    <row r="1383" spans="1:8" x14ac:dyDescent="0.25">
      <c r="A1383" s="1"/>
      <c r="C1383" s="1"/>
      <c r="E1383" s="1">
        <v>42705</v>
      </c>
      <c r="F1383">
        <v>48962.4020853564</v>
      </c>
      <c r="G1383" s="1">
        <v>42705</v>
      </c>
      <c r="H1383">
        <v>-6837.5</v>
      </c>
    </row>
    <row r="1384" spans="1:8" x14ac:dyDescent="0.25">
      <c r="A1384" s="1"/>
      <c r="C1384" s="1"/>
      <c r="E1384" s="1">
        <v>42706</v>
      </c>
      <c r="F1384">
        <v>48857.355706267001</v>
      </c>
      <c r="G1384" s="1">
        <v>42706</v>
      </c>
      <c r="H1384">
        <v>-6562.5</v>
      </c>
    </row>
    <row r="1385" spans="1:8" x14ac:dyDescent="0.25">
      <c r="A1385" s="1"/>
      <c r="C1385" s="1"/>
      <c r="E1385" s="1">
        <v>42709</v>
      </c>
      <c r="F1385">
        <v>48851.355706267001</v>
      </c>
      <c r="G1385" s="1">
        <v>42709</v>
      </c>
      <c r="H1385">
        <v>-5987.5</v>
      </c>
    </row>
    <row r="1386" spans="1:8" x14ac:dyDescent="0.25">
      <c r="A1386" s="1"/>
      <c r="C1386" s="1"/>
      <c r="E1386" s="1">
        <v>42710</v>
      </c>
      <c r="F1386">
        <v>48835.355994515099</v>
      </c>
      <c r="G1386" s="1">
        <v>42710</v>
      </c>
      <c r="H1386">
        <v>-5987.5</v>
      </c>
    </row>
    <row r="1387" spans="1:8" x14ac:dyDescent="0.25">
      <c r="A1387" s="1"/>
      <c r="C1387" s="1"/>
      <c r="E1387" s="1">
        <v>42711</v>
      </c>
      <c r="F1387">
        <v>48848.622971825302</v>
      </c>
      <c r="G1387" s="1">
        <v>42711</v>
      </c>
      <c r="H1387">
        <v>-5900</v>
      </c>
    </row>
    <row r="1388" spans="1:8" x14ac:dyDescent="0.25">
      <c r="A1388" s="1"/>
      <c r="C1388" s="1"/>
      <c r="E1388" s="1">
        <v>42712</v>
      </c>
      <c r="F1388">
        <v>49118.827592186601</v>
      </c>
      <c r="G1388" s="1">
        <v>42712</v>
      </c>
      <c r="H1388">
        <v>-6000</v>
      </c>
    </row>
    <row r="1389" spans="1:8" x14ac:dyDescent="0.25">
      <c r="A1389" s="1"/>
      <c r="C1389" s="1"/>
      <c r="E1389" s="1">
        <v>42713</v>
      </c>
      <c r="F1389">
        <v>48846.477799706103</v>
      </c>
      <c r="G1389" s="1">
        <v>42713</v>
      </c>
      <c r="H1389">
        <v>-5925</v>
      </c>
    </row>
    <row r="1390" spans="1:8" x14ac:dyDescent="0.25">
      <c r="A1390" s="1"/>
      <c r="C1390" s="1"/>
      <c r="E1390" s="1">
        <v>42716</v>
      </c>
      <c r="F1390">
        <v>48683.293259911203</v>
      </c>
      <c r="G1390" s="1">
        <v>42716</v>
      </c>
      <c r="H1390">
        <v>-5737.5</v>
      </c>
    </row>
    <row r="1391" spans="1:8" x14ac:dyDescent="0.25">
      <c r="A1391" s="1"/>
      <c r="C1391" s="1"/>
      <c r="E1391" s="1">
        <v>42717</v>
      </c>
      <c r="F1391">
        <v>48572.3973477408</v>
      </c>
      <c r="G1391" s="1">
        <v>42717</v>
      </c>
      <c r="H1391">
        <v>-5587.5</v>
      </c>
    </row>
    <row r="1392" spans="1:8" x14ac:dyDescent="0.25">
      <c r="A1392" s="1"/>
      <c r="C1392" s="1"/>
      <c r="E1392" s="1">
        <v>42718</v>
      </c>
      <c r="F1392">
        <v>48768.339314751298</v>
      </c>
      <c r="G1392" s="1">
        <v>42718</v>
      </c>
      <c r="H1392">
        <v>-5650</v>
      </c>
    </row>
    <row r="1393" spans="1:8" x14ac:dyDescent="0.25">
      <c r="A1393" s="1"/>
      <c r="C1393" s="1"/>
      <c r="E1393" s="1">
        <v>42719</v>
      </c>
      <c r="F1393">
        <v>49519.426198296198</v>
      </c>
      <c r="G1393" s="1">
        <v>42719</v>
      </c>
      <c r="H1393">
        <v>-5837.5</v>
      </c>
    </row>
    <row r="1394" spans="1:8" x14ac:dyDescent="0.25">
      <c r="A1394" s="1"/>
      <c r="C1394" s="1"/>
      <c r="E1394" s="1">
        <v>42720</v>
      </c>
      <c r="F1394">
        <v>49818.809888176598</v>
      </c>
      <c r="G1394" s="1">
        <v>42720</v>
      </c>
      <c r="H1394">
        <v>-5900</v>
      </c>
    </row>
    <row r="1395" spans="1:8" x14ac:dyDescent="0.25">
      <c r="A1395" s="1"/>
      <c r="C1395" s="1"/>
      <c r="E1395" s="1">
        <v>42723</v>
      </c>
      <c r="F1395">
        <v>49653.448827080399</v>
      </c>
      <c r="G1395" s="1">
        <v>42723</v>
      </c>
      <c r="H1395">
        <v>-5812.5</v>
      </c>
    </row>
    <row r="1396" spans="1:8" x14ac:dyDescent="0.25">
      <c r="A1396" s="1"/>
      <c r="C1396" s="1"/>
      <c r="E1396" s="1">
        <v>42724</v>
      </c>
      <c r="F1396">
        <v>50182.893910698498</v>
      </c>
      <c r="G1396" s="1">
        <v>42724</v>
      </c>
      <c r="H1396">
        <v>-5987.5</v>
      </c>
    </row>
    <row r="1397" spans="1:8" x14ac:dyDescent="0.25">
      <c r="A1397" s="1"/>
      <c r="C1397" s="1"/>
      <c r="E1397" s="1">
        <v>42725</v>
      </c>
      <c r="F1397">
        <v>51012.550465874301</v>
      </c>
      <c r="G1397" s="1">
        <v>42725</v>
      </c>
      <c r="H1397">
        <v>-6300</v>
      </c>
    </row>
    <row r="1398" spans="1:8" x14ac:dyDescent="0.25">
      <c r="A1398" s="1"/>
      <c r="C1398" s="1"/>
      <c r="E1398" s="1">
        <v>42726</v>
      </c>
      <c r="F1398">
        <v>51054.767579369203</v>
      </c>
      <c r="G1398" s="1">
        <v>42726</v>
      </c>
      <c r="H1398">
        <v>-6350</v>
      </c>
    </row>
    <row r="1399" spans="1:8" x14ac:dyDescent="0.25">
      <c r="A1399" s="1"/>
      <c r="C1399" s="1"/>
      <c r="E1399" s="1">
        <v>42727</v>
      </c>
      <c r="F1399">
        <v>51029.573306374201</v>
      </c>
      <c r="G1399" s="1">
        <v>42727</v>
      </c>
      <c r="H1399">
        <v>-6325</v>
      </c>
    </row>
    <row r="1400" spans="1:8" x14ac:dyDescent="0.25">
      <c r="A1400" s="1"/>
      <c r="C1400" s="1"/>
      <c r="E1400" s="1">
        <v>42731</v>
      </c>
      <c r="F1400">
        <v>50984.838794045099</v>
      </c>
      <c r="G1400" s="1">
        <v>42731</v>
      </c>
      <c r="H1400">
        <v>-5962.5</v>
      </c>
    </row>
    <row r="1401" spans="1:8" x14ac:dyDescent="0.25">
      <c r="A1401" s="1"/>
      <c r="C1401" s="1"/>
      <c r="E1401" s="1">
        <v>42732</v>
      </c>
      <c r="F1401">
        <v>51112.988116554901</v>
      </c>
      <c r="G1401" s="1">
        <v>42732</v>
      </c>
      <c r="H1401">
        <v>-6287.5</v>
      </c>
    </row>
    <row r="1402" spans="1:8" x14ac:dyDescent="0.25">
      <c r="A1402" s="1"/>
      <c r="C1402" s="1"/>
      <c r="E1402" s="1">
        <v>42733</v>
      </c>
      <c r="F1402">
        <v>51016.918086342499</v>
      </c>
      <c r="G1402" s="1">
        <v>42733</v>
      </c>
      <c r="H1402">
        <v>-6187.5</v>
      </c>
    </row>
    <row r="1403" spans="1:8" x14ac:dyDescent="0.25">
      <c r="A1403" s="1"/>
      <c r="C1403" s="1"/>
      <c r="E1403" s="1">
        <v>42734</v>
      </c>
      <c r="F1403">
        <v>51048.131963066699</v>
      </c>
      <c r="G1403" s="1">
        <v>42734</v>
      </c>
      <c r="H1403">
        <v>-6125</v>
      </c>
    </row>
    <row r="1404" spans="1:8" x14ac:dyDescent="0.25">
      <c r="A1404" s="1"/>
      <c r="C1404" s="1"/>
      <c r="E1404" s="1">
        <v>42738</v>
      </c>
      <c r="F1404">
        <v>51152.531285576501</v>
      </c>
      <c r="G1404" s="1">
        <v>42738</v>
      </c>
      <c r="H1404">
        <v>-5887.5</v>
      </c>
    </row>
    <row r="1405" spans="1:8" x14ac:dyDescent="0.25">
      <c r="A1405" s="1"/>
      <c r="C1405" s="1"/>
      <c r="E1405" s="1">
        <v>42739</v>
      </c>
      <c r="F1405">
        <v>50718.060963921198</v>
      </c>
      <c r="G1405" s="1">
        <v>42739</v>
      </c>
      <c r="H1405">
        <v>-5700</v>
      </c>
    </row>
    <row r="1406" spans="1:8" x14ac:dyDescent="0.25">
      <c r="A1406" s="1"/>
      <c r="C1406" s="1"/>
      <c r="E1406" s="1">
        <v>42740</v>
      </c>
      <c r="F1406">
        <v>50526.876439385102</v>
      </c>
      <c r="G1406" s="1">
        <v>42740</v>
      </c>
      <c r="H1406">
        <v>-5587.5</v>
      </c>
    </row>
    <row r="1407" spans="1:8" x14ac:dyDescent="0.25">
      <c r="A1407" s="1"/>
      <c r="C1407" s="1"/>
      <c r="E1407" s="1">
        <v>42741</v>
      </c>
      <c r="F1407">
        <v>50809.896504692697</v>
      </c>
      <c r="G1407" s="1">
        <v>42741</v>
      </c>
      <c r="H1407">
        <v>-5787.5</v>
      </c>
    </row>
    <row r="1408" spans="1:8" x14ac:dyDescent="0.25">
      <c r="A1408" s="1"/>
      <c r="C1408" s="1"/>
      <c r="E1408" s="1">
        <v>42744</v>
      </c>
      <c r="F1408">
        <v>50673.032952599198</v>
      </c>
      <c r="G1408" s="1">
        <v>42744</v>
      </c>
      <c r="H1408">
        <v>-5687.5</v>
      </c>
    </row>
    <row r="1409" spans="1:8" x14ac:dyDescent="0.25">
      <c r="A1409" s="1"/>
      <c r="C1409" s="1"/>
      <c r="E1409" s="1">
        <v>42745</v>
      </c>
      <c r="F1409">
        <v>50699.031560234696</v>
      </c>
      <c r="G1409" s="1">
        <v>42745</v>
      </c>
      <c r="H1409">
        <v>-5750</v>
      </c>
    </row>
    <row r="1410" spans="1:8" x14ac:dyDescent="0.25">
      <c r="A1410" s="1"/>
      <c r="C1410" s="1"/>
      <c r="E1410" s="1">
        <v>42746</v>
      </c>
      <c r="F1410">
        <v>50806.471532635303</v>
      </c>
      <c r="G1410" s="1">
        <v>42746</v>
      </c>
      <c r="H1410">
        <v>-5812.5</v>
      </c>
    </row>
    <row r="1411" spans="1:8" x14ac:dyDescent="0.25">
      <c r="A1411" s="1"/>
      <c r="C1411" s="1"/>
      <c r="E1411" s="1">
        <v>42747</v>
      </c>
      <c r="F1411">
        <v>51007.405298046702</v>
      </c>
      <c r="G1411" s="1">
        <v>42747</v>
      </c>
      <c r="H1411">
        <v>-5925</v>
      </c>
    </row>
    <row r="1412" spans="1:8" x14ac:dyDescent="0.25">
      <c r="A1412" s="1"/>
      <c r="C1412" s="1"/>
      <c r="E1412" s="1">
        <v>42748</v>
      </c>
      <c r="F1412">
        <v>51003.145583920101</v>
      </c>
      <c r="G1412" s="1">
        <v>42748</v>
      </c>
      <c r="H1412">
        <v>-5812.5</v>
      </c>
    </row>
    <row r="1413" spans="1:8" x14ac:dyDescent="0.25">
      <c r="A1413" s="1"/>
      <c r="C1413" s="1"/>
      <c r="E1413" s="1">
        <v>42752</v>
      </c>
      <c r="F1413">
        <v>50681.246726803402</v>
      </c>
      <c r="G1413" s="1">
        <v>42752</v>
      </c>
      <c r="H1413">
        <v>-5737.5</v>
      </c>
    </row>
    <row r="1414" spans="1:8" x14ac:dyDescent="0.25">
      <c r="A1414" s="1"/>
      <c r="C1414" s="1"/>
      <c r="E1414" s="1">
        <v>42753</v>
      </c>
      <c r="F1414">
        <v>50705.417480282398</v>
      </c>
      <c r="G1414" s="1">
        <v>42753</v>
      </c>
      <c r="H1414">
        <v>-5337.5</v>
      </c>
    </row>
    <row r="1415" spans="1:8" x14ac:dyDescent="0.25">
      <c r="A1415" s="1"/>
      <c r="C1415" s="1"/>
      <c r="E1415" s="1">
        <v>42754</v>
      </c>
      <c r="F1415">
        <v>50809.515846304501</v>
      </c>
      <c r="G1415" s="1">
        <v>42754</v>
      </c>
      <c r="H1415">
        <v>-5462.5</v>
      </c>
    </row>
    <row r="1416" spans="1:8" x14ac:dyDescent="0.25">
      <c r="A1416" s="1"/>
      <c r="C1416" s="1"/>
      <c r="E1416" s="1">
        <v>42755</v>
      </c>
      <c r="F1416">
        <v>50259.531057409898</v>
      </c>
      <c r="G1416" s="1">
        <v>42755</v>
      </c>
      <c r="H1416">
        <v>-5212.5</v>
      </c>
    </row>
    <row r="1417" spans="1:8" x14ac:dyDescent="0.25">
      <c r="A1417" s="1"/>
      <c r="C1417" s="1"/>
      <c r="E1417" s="1">
        <v>42758</v>
      </c>
      <c r="F1417">
        <v>50248.397602610203</v>
      </c>
      <c r="G1417" s="1">
        <v>42758</v>
      </c>
      <c r="H1417">
        <v>-5212.5</v>
      </c>
    </row>
    <row r="1418" spans="1:8" x14ac:dyDescent="0.25">
      <c r="A1418" s="1"/>
      <c r="C1418" s="1"/>
      <c r="E1418" s="1">
        <v>42759</v>
      </c>
      <c r="F1418">
        <v>50209.798548273699</v>
      </c>
      <c r="G1418" s="1">
        <v>42759</v>
      </c>
      <c r="H1418">
        <v>-5187.5</v>
      </c>
    </row>
    <row r="1419" spans="1:8" x14ac:dyDescent="0.25">
      <c r="A1419" s="1"/>
      <c r="C1419" s="1"/>
      <c r="E1419" s="1">
        <v>42760</v>
      </c>
      <c r="F1419">
        <v>50622.307766489597</v>
      </c>
      <c r="G1419" s="1">
        <v>42760</v>
      </c>
      <c r="H1419">
        <v>-5487.5</v>
      </c>
    </row>
    <row r="1420" spans="1:8" x14ac:dyDescent="0.25">
      <c r="A1420" s="1"/>
      <c r="C1420" s="1"/>
      <c r="E1420" s="1">
        <v>42761</v>
      </c>
      <c r="F1420">
        <v>50687.959652475998</v>
      </c>
      <c r="G1420" s="1">
        <v>42761</v>
      </c>
      <c r="H1420">
        <v>-5512.5</v>
      </c>
    </row>
    <row r="1421" spans="1:8" x14ac:dyDescent="0.25">
      <c r="A1421" s="1"/>
      <c r="C1421" s="1"/>
      <c r="E1421" s="1">
        <v>42762</v>
      </c>
      <c r="F1421">
        <v>50776.974396280901</v>
      </c>
      <c r="G1421" s="1">
        <v>42762</v>
      </c>
      <c r="H1421">
        <v>-5587.5</v>
      </c>
    </row>
    <row r="1422" spans="1:8" x14ac:dyDescent="0.25">
      <c r="A1422" s="1"/>
      <c r="C1422" s="1"/>
      <c r="E1422" s="1">
        <v>42765</v>
      </c>
      <c r="F1422">
        <v>50855.964455179797</v>
      </c>
      <c r="G1422" s="1">
        <v>42765</v>
      </c>
      <c r="H1422">
        <v>-5725</v>
      </c>
    </row>
    <row r="1423" spans="1:8" x14ac:dyDescent="0.25">
      <c r="A1423" s="1"/>
      <c r="C1423" s="1"/>
      <c r="E1423" s="1">
        <v>42766</v>
      </c>
      <c r="F1423">
        <v>50900.967965655</v>
      </c>
      <c r="G1423" s="1">
        <v>42766</v>
      </c>
      <c r="H1423">
        <v>-5762.5</v>
      </c>
    </row>
    <row r="1424" spans="1:8" x14ac:dyDescent="0.25">
      <c r="A1424" s="1"/>
      <c r="C1424" s="1"/>
      <c r="E1424" s="1">
        <v>42767</v>
      </c>
      <c r="F1424">
        <v>50864.414567522697</v>
      </c>
      <c r="G1424" s="1">
        <v>42767</v>
      </c>
      <c r="H1424">
        <v>-5700</v>
      </c>
    </row>
    <row r="1425" spans="1:8" x14ac:dyDescent="0.25">
      <c r="A1425" s="1"/>
      <c r="C1425" s="1"/>
      <c r="E1425" s="1">
        <v>42768</v>
      </c>
      <c r="F1425">
        <v>50616.186830095903</v>
      </c>
      <c r="G1425" s="1">
        <v>42768</v>
      </c>
      <c r="H1425">
        <v>-5287.5</v>
      </c>
    </row>
    <row r="1426" spans="1:8" x14ac:dyDescent="0.25">
      <c r="A1426" s="1"/>
      <c r="C1426" s="1"/>
      <c r="E1426" s="1">
        <v>42769</v>
      </c>
      <c r="F1426">
        <v>50656.973054461101</v>
      </c>
      <c r="G1426" s="1">
        <v>42769</v>
      </c>
      <c r="H1426">
        <v>-5337.5</v>
      </c>
    </row>
    <row r="1427" spans="1:8" x14ac:dyDescent="0.25">
      <c r="A1427" s="1"/>
      <c r="C1427" s="1"/>
      <c r="E1427" s="1">
        <v>42772</v>
      </c>
      <c r="F1427">
        <v>50968.358277849802</v>
      </c>
      <c r="G1427" s="1">
        <v>42772</v>
      </c>
      <c r="H1427">
        <v>-5462.5</v>
      </c>
    </row>
    <row r="1428" spans="1:8" x14ac:dyDescent="0.25">
      <c r="A1428" s="1"/>
      <c r="C1428" s="1"/>
      <c r="E1428" s="1">
        <v>42773</v>
      </c>
      <c r="F1428">
        <v>50611.509431414299</v>
      </c>
      <c r="G1428" s="1">
        <v>42773</v>
      </c>
      <c r="H1428">
        <v>-5300</v>
      </c>
    </row>
    <row r="1429" spans="1:8" x14ac:dyDescent="0.25">
      <c r="A1429" s="1"/>
      <c r="C1429" s="1"/>
      <c r="E1429" s="1">
        <v>42774</v>
      </c>
      <c r="F1429">
        <v>50412.463517718003</v>
      </c>
      <c r="G1429" s="1">
        <v>42774</v>
      </c>
      <c r="H1429">
        <v>-5175</v>
      </c>
    </row>
    <row r="1430" spans="1:8" x14ac:dyDescent="0.25">
      <c r="A1430" s="1"/>
      <c r="C1430" s="1"/>
      <c r="E1430" s="1">
        <v>42775</v>
      </c>
      <c r="F1430">
        <v>50414.5537827238</v>
      </c>
      <c r="G1430" s="1">
        <v>42775</v>
      </c>
      <c r="H1430">
        <v>-5175</v>
      </c>
    </row>
    <row r="1431" spans="1:8" x14ac:dyDescent="0.25">
      <c r="A1431" s="1"/>
      <c r="C1431" s="1"/>
      <c r="E1431" s="1">
        <v>42776</v>
      </c>
      <c r="F1431">
        <v>49714.692027352699</v>
      </c>
      <c r="G1431" s="1">
        <v>42776</v>
      </c>
      <c r="H1431">
        <v>-4950</v>
      </c>
    </row>
    <row r="1432" spans="1:8" x14ac:dyDescent="0.25">
      <c r="A1432" s="1"/>
      <c r="C1432" s="1"/>
      <c r="E1432" s="1">
        <v>42779</v>
      </c>
      <c r="F1432">
        <v>49476.662326119796</v>
      </c>
      <c r="G1432" s="1">
        <v>42779</v>
      </c>
      <c r="H1432">
        <v>-4862.5</v>
      </c>
    </row>
    <row r="1433" spans="1:8" x14ac:dyDescent="0.25">
      <c r="A1433" s="1"/>
      <c r="C1433" s="1"/>
      <c r="E1433" s="1">
        <v>42780</v>
      </c>
      <c r="F1433">
        <v>49740.204833291398</v>
      </c>
      <c r="G1433" s="1">
        <v>42780</v>
      </c>
      <c r="H1433">
        <v>-4975</v>
      </c>
    </row>
    <row r="1434" spans="1:8" x14ac:dyDescent="0.25">
      <c r="A1434" s="1"/>
      <c r="C1434" s="1"/>
      <c r="E1434" s="1">
        <v>42781</v>
      </c>
      <c r="F1434">
        <v>49410.7441933378</v>
      </c>
      <c r="G1434" s="1">
        <v>42781</v>
      </c>
      <c r="H1434">
        <v>-4762.5</v>
      </c>
    </row>
    <row r="1435" spans="1:8" x14ac:dyDescent="0.25">
      <c r="A1435" s="1"/>
      <c r="C1435" s="1"/>
      <c r="E1435" s="1">
        <v>42782</v>
      </c>
      <c r="F1435">
        <v>49493.526694558503</v>
      </c>
      <c r="G1435" s="1">
        <v>42782</v>
      </c>
      <c r="H1435">
        <v>-4887.5</v>
      </c>
    </row>
    <row r="1436" spans="1:8" x14ac:dyDescent="0.25">
      <c r="A1436" s="1"/>
      <c r="C1436" s="1"/>
      <c r="E1436" s="1">
        <v>42783</v>
      </c>
      <c r="F1436">
        <v>50088.109366677701</v>
      </c>
      <c r="G1436" s="1">
        <v>42783</v>
      </c>
      <c r="H1436">
        <v>-5200</v>
      </c>
    </row>
    <row r="1437" spans="1:8" x14ac:dyDescent="0.25">
      <c r="A1437" s="1"/>
      <c r="C1437" s="1"/>
      <c r="E1437" s="1">
        <v>42787</v>
      </c>
      <c r="F1437">
        <v>50033.9572727903</v>
      </c>
      <c r="G1437" s="1">
        <v>42787</v>
      </c>
      <c r="H1437">
        <v>-5175</v>
      </c>
    </row>
    <row r="1438" spans="1:8" x14ac:dyDescent="0.25">
      <c r="A1438" s="1"/>
      <c r="C1438" s="1"/>
      <c r="E1438" s="1">
        <v>42788</v>
      </c>
      <c r="F1438">
        <v>49966.398399613798</v>
      </c>
      <c r="G1438" s="1">
        <v>42788</v>
      </c>
      <c r="H1438">
        <v>-5175</v>
      </c>
    </row>
    <row r="1439" spans="1:8" x14ac:dyDescent="0.25">
      <c r="A1439" s="1"/>
      <c r="C1439" s="1"/>
      <c r="E1439" s="1">
        <v>42789</v>
      </c>
      <c r="F1439">
        <v>49988.446556351999</v>
      </c>
      <c r="G1439" s="1">
        <v>42789</v>
      </c>
      <c r="H1439">
        <v>-5387.5</v>
      </c>
    </row>
    <row r="1440" spans="1:8" x14ac:dyDescent="0.25">
      <c r="A1440" s="1"/>
      <c r="C1440" s="1"/>
      <c r="E1440" s="1">
        <v>42790</v>
      </c>
      <c r="F1440">
        <v>50258.002914689401</v>
      </c>
      <c r="G1440" s="1">
        <v>42790</v>
      </c>
      <c r="H1440">
        <v>-5525</v>
      </c>
    </row>
    <row r="1441" spans="1:8" x14ac:dyDescent="0.25">
      <c r="A1441" s="1"/>
      <c r="C1441" s="1"/>
      <c r="E1441" s="1">
        <v>42793</v>
      </c>
      <c r="F1441">
        <v>50405.379883073198</v>
      </c>
      <c r="G1441" s="1">
        <v>42793</v>
      </c>
      <c r="H1441">
        <v>-5650</v>
      </c>
    </row>
    <row r="1442" spans="1:8" x14ac:dyDescent="0.25">
      <c r="A1442" s="1"/>
      <c r="C1442" s="1"/>
      <c r="E1442" s="1">
        <v>42794</v>
      </c>
      <c r="F1442">
        <v>50175.814285539003</v>
      </c>
      <c r="G1442" s="1">
        <v>42794</v>
      </c>
      <c r="H1442">
        <v>-5325</v>
      </c>
    </row>
    <row r="1443" spans="1:8" x14ac:dyDescent="0.25">
      <c r="A1443" s="1"/>
      <c r="C1443" s="1"/>
      <c r="E1443" s="1">
        <v>42795</v>
      </c>
      <c r="F1443">
        <v>50701.158600114199</v>
      </c>
      <c r="G1443" s="1">
        <v>42795</v>
      </c>
      <c r="H1443">
        <v>-4937.5</v>
      </c>
    </row>
    <row r="1444" spans="1:8" x14ac:dyDescent="0.25">
      <c r="A1444" s="1"/>
      <c r="C1444" s="1"/>
      <c r="E1444" s="1">
        <v>42796</v>
      </c>
      <c r="F1444">
        <v>50694.689129136503</v>
      </c>
      <c r="G1444" s="1">
        <v>42796</v>
      </c>
      <c r="H1444">
        <v>-4887.5</v>
      </c>
    </row>
    <row r="1445" spans="1:8" x14ac:dyDescent="0.25">
      <c r="A1445" s="1"/>
      <c r="C1445" s="1"/>
      <c r="E1445" s="1">
        <v>42797</v>
      </c>
      <c r="F1445">
        <v>50596.7973501905</v>
      </c>
      <c r="G1445" s="1">
        <v>42797</v>
      </c>
      <c r="H1445">
        <v>-4950</v>
      </c>
    </row>
    <row r="1446" spans="1:8" x14ac:dyDescent="0.25">
      <c r="A1446" s="1"/>
      <c r="C1446" s="1"/>
      <c r="E1446" s="1">
        <v>42800</v>
      </c>
      <c r="F1446">
        <v>50473.906397698302</v>
      </c>
      <c r="G1446" s="1">
        <v>42800</v>
      </c>
      <c r="H1446">
        <v>-5062.5</v>
      </c>
    </row>
    <row r="1447" spans="1:8" x14ac:dyDescent="0.25">
      <c r="A1447" s="1"/>
      <c r="C1447" s="1"/>
      <c r="E1447" s="1"/>
    </row>
    <row r="1448" spans="1:8" x14ac:dyDescent="0.25">
      <c r="A1448" s="1"/>
      <c r="C1448" s="1"/>
      <c r="E1448" s="1"/>
    </row>
    <row r="1449" spans="1:8" x14ac:dyDescent="0.25">
      <c r="A1449" s="1"/>
      <c r="C1449" s="1"/>
      <c r="E1449" s="1"/>
    </row>
    <row r="1450" spans="1:8" x14ac:dyDescent="0.25">
      <c r="A1450" s="1"/>
      <c r="C1450" s="1"/>
      <c r="E1450" s="1"/>
    </row>
    <row r="1451" spans="1:8" x14ac:dyDescent="0.25">
      <c r="A1451" s="1"/>
      <c r="C1451" s="1"/>
      <c r="E1451" s="1"/>
    </row>
    <row r="1452" spans="1:8" x14ac:dyDescent="0.25">
      <c r="A1452" s="1"/>
      <c r="C1452" s="1"/>
      <c r="E1452" s="1"/>
    </row>
    <row r="1453" spans="1:8" x14ac:dyDescent="0.25">
      <c r="A1453" s="1"/>
      <c r="C1453" s="1"/>
      <c r="E1453" s="1"/>
    </row>
    <row r="1454" spans="1:8" x14ac:dyDescent="0.25">
      <c r="A1454" s="1"/>
      <c r="C1454" s="1"/>
      <c r="E1454" s="1"/>
    </row>
    <row r="1455" spans="1:8" x14ac:dyDescent="0.25">
      <c r="A1455" s="1"/>
      <c r="C1455" s="1"/>
      <c r="E1455" s="1"/>
    </row>
    <row r="1456" spans="1:8" x14ac:dyDescent="0.25">
      <c r="A1456" s="1"/>
      <c r="C1456" s="1"/>
      <c r="E1456" s="1"/>
    </row>
    <row r="1457" spans="1:5" x14ac:dyDescent="0.25">
      <c r="A1457" s="1"/>
      <c r="C1457" s="1"/>
      <c r="E1457" s="1"/>
    </row>
    <row r="1458" spans="1:5" x14ac:dyDescent="0.25">
      <c r="A1458" s="1"/>
      <c r="C1458" s="1"/>
      <c r="E1458" s="1"/>
    </row>
    <row r="1459" spans="1:5" x14ac:dyDescent="0.25">
      <c r="A1459" s="1"/>
      <c r="C1459" s="1"/>
      <c r="E1459" s="1"/>
    </row>
    <row r="1460" spans="1:5" x14ac:dyDescent="0.25">
      <c r="A1460" s="1"/>
      <c r="C1460" s="1"/>
      <c r="E1460" s="1"/>
    </row>
    <row r="1461" spans="1:5" x14ac:dyDescent="0.25">
      <c r="A1461" s="1"/>
      <c r="C1461" s="1"/>
      <c r="E1461" s="1"/>
    </row>
    <row r="1462" spans="1:5" x14ac:dyDescent="0.25">
      <c r="A1462" s="1"/>
      <c r="C1462" s="1"/>
      <c r="E1462" s="1"/>
    </row>
    <row r="1463" spans="1:5" x14ac:dyDescent="0.25">
      <c r="A1463" s="1"/>
      <c r="C1463" s="1"/>
      <c r="E1463" s="1"/>
    </row>
    <row r="1464" spans="1:5" x14ac:dyDescent="0.25">
      <c r="A1464" s="1"/>
      <c r="C1464" s="1"/>
      <c r="E1464" s="1"/>
    </row>
    <row r="1465" spans="1:5" x14ac:dyDescent="0.25">
      <c r="A1465" s="1"/>
      <c r="C1465" s="1"/>
      <c r="E1465" s="1"/>
    </row>
    <row r="1466" spans="1:5" x14ac:dyDescent="0.25">
      <c r="A1466" s="1"/>
      <c r="C1466" s="1"/>
      <c r="E1466" s="1"/>
    </row>
    <row r="1467" spans="1:5" x14ac:dyDescent="0.25">
      <c r="A1467" s="1"/>
      <c r="C1467" s="1"/>
      <c r="E1467" s="1"/>
    </row>
    <row r="1468" spans="1:5" x14ac:dyDescent="0.25">
      <c r="A1468" s="1"/>
      <c r="C1468" s="1"/>
      <c r="E1468" s="1"/>
    </row>
    <row r="1469" spans="1:5" x14ac:dyDescent="0.25">
      <c r="A1469" s="1"/>
      <c r="C1469" s="1"/>
      <c r="E1469" s="1"/>
    </row>
    <row r="1470" spans="1:5" x14ac:dyDescent="0.25">
      <c r="A1470" s="1"/>
      <c r="C1470" s="1"/>
      <c r="E1470" s="1"/>
    </row>
    <row r="1471" spans="1:5" x14ac:dyDescent="0.25">
      <c r="A1471" s="1"/>
      <c r="C1471" s="1"/>
      <c r="E1471" s="1"/>
    </row>
    <row r="1472" spans="1:5" x14ac:dyDescent="0.25">
      <c r="A1472" s="1"/>
      <c r="C1472" s="1"/>
      <c r="E1472" s="1"/>
    </row>
    <row r="1473" spans="1:5" x14ac:dyDescent="0.25">
      <c r="A1473" s="1"/>
      <c r="C1473" s="1"/>
      <c r="E1473" s="1"/>
    </row>
    <row r="1474" spans="1:5" x14ac:dyDescent="0.25">
      <c r="A1474" s="1"/>
      <c r="C1474" s="1"/>
      <c r="E1474" s="1"/>
    </row>
    <row r="1475" spans="1:5" x14ac:dyDescent="0.25">
      <c r="A1475" s="1"/>
      <c r="C1475" s="1"/>
      <c r="E1475" s="1"/>
    </row>
    <row r="1476" spans="1:5" x14ac:dyDescent="0.25">
      <c r="A1476" s="1"/>
      <c r="C1476" s="1"/>
      <c r="E1476" s="1"/>
    </row>
    <row r="1477" spans="1:5" x14ac:dyDescent="0.25">
      <c r="A1477" s="1"/>
      <c r="C1477" s="1"/>
      <c r="E1477" s="1"/>
    </row>
    <row r="1478" spans="1:5" x14ac:dyDescent="0.25">
      <c r="A1478" s="1"/>
      <c r="C1478" s="1"/>
      <c r="E1478" s="1"/>
    </row>
    <row r="1479" spans="1:5" x14ac:dyDescent="0.25">
      <c r="A1479" s="1"/>
      <c r="C1479" s="1"/>
      <c r="E1479" s="1"/>
    </row>
    <row r="1480" spans="1:5" x14ac:dyDescent="0.25">
      <c r="A1480" s="1"/>
      <c r="C1480" s="1"/>
      <c r="E1480" s="1"/>
    </row>
    <row r="1481" spans="1:5" x14ac:dyDescent="0.25">
      <c r="A1481" s="1"/>
      <c r="C1481" s="1"/>
      <c r="E1481" s="1"/>
    </row>
    <row r="1482" spans="1:5" x14ac:dyDescent="0.25">
      <c r="A1482" s="1"/>
      <c r="C1482" s="1"/>
      <c r="E1482" s="1"/>
    </row>
    <row r="1483" spans="1:5" x14ac:dyDescent="0.25">
      <c r="A1483" s="1"/>
      <c r="C1483" s="1"/>
      <c r="E1483" s="1"/>
    </row>
    <row r="1484" spans="1:5" x14ac:dyDescent="0.25">
      <c r="A1484" s="1"/>
      <c r="C1484" s="1"/>
      <c r="E1484" s="1"/>
    </row>
    <row r="1485" spans="1:5" x14ac:dyDescent="0.25">
      <c r="A1485" s="1"/>
      <c r="C1485" s="1"/>
      <c r="E1485" s="1"/>
    </row>
    <row r="1486" spans="1:5" x14ac:dyDescent="0.25">
      <c r="A1486" s="1"/>
      <c r="C1486" s="1"/>
      <c r="E1486" s="1"/>
    </row>
    <row r="1487" spans="1:5" x14ac:dyDescent="0.25">
      <c r="A1487" s="1"/>
      <c r="C1487" s="1"/>
      <c r="E1487" s="1"/>
    </row>
    <row r="1488" spans="1:5" x14ac:dyDescent="0.25">
      <c r="A1488" s="1"/>
      <c r="C1488" s="1"/>
      <c r="E1488" s="1"/>
    </row>
    <row r="1489" spans="1:5" x14ac:dyDescent="0.25">
      <c r="A1489" s="1"/>
      <c r="C1489" s="1"/>
      <c r="E1489" s="1"/>
    </row>
    <row r="1490" spans="1:5" x14ac:dyDescent="0.25">
      <c r="A1490" s="1"/>
      <c r="C1490" s="1"/>
      <c r="E1490" s="1"/>
    </row>
    <row r="1491" spans="1:5" x14ac:dyDescent="0.25">
      <c r="A1491" s="1"/>
      <c r="C1491" s="1"/>
      <c r="E1491" s="1"/>
    </row>
    <row r="1492" spans="1:5" x14ac:dyDescent="0.25">
      <c r="A1492" s="1"/>
      <c r="C1492" s="1"/>
      <c r="E1492" s="1"/>
    </row>
    <row r="1493" spans="1:5" x14ac:dyDescent="0.25">
      <c r="A1493" s="1"/>
      <c r="C1493" s="1"/>
      <c r="E1493" s="1"/>
    </row>
    <row r="1494" spans="1:5" x14ac:dyDescent="0.25">
      <c r="A1494" s="1"/>
      <c r="C1494" s="1"/>
      <c r="E1494" s="1"/>
    </row>
    <row r="1495" spans="1:5" x14ac:dyDescent="0.25">
      <c r="A1495" s="1"/>
      <c r="C1495" s="1"/>
      <c r="E1495" s="1"/>
    </row>
    <row r="1496" spans="1:5" x14ac:dyDescent="0.25">
      <c r="A1496" s="1"/>
      <c r="C1496" s="1"/>
      <c r="E1496" s="1"/>
    </row>
    <row r="1497" spans="1:5" x14ac:dyDescent="0.25">
      <c r="A1497" s="1"/>
      <c r="C1497" s="1"/>
      <c r="E1497" s="1"/>
    </row>
    <row r="1498" spans="1:5" x14ac:dyDescent="0.25">
      <c r="A1498" s="1"/>
      <c r="C1498" s="1"/>
      <c r="E1498" s="1"/>
    </row>
    <row r="1499" spans="1:5" x14ac:dyDescent="0.25">
      <c r="A1499" s="1"/>
      <c r="C1499" s="1"/>
      <c r="E1499" s="1"/>
    </row>
    <row r="1500" spans="1:5" x14ac:dyDescent="0.25">
      <c r="A1500" s="1"/>
      <c r="C1500" s="1"/>
      <c r="E1500" s="1"/>
    </row>
    <row r="1501" spans="1:5" x14ac:dyDescent="0.25">
      <c r="A1501" s="1"/>
      <c r="C1501" s="1"/>
      <c r="E1501" s="1"/>
    </row>
    <row r="1502" spans="1:5" x14ac:dyDescent="0.25">
      <c r="A1502" s="1"/>
      <c r="C1502" s="1"/>
      <c r="E1502" s="1"/>
    </row>
    <row r="1503" spans="1:5" x14ac:dyDescent="0.25">
      <c r="A1503" s="1"/>
      <c r="C1503" s="1"/>
      <c r="E1503" s="1"/>
    </row>
    <row r="1504" spans="1:5" x14ac:dyDescent="0.25">
      <c r="A1504" s="1"/>
      <c r="C1504" s="1"/>
      <c r="E1504" s="1"/>
    </row>
    <row r="1505" spans="1:5" x14ac:dyDescent="0.25">
      <c r="A1505" s="1"/>
      <c r="C1505" s="1"/>
      <c r="E1505" s="1"/>
    </row>
    <row r="1506" spans="1:5" x14ac:dyDescent="0.25">
      <c r="A1506" s="1"/>
      <c r="C1506" s="1"/>
      <c r="E1506" s="1"/>
    </row>
    <row r="1507" spans="1:5" x14ac:dyDescent="0.25">
      <c r="A1507" s="1"/>
      <c r="C1507" s="1"/>
      <c r="E1507" s="1"/>
    </row>
    <row r="1508" spans="1:5" x14ac:dyDescent="0.25">
      <c r="A1508" s="1"/>
      <c r="C1508" s="1"/>
      <c r="E1508" s="1"/>
    </row>
    <row r="1509" spans="1:5" x14ac:dyDescent="0.25">
      <c r="A1509" s="1"/>
      <c r="C1509" s="1"/>
      <c r="E1509" s="1"/>
    </row>
    <row r="1510" spans="1:5" x14ac:dyDescent="0.25">
      <c r="A1510" s="1"/>
      <c r="C1510" s="1"/>
      <c r="E1510" s="1"/>
    </row>
    <row r="1511" spans="1:5" x14ac:dyDescent="0.25">
      <c r="A1511" s="1"/>
      <c r="C1511" s="1"/>
      <c r="E1511" s="1"/>
    </row>
    <row r="1512" spans="1:5" x14ac:dyDescent="0.25">
      <c r="A1512" s="1"/>
      <c r="C1512" s="1"/>
      <c r="E1512" s="1"/>
    </row>
    <row r="1513" spans="1:5" x14ac:dyDescent="0.25">
      <c r="A1513" s="1"/>
      <c r="C1513" s="1"/>
      <c r="E1513" s="1"/>
    </row>
    <row r="1514" spans="1:5" x14ac:dyDescent="0.25">
      <c r="A1514" s="1"/>
      <c r="C1514" s="1"/>
      <c r="E1514" s="1"/>
    </row>
    <row r="1515" spans="1:5" x14ac:dyDescent="0.25">
      <c r="A1515" s="1"/>
      <c r="C1515" s="1"/>
      <c r="E1515" s="1"/>
    </row>
    <row r="1516" spans="1:5" x14ac:dyDescent="0.25">
      <c r="A1516" s="1"/>
      <c r="C1516" s="1"/>
      <c r="E1516" s="1"/>
    </row>
    <row r="1517" spans="1:5" x14ac:dyDescent="0.25">
      <c r="A1517" s="1"/>
      <c r="C1517" s="1"/>
      <c r="E1517" s="1"/>
    </row>
    <row r="1518" spans="1:5" x14ac:dyDescent="0.25">
      <c r="A1518" s="1"/>
      <c r="C1518" s="1"/>
      <c r="E1518" s="1"/>
    </row>
    <row r="1519" spans="1:5" x14ac:dyDescent="0.25">
      <c r="A1519" s="1"/>
      <c r="C1519" s="1"/>
      <c r="E1519" s="1"/>
    </row>
    <row r="1520" spans="1:5" x14ac:dyDescent="0.25">
      <c r="A1520" s="1"/>
      <c r="C1520" s="1"/>
      <c r="E1520" s="1"/>
    </row>
    <row r="1521" spans="1:5" x14ac:dyDescent="0.25">
      <c r="A1521" s="1"/>
      <c r="C1521" s="1"/>
      <c r="E1521" s="1"/>
    </row>
    <row r="1522" spans="1:5" x14ac:dyDescent="0.25">
      <c r="A1522" s="1"/>
      <c r="C1522" s="1"/>
      <c r="E1522" s="1"/>
    </row>
    <row r="1523" spans="1:5" x14ac:dyDescent="0.25">
      <c r="A1523" s="1"/>
      <c r="C1523" s="1"/>
      <c r="E1523" s="1"/>
    </row>
    <row r="1524" spans="1:5" x14ac:dyDescent="0.25">
      <c r="A1524" s="1"/>
      <c r="C1524" s="1"/>
      <c r="E1524" s="1"/>
    </row>
    <row r="1525" spans="1:5" x14ac:dyDescent="0.25">
      <c r="A1525" s="1"/>
      <c r="C1525" s="1"/>
      <c r="E1525" s="1"/>
    </row>
    <row r="1526" spans="1:5" x14ac:dyDescent="0.25">
      <c r="A1526" s="1"/>
      <c r="C1526" s="1"/>
      <c r="E1526" s="1"/>
    </row>
    <row r="1527" spans="1:5" x14ac:dyDescent="0.25">
      <c r="A1527" s="1"/>
      <c r="C1527" s="1"/>
      <c r="E1527" s="1"/>
    </row>
    <row r="1528" spans="1:5" x14ac:dyDescent="0.25">
      <c r="A1528" s="1"/>
      <c r="C1528" s="1"/>
      <c r="E1528" s="1"/>
    </row>
    <row r="1529" spans="1:5" x14ac:dyDescent="0.25">
      <c r="A1529" s="1"/>
      <c r="C1529" s="1"/>
      <c r="E1529" s="1"/>
    </row>
    <row r="1530" spans="1:5" x14ac:dyDescent="0.25">
      <c r="A1530" s="1"/>
      <c r="C1530" s="1"/>
      <c r="E1530" s="1"/>
    </row>
    <row r="1531" spans="1:5" x14ac:dyDescent="0.25">
      <c r="A1531" s="1"/>
      <c r="C1531" s="1"/>
      <c r="E1531" s="1"/>
    </row>
    <row r="1532" spans="1:5" x14ac:dyDescent="0.25">
      <c r="A1532" s="1"/>
      <c r="C1532" s="1"/>
      <c r="E1532" s="1"/>
    </row>
    <row r="1533" spans="1:5" x14ac:dyDescent="0.25">
      <c r="A1533" s="1"/>
      <c r="C1533" s="1"/>
      <c r="E1533" s="1"/>
    </row>
    <row r="1534" spans="1:5" x14ac:dyDescent="0.25">
      <c r="A1534" s="1"/>
      <c r="C1534" s="1"/>
      <c r="E1534" s="1"/>
    </row>
    <row r="1535" spans="1:5" x14ac:dyDescent="0.25">
      <c r="A1535" s="1"/>
      <c r="C1535" s="1"/>
      <c r="E1535" s="1"/>
    </row>
    <row r="1536" spans="1:5" x14ac:dyDescent="0.25">
      <c r="A1536" s="1"/>
      <c r="C1536" s="1"/>
      <c r="E1536" s="1"/>
    </row>
    <row r="1537" spans="1:5" x14ac:dyDescent="0.25">
      <c r="A1537" s="1"/>
      <c r="C1537" s="1"/>
      <c r="E1537" s="1"/>
    </row>
    <row r="1538" spans="1:5" x14ac:dyDescent="0.25">
      <c r="A1538" s="1"/>
      <c r="C1538" s="1"/>
      <c r="E1538" s="1"/>
    </row>
    <row r="1539" spans="1:5" x14ac:dyDescent="0.25">
      <c r="A1539" s="1"/>
      <c r="C1539" s="1"/>
      <c r="E1539" s="1"/>
    </row>
    <row r="1540" spans="1:5" x14ac:dyDescent="0.25">
      <c r="A1540" s="1"/>
      <c r="C1540" s="1"/>
      <c r="E1540" s="1"/>
    </row>
    <row r="1541" spans="1:5" x14ac:dyDescent="0.25">
      <c r="A1541" s="1"/>
      <c r="C1541" s="1"/>
      <c r="E1541" s="1"/>
    </row>
    <row r="1542" spans="1:5" x14ac:dyDescent="0.25">
      <c r="A1542" s="1"/>
      <c r="C1542" s="1"/>
      <c r="E1542" s="1"/>
    </row>
    <row r="1543" spans="1:5" x14ac:dyDescent="0.25">
      <c r="A1543" s="1"/>
      <c r="C1543" s="1"/>
      <c r="E1543" s="1"/>
    </row>
    <row r="1544" spans="1:5" x14ac:dyDescent="0.25">
      <c r="A1544" s="1"/>
      <c r="C1544" s="1"/>
      <c r="E1544" s="1"/>
    </row>
    <row r="1545" spans="1:5" x14ac:dyDescent="0.25">
      <c r="A1545" s="1"/>
      <c r="C1545" s="1"/>
      <c r="E1545" s="1"/>
    </row>
    <row r="1546" spans="1:5" x14ac:dyDescent="0.25">
      <c r="A1546" s="1"/>
      <c r="C1546" s="1"/>
      <c r="E1546" s="1"/>
    </row>
    <row r="1547" spans="1:5" x14ac:dyDescent="0.25">
      <c r="A1547" s="1"/>
      <c r="C1547" s="1"/>
      <c r="E1547" s="1"/>
    </row>
    <row r="1548" spans="1:5" x14ac:dyDescent="0.25">
      <c r="A1548" s="1"/>
      <c r="C1548" s="1"/>
      <c r="E1548" s="1"/>
    </row>
    <row r="1549" spans="1:5" x14ac:dyDescent="0.25">
      <c r="A1549" s="1"/>
      <c r="C1549" s="1"/>
      <c r="E1549" s="1"/>
    </row>
    <row r="1550" spans="1:5" x14ac:dyDescent="0.25">
      <c r="A1550" s="1"/>
      <c r="C1550" s="1"/>
      <c r="E1550" s="1"/>
    </row>
    <row r="1551" spans="1:5" x14ac:dyDescent="0.25">
      <c r="A1551" s="1"/>
      <c r="C1551" s="1"/>
      <c r="E1551" s="1"/>
    </row>
    <row r="1552" spans="1:5" x14ac:dyDescent="0.25">
      <c r="A1552" s="1"/>
      <c r="C1552" s="1"/>
      <c r="E1552" s="1"/>
    </row>
    <row r="1553" spans="1:5" x14ac:dyDescent="0.25">
      <c r="A1553" s="1"/>
      <c r="C1553" s="1"/>
      <c r="E1553" s="1"/>
    </row>
    <row r="1554" spans="1:5" x14ac:dyDescent="0.25">
      <c r="A1554" s="1"/>
      <c r="C1554" s="1"/>
      <c r="E1554" s="1"/>
    </row>
    <row r="1555" spans="1:5" x14ac:dyDescent="0.25">
      <c r="A1555" s="1"/>
      <c r="C1555" s="1"/>
      <c r="E1555" s="1"/>
    </row>
    <row r="1556" spans="1:5" x14ac:dyDescent="0.25">
      <c r="A1556" s="1"/>
      <c r="C1556" s="1"/>
      <c r="E1556" s="1"/>
    </row>
    <row r="1557" spans="1:5" x14ac:dyDescent="0.25">
      <c r="A1557" s="1"/>
      <c r="C1557" s="1"/>
      <c r="E1557" s="1"/>
    </row>
    <row r="1558" spans="1:5" x14ac:dyDescent="0.25">
      <c r="A1558" s="1"/>
      <c r="C1558" s="1"/>
      <c r="E1558" s="1"/>
    </row>
    <row r="1559" spans="1:5" x14ac:dyDescent="0.25">
      <c r="A1559" s="1"/>
      <c r="C1559" s="1"/>
      <c r="E1559" s="1"/>
    </row>
    <row r="1560" spans="1:5" x14ac:dyDescent="0.25">
      <c r="A1560" s="1"/>
      <c r="C1560" s="1"/>
      <c r="E1560" s="1"/>
    </row>
    <row r="1561" spans="1:5" x14ac:dyDescent="0.25">
      <c r="A1561" s="1"/>
      <c r="C1561" s="1"/>
      <c r="E1561" s="1"/>
    </row>
    <row r="1562" spans="1:5" x14ac:dyDescent="0.25">
      <c r="A1562" s="1"/>
      <c r="C1562" s="1"/>
      <c r="E1562" s="1"/>
    </row>
    <row r="1563" spans="1:5" x14ac:dyDescent="0.25">
      <c r="A1563" s="1"/>
      <c r="C1563" s="1"/>
      <c r="E1563" s="1"/>
    </row>
    <row r="1564" spans="1:5" x14ac:dyDescent="0.25">
      <c r="A1564" s="1"/>
      <c r="C1564" s="1"/>
      <c r="E1564" s="1"/>
    </row>
    <row r="1565" spans="1:5" x14ac:dyDescent="0.25">
      <c r="A1565" s="1"/>
      <c r="C1565" s="1"/>
      <c r="E1565" s="1"/>
    </row>
    <row r="1566" spans="1:5" x14ac:dyDescent="0.25">
      <c r="A1566" s="1"/>
      <c r="C1566" s="1"/>
      <c r="E1566" s="1"/>
    </row>
    <row r="1567" spans="1:5" x14ac:dyDescent="0.25">
      <c r="A1567" s="1"/>
      <c r="C1567" s="1"/>
      <c r="E1567" s="1"/>
    </row>
    <row r="1568" spans="1:5" x14ac:dyDescent="0.25">
      <c r="A1568" s="1"/>
      <c r="C1568" s="1"/>
      <c r="E1568" s="1"/>
    </row>
    <row r="1569" spans="1:5" x14ac:dyDescent="0.25">
      <c r="A1569" s="1"/>
      <c r="C1569" s="1"/>
      <c r="E1569" s="1"/>
    </row>
    <row r="1570" spans="1:5" x14ac:dyDescent="0.25">
      <c r="A1570" s="1"/>
      <c r="C1570" s="1"/>
      <c r="E1570" s="1"/>
    </row>
    <row r="1571" spans="1:5" x14ac:dyDescent="0.25">
      <c r="A1571" s="1"/>
      <c r="C1571" s="1"/>
      <c r="E1571" s="1"/>
    </row>
    <row r="1572" spans="1:5" x14ac:dyDescent="0.25">
      <c r="A1572" s="1"/>
      <c r="C1572" s="1"/>
      <c r="E1572" s="1"/>
    </row>
    <row r="1573" spans="1:5" x14ac:dyDescent="0.25">
      <c r="A1573" s="1"/>
      <c r="C1573" s="1"/>
      <c r="E1573" s="1"/>
    </row>
    <row r="1574" spans="1:5" x14ac:dyDescent="0.25">
      <c r="A1574" s="1"/>
      <c r="C1574" s="1"/>
      <c r="E1574" s="1"/>
    </row>
    <row r="1575" spans="1:5" x14ac:dyDescent="0.25">
      <c r="A1575" s="1"/>
      <c r="C1575" s="1"/>
      <c r="E1575" s="1"/>
    </row>
    <row r="1576" spans="1:5" x14ac:dyDescent="0.25">
      <c r="A1576" s="1"/>
      <c r="C1576" s="1"/>
      <c r="E1576" s="1"/>
    </row>
    <row r="1577" spans="1:5" x14ac:dyDescent="0.25">
      <c r="A1577" s="1"/>
      <c r="C1577" s="1"/>
      <c r="E1577" s="1"/>
    </row>
    <row r="1578" spans="1:5" x14ac:dyDescent="0.25">
      <c r="A1578" s="1"/>
      <c r="C1578" s="1"/>
      <c r="E1578" s="1"/>
    </row>
    <row r="1579" spans="1:5" x14ac:dyDescent="0.25">
      <c r="A1579" s="1"/>
      <c r="C1579" s="1"/>
      <c r="E1579" s="1"/>
    </row>
    <row r="1580" spans="1:5" x14ac:dyDescent="0.25">
      <c r="A1580" s="1"/>
      <c r="C1580" s="1"/>
      <c r="E1580" s="1"/>
    </row>
    <row r="1581" spans="1:5" x14ac:dyDescent="0.25">
      <c r="A1581" s="1"/>
      <c r="C1581" s="1"/>
      <c r="E1581" s="1"/>
    </row>
    <row r="1582" spans="1:5" x14ac:dyDescent="0.25">
      <c r="A1582" s="1"/>
      <c r="C1582" s="1"/>
      <c r="E1582" s="1"/>
    </row>
    <row r="1583" spans="1:5" x14ac:dyDescent="0.25">
      <c r="A1583" s="1"/>
      <c r="C1583" s="1"/>
      <c r="E1583" s="1"/>
    </row>
    <row r="1584" spans="1:5" x14ac:dyDescent="0.25">
      <c r="A1584" s="1"/>
      <c r="C1584" s="1"/>
      <c r="E1584" s="1"/>
    </row>
    <row r="1585" spans="1:5" x14ac:dyDescent="0.25">
      <c r="A1585" s="1"/>
      <c r="C1585" s="1"/>
      <c r="E1585" s="1"/>
    </row>
    <row r="1586" spans="1:5" x14ac:dyDescent="0.25">
      <c r="A1586" s="1"/>
      <c r="C1586" s="1"/>
      <c r="E1586" s="1"/>
    </row>
    <row r="1587" spans="1:5" x14ac:dyDescent="0.25">
      <c r="A1587" s="1"/>
      <c r="C1587" s="1"/>
      <c r="E1587" s="1"/>
    </row>
    <row r="1588" spans="1:5" x14ac:dyDescent="0.25">
      <c r="A1588" s="1"/>
      <c r="C1588" s="1"/>
      <c r="E1588" s="1"/>
    </row>
    <row r="1589" spans="1:5" x14ac:dyDescent="0.25">
      <c r="A1589" s="1"/>
      <c r="C1589" s="1"/>
      <c r="E1589" s="1"/>
    </row>
    <row r="1590" spans="1:5" x14ac:dyDescent="0.25">
      <c r="A1590" s="1"/>
      <c r="C1590" s="1"/>
      <c r="E1590" s="1"/>
    </row>
    <row r="1591" spans="1:5" x14ac:dyDescent="0.25">
      <c r="A1591" s="1"/>
      <c r="C1591" s="1"/>
      <c r="E1591" s="1"/>
    </row>
    <row r="1592" spans="1:5" x14ac:dyDescent="0.25">
      <c r="A1592" s="1"/>
      <c r="C1592" s="1"/>
      <c r="E1592" s="1"/>
    </row>
    <row r="1593" spans="1:5" x14ac:dyDescent="0.25">
      <c r="A1593" s="1"/>
      <c r="C1593" s="1"/>
      <c r="E1593" s="1"/>
    </row>
    <row r="1594" spans="1:5" x14ac:dyDescent="0.25">
      <c r="A1594" s="1"/>
      <c r="C1594" s="1"/>
      <c r="E1594" s="1"/>
    </row>
    <row r="1595" spans="1:5" x14ac:dyDescent="0.25">
      <c r="A1595" s="1"/>
      <c r="C1595" s="1"/>
      <c r="E1595" s="1"/>
    </row>
    <row r="1596" spans="1:5" x14ac:dyDescent="0.25">
      <c r="A1596" s="1"/>
      <c r="C1596" s="1"/>
      <c r="E1596" s="1"/>
    </row>
    <row r="1597" spans="1:5" x14ac:dyDescent="0.25">
      <c r="A1597" s="1"/>
      <c r="C1597" s="1"/>
      <c r="E1597" s="1"/>
    </row>
    <row r="1598" spans="1:5" x14ac:dyDescent="0.25">
      <c r="A1598" s="1"/>
      <c r="C1598" s="1"/>
      <c r="E1598" s="1"/>
    </row>
    <row r="1599" spans="1:5" x14ac:dyDescent="0.25">
      <c r="A1599" s="1"/>
      <c r="C1599" s="1"/>
      <c r="E1599" s="1"/>
    </row>
    <row r="1600" spans="1:5" x14ac:dyDescent="0.25">
      <c r="A1600" s="1"/>
      <c r="C1600" s="1"/>
      <c r="E1600" s="1"/>
    </row>
    <row r="1601" spans="1:5" x14ac:dyDescent="0.25">
      <c r="A1601" s="1"/>
      <c r="C1601" s="1"/>
      <c r="E1601" s="1"/>
    </row>
    <row r="1602" spans="1:5" x14ac:dyDescent="0.25">
      <c r="A1602" s="1"/>
      <c r="C1602" s="1"/>
      <c r="E1602" s="1"/>
    </row>
    <row r="1603" spans="1:5" x14ac:dyDescent="0.25">
      <c r="A1603" s="1"/>
      <c r="C1603" s="1"/>
      <c r="E1603" s="1"/>
    </row>
    <row r="1604" spans="1:5" x14ac:dyDescent="0.25">
      <c r="A1604" s="1"/>
      <c r="C1604" s="1"/>
      <c r="E1604" s="1"/>
    </row>
    <row r="1605" spans="1:5" x14ac:dyDescent="0.25">
      <c r="A1605" s="1"/>
      <c r="C1605" s="1"/>
      <c r="E1605" s="1"/>
    </row>
    <row r="1606" spans="1:5" x14ac:dyDescent="0.25">
      <c r="A1606" s="1"/>
      <c r="C1606" s="1"/>
      <c r="E1606" s="1"/>
    </row>
    <row r="1607" spans="1:5" x14ac:dyDescent="0.25">
      <c r="A1607" s="1"/>
      <c r="C1607" s="1"/>
      <c r="E1607" s="1"/>
    </row>
    <row r="1608" spans="1:5" x14ac:dyDescent="0.25">
      <c r="A1608" s="1"/>
      <c r="C1608" s="1"/>
      <c r="E1608" s="1"/>
    </row>
    <row r="1609" spans="1:5" x14ac:dyDescent="0.25">
      <c r="A1609" s="1"/>
      <c r="C1609" s="1"/>
      <c r="E1609" s="1"/>
    </row>
    <row r="1610" spans="1:5" x14ac:dyDescent="0.25">
      <c r="A1610" s="1"/>
      <c r="C1610" s="1"/>
      <c r="E1610" s="1"/>
    </row>
    <row r="1611" spans="1:5" x14ac:dyDescent="0.25">
      <c r="A1611" s="1"/>
      <c r="C1611" s="1"/>
      <c r="E1611" s="1"/>
    </row>
    <row r="1612" spans="1:5" x14ac:dyDescent="0.25">
      <c r="A1612" s="1"/>
      <c r="C1612" s="1"/>
      <c r="E1612" s="1"/>
    </row>
    <row r="1613" spans="1:5" x14ac:dyDescent="0.25">
      <c r="A1613" s="1"/>
      <c r="C1613" s="1"/>
      <c r="E1613" s="1"/>
    </row>
    <row r="1614" spans="1:5" x14ac:dyDescent="0.25">
      <c r="A1614" s="1"/>
      <c r="C1614" s="1"/>
      <c r="E1614" s="1"/>
    </row>
    <row r="1615" spans="1:5" x14ac:dyDescent="0.25">
      <c r="A1615" s="1"/>
      <c r="C1615" s="1"/>
      <c r="E1615" s="1"/>
    </row>
    <row r="1616" spans="1:5" x14ac:dyDescent="0.25">
      <c r="A1616" s="1"/>
      <c r="C1616" s="1"/>
      <c r="E1616" s="1"/>
    </row>
    <row r="1617" spans="1:5" x14ac:dyDescent="0.25">
      <c r="A1617" s="1"/>
      <c r="C1617" s="1"/>
      <c r="E1617" s="1"/>
    </row>
    <row r="1618" spans="1:5" x14ac:dyDescent="0.25">
      <c r="A1618" s="1"/>
      <c r="C1618" s="1"/>
      <c r="E1618" s="1"/>
    </row>
    <row r="1619" spans="1:5" x14ac:dyDescent="0.25">
      <c r="A1619" s="1"/>
      <c r="C1619" s="1"/>
      <c r="E1619" s="1"/>
    </row>
    <row r="1620" spans="1:5" x14ac:dyDescent="0.25">
      <c r="A1620" s="1"/>
      <c r="C1620" s="1"/>
      <c r="E1620" s="1"/>
    </row>
    <row r="1621" spans="1:5" x14ac:dyDescent="0.25">
      <c r="A1621" s="1"/>
      <c r="C1621" s="1"/>
      <c r="E1621" s="1"/>
    </row>
    <row r="1622" spans="1:5" x14ac:dyDescent="0.25">
      <c r="A1622" s="1"/>
      <c r="C1622" s="1"/>
      <c r="E1622" s="1"/>
    </row>
    <row r="1623" spans="1:5" x14ac:dyDescent="0.25">
      <c r="A1623" s="1"/>
      <c r="C1623" s="1"/>
      <c r="E1623" s="1"/>
    </row>
    <row r="1624" spans="1:5" x14ac:dyDescent="0.25">
      <c r="A1624" s="1"/>
      <c r="C1624" s="1"/>
      <c r="E1624" s="1"/>
    </row>
    <row r="1625" spans="1:5" x14ac:dyDescent="0.25">
      <c r="A1625" s="1"/>
      <c r="C1625" s="1"/>
      <c r="E1625" s="1"/>
    </row>
    <row r="1626" spans="1:5" x14ac:dyDescent="0.25">
      <c r="A1626" s="1"/>
      <c r="C1626" s="1"/>
      <c r="E1626" s="1"/>
    </row>
    <row r="1627" spans="1:5" x14ac:dyDescent="0.25">
      <c r="A1627" s="1"/>
      <c r="C1627" s="1"/>
      <c r="E1627" s="1"/>
    </row>
    <row r="1628" spans="1:5" x14ac:dyDescent="0.25">
      <c r="A1628" s="1"/>
      <c r="C1628" s="1"/>
      <c r="E1628" s="1"/>
    </row>
    <row r="1629" spans="1:5" x14ac:dyDescent="0.25">
      <c r="A1629" s="1"/>
      <c r="C1629" s="1"/>
      <c r="E1629" s="1"/>
    </row>
    <row r="1630" spans="1:5" x14ac:dyDescent="0.25">
      <c r="A1630" s="1"/>
      <c r="C1630" s="1"/>
      <c r="E1630" s="1"/>
    </row>
    <row r="1631" spans="1:5" x14ac:dyDescent="0.25">
      <c r="A1631" s="1"/>
      <c r="C1631" s="1"/>
      <c r="E1631" s="1"/>
    </row>
    <row r="1632" spans="1:5" x14ac:dyDescent="0.25">
      <c r="A1632" s="1"/>
      <c r="C1632" s="1"/>
      <c r="E1632" s="1"/>
    </row>
    <row r="1633" spans="1:5" x14ac:dyDescent="0.25">
      <c r="A1633" s="1"/>
      <c r="C1633" s="1"/>
      <c r="E1633" s="1"/>
    </row>
    <row r="1634" spans="1:5" x14ac:dyDescent="0.25">
      <c r="A1634" s="1"/>
      <c r="C1634" s="1"/>
      <c r="E1634" s="1"/>
    </row>
    <row r="1635" spans="1:5" x14ac:dyDescent="0.25">
      <c r="A1635" s="1"/>
      <c r="C1635" s="1"/>
      <c r="E1635" s="1"/>
    </row>
    <row r="1636" spans="1:5" x14ac:dyDescent="0.25">
      <c r="A1636" s="1"/>
      <c r="C1636" s="1"/>
      <c r="E1636" s="1"/>
    </row>
    <row r="1637" spans="1:5" x14ac:dyDescent="0.25">
      <c r="A1637" s="1"/>
      <c r="C1637" s="1"/>
      <c r="E1637" s="1"/>
    </row>
    <row r="1638" spans="1:5" x14ac:dyDescent="0.25">
      <c r="A1638" s="1"/>
      <c r="C1638" s="1"/>
      <c r="E1638" s="1"/>
    </row>
    <row r="1639" spans="1:5" x14ac:dyDescent="0.25">
      <c r="A1639" s="1"/>
      <c r="C1639" s="1"/>
      <c r="E1639" s="1"/>
    </row>
    <row r="1640" spans="1:5" x14ac:dyDescent="0.25">
      <c r="A1640" s="1"/>
      <c r="C1640" s="1"/>
      <c r="E1640" s="1"/>
    </row>
    <row r="1641" spans="1:5" x14ac:dyDescent="0.25">
      <c r="A1641" s="1"/>
      <c r="C1641" s="1"/>
      <c r="E1641" s="1"/>
    </row>
    <row r="1642" spans="1:5" x14ac:dyDescent="0.25">
      <c r="A1642" s="1"/>
      <c r="C1642" s="1"/>
      <c r="E1642" s="1"/>
    </row>
    <row r="1643" spans="1:5" x14ac:dyDescent="0.25">
      <c r="A1643" s="1"/>
      <c r="C1643" s="1"/>
      <c r="E1643" s="1"/>
    </row>
    <row r="1644" spans="1:5" x14ac:dyDescent="0.25">
      <c r="A1644" s="1"/>
      <c r="C1644" s="1"/>
      <c r="E1644" s="1"/>
    </row>
    <row r="1645" spans="1:5" x14ac:dyDescent="0.25">
      <c r="A1645" s="1"/>
      <c r="C1645" s="1"/>
      <c r="E1645" s="1"/>
    </row>
    <row r="1646" spans="1:5" x14ac:dyDescent="0.25">
      <c r="A1646" s="1"/>
      <c r="C1646" s="1"/>
      <c r="E1646" s="1"/>
    </row>
    <row r="1647" spans="1:5" x14ac:dyDescent="0.25">
      <c r="A1647" s="1"/>
      <c r="C1647" s="1"/>
      <c r="E1647" s="1"/>
    </row>
    <row r="1648" spans="1:5" x14ac:dyDescent="0.25">
      <c r="A1648" s="1"/>
      <c r="C1648" s="1"/>
      <c r="E1648" s="1"/>
    </row>
    <row r="1649" spans="1:5" x14ac:dyDescent="0.25">
      <c r="A1649" s="1"/>
      <c r="C1649" s="1"/>
      <c r="E1649" s="1"/>
    </row>
    <row r="1650" spans="1:5" x14ac:dyDescent="0.25">
      <c r="A1650" s="1"/>
      <c r="C1650" s="1"/>
      <c r="E1650" s="1"/>
    </row>
    <row r="1651" spans="1:5" x14ac:dyDescent="0.25">
      <c r="A1651" s="1"/>
      <c r="C1651" s="1"/>
      <c r="E1651" s="1"/>
    </row>
    <row r="1652" spans="1:5" x14ac:dyDescent="0.25">
      <c r="A1652" s="1"/>
      <c r="C1652" s="1"/>
      <c r="E1652" s="1"/>
    </row>
    <row r="1653" spans="1:5" x14ac:dyDescent="0.25">
      <c r="A1653" s="1"/>
      <c r="C1653" s="1"/>
      <c r="E1653" s="1"/>
    </row>
    <row r="1654" spans="1:5" x14ac:dyDescent="0.25">
      <c r="A1654" s="1"/>
      <c r="C1654" s="1"/>
      <c r="E1654" s="1"/>
    </row>
    <row r="1655" spans="1:5" x14ac:dyDescent="0.25">
      <c r="A1655" s="1"/>
      <c r="C1655" s="1"/>
      <c r="E1655" s="1"/>
    </row>
    <row r="1656" spans="1:5" x14ac:dyDescent="0.25">
      <c r="A1656" s="1"/>
      <c r="C1656" s="1"/>
      <c r="E1656" s="1"/>
    </row>
    <row r="1657" spans="1:5" x14ac:dyDescent="0.25">
      <c r="A1657" s="1"/>
      <c r="C1657" s="1"/>
      <c r="E1657" s="1"/>
    </row>
    <row r="1658" spans="1:5" x14ac:dyDescent="0.25">
      <c r="A1658" s="1"/>
      <c r="C1658" s="1"/>
      <c r="E1658" s="1"/>
    </row>
    <row r="1659" spans="1:5" x14ac:dyDescent="0.25">
      <c r="A1659" s="1"/>
      <c r="C1659" s="1"/>
      <c r="E1659" s="1"/>
    </row>
    <row r="1660" spans="1:5" x14ac:dyDescent="0.25">
      <c r="A1660" s="1"/>
      <c r="C1660" s="1"/>
      <c r="E1660" s="1"/>
    </row>
    <row r="1661" spans="1:5" x14ac:dyDescent="0.25">
      <c r="A1661" s="1"/>
      <c r="C1661" s="1"/>
      <c r="E1661" s="1"/>
    </row>
    <row r="1662" spans="1:5" x14ac:dyDescent="0.25">
      <c r="A1662" s="1"/>
      <c r="C1662" s="1"/>
      <c r="E1662" s="1"/>
    </row>
    <row r="1663" spans="1:5" x14ac:dyDescent="0.25">
      <c r="A1663" s="1"/>
      <c r="C1663" s="1"/>
      <c r="E1663" s="1"/>
    </row>
    <row r="1664" spans="1:5" x14ac:dyDescent="0.25">
      <c r="A1664" s="1"/>
      <c r="C1664" s="1"/>
      <c r="E1664" s="1"/>
    </row>
    <row r="1665" spans="1:5" x14ac:dyDescent="0.25">
      <c r="A1665" s="1"/>
      <c r="C1665" s="1"/>
      <c r="E1665" s="1"/>
    </row>
    <row r="1666" spans="1:5" x14ac:dyDescent="0.25">
      <c r="A1666" s="1"/>
      <c r="C1666" s="1"/>
      <c r="E1666" s="1"/>
    </row>
    <row r="1667" spans="1:5" x14ac:dyDescent="0.25">
      <c r="A1667" s="1"/>
      <c r="C1667" s="1"/>
      <c r="E1667" s="1"/>
    </row>
    <row r="1668" spans="1:5" x14ac:dyDescent="0.25">
      <c r="A1668" s="1"/>
      <c r="C1668" s="1"/>
      <c r="E1668" s="1"/>
    </row>
    <row r="1669" spans="1:5" x14ac:dyDescent="0.25">
      <c r="A1669" s="1"/>
      <c r="C1669" s="1"/>
      <c r="E1669" s="1"/>
    </row>
    <row r="1670" spans="1:5" x14ac:dyDescent="0.25">
      <c r="A1670" s="1"/>
      <c r="C1670" s="1"/>
      <c r="E1670" s="1"/>
    </row>
    <row r="1671" spans="1:5" x14ac:dyDescent="0.25">
      <c r="A1671" s="1"/>
      <c r="C1671" s="1"/>
      <c r="E1671" s="1"/>
    </row>
    <row r="1672" spans="1:5" x14ac:dyDescent="0.25">
      <c r="A1672" s="1"/>
      <c r="C1672" s="1"/>
      <c r="E1672" s="1"/>
    </row>
    <row r="1673" spans="1:5" x14ac:dyDescent="0.25">
      <c r="A1673" s="1"/>
      <c r="C1673" s="1"/>
      <c r="E1673" s="1"/>
    </row>
    <row r="1674" spans="1:5" x14ac:dyDescent="0.25">
      <c r="A1674" s="1"/>
      <c r="C1674" s="1"/>
      <c r="E1674" s="1"/>
    </row>
    <row r="1675" spans="1:5" x14ac:dyDescent="0.25">
      <c r="A1675" s="1"/>
      <c r="C1675" s="1"/>
      <c r="E1675" s="1"/>
    </row>
    <row r="1676" spans="1:5" x14ac:dyDescent="0.25">
      <c r="A1676" s="1"/>
      <c r="C1676" s="1"/>
      <c r="E1676" s="1"/>
    </row>
    <row r="1677" spans="1:5" x14ac:dyDescent="0.25">
      <c r="A1677" s="1"/>
      <c r="C1677" s="1"/>
      <c r="E1677" s="1"/>
    </row>
    <row r="1678" spans="1:5" x14ac:dyDescent="0.25">
      <c r="A1678" s="1"/>
      <c r="C1678" s="1"/>
      <c r="E1678" s="1"/>
    </row>
    <row r="1679" spans="1:5" x14ac:dyDescent="0.25">
      <c r="A1679" s="1"/>
      <c r="C1679" s="1"/>
      <c r="E1679" s="1"/>
    </row>
    <row r="1680" spans="1:5" x14ac:dyDescent="0.25">
      <c r="A1680" s="1"/>
      <c r="C1680" s="1"/>
      <c r="E1680" s="1"/>
    </row>
    <row r="1681" spans="1:5" x14ac:dyDescent="0.25">
      <c r="A1681" s="1"/>
      <c r="C1681" s="1"/>
      <c r="E1681" s="1"/>
    </row>
    <row r="1682" spans="1:5" x14ac:dyDescent="0.25">
      <c r="A1682" s="1"/>
      <c r="C1682" s="1"/>
      <c r="E1682" s="1"/>
    </row>
    <row r="1683" spans="1:5" x14ac:dyDescent="0.25">
      <c r="A1683" s="1"/>
      <c r="C1683" s="1"/>
      <c r="E1683" s="1"/>
    </row>
    <row r="1684" spans="1:5" x14ac:dyDescent="0.25">
      <c r="A1684" s="1"/>
      <c r="C1684" s="1"/>
      <c r="E1684" s="1"/>
    </row>
    <row r="1685" spans="1:5" x14ac:dyDescent="0.25">
      <c r="A1685" s="1"/>
      <c r="C1685" s="1"/>
      <c r="E1685" s="1"/>
    </row>
    <row r="1686" spans="1:5" x14ac:dyDescent="0.25">
      <c r="A1686" s="1"/>
      <c r="C1686" s="1"/>
      <c r="E1686" s="1"/>
    </row>
    <row r="1687" spans="1:5" x14ac:dyDescent="0.25">
      <c r="A1687" s="1"/>
      <c r="C1687" s="1"/>
      <c r="E1687" s="1"/>
    </row>
    <row r="1688" spans="1:5" x14ac:dyDescent="0.25">
      <c r="A1688" s="1"/>
      <c r="C1688" s="1"/>
      <c r="E1688" s="1"/>
    </row>
    <row r="1689" spans="1:5" x14ac:dyDescent="0.25">
      <c r="A1689" s="1"/>
      <c r="C1689" s="1"/>
      <c r="E1689" s="1"/>
    </row>
    <row r="1690" spans="1:5" x14ac:dyDescent="0.25">
      <c r="A1690" s="1"/>
      <c r="C1690" s="1"/>
      <c r="E1690" s="1"/>
    </row>
    <row r="1691" spans="1:5" x14ac:dyDescent="0.25">
      <c r="A1691" s="1"/>
      <c r="C1691" s="1"/>
      <c r="E1691" s="1"/>
    </row>
    <row r="1692" spans="1:5" x14ac:dyDescent="0.25">
      <c r="A1692" s="1"/>
      <c r="C1692" s="1"/>
      <c r="E1692" s="1"/>
    </row>
    <row r="1693" spans="1:5" x14ac:dyDescent="0.25">
      <c r="A1693" s="1"/>
      <c r="C1693" s="1"/>
      <c r="E1693" s="1"/>
    </row>
    <row r="1694" spans="1:5" x14ac:dyDescent="0.25">
      <c r="A1694" s="1"/>
      <c r="C1694" s="1"/>
      <c r="E1694" s="1"/>
    </row>
    <row r="1695" spans="1:5" x14ac:dyDescent="0.25">
      <c r="A1695" s="1"/>
      <c r="C1695" s="1"/>
      <c r="E1695" s="1"/>
    </row>
    <row r="1696" spans="1:5" x14ac:dyDescent="0.25">
      <c r="A1696" s="1"/>
      <c r="C1696" s="1"/>
      <c r="E1696" s="1"/>
    </row>
    <row r="1697" spans="1:5" x14ac:dyDescent="0.25">
      <c r="A1697" s="1"/>
      <c r="C1697" s="1"/>
      <c r="E1697" s="1"/>
    </row>
    <row r="1698" spans="1:5" x14ac:dyDescent="0.25">
      <c r="A1698" s="1"/>
      <c r="C1698" s="1"/>
      <c r="E1698" s="1"/>
    </row>
    <row r="1699" spans="1:5" x14ac:dyDescent="0.25">
      <c r="A1699" s="1"/>
      <c r="C1699" s="1"/>
      <c r="E1699" s="1"/>
    </row>
    <row r="1700" spans="1:5" x14ac:dyDescent="0.25">
      <c r="A1700" s="1"/>
      <c r="C1700" s="1"/>
      <c r="E1700" s="1"/>
    </row>
    <row r="1701" spans="1:5" x14ac:dyDescent="0.25">
      <c r="A1701" s="1"/>
      <c r="C1701" s="1"/>
      <c r="E1701" s="1"/>
    </row>
    <row r="1702" spans="1:5" x14ac:dyDescent="0.25">
      <c r="A1702" s="1"/>
      <c r="C1702" s="1"/>
      <c r="E1702" s="1"/>
    </row>
    <row r="1703" spans="1:5" x14ac:dyDescent="0.25">
      <c r="A1703" s="1"/>
      <c r="C1703" s="1"/>
      <c r="E1703" s="1"/>
    </row>
    <row r="1704" spans="1:5" x14ac:dyDescent="0.25">
      <c r="A1704" s="1"/>
      <c r="C1704" s="1"/>
      <c r="E1704" s="1"/>
    </row>
    <row r="1705" spans="1:5" x14ac:dyDescent="0.25">
      <c r="A1705" s="1"/>
      <c r="C1705" s="1"/>
      <c r="E1705" s="1"/>
    </row>
    <row r="1706" spans="1:5" x14ac:dyDescent="0.25">
      <c r="A1706" s="1"/>
      <c r="C1706" s="1"/>
      <c r="E1706" s="1"/>
    </row>
    <row r="1707" spans="1:5" x14ac:dyDescent="0.25">
      <c r="A1707" s="1"/>
      <c r="C1707" s="1"/>
      <c r="E1707" s="1"/>
    </row>
    <row r="1708" spans="1:5" x14ac:dyDescent="0.25">
      <c r="A1708" s="1"/>
      <c r="C1708" s="1"/>
      <c r="E1708" s="1"/>
    </row>
    <row r="1709" spans="1:5" x14ac:dyDescent="0.25">
      <c r="A1709" s="1"/>
      <c r="C1709" s="1"/>
      <c r="E1709" s="1"/>
    </row>
    <row r="1710" spans="1:5" x14ac:dyDescent="0.25">
      <c r="A1710" s="1"/>
      <c r="C1710" s="1"/>
      <c r="E1710" s="1"/>
    </row>
    <row r="1711" spans="1:5" x14ac:dyDescent="0.25">
      <c r="A1711" s="1"/>
      <c r="C1711" s="1"/>
      <c r="E1711" s="1"/>
    </row>
    <row r="1712" spans="1:5" x14ac:dyDescent="0.25">
      <c r="A1712" s="1"/>
      <c r="C1712" s="1"/>
      <c r="E1712" s="1"/>
    </row>
    <row r="1713" spans="1:5" x14ac:dyDescent="0.25">
      <c r="A1713" s="1"/>
      <c r="C1713" s="1"/>
      <c r="E1713" s="1"/>
    </row>
    <row r="1714" spans="1:5" x14ac:dyDescent="0.25">
      <c r="A1714" s="1"/>
      <c r="C1714" s="1"/>
      <c r="E1714" s="1"/>
    </row>
    <row r="1715" spans="1:5" x14ac:dyDescent="0.25">
      <c r="A1715" s="1"/>
      <c r="C1715" s="1"/>
      <c r="E1715" s="1"/>
    </row>
    <row r="1716" spans="1:5" x14ac:dyDescent="0.25">
      <c r="A1716" s="1"/>
      <c r="C1716" s="1"/>
      <c r="E1716" s="1"/>
    </row>
    <row r="1717" spans="1:5" x14ac:dyDescent="0.25">
      <c r="A1717" s="1"/>
      <c r="C1717" s="1"/>
      <c r="E1717" s="1"/>
    </row>
    <row r="1718" spans="1:5" x14ac:dyDescent="0.25">
      <c r="A1718" s="1"/>
      <c r="C1718" s="1"/>
      <c r="E1718" s="1"/>
    </row>
    <row r="1719" spans="1:5" x14ac:dyDescent="0.25">
      <c r="A1719" s="1"/>
      <c r="C1719" s="1"/>
      <c r="E1719" s="1"/>
    </row>
    <row r="1720" spans="1:5" x14ac:dyDescent="0.25">
      <c r="A1720" s="1"/>
      <c r="C1720" s="1"/>
      <c r="E1720" s="1"/>
    </row>
    <row r="1721" spans="1:5" x14ac:dyDescent="0.25">
      <c r="A1721" s="1"/>
      <c r="C1721" s="1"/>
      <c r="E1721" s="1"/>
    </row>
    <row r="1722" spans="1:5" x14ac:dyDescent="0.25">
      <c r="A1722" s="1"/>
      <c r="C1722" s="1"/>
      <c r="E1722" s="1"/>
    </row>
    <row r="1723" spans="1:5" x14ac:dyDescent="0.25">
      <c r="A1723" s="1"/>
      <c r="C1723" s="1"/>
      <c r="E1723" s="1"/>
    </row>
    <row r="1724" spans="1:5" x14ac:dyDescent="0.25">
      <c r="A1724" s="1"/>
      <c r="C1724" s="1"/>
      <c r="E1724" s="1"/>
    </row>
    <row r="1725" spans="1:5" x14ac:dyDescent="0.25">
      <c r="A1725" s="1"/>
      <c r="C1725" s="1"/>
      <c r="E1725" s="1"/>
    </row>
    <row r="1726" spans="1:5" x14ac:dyDescent="0.25">
      <c r="A1726" s="1"/>
      <c r="C1726" s="1"/>
      <c r="E1726" s="1"/>
    </row>
    <row r="1727" spans="1:5" x14ac:dyDescent="0.25">
      <c r="A1727" s="1"/>
      <c r="C1727" s="1"/>
      <c r="E1727" s="1"/>
    </row>
    <row r="1728" spans="1:5" x14ac:dyDescent="0.25">
      <c r="A1728" s="1"/>
      <c r="C1728" s="1"/>
      <c r="E1728" s="1"/>
    </row>
    <row r="1729" spans="1:5" x14ac:dyDescent="0.25">
      <c r="A1729" s="1"/>
      <c r="C1729" s="1"/>
      <c r="E1729" s="1"/>
    </row>
    <row r="1730" spans="1:5" x14ac:dyDescent="0.25">
      <c r="A1730" s="1"/>
      <c r="C1730" s="1"/>
      <c r="E1730" s="1"/>
    </row>
    <row r="1731" spans="1:5" x14ac:dyDescent="0.25">
      <c r="A1731" s="1"/>
      <c r="C1731" s="1"/>
      <c r="E1731" s="1"/>
    </row>
    <row r="1732" spans="1:5" x14ac:dyDescent="0.25">
      <c r="A1732" s="1"/>
      <c r="C1732" s="1"/>
      <c r="E1732" s="1"/>
    </row>
    <row r="1733" spans="1:5" x14ac:dyDescent="0.25">
      <c r="A1733" s="1"/>
      <c r="C1733" s="1"/>
      <c r="E1733" s="1"/>
    </row>
    <row r="1734" spans="1:5" x14ac:dyDescent="0.25">
      <c r="A1734" s="1"/>
      <c r="C1734" s="1"/>
      <c r="E1734" s="1"/>
    </row>
    <row r="1735" spans="1:5" x14ac:dyDescent="0.25">
      <c r="A1735" s="1"/>
      <c r="C1735" s="1"/>
      <c r="E1735" s="1"/>
    </row>
    <row r="1736" spans="1:5" x14ac:dyDescent="0.25">
      <c r="A1736" s="1"/>
      <c r="C1736" s="1"/>
      <c r="E1736" s="1"/>
    </row>
    <row r="1737" spans="1:5" x14ac:dyDescent="0.25">
      <c r="A1737" s="1"/>
      <c r="C1737" s="1"/>
      <c r="E1737" s="1"/>
    </row>
    <row r="1738" spans="1:5" x14ac:dyDescent="0.25">
      <c r="A1738" s="1"/>
      <c r="C1738" s="1"/>
      <c r="E1738" s="1"/>
    </row>
    <row r="1739" spans="1:5" x14ac:dyDescent="0.25">
      <c r="A1739" s="1"/>
      <c r="C1739" s="1"/>
      <c r="E1739" s="1"/>
    </row>
    <row r="1740" spans="1:5" x14ac:dyDescent="0.25">
      <c r="A1740" s="1"/>
      <c r="C1740" s="1"/>
      <c r="E1740" s="1"/>
    </row>
    <row r="1741" spans="1:5" x14ac:dyDescent="0.25">
      <c r="A1741" s="1"/>
      <c r="C1741" s="1"/>
      <c r="E1741" s="1"/>
    </row>
    <row r="1742" spans="1:5" x14ac:dyDescent="0.25">
      <c r="A1742" s="1"/>
      <c r="C1742" s="1"/>
      <c r="E1742" s="1"/>
    </row>
    <row r="1743" spans="1:5" x14ac:dyDescent="0.25">
      <c r="A1743" s="1"/>
      <c r="C1743" s="1"/>
      <c r="E1743" s="1"/>
    </row>
    <row r="1744" spans="1:5" x14ac:dyDescent="0.25">
      <c r="A1744" s="1"/>
      <c r="C1744" s="1"/>
      <c r="E1744" s="1"/>
    </row>
    <row r="1745" spans="1:5" x14ac:dyDescent="0.25">
      <c r="A1745" s="1"/>
      <c r="C1745" s="1"/>
      <c r="E1745" s="1"/>
    </row>
    <row r="1746" spans="1:5" x14ac:dyDescent="0.25">
      <c r="A1746" s="1"/>
      <c r="C1746" s="1"/>
      <c r="E1746" s="1"/>
    </row>
    <row r="1747" spans="1:5" x14ac:dyDescent="0.25">
      <c r="A1747" s="1"/>
      <c r="C1747" s="1"/>
      <c r="E1747" s="1"/>
    </row>
    <row r="1748" spans="1:5" x14ac:dyDescent="0.25">
      <c r="A1748" s="1"/>
      <c r="C1748" s="1"/>
      <c r="E1748" s="1"/>
    </row>
    <row r="1749" spans="1:5" x14ac:dyDescent="0.25">
      <c r="A1749" s="1"/>
      <c r="C1749" s="1"/>
      <c r="E1749" s="1"/>
    </row>
    <row r="1750" spans="1:5" x14ac:dyDescent="0.25">
      <c r="A1750" s="1"/>
      <c r="C1750" s="1"/>
      <c r="E1750" s="1"/>
    </row>
    <row r="1751" spans="1:5" x14ac:dyDescent="0.25">
      <c r="A1751" s="1"/>
      <c r="C1751" s="1"/>
      <c r="E1751" s="1"/>
    </row>
    <row r="1752" spans="1:5" x14ac:dyDescent="0.25">
      <c r="A1752" s="1"/>
      <c r="C1752" s="1"/>
      <c r="E1752" s="1"/>
    </row>
    <row r="1753" spans="1:5" x14ac:dyDescent="0.25">
      <c r="A1753" s="1"/>
      <c r="C1753" s="1"/>
      <c r="E1753" s="1"/>
    </row>
    <row r="1754" spans="1:5" x14ac:dyDescent="0.25">
      <c r="A1754" s="1"/>
      <c r="C1754" s="1"/>
      <c r="E1754" s="1"/>
    </row>
    <row r="1755" spans="1:5" x14ac:dyDescent="0.25">
      <c r="A1755" s="1"/>
      <c r="C1755" s="1"/>
      <c r="E1755" s="1"/>
    </row>
    <row r="1756" spans="1:5" x14ac:dyDescent="0.25">
      <c r="A1756" s="1"/>
      <c r="C1756" s="1"/>
      <c r="E1756" s="1"/>
    </row>
    <row r="1757" spans="1:5" x14ac:dyDescent="0.25">
      <c r="A1757" s="1"/>
      <c r="C1757" s="1"/>
      <c r="E1757" s="1"/>
    </row>
    <row r="1758" spans="1:5" x14ac:dyDescent="0.25">
      <c r="A1758" s="1"/>
      <c r="C1758" s="1"/>
      <c r="E1758" s="1"/>
    </row>
    <row r="1759" spans="1:5" x14ac:dyDescent="0.25">
      <c r="A1759" s="1"/>
      <c r="C1759" s="1"/>
      <c r="E1759" s="1"/>
    </row>
    <row r="1760" spans="1:5" x14ac:dyDescent="0.25">
      <c r="A1760" s="1"/>
      <c r="C1760" s="1"/>
      <c r="E1760" s="1"/>
    </row>
    <row r="1761" spans="1:5" x14ac:dyDescent="0.25">
      <c r="A1761" s="1"/>
      <c r="C1761" s="1"/>
      <c r="E1761" s="1"/>
    </row>
    <row r="1762" spans="1:5" x14ac:dyDescent="0.25">
      <c r="A1762" s="1"/>
      <c r="C1762" s="1"/>
      <c r="E1762" s="1"/>
    </row>
    <row r="1763" spans="1:5" x14ac:dyDescent="0.25">
      <c r="A1763" s="1"/>
      <c r="C1763" s="1"/>
      <c r="E1763" s="1"/>
    </row>
    <row r="1764" spans="1:5" x14ac:dyDescent="0.25">
      <c r="A1764" s="1"/>
      <c r="C1764" s="1"/>
      <c r="E1764" s="1"/>
    </row>
    <row r="1765" spans="1:5" x14ac:dyDescent="0.25">
      <c r="A1765" s="1"/>
      <c r="C1765" s="1"/>
      <c r="E1765" s="1"/>
    </row>
    <row r="1766" spans="1:5" x14ac:dyDescent="0.25">
      <c r="A1766" s="1"/>
      <c r="C1766" s="1"/>
      <c r="E1766" s="1"/>
    </row>
    <row r="1767" spans="1:5" x14ac:dyDescent="0.25">
      <c r="A1767" s="1"/>
      <c r="C1767" s="1"/>
      <c r="E1767" s="1"/>
    </row>
    <row r="1768" spans="1:5" x14ac:dyDescent="0.25">
      <c r="A1768" s="1"/>
      <c r="C1768" s="1"/>
      <c r="E1768" s="1"/>
    </row>
    <row r="1769" spans="1:5" x14ac:dyDescent="0.25">
      <c r="A1769" s="1"/>
      <c r="C1769" s="1"/>
      <c r="E1769" s="1"/>
    </row>
    <row r="1770" spans="1:5" x14ac:dyDescent="0.25">
      <c r="A1770" s="1"/>
      <c r="C1770" s="1"/>
      <c r="E1770" s="1"/>
    </row>
    <row r="1771" spans="1:5" x14ac:dyDescent="0.25">
      <c r="A1771" s="1"/>
      <c r="C1771" s="1"/>
      <c r="E1771" s="1"/>
    </row>
    <row r="1772" spans="1:5" x14ac:dyDescent="0.25">
      <c r="A1772" s="1"/>
      <c r="C1772" s="1"/>
      <c r="E1772" s="1"/>
    </row>
    <row r="1773" spans="1:5" x14ac:dyDescent="0.25">
      <c r="A1773" s="1"/>
      <c r="C1773" s="1"/>
      <c r="E1773" s="1"/>
    </row>
    <row r="1774" spans="1:5" x14ac:dyDescent="0.25">
      <c r="A1774" s="1"/>
      <c r="C1774" s="1"/>
      <c r="E1774" s="1"/>
    </row>
    <row r="1775" spans="1:5" x14ac:dyDescent="0.25">
      <c r="A1775" s="1"/>
      <c r="C1775" s="1"/>
      <c r="E1775" s="1"/>
    </row>
    <row r="1776" spans="1:5" x14ac:dyDescent="0.25">
      <c r="A1776" s="1"/>
      <c r="C1776" s="1"/>
      <c r="E1776" s="1"/>
    </row>
    <row r="1777" spans="1:5" x14ac:dyDescent="0.25">
      <c r="A1777" s="1"/>
      <c r="C1777" s="1"/>
      <c r="E1777" s="1"/>
    </row>
    <row r="1778" spans="1:5" x14ac:dyDescent="0.25">
      <c r="A1778" s="1"/>
      <c r="C1778" s="1"/>
      <c r="E1778" s="1"/>
    </row>
    <row r="1779" spans="1:5" x14ac:dyDescent="0.25">
      <c r="A1779" s="1"/>
      <c r="C1779" s="1"/>
      <c r="E1779" s="1"/>
    </row>
    <row r="1780" spans="1:5" x14ac:dyDescent="0.25">
      <c r="A1780" s="1"/>
      <c r="C1780" s="1"/>
      <c r="E1780" s="1"/>
    </row>
    <row r="1781" spans="1:5" x14ac:dyDescent="0.25">
      <c r="A1781" s="1"/>
      <c r="C1781" s="1"/>
      <c r="E1781" s="1"/>
    </row>
    <row r="1782" spans="1:5" x14ac:dyDescent="0.25">
      <c r="A1782" s="1"/>
      <c r="C1782" s="1"/>
      <c r="E1782" s="1"/>
    </row>
    <row r="1783" spans="1:5" x14ac:dyDescent="0.25">
      <c r="A1783" s="1"/>
      <c r="C1783" s="1"/>
      <c r="E1783" s="1"/>
    </row>
    <row r="1784" spans="1:5" x14ac:dyDescent="0.25">
      <c r="A1784" s="1"/>
      <c r="C1784" s="1"/>
      <c r="E1784" s="1"/>
    </row>
    <row r="1785" spans="1:5" x14ac:dyDescent="0.25">
      <c r="A1785" s="1"/>
      <c r="C1785" s="1"/>
      <c r="E1785" s="1"/>
    </row>
    <row r="1786" spans="1:5" x14ac:dyDescent="0.25">
      <c r="A1786" s="1"/>
      <c r="C1786" s="1"/>
      <c r="E1786" s="1"/>
    </row>
    <row r="1787" spans="1:5" x14ac:dyDescent="0.25">
      <c r="A1787" s="1"/>
      <c r="C1787" s="1"/>
      <c r="E1787" s="1"/>
    </row>
    <row r="1788" spans="1:5" x14ac:dyDescent="0.25">
      <c r="A1788" s="1"/>
      <c r="C1788" s="1"/>
      <c r="E1788" s="1"/>
    </row>
    <row r="1789" spans="1:5" x14ac:dyDescent="0.25">
      <c r="A1789" s="1"/>
      <c r="C1789" s="1"/>
      <c r="E1789" s="1"/>
    </row>
    <row r="1790" spans="1:5" x14ac:dyDescent="0.25">
      <c r="A1790" s="1"/>
      <c r="C1790" s="1"/>
      <c r="E1790" s="1"/>
    </row>
    <row r="1791" spans="1:5" x14ac:dyDescent="0.25">
      <c r="A1791" s="1"/>
      <c r="C1791" s="1"/>
      <c r="E1791" s="1"/>
    </row>
    <row r="1792" spans="1:5" x14ac:dyDescent="0.25">
      <c r="A1792" s="1"/>
      <c r="C1792" s="1"/>
      <c r="E1792" s="1"/>
    </row>
    <row r="1793" spans="1:5" x14ac:dyDescent="0.25">
      <c r="A1793" s="1"/>
      <c r="C1793" s="1"/>
      <c r="E1793" s="1"/>
    </row>
    <row r="1794" spans="1:5" x14ac:dyDescent="0.25">
      <c r="A1794" s="1"/>
      <c r="C1794" s="1"/>
      <c r="E1794" s="1"/>
    </row>
    <row r="1795" spans="1:5" x14ac:dyDescent="0.25">
      <c r="A1795" s="1"/>
      <c r="C1795" s="1"/>
      <c r="E1795" s="1"/>
    </row>
    <row r="1796" spans="1:5" x14ac:dyDescent="0.25">
      <c r="A1796" s="1"/>
      <c r="C1796" s="1"/>
      <c r="E1796" s="1"/>
    </row>
    <row r="1797" spans="1:5" x14ac:dyDescent="0.25">
      <c r="A1797" s="1"/>
      <c r="C1797" s="1"/>
      <c r="E1797" s="1"/>
    </row>
    <row r="1798" spans="1:5" x14ac:dyDescent="0.25">
      <c r="A1798" s="1"/>
      <c r="C1798" s="1"/>
      <c r="E1798" s="1"/>
    </row>
    <row r="1799" spans="1:5" x14ac:dyDescent="0.25">
      <c r="A1799" s="1"/>
      <c r="C1799" s="1"/>
      <c r="E1799" s="1"/>
    </row>
    <row r="1800" spans="1:5" x14ac:dyDescent="0.25">
      <c r="A1800" s="1"/>
      <c r="C1800" s="1"/>
      <c r="E1800" s="1"/>
    </row>
    <row r="1801" spans="1:5" x14ac:dyDescent="0.25">
      <c r="A1801" s="1"/>
      <c r="C1801" s="1"/>
      <c r="E1801" s="1"/>
    </row>
    <row r="1802" spans="1:5" x14ac:dyDescent="0.25">
      <c r="A1802" s="1"/>
      <c r="C1802" s="1"/>
      <c r="E1802" s="1"/>
    </row>
    <row r="1803" spans="1:5" x14ac:dyDescent="0.25">
      <c r="A1803" s="1"/>
      <c r="C1803" s="1"/>
      <c r="E1803" s="1"/>
    </row>
    <row r="1804" spans="1:5" x14ac:dyDescent="0.25">
      <c r="A1804" s="1"/>
      <c r="C1804" s="1"/>
      <c r="E1804" s="1"/>
    </row>
    <row r="1805" spans="1:5" x14ac:dyDescent="0.25">
      <c r="A1805" s="1"/>
      <c r="C1805" s="1"/>
      <c r="E1805" s="1"/>
    </row>
    <row r="1806" spans="1:5" x14ac:dyDescent="0.25">
      <c r="A1806" s="1"/>
      <c r="C1806" s="1"/>
      <c r="E1806" s="1"/>
    </row>
    <row r="1807" spans="1:5" x14ac:dyDescent="0.25">
      <c r="A1807" s="1"/>
      <c r="C1807" s="1"/>
      <c r="E1807" s="1"/>
    </row>
    <row r="1808" spans="1:5" x14ac:dyDescent="0.25">
      <c r="A1808" s="1"/>
      <c r="C1808" s="1"/>
      <c r="E1808" s="1"/>
    </row>
    <row r="1809" spans="1:5" x14ac:dyDescent="0.25">
      <c r="A1809" s="1"/>
      <c r="C1809" s="1"/>
      <c r="E1809" s="1"/>
    </row>
    <row r="1810" spans="1:5" x14ac:dyDescent="0.25">
      <c r="A1810" s="1"/>
      <c r="C1810" s="1"/>
      <c r="E1810" s="1"/>
    </row>
    <row r="1811" spans="1:5" x14ac:dyDescent="0.25">
      <c r="A1811" s="1"/>
      <c r="C1811" s="1"/>
      <c r="E1811" s="1"/>
    </row>
    <row r="1812" spans="1:5" x14ac:dyDescent="0.25">
      <c r="A1812" s="1"/>
      <c r="C1812" s="1"/>
      <c r="E1812" s="1"/>
    </row>
    <row r="1813" spans="1:5" x14ac:dyDescent="0.25">
      <c r="A1813" s="1"/>
      <c r="C1813" s="1"/>
      <c r="E1813" s="1"/>
    </row>
    <row r="1814" spans="1:5" x14ac:dyDescent="0.25">
      <c r="A1814" s="1"/>
      <c r="C1814" s="1"/>
      <c r="E1814" s="1"/>
    </row>
    <row r="1815" spans="1:5" x14ac:dyDescent="0.25">
      <c r="A1815" s="1"/>
      <c r="C1815" s="1"/>
      <c r="E1815" s="1"/>
    </row>
    <row r="1816" spans="1:5" x14ac:dyDescent="0.25">
      <c r="A1816" s="1"/>
      <c r="C1816" s="1"/>
      <c r="E1816" s="1"/>
    </row>
    <row r="1817" spans="1:5" x14ac:dyDescent="0.25">
      <c r="A1817" s="1"/>
      <c r="C1817" s="1"/>
      <c r="E1817" s="1"/>
    </row>
    <row r="1818" spans="1:5" x14ac:dyDescent="0.25">
      <c r="A1818" s="1"/>
      <c r="C1818" s="1"/>
      <c r="E1818" s="1"/>
    </row>
    <row r="1819" spans="1:5" x14ac:dyDescent="0.25">
      <c r="A1819" s="1"/>
      <c r="C1819" s="1"/>
      <c r="E1819" s="1"/>
    </row>
    <row r="1820" spans="1:5" x14ac:dyDescent="0.25">
      <c r="A1820" s="1"/>
      <c r="C1820" s="1"/>
      <c r="E1820" s="1"/>
    </row>
    <row r="1821" spans="1:5" x14ac:dyDescent="0.25">
      <c r="A1821" s="1"/>
      <c r="C1821" s="1"/>
      <c r="E1821" s="1"/>
    </row>
    <row r="1822" spans="1:5" x14ac:dyDescent="0.25">
      <c r="A1822" s="1"/>
      <c r="C1822" s="1"/>
      <c r="E1822" s="1"/>
    </row>
    <row r="1823" spans="1:5" x14ac:dyDescent="0.25">
      <c r="A1823" s="1"/>
      <c r="C1823" s="1"/>
      <c r="E1823" s="1"/>
    </row>
    <row r="1824" spans="1:5" x14ac:dyDescent="0.25">
      <c r="A1824" s="1"/>
      <c r="C1824" s="1"/>
      <c r="E1824" s="1"/>
    </row>
    <row r="1825" spans="1:5" x14ac:dyDescent="0.25">
      <c r="A1825" s="1"/>
      <c r="C1825" s="1"/>
      <c r="E1825" s="1"/>
    </row>
    <row r="1826" spans="1:5" x14ac:dyDescent="0.25">
      <c r="A1826" s="1"/>
      <c r="C1826" s="1"/>
      <c r="E1826" s="1"/>
    </row>
    <row r="1827" spans="1:5" x14ac:dyDescent="0.25">
      <c r="A1827" s="1"/>
      <c r="C1827" s="1"/>
      <c r="E1827" s="1"/>
    </row>
    <row r="1828" spans="1:5" x14ac:dyDescent="0.25">
      <c r="A1828" s="1"/>
      <c r="C1828" s="1"/>
      <c r="E1828" s="1"/>
    </row>
    <row r="1829" spans="1:5" x14ac:dyDescent="0.25">
      <c r="A1829" s="1"/>
      <c r="C1829" s="1"/>
      <c r="E1829" s="1"/>
    </row>
    <row r="1830" spans="1:5" x14ac:dyDescent="0.25">
      <c r="A1830" s="1"/>
      <c r="C1830" s="1"/>
      <c r="E1830" s="1"/>
    </row>
    <row r="1831" spans="1:5" x14ac:dyDescent="0.25">
      <c r="A1831" s="1"/>
      <c r="C1831" s="1"/>
      <c r="E1831" s="1"/>
    </row>
    <row r="1832" spans="1:5" x14ac:dyDescent="0.25">
      <c r="A1832" s="1"/>
      <c r="C1832" s="1"/>
      <c r="E1832" s="1"/>
    </row>
    <row r="1833" spans="1:5" x14ac:dyDescent="0.25">
      <c r="A1833" s="1"/>
      <c r="C1833" s="1"/>
      <c r="E1833" s="1"/>
    </row>
    <row r="1834" spans="1:5" x14ac:dyDescent="0.25">
      <c r="A1834" s="1"/>
      <c r="C1834" s="1"/>
      <c r="E1834" s="1"/>
    </row>
    <row r="1835" spans="1:5" x14ac:dyDescent="0.25">
      <c r="A1835" s="1"/>
      <c r="C1835" s="1"/>
      <c r="E1835" s="1"/>
    </row>
    <row r="1836" spans="1:5" x14ac:dyDescent="0.25">
      <c r="A1836" s="1"/>
      <c r="C1836" s="1"/>
      <c r="E1836" s="1"/>
    </row>
    <row r="1837" spans="1:5" x14ac:dyDescent="0.25">
      <c r="A1837" s="1"/>
      <c r="C1837" s="1"/>
      <c r="E1837" s="1"/>
    </row>
    <row r="1838" spans="1:5" x14ac:dyDescent="0.25">
      <c r="A1838" s="1"/>
      <c r="C1838" s="1"/>
      <c r="E1838" s="1"/>
    </row>
    <row r="1839" spans="1:5" x14ac:dyDescent="0.25">
      <c r="A1839" s="1"/>
      <c r="C1839" s="1"/>
      <c r="E1839" s="1"/>
    </row>
    <row r="1840" spans="1:5" x14ac:dyDescent="0.25">
      <c r="A1840" s="1"/>
      <c r="C1840" s="1"/>
      <c r="E1840" s="1"/>
    </row>
    <row r="1841" spans="1:5" x14ac:dyDescent="0.25">
      <c r="A1841" s="1"/>
      <c r="C1841" s="1"/>
      <c r="E1841" s="1"/>
    </row>
    <row r="1842" spans="1:5" x14ac:dyDescent="0.25">
      <c r="A1842" s="1"/>
      <c r="C1842" s="1"/>
      <c r="E1842" s="1"/>
    </row>
    <row r="1843" spans="1:5" x14ac:dyDescent="0.25">
      <c r="A1843" s="1"/>
      <c r="C1843" s="1"/>
      <c r="E1843" s="1"/>
    </row>
    <row r="1844" spans="1:5" x14ac:dyDescent="0.25">
      <c r="A1844" s="1"/>
      <c r="C1844" s="1"/>
      <c r="E1844" s="1"/>
    </row>
    <row r="1845" spans="1:5" x14ac:dyDescent="0.25">
      <c r="A1845" s="1"/>
      <c r="C1845" s="1"/>
      <c r="E1845" s="1"/>
    </row>
    <row r="1846" spans="1:5" x14ac:dyDescent="0.25">
      <c r="A1846" s="1"/>
      <c r="C1846" s="1"/>
      <c r="E1846" s="1"/>
    </row>
    <row r="1847" spans="1:5" x14ac:dyDescent="0.25">
      <c r="A1847" s="1"/>
      <c r="C1847" s="1"/>
      <c r="E1847" s="1"/>
    </row>
    <row r="1848" spans="1:5" x14ac:dyDescent="0.25">
      <c r="A1848" s="1"/>
      <c r="C1848" s="1"/>
      <c r="E1848" s="1"/>
    </row>
    <row r="1849" spans="1:5" x14ac:dyDescent="0.25">
      <c r="A1849" s="1"/>
      <c r="C1849" s="1"/>
      <c r="E1849" s="1"/>
    </row>
    <row r="1850" spans="1:5" x14ac:dyDescent="0.25">
      <c r="A1850" s="1"/>
      <c r="C1850" s="1"/>
      <c r="E1850" s="1"/>
    </row>
    <row r="1851" spans="1:5" x14ac:dyDescent="0.25">
      <c r="A1851" s="1"/>
      <c r="C1851" s="1"/>
      <c r="E1851" s="1"/>
    </row>
    <row r="1852" spans="1:5" x14ac:dyDescent="0.25">
      <c r="A1852" s="1"/>
      <c r="C1852" s="1"/>
      <c r="E1852" s="1"/>
    </row>
    <row r="1853" spans="1:5" x14ac:dyDescent="0.25">
      <c r="A1853" s="1"/>
      <c r="C1853" s="1"/>
      <c r="E1853" s="1"/>
    </row>
    <row r="1854" spans="1:5" x14ac:dyDescent="0.25">
      <c r="A1854" s="1"/>
      <c r="C1854" s="1"/>
      <c r="E1854" s="1"/>
    </row>
    <row r="1855" spans="1:5" x14ac:dyDescent="0.25">
      <c r="A1855" s="1"/>
      <c r="C1855" s="1"/>
      <c r="E1855" s="1"/>
    </row>
    <row r="1856" spans="1:5" x14ac:dyDescent="0.25">
      <c r="A1856" s="1"/>
      <c r="C1856" s="1"/>
      <c r="E1856" s="1"/>
    </row>
    <row r="1857" spans="1:5" x14ac:dyDescent="0.25">
      <c r="A1857" s="1"/>
      <c r="C1857" s="1"/>
      <c r="E1857" s="1"/>
    </row>
    <row r="1858" spans="1:5" x14ac:dyDescent="0.25">
      <c r="A1858" s="1"/>
      <c r="C1858" s="1"/>
      <c r="E1858" s="1"/>
    </row>
    <row r="1859" spans="1:5" x14ac:dyDescent="0.25">
      <c r="A1859" s="1"/>
      <c r="C1859" s="1"/>
      <c r="E1859" s="1"/>
    </row>
    <row r="1860" spans="1:5" x14ac:dyDescent="0.25">
      <c r="A1860" s="1"/>
      <c r="C1860" s="1"/>
      <c r="E1860" s="1"/>
    </row>
    <row r="1861" spans="1:5" x14ac:dyDescent="0.25">
      <c r="A1861" s="1"/>
      <c r="C1861" s="1"/>
      <c r="E1861" s="1"/>
    </row>
    <row r="1862" spans="1:5" x14ac:dyDescent="0.25">
      <c r="A1862" s="1"/>
      <c r="C1862" s="1"/>
      <c r="E1862" s="1"/>
    </row>
    <row r="1863" spans="1:5" x14ac:dyDescent="0.25">
      <c r="A1863" s="1"/>
      <c r="C1863" s="1"/>
      <c r="E1863" s="1"/>
    </row>
    <row r="1864" spans="1:5" x14ac:dyDescent="0.25">
      <c r="A1864" s="1"/>
      <c r="C1864" s="1"/>
      <c r="E1864" s="1"/>
    </row>
    <row r="1865" spans="1:5" x14ac:dyDescent="0.25">
      <c r="A1865" s="1"/>
      <c r="C1865" s="1"/>
      <c r="E1865" s="1"/>
    </row>
    <row r="1866" spans="1:5" x14ac:dyDescent="0.25">
      <c r="A1866" s="1"/>
      <c r="C1866" s="1"/>
      <c r="E1866" s="1"/>
    </row>
    <row r="1867" spans="1:5" x14ac:dyDescent="0.25">
      <c r="A1867" s="1"/>
      <c r="C1867" s="1"/>
      <c r="E1867" s="1"/>
    </row>
    <row r="1868" spans="1:5" x14ac:dyDescent="0.25">
      <c r="A1868" s="1"/>
      <c r="C1868" s="1"/>
      <c r="E1868" s="1"/>
    </row>
    <row r="1869" spans="1:5" x14ac:dyDescent="0.25">
      <c r="A1869" s="1"/>
      <c r="C1869" s="1"/>
      <c r="E1869" s="1"/>
    </row>
    <row r="1870" spans="1:5" x14ac:dyDescent="0.25">
      <c r="A1870" s="1"/>
      <c r="C1870" s="1"/>
      <c r="E1870" s="1"/>
    </row>
    <row r="1871" spans="1:5" x14ac:dyDescent="0.25">
      <c r="A1871" s="1"/>
      <c r="C1871" s="1"/>
      <c r="E1871" s="1"/>
    </row>
    <row r="1872" spans="1:5" x14ac:dyDescent="0.25">
      <c r="A1872" s="1"/>
      <c r="C1872" s="1"/>
      <c r="E1872" s="1"/>
    </row>
    <row r="1873" spans="1:5" x14ac:dyDescent="0.25">
      <c r="A1873" s="1"/>
      <c r="C1873" s="1"/>
      <c r="E1873" s="1"/>
    </row>
    <row r="1874" spans="1:5" x14ac:dyDescent="0.25">
      <c r="A1874" s="1"/>
      <c r="C1874" s="1"/>
      <c r="E1874" s="1"/>
    </row>
    <row r="1875" spans="1:5" x14ac:dyDescent="0.25">
      <c r="A1875" s="1"/>
      <c r="C1875" s="1"/>
      <c r="E1875" s="1"/>
    </row>
    <row r="1876" spans="1:5" x14ac:dyDescent="0.25">
      <c r="A1876" s="1"/>
      <c r="C1876" s="1"/>
      <c r="E1876" s="1"/>
    </row>
    <row r="1877" spans="1:5" x14ac:dyDescent="0.25">
      <c r="A1877" s="1"/>
      <c r="C1877" s="1"/>
      <c r="E1877" s="1"/>
    </row>
    <row r="1878" spans="1:5" x14ac:dyDescent="0.25">
      <c r="A1878" s="1"/>
      <c r="C1878" s="1"/>
      <c r="E1878" s="1"/>
    </row>
    <row r="1879" spans="1:5" x14ac:dyDescent="0.25">
      <c r="A1879" s="1"/>
      <c r="C1879" s="1"/>
      <c r="E1879" s="1"/>
    </row>
    <row r="1880" spans="1:5" x14ac:dyDescent="0.25">
      <c r="A1880" s="1"/>
      <c r="C1880" s="1"/>
      <c r="E1880" s="1"/>
    </row>
    <row r="1881" spans="1:5" x14ac:dyDescent="0.25">
      <c r="A1881" s="1"/>
      <c r="C1881" s="1"/>
      <c r="E1881" s="1"/>
    </row>
    <row r="1882" spans="1:5" x14ac:dyDescent="0.25">
      <c r="A1882" s="1"/>
      <c r="C1882" s="1"/>
      <c r="E1882" s="1"/>
    </row>
    <row r="1883" spans="1:5" x14ac:dyDescent="0.25">
      <c r="A1883" s="1"/>
      <c r="C1883" s="1"/>
      <c r="E1883" s="1"/>
    </row>
    <row r="1884" spans="1:5" x14ac:dyDescent="0.25">
      <c r="A1884" s="1"/>
      <c r="C1884" s="1"/>
      <c r="E1884" s="1"/>
    </row>
    <row r="1885" spans="1:5" x14ac:dyDescent="0.25">
      <c r="A1885" s="1"/>
      <c r="C1885" s="1"/>
      <c r="E1885" s="1"/>
    </row>
    <row r="1886" spans="1:5" x14ac:dyDescent="0.25">
      <c r="A1886" s="1"/>
      <c r="C1886" s="1"/>
      <c r="E1886" s="1"/>
    </row>
    <row r="1887" spans="1:5" x14ac:dyDescent="0.25">
      <c r="A1887" s="1"/>
      <c r="C1887" s="1"/>
      <c r="E1887" s="1"/>
    </row>
    <row r="1888" spans="1:5" x14ac:dyDescent="0.25">
      <c r="A1888" s="1"/>
      <c r="C1888" s="1"/>
      <c r="E1888" s="1"/>
    </row>
    <row r="1889" spans="1:5" x14ac:dyDescent="0.25">
      <c r="A1889" s="1"/>
      <c r="C1889" s="1"/>
      <c r="E1889" s="1"/>
    </row>
    <row r="1890" spans="1:5" x14ac:dyDescent="0.25">
      <c r="A1890" s="1"/>
      <c r="C1890" s="1"/>
      <c r="E1890" s="1"/>
    </row>
    <row r="1891" spans="1:5" x14ac:dyDescent="0.25">
      <c r="A1891" s="1"/>
      <c r="C1891" s="1"/>
      <c r="E1891" s="1"/>
    </row>
    <row r="1892" spans="1:5" x14ac:dyDescent="0.25">
      <c r="A1892" s="1"/>
      <c r="C1892" s="1"/>
      <c r="E1892" s="1"/>
    </row>
    <row r="1893" spans="1:5" x14ac:dyDescent="0.25">
      <c r="A1893" s="1"/>
      <c r="C1893" s="1"/>
      <c r="E1893" s="1"/>
    </row>
    <row r="1894" spans="1:5" x14ac:dyDescent="0.25">
      <c r="A1894" s="1"/>
      <c r="C1894" s="1"/>
      <c r="E1894" s="1"/>
    </row>
    <row r="1895" spans="1:5" x14ac:dyDescent="0.25">
      <c r="A1895" s="1"/>
      <c r="C1895" s="1"/>
      <c r="E1895" s="1"/>
    </row>
    <row r="1896" spans="1:5" x14ac:dyDescent="0.25">
      <c r="A1896" s="1"/>
      <c r="C1896" s="1"/>
      <c r="E1896" s="1"/>
    </row>
    <row r="1897" spans="1:5" x14ac:dyDescent="0.25">
      <c r="A1897" s="1"/>
      <c r="C1897" s="1"/>
      <c r="E1897" s="1"/>
    </row>
    <row r="1898" spans="1:5" x14ac:dyDescent="0.25">
      <c r="A1898" s="1"/>
      <c r="C1898" s="1"/>
      <c r="E1898" s="1"/>
    </row>
    <row r="1899" spans="1:5" x14ac:dyDescent="0.25">
      <c r="A1899" s="1"/>
      <c r="C1899" s="1"/>
      <c r="E1899" s="1"/>
    </row>
    <row r="1900" spans="1:5" x14ac:dyDescent="0.25">
      <c r="A1900" s="1"/>
      <c r="C1900" s="1"/>
      <c r="E1900" s="1"/>
    </row>
    <row r="1901" spans="1:5" x14ac:dyDescent="0.25">
      <c r="A1901" s="1"/>
      <c r="C1901" s="1"/>
      <c r="E1901" s="1"/>
    </row>
    <row r="1902" spans="1:5" x14ac:dyDescent="0.25">
      <c r="A1902" s="1"/>
      <c r="C1902" s="1"/>
      <c r="E1902" s="1"/>
    </row>
    <row r="1903" spans="1:5" x14ac:dyDescent="0.25">
      <c r="A1903" s="1"/>
      <c r="C1903" s="1"/>
      <c r="E1903" s="1"/>
    </row>
    <row r="1904" spans="1:5" x14ac:dyDescent="0.25">
      <c r="A1904" s="1"/>
      <c r="C1904" s="1"/>
      <c r="E1904" s="1"/>
    </row>
    <row r="1905" spans="1:5" x14ac:dyDescent="0.25">
      <c r="A1905" s="1"/>
      <c r="C1905" s="1"/>
      <c r="E1905" s="1"/>
    </row>
    <row r="1906" spans="1:5" x14ac:dyDescent="0.25">
      <c r="A1906" s="1"/>
      <c r="C1906" s="1"/>
      <c r="E1906" s="1"/>
    </row>
    <row r="1907" spans="1:5" x14ac:dyDescent="0.25">
      <c r="A1907" s="1"/>
      <c r="C1907" s="1"/>
      <c r="E1907" s="1"/>
    </row>
    <row r="1908" spans="1:5" x14ac:dyDescent="0.25">
      <c r="A1908" s="1"/>
      <c r="C1908" s="1"/>
      <c r="E1908" s="1"/>
    </row>
    <row r="1909" spans="1:5" x14ac:dyDescent="0.25">
      <c r="A1909" s="1"/>
      <c r="C1909" s="1"/>
      <c r="E1909" s="1"/>
    </row>
    <row r="1910" spans="1:5" x14ac:dyDescent="0.25">
      <c r="A1910" s="1"/>
      <c r="C1910" s="1"/>
      <c r="E1910" s="1"/>
    </row>
    <row r="1911" spans="1:5" x14ac:dyDescent="0.25">
      <c r="A1911" s="1"/>
      <c r="C1911" s="1"/>
      <c r="E1911" s="1"/>
    </row>
    <row r="1912" spans="1:5" x14ac:dyDescent="0.25">
      <c r="A1912" s="1"/>
      <c r="C1912" s="1"/>
      <c r="E1912" s="1"/>
    </row>
    <row r="1913" spans="1:5" x14ac:dyDescent="0.25">
      <c r="A1913" s="1"/>
      <c r="C1913" s="1"/>
      <c r="E1913" s="1"/>
    </row>
    <row r="1914" spans="1:5" x14ac:dyDescent="0.25">
      <c r="A1914" s="1"/>
      <c r="C1914" s="1"/>
      <c r="E1914" s="1"/>
    </row>
    <row r="1915" spans="1:5" x14ac:dyDescent="0.25">
      <c r="A1915" s="1"/>
      <c r="C1915" s="1"/>
      <c r="E1915" s="1"/>
    </row>
    <row r="1916" spans="1:5" x14ac:dyDescent="0.25">
      <c r="A1916" s="1"/>
      <c r="C1916" s="1"/>
      <c r="E1916" s="1"/>
    </row>
    <row r="1917" spans="1:5" x14ac:dyDescent="0.25">
      <c r="A1917" s="1"/>
      <c r="C1917" s="1"/>
      <c r="E1917" s="1"/>
    </row>
    <row r="1918" spans="1:5" x14ac:dyDescent="0.25">
      <c r="A1918" s="1"/>
      <c r="C1918" s="1"/>
      <c r="E1918" s="1"/>
    </row>
    <row r="1919" spans="1:5" x14ac:dyDescent="0.25">
      <c r="A1919" s="1"/>
      <c r="C1919" s="1"/>
      <c r="E1919" s="1"/>
    </row>
    <row r="1920" spans="1:5" x14ac:dyDescent="0.25">
      <c r="A1920" s="1"/>
      <c r="C1920" s="1"/>
      <c r="E1920" s="1"/>
    </row>
    <row r="1921" spans="1:5" x14ac:dyDescent="0.25">
      <c r="A1921" s="1"/>
      <c r="C1921" s="1"/>
      <c r="E1921" s="1"/>
    </row>
    <row r="1922" spans="1:5" x14ac:dyDescent="0.25">
      <c r="A1922" s="1"/>
      <c r="C1922" s="1"/>
      <c r="E1922" s="1"/>
    </row>
    <row r="1923" spans="1:5" x14ac:dyDescent="0.25">
      <c r="A1923" s="1"/>
      <c r="C1923" s="1"/>
      <c r="E1923" s="1"/>
    </row>
    <row r="1924" spans="1:5" x14ac:dyDescent="0.25">
      <c r="A1924" s="1"/>
      <c r="C1924" s="1"/>
      <c r="E1924" s="1"/>
    </row>
    <row r="1925" spans="1:5" x14ac:dyDescent="0.25">
      <c r="A1925" s="1"/>
      <c r="C1925" s="1"/>
      <c r="E1925" s="1"/>
    </row>
    <row r="1926" spans="1:5" x14ac:dyDescent="0.25">
      <c r="A1926" s="1"/>
      <c r="C1926" s="1"/>
      <c r="E1926" s="1"/>
    </row>
    <row r="1927" spans="1:5" x14ac:dyDescent="0.25">
      <c r="A1927" s="1"/>
      <c r="C1927" s="1"/>
      <c r="E1927" s="1"/>
    </row>
    <row r="1928" spans="1:5" x14ac:dyDescent="0.25">
      <c r="A1928" s="1"/>
      <c r="C1928" s="1"/>
      <c r="E1928" s="1"/>
    </row>
    <row r="1929" spans="1:5" x14ac:dyDescent="0.25">
      <c r="A1929" s="1"/>
      <c r="C1929" s="1"/>
      <c r="E1929" s="1"/>
    </row>
    <row r="1930" spans="1:5" x14ac:dyDescent="0.25">
      <c r="A1930" s="1"/>
      <c r="C1930" s="1"/>
      <c r="E1930" s="1"/>
    </row>
    <row r="1931" spans="1:5" x14ac:dyDescent="0.25">
      <c r="A1931" s="1"/>
      <c r="C1931" s="1"/>
      <c r="E1931" s="1"/>
    </row>
    <row r="1932" spans="1:5" x14ac:dyDescent="0.25">
      <c r="A1932" s="1"/>
      <c r="C1932" s="1"/>
      <c r="E1932" s="1"/>
    </row>
    <row r="1933" spans="1:5" x14ac:dyDescent="0.25">
      <c r="A1933" s="1"/>
      <c r="C1933" s="1"/>
      <c r="E1933" s="1"/>
    </row>
    <row r="1934" spans="1:5" x14ac:dyDescent="0.25">
      <c r="A1934" s="1"/>
      <c r="C1934" s="1"/>
      <c r="E1934" s="1"/>
    </row>
    <row r="1935" spans="1:5" x14ac:dyDescent="0.25">
      <c r="A1935" s="1"/>
      <c r="C1935" s="1"/>
      <c r="E1935" s="1"/>
    </row>
    <row r="1936" spans="1:5" x14ac:dyDescent="0.25">
      <c r="A1936" s="1"/>
      <c r="C1936" s="1"/>
      <c r="E1936" s="1"/>
    </row>
    <row r="1937" spans="1:5" x14ac:dyDescent="0.25">
      <c r="A1937" s="1"/>
      <c r="C1937" s="1"/>
      <c r="E1937" s="1"/>
    </row>
    <row r="1938" spans="1:5" x14ac:dyDescent="0.25">
      <c r="A1938" s="1"/>
      <c r="C1938" s="1"/>
      <c r="E1938" s="1"/>
    </row>
    <row r="1939" spans="1:5" x14ac:dyDescent="0.25">
      <c r="A1939" s="1"/>
      <c r="C1939" s="1"/>
      <c r="E1939" s="1"/>
    </row>
    <row r="1940" spans="1:5" x14ac:dyDescent="0.25">
      <c r="A1940" s="1"/>
      <c r="C1940" s="1"/>
      <c r="E1940" s="1"/>
    </row>
    <row r="1941" spans="1:5" x14ac:dyDescent="0.25">
      <c r="A1941" s="1"/>
      <c r="C1941" s="1"/>
      <c r="E1941" s="1"/>
    </row>
    <row r="1942" spans="1:5" x14ac:dyDescent="0.25">
      <c r="A1942" s="1"/>
      <c r="C1942" s="1"/>
      <c r="E1942" s="1"/>
    </row>
    <row r="1943" spans="1:5" x14ac:dyDescent="0.25">
      <c r="A1943" s="1"/>
      <c r="C1943" s="1"/>
      <c r="E1943" s="1"/>
    </row>
    <row r="1944" spans="1:5" x14ac:dyDescent="0.25">
      <c r="A1944" s="1"/>
      <c r="C1944" s="1"/>
      <c r="E1944" s="1"/>
    </row>
    <row r="1945" spans="1:5" x14ac:dyDescent="0.25">
      <c r="A1945" s="1"/>
      <c r="C1945" s="1"/>
      <c r="E1945" s="1"/>
    </row>
    <row r="1946" spans="1:5" x14ac:dyDescent="0.25">
      <c r="A1946" s="1"/>
      <c r="C1946" s="1"/>
      <c r="E1946" s="1"/>
    </row>
    <row r="1947" spans="1:5" x14ac:dyDescent="0.25">
      <c r="A1947" s="1"/>
      <c r="C1947" s="1"/>
      <c r="E1947" s="1"/>
    </row>
    <row r="1948" spans="1:5" x14ac:dyDescent="0.25">
      <c r="A1948" s="1"/>
      <c r="C1948" s="1"/>
      <c r="E1948" s="1"/>
    </row>
    <row r="1949" spans="1:5" x14ac:dyDescent="0.25">
      <c r="A1949" s="1"/>
      <c r="C1949" s="1"/>
      <c r="E1949" s="1"/>
    </row>
    <row r="1950" spans="1:5" x14ac:dyDescent="0.25">
      <c r="A1950" s="1"/>
      <c r="C1950" s="1"/>
      <c r="E1950" s="1"/>
    </row>
    <row r="1951" spans="1:5" x14ac:dyDescent="0.25">
      <c r="A1951" s="1"/>
      <c r="C1951" s="1"/>
      <c r="E1951" s="1"/>
    </row>
    <row r="1952" spans="1:5" x14ac:dyDescent="0.25">
      <c r="A1952" s="1"/>
      <c r="C1952" s="1"/>
      <c r="E1952" s="1"/>
    </row>
    <row r="1953" spans="1:5" x14ac:dyDescent="0.25">
      <c r="A1953" s="1"/>
      <c r="C1953" s="1"/>
      <c r="E1953" s="1"/>
    </row>
    <row r="1954" spans="1:5" x14ac:dyDescent="0.25">
      <c r="A1954" s="1"/>
      <c r="C1954" s="1"/>
      <c r="E1954" s="1"/>
    </row>
    <row r="1955" spans="1:5" x14ac:dyDescent="0.25">
      <c r="A1955" s="1"/>
      <c r="C1955" s="1"/>
      <c r="E1955" s="1"/>
    </row>
    <row r="1956" spans="1:5" x14ac:dyDescent="0.25">
      <c r="A1956" s="1"/>
      <c r="C1956" s="1"/>
      <c r="E1956" s="1"/>
    </row>
    <row r="1957" spans="1:5" x14ac:dyDescent="0.25">
      <c r="A1957" s="1"/>
      <c r="C1957" s="1"/>
      <c r="E1957" s="1"/>
    </row>
    <row r="1958" spans="1:5" x14ac:dyDescent="0.25">
      <c r="A1958" s="1"/>
      <c r="C1958" s="1"/>
      <c r="E1958" s="1"/>
    </row>
    <row r="1959" spans="1:5" x14ac:dyDescent="0.25">
      <c r="A1959" s="1"/>
      <c r="C1959" s="1"/>
      <c r="E1959" s="1"/>
    </row>
    <row r="1960" spans="1:5" x14ac:dyDescent="0.25">
      <c r="A1960" s="1"/>
      <c r="C1960" s="1"/>
      <c r="E1960" s="1"/>
    </row>
    <row r="1961" spans="1:5" x14ac:dyDescent="0.25">
      <c r="A1961" s="1"/>
      <c r="C1961" s="1"/>
      <c r="E1961" s="1"/>
    </row>
    <row r="1962" spans="1:5" x14ac:dyDescent="0.25">
      <c r="A1962" s="1"/>
      <c r="C1962" s="1"/>
      <c r="E1962" s="1"/>
    </row>
    <row r="1963" spans="1:5" x14ac:dyDescent="0.25">
      <c r="A1963" s="1"/>
      <c r="C1963" s="1"/>
      <c r="E1963" s="1"/>
    </row>
    <row r="1964" spans="1:5" x14ac:dyDescent="0.25">
      <c r="A1964" s="1"/>
      <c r="C1964" s="1"/>
      <c r="E1964" s="1"/>
    </row>
    <row r="1965" spans="1:5" x14ac:dyDescent="0.25">
      <c r="A1965" s="1"/>
      <c r="C1965" s="1"/>
      <c r="E1965" s="1"/>
    </row>
    <row r="1966" spans="1:5" x14ac:dyDescent="0.25">
      <c r="A1966" s="1"/>
      <c r="C1966" s="1"/>
      <c r="E1966" s="1"/>
    </row>
    <row r="1967" spans="1:5" x14ac:dyDescent="0.25">
      <c r="A1967" s="1"/>
      <c r="C1967" s="1"/>
      <c r="E1967" s="1"/>
    </row>
    <row r="1968" spans="1:5" x14ac:dyDescent="0.25">
      <c r="A1968" s="1"/>
      <c r="C1968" s="1"/>
      <c r="E1968" s="1"/>
    </row>
    <row r="1969" spans="1:5" x14ac:dyDescent="0.25">
      <c r="A1969" s="1"/>
      <c r="C1969" s="1"/>
      <c r="E1969" s="1"/>
    </row>
    <row r="1970" spans="1:5" x14ac:dyDescent="0.25">
      <c r="A1970" s="1"/>
      <c r="C1970" s="1"/>
      <c r="E1970" s="1"/>
    </row>
    <row r="1971" spans="1:5" x14ac:dyDescent="0.25">
      <c r="A1971" s="1"/>
      <c r="C1971" s="1"/>
      <c r="E1971" s="1"/>
    </row>
    <row r="1972" spans="1:5" x14ac:dyDescent="0.25">
      <c r="A1972" s="1"/>
      <c r="C1972" s="1"/>
      <c r="E1972" s="1"/>
    </row>
    <row r="1973" spans="1:5" x14ac:dyDescent="0.25">
      <c r="A1973" s="1"/>
      <c r="C1973" s="1"/>
      <c r="E1973" s="1"/>
    </row>
    <row r="1974" spans="1:5" x14ac:dyDescent="0.25">
      <c r="A1974" s="1"/>
      <c r="C1974" s="1"/>
      <c r="E1974" s="1"/>
    </row>
    <row r="1975" spans="1:5" x14ac:dyDescent="0.25">
      <c r="A1975" s="1"/>
      <c r="C1975" s="1"/>
      <c r="E1975" s="1"/>
    </row>
    <row r="1976" spans="1:5" x14ac:dyDescent="0.25">
      <c r="A1976" s="1"/>
      <c r="C1976" s="1"/>
      <c r="E1976" s="1"/>
    </row>
    <row r="1977" spans="1:5" x14ac:dyDescent="0.25">
      <c r="A1977" s="1"/>
      <c r="C1977" s="1"/>
      <c r="E1977" s="1"/>
    </row>
    <row r="1978" spans="1:5" x14ac:dyDescent="0.25">
      <c r="A1978" s="1"/>
      <c r="C1978" s="1"/>
      <c r="E1978" s="1"/>
    </row>
    <row r="1979" spans="1:5" x14ac:dyDescent="0.25">
      <c r="A1979" s="1"/>
      <c r="C1979" s="1"/>
      <c r="E1979" s="1"/>
    </row>
    <row r="1980" spans="1:5" x14ac:dyDescent="0.25">
      <c r="A1980" s="1"/>
      <c r="C1980" s="1"/>
      <c r="E1980" s="1"/>
    </row>
    <row r="1981" spans="1:5" x14ac:dyDescent="0.25">
      <c r="A1981" s="1"/>
      <c r="C1981" s="1"/>
      <c r="E1981" s="1"/>
    </row>
    <row r="1982" spans="1:5" x14ac:dyDescent="0.25">
      <c r="A1982" s="1"/>
      <c r="C1982" s="1"/>
      <c r="E1982" s="1"/>
    </row>
    <row r="1983" spans="1:5" x14ac:dyDescent="0.25">
      <c r="A1983" s="1"/>
      <c r="C1983" s="1"/>
      <c r="E1983" s="1"/>
    </row>
    <row r="1984" spans="1:5" x14ac:dyDescent="0.25">
      <c r="A1984" s="1"/>
      <c r="C1984" s="1"/>
      <c r="E1984" s="1"/>
    </row>
    <row r="1985" spans="1:5" x14ac:dyDescent="0.25">
      <c r="A1985" s="1"/>
      <c r="C1985" s="1"/>
      <c r="E1985" s="1"/>
    </row>
    <row r="1986" spans="1:5" x14ac:dyDescent="0.25">
      <c r="A1986" s="1"/>
      <c r="C1986" s="1"/>
      <c r="E1986" s="1"/>
    </row>
    <row r="1987" spans="1:5" x14ac:dyDescent="0.25">
      <c r="A1987" s="1"/>
      <c r="C1987" s="1"/>
      <c r="E1987" s="1"/>
    </row>
    <row r="1988" spans="1:5" x14ac:dyDescent="0.25">
      <c r="A1988" s="1"/>
      <c r="C1988" s="1"/>
      <c r="E1988" s="1"/>
    </row>
    <row r="1989" spans="1:5" x14ac:dyDescent="0.25">
      <c r="A1989" s="1"/>
      <c r="C1989" s="1"/>
      <c r="E1989" s="1"/>
    </row>
    <row r="1990" spans="1:5" x14ac:dyDescent="0.25">
      <c r="A1990" s="1"/>
      <c r="C1990" s="1"/>
      <c r="E1990" s="1"/>
    </row>
    <row r="1991" spans="1:5" x14ac:dyDescent="0.25">
      <c r="A1991" s="1"/>
      <c r="C1991" s="1"/>
      <c r="E1991" s="1"/>
    </row>
    <row r="1992" spans="1:5" x14ac:dyDescent="0.25">
      <c r="A1992" s="1"/>
      <c r="C1992" s="1"/>
      <c r="E1992" s="1"/>
    </row>
    <row r="1993" spans="1:5" x14ac:dyDescent="0.25">
      <c r="A1993" s="1"/>
      <c r="C1993" s="1"/>
      <c r="E1993" s="1"/>
    </row>
    <row r="1994" spans="1:5" x14ac:dyDescent="0.25">
      <c r="A1994" s="1"/>
      <c r="C1994" s="1"/>
      <c r="E1994" s="1"/>
    </row>
    <row r="1995" spans="1:5" x14ac:dyDescent="0.25">
      <c r="A1995" s="1"/>
      <c r="C1995" s="1"/>
      <c r="E1995" s="1"/>
    </row>
    <row r="1996" spans="1:5" x14ac:dyDescent="0.25">
      <c r="A1996" s="1"/>
      <c r="C1996" s="1"/>
      <c r="E1996" s="1"/>
    </row>
    <row r="1997" spans="1:5" x14ac:dyDescent="0.25">
      <c r="A1997" s="1"/>
      <c r="C1997" s="1"/>
      <c r="E1997" s="1"/>
    </row>
    <row r="1998" spans="1:5" x14ac:dyDescent="0.25">
      <c r="A1998" s="1"/>
      <c r="C1998" s="1"/>
      <c r="E1998" s="1"/>
    </row>
    <row r="1999" spans="1:5" x14ac:dyDescent="0.25">
      <c r="A1999" s="1"/>
      <c r="C1999" s="1"/>
      <c r="E1999" s="1"/>
    </row>
    <row r="2000" spans="1:5" x14ac:dyDescent="0.25">
      <c r="A2000" s="1"/>
      <c r="C2000" s="1"/>
      <c r="E2000" s="1"/>
    </row>
    <row r="2001" spans="1:5" x14ac:dyDescent="0.25">
      <c r="A2001" s="1"/>
      <c r="C2001" s="1"/>
      <c r="E2001" s="1"/>
    </row>
    <row r="2002" spans="1:5" x14ac:dyDescent="0.25">
      <c r="A2002" s="1"/>
      <c r="C2002" s="1"/>
      <c r="E2002" s="1"/>
    </row>
    <row r="2003" spans="1:5" x14ac:dyDescent="0.25">
      <c r="A2003" s="1"/>
      <c r="C2003" s="1"/>
      <c r="E2003" s="1"/>
    </row>
    <row r="2004" spans="1:5" x14ac:dyDescent="0.25">
      <c r="A2004" s="1"/>
      <c r="C2004" s="1"/>
      <c r="E2004" s="1"/>
    </row>
    <row r="2005" spans="1:5" x14ac:dyDescent="0.25">
      <c r="A2005" s="1"/>
      <c r="C2005" s="1"/>
      <c r="E2005" s="1"/>
    </row>
    <row r="2006" spans="1:5" x14ac:dyDescent="0.25">
      <c r="A2006" s="1"/>
      <c r="C2006" s="1"/>
      <c r="E2006" s="1"/>
    </row>
    <row r="2007" spans="1:5" x14ac:dyDescent="0.25">
      <c r="A2007" s="1"/>
      <c r="C2007" s="1"/>
      <c r="E2007" s="1"/>
    </row>
    <row r="2008" spans="1:5" x14ac:dyDescent="0.25">
      <c r="A2008" s="1"/>
      <c r="C2008" s="1"/>
      <c r="E2008" s="1"/>
    </row>
    <row r="2009" spans="1:5" x14ac:dyDescent="0.25">
      <c r="A2009" s="1"/>
      <c r="C2009" s="1"/>
      <c r="E2009" s="1"/>
    </row>
    <row r="2010" spans="1:5" x14ac:dyDescent="0.25">
      <c r="A2010" s="1"/>
      <c r="C2010" s="1"/>
      <c r="E2010" s="1"/>
    </row>
    <row r="2011" spans="1:5" x14ac:dyDescent="0.25">
      <c r="A2011" s="1"/>
      <c r="C2011" s="1"/>
      <c r="E2011" s="1"/>
    </row>
    <row r="2012" spans="1:5" x14ac:dyDescent="0.25">
      <c r="A2012" s="1"/>
      <c r="C2012" s="1"/>
      <c r="E2012" s="1"/>
    </row>
    <row r="2013" spans="1:5" x14ac:dyDescent="0.25">
      <c r="A2013" s="1"/>
      <c r="C2013" s="1"/>
      <c r="E2013" s="1"/>
    </row>
    <row r="2014" spans="1:5" x14ac:dyDescent="0.25">
      <c r="A2014" s="1"/>
      <c r="C2014" s="1"/>
      <c r="E2014" s="1"/>
    </row>
    <row r="2015" spans="1:5" x14ac:dyDescent="0.25">
      <c r="A2015" s="1"/>
      <c r="C2015" s="1"/>
      <c r="E2015" s="1"/>
    </row>
    <row r="2016" spans="1:5" x14ac:dyDescent="0.25">
      <c r="A2016" s="1"/>
      <c r="C2016" s="1"/>
      <c r="E2016" s="1"/>
    </row>
    <row r="2017" spans="1:5" x14ac:dyDescent="0.25">
      <c r="A2017" s="1"/>
      <c r="C2017" s="1"/>
      <c r="E2017" s="1"/>
    </row>
    <row r="2018" spans="1:5" x14ac:dyDescent="0.25">
      <c r="A2018" s="1"/>
      <c r="C2018" s="1"/>
      <c r="E2018" s="1"/>
    </row>
    <row r="2019" spans="1:5" x14ac:dyDescent="0.25">
      <c r="A2019" s="1"/>
      <c r="C2019" s="1"/>
      <c r="E2019" s="1"/>
    </row>
    <row r="2020" spans="1:5" x14ac:dyDescent="0.25">
      <c r="A2020" s="1"/>
      <c r="C2020" s="1"/>
      <c r="E2020" s="1"/>
    </row>
    <row r="2021" spans="1:5" x14ac:dyDescent="0.25">
      <c r="A2021" s="1"/>
      <c r="C2021" s="1"/>
      <c r="E2021" s="1"/>
    </row>
    <row r="2022" spans="1:5" x14ac:dyDescent="0.25">
      <c r="A2022" s="1"/>
      <c r="C2022" s="1"/>
      <c r="E2022" s="1"/>
    </row>
    <row r="2023" spans="1:5" x14ac:dyDescent="0.25">
      <c r="A2023" s="1"/>
      <c r="C2023" s="1"/>
      <c r="E2023" s="1"/>
    </row>
    <row r="2024" spans="1:5" x14ac:dyDescent="0.25">
      <c r="A2024" s="1"/>
      <c r="C2024" s="1"/>
      <c r="E2024" s="1"/>
    </row>
    <row r="2025" spans="1:5" x14ac:dyDescent="0.25">
      <c r="A2025" s="1"/>
      <c r="C2025" s="1"/>
      <c r="E2025" s="1"/>
    </row>
    <row r="2026" spans="1:5" x14ac:dyDescent="0.25">
      <c r="A2026" s="1"/>
      <c r="C2026" s="1"/>
      <c r="E2026" s="1"/>
    </row>
    <row r="2027" spans="1:5" x14ac:dyDescent="0.25">
      <c r="A2027" s="1"/>
      <c r="C2027" s="1"/>
      <c r="E2027" s="1"/>
    </row>
    <row r="2028" spans="1:5" x14ac:dyDescent="0.25">
      <c r="A2028" s="1"/>
      <c r="C2028" s="1"/>
      <c r="E2028" s="1"/>
    </row>
    <row r="2029" spans="1:5" x14ac:dyDescent="0.25">
      <c r="A2029" s="1"/>
      <c r="C2029" s="1"/>
      <c r="E2029" s="1"/>
    </row>
    <row r="2030" spans="1:5" x14ac:dyDescent="0.25">
      <c r="A2030" s="1"/>
      <c r="C2030" s="1"/>
      <c r="E2030" s="1"/>
    </row>
    <row r="2031" spans="1:5" x14ac:dyDescent="0.25">
      <c r="A2031" s="1"/>
      <c r="C2031" s="1"/>
      <c r="E2031" s="1"/>
    </row>
    <row r="2032" spans="1:5" x14ac:dyDescent="0.25">
      <c r="A2032" s="1"/>
      <c r="C2032" s="1"/>
      <c r="E2032" s="1"/>
    </row>
    <row r="2033" spans="1:5" x14ac:dyDescent="0.25">
      <c r="A2033" s="1"/>
      <c r="C2033" s="1"/>
      <c r="E2033" s="1"/>
    </row>
    <row r="2034" spans="1:5" x14ac:dyDescent="0.25">
      <c r="A2034" s="1"/>
      <c r="C2034" s="1"/>
      <c r="E2034" s="1"/>
    </row>
    <row r="2035" spans="1:5" x14ac:dyDescent="0.25">
      <c r="A2035" s="1"/>
      <c r="C2035" s="1"/>
      <c r="E2035" s="1"/>
    </row>
    <row r="2036" spans="1:5" x14ac:dyDescent="0.25">
      <c r="A2036" s="1"/>
      <c r="C2036" s="1"/>
      <c r="E2036" s="1"/>
    </row>
    <row r="2037" spans="1:5" x14ac:dyDescent="0.25">
      <c r="A2037" s="1"/>
      <c r="C2037" s="1"/>
      <c r="E2037" s="1"/>
    </row>
    <row r="2038" spans="1:5" x14ac:dyDescent="0.25">
      <c r="A2038" s="1"/>
      <c r="C2038" s="1"/>
      <c r="E2038" s="1"/>
    </row>
    <row r="2039" spans="1:5" x14ac:dyDescent="0.25">
      <c r="A2039" s="1"/>
      <c r="C2039" s="1"/>
      <c r="E2039" s="1"/>
    </row>
    <row r="2040" spans="1:5" x14ac:dyDescent="0.25">
      <c r="A2040" s="1"/>
      <c r="C2040" s="1"/>
      <c r="E2040" s="1"/>
    </row>
    <row r="2041" spans="1:5" x14ac:dyDescent="0.25">
      <c r="A2041" s="1"/>
      <c r="C2041" s="1"/>
      <c r="E2041" s="1"/>
    </row>
    <row r="2042" spans="1:5" x14ac:dyDescent="0.25">
      <c r="A2042" s="1"/>
      <c r="C2042" s="1"/>
      <c r="E2042" s="1"/>
    </row>
    <row r="2043" spans="1:5" x14ac:dyDescent="0.25">
      <c r="A2043" s="1"/>
      <c r="C2043" s="1"/>
      <c r="E2043" s="1"/>
    </row>
    <row r="2044" spans="1:5" x14ac:dyDescent="0.25">
      <c r="A2044" s="1"/>
      <c r="C2044" s="1"/>
      <c r="E2044" s="1"/>
    </row>
    <row r="2045" spans="1:5" x14ac:dyDescent="0.25">
      <c r="A2045" s="1"/>
      <c r="C2045" s="1"/>
      <c r="E2045" s="1"/>
    </row>
    <row r="2046" spans="1:5" x14ac:dyDescent="0.25">
      <c r="A2046" s="1"/>
      <c r="C2046" s="1"/>
      <c r="E2046" s="1"/>
    </row>
    <row r="2047" spans="1:5" x14ac:dyDescent="0.25">
      <c r="A2047" s="1"/>
      <c r="C2047" s="1"/>
      <c r="E2047" s="1"/>
    </row>
    <row r="2048" spans="1:5" x14ac:dyDescent="0.25">
      <c r="A2048" s="1"/>
      <c r="C2048" s="1"/>
      <c r="E2048" s="1"/>
    </row>
    <row r="2049" spans="1:6" x14ac:dyDescent="0.25">
      <c r="A2049" s="1"/>
      <c r="C2049" s="1"/>
      <c r="E2049" s="1"/>
    </row>
    <row r="2050" spans="1:6" x14ac:dyDescent="0.25">
      <c r="A2050" s="1"/>
      <c r="C2050" s="1"/>
      <c r="E2050" s="1"/>
    </row>
    <row r="2051" spans="1:6" x14ac:dyDescent="0.25">
      <c r="A2051" s="1"/>
      <c r="C2051" s="1"/>
      <c r="E2051" s="1"/>
    </row>
    <row r="2052" spans="1:6" x14ac:dyDescent="0.25">
      <c r="A2052" s="1"/>
      <c r="C2052" s="1"/>
      <c r="E2052" s="1"/>
    </row>
    <row r="2053" spans="1:6" x14ac:dyDescent="0.25">
      <c r="A2053" s="1"/>
      <c r="C2053" s="1"/>
      <c r="E2053" s="1"/>
    </row>
    <row r="2054" spans="1:6" x14ac:dyDescent="0.25">
      <c r="A2054" s="1"/>
      <c r="C2054" s="1"/>
      <c r="E2054" s="1"/>
    </row>
    <row r="2055" spans="1:6" x14ac:dyDescent="0.25">
      <c r="A2055" s="1"/>
      <c r="C2055" s="1"/>
      <c r="E2055" s="1"/>
    </row>
    <row r="2056" spans="1:6" x14ac:dyDescent="0.25">
      <c r="A2056" s="1"/>
      <c r="C2056" s="1"/>
      <c r="E2056" s="1"/>
    </row>
    <row r="2057" spans="1:6" x14ac:dyDescent="0.25">
      <c r="A2057" s="1"/>
      <c r="C2057" s="1"/>
      <c r="E2057" s="1"/>
    </row>
    <row r="2058" spans="1:6" x14ac:dyDescent="0.25">
      <c r="A2058" s="1"/>
      <c r="C2058" s="1"/>
      <c r="E2058" s="1"/>
    </row>
    <row r="2059" spans="1:6" x14ac:dyDescent="0.25">
      <c r="E2059" s="1">
        <v>42767</v>
      </c>
      <c r="F2059">
        <v>49025.411647458102</v>
      </c>
    </row>
    <row r="2060" spans="1:6" x14ac:dyDescent="0.25">
      <c r="E2060" s="1">
        <v>42768</v>
      </c>
      <c r="F2060">
        <v>48783.1839079372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Data</vt:lpstr>
      <vt:lpstr>selectionData</vt:lpstr>
      <vt:lpstr>underlying_data</vt:lpstr>
      <vt:lpstr>Long Futures</vt:lpstr>
      <vt:lpstr>Long and Short Futures</vt:lpstr>
      <vt:lpstr>DHP</vt:lpstr>
      <vt:lpstr>DHP and Futures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2017-03-07T17:17:32Z</dcterms:modified>
</cp:coreProperties>
</file>