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030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ExcelDataCollector_Workbook\"/>
    </mc:Choice>
  </mc:AlternateContent>
  <bookViews>
    <workbookView xWindow="0" yWindow="0" windowWidth="28800" windowHeight="13530" tabRatio="658" activeTab="4"/>
  </bookViews>
  <sheets>
    <sheet name="Long Futures" sheetId="4" r:id="rId1"/>
    <sheet name="Long and Short Futures" sheetId="10" r:id="rId2"/>
    <sheet name="DHP" sheetId="9" r:id="rId3"/>
    <sheet name="DHP and Futures" sheetId="7" r:id="rId4"/>
    <sheet name="Data" sheetId="1" r:id="rId5"/>
    <sheet name="selectionData" sheetId="8" r:id="rId6"/>
  </sheets>
  <functionGroups builtInGroupCount="18"/>
  <definedNames>
    <definedName name="_xlnm._FilterDatabase" localSheetId="4" hidden="1">Data!$H$11:$L$913</definedName>
    <definedName name="CampaignId">Data!$B$4</definedName>
    <definedName name="dateRange">OFFSET(Data!$H$12,0,0,minRowCount,1)</definedName>
    <definedName name="DHP">selectionData!$A$2:$B$17</definedName>
    <definedName name="dhpLongFuturesExoRange">OFFSET(Data!$L$12,0,0,minRowCount,1)</definedName>
    <definedName name="dhpName">Data!$B$3</definedName>
    <definedName name="DHPnames">selectionData!$A$2:$A$17</definedName>
    <definedName name="DHPnumbers">selectionData!$B$2:$B$17</definedName>
    <definedName name="dhpRange">OFFSET(Data!$I$12,0,0,minRowCount,1)</definedName>
    <definedName name="ExoId">Data!$B$5</definedName>
    <definedName name="longExoRange">OFFSET(Data!$J$12,0,0,minRowCount,1)</definedName>
    <definedName name="minRowCount">Data!$G$11</definedName>
    <definedName name="Outright">selectionData!$C$2:$D$11</definedName>
    <definedName name="OutrightName">selectionData!$C$2:$C$11</definedName>
    <definedName name="OutrightNumber">selectionData!$D$2:$D$11</definedName>
    <definedName name="profitParticipation">Data!$B$10</definedName>
    <definedName name="shortExoRange">OFFSET(Data!$K$12,0,0,minRowCount,1)</definedName>
    <definedName name="StartDate">Data!$B$6</definedName>
    <definedName name="startingDHPDollars">Data!$B$7</definedName>
    <definedName name="underlyingName">Data!$B$2</definedName>
    <definedName name="unitsOfDHp">Data!$B$8</definedName>
    <definedName name="unitsOfExo">Data!$B$9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3" i="1" l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J13" i="1"/>
  <c r="J14" i="1"/>
  <c r="I13" i="1"/>
  <c r="I14" i="1"/>
  <c r="J15" i="1"/>
  <c r="I15" i="1"/>
  <c r="I16" i="1"/>
  <c r="J16" i="1"/>
  <c r="I17" i="1"/>
  <c r="J17" i="1"/>
  <c r="I18" i="1"/>
  <c r="J18" i="1"/>
  <c r="I19" i="1"/>
  <c r="J19" i="1"/>
  <c r="I20" i="1"/>
  <c r="J20" i="1"/>
  <c r="I21" i="1"/>
  <c r="J21" i="1"/>
  <c r="I22" i="1"/>
  <c r="J22" i="1"/>
  <c r="I23" i="1"/>
  <c r="J23" i="1"/>
  <c r="I24" i="1"/>
  <c r="J24" i="1"/>
  <c r="I25" i="1"/>
  <c r="J25" i="1"/>
  <c r="I26" i="1"/>
  <c r="J26" i="1"/>
  <c r="I27" i="1"/>
  <c r="J27" i="1"/>
  <c r="I28" i="1"/>
  <c r="J28" i="1"/>
  <c r="I29" i="1"/>
  <c r="J29" i="1"/>
  <c r="I30" i="1"/>
  <c r="J30" i="1"/>
  <c r="I31" i="1"/>
  <c r="J31" i="1"/>
  <c r="I32" i="1"/>
  <c r="J32" i="1"/>
  <c r="I33" i="1"/>
  <c r="J33" i="1"/>
  <c r="I34" i="1"/>
  <c r="J34" i="1"/>
  <c r="I35" i="1"/>
  <c r="J35" i="1"/>
  <c r="I36" i="1"/>
  <c r="J36" i="1"/>
  <c r="I37" i="1"/>
  <c r="J37" i="1"/>
  <c r="I38" i="1"/>
  <c r="J38" i="1"/>
  <c r="I39" i="1"/>
  <c r="J39" i="1"/>
  <c r="I40" i="1"/>
  <c r="J40" i="1"/>
  <c r="I41" i="1"/>
  <c r="J41" i="1"/>
  <c r="I42" i="1"/>
  <c r="J42" i="1"/>
  <c r="I43" i="1"/>
  <c r="J43" i="1"/>
  <c r="I44" i="1"/>
  <c r="J44" i="1"/>
  <c r="I45" i="1"/>
  <c r="J45" i="1"/>
  <c r="I46" i="1"/>
  <c r="J46" i="1"/>
  <c r="I47" i="1"/>
  <c r="J47" i="1"/>
  <c r="I48" i="1"/>
  <c r="J48" i="1"/>
  <c r="I49" i="1"/>
  <c r="J49" i="1"/>
  <c r="I50" i="1"/>
  <c r="J50" i="1"/>
  <c r="I51" i="1"/>
  <c r="J51" i="1"/>
  <c r="I52" i="1"/>
  <c r="J52" i="1"/>
  <c r="I53" i="1"/>
  <c r="J53" i="1"/>
  <c r="I54" i="1"/>
  <c r="J54" i="1"/>
  <c r="I55" i="1"/>
  <c r="J55" i="1"/>
  <c r="I56" i="1"/>
  <c r="J56" i="1"/>
  <c r="I57" i="1"/>
  <c r="J57" i="1"/>
  <c r="I58" i="1"/>
  <c r="J58" i="1"/>
  <c r="I59" i="1"/>
  <c r="J59" i="1"/>
  <c r="I60" i="1"/>
  <c r="J60" i="1"/>
  <c r="I61" i="1"/>
  <c r="J61" i="1"/>
  <c r="I62" i="1"/>
  <c r="J62" i="1"/>
  <c r="I63" i="1"/>
  <c r="J63" i="1"/>
  <c r="I64" i="1"/>
  <c r="J64" i="1"/>
  <c r="I65" i="1"/>
  <c r="J65" i="1"/>
  <c r="I66" i="1"/>
  <c r="J66" i="1"/>
  <c r="I67" i="1"/>
  <c r="J67" i="1"/>
  <c r="I68" i="1"/>
  <c r="J68" i="1"/>
  <c r="I69" i="1"/>
  <c r="J69" i="1"/>
  <c r="I70" i="1"/>
  <c r="J70" i="1"/>
  <c r="I71" i="1"/>
  <c r="J71" i="1"/>
  <c r="I72" i="1"/>
  <c r="J72" i="1"/>
  <c r="I73" i="1"/>
  <c r="J73" i="1"/>
  <c r="I74" i="1"/>
  <c r="J74" i="1"/>
  <c r="I75" i="1"/>
  <c r="J75" i="1"/>
  <c r="I76" i="1"/>
  <c r="J76" i="1"/>
  <c r="I77" i="1"/>
  <c r="J77" i="1"/>
  <c r="I78" i="1"/>
  <c r="J78" i="1"/>
  <c r="I79" i="1"/>
  <c r="J79" i="1"/>
  <c r="I80" i="1"/>
  <c r="J80" i="1"/>
  <c r="I81" i="1"/>
  <c r="J81" i="1"/>
  <c r="I82" i="1"/>
  <c r="J82" i="1"/>
  <c r="I83" i="1"/>
  <c r="J83" i="1"/>
  <c r="I84" i="1"/>
  <c r="J84" i="1"/>
  <c r="I85" i="1"/>
  <c r="J85" i="1"/>
  <c r="I86" i="1"/>
  <c r="J86" i="1"/>
  <c r="I87" i="1"/>
  <c r="J87" i="1"/>
  <c r="I88" i="1"/>
  <c r="J88" i="1"/>
  <c r="I89" i="1"/>
  <c r="J89" i="1"/>
  <c r="I90" i="1"/>
  <c r="J90" i="1"/>
  <c r="I91" i="1"/>
  <c r="J91" i="1"/>
  <c r="I92" i="1"/>
  <c r="J92" i="1"/>
  <c r="I93" i="1"/>
  <c r="J93" i="1"/>
  <c r="I94" i="1"/>
  <c r="J94" i="1"/>
  <c r="I95" i="1"/>
  <c r="J95" i="1"/>
  <c r="I96" i="1"/>
  <c r="J96" i="1"/>
  <c r="I97" i="1"/>
  <c r="J97" i="1"/>
  <c r="I98" i="1"/>
  <c r="J98" i="1"/>
  <c r="I99" i="1"/>
  <c r="J99" i="1"/>
  <c r="I100" i="1"/>
  <c r="J100" i="1"/>
  <c r="I101" i="1"/>
  <c r="J101" i="1"/>
  <c r="I102" i="1"/>
  <c r="J102" i="1"/>
  <c r="I103" i="1"/>
  <c r="J103" i="1"/>
  <c r="I104" i="1"/>
  <c r="J104" i="1"/>
  <c r="I105" i="1"/>
  <c r="J105" i="1"/>
  <c r="I106" i="1"/>
  <c r="J106" i="1"/>
  <c r="I107" i="1"/>
  <c r="J107" i="1"/>
  <c r="I108" i="1"/>
  <c r="J108" i="1"/>
  <c r="I109" i="1"/>
  <c r="J109" i="1"/>
  <c r="I110" i="1"/>
  <c r="J110" i="1"/>
  <c r="I111" i="1"/>
  <c r="J111" i="1"/>
  <c r="I112" i="1"/>
  <c r="J112" i="1"/>
  <c r="I113" i="1"/>
  <c r="J113" i="1"/>
  <c r="I114" i="1"/>
  <c r="J114" i="1"/>
  <c r="I115" i="1"/>
  <c r="J115" i="1"/>
  <c r="I116" i="1"/>
  <c r="J116" i="1"/>
  <c r="I117" i="1"/>
  <c r="J117" i="1"/>
  <c r="I118" i="1"/>
  <c r="J118" i="1"/>
  <c r="I119" i="1"/>
  <c r="J119" i="1"/>
  <c r="I120" i="1"/>
  <c r="J120" i="1"/>
  <c r="I121" i="1"/>
  <c r="J121" i="1"/>
  <c r="I122" i="1"/>
  <c r="J122" i="1"/>
  <c r="I123" i="1"/>
  <c r="J123" i="1"/>
  <c r="I124" i="1"/>
  <c r="J124" i="1"/>
  <c r="I125" i="1"/>
  <c r="J125" i="1"/>
  <c r="I126" i="1"/>
  <c r="J126" i="1"/>
  <c r="I127" i="1"/>
  <c r="J127" i="1"/>
  <c r="I128" i="1"/>
  <c r="J128" i="1"/>
  <c r="I129" i="1"/>
  <c r="J129" i="1"/>
  <c r="I130" i="1"/>
  <c r="J130" i="1"/>
  <c r="I131" i="1"/>
  <c r="J131" i="1"/>
  <c r="I132" i="1"/>
  <c r="J132" i="1"/>
  <c r="I133" i="1"/>
  <c r="J133" i="1"/>
  <c r="I134" i="1"/>
  <c r="J134" i="1"/>
  <c r="I135" i="1"/>
  <c r="J135" i="1"/>
  <c r="I136" i="1"/>
  <c r="J136" i="1"/>
  <c r="I137" i="1"/>
  <c r="J137" i="1"/>
  <c r="I138" i="1"/>
  <c r="J138" i="1"/>
  <c r="I139" i="1"/>
  <c r="J139" i="1"/>
  <c r="I140" i="1"/>
  <c r="J140" i="1"/>
  <c r="I141" i="1"/>
  <c r="J141" i="1"/>
  <c r="I142" i="1"/>
  <c r="J142" i="1"/>
  <c r="I143" i="1"/>
  <c r="J143" i="1"/>
  <c r="I144" i="1"/>
  <c r="J144" i="1"/>
  <c r="I145" i="1"/>
  <c r="J145" i="1"/>
  <c r="I146" i="1"/>
  <c r="J146" i="1"/>
  <c r="I147" i="1"/>
  <c r="J147" i="1"/>
  <c r="I148" i="1"/>
  <c r="J148" i="1"/>
  <c r="I149" i="1"/>
  <c r="J149" i="1"/>
  <c r="I150" i="1"/>
  <c r="J150" i="1"/>
  <c r="I151" i="1"/>
  <c r="J151" i="1"/>
  <c r="I152" i="1"/>
  <c r="J152" i="1"/>
  <c r="I153" i="1"/>
  <c r="J153" i="1"/>
  <c r="I154" i="1"/>
  <c r="J154" i="1"/>
  <c r="I155" i="1"/>
  <c r="J155" i="1"/>
  <c r="I156" i="1"/>
  <c r="J156" i="1"/>
  <c r="I157" i="1"/>
  <c r="J157" i="1"/>
  <c r="I158" i="1"/>
  <c r="J158" i="1"/>
  <c r="I159" i="1"/>
  <c r="J159" i="1"/>
  <c r="I160" i="1"/>
  <c r="J160" i="1"/>
  <c r="I161" i="1"/>
  <c r="J161" i="1"/>
  <c r="I162" i="1"/>
  <c r="J162" i="1"/>
  <c r="I163" i="1"/>
  <c r="J163" i="1"/>
  <c r="I164" i="1"/>
  <c r="J164" i="1"/>
  <c r="I165" i="1"/>
  <c r="J165" i="1"/>
  <c r="I166" i="1"/>
  <c r="J166" i="1"/>
  <c r="I167" i="1"/>
  <c r="J167" i="1"/>
  <c r="I168" i="1"/>
  <c r="J168" i="1"/>
  <c r="I169" i="1"/>
  <c r="J169" i="1"/>
  <c r="I170" i="1"/>
  <c r="J170" i="1"/>
  <c r="I171" i="1"/>
  <c r="J171" i="1"/>
  <c r="I172" i="1"/>
  <c r="J172" i="1"/>
  <c r="I173" i="1"/>
  <c r="J173" i="1"/>
  <c r="I174" i="1"/>
  <c r="J174" i="1"/>
  <c r="I175" i="1"/>
  <c r="J175" i="1"/>
  <c r="I176" i="1"/>
  <c r="J176" i="1"/>
  <c r="I177" i="1"/>
  <c r="J177" i="1"/>
  <c r="I178" i="1"/>
  <c r="J178" i="1"/>
  <c r="I179" i="1"/>
  <c r="J179" i="1"/>
  <c r="I180" i="1"/>
  <c r="J180" i="1"/>
  <c r="I181" i="1"/>
  <c r="J181" i="1"/>
  <c r="I182" i="1"/>
  <c r="J182" i="1"/>
  <c r="I183" i="1"/>
  <c r="J183" i="1"/>
  <c r="I184" i="1"/>
  <c r="J184" i="1"/>
  <c r="I185" i="1"/>
  <c r="J185" i="1"/>
  <c r="I186" i="1"/>
  <c r="J186" i="1"/>
  <c r="I187" i="1"/>
  <c r="J187" i="1"/>
  <c r="I188" i="1"/>
  <c r="J188" i="1"/>
  <c r="I189" i="1"/>
  <c r="J189" i="1"/>
  <c r="I190" i="1"/>
  <c r="J190" i="1"/>
  <c r="I191" i="1"/>
  <c r="J191" i="1"/>
  <c r="I192" i="1"/>
  <c r="J192" i="1"/>
  <c r="I193" i="1"/>
  <c r="J193" i="1"/>
  <c r="I194" i="1"/>
  <c r="J194" i="1"/>
  <c r="I195" i="1"/>
  <c r="J195" i="1"/>
  <c r="I196" i="1"/>
  <c r="J196" i="1"/>
  <c r="I197" i="1"/>
  <c r="J197" i="1"/>
  <c r="I198" i="1"/>
  <c r="J198" i="1"/>
  <c r="I199" i="1"/>
  <c r="J199" i="1"/>
  <c r="I200" i="1"/>
  <c r="J200" i="1"/>
  <c r="I201" i="1"/>
  <c r="J201" i="1"/>
  <c r="I202" i="1"/>
  <c r="J202" i="1"/>
  <c r="I203" i="1"/>
  <c r="J203" i="1"/>
  <c r="I204" i="1"/>
  <c r="J204" i="1"/>
  <c r="I205" i="1"/>
  <c r="J205" i="1"/>
  <c r="I206" i="1"/>
  <c r="J206" i="1"/>
  <c r="I207" i="1"/>
  <c r="J207" i="1"/>
  <c r="I208" i="1"/>
  <c r="J208" i="1"/>
  <c r="I209" i="1"/>
  <c r="J209" i="1"/>
  <c r="I210" i="1"/>
  <c r="J210" i="1"/>
  <c r="I211" i="1"/>
  <c r="J211" i="1"/>
  <c r="I212" i="1"/>
  <c r="J212" i="1"/>
  <c r="I213" i="1"/>
  <c r="J213" i="1"/>
  <c r="I214" i="1"/>
  <c r="J214" i="1"/>
  <c r="I215" i="1"/>
  <c r="J215" i="1"/>
  <c r="I216" i="1"/>
  <c r="J216" i="1"/>
  <c r="I217" i="1"/>
  <c r="J217" i="1"/>
  <c r="I218" i="1"/>
  <c r="J218" i="1"/>
  <c r="I219" i="1"/>
  <c r="J219" i="1"/>
  <c r="I220" i="1"/>
  <c r="J220" i="1"/>
  <c r="I221" i="1"/>
  <c r="J221" i="1"/>
  <c r="I222" i="1"/>
  <c r="J222" i="1"/>
  <c r="I223" i="1"/>
  <c r="J223" i="1"/>
  <c r="I224" i="1"/>
  <c r="J224" i="1"/>
  <c r="I225" i="1"/>
  <c r="J225" i="1"/>
  <c r="I226" i="1"/>
  <c r="J226" i="1"/>
  <c r="I227" i="1"/>
  <c r="J227" i="1"/>
  <c r="I228" i="1"/>
  <c r="J228" i="1"/>
  <c r="I229" i="1"/>
  <c r="J229" i="1"/>
  <c r="I230" i="1"/>
  <c r="J230" i="1"/>
  <c r="I231" i="1"/>
  <c r="J231" i="1"/>
  <c r="I232" i="1"/>
  <c r="J232" i="1"/>
  <c r="I233" i="1"/>
  <c r="J233" i="1"/>
  <c r="I234" i="1"/>
  <c r="J234" i="1"/>
  <c r="I235" i="1"/>
  <c r="J235" i="1"/>
  <c r="I236" i="1"/>
  <c r="J236" i="1"/>
  <c r="I237" i="1"/>
  <c r="J237" i="1"/>
  <c r="I238" i="1"/>
  <c r="J238" i="1"/>
  <c r="I239" i="1"/>
  <c r="J239" i="1"/>
  <c r="I240" i="1"/>
  <c r="J240" i="1"/>
  <c r="I241" i="1"/>
  <c r="J241" i="1"/>
  <c r="I242" i="1"/>
  <c r="J242" i="1"/>
  <c r="I243" i="1"/>
  <c r="J243" i="1"/>
  <c r="I244" i="1"/>
  <c r="J244" i="1"/>
  <c r="I245" i="1"/>
  <c r="J245" i="1"/>
  <c r="I246" i="1"/>
  <c r="J246" i="1"/>
  <c r="I247" i="1"/>
  <c r="J247" i="1"/>
  <c r="I248" i="1"/>
  <c r="J248" i="1"/>
  <c r="I249" i="1"/>
  <c r="J249" i="1"/>
  <c r="I250" i="1"/>
  <c r="J250" i="1"/>
  <c r="I251" i="1"/>
  <c r="J251" i="1"/>
  <c r="I252" i="1"/>
  <c r="J252" i="1"/>
  <c r="I253" i="1"/>
  <c r="J253" i="1"/>
  <c r="I254" i="1"/>
  <c r="J254" i="1"/>
  <c r="I255" i="1"/>
  <c r="J255" i="1"/>
  <c r="I256" i="1"/>
  <c r="J256" i="1"/>
  <c r="I257" i="1"/>
  <c r="J257" i="1"/>
  <c r="I258" i="1"/>
  <c r="J258" i="1"/>
  <c r="I259" i="1"/>
  <c r="J259" i="1"/>
  <c r="I260" i="1"/>
  <c r="J260" i="1"/>
  <c r="I261" i="1"/>
  <c r="J261" i="1"/>
  <c r="I262" i="1"/>
  <c r="J262" i="1"/>
  <c r="I263" i="1"/>
  <c r="J263" i="1"/>
  <c r="I264" i="1"/>
  <c r="J264" i="1"/>
  <c r="I265" i="1"/>
  <c r="J265" i="1"/>
  <c r="I266" i="1"/>
  <c r="J266" i="1"/>
  <c r="I267" i="1"/>
  <c r="J267" i="1"/>
  <c r="I268" i="1"/>
  <c r="J268" i="1"/>
  <c r="I269" i="1"/>
  <c r="J269" i="1"/>
  <c r="I270" i="1"/>
  <c r="J270" i="1"/>
  <c r="I271" i="1"/>
  <c r="J271" i="1"/>
  <c r="I272" i="1"/>
  <c r="J272" i="1"/>
  <c r="I273" i="1"/>
  <c r="J273" i="1"/>
  <c r="I274" i="1"/>
  <c r="J274" i="1"/>
  <c r="I275" i="1"/>
  <c r="J275" i="1"/>
  <c r="I276" i="1"/>
  <c r="J276" i="1"/>
  <c r="I277" i="1"/>
  <c r="J277" i="1"/>
  <c r="I278" i="1"/>
  <c r="J278" i="1"/>
  <c r="I279" i="1"/>
  <c r="J279" i="1"/>
  <c r="I280" i="1"/>
  <c r="J280" i="1"/>
  <c r="I281" i="1"/>
  <c r="J281" i="1"/>
  <c r="I282" i="1"/>
  <c r="J282" i="1"/>
  <c r="I283" i="1"/>
  <c r="J283" i="1"/>
  <c r="I284" i="1"/>
  <c r="J284" i="1"/>
  <c r="I285" i="1"/>
  <c r="J285" i="1"/>
  <c r="I286" i="1"/>
  <c r="J286" i="1"/>
  <c r="I287" i="1"/>
  <c r="J287" i="1"/>
  <c r="I288" i="1"/>
  <c r="J288" i="1"/>
  <c r="I289" i="1"/>
  <c r="J289" i="1"/>
  <c r="I290" i="1"/>
  <c r="J290" i="1"/>
  <c r="I291" i="1"/>
  <c r="J291" i="1"/>
  <c r="I292" i="1"/>
  <c r="J292" i="1"/>
  <c r="I293" i="1"/>
  <c r="J293" i="1"/>
  <c r="I294" i="1"/>
  <c r="J294" i="1"/>
  <c r="I295" i="1"/>
  <c r="J295" i="1"/>
  <c r="I296" i="1"/>
  <c r="J296" i="1"/>
  <c r="I297" i="1"/>
  <c r="J297" i="1"/>
  <c r="I298" i="1"/>
  <c r="J298" i="1"/>
  <c r="I299" i="1"/>
  <c r="J299" i="1"/>
  <c r="I300" i="1"/>
  <c r="J300" i="1"/>
  <c r="I301" i="1"/>
  <c r="J301" i="1"/>
  <c r="I302" i="1"/>
  <c r="J302" i="1"/>
  <c r="I303" i="1"/>
  <c r="J303" i="1"/>
  <c r="I304" i="1"/>
  <c r="J304" i="1"/>
  <c r="I305" i="1"/>
  <c r="J305" i="1"/>
  <c r="I306" i="1"/>
  <c r="J306" i="1"/>
  <c r="I307" i="1"/>
  <c r="J307" i="1"/>
  <c r="I308" i="1"/>
  <c r="J308" i="1"/>
  <c r="I309" i="1"/>
  <c r="J309" i="1"/>
  <c r="I310" i="1"/>
  <c r="J310" i="1"/>
  <c r="I311" i="1"/>
  <c r="J311" i="1"/>
  <c r="I312" i="1"/>
  <c r="J312" i="1"/>
  <c r="I313" i="1"/>
  <c r="J313" i="1"/>
  <c r="I314" i="1"/>
  <c r="J314" i="1"/>
  <c r="I315" i="1"/>
  <c r="J315" i="1"/>
  <c r="I316" i="1"/>
  <c r="J316" i="1"/>
  <c r="I317" i="1"/>
  <c r="J317" i="1"/>
  <c r="I318" i="1"/>
  <c r="J318" i="1"/>
  <c r="I319" i="1"/>
  <c r="J319" i="1"/>
  <c r="I320" i="1"/>
  <c r="J320" i="1"/>
  <c r="I321" i="1"/>
  <c r="J321" i="1"/>
  <c r="I322" i="1"/>
  <c r="J322" i="1"/>
  <c r="I323" i="1"/>
  <c r="J323" i="1"/>
  <c r="I324" i="1"/>
  <c r="J324" i="1"/>
  <c r="I325" i="1"/>
  <c r="J325" i="1"/>
  <c r="I326" i="1"/>
  <c r="J326" i="1"/>
  <c r="I327" i="1"/>
  <c r="J327" i="1"/>
  <c r="I328" i="1"/>
  <c r="J328" i="1"/>
  <c r="I329" i="1"/>
  <c r="J329" i="1"/>
  <c r="I330" i="1"/>
  <c r="J330" i="1"/>
  <c r="I331" i="1"/>
  <c r="J331" i="1"/>
  <c r="I332" i="1"/>
  <c r="J332" i="1"/>
  <c r="I333" i="1"/>
  <c r="J333" i="1"/>
  <c r="I334" i="1"/>
  <c r="J334" i="1"/>
  <c r="I335" i="1"/>
  <c r="J335" i="1"/>
  <c r="I336" i="1"/>
  <c r="J336" i="1"/>
  <c r="I337" i="1"/>
  <c r="J337" i="1"/>
  <c r="I338" i="1"/>
  <c r="J338" i="1"/>
  <c r="I339" i="1"/>
  <c r="J339" i="1"/>
  <c r="I340" i="1"/>
  <c r="J340" i="1"/>
  <c r="I341" i="1"/>
  <c r="J341" i="1"/>
  <c r="I342" i="1"/>
  <c r="J342" i="1"/>
  <c r="I343" i="1"/>
  <c r="J343" i="1"/>
  <c r="I344" i="1"/>
  <c r="J344" i="1"/>
  <c r="I345" i="1"/>
  <c r="J345" i="1"/>
  <c r="I346" i="1"/>
  <c r="J346" i="1"/>
  <c r="I347" i="1"/>
  <c r="J347" i="1"/>
  <c r="I348" i="1"/>
  <c r="J348" i="1"/>
  <c r="I349" i="1"/>
  <c r="J349" i="1"/>
  <c r="I350" i="1"/>
  <c r="J350" i="1"/>
  <c r="I351" i="1"/>
  <c r="J351" i="1"/>
  <c r="I352" i="1"/>
  <c r="J352" i="1"/>
  <c r="I353" i="1"/>
  <c r="J353" i="1"/>
  <c r="I354" i="1"/>
  <c r="J354" i="1"/>
  <c r="I355" i="1"/>
  <c r="J355" i="1"/>
  <c r="I356" i="1"/>
  <c r="J356" i="1"/>
  <c r="I357" i="1"/>
  <c r="J357" i="1"/>
  <c r="I358" i="1"/>
  <c r="J358" i="1"/>
  <c r="I359" i="1"/>
  <c r="J359" i="1"/>
  <c r="I360" i="1"/>
  <c r="J360" i="1"/>
  <c r="I361" i="1"/>
  <c r="J361" i="1"/>
  <c r="I362" i="1"/>
  <c r="J362" i="1"/>
  <c r="I363" i="1"/>
  <c r="J363" i="1"/>
  <c r="I364" i="1"/>
  <c r="J364" i="1"/>
  <c r="I365" i="1"/>
  <c r="J365" i="1"/>
  <c r="I366" i="1"/>
  <c r="J366" i="1"/>
  <c r="I367" i="1"/>
  <c r="J367" i="1"/>
  <c r="I368" i="1"/>
  <c r="J368" i="1"/>
  <c r="I369" i="1"/>
  <c r="J369" i="1"/>
  <c r="I370" i="1"/>
  <c r="J370" i="1"/>
  <c r="I371" i="1"/>
  <c r="J371" i="1"/>
  <c r="I372" i="1"/>
  <c r="J372" i="1"/>
  <c r="I373" i="1"/>
  <c r="J373" i="1"/>
  <c r="I374" i="1"/>
  <c r="J374" i="1"/>
  <c r="I375" i="1"/>
  <c r="J375" i="1"/>
  <c r="I376" i="1"/>
  <c r="J376" i="1"/>
  <c r="I377" i="1"/>
  <c r="J377" i="1"/>
  <c r="I378" i="1"/>
  <c r="J378" i="1"/>
  <c r="I379" i="1"/>
  <c r="J379" i="1"/>
  <c r="I380" i="1"/>
  <c r="J380" i="1"/>
  <c r="I381" i="1"/>
  <c r="J381" i="1"/>
  <c r="I382" i="1"/>
  <c r="J382" i="1"/>
  <c r="I383" i="1"/>
  <c r="J383" i="1"/>
  <c r="I384" i="1"/>
  <c r="J384" i="1"/>
  <c r="I385" i="1"/>
  <c r="J385" i="1"/>
  <c r="I386" i="1"/>
  <c r="J386" i="1"/>
  <c r="I387" i="1"/>
  <c r="J387" i="1"/>
  <c r="I388" i="1"/>
  <c r="J388" i="1"/>
  <c r="I389" i="1"/>
  <c r="J389" i="1"/>
  <c r="I390" i="1"/>
  <c r="J390" i="1"/>
  <c r="I391" i="1"/>
  <c r="J391" i="1"/>
  <c r="I392" i="1"/>
  <c r="J392" i="1"/>
  <c r="I393" i="1"/>
  <c r="J393" i="1"/>
  <c r="I394" i="1"/>
  <c r="J394" i="1"/>
  <c r="I395" i="1"/>
  <c r="J395" i="1"/>
  <c r="I396" i="1"/>
  <c r="J396" i="1"/>
  <c r="I397" i="1"/>
  <c r="J397" i="1"/>
  <c r="I398" i="1"/>
  <c r="J398" i="1"/>
  <c r="I399" i="1"/>
  <c r="J399" i="1"/>
  <c r="I400" i="1"/>
  <c r="J400" i="1"/>
  <c r="I401" i="1"/>
  <c r="J401" i="1"/>
  <c r="I402" i="1"/>
  <c r="J402" i="1"/>
  <c r="I403" i="1"/>
  <c r="J403" i="1"/>
  <c r="I404" i="1"/>
  <c r="J404" i="1"/>
  <c r="I405" i="1"/>
  <c r="J405" i="1"/>
  <c r="I406" i="1"/>
  <c r="J406" i="1"/>
  <c r="I407" i="1"/>
  <c r="J407" i="1"/>
  <c r="I408" i="1"/>
  <c r="J408" i="1"/>
  <c r="I409" i="1"/>
  <c r="J409" i="1"/>
  <c r="I410" i="1"/>
  <c r="J410" i="1"/>
  <c r="I411" i="1"/>
  <c r="J411" i="1"/>
  <c r="I412" i="1"/>
  <c r="J412" i="1"/>
  <c r="I413" i="1"/>
  <c r="J413" i="1"/>
  <c r="I414" i="1"/>
  <c r="J414" i="1"/>
  <c r="I415" i="1"/>
  <c r="J415" i="1"/>
  <c r="I416" i="1"/>
  <c r="J416" i="1"/>
  <c r="I417" i="1"/>
  <c r="J417" i="1"/>
  <c r="I418" i="1"/>
  <c r="J418" i="1"/>
  <c r="I419" i="1"/>
  <c r="J419" i="1"/>
  <c r="I420" i="1"/>
  <c r="J420" i="1"/>
  <c r="I421" i="1"/>
  <c r="J421" i="1"/>
  <c r="I422" i="1"/>
  <c r="J422" i="1"/>
  <c r="I423" i="1"/>
  <c r="J423" i="1"/>
  <c r="I424" i="1"/>
  <c r="J424" i="1"/>
  <c r="I425" i="1"/>
  <c r="J425" i="1"/>
  <c r="I426" i="1"/>
  <c r="J426" i="1"/>
  <c r="I427" i="1"/>
  <c r="J427" i="1"/>
  <c r="I428" i="1"/>
  <c r="J428" i="1"/>
  <c r="I429" i="1"/>
  <c r="J429" i="1"/>
  <c r="I430" i="1"/>
  <c r="J430" i="1"/>
  <c r="I431" i="1"/>
  <c r="J431" i="1"/>
  <c r="I432" i="1"/>
  <c r="J432" i="1"/>
  <c r="I433" i="1"/>
  <c r="J433" i="1"/>
  <c r="I434" i="1"/>
  <c r="J434" i="1"/>
  <c r="I435" i="1"/>
  <c r="J435" i="1"/>
  <c r="I436" i="1"/>
  <c r="J436" i="1"/>
  <c r="I437" i="1"/>
  <c r="J437" i="1"/>
  <c r="I438" i="1"/>
  <c r="J438" i="1"/>
  <c r="I439" i="1"/>
  <c r="J439" i="1"/>
  <c r="I440" i="1"/>
  <c r="J440" i="1"/>
  <c r="I441" i="1"/>
  <c r="J441" i="1"/>
  <c r="I442" i="1"/>
  <c r="J442" i="1"/>
  <c r="I443" i="1"/>
  <c r="J443" i="1"/>
  <c r="I444" i="1"/>
  <c r="J444" i="1"/>
  <c r="I445" i="1"/>
  <c r="J445" i="1"/>
  <c r="I446" i="1"/>
  <c r="J446" i="1"/>
  <c r="I447" i="1"/>
  <c r="J447" i="1"/>
  <c r="I448" i="1"/>
  <c r="J448" i="1"/>
  <c r="I449" i="1"/>
  <c r="J449" i="1"/>
  <c r="I450" i="1"/>
  <c r="J450" i="1"/>
  <c r="I451" i="1"/>
  <c r="J451" i="1"/>
  <c r="I452" i="1"/>
  <c r="J452" i="1"/>
  <c r="I453" i="1"/>
  <c r="J453" i="1"/>
  <c r="I454" i="1"/>
  <c r="J454" i="1"/>
  <c r="I455" i="1"/>
  <c r="J455" i="1"/>
  <c r="I456" i="1"/>
  <c r="J456" i="1"/>
  <c r="I457" i="1"/>
  <c r="J457" i="1"/>
  <c r="I458" i="1"/>
  <c r="J458" i="1"/>
  <c r="I459" i="1"/>
  <c r="J459" i="1"/>
  <c r="I460" i="1"/>
  <c r="J460" i="1"/>
  <c r="I461" i="1"/>
  <c r="J461" i="1"/>
  <c r="I462" i="1"/>
  <c r="J462" i="1"/>
  <c r="I463" i="1"/>
  <c r="J463" i="1"/>
  <c r="I464" i="1"/>
  <c r="J464" i="1"/>
  <c r="I465" i="1"/>
  <c r="J465" i="1"/>
  <c r="I466" i="1"/>
  <c r="J466" i="1"/>
  <c r="I467" i="1"/>
  <c r="J467" i="1"/>
  <c r="I468" i="1"/>
  <c r="J468" i="1"/>
  <c r="I469" i="1"/>
  <c r="J469" i="1"/>
  <c r="I470" i="1"/>
  <c r="J470" i="1"/>
  <c r="I471" i="1"/>
  <c r="J471" i="1"/>
  <c r="I472" i="1"/>
  <c r="J472" i="1"/>
  <c r="I473" i="1"/>
  <c r="J473" i="1"/>
  <c r="I474" i="1"/>
  <c r="J474" i="1"/>
  <c r="I475" i="1"/>
  <c r="J475" i="1"/>
  <c r="I476" i="1"/>
  <c r="J476" i="1"/>
  <c r="I477" i="1"/>
  <c r="J477" i="1"/>
  <c r="I478" i="1"/>
  <c r="J478" i="1"/>
  <c r="I479" i="1"/>
  <c r="J479" i="1"/>
  <c r="I480" i="1"/>
  <c r="J480" i="1"/>
  <c r="I481" i="1"/>
  <c r="J481" i="1"/>
  <c r="I482" i="1"/>
  <c r="J482" i="1"/>
  <c r="I483" i="1"/>
  <c r="J483" i="1"/>
  <c r="I484" i="1"/>
  <c r="J484" i="1"/>
  <c r="I485" i="1"/>
  <c r="J485" i="1"/>
  <c r="I486" i="1"/>
  <c r="J486" i="1"/>
  <c r="I487" i="1"/>
  <c r="J487" i="1"/>
  <c r="I488" i="1"/>
  <c r="J488" i="1"/>
  <c r="I489" i="1"/>
  <c r="J489" i="1"/>
  <c r="I490" i="1"/>
  <c r="J490" i="1"/>
  <c r="I491" i="1"/>
  <c r="J491" i="1"/>
  <c r="I492" i="1"/>
  <c r="J492" i="1"/>
  <c r="I493" i="1"/>
  <c r="J493" i="1"/>
  <c r="I494" i="1"/>
  <c r="J494" i="1"/>
  <c r="I495" i="1"/>
  <c r="J495" i="1"/>
  <c r="I496" i="1"/>
  <c r="J496" i="1"/>
  <c r="I497" i="1"/>
  <c r="J497" i="1"/>
  <c r="I498" i="1"/>
  <c r="J498" i="1"/>
  <c r="I499" i="1"/>
  <c r="J499" i="1"/>
  <c r="I500" i="1"/>
  <c r="J500" i="1"/>
  <c r="I501" i="1"/>
  <c r="J501" i="1"/>
  <c r="I502" i="1"/>
  <c r="J502" i="1"/>
  <c r="I503" i="1"/>
  <c r="J503" i="1"/>
  <c r="I504" i="1"/>
  <c r="J504" i="1"/>
  <c r="I505" i="1"/>
  <c r="J505" i="1"/>
  <c r="I506" i="1"/>
  <c r="J506" i="1"/>
  <c r="I507" i="1"/>
  <c r="J507" i="1"/>
  <c r="I508" i="1"/>
  <c r="J508" i="1"/>
  <c r="I509" i="1"/>
  <c r="J509" i="1"/>
  <c r="I510" i="1"/>
  <c r="J510" i="1"/>
  <c r="I511" i="1"/>
  <c r="J511" i="1"/>
  <c r="I512" i="1"/>
  <c r="J512" i="1"/>
  <c r="I513" i="1"/>
  <c r="J513" i="1"/>
  <c r="I514" i="1"/>
  <c r="J514" i="1"/>
  <c r="I515" i="1"/>
  <c r="J515" i="1"/>
  <c r="I516" i="1"/>
  <c r="J516" i="1"/>
  <c r="I517" i="1"/>
  <c r="J517" i="1"/>
  <c r="I518" i="1"/>
  <c r="J518" i="1"/>
  <c r="I519" i="1"/>
  <c r="J519" i="1"/>
  <c r="I520" i="1"/>
  <c r="J520" i="1"/>
  <c r="I521" i="1"/>
  <c r="J521" i="1"/>
  <c r="I522" i="1"/>
  <c r="J522" i="1"/>
  <c r="I523" i="1"/>
  <c r="J523" i="1"/>
  <c r="I524" i="1"/>
  <c r="J524" i="1"/>
  <c r="I525" i="1"/>
  <c r="J525" i="1"/>
  <c r="I526" i="1"/>
  <c r="J526" i="1"/>
  <c r="I527" i="1"/>
  <c r="J527" i="1"/>
  <c r="I528" i="1"/>
  <c r="J528" i="1"/>
  <c r="I529" i="1"/>
  <c r="J529" i="1"/>
  <c r="I530" i="1"/>
  <c r="J530" i="1"/>
  <c r="I531" i="1"/>
  <c r="J531" i="1"/>
  <c r="I532" i="1"/>
  <c r="J532" i="1"/>
  <c r="I533" i="1"/>
  <c r="J533" i="1"/>
  <c r="I534" i="1"/>
  <c r="J534" i="1"/>
  <c r="I535" i="1"/>
  <c r="J535" i="1"/>
  <c r="I536" i="1"/>
  <c r="J536" i="1"/>
  <c r="I537" i="1"/>
  <c r="J537" i="1"/>
  <c r="I538" i="1"/>
  <c r="J538" i="1"/>
  <c r="I539" i="1"/>
  <c r="J539" i="1"/>
  <c r="I540" i="1"/>
  <c r="J540" i="1"/>
  <c r="I541" i="1"/>
  <c r="J541" i="1"/>
  <c r="I542" i="1"/>
  <c r="J542" i="1"/>
  <c r="I543" i="1"/>
  <c r="J543" i="1"/>
  <c r="I544" i="1"/>
  <c r="J544" i="1"/>
  <c r="I545" i="1"/>
  <c r="J545" i="1"/>
  <c r="I546" i="1"/>
  <c r="J546" i="1"/>
  <c r="I547" i="1"/>
  <c r="J547" i="1"/>
  <c r="I548" i="1"/>
  <c r="J548" i="1"/>
  <c r="I549" i="1"/>
  <c r="J549" i="1"/>
  <c r="I550" i="1"/>
  <c r="J550" i="1"/>
  <c r="I551" i="1"/>
  <c r="J551" i="1"/>
  <c r="I552" i="1"/>
  <c r="J552" i="1"/>
  <c r="I553" i="1"/>
  <c r="J553" i="1"/>
  <c r="I554" i="1"/>
  <c r="J554" i="1"/>
  <c r="I555" i="1"/>
  <c r="J555" i="1"/>
  <c r="I556" i="1"/>
  <c r="J556" i="1"/>
  <c r="I557" i="1"/>
  <c r="J557" i="1"/>
  <c r="I558" i="1"/>
  <c r="J558" i="1"/>
  <c r="I559" i="1"/>
  <c r="J559" i="1"/>
  <c r="I560" i="1"/>
  <c r="J560" i="1"/>
  <c r="I561" i="1"/>
  <c r="J561" i="1"/>
  <c r="I562" i="1"/>
  <c r="J562" i="1"/>
  <c r="I563" i="1"/>
  <c r="J563" i="1"/>
  <c r="I564" i="1"/>
  <c r="J564" i="1"/>
  <c r="I565" i="1"/>
  <c r="J565" i="1"/>
  <c r="I566" i="1"/>
  <c r="J566" i="1"/>
  <c r="I567" i="1"/>
  <c r="J567" i="1"/>
  <c r="I568" i="1"/>
  <c r="J568" i="1"/>
  <c r="I569" i="1"/>
  <c r="J569" i="1"/>
  <c r="I570" i="1"/>
  <c r="J570" i="1"/>
  <c r="I571" i="1"/>
  <c r="J571" i="1"/>
  <c r="I572" i="1"/>
  <c r="J572" i="1"/>
  <c r="I573" i="1"/>
  <c r="J573" i="1"/>
  <c r="I574" i="1"/>
  <c r="J574" i="1"/>
  <c r="I575" i="1"/>
  <c r="J575" i="1"/>
  <c r="I576" i="1"/>
  <c r="J576" i="1"/>
  <c r="I577" i="1"/>
  <c r="J577" i="1"/>
  <c r="I578" i="1"/>
  <c r="J578" i="1"/>
  <c r="I579" i="1"/>
  <c r="J579" i="1"/>
  <c r="I580" i="1"/>
  <c r="J580" i="1"/>
  <c r="I581" i="1"/>
  <c r="J581" i="1"/>
  <c r="I582" i="1"/>
  <c r="J582" i="1"/>
  <c r="I583" i="1"/>
  <c r="J583" i="1"/>
  <c r="I584" i="1"/>
  <c r="J584" i="1"/>
  <c r="I585" i="1"/>
  <c r="J585" i="1"/>
  <c r="I586" i="1"/>
  <c r="J586" i="1"/>
  <c r="I587" i="1"/>
  <c r="J587" i="1"/>
  <c r="I588" i="1"/>
  <c r="J588" i="1"/>
  <c r="I589" i="1"/>
  <c r="J589" i="1"/>
  <c r="I590" i="1"/>
  <c r="J590" i="1"/>
  <c r="I591" i="1"/>
  <c r="J591" i="1"/>
  <c r="I592" i="1"/>
  <c r="J592" i="1"/>
  <c r="I593" i="1"/>
  <c r="J593" i="1"/>
  <c r="I594" i="1"/>
  <c r="J594" i="1"/>
  <c r="I595" i="1"/>
  <c r="J595" i="1"/>
  <c r="I596" i="1"/>
  <c r="J596" i="1"/>
  <c r="I597" i="1"/>
  <c r="J597" i="1"/>
  <c r="I598" i="1"/>
  <c r="J598" i="1"/>
  <c r="I599" i="1"/>
  <c r="J599" i="1"/>
  <c r="I600" i="1"/>
  <c r="J600" i="1"/>
  <c r="I601" i="1"/>
  <c r="J601" i="1"/>
  <c r="I602" i="1"/>
  <c r="J602" i="1"/>
  <c r="I603" i="1"/>
  <c r="J603" i="1"/>
  <c r="I604" i="1"/>
  <c r="J604" i="1"/>
  <c r="I605" i="1"/>
  <c r="J605" i="1"/>
  <c r="I606" i="1"/>
  <c r="J606" i="1"/>
  <c r="I607" i="1"/>
  <c r="J607" i="1"/>
  <c r="I608" i="1"/>
  <c r="J608" i="1"/>
  <c r="I609" i="1"/>
  <c r="J609" i="1"/>
  <c r="I610" i="1"/>
  <c r="J610" i="1"/>
  <c r="I611" i="1"/>
  <c r="J611" i="1"/>
  <c r="I612" i="1"/>
  <c r="J612" i="1"/>
  <c r="I613" i="1"/>
  <c r="J613" i="1"/>
  <c r="I614" i="1"/>
  <c r="J614" i="1"/>
  <c r="I615" i="1"/>
  <c r="J615" i="1"/>
  <c r="I616" i="1"/>
  <c r="J616" i="1"/>
  <c r="I617" i="1"/>
  <c r="J617" i="1"/>
  <c r="I618" i="1"/>
  <c r="J618" i="1"/>
  <c r="I619" i="1"/>
  <c r="J619" i="1"/>
  <c r="I620" i="1"/>
  <c r="J620" i="1"/>
  <c r="I621" i="1"/>
  <c r="J621" i="1"/>
  <c r="I622" i="1"/>
  <c r="J622" i="1"/>
  <c r="I623" i="1"/>
  <c r="J623" i="1"/>
  <c r="I624" i="1"/>
  <c r="J624" i="1"/>
  <c r="I625" i="1"/>
  <c r="J625" i="1"/>
  <c r="I626" i="1"/>
  <c r="J626" i="1"/>
  <c r="I627" i="1"/>
  <c r="J627" i="1"/>
  <c r="I628" i="1"/>
  <c r="J628" i="1"/>
  <c r="I629" i="1"/>
  <c r="J629" i="1"/>
  <c r="I630" i="1"/>
  <c r="J630" i="1"/>
  <c r="I631" i="1"/>
  <c r="J631" i="1"/>
  <c r="I632" i="1"/>
  <c r="J632" i="1"/>
  <c r="I633" i="1"/>
  <c r="J633" i="1"/>
  <c r="I634" i="1"/>
  <c r="J634" i="1"/>
  <c r="I635" i="1"/>
  <c r="J635" i="1"/>
  <c r="I636" i="1"/>
  <c r="J636" i="1"/>
  <c r="I637" i="1"/>
  <c r="J637" i="1"/>
  <c r="I638" i="1"/>
  <c r="J638" i="1"/>
  <c r="I639" i="1"/>
  <c r="J639" i="1"/>
  <c r="I640" i="1"/>
  <c r="J640" i="1"/>
  <c r="I641" i="1"/>
  <c r="J641" i="1"/>
  <c r="I642" i="1"/>
  <c r="J642" i="1"/>
  <c r="I643" i="1"/>
  <c r="J643" i="1"/>
  <c r="I644" i="1"/>
  <c r="J644" i="1"/>
  <c r="I645" i="1"/>
  <c r="J645" i="1"/>
  <c r="I646" i="1"/>
  <c r="J646" i="1"/>
  <c r="I647" i="1"/>
  <c r="J647" i="1"/>
  <c r="I648" i="1"/>
  <c r="J648" i="1"/>
  <c r="I649" i="1"/>
  <c r="J649" i="1"/>
  <c r="I650" i="1"/>
  <c r="J650" i="1"/>
  <c r="I651" i="1"/>
  <c r="J651" i="1"/>
  <c r="I652" i="1"/>
  <c r="J652" i="1"/>
  <c r="I653" i="1"/>
  <c r="J653" i="1"/>
  <c r="I654" i="1"/>
  <c r="J654" i="1"/>
  <c r="I655" i="1"/>
  <c r="J655" i="1"/>
  <c r="I656" i="1"/>
  <c r="J656" i="1"/>
  <c r="I657" i="1"/>
  <c r="J657" i="1"/>
  <c r="I658" i="1"/>
  <c r="J658" i="1"/>
  <c r="I659" i="1"/>
  <c r="J659" i="1"/>
  <c r="I660" i="1"/>
  <c r="J660" i="1"/>
  <c r="I661" i="1"/>
  <c r="J661" i="1"/>
  <c r="I662" i="1"/>
  <c r="J662" i="1"/>
  <c r="I663" i="1"/>
  <c r="J663" i="1"/>
  <c r="I664" i="1"/>
  <c r="J664" i="1"/>
  <c r="I665" i="1"/>
  <c r="J665" i="1"/>
  <c r="I666" i="1"/>
  <c r="J666" i="1"/>
  <c r="I667" i="1"/>
  <c r="J667" i="1"/>
  <c r="I668" i="1"/>
  <c r="J668" i="1"/>
  <c r="I669" i="1"/>
  <c r="J669" i="1"/>
  <c r="I670" i="1"/>
  <c r="J670" i="1"/>
  <c r="I671" i="1"/>
  <c r="J671" i="1"/>
  <c r="I672" i="1"/>
  <c r="J672" i="1"/>
  <c r="I673" i="1"/>
  <c r="J673" i="1"/>
  <c r="I674" i="1"/>
  <c r="J674" i="1"/>
  <c r="I675" i="1"/>
  <c r="J675" i="1"/>
  <c r="I676" i="1"/>
  <c r="J676" i="1"/>
  <c r="I677" i="1"/>
  <c r="J677" i="1"/>
  <c r="I678" i="1"/>
  <c r="J678" i="1"/>
  <c r="I679" i="1"/>
  <c r="J679" i="1"/>
  <c r="I680" i="1"/>
  <c r="J680" i="1"/>
  <c r="I681" i="1"/>
  <c r="J681" i="1"/>
  <c r="I682" i="1"/>
  <c r="J682" i="1"/>
  <c r="I683" i="1"/>
  <c r="J683" i="1"/>
  <c r="I684" i="1"/>
  <c r="J684" i="1"/>
  <c r="I685" i="1"/>
  <c r="J685" i="1"/>
  <c r="I686" i="1"/>
  <c r="J686" i="1"/>
  <c r="I687" i="1"/>
  <c r="J687" i="1"/>
  <c r="I688" i="1"/>
  <c r="J688" i="1"/>
  <c r="I689" i="1"/>
  <c r="J689" i="1"/>
  <c r="I690" i="1"/>
  <c r="J690" i="1"/>
  <c r="I691" i="1"/>
  <c r="J691" i="1"/>
  <c r="I692" i="1"/>
  <c r="J692" i="1"/>
  <c r="I693" i="1"/>
  <c r="J693" i="1"/>
  <c r="I694" i="1"/>
  <c r="J694" i="1"/>
  <c r="I695" i="1"/>
  <c r="J695" i="1"/>
  <c r="I696" i="1"/>
  <c r="J696" i="1"/>
  <c r="I697" i="1"/>
  <c r="J697" i="1"/>
  <c r="I698" i="1"/>
  <c r="J698" i="1"/>
  <c r="I699" i="1"/>
  <c r="J699" i="1"/>
  <c r="I700" i="1"/>
  <c r="J700" i="1"/>
  <c r="I701" i="1"/>
  <c r="J701" i="1"/>
  <c r="I702" i="1"/>
  <c r="J702" i="1"/>
  <c r="I703" i="1"/>
  <c r="J703" i="1"/>
  <c r="I704" i="1"/>
  <c r="J704" i="1"/>
  <c r="I705" i="1"/>
  <c r="J705" i="1"/>
  <c r="I706" i="1"/>
  <c r="J706" i="1"/>
  <c r="I707" i="1"/>
  <c r="J707" i="1"/>
  <c r="I708" i="1"/>
  <c r="J708" i="1"/>
  <c r="I709" i="1"/>
  <c r="J709" i="1"/>
  <c r="I710" i="1"/>
  <c r="J710" i="1"/>
  <c r="I711" i="1"/>
  <c r="J711" i="1"/>
  <c r="I712" i="1"/>
  <c r="J712" i="1"/>
  <c r="I713" i="1"/>
  <c r="J713" i="1"/>
  <c r="I714" i="1"/>
  <c r="J714" i="1"/>
  <c r="I715" i="1"/>
  <c r="J715" i="1"/>
  <c r="I716" i="1"/>
  <c r="J716" i="1"/>
  <c r="I717" i="1"/>
  <c r="J717" i="1"/>
  <c r="I718" i="1"/>
  <c r="J718" i="1"/>
  <c r="I719" i="1"/>
  <c r="J719" i="1"/>
  <c r="I720" i="1"/>
  <c r="J720" i="1"/>
  <c r="I721" i="1"/>
  <c r="J721" i="1"/>
  <c r="I722" i="1"/>
  <c r="J722" i="1"/>
  <c r="I723" i="1"/>
  <c r="J723" i="1"/>
  <c r="I724" i="1"/>
  <c r="J724" i="1"/>
  <c r="I725" i="1"/>
  <c r="J725" i="1"/>
  <c r="I726" i="1"/>
  <c r="J726" i="1"/>
  <c r="I727" i="1"/>
  <c r="J727" i="1"/>
  <c r="I728" i="1"/>
  <c r="J728" i="1"/>
  <c r="I729" i="1"/>
  <c r="J729" i="1"/>
  <c r="I730" i="1"/>
  <c r="J730" i="1"/>
  <c r="I731" i="1"/>
  <c r="J731" i="1"/>
  <c r="I732" i="1"/>
  <c r="J732" i="1"/>
  <c r="I733" i="1"/>
  <c r="J733" i="1"/>
  <c r="I734" i="1"/>
  <c r="J734" i="1"/>
  <c r="I735" i="1"/>
  <c r="J735" i="1"/>
  <c r="I736" i="1"/>
  <c r="J736" i="1"/>
  <c r="I737" i="1"/>
  <c r="J737" i="1"/>
  <c r="I738" i="1"/>
  <c r="J738" i="1"/>
  <c r="I739" i="1"/>
  <c r="J739" i="1"/>
  <c r="I740" i="1"/>
  <c r="J740" i="1"/>
  <c r="I741" i="1"/>
  <c r="J741" i="1"/>
  <c r="I742" i="1"/>
  <c r="J742" i="1"/>
  <c r="I743" i="1"/>
  <c r="J743" i="1"/>
  <c r="I744" i="1"/>
  <c r="J744" i="1"/>
  <c r="I745" i="1"/>
  <c r="J745" i="1"/>
  <c r="I746" i="1"/>
  <c r="J746" i="1"/>
  <c r="I747" i="1"/>
  <c r="J747" i="1"/>
  <c r="I748" i="1"/>
  <c r="J748" i="1"/>
  <c r="I749" i="1"/>
  <c r="J749" i="1"/>
  <c r="I750" i="1"/>
  <c r="J750" i="1"/>
  <c r="I751" i="1"/>
  <c r="J751" i="1"/>
  <c r="I752" i="1"/>
  <c r="J752" i="1"/>
  <c r="I753" i="1"/>
  <c r="J753" i="1"/>
  <c r="I754" i="1"/>
  <c r="J754" i="1"/>
  <c r="I755" i="1"/>
  <c r="J755" i="1"/>
  <c r="I756" i="1"/>
  <c r="J756" i="1"/>
  <c r="I757" i="1"/>
  <c r="J757" i="1"/>
  <c r="I758" i="1"/>
  <c r="J758" i="1"/>
  <c r="I759" i="1"/>
  <c r="J759" i="1"/>
  <c r="I760" i="1"/>
  <c r="J760" i="1"/>
  <c r="I761" i="1"/>
  <c r="J761" i="1"/>
  <c r="I762" i="1"/>
  <c r="J762" i="1"/>
  <c r="I763" i="1"/>
  <c r="J763" i="1"/>
  <c r="I764" i="1"/>
  <c r="J764" i="1"/>
  <c r="I765" i="1"/>
  <c r="J765" i="1"/>
  <c r="I766" i="1"/>
  <c r="J766" i="1"/>
  <c r="I767" i="1"/>
  <c r="J767" i="1"/>
  <c r="I768" i="1"/>
  <c r="J768" i="1"/>
  <c r="I769" i="1"/>
  <c r="J769" i="1"/>
  <c r="I770" i="1"/>
  <c r="J770" i="1"/>
  <c r="I771" i="1"/>
  <c r="J771" i="1"/>
  <c r="I772" i="1"/>
  <c r="J772" i="1"/>
  <c r="I773" i="1"/>
  <c r="J773" i="1"/>
  <c r="I774" i="1"/>
  <c r="J774" i="1"/>
  <c r="I775" i="1"/>
  <c r="J775" i="1"/>
  <c r="I776" i="1"/>
  <c r="J776" i="1"/>
  <c r="I777" i="1"/>
  <c r="J777" i="1"/>
  <c r="I778" i="1"/>
  <c r="J778" i="1"/>
  <c r="I779" i="1"/>
  <c r="J779" i="1"/>
  <c r="I780" i="1"/>
  <c r="J780" i="1"/>
  <c r="I781" i="1"/>
  <c r="J781" i="1"/>
  <c r="I782" i="1"/>
  <c r="J782" i="1"/>
  <c r="I783" i="1"/>
  <c r="J783" i="1"/>
  <c r="I784" i="1"/>
  <c r="J784" i="1"/>
  <c r="I785" i="1"/>
  <c r="J785" i="1"/>
  <c r="I786" i="1"/>
  <c r="J786" i="1"/>
  <c r="I787" i="1"/>
  <c r="J787" i="1"/>
  <c r="I788" i="1"/>
  <c r="J788" i="1"/>
  <c r="I789" i="1"/>
  <c r="J789" i="1"/>
  <c r="I790" i="1"/>
  <c r="J790" i="1"/>
  <c r="I791" i="1"/>
  <c r="J791" i="1"/>
  <c r="I792" i="1"/>
  <c r="J792" i="1"/>
  <c r="I793" i="1"/>
  <c r="J793" i="1"/>
  <c r="I794" i="1"/>
  <c r="J794" i="1"/>
  <c r="I795" i="1"/>
  <c r="J795" i="1"/>
  <c r="I796" i="1"/>
  <c r="J796" i="1"/>
  <c r="I797" i="1"/>
  <c r="J797" i="1"/>
  <c r="I798" i="1"/>
  <c r="J798" i="1"/>
  <c r="I799" i="1"/>
  <c r="J799" i="1"/>
  <c r="I800" i="1"/>
  <c r="J800" i="1"/>
  <c r="I801" i="1"/>
  <c r="J801" i="1"/>
  <c r="I802" i="1"/>
  <c r="J802" i="1"/>
  <c r="I803" i="1"/>
  <c r="J803" i="1"/>
  <c r="I804" i="1"/>
  <c r="J804" i="1"/>
  <c r="I805" i="1"/>
  <c r="J805" i="1"/>
  <c r="I806" i="1"/>
  <c r="J806" i="1"/>
  <c r="I807" i="1"/>
  <c r="J807" i="1"/>
  <c r="I808" i="1"/>
  <c r="J808" i="1"/>
  <c r="I809" i="1"/>
  <c r="J809" i="1"/>
  <c r="I810" i="1"/>
  <c r="J810" i="1"/>
  <c r="I811" i="1"/>
  <c r="J811" i="1"/>
  <c r="I812" i="1"/>
  <c r="J812" i="1"/>
  <c r="I813" i="1"/>
  <c r="J813" i="1"/>
  <c r="I814" i="1"/>
  <c r="J814" i="1"/>
  <c r="I815" i="1"/>
  <c r="J815" i="1"/>
  <c r="I816" i="1"/>
  <c r="J816" i="1"/>
  <c r="I817" i="1"/>
  <c r="J817" i="1"/>
  <c r="I818" i="1"/>
  <c r="J818" i="1"/>
  <c r="I819" i="1"/>
  <c r="J819" i="1"/>
  <c r="I820" i="1"/>
  <c r="J820" i="1"/>
  <c r="I821" i="1"/>
  <c r="J821" i="1"/>
  <c r="I822" i="1"/>
  <c r="J822" i="1"/>
  <c r="I823" i="1"/>
  <c r="J823" i="1"/>
  <c r="I824" i="1"/>
  <c r="J824" i="1"/>
  <c r="I825" i="1"/>
  <c r="J825" i="1"/>
  <c r="I826" i="1"/>
  <c r="J826" i="1"/>
  <c r="I827" i="1"/>
  <c r="J827" i="1"/>
  <c r="I828" i="1"/>
  <c r="J828" i="1"/>
  <c r="I829" i="1"/>
  <c r="J829" i="1"/>
  <c r="I830" i="1"/>
  <c r="J830" i="1"/>
  <c r="I831" i="1"/>
  <c r="J831" i="1"/>
  <c r="I832" i="1"/>
  <c r="J832" i="1"/>
  <c r="I833" i="1"/>
  <c r="J833" i="1"/>
  <c r="I834" i="1"/>
  <c r="J834" i="1"/>
  <c r="I835" i="1"/>
  <c r="J835" i="1"/>
  <c r="I836" i="1"/>
  <c r="J836" i="1"/>
  <c r="I837" i="1"/>
  <c r="J837" i="1"/>
  <c r="I838" i="1"/>
  <c r="J838" i="1"/>
  <c r="I839" i="1"/>
  <c r="J839" i="1"/>
  <c r="I840" i="1"/>
  <c r="J840" i="1"/>
  <c r="I841" i="1"/>
  <c r="J841" i="1"/>
  <c r="I842" i="1"/>
  <c r="J842" i="1"/>
  <c r="I843" i="1"/>
  <c r="J843" i="1"/>
  <c r="I844" i="1"/>
  <c r="J844" i="1"/>
  <c r="I845" i="1"/>
  <c r="J845" i="1"/>
  <c r="I846" i="1"/>
  <c r="J846" i="1"/>
  <c r="I847" i="1"/>
  <c r="J847" i="1"/>
  <c r="I848" i="1"/>
  <c r="J848" i="1"/>
  <c r="I849" i="1"/>
  <c r="J849" i="1"/>
  <c r="I850" i="1"/>
  <c r="J850" i="1"/>
  <c r="I851" i="1"/>
  <c r="J851" i="1"/>
  <c r="I852" i="1"/>
  <c r="J852" i="1"/>
  <c r="I853" i="1"/>
  <c r="J853" i="1"/>
  <c r="I854" i="1"/>
  <c r="J854" i="1"/>
  <c r="I855" i="1"/>
  <c r="J855" i="1"/>
  <c r="I856" i="1"/>
  <c r="J856" i="1"/>
  <c r="I857" i="1"/>
  <c r="J857" i="1"/>
  <c r="I858" i="1"/>
  <c r="J858" i="1"/>
  <c r="I859" i="1"/>
  <c r="J859" i="1"/>
  <c r="I860" i="1"/>
  <c r="J860" i="1"/>
  <c r="I861" i="1"/>
  <c r="J861" i="1"/>
  <c r="I862" i="1"/>
  <c r="J862" i="1"/>
  <c r="I863" i="1"/>
  <c r="J863" i="1"/>
  <c r="I864" i="1"/>
  <c r="J864" i="1"/>
  <c r="I865" i="1"/>
  <c r="J865" i="1"/>
  <c r="I866" i="1"/>
  <c r="J866" i="1"/>
  <c r="I867" i="1"/>
  <c r="J867" i="1"/>
  <c r="I868" i="1"/>
  <c r="J868" i="1"/>
  <c r="I869" i="1"/>
  <c r="J869" i="1"/>
  <c r="I870" i="1"/>
  <c r="J870" i="1"/>
  <c r="I871" i="1"/>
  <c r="J871" i="1"/>
  <c r="I872" i="1"/>
  <c r="J872" i="1"/>
  <c r="I873" i="1"/>
  <c r="J873" i="1"/>
  <c r="I874" i="1"/>
  <c r="J874" i="1"/>
  <c r="I875" i="1"/>
  <c r="J875" i="1"/>
  <c r="I876" i="1"/>
  <c r="J876" i="1"/>
  <c r="I877" i="1"/>
  <c r="J877" i="1"/>
  <c r="I878" i="1"/>
  <c r="J878" i="1"/>
  <c r="I879" i="1"/>
  <c r="J879" i="1"/>
  <c r="I880" i="1"/>
  <c r="J880" i="1"/>
  <c r="I881" i="1"/>
  <c r="J881" i="1"/>
  <c r="I882" i="1"/>
  <c r="J882" i="1"/>
  <c r="I883" i="1"/>
  <c r="J883" i="1"/>
  <c r="I884" i="1"/>
  <c r="J884" i="1"/>
  <c r="I885" i="1"/>
  <c r="J885" i="1"/>
  <c r="I886" i="1"/>
  <c r="J886" i="1"/>
  <c r="I887" i="1"/>
  <c r="J887" i="1"/>
  <c r="I888" i="1"/>
  <c r="J888" i="1"/>
  <c r="I889" i="1"/>
  <c r="J889" i="1"/>
  <c r="I890" i="1"/>
  <c r="J890" i="1"/>
  <c r="I891" i="1"/>
  <c r="J891" i="1"/>
  <c r="I892" i="1"/>
  <c r="J892" i="1"/>
  <c r="I893" i="1"/>
  <c r="J893" i="1"/>
  <c r="I894" i="1"/>
  <c r="J894" i="1"/>
  <c r="I895" i="1"/>
  <c r="J895" i="1"/>
  <c r="I896" i="1"/>
  <c r="J896" i="1"/>
  <c r="I897" i="1"/>
  <c r="J897" i="1"/>
  <c r="I898" i="1"/>
  <c r="J898" i="1"/>
  <c r="I899" i="1"/>
  <c r="J899" i="1"/>
  <c r="I900" i="1"/>
  <c r="J900" i="1"/>
  <c r="I901" i="1"/>
  <c r="J901" i="1"/>
  <c r="I902" i="1"/>
  <c r="J902" i="1"/>
  <c r="I903" i="1"/>
  <c r="J903" i="1"/>
  <c r="I904" i="1"/>
  <c r="J904" i="1"/>
  <c r="I905" i="1"/>
  <c r="J905" i="1"/>
  <c r="I906" i="1"/>
  <c r="J906" i="1"/>
  <c r="I907" i="1"/>
  <c r="J907" i="1"/>
  <c r="I908" i="1"/>
  <c r="J908" i="1"/>
  <c r="I909" i="1"/>
  <c r="J909" i="1"/>
  <c r="I910" i="1"/>
  <c r="J910" i="1"/>
  <c r="I911" i="1"/>
  <c r="J911" i="1"/>
  <c r="I912" i="1"/>
  <c r="J912" i="1"/>
  <c r="I913" i="1"/>
  <c r="J913" i="1"/>
  <c r="I914" i="1"/>
  <c r="J914" i="1"/>
  <c r="I915" i="1"/>
  <c r="J915" i="1"/>
  <c r="I916" i="1"/>
  <c r="J916" i="1"/>
  <c r="I917" i="1"/>
  <c r="J917" i="1"/>
  <c r="I918" i="1"/>
  <c r="J918" i="1"/>
  <c r="I919" i="1"/>
  <c r="J919" i="1"/>
  <c r="I920" i="1"/>
  <c r="J920" i="1"/>
  <c r="I921" i="1"/>
  <c r="J921" i="1"/>
  <c r="I922" i="1"/>
  <c r="J922" i="1"/>
  <c r="I923" i="1"/>
  <c r="J923" i="1"/>
  <c r="I924" i="1"/>
  <c r="J924" i="1"/>
  <c r="I925" i="1"/>
  <c r="J925" i="1"/>
  <c r="I926" i="1"/>
  <c r="J926" i="1"/>
  <c r="I927" i="1"/>
  <c r="J927" i="1"/>
  <c r="I928" i="1"/>
  <c r="J928" i="1"/>
  <c r="I929" i="1"/>
  <c r="J929" i="1"/>
  <c r="I930" i="1"/>
  <c r="J930" i="1"/>
  <c r="I931" i="1"/>
  <c r="J931" i="1"/>
  <c r="I932" i="1"/>
  <c r="J932" i="1"/>
  <c r="I933" i="1"/>
  <c r="J933" i="1"/>
  <c r="I934" i="1"/>
  <c r="J934" i="1"/>
  <c r="I935" i="1"/>
  <c r="J935" i="1"/>
  <c r="I936" i="1"/>
  <c r="J936" i="1"/>
  <c r="I937" i="1"/>
  <c r="J937" i="1"/>
  <c r="I938" i="1"/>
  <c r="J938" i="1"/>
  <c r="I939" i="1"/>
  <c r="J939" i="1"/>
  <c r="I940" i="1"/>
  <c r="J940" i="1"/>
  <c r="I941" i="1"/>
  <c r="J941" i="1"/>
  <c r="I942" i="1"/>
  <c r="J942" i="1"/>
  <c r="I943" i="1"/>
  <c r="J943" i="1"/>
  <c r="I944" i="1"/>
  <c r="J944" i="1"/>
  <c r="I945" i="1"/>
  <c r="J945" i="1"/>
  <c r="I946" i="1"/>
  <c r="J946" i="1"/>
  <c r="I947" i="1"/>
  <c r="J947" i="1"/>
  <c r="I948" i="1"/>
  <c r="J948" i="1"/>
  <c r="I949" i="1"/>
  <c r="J949" i="1"/>
  <c r="I950" i="1"/>
  <c r="J950" i="1"/>
  <c r="I951" i="1"/>
  <c r="J951" i="1"/>
  <c r="I952" i="1"/>
  <c r="J952" i="1"/>
  <c r="L952" i="1" l="1"/>
  <c r="L951" i="1"/>
  <c r="L950" i="1"/>
  <c r="L949" i="1"/>
  <c r="L948" i="1"/>
  <c r="L947" i="1"/>
  <c r="L946" i="1"/>
  <c r="L945" i="1"/>
  <c r="L944" i="1"/>
  <c r="L943" i="1"/>
  <c r="L942" i="1"/>
  <c r="L941" i="1"/>
  <c r="L940" i="1"/>
  <c r="L939" i="1"/>
  <c r="L938" i="1"/>
  <c r="L937" i="1"/>
  <c r="L936" i="1"/>
  <c r="L935" i="1"/>
  <c r="L934" i="1"/>
  <c r="L933" i="1"/>
  <c r="L932" i="1"/>
  <c r="L931" i="1"/>
  <c r="L930" i="1"/>
  <c r="L929" i="1"/>
  <c r="L928" i="1"/>
  <c r="L927" i="1"/>
  <c r="L926" i="1"/>
  <c r="L925" i="1"/>
  <c r="L924" i="1"/>
  <c r="L923" i="1"/>
  <c r="L922" i="1"/>
  <c r="L921" i="1"/>
  <c r="L920" i="1"/>
  <c r="L919" i="1"/>
  <c r="L918" i="1"/>
  <c r="L917" i="1"/>
  <c r="L916" i="1"/>
  <c r="L915" i="1"/>
  <c r="L914" i="1"/>
  <c r="L913" i="1"/>
  <c r="L912" i="1"/>
  <c r="L911" i="1"/>
  <c r="L910" i="1"/>
  <c r="L909" i="1"/>
  <c r="L908" i="1"/>
  <c r="L907" i="1"/>
  <c r="L906" i="1"/>
  <c r="L905" i="1"/>
  <c r="L904" i="1"/>
  <c r="L903" i="1"/>
  <c r="L902" i="1"/>
  <c r="L901" i="1"/>
  <c r="L900" i="1"/>
  <c r="L899" i="1"/>
  <c r="L898" i="1"/>
  <c r="L897" i="1"/>
  <c r="L896" i="1"/>
  <c r="L895" i="1"/>
  <c r="L894" i="1"/>
  <c r="L893" i="1"/>
  <c r="L892" i="1"/>
  <c r="L891" i="1"/>
  <c r="L890" i="1"/>
  <c r="L889" i="1"/>
  <c r="L888" i="1"/>
  <c r="L887" i="1"/>
  <c r="L886" i="1"/>
  <c r="L885" i="1"/>
  <c r="L884" i="1"/>
  <c r="L883" i="1"/>
  <c r="L882" i="1"/>
  <c r="L881" i="1"/>
  <c r="L880" i="1"/>
  <c r="L879" i="1"/>
  <c r="L878" i="1"/>
  <c r="L877" i="1"/>
  <c r="L876" i="1"/>
  <c r="L875" i="1"/>
  <c r="L874" i="1"/>
  <c r="L873" i="1"/>
  <c r="L872" i="1"/>
  <c r="L871" i="1"/>
  <c r="L870" i="1"/>
  <c r="L869" i="1"/>
  <c r="L868" i="1"/>
  <c r="L867" i="1"/>
  <c r="L866" i="1"/>
  <c r="L865" i="1"/>
  <c r="L864" i="1"/>
  <c r="L863" i="1"/>
  <c r="L862" i="1"/>
  <c r="L861" i="1"/>
  <c r="L860" i="1"/>
  <c r="L859" i="1"/>
  <c r="L858" i="1"/>
  <c r="L857" i="1"/>
  <c r="L856" i="1"/>
  <c r="L855" i="1"/>
  <c r="L854" i="1"/>
  <c r="L853" i="1"/>
  <c r="L852" i="1"/>
  <c r="L851" i="1"/>
  <c r="L850" i="1"/>
  <c r="L849" i="1"/>
  <c r="L848" i="1"/>
  <c r="L847" i="1"/>
  <c r="L846" i="1"/>
  <c r="L845" i="1"/>
  <c r="L844" i="1"/>
  <c r="L843" i="1"/>
  <c r="L842" i="1"/>
  <c r="L841" i="1"/>
  <c r="L840" i="1"/>
  <c r="L839" i="1"/>
  <c r="L838" i="1"/>
  <c r="L837" i="1"/>
  <c r="L836" i="1"/>
  <c r="L835" i="1"/>
  <c r="L834" i="1"/>
  <c r="L833" i="1"/>
  <c r="L832" i="1"/>
  <c r="L831" i="1"/>
  <c r="L830" i="1"/>
  <c r="L829" i="1"/>
  <c r="L828" i="1"/>
  <c r="L827" i="1"/>
  <c r="L826" i="1"/>
  <c r="L825" i="1"/>
  <c r="L824" i="1"/>
  <c r="L823" i="1"/>
  <c r="L822" i="1"/>
  <c r="L821" i="1"/>
  <c r="L820" i="1"/>
  <c r="L819" i="1"/>
  <c r="L818" i="1"/>
  <c r="L817" i="1"/>
  <c r="L816" i="1"/>
  <c r="L815" i="1"/>
  <c r="L814" i="1"/>
  <c r="L813" i="1"/>
  <c r="L812" i="1"/>
  <c r="L811" i="1"/>
  <c r="L810" i="1"/>
  <c r="L809" i="1"/>
  <c r="L808" i="1"/>
  <c r="L807" i="1"/>
  <c r="L806" i="1"/>
  <c r="L805" i="1"/>
  <c r="L804" i="1"/>
  <c r="L803" i="1"/>
  <c r="L802" i="1"/>
  <c r="L801" i="1"/>
  <c r="L800" i="1"/>
  <c r="L799" i="1"/>
  <c r="L798" i="1"/>
  <c r="L797" i="1"/>
  <c r="L796" i="1"/>
  <c r="L795" i="1"/>
  <c r="L794" i="1"/>
  <c r="L793" i="1"/>
  <c r="L792" i="1"/>
  <c r="L791" i="1"/>
  <c r="L790" i="1"/>
  <c r="L789" i="1"/>
  <c r="L788" i="1"/>
  <c r="L787" i="1"/>
  <c r="L786" i="1"/>
  <c r="L785" i="1"/>
  <c r="L784" i="1"/>
  <c r="L783" i="1"/>
  <c r="L782" i="1"/>
  <c r="L781" i="1"/>
  <c r="L780" i="1"/>
  <c r="L779" i="1"/>
  <c r="L778" i="1"/>
  <c r="L777" i="1"/>
  <c r="L776" i="1"/>
  <c r="L775" i="1"/>
  <c r="L774" i="1"/>
  <c r="L773" i="1"/>
  <c r="L772" i="1"/>
  <c r="L771" i="1"/>
  <c r="L770" i="1"/>
  <c r="L769" i="1"/>
  <c r="L768" i="1"/>
  <c r="L767" i="1"/>
  <c r="L766" i="1"/>
  <c r="L765" i="1"/>
  <c r="L764" i="1"/>
  <c r="L763" i="1"/>
  <c r="L762" i="1"/>
  <c r="L761" i="1"/>
  <c r="L760" i="1"/>
  <c r="L759" i="1"/>
  <c r="L758" i="1"/>
  <c r="L757" i="1"/>
  <c r="L756" i="1"/>
  <c r="L755" i="1"/>
  <c r="L754" i="1"/>
  <c r="L753" i="1"/>
  <c r="L752" i="1"/>
  <c r="L751" i="1"/>
  <c r="L750" i="1"/>
  <c r="L749" i="1"/>
  <c r="L748" i="1"/>
  <c r="L747" i="1"/>
  <c r="L746" i="1"/>
  <c r="L745" i="1"/>
  <c r="L744" i="1"/>
  <c r="L743" i="1"/>
  <c r="L742" i="1"/>
  <c r="L741" i="1"/>
  <c r="L740" i="1"/>
  <c r="L739" i="1"/>
  <c r="L738" i="1"/>
  <c r="L737" i="1"/>
  <c r="L736" i="1"/>
  <c r="L735" i="1"/>
  <c r="L734" i="1"/>
  <c r="L733" i="1"/>
  <c r="L732" i="1"/>
  <c r="L731" i="1"/>
  <c r="L730" i="1"/>
  <c r="L729" i="1"/>
  <c r="L728" i="1"/>
  <c r="L727" i="1"/>
  <c r="L726" i="1"/>
  <c r="L725" i="1"/>
  <c r="L724" i="1"/>
  <c r="L723" i="1"/>
  <c r="L722" i="1"/>
  <c r="L721" i="1"/>
  <c r="L720" i="1"/>
  <c r="L719" i="1"/>
  <c r="L718" i="1"/>
  <c r="L717" i="1"/>
  <c r="L716" i="1"/>
  <c r="L715" i="1"/>
  <c r="L714" i="1"/>
  <c r="L713" i="1"/>
  <c r="L712" i="1"/>
  <c r="L711" i="1"/>
  <c r="L710" i="1"/>
  <c r="L709" i="1"/>
  <c r="L708" i="1"/>
  <c r="L707" i="1"/>
  <c r="L706" i="1"/>
  <c r="L705" i="1"/>
  <c r="L704" i="1"/>
  <c r="L703" i="1"/>
  <c r="L702" i="1"/>
  <c r="L701" i="1"/>
  <c r="L700" i="1"/>
  <c r="L699" i="1"/>
  <c r="L698" i="1"/>
  <c r="L697" i="1"/>
  <c r="L696" i="1"/>
  <c r="L695" i="1"/>
  <c r="L694" i="1"/>
  <c r="L693" i="1"/>
  <c r="L692" i="1"/>
  <c r="L691" i="1"/>
  <c r="L690" i="1"/>
  <c r="L689" i="1"/>
  <c r="L688" i="1"/>
  <c r="L687" i="1"/>
  <c r="L686" i="1"/>
  <c r="L685" i="1"/>
  <c r="L684" i="1"/>
  <c r="L683" i="1"/>
  <c r="L682" i="1"/>
  <c r="L681" i="1"/>
  <c r="L680" i="1"/>
  <c r="L679" i="1"/>
  <c r="L678" i="1"/>
  <c r="L677" i="1"/>
  <c r="L676" i="1"/>
  <c r="L675" i="1"/>
  <c r="L674" i="1"/>
  <c r="L673" i="1"/>
  <c r="L672" i="1"/>
  <c r="L671" i="1"/>
  <c r="L670" i="1"/>
  <c r="L669" i="1"/>
  <c r="L668" i="1"/>
  <c r="L667" i="1"/>
  <c r="L666" i="1"/>
  <c r="L665" i="1"/>
  <c r="L664" i="1"/>
  <c r="L663" i="1"/>
  <c r="L662" i="1"/>
  <c r="L661" i="1"/>
  <c r="L660" i="1"/>
  <c r="L659" i="1"/>
  <c r="L658" i="1"/>
  <c r="L657" i="1"/>
  <c r="L656" i="1"/>
  <c r="L655" i="1"/>
  <c r="L654" i="1"/>
  <c r="L653" i="1"/>
  <c r="L652" i="1"/>
  <c r="L651" i="1"/>
  <c r="L650" i="1"/>
  <c r="L649" i="1"/>
  <c r="L648" i="1"/>
  <c r="L647" i="1"/>
  <c r="L646" i="1"/>
  <c r="L645" i="1"/>
  <c r="L644" i="1"/>
  <c r="L643" i="1"/>
  <c r="L642" i="1"/>
  <c r="L641" i="1"/>
  <c r="L640" i="1"/>
  <c r="L639" i="1"/>
  <c r="L638" i="1"/>
  <c r="L637" i="1"/>
  <c r="L636" i="1"/>
  <c r="L635" i="1"/>
  <c r="L634" i="1"/>
  <c r="L633" i="1"/>
  <c r="L632" i="1"/>
  <c r="L631" i="1"/>
  <c r="L630" i="1"/>
  <c r="L629" i="1"/>
  <c r="L628" i="1"/>
  <c r="L627" i="1"/>
  <c r="L626" i="1"/>
  <c r="L625" i="1"/>
  <c r="L624" i="1"/>
  <c r="L623" i="1"/>
  <c r="L622" i="1"/>
  <c r="L621" i="1"/>
  <c r="L620" i="1"/>
  <c r="L619" i="1"/>
  <c r="L618" i="1"/>
  <c r="L617" i="1"/>
  <c r="L616" i="1"/>
  <c r="L615" i="1"/>
  <c r="L614" i="1"/>
  <c r="L613" i="1"/>
  <c r="L612" i="1"/>
  <c r="L611" i="1"/>
  <c r="L610" i="1"/>
  <c r="L609" i="1"/>
  <c r="L608" i="1"/>
  <c r="L607" i="1"/>
  <c r="L606" i="1"/>
  <c r="L605" i="1"/>
  <c r="L604" i="1"/>
  <c r="L603" i="1"/>
  <c r="L602" i="1"/>
  <c r="L601" i="1"/>
  <c r="L600" i="1"/>
  <c r="L599" i="1"/>
  <c r="L598" i="1"/>
  <c r="L597" i="1"/>
  <c r="L596" i="1"/>
  <c r="L595" i="1"/>
  <c r="L594" i="1"/>
  <c r="L593" i="1"/>
  <c r="L592" i="1"/>
  <c r="L591" i="1"/>
  <c r="L590" i="1"/>
  <c r="L589" i="1"/>
  <c r="L588" i="1"/>
  <c r="L587" i="1"/>
  <c r="L586" i="1"/>
  <c r="L585" i="1"/>
  <c r="L584" i="1"/>
  <c r="L583" i="1"/>
  <c r="L582" i="1"/>
  <c r="L581" i="1"/>
  <c r="L580" i="1"/>
  <c r="L579" i="1"/>
  <c r="L578" i="1"/>
  <c r="L577" i="1"/>
  <c r="L576" i="1"/>
  <c r="L575" i="1"/>
  <c r="L574" i="1"/>
  <c r="L573" i="1"/>
  <c r="L572" i="1"/>
  <c r="L571" i="1"/>
  <c r="L570" i="1"/>
  <c r="L569" i="1"/>
  <c r="L568" i="1"/>
  <c r="L567" i="1"/>
  <c r="L566" i="1"/>
  <c r="L565" i="1"/>
  <c r="L564" i="1"/>
  <c r="L563" i="1"/>
  <c r="L562" i="1"/>
  <c r="L561" i="1"/>
  <c r="L560" i="1"/>
  <c r="L559" i="1"/>
  <c r="L558" i="1"/>
  <c r="L557" i="1"/>
  <c r="L556" i="1"/>
  <c r="L555" i="1"/>
  <c r="L554" i="1"/>
  <c r="L553" i="1"/>
  <c r="L552" i="1"/>
  <c r="L551" i="1"/>
  <c r="L550" i="1"/>
  <c r="L549" i="1"/>
  <c r="L548" i="1"/>
  <c r="L547" i="1"/>
  <c r="L546" i="1"/>
  <c r="L545" i="1"/>
  <c r="L544" i="1"/>
  <c r="L543" i="1"/>
  <c r="L542" i="1"/>
  <c r="L541" i="1"/>
  <c r="L540" i="1"/>
  <c r="L539" i="1"/>
  <c r="L538" i="1"/>
  <c r="L537" i="1"/>
  <c r="L536" i="1"/>
  <c r="L535" i="1"/>
  <c r="L534" i="1"/>
  <c r="L533" i="1"/>
  <c r="L532" i="1"/>
  <c r="L531" i="1"/>
  <c r="L530" i="1"/>
  <c r="L529" i="1"/>
  <c r="L528" i="1"/>
  <c r="L527" i="1"/>
  <c r="L526" i="1"/>
  <c r="L525" i="1"/>
  <c r="L524" i="1"/>
  <c r="L523" i="1"/>
  <c r="L522" i="1"/>
  <c r="L521" i="1"/>
  <c r="L520" i="1"/>
  <c r="L519" i="1"/>
  <c r="L518" i="1"/>
  <c r="L517" i="1"/>
  <c r="L516" i="1"/>
  <c r="L515" i="1"/>
  <c r="L514" i="1"/>
  <c r="L513" i="1"/>
  <c r="L512" i="1"/>
  <c r="L511" i="1"/>
  <c r="L510" i="1"/>
  <c r="L509" i="1"/>
  <c r="L508" i="1"/>
  <c r="L507" i="1"/>
  <c r="L506" i="1"/>
  <c r="L505" i="1"/>
  <c r="L504" i="1"/>
  <c r="L503" i="1"/>
  <c r="L502" i="1"/>
  <c r="L501" i="1"/>
  <c r="L500" i="1"/>
  <c r="L499" i="1"/>
  <c r="L498" i="1"/>
  <c r="L497" i="1"/>
  <c r="L496" i="1"/>
  <c r="L495" i="1"/>
  <c r="L494" i="1"/>
  <c r="L493" i="1"/>
  <c r="L492" i="1"/>
  <c r="L491" i="1"/>
  <c r="L490" i="1"/>
  <c r="L489" i="1"/>
  <c r="L488" i="1"/>
  <c r="L487" i="1"/>
  <c r="L486" i="1"/>
  <c r="L485" i="1"/>
  <c r="L484" i="1"/>
  <c r="L483" i="1"/>
  <c r="L482" i="1"/>
  <c r="L481" i="1"/>
  <c r="L480" i="1"/>
  <c r="L479" i="1"/>
  <c r="L478" i="1"/>
  <c r="L477" i="1"/>
  <c r="L476" i="1"/>
  <c r="L475" i="1"/>
  <c r="L474" i="1"/>
  <c r="L473" i="1"/>
  <c r="L472" i="1"/>
  <c r="L471" i="1"/>
  <c r="L470" i="1"/>
  <c r="L469" i="1"/>
  <c r="L468" i="1"/>
  <c r="L467" i="1"/>
  <c r="L466" i="1"/>
  <c r="L465" i="1"/>
  <c r="L464" i="1"/>
  <c r="L463" i="1"/>
  <c r="L462" i="1"/>
  <c r="L461" i="1"/>
  <c r="L460" i="1"/>
  <c r="L459" i="1"/>
  <c r="L458" i="1"/>
  <c r="L457" i="1"/>
  <c r="L456" i="1"/>
  <c r="L455" i="1"/>
  <c r="L454" i="1"/>
  <c r="L453" i="1"/>
  <c r="L452" i="1"/>
  <c r="L451" i="1"/>
  <c r="L450" i="1"/>
  <c r="L449" i="1"/>
  <c r="L448" i="1"/>
  <c r="L447" i="1"/>
  <c r="L446" i="1"/>
  <c r="L445" i="1"/>
  <c r="L444" i="1"/>
  <c r="L443" i="1"/>
  <c r="L442" i="1"/>
  <c r="L441" i="1"/>
  <c r="L440" i="1"/>
  <c r="L439" i="1"/>
  <c r="L438" i="1"/>
  <c r="L437" i="1"/>
  <c r="L436" i="1"/>
  <c r="L435" i="1"/>
  <c r="L434" i="1"/>
  <c r="L433" i="1"/>
  <c r="L432" i="1"/>
  <c r="L431" i="1"/>
  <c r="L430" i="1"/>
  <c r="L429" i="1"/>
  <c r="L428" i="1"/>
  <c r="L427" i="1"/>
  <c r="L426" i="1"/>
  <c r="L425" i="1"/>
  <c r="L424" i="1"/>
  <c r="L423" i="1"/>
  <c r="L422" i="1"/>
  <c r="L421" i="1"/>
  <c r="L420" i="1"/>
  <c r="L419" i="1"/>
  <c r="L418" i="1"/>
  <c r="L417" i="1"/>
  <c r="L416" i="1"/>
  <c r="L415" i="1"/>
  <c r="L414" i="1"/>
  <c r="L413" i="1"/>
  <c r="L412" i="1"/>
  <c r="L411" i="1"/>
  <c r="L410" i="1"/>
  <c r="L409" i="1"/>
  <c r="L408" i="1"/>
  <c r="L407" i="1"/>
  <c r="L406" i="1"/>
  <c r="L405" i="1"/>
  <c r="L404" i="1"/>
  <c r="L403" i="1"/>
  <c r="L402" i="1"/>
  <c r="L401" i="1"/>
  <c r="L400" i="1"/>
  <c r="L399" i="1"/>
  <c r="L398" i="1"/>
  <c r="L397" i="1"/>
  <c r="L396" i="1"/>
  <c r="L395" i="1"/>
  <c r="L394" i="1"/>
  <c r="L393" i="1"/>
  <c r="L392" i="1"/>
  <c r="L391" i="1"/>
  <c r="L390" i="1"/>
  <c r="L389" i="1"/>
  <c r="L388" i="1"/>
  <c r="L387" i="1"/>
  <c r="L386" i="1"/>
  <c r="L385" i="1"/>
  <c r="L384" i="1"/>
  <c r="L383" i="1"/>
  <c r="L382" i="1"/>
  <c r="L381" i="1"/>
  <c r="L380" i="1"/>
  <c r="L379" i="1"/>
  <c r="L378" i="1"/>
  <c r="L377" i="1"/>
  <c r="L376" i="1"/>
  <c r="L375" i="1"/>
  <c r="L374" i="1"/>
  <c r="L373" i="1"/>
  <c r="L372" i="1"/>
  <c r="L371" i="1"/>
  <c r="L370" i="1"/>
  <c r="L369" i="1"/>
  <c r="L368" i="1"/>
  <c r="L367" i="1"/>
  <c r="L366" i="1"/>
  <c r="L365" i="1"/>
  <c r="L364" i="1"/>
  <c r="L363" i="1"/>
  <c r="L362" i="1"/>
  <c r="L361" i="1"/>
  <c r="L360" i="1"/>
  <c r="L359" i="1"/>
  <c r="L358" i="1"/>
  <c r="L357" i="1"/>
  <c r="L356" i="1"/>
  <c r="L355" i="1"/>
  <c r="L354" i="1"/>
  <c r="L353" i="1"/>
  <c r="L352" i="1"/>
  <c r="L351" i="1"/>
  <c r="L350" i="1"/>
  <c r="L349" i="1"/>
  <c r="L348" i="1"/>
  <c r="L347" i="1"/>
  <c r="L346" i="1"/>
  <c r="L345" i="1"/>
  <c r="L344" i="1"/>
  <c r="L343" i="1"/>
  <c r="L342" i="1"/>
  <c r="L341" i="1"/>
  <c r="L340" i="1"/>
  <c r="L339" i="1"/>
  <c r="L338" i="1"/>
  <c r="L337" i="1"/>
  <c r="L336" i="1"/>
  <c r="L335" i="1"/>
  <c r="L334" i="1"/>
  <c r="L333" i="1"/>
  <c r="L332" i="1"/>
  <c r="L331" i="1"/>
  <c r="L330" i="1"/>
  <c r="L329" i="1"/>
  <c r="L328" i="1"/>
  <c r="L327" i="1"/>
  <c r="L326" i="1"/>
  <c r="L325" i="1"/>
  <c r="L324" i="1"/>
  <c r="L323" i="1"/>
  <c r="L322" i="1"/>
  <c r="L321" i="1"/>
  <c r="L320" i="1"/>
  <c r="L319" i="1"/>
  <c r="L318" i="1"/>
  <c r="L317" i="1"/>
  <c r="L316" i="1"/>
  <c r="L315" i="1"/>
  <c r="L314" i="1"/>
  <c r="L313" i="1"/>
  <c r="L312" i="1"/>
  <c r="L311" i="1"/>
  <c r="L310" i="1"/>
  <c r="L309" i="1"/>
  <c r="L308" i="1"/>
  <c r="L307" i="1"/>
  <c r="L306" i="1"/>
  <c r="L305" i="1"/>
  <c r="L304" i="1"/>
  <c r="L303" i="1"/>
  <c r="L302" i="1"/>
  <c r="L301" i="1"/>
  <c r="L300" i="1"/>
  <c r="L299" i="1"/>
  <c r="L298" i="1"/>
  <c r="L297" i="1"/>
  <c r="L296" i="1"/>
  <c r="L295" i="1"/>
  <c r="L294" i="1"/>
  <c r="L293" i="1"/>
  <c r="L292" i="1"/>
  <c r="L291" i="1"/>
  <c r="L290" i="1"/>
  <c r="L289" i="1"/>
  <c r="L288" i="1"/>
  <c r="L287" i="1"/>
  <c r="L286" i="1"/>
  <c r="L285" i="1"/>
  <c r="L284" i="1"/>
  <c r="L283" i="1"/>
  <c r="L282" i="1"/>
  <c r="L281" i="1"/>
  <c r="L280" i="1"/>
  <c r="L279" i="1"/>
  <c r="L278" i="1"/>
  <c r="L277" i="1"/>
  <c r="L276" i="1"/>
  <c r="L275" i="1"/>
  <c r="L274" i="1"/>
  <c r="L273" i="1"/>
  <c r="L272" i="1"/>
  <c r="L271" i="1"/>
  <c r="L270" i="1"/>
  <c r="L269" i="1"/>
  <c r="L268" i="1"/>
  <c r="L267" i="1"/>
  <c r="L266" i="1"/>
  <c r="L265" i="1"/>
  <c r="L264" i="1"/>
  <c r="L263" i="1"/>
  <c r="L262" i="1"/>
  <c r="L261" i="1"/>
  <c r="L260" i="1"/>
  <c r="L259" i="1"/>
  <c r="L258" i="1"/>
  <c r="L257" i="1"/>
  <c r="L256" i="1"/>
  <c r="L255" i="1"/>
  <c r="L254" i="1"/>
  <c r="L253" i="1"/>
  <c r="L252" i="1"/>
  <c r="L251" i="1"/>
  <c r="L250" i="1"/>
  <c r="L249" i="1"/>
  <c r="L248" i="1"/>
  <c r="L247" i="1"/>
  <c r="L246" i="1"/>
  <c r="L245" i="1"/>
  <c r="L244" i="1"/>
  <c r="L243" i="1"/>
  <c r="L242" i="1"/>
  <c r="L241" i="1"/>
  <c r="L240" i="1"/>
  <c r="L239" i="1"/>
  <c r="L238" i="1"/>
  <c r="L237" i="1"/>
  <c r="L236" i="1"/>
  <c r="L235" i="1"/>
  <c r="L234" i="1"/>
  <c r="L233" i="1"/>
  <c r="L232" i="1"/>
  <c r="L231" i="1"/>
  <c r="L230" i="1"/>
  <c r="L229" i="1"/>
  <c r="L228" i="1"/>
  <c r="L227" i="1"/>
  <c r="L226" i="1"/>
  <c r="L225" i="1"/>
  <c r="L224" i="1"/>
  <c r="L223" i="1"/>
  <c r="L222" i="1"/>
  <c r="L221" i="1"/>
  <c r="L220" i="1"/>
  <c r="L219" i="1"/>
  <c r="L218" i="1"/>
  <c r="L217" i="1"/>
  <c r="L216" i="1"/>
  <c r="L215" i="1"/>
  <c r="L214" i="1"/>
  <c r="L213" i="1"/>
  <c r="L212" i="1"/>
  <c r="L211" i="1"/>
  <c r="L210" i="1"/>
  <c r="L209" i="1"/>
  <c r="L208" i="1"/>
  <c r="L207" i="1"/>
  <c r="L206" i="1"/>
  <c r="L205" i="1"/>
  <c r="L204" i="1"/>
  <c r="L203" i="1"/>
  <c r="L202" i="1"/>
  <c r="L201" i="1"/>
  <c r="L200" i="1"/>
  <c r="L199" i="1"/>
  <c r="L198" i="1"/>
  <c r="L197" i="1"/>
  <c r="L196" i="1"/>
  <c r="L195" i="1"/>
  <c r="L194" i="1"/>
  <c r="L193" i="1"/>
  <c r="L192" i="1"/>
  <c r="L191" i="1"/>
  <c r="L190" i="1"/>
  <c r="L189" i="1"/>
  <c r="L188" i="1"/>
  <c r="L187" i="1"/>
  <c r="L186" i="1"/>
  <c r="L185" i="1"/>
  <c r="L184" i="1"/>
  <c r="L183" i="1"/>
  <c r="L182" i="1"/>
  <c r="L181" i="1"/>
  <c r="L180" i="1"/>
  <c r="L179" i="1"/>
  <c r="L178" i="1"/>
  <c r="L177" i="1"/>
  <c r="L176" i="1"/>
  <c r="L175" i="1"/>
  <c r="L174" i="1"/>
  <c r="L173" i="1"/>
  <c r="L172" i="1"/>
  <c r="L171" i="1"/>
  <c r="L170" i="1"/>
  <c r="L169" i="1"/>
  <c r="L168" i="1"/>
  <c r="L167" i="1"/>
  <c r="L166" i="1"/>
  <c r="L165" i="1"/>
  <c r="L164" i="1"/>
  <c r="L163" i="1"/>
  <c r="L162" i="1"/>
  <c r="L161" i="1"/>
  <c r="L160" i="1"/>
  <c r="L159" i="1"/>
  <c r="L158" i="1"/>
  <c r="L157" i="1"/>
  <c r="L156" i="1"/>
  <c r="L155" i="1"/>
  <c r="L154" i="1"/>
  <c r="L153" i="1"/>
  <c r="L152" i="1"/>
  <c r="L151" i="1"/>
  <c r="L150" i="1"/>
  <c r="L149" i="1"/>
  <c r="L148" i="1"/>
  <c r="L147" i="1"/>
  <c r="L146" i="1"/>
  <c r="L145" i="1"/>
  <c r="L144" i="1"/>
  <c r="L143" i="1"/>
  <c r="L142" i="1"/>
  <c r="L141" i="1"/>
  <c r="L140" i="1"/>
  <c r="L139" i="1"/>
  <c r="L138" i="1"/>
  <c r="L137" i="1"/>
  <c r="L136" i="1"/>
  <c r="L135" i="1"/>
  <c r="L134" i="1"/>
  <c r="L133" i="1"/>
  <c r="L132" i="1"/>
  <c r="L131" i="1"/>
  <c r="L130" i="1"/>
  <c r="L129" i="1"/>
  <c r="L128" i="1"/>
  <c r="L127" i="1"/>
  <c r="L126" i="1"/>
  <c r="L125" i="1"/>
  <c r="L124" i="1"/>
  <c r="L123" i="1"/>
  <c r="L122" i="1"/>
  <c r="L121" i="1"/>
  <c r="L120" i="1"/>
  <c r="L119" i="1"/>
  <c r="L118" i="1"/>
  <c r="L117" i="1"/>
  <c r="L116" i="1"/>
  <c r="L115" i="1"/>
  <c r="L114" i="1"/>
  <c r="L113" i="1"/>
  <c r="L112" i="1"/>
  <c r="L111" i="1"/>
  <c r="L110" i="1"/>
  <c r="L109" i="1"/>
  <c r="L108" i="1"/>
  <c r="L107" i="1"/>
  <c r="L106" i="1"/>
  <c r="L105" i="1"/>
  <c r="L104" i="1"/>
  <c r="L103" i="1"/>
  <c r="L102" i="1"/>
  <c r="L101" i="1"/>
  <c r="L100" i="1"/>
  <c r="L99" i="1"/>
  <c r="L98" i="1"/>
  <c r="L97" i="1"/>
  <c r="L96" i="1"/>
  <c r="L95" i="1"/>
  <c r="L94" i="1"/>
  <c r="L93" i="1"/>
  <c r="L92" i="1"/>
  <c r="L91" i="1"/>
  <c r="L90" i="1"/>
  <c r="L89" i="1"/>
  <c r="L88" i="1"/>
  <c r="L87" i="1"/>
  <c r="L86" i="1"/>
  <c r="L85" i="1"/>
  <c r="L84" i="1"/>
  <c r="L83" i="1"/>
  <c r="L82" i="1"/>
  <c r="L81" i="1"/>
  <c r="L80" i="1"/>
  <c r="L79" i="1"/>
  <c r="L78" i="1"/>
  <c r="L77" i="1"/>
  <c r="L76" i="1"/>
  <c r="L75" i="1"/>
  <c r="L74" i="1"/>
  <c r="L73" i="1"/>
  <c r="L72" i="1"/>
  <c r="L71" i="1"/>
  <c r="L70" i="1"/>
  <c r="L69" i="1"/>
  <c r="L68" i="1"/>
  <c r="L67" i="1"/>
  <c r="L66" i="1"/>
  <c r="L65" i="1"/>
  <c r="L64" i="1"/>
  <c r="L63" i="1"/>
  <c r="L62" i="1"/>
  <c r="L61" i="1"/>
  <c r="L60" i="1"/>
  <c r="L59" i="1"/>
  <c r="L58" i="1"/>
  <c r="L57" i="1"/>
  <c r="L56" i="1"/>
  <c r="L55" i="1"/>
  <c r="L54" i="1"/>
  <c r="L53" i="1"/>
  <c r="L52" i="1"/>
  <c r="L51" i="1"/>
  <c r="L50" i="1"/>
  <c r="L49" i="1"/>
  <c r="L48" i="1"/>
  <c r="L47" i="1"/>
  <c r="L46" i="1"/>
  <c r="L45" i="1"/>
  <c r="L44" i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K13" i="1"/>
  <c r="K14" i="1" s="1"/>
  <c r="K15" i="1" s="1"/>
  <c r="K16" i="1" s="1"/>
  <c r="K17" i="1" s="1"/>
  <c r="K18" i="1" s="1"/>
  <c r="K19" i="1" s="1"/>
  <c r="K20" i="1" s="1"/>
  <c r="K21" i="1" s="1"/>
  <c r="K22" i="1" s="1"/>
  <c r="K23" i="1" s="1"/>
  <c r="K24" i="1" s="1"/>
  <c r="K25" i="1" s="1"/>
  <c r="K26" i="1" s="1"/>
  <c r="K27" i="1" s="1"/>
  <c r="K28" i="1" s="1"/>
  <c r="K29" i="1" s="1"/>
  <c r="K30" i="1" s="1"/>
  <c r="K31" i="1" s="1"/>
  <c r="K32" i="1" s="1"/>
  <c r="K33" i="1" s="1"/>
  <c r="K34" i="1" s="1"/>
  <c r="K35" i="1" s="1"/>
  <c r="K36" i="1" s="1"/>
  <c r="K37" i="1" s="1"/>
  <c r="K38" i="1" s="1"/>
  <c r="K39" i="1" s="1"/>
  <c r="K40" i="1" s="1"/>
  <c r="K41" i="1" s="1"/>
  <c r="K42" i="1" s="1"/>
  <c r="K43" i="1" s="1"/>
  <c r="K44" i="1" s="1"/>
  <c r="K45" i="1" s="1"/>
  <c r="K46" i="1" s="1"/>
  <c r="K47" i="1" s="1"/>
  <c r="K48" i="1" s="1"/>
  <c r="K49" i="1" s="1"/>
  <c r="K50" i="1" s="1"/>
  <c r="K51" i="1" s="1"/>
  <c r="K52" i="1" s="1"/>
  <c r="K53" i="1" s="1"/>
  <c r="K54" i="1" s="1"/>
  <c r="K55" i="1" s="1"/>
  <c r="K56" i="1" s="1"/>
  <c r="K57" i="1" s="1"/>
  <c r="K58" i="1" s="1"/>
  <c r="K59" i="1" s="1"/>
  <c r="K60" i="1" s="1"/>
  <c r="K61" i="1" s="1"/>
  <c r="K62" i="1" s="1"/>
  <c r="K63" i="1" s="1"/>
  <c r="K64" i="1" s="1"/>
  <c r="K65" i="1" s="1"/>
  <c r="K66" i="1" s="1"/>
  <c r="K67" i="1" s="1"/>
  <c r="K68" i="1" s="1"/>
  <c r="K69" i="1" s="1"/>
  <c r="K70" i="1" s="1"/>
  <c r="K71" i="1" s="1"/>
  <c r="K72" i="1" s="1"/>
  <c r="K73" i="1" s="1"/>
  <c r="K74" i="1" s="1"/>
  <c r="K75" i="1" s="1"/>
  <c r="K76" i="1" s="1"/>
  <c r="K77" i="1" s="1"/>
  <c r="K78" i="1" s="1"/>
  <c r="K79" i="1" s="1"/>
  <c r="K80" i="1" s="1"/>
  <c r="K81" i="1" s="1"/>
  <c r="K82" i="1" s="1"/>
  <c r="K83" i="1" s="1"/>
  <c r="K84" i="1" s="1"/>
  <c r="K85" i="1" s="1"/>
  <c r="K86" i="1" s="1"/>
  <c r="K87" i="1" s="1"/>
  <c r="K88" i="1" s="1"/>
  <c r="K89" i="1" s="1"/>
  <c r="K90" i="1" s="1"/>
  <c r="K91" i="1" s="1"/>
  <c r="K92" i="1" s="1"/>
  <c r="K93" i="1" s="1"/>
  <c r="K94" i="1" s="1"/>
  <c r="K95" i="1" s="1"/>
  <c r="K96" i="1" s="1"/>
  <c r="K97" i="1" s="1"/>
  <c r="K98" i="1" s="1"/>
  <c r="K99" i="1" s="1"/>
  <c r="K100" i="1" s="1"/>
  <c r="K101" i="1" s="1"/>
  <c r="K102" i="1" s="1"/>
  <c r="K103" i="1" s="1"/>
  <c r="K104" i="1" s="1"/>
  <c r="K105" i="1" s="1"/>
  <c r="K106" i="1" s="1"/>
  <c r="K107" i="1" s="1"/>
  <c r="K108" i="1" s="1"/>
  <c r="K109" i="1" s="1"/>
  <c r="K110" i="1" s="1"/>
  <c r="K111" i="1" s="1"/>
  <c r="K112" i="1" s="1"/>
  <c r="K113" i="1" s="1"/>
  <c r="K114" i="1" s="1"/>
  <c r="K115" i="1" s="1"/>
  <c r="K116" i="1" s="1"/>
  <c r="K117" i="1" s="1"/>
  <c r="K118" i="1" s="1"/>
  <c r="K119" i="1" s="1"/>
  <c r="K120" i="1" s="1"/>
  <c r="K121" i="1" s="1"/>
  <c r="K122" i="1" s="1"/>
  <c r="K123" i="1" s="1"/>
  <c r="K124" i="1" s="1"/>
  <c r="K125" i="1" s="1"/>
  <c r="K126" i="1" s="1"/>
  <c r="K127" i="1" s="1"/>
  <c r="K128" i="1" s="1"/>
  <c r="K129" i="1" s="1"/>
  <c r="K130" i="1" s="1"/>
  <c r="K131" i="1" s="1"/>
  <c r="K132" i="1" s="1"/>
  <c r="K133" i="1" s="1"/>
  <c r="K134" i="1" s="1"/>
  <c r="K135" i="1" s="1"/>
  <c r="K136" i="1" s="1"/>
  <c r="K137" i="1" s="1"/>
  <c r="K138" i="1" s="1"/>
  <c r="K139" i="1" s="1"/>
  <c r="K140" i="1" s="1"/>
  <c r="K141" i="1" s="1"/>
  <c r="K142" i="1" s="1"/>
  <c r="K143" i="1" s="1"/>
  <c r="K144" i="1" s="1"/>
  <c r="K145" i="1" s="1"/>
  <c r="K146" i="1" s="1"/>
  <c r="K147" i="1" s="1"/>
  <c r="K148" i="1" s="1"/>
  <c r="K149" i="1" s="1"/>
  <c r="K150" i="1" s="1"/>
  <c r="K151" i="1" s="1"/>
  <c r="K152" i="1" s="1"/>
  <c r="K153" i="1" s="1"/>
  <c r="K154" i="1" s="1"/>
  <c r="K155" i="1" s="1"/>
  <c r="K156" i="1" s="1"/>
  <c r="K157" i="1" s="1"/>
  <c r="K158" i="1" s="1"/>
  <c r="K159" i="1" s="1"/>
  <c r="K160" i="1" s="1"/>
  <c r="K161" i="1" s="1"/>
  <c r="K162" i="1" s="1"/>
  <c r="K163" i="1" s="1"/>
  <c r="K164" i="1" s="1"/>
  <c r="K165" i="1" s="1"/>
  <c r="K166" i="1" s="1"/>
  <c r="K167" i="1" s="1"/>
  <c r="K168" i="1" s="1"/>
  <c r="K169" i="1" s="1"/>
  <c r="K170" i="1" s="1"/>
  <c r="K171" i="1" s="1"/>
  <c r="K172" i="1" s="1"/>
  <c r="K173" i="1" s="1"/>
  <c r="K174" i="1" s="1"/>
  <c r="K175" i="1" s="1"/>
  <c r="K176" i="1" s="1"/>
  <c r="K177" i="1" s="1"/>
  <c r="K178" i="1" s="1"/>
  <c r="K179" i="1" s="1"/>
  <c r="K180" i="1" s="1"/>
  <c r="K181" i="1" s="1"/>
  <c r="K182" i="1" s="1"/>
  <c r="K183" i="1" s="1"/>
  <c r="K184" i="1" s="1"/>
  <c r="K185" i="1" s="1"/>
  <c r="K186" i="1" s="1"/>
  <c r="K187" i="1" s="1"/>
  <c r="K188" i="1" s="1"/>
  <c r="K189" i="1" s="1"/>
  <c r="K190" i="1" s="1"/>
  <c r="K191" i="1" s="1"/>
  <c r="K192" i="1" s="1"/>
  <c r="K193" i="1" s="1"/>
  <c r="K194" i="1" s="1"/>
  <c r="K195" i="1" s="1"/>
  <c r="K196" i="1" s="1"/>
  <c r="K197" i="1" s="1"/>
  <c r="K198" i="1" s="1"/>
  <c r="K199" i="1" s="1"/>
  <c r="K200" i="1" s="1"/>
  <c r="K201" i="1" s="1"/>
  <c r="K202" i="1" s="1"/>
  <c r="K203" i="1" s="1"/>
  <c r="K204" i="1" s="1"/>
  <c r="K205" i="1" s="1"/>
  <c r="K206" i="1" s="1"/>
  <c r="K207" i="1" s="1"/>
  <c r="K208" i="1" s="1"/>
  <c r="K209" i="1" s="1"/>
  <c r="K210" i="1" s="1"/>
  <c r="K211" i="1" s="1"/>
  <c r="K212" i="1" s="1"/>
  <c r="K213" i="1" s="1"/>
  <c r="K214" i="1" s="1"/>
  <c r="K215" i="1" s="1"/>
  <c r="K216" i="1" s="1"/>
  <c r="K217" i="1" s="1"/>
  <c r="K218" i="1" s="1"/>
  <c r="K219" i="1" s="1"/>
  <c r="K220" i="1" s="1"/>
  <c r="K221" i="1" s="1"/>
  <c r="K222" i="1" s="1"/>
  <c r="K223" i="1" s="1"/>
  <c r="K224" i="1" s="1"/>
  <c r="K225" i="1" s="1"/>
  <c r="K226" i="1" s="1"/>
  <c r="K227" i="1" s="1"/>
  <c r="K228" i="1" s="1"/>
  <c r="K229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K438" i="1" s="1"/>
  <c r="K439" i="1" s="1"/>
  <c r="K440" i="1" s="1"/>
  <c r="K441" i="1" s="1"/>
  <c r="K442" i="1" s="1"/>
  <c r="K443" i="1" s="1"/>
  <c r="K444" i="1" s="1"/>
  <c r="K445" i="1" s="1"/>
  <c r="K446" i="1" s="1"/>
  <c r="K447" i="1" s="1"/>
  <c r="K448" i="1" s="1"/>
  <c r="K449" i="1" s="1"/>
  <c r="K450" i="1" s="1"/>
  <c r="K451" i="1" s="1"/>
  <c r="K452" i="1" s="1"/>
  <c r="K453" i="1" s="1"/>
  <c r="K454" i="1" s="1"/>
  <c r="K455" i="1" s="1"/>
  <c r="K456" i="1" s="1"/>
  <c r="K457" i="1" s="1"/>
  <c r="K458" i="1" s="1"/>
  <c r="K459" i="1" s="1"/>
  <c r="K460" i="1" s="1"/>
  <c r="K461" i="1" s="1"/>
  <c r="K462" i="1" s="1"/>
  <c r="K463" i="1" s="1"/>
  <c r="K464" i="1" s="1"/>
  <c r="K465" i="1" s="1"/>
  <c r="K466" i="1" s="1"/>
  <c r="K467" i="1" s="1"/>
  <c r="K468" i="1" s="1"/>
  <c r="K469" i="1" s="1"/>
  <c r="K470" i="1" s="1"/>
  <c r="K471" i="1" s="1"/>
  <c r="K472" i="1" s="1"/>
  <c r="K473" i="1" s="1"/>
  <c r="K474" i="1" s="1"/>
  <c r="K475" i="1" s="1"/>
  <c r="K476" i="1" s="1"/>
  <c r="K477" i="1" s="1"/>
  <c r="K478" i="1" s="1"/>
  <c r="K479" i="1" s="1"/>
  <c r="K480" i="1" s="1"/>
  <c r="K481" i="1" s="1"/>
  <c r="K482" i="1" s="1"/>
  <c r="K483" i="1" s="1"/>
  <c r="K484" i="1" s="1"/>
  <c r="K485" i="1" s="1"/>
  <c r="K486" i="1" s="1"/>
  <c r="K487" i="1" s="1"/>
  <c r="K488" i="1" s="1"/>
  <c r="K489" i="1" s="1"/>
  <c r="K490" i="1" s="1"/>
  <c r="K491" i="1" s="1"/>
  <c r="K492" i="1" s="1"/>
  <c r="K493" i="1" s="1"/>
  <c r="K494" i="1" s="1"/>
  <c r="K495" i="1" s="1"/>
  <c r="K496" i="1" s="1"/>
  <c r="K497" i="1" s="1"/>
  <c r="K498" i="1" s="1"/>
  <c r="K499" i="1" s="1"/>
  <c r="K500" i="1" s="1"/>
  <c r="K501" i="1" s="1"/>
  <c r="K502" i="1" s="1"/>
  <c r="K503" i="1" s="1"/>
  <c r="K504" i="1" s="1"/>
  <c r="K505" i="1" s="1"/>
  <c r="K506" i="1" s="1"/>
  <c r="K507" i="1" s="1"/>
  <c r="K508" i="1" s="1"/>
  <c r="K509" i="1" s="1"/>
  <c r="K510" i="1" s="1"/>
  <c r="K511" i="1" s="1"/>
  <c r="K512" i="1" s="1"/>
  <c r="K513" i="1" s="1"/>
  <c r="K514" i="1" s="1"/>
  <c r="K515" i="1" s="1"/>
  <c r="K516" i="1" s="1"/>
  <c r="K517" i="1" s="1"/>
  <c r="K518" i="1" s="1"/>
  <c r="K519" i="1" s="1"/>
  <c r="K520" i="1" s="1"/>
  <c r="K521" i="1" s="1"/>
  <c r="K522" i="1" s="1"/>
  <c r="K523" i="1" s="1"/>
  <c r="K524" i="1" s="1"/>
  <c r="K525" i="1" s="1"/>
  <c r="K526" i="1" s="1"/>
  <c r="K527" i="1" s="1"/>
  <c r="K528" i="1" s="1"/>
  <c r="K529" i="1" s="1"/>
  <c r="K530" i="1" s="1"/>
  <c r="K531" i="1" s="1"/>
  <c r="K532" i="1" s="1"/>
  <c r="K533" i="1" s="1"/>
  <c r="K534" i="1" s="1"/>
  <c r="K535" i="1" s="1"/>
  <c r="K536" i="1" s="1"/>
  <c r="K537" i="1" s="1"/>
  <c r="K538" i="1" s="1"/>
  <c r="K539" i="1" s="1"/>
  <c r="K540" i="1" s="1"/>
  <c r="K541" i="1" s="1"/>
  <c r="K542" i="1" s="1"/>
  <c r="K543" i="1" s="1"/>
  <c r="K544" i="1" s="1"/>
  <c r="K545" i="1" s="1"/>
  <c r="K546" i="1" s="1"/>
  <c r="K547" i="1" s="1"/>
  <c r="K548" i="1" s="1"/>
  <c r="K549" i="1" s="1"/>
  <c r="K550" i="1" s="1"/>
  <c r="K551" i="1" s="1"/>
  <c r="K552" i="1" s="1"/>
  <c r="K553" i="1" s="1"/>
  <c r="K554" i="1" s="1"/>
  <c r="K555" i="1" s="1"/>
  <c r="K556" i="1" s="1"/>
  <c r="K557" i="1" s="1"/>
  <c r="K558" i="1" s="1"/>
  <c r="K559" i="1" s="1"/>
  <c r="K560" i="1" s="1"/>
  <c r="K561" i="1" s="1"/>
  <c r="K562" i="1" s="1"/>
  <c r="K563" i="1" s="1"/>
  <c r="K564" i="1" s="1"/>
  <c r="K565" i="1" s="1"/>
  <c r="K566" i="1" s="1"/>
  <c r="K567" i="1" s="1"/>
  <c r="K568" i="1" s="1"/>
  <c r="K569" i="1" s="1"/>
  <c r="K570" i="1" s="1"/>
  <c r="K571" i="1" s="1"/>
  <c r="K572" i="1" s="1"/>
  <c r="K573" i="1" s="1"/>
  <c r="K574" i="1" s="1"/>
  <c r="K575" i="1" s="1"/>
  <c r="K576" i="1" s="1"/>
  <c r="K577" i="1" s="1"/>
  <c r="K578" i="1" s="1"/>
  <c r="K579" i="1" s="1"/>
  <c r="K580" i="1" s="1"/>
  <c r="K581" i="1" s="1"/>
  <c r="K582" i="1" s="1"/>
  <c r="K583" i="1" s="1"/>
  <c r="K584" i="1" s="1"/>
  <c r="K585" i="1" s="1"/>
  <c r="K586" i="1" s="1"/>
  <c r="K587" i="1" s="1"/>
  <c r="K588" i="1" s="1"/>
  <c r="K589" i="1" s="1"/>
  <c r="K590" i="1" s="1"/>
  <c r="K591" i="1" s="1"/>
  <c r="K592" i="1" s="1"/>
  <c r="K593" i="1" s="1"/>
  <c r="K594" i="1" s="1"/>
  <c r="K595" i="1" s="1"/>
  <c r="K596" i="1" s="1"/>
  <c r="K597" i="1" s="1"/>
  <c r="K598" i="1" s="1"/>
  <c r="K599" i="1" s="1"/>
  <c r="K600" i="1" s="1"/>
  <c r="K601" i="1" s="1"/>
  <c r="K602" i="1" s="1"/>
  <c r="K603" i="1" s="1"/>
  <c r="K604" i="1" s="1"/>
  <c r="K605" i="1" s="1"/>
  <c r="K606" i="1" s="1"/>
  <c r="K607" i="1" s="1"/>
  <c r="K608" i="1" s="1"/>
  <c r="K609" i="1" s="1"/>
  <c r="K610" i="1" s="1"/>
  <c r="K611" i="1" s="1"/>
  <c r="K612" i="1" s="1"/>
  <c r="K613" i="1" s="1"/>
  <c r="K614" i="1" s="1"/>
  <c r="K615" i="1" s="1"/>
  <c r="K616" i="1" s="1"/>
  <c r="K617" i="1" s="1"/>
  <c r="K618" i="1" s="1"/>
  <c r="K619" i="1" s="1"/>
  <c r="K620" i="1" s="1"/>
  <c r="K621" i="1" s="1"/>
  <c r="K622" i="1" s="1"/>
  <c r="K623" i="1" s="1"/>
  <c r="K624" i="1" s="1"/>
  <c r="K625" i="1" s="1"/>
  <c r="K626" i="1" s="1"/>
  <c r="K627" i="1" s="1"/>
  <c r="K628" i="1" s="1"/>
  <c r="K629" i="1" s="1"/>
  <c r="K630" i="1" s="1"/>
  <c r="K631" i="1" s="1"/>
  <c r="K632" i="1" s="1"/>
  <c r="K633" i="1" s="1"/>
  <c r="K634" i="1" s="1"/>
  <c r="K635" i="1" s="1"/>
  <c r="K636" i="1" s="1"/>
  <c r="K637" i="1" s="1"/>
  <c r="K638" i="1" s="1"/>
  <c r="K639" i="1" s="1"/>
  <c r="K640" i="1" s="1"/>
  <c r="K641" i="1" s="1"/>
  <c r="K642" i="1" s="1"/>
  <c r="K643" i="1" s="1"/>
  <c r="K644" i="1" s="1"/>
  <c r="K645" i="1" s="1"/>
  <c r="K646" i="1" s="1"/>
  <c r="K647" i="1" s="1"/>
  <c r="K648" i="1" s="1"/>
  <c r="K649" i="1" s="1"/>
  <c r="K650" i="1" s="1"/>
  <c r="K651" i="1" s="1"/>
  <c r="K652" i="1" s="1"/>
  <c r="K653" i="1" s="1"/>
  <c r="K654" i="1" s="1"/>
  <c r="K655" i="1" s="1"/>
  <c r="K656" i="1" s="1"/>
  <c r="K657" i="1" s="1"/>
  <c r="K658" i="1" s="1"/>
  <c r="K659" i="1" s="1"/>
  <c r="K660" i="1" s="1"/>
  <c r="K661" i="1" s="1"/>
  <c r="K662" i="1" s="1"/>
  <c r="K663" i="1" s="1"/>
  <c r="K664" i="1" s="1"/>
  <c r="K665" i="1" s="1"/>
  <c r="K666" i="1" s="1"/>
  <c r="K667" i="1" s="1"/>
  <c r="K668" i="1" s="1"/>
  <c r="K669" i="1" s="1"/>
  <c r="K670" i="1" s="1"/>
  <c r="K671" i="1" s="1"/>
  <c r="K672" i="1" s="1"/>
  <c r="K673" i="1" s="1"/>
  <c r="K674" i="1" s="1"/>
  <c r="K675" i="1" s="1"/>
  <c r="K676" i="1" s="1"/>
  <c r="K677" i="1" s="1"/>
  <c r="K678" i="1" s="1"/>
  <c r="K679" i="1" s="1"/>
  <c r="K680" i="1" s="1"/>
  <c r="K681" i="1" s="1"/>
  <c r="K682" i="1" s="1"/>
  <c r="K683" i="1" s="1"/>
  <c r="K684" i="1" s="1"/>
  <c r="K685" i="1" s="1"/>
  <c r="K686" i="1" s="1"/>
  <c r="K687" i="1" s="1"/>
  <c r="K688" i="1" s="1"/>
  <c r="K689" i="1" s="1"/>
  <c r="K690" i="1" s="1"/>
  <c r="K691" i="1" s="1"/>
  <c r="K692" i="1" s="1"/>
  <c r="K693" i="1" s="1"/>
  <c r="K694" i="1" s="1"/>
  <c r="K695" i="1" s="1"/>
  <c r="K696" i="1" s="1"/>
  <c r="K697" i="1" s="1"/>
  <c r="K698" i="1" s="1"/>
  <c r="K699" i="1" s="1"/>
  <c r="K700" i="1" s="1"/>
  <c r="K701" i="1" s="1"/>
  <c r="K702" i="1" s="1"/>
  <c r="K703" i="1" s="1"/>
  <c r="K704" i="1" s="1"/>
  <c r="K705" i="1" s="1"/>
  <c r="K706" i="1" s="1"/>
  <c r="K707" i="1" s="1"/>
  <c r="K708" i="1" s="1"/>
  <c r="K709" i="1" s="1"/>
  <c r="K710" i="1" s="1"/>
  <c r="K711" i="1" s="1"/>
  <c r="K712" i="1" s="1"/>
  <c r="K713" i="1" s="1"/>
  <c r="K714" i="1" s="1"/>
  <c r="K715" i="1" s="1"/>
  <c r="K716" i="1" s="1"/>
  <c r="K717" i="1" s="1"/>
  <c r="K718" i="1" s="1"/>
  <c r="K719" i="1" s="1"/>
  <c r="K720" i="1" s="1"/>
  <c r="K721" i="1" s="1"/>
  <c r="K722" i="1" s="1"/>
  <c r="K723" i="1" s="1"/>
  <c r="K724" i="1" s="1"/>
  <c r="K725" i="1" s="1"/>
  <c r="K726" i="1" s="1"/>
  <c r="K727" i="1" s="1"/>
  <c r="K728" i="1" s="1"/>
  <c r="K729" i="1" s="1"/>
  <c r="K730" i="1" s="1"/>
  <c r="K731" i="1" s="1"/>
  <c r="K732" i="1" s="1"/>
  <c r="K733" i="1" s="1"/>
  <c r="K734" i="1" s="1"/>
  <c r="K735" i="1" s="1"/>
  <c r="K736" i="1" s="1"/>
  <c r="K737" i="1" s="1"/>
  <c r="K738" i="1" s="1"/>
  <c r="K739" i="1" s="1"/>
  <c r="K740" i="1" s="1"/>
  <c r="K741" i="1" s="1"/>
  <c r="K742" i="1" s="1"/>
  <c r="K743" i="1" s="1"/>
  <c r="K744" i="1" s="1"/>
  <c r="K745" i="1" s="1"/>
  <c r="K746" i="1" s="1"/>
  <c r="K747" i="1" s="1"/>
  <c r="K748" i="1" s="1"/>
  <c r="K749" i="1" s="1"/>
  <c r="K750" i="1" s="1"/>
  <c r="K751" i="1" s="1"/>
  <c r="K752" i="1" s="1"/>
  <c r="K753" i="1" s="1"/>
  <c r="K754" i="1" s="1"/>
  <c r="K755" i="1" s="1"/>
  <c r="K756" i="1" s="1"/>
  <c r="K757" i="1" s="1"/>
  <c r="K758" i="1" s="1"/>
  <c r="K759" i="1" s="1"/>
  <c r="K760" i="1" s="1"/>
  <c r="K761" i="1" s="1"/>
  <c r="K762" i="1" s="1"/>
  <c r="K763" i="1" s="1"/>
  <c r="K764" i="1" s="1"/>
  <c r="K765" i="1" s="1"/>
  <c r="K766" i="1" s="1"/>
  <c r="K767" i="1" s="1"/>
  <c r="K768" i="1" s="1"/>
  <c r="K769" i="1" s="1"/>
  <c r="K770" i="1" s="1"/>
  <c r="K771" i="1" s="1"/>
  <c r="K772" i="1" s="1"/>
  <c r="K773" i="1" s="1"/>
  <c r="K774" i="1" s="1"/>
  <c r="K775" i="1" s="1"/>
  <c r="K776" i="1" s="1"/>
  <c r="K777" i="1" s="1"/>
  <c r="K778" i="1" s="1"/>
  <c r="K779" i="1" s="1"/>
  <c r="K780" i="1" s="1"/>
  <c r="K781" i="1" s="1"/>
  <c r="K782" i="1" s="1"/>
  <c r="K783" i="1" s="1"/>
  <c r="K784" i="1" s="1"/>
  <c r="K785" i="1" s="1"/>
  <c r="K786" i="1" s="1"/>
  <c r="K787" i="1" s="1"/>
  <c r="K788" i="1" s="1"/>
  <c r="K789" i="1" s="1"/>
  <c r="K790" i="1" s="1"/>
  <c r="K791" i="1" s="1"/>
  <c r="K792" i="1" s="1"/>
  <c r="K793" i="1" s="1"/>
  <c r="K794" i="1" s="1"/>
  <c r="K795" i="1" s="1"/>
  <c r="K796" i="1" s="1"/>
  <c r="K797" i="1" s="1"/>
  <c r="K798" i="1" s="1"/>
  <c r="K799" i="1" s="1"/>
  <c r="K800" i="1" s="1"/>
  <c r="K801" i="1" s="1"/>
  <c r="K802" i="1" s="1"/>
  <c r="K803" i="1" s="1"/>
  <c r="K804" i="1" s="1"/>
  <c r="K805" i="1" s="1"/>
  <c r="K806" i="1" s="1"/>
  <c r="K807" i="1" s="1"/>
  <c r="K808" i="1" s="1"/>
  <c r="K809" i="1" s="1"/>
  <c r="K810" i="1" s="1"/>
  <c r="K811" i="1" s="1"/>
  <c r="K812" i="1" s="1"/>
  <c r="K813" i="1" s="1"/>
  <c r="K814" i="1" s="1"/>
  <c r="K815" i="1" s="1"/>
  <c r="K816" i="1" s="1"/>
  <c r="K817" i="1" s="1"/>
  <c r="K818" i="1" s="1"/>
  <c r="K819" i="1" s="1"/>
  <c r="K820" i="1" s="1"/>
  <c r="K821" i="1" s="1"/>
  <c r="K822" i="1" s="1"/>
  <c r="K823" i="1" s="1"/>
  <c r="K824" i="1" s="1"/>
  <c r="K825" i="1" s="1"/>
  <c r="K826" i="1" s="1"/>
  <c r="K827" i="1" s="1"/>
  <c r="K828" i="1" s="1"/>
  <c r="K829" i="1" s="1"/>
  <c r="K830" i="1" s="1"/>
  <c r="K831" i="1" s="1"/>
  <c r="K832" i="1" s="1"/>
  <c r="K833" i="1" s="1"/>
  <c r="K834" i="1" s="1"/>
  <c r="K835" i="1" s="1"/>
  <c r="K836" i="1" s="1"/>
  <c r="K837" i="1" s="1"/>
  <c r="K838" i="1" s="1"/>
  <c r="K839" i="1" s="1"/>
  <c r="K840" i="1" s="1"/>
  <c r="K841" i="1" s="1"/>
  <c r="K842" i="1" s="1"/>
  <c r="K843" i="1" s="1"/>
  <c r="K844" i="1" s="1"/>
  <c r="K845" i="1" s="1"/>
  <c r="K846" i="1" s="1"/>
  <c r="K847" i="1" s="1"/>
  <c r="K848" i="1" s="1"/>
  <c r="K849" i="1" s="1"/>
  <c r="K850" i="1" s="1"/>
  <c r="K851" i="1" s="1"/>
  <c r="K852" i="1" s="1"/>
  <c r="K853" i="1" s="1"/>
  <c r="K854" i="1" s="1"/>
  <c r="K855" i="1" s="1"/>
  <c r="K856" i="1" s="1"/>
  <c r="K857" i="1" s="1"/>
  <c r="K858" i="1" s="1"/>
  <c r="K859" i="1" s="1"/>
  <c r="K860" i="1" s="1"/>
  <c r="K861" i="1" s="1"/>
  <c r="K862" i="1" s="1"/>
  <c r="K863" i="1" s="1"/>
  <c r="K864" i="1" s="1"/>
  <c r="K865" i="1" s="1"/>
  <c r="K866" i="1" s="1"/>
  <c r="K867" i="1" s="1"/>
  <c r="K868" i="1" s="1"/>
  <c r="K869" i="1" s="1"/>
  <c r="K870" i="1" s="1"/>
  <c r="K871" i="1" s="1"/>
  <c r="K872" i="1" s="1"/>
  <c r="K873" i="1" s="1"/>
  <c r="K874" i="1" s="1"/>
  <c r="K875" i="1" s="1"/>
  <c r="K876" i="1" s="1"/>
  <c r="K877" i="1" s="1"/>
  <c r="K878" i="1" s="1"/>
  <c r="K879" i="1" s="1"/>
  <c r="K880" i="1" s="1"/>
  <c r="K881" i="1" s="1"/>
  <c r="K882" i="1" s="1"/>
  <c r="K883" i="1" s="1"/>
  <c r="K884" i="1" s="1"/>
  <c r="K885" i="1" s="1"/>
  <c r="K886" i="1" s="1"/>
  <c r="K887" i="1" s="1"/>
  <c r="K888" i="1" s="1"/>
  <c r="K889" i="1" s="1"/>
  <c r="K890" i="1" s="1"/>
  <c r="K891" i="1" s="1"/>
  <c r="K892" i="1" s="1"/>
  <c r="K893" i="1" s="1"/>
  <c r="K894" i="1" s="1"/>
  <c r="K895" i="1" s="1"/>
  <c r="K896" i="1" s="1"/>
  <c r="K897" i="1" s="1"/>
  <c r="K898" i="1" s="1"/>
  <c r="K899" i="1" s="1"/>
  <c r="K900" i="1" s="1"/>
  <c r="K901" i="1" s="1"/>
  <c r="K902" i="1" s="1"/>
  <c r="K903" i="1" s="1"/>
  <c r="K904" i="1" s="1"/>
  <c r="K905" i="1" s="1"/>
  <c r="K906" i="1" s="1"/>
  <c r="K907" i="1" s="1"/>
  <c r="K908" i="1" s="1"/>
  <c r="K909" i="1" s="1"/>
  <c r="K910" i="1" s="1"/>
  <c r="K911" i="1" s="1"/>
  <c r="K912" i="1" s="1"/>
  <c r="K913" i="1" s="1"/>
  <c r="K914" i="1" s="1"/>
  <c r="K915" i="1" s="1"/>
  <c r="K916" i="1" s="1"/>
  <c r="K917" i="1" s="1"/>
  <c r="K918" i="1" s="1"/>
  <c r="K919" i="1" s="1"/>
  <c r="K920" i="1" s="1"/>
  <c r="K921" i="1" s="1"/>
  <c r="K922" i="1" s="1"/>
  <c r="K923" i="1" s="1"/>
  <c r="K924" i="1" s="1"/>
  <c r="K925" i="1" s="1"/>
  <c r="K926" i="1" s="1"/>
  <c r="K927" i="1" s="1"/>
  <c r="K928" i="1" s="1"/>
  <c r="K929" i="1" s="1"/>
  <c r="K930" i="1" s="1"/>
  <c r="K931" i="1" s="1"/>
  <c r="K932" i="1" s="1"/>
  <c r="K933" i="1" s="1"/>
  <c r="K934" i="1" s="1"/>
  <c r="K935" i="1" s="1"/>
  <c r="K936" i="1" s="1"/>
  <c r="K937" i="1" s="1"/>
  <c r="K938" i="1" s="1"/>
  <c r="K939" i="1" s="1"/>
  <c r="K940" i="1" s="1"/>
  <c r="K941" i="1" s="1"/>
  <c r="K942" i="1" s="1"/>
  <c r="K943" i="1" s="1"/>
  <c r="K944" i="1" s="1"/>
  <c r="K945" i="1" s="1"/>
  <c r="K946" i="1" s="1"/>
  <c r="K947" i="1" s="1"/>
  <c r="K948" i="1" s="1"/>
  <c r="K949" i="1" s="1"/>
  <c r="K950" i="1" s="1"/>
  <c r="K951" i="1" s="1"/>
  <c r="K952" i="1" s="1"/>
  <c r="I11" i="1"/>
  <c r="B5" i="1" l="1"/>
  <c r="B4" i="1"/>
  <c r="I12" i="1" l="1"/>
  <c r="A15" i="1" l="1"/>
  <c r="B17" i="1"/>
  <c r="A17" i="1" s="1"/>
  <c r="A19" i="1" s="1"/>
  <c r="A18" i="1"/>
  <c r="A22" i="1" l="1"/>
  <c r="A23" i="1" s="1"/>
  <c r="K11" i="1" l="1"/>
  <c r="J11" i="1"/>
  <c r="H12" i="1" l="1"/>
  <c r="K12" i="1"/>
  <c r="J12" i="1"/>
  <c r="L12" i="1" l="1"/>
</calcChain>
</file>

<file path=xl/sharedStrings.xml><?xml version="1.0" encoding="utf-8"?>
<sst xmlns="http://schemas.openxmlformats.org/spreadsheetml/2006/main" count="49" uniqueCount="43">
  <si>
    <t>DHP id</t>
  </si>
  <si>
    <t>Exo id</t>
  </si>
  <si>
    <t>Start Date</t>
  </si>
  <si>
    <t>Units of DHP</t>
  </si>
  <si>
    <t>Starting Dollars</t>
  </si>
  <si>
    <t>DHP + Long Futures</t>
  </si>
  <si>
    <t>Date</t>
  </si>
  <si>
    <t>Underlying Name</t>
  </si>
  <si>
    <t>Profit Participation</t>
  </si>
  <si>
    <t>DHPs</t>
  </si>
  <si>
    <t>MGF15 ZME Bull</t>
  </si>
  <si>
    <t>MGF15 ZME Bear</t>
  </si>
  <si>
    <t>Class III Milk_Bear</t>
  </si>
  <si>
    <t>Class III Milk_Bull</t>
  </si>
  <si>
    <t>ZWA BEAR</t>
  </si>
  <si>
    <t>ZWA Bull</t>
  </si>
  <si>
    <t>DHP #</t>
  </si>
  <si>
    <t>Corn</t>
  </si>
  <si>
    <t>Wheat</t>
  </si>
  <si>
    <t>Soybean Oil</t>
  </si>
  <si>
    <t>Milk Class III</t>
  </si>
  <si>
    <t>Outright</t>
  </si>
  <si>
    <t>Outright #</t>
  </si>
  <si>
    <t>DHP Name</t>
  </si>
  <si>
    <t>Wheat DHP</t>
  </si>
  <si>
    <t>Class III Milk DHP</t>
  </si>
  <si>
    <t>Soybean Oil DHP</t>
  </si>
  <si>
    <t>Units of Futures</t>
  </si>
  <si>
    <t>&lt;-----</t>
  </si>
  <si>
    <t>Soybeans</t>
  </si>
  <si>
    <t>Soybean DHP</t>
  </si>
  <si>
    <t>Corn DHP</t>
  </si>
  <si>
    <t>S&amp;P DHP</t>
  </si>
  <si>
    <t>Fuel DHP</t>
  </si>
  <si>
    <t>S&amp;P</t>
  </si>
  <si>
    <t>Crude Oil</t>
  </si>
  <si>
    <t>Euro DHP</t>
  </si>
  <si>
    <t>Canadian Dollar DHP</t>
  </si>
  <si>
    <t>Canadian Dollar</t>
  </si>
  <si>
    <t>EuroFX</t>
  </si>
  <si>
    <t>Resin DHP</t>
  </si>
  <si>
    <t>Polypropylene</t>
  </si>
  <si>
    <t>filled with a decimal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</si>
</sst>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11">
    <xf numFmtId="0" fontId="0" fillId="0" borderId="0" xfId="0"/>
    <xf numFmtId="14" fontId="0" fillId="0" borderId="0" xfId="0" applyNumberFormat="1"/>
    <xf numFmtId="0" fontId="1" fillId="2" borderId="1" xfId="0" applyFont="1" applyFill="1" applyBorder="1"/>
    <xf numFmtId="0" fontId="1" fillId="2" borderId="2" xfId="0" applyFont="1" applyFill="1" applyBorder="1"/>
    <xf numFmtId="14" fontId="1" fillId="0" borderId="0" xfId="0" applyNumberFormat="1" applyFont="1"/>
    <xf numFmtId="3" fontId="0" fillId="0" borderId="0" xfId="0" applyNumberFormat="1"/>
    <xf numFmtId="44" fontId="0" fillId="0" borderId="0" xfId="2" applyFont="1"/>
    <xf numFmtId="44" fontId="0" fillId="0" borderId="0" xfId="0" applyNumberFormat="1"/>
    <xf numFmtId="43" fontId="0" fillId="0" borderId="0" xfId="1" applyFont="1"/>
    <xf numFmtId="0" fontId="0" fillId="0" borderId="0" xfId="0" applyNumberFormat="1"/>
    <xf numFmtId="164" fontId="0" fillId="0" borderId="0" xfId="1" applyNumberFormat="1" applyFont="1"/>
  </cellXfs>
  <cellStyles count="3">
    <cellStyle name="Comma" xfId="1" builtinId="3"/>
    <cellStyle name="Currency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chartsheet" Target="chartsheets/sheet3.xml"/><Relationship Id="rId7" Type="http://schemas.openxmlformats.org/officeDocument/2006/relationships/theme" Target="theme/theme1.xml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2.xml"/><Relationship Id="rId11" Type="http://schemas.microsoft.com/office/2006/relationships/vbaProject" Target="vbaProject.bin"/><Relationship Id="rId5" Type="http://schemas.openxmlformats.org/officeDocument/2006/relationships/worksheet" Target="worksheets/sheet1.xml"/><Relationship Id="rId10" Type="http://schemas.openxmlformats.org/officeDocument/2006/relationships/calcChain" Target="calcChain.xml"/><Relationship Id="rId4" Type="http://schemas.openxmlformats.org/officeDocument/2006/relationships/chartsheet" Target="chart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Data!$J$11</c:f>
              <c:strCache>
                <c:ptCount val="1"/>
                <c:pt idx="0">
                  <c:v>Long Polypropylene Futures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941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41281</c:v>
                </c:pt>
                <c:pt idx="5">
                  <c:v>41282</c:v>
                </c:pt>
                <c:pt idx="6">
                  <c:v>41283</c:v>
                </c:pt>
                <c:pt idx="7">
                  <c:v>41284</c:v>
                </c:pt>
                <c:pt idx="8">
                  <c:v>41285</c:v>
                </c:pt>
                <c:pt idx="9">
                  <c:v>41288</c:v>
                </c:pt>
                <c:pt idx="10">
                  <c:v>41289</c:v>
                </c:pt>
                <c:pt idx="11">
                  <c:v>41290</c:v>
                </c:pt>
                <c:pt idx="12">
                  <c:v>41291</c:v>
                </c:pt>
                <c:pt idx="13">
                  <c:v>41292</c:v>
                </c:pt>
                <c:pt idx="14">
                  <c:v>41295</c:v>
                </c:pt>
                <c:pt idx="15">
                  <c:v>41296</c:v>
                </c:pt>
                <c:pt idx="16">
                  <c:v>41297</c:v>
                </c:pt>
                <c:pt idx="17">
                  <c:v>41298</c:v>
                </c:pt>
                <c:pt idx="18">
                  <c:v>41299</c:v>
                </c:pt>
                <c:pt idx="19">
                  <c:v>41302</c:v>
                </c:pt>
                <c:pt idx="20">
                  <c:v>41303</c:v>
                </c:pt>
                <c:pt idx="21">
                  <c:v>41304</c:v>
                </c:pt>
                <c:pt idx="22">
                  <c:v>41305</c:v>
                </c:pt>
                <c:pt idx="23">
                  <c:v>41306</c:v>
                </c:pt>
                <c:pt idx="24">
                  <c:v>41309</c:v>
                </c:pt>
                <c:pt idx="25">
                  <c:v>41310</c:v>
                </c:pt>
                <c:pt idx="26">
                  <c:v>41311</c:v>
                </c:pt>
                <c:pt idx="27">
                  <c:v>41312</c:v>
                </c:pt>
                <c:pt idx="28">
                  <c:v>41313</c:v>
                </c:pt>
                <c:pt idx="29">
                  <c:v>41316</c:v>
                </c:pt>
                <c:pt idx="30">
                  <c:v>41317</c:v>
                </c:pt>
                <c:pt idx="31">
                  <c:v>41318</c:v>
                </c:pt>
                <c:pt idx="32">
                  <c:v>41319</c:v>
                </c:pt>
                <c:pt idx="33">
                  <c:v>41320</c:v>
                </c:pt>
                <c:pt idx="34">
                  <c:v>41323</c:v>
                </c:pt>
                <c:pt idx="35">
                  <c:v>41324</c:v>
                </c:pt>
                <c:pt idx="36">
                  <c:v>41325</c:v>
                </c:pt>
                <c:pt idx="37">
                  <c:v>41326</c:v>
                </c:pt>
                <c:pt idx="38">
                  <c:v>41327</c:v>
                </c:pt>
                <c:pt idx="39">
                  <c:v>41330</c:v>
                </c:pt>
                <c:pt idx="40">
                  <c:v>41331</c:v>
                </c:pt>
                <c:pt idx="41">
                  <c:v>41332</c:v>
                </c:pt>
                <c:pt idx="42">
                  <c:v>41333</c:v>
                </c:pt>
                <c:pt idx="43">
                  <c:v>41334</c:v>
                </c:pt>
                <c:pt idx="44">
                  <c:v>41337</c:v>
                </c:pt>
                <c:pt idx="45">
                  <c:v>41338</c:v>
                </c:pt>
                <c:pt idx="46">
                  <c:v>41339</c:v>
                </c:pt>
                <c:pt idx="47">
                  <c:v>41340</c:v>
                </c:pt>
                <c:pt idx="48">
                  <c:v>41341</c:v>
                </c:pt>
                <c:pt idx="49">
                  <c:v>41344</c:v>
                </c:pt>
                <c:pt idx="50">
                  <c:v>41345</c:v>
                </c:pt>
                <c:pt idx="51">
                  <c:v>41346</c:v>
                </c:pt>
                <c:pt idx="52">
                  <c:v>41347</c:v>
                </c:pt>
                <c:pt idx="53">
                  <c:v>41348</c:v>
                </c:pt>
                <c:pt idx="54">
                  <c:v>41351</c:v>
                </c:pt>
                <c:pt idx="55">
                  <c:v>41352</c:v>
                </c:pt>
                <c:pt idx="56">
                  <c:v>41353</c:v>
                </c:pt>
                <c:pt idx="57">
                  <c:v>41354</c:v>
                </c:pt>
                <c:pt idx="58">
                  <c:v>41355</c:v>
                </c:pt>
                <c:pt idx="59">
                  <c:v>41358</c:v>
                </c:pt>
                <c:pt idx="60">
                  <c:v>41359</c:v>
                </c:pt>
                <c:pt idx="61">
                  <c:v>41360</c:v>
                </c:pt>
                <c:pt idx="62">
                  <c:v>41361</c:v>
                </c:pt>
                <c:pt idx="63">
                  <c:v>41362</c:v>
                </c:pt>
                <c:pt idx="64">
                  <c:v>41365</c:v>
                </c:pt>
                <c:pt idx="65">
                  <c:v>41366</c:v>
                </c:pt>
                <c:pt idx="66">
                  <c:v>41367</c:v>
                </c:pt>
                <c:pt idx="67">
                  <c:v>41368</c:v>
                </c:pt>
                <c:pt idx="68">
                  <c:v>41369</c:v>
                </c:pt>
                <c:pt idx="69">
                  <c:v>41372</c:v>
                </c:pt>
                <c:pt idx="70">
                  <c:v>41373</c:v>
                </c:pt>
                <c:pt idx="71">
                  <c:v>41374</c:v>
                </c:pt>
                <c:pt idx="72">
                  <c:v>41375</c:v>
                </c:pt>
                <c:pt idx="73">
                  <c:v>41376</c:v>
                </c:pt>
                <c:pt idx="74">
                  <c:v>41379</c:v>
                </c:pt>
                <c:pt idx="75">
                  <c:v>41380</c:v>
                </c:pt>
                <c:pt idx="76">
                  <c:v>41381</c:v>
                </c:pt>
                <c:pt idx="77">
                  <c:v>41382</c:v>
                </c:pt>
                <c:pt idx="78">
                  <c:v>41383</c:v>
                </c:pt>
                <c:pt idx="79">
                  <c:v>41386</c:v>
                </c:pt>
                <c:pt idx="80">
                  <c:v>41387</c:v>
                </c:pt>
                <c:pt idx="81">
                  <c:v>41388</c:v>
                </c:pt>
                <c:pt idx="82">
                  <c:v>41389</c:v>
                </c:pt>
                <c:pt idx="83">
                  <c:v>41390</c:v>
                </c:pt>
                <c:pt idx="84">
                  <c:v>41393</c:v>
                </c:pt>
                <c:pt idx="85">
                  <c:v>41394</c:v>
                </c:pt>
                <c:pt idx="86">
                  <c:v>41395</c:v>
                </c:pt>
                <c:pt idx="87">
                  <c:v>41396</c:v>
                </c:pt>
                <c:pt idx="88">
                  <c:v>41397</c:v>
                </c:pt>
                <c:pt idx="89">
                  <c:v>41400</c:v>
                </c:pt>
                <c:pt idx="90">
                  <c:v>41401</c:v>
                </c:pt>
                <c:pt idx="91">
                  <c:v>41402</c:v>
                </c:pt>
                <c:pt idx="92">
                  <c:v>41403</c:v>
                </c:pt>
                <c:pt idx="93">
                  <c:v>41404</c:v>
                </c:pt>
                <c:pt idx="94">
                  <c:v>41407</c:v>
                </c:pt>
                <c:pt idx="95">
                  <c:v>41408</c:v>
                </c:pt>
                <c:pt idx="96">
                  <c:v>41409</c:v>
                </c:pt>
                <c:pt idx="97">
                  <c:v>41410</c:v>
                </c:pt>
                <c:pt idx="98">
                  <c:v>41411</c:v>
                </c:pt>
                <c:pt idx="99">
                  <c:v>41414</c:v>
                </c:pt>
                <c:pt idx="100">
                  <c:v>41415</c:v>
                </c:pt>
                <c:pt idx="101">
                  <c:v>41416</c:v>
                </c:pt>
                <c:pt idx="102">
                  <c:v>41417</c:v>
                </c:pt>
                <c:pt idx="103">
                  <c:v>41418</c:v>
                </c:pt>
                <c:pt idx="104">
                  <c:v>41421</c:v>
                </c:pt>
                <c:pt idx="105">
                  <c:v>41422</c:v>
                </c:pt>
                <c:pt idx="106">
                  <c:v>41423</c:v>
                </c:pt>
                <c:pt idx="107">
                  <c:v>41424</c:v>
                </c:pt>
                <c:pt idx="108">
                  <c:v>41425</c:v>
                </c:pt>
                <c:pt idx="109">
                  <c:v>41428</c:v>
                </c:pt>
                <c:pt idx="110">
                  <c:v>41429</c:v>
                </c:pt>
                <c:pt idx="111">
                  <c:v>41430</c:v>
                </c:pt>
                <c:pt idx="112">
                  <c:v>41431</c:v>
                </c:pt>
                <c:pt idx="113">
                  <c:v>41432</c:v>
                </c:pt>
                <c:pt idx="114">
                  <c:v>41435</c:v>
                </c:pt>
                <c:pt idx="115">
                  <c:v>41436</c:v>
                </c:pt>
                <c:pt idx="116">
                  <c:v>41437</c:v>
                </c:pt>
                <c:pt idx="117">
                  <c:v>41438</c:v>
                </c:pt>
                <c:pt idx="118">
                  <c:v>41439</c:v>
                </c:pt>
                <c:pt idx="119">
                  <c:v>41442</c:v>
                </c:pt>
                <c:pt idx="120">
                  <c:v>41443</c:v>
                </c:pt>
                <c:pt idx="121">
                  <c:v>41444</c:v>
                </c:pt>
                <c:pt idx="122">
                  <c:v>41445</c:v>
                </c:pt>
                <c:pt idx="123">
                  <c:v>41446</c:v>
                </c:pt>
                <c:pt idx="124">
                  <c:v>41449</c:v>
                </c:pt>
                <c:pt idx="125">
                  <c:v>41450</c:v>
                </c:pt>
                <c:pt idx="126">
                  <c:v>41451</c:v>
                </c:pt>
                <c:pt idx="127">
                  <c:v>41452</c:v>
                </c:pt>
                <c:pt idx="128">
                  <c:v>41453</c:v>
                </c:pt>
                <c:pt idx="129">
                  <c:v>41456</c:v>
                </c:pt>
                <c:pt idx="130">
                  <c:v>41457</c:v>
                </c:pt>
                <c:pt idx="131">
                  <c:v>41458</c:v>
                </c:pt>
                <c:pt idx="132">
                  <c:v>41459</c:v>
                </c:pt>
                <c:pt idx="133">
                  <c:v>41460</c:v>
                </c:pt>
                <c:pt idx="134">
                  <c:v>41463</c:v>
                </c:pt>
                <c:pt idx="135">
                  <c:v>41464</c:v>
                </c:pt>
                <c:pt idx="136">
                  <c:v>41465</c:v>
                </c:pt>
                <c:pt idx="137">
                  <c:v>41466</c:v>
                </c:pt>
                <c:pt idx="138">
                  <c:v>41467</c:v>
                </c:pt>
                <c:pt idx="139">
                  <c:v>41470</c:v>
                </c:pt>
                <c:pt idx="140">
                  <c:v>41471</c:v>
                </c:pt>
                <c:pt idx="141">
                  <c:v>41472</c:v>
                </c:pt>
                <c:pt idx="142">
                  <c:v>41473</c:v>
                </c:pt>
                <c:pt idx="143">
                  <c:v>41474</c:v>
                </c:pt>
                <c:pt idx="144">
                  <c:v>41477</c:v>
                </c:pt>
                <c:pt idx="145">
                  <c:v>41478</c:v>
                </c:pt>
                <c:pt idx="146">
                  <c:v>41479</c:v>
                </c:pt>
                <c:pt idx="147">
                  <c:v>41480</c:v>
                </c:pt>
                <c:pt idx="148">
                  <c:v>41481</c:v>
                </c:pt>
                <c:pt idx="149">
                  <c:v>41484</c:v>
                </c:pt>
                <c:pt idx="150">
                  <c:v>41485</c:v>
                </c:pt>
                <c:pt idx="151">
                  <c:v>41486</c:v>
                </c:pt>
                <c:pt idx="152">
                  <c:v>41487</c:v>
                </c:pt>
                <c:pt idx="153">
                  <c:v>41488</c:v>
                </c:pt>
                <c:pt idx="154">
                  <c:v>41491</c:v>
                </c:pt>
                <c:pt idx="155">
                  <c:v>41492</c:v>
                </c:pt>
                <c:pt idx="156">
                  <c:v>41493</c:v>
                </c:pt>
                <c:pt idx="157">
                  <c:v>41494</c:v>
                </c:pt>
                <c:pt idx="158">
                  <c:v>41495</c:v>
                </c:pt>
                <c:pt idx="159">
                  <c:v>41498</c:v>
                </c:pt>
                <c:pt idx="160">
                  <c:v>41499</c:v>
                </c:pt>
                <c:pt idx="161">
                  <c:v>41500</c:v>
                </c:pt>
                <c:pt idx="162">
                  <c:v>41501</c:v>
                </c:pt>
                <c:pt idx="163">
                  <c:v>41502</c:v>
                </c:pt>
                <c:pt idx="164">
                  <c:v>41505</c:v>
                </c:pt>
                <c:pt idx="165">
                  <c:v>41506</c:v>
                </c:pt>
                <c:pt idx="166">
                  <c:v>41507</c:v>
                </c:pt>
                <c:pt idx="167">
                  <c:v>41508</c:v>
                </c:pt>
                <c:pt idx="168">
                  <c:v>41509</c:v>
                </c:pt>
                <c:pt idx="169">
                  <c:v>41512</c:v>
                </c:pt>
                <c:pt idx="170">
                  <c:v>41513</c:v>
                </c:pt>
                <c:pt idx="171">
                  <c:v>41514</c:v>
                </c:pt>
                <c:pt idx="172">
                  <c:v>41515</c:v>
                </c:pt>
                <c:pt idx="173">
                  <c:v>41516</c:v>
                </c:pt>
                <c:pt idx="174">
                  <c:v>41519</c:v>
                </c:pt>
                <c:pt idx="175">
                  <c:v>41520</c:v>
                </c:pt>
                <c:pt idx="176">
                  <c:v>41521</c:v>
                </c:pt>
                <c:pt idx="177">
                  <c:v>41522</c:v>
                </c:pt>
                <c:pt idx="178">
                  <c:v>41523</c:v>
                </c:pt>
                <c:pt idx="179">
                  <c:v>41526</c:v>
                </c:pt>
                <c:pt idx="180">
                  <c:v>41527</c:v>
                </c:pt>
                <c:pt idx="181">
                  <c:v>41528</c:v>
                </c:pt>
                <c:pt idx="182">
                  <c:v>41529</c:v>
                </c:pt>
                <c:pt idx="183">
                  <c:v>41530</c:v>
                </c:pt>
                <c:pt idx="184">
                  <c:v>41533</c:v>
                </c:pt>
                <c:pt idx="185">
                  <c:v>41534</c:v>
                </c:pt>
                <c:pt idx="186">
                  <c:v>41535</c:v>
                </c:pt>
                <c:pt idx="187">
                  <c:v>41536</c:v>
                </c:pt>
                <c:pt idx="188">
                  <c:v>41537</c:v>
                </c:pt>
                <c:pt idx="189">
                  <c:v>41540</c:v>
                </c:pt>
                <c:pt idx="190">
                  <c:v>41541</c:v>
                </c:pt>
                <c:pt idx="191">
                  <c:v>41542</c:v>
                </c:pt>
                <c:pt idx="192">
                  <c:v>41543</c:v>
                </c:pt>
                <c:pt idx="193">
                  <c:v>41544</c:v>
                </c:pt>
                <c:pt idx="194">
                  <c:v>41547</c:v>
                </c:pt>
                <c:pt idx="195">
                  <c:v>41548</c:v>
                </c:pt>
                <c:pt idx="196">
                  <c:v>41549</c:v>
                </c:pt>
                <c:pt idx="197">
                  <c:v>41550</c:v>
                </c:pt>
                <c:pt idx="198">
                  <c:v>41551</c:v>
                </c:pt>
                <c:pt idx="199">
                  <c:v>41554</c:v>
                </c:pt>
                <c:pt idx="200">
                  <c:v>41555</c:v>
                </c:pt>
                <c:pt idx="201">
                  <c:v>41556</c:v>
                </c:pt>
                <c:pt idx="202">
                  <c:v>41557</c:v>
                </c:pt>
                <c:pt idx="203">
                  <c:v>41558</c:v>
                </c:pt>
                <c:pt idx="204">
                  <c:v>41561</c:v>
                </c:pt>
                <c:pt idx="205">
                  <c:v>41562</c:v>
                </c:pt>
                <c:pt idx="206">
                  <c:v>41563</c:v>
                </c:pt>
                <c:pt idx="207">
                  <c:v>41564</c:v>
                </c:pt>
                <c:pt idx="208">
                  <c:v>41565</c:v>
                </c:pt>
                <c:pt idx="209">
                  <c:v>41568</c:v>
                </c:pt>
                <c:pt idx="210">
                  <c:v>41569</c:v>
                </c:pt>
                <c:pt idx="211">
                  <c:v>41570</c:v>
                </c:pt>
                <c:pt idx="212">
                  <c:v>41571</c:v>
                </c:pt>
                <c:pt idx="213">
                  <c:v>41572</c:v>
                </c:pt>
                <c:pt idx="214">
                  <c:v>41575</c:v>
                </c:pt>
                <c:pt idx="215">
                  <c:v>41576</c:v>
                </c:pt>
                <c:pt idx="216">
                  <c:v>41577</c:v>
                </c:pt>
                <c:pt idx="217">
                  <c:v>41578</c:v>
                </c:pt>
                <c:pt idx="218">
                  <c:v>41579</c:v>
                </c:pt>
                <c:pt idx="219">
                  <c:v>41582</c:v>
                </c:pt>
                <c:pt idx="220">
                  <c:v>41583</c:v>
                </c:pt>
                <c:pt idx="221">
                  <c:v>41584</c:v>
                </c:pt>
                <c:pt idx="222">
                  <c:v>41585</c:v>
                </c:pt>
                <c:pt idx="223">
                  <c:v>41586</c:v>
                </c:pt>
                <c:pt idx="224">
                  <c:v>41589</c:v>
                </c:pt>
                <c:pt idx="225">
                  <c:v>41590</c:v>
                </c:pt>
                <c:pt idx="226">
                  <c:v>41591</c:v>
                </c:pt>
                <c:pt idx="227">
                  <c:v>41592</c:v>
                </c:pt>
                <c:pt idx="228">
                  <c:v>41593</c:v>
                </c:pt>
                <c:pt idx="229">
                  <c:v>41596</c:v>
                </c:pt>
                <c:pt idx="230">
                  <c:v>41597</c:v>
                </c:pt>
                <c:pt idx="231">
                  <c:v>41598</c:v>
                </c:pt>
                <c:pt idx="232">
                  <c:v>41599</c:v>
                </c:pt>
                <c:pt idx="233">
                  <c:v>41600</c:v>
                </c:pt>
                <c:pt idx="234">
                  <c:v>41603</c:v>
                </c:pt>
                <c:pt idx="235">
                  <c:v>41604</c:v>
                </c:pt>
                <c:pt idx="236">
                  <c:v>41605</c:v>
                </c:pt>
                <c:pt idx="237">
                  <c:v>41606</c:v>
                </c:pt>
                <c:pt idx="238">
                  <c:v>41607</c:v>
                </c:pt>
                <c:pt idx="239">
                  <c:v>41610</c:v>
                </c:pt>
                <c:pt idx="240">
                  <c:v>41611</c:v>
                </c:pt>
                <c:pt idx="241">
                  <c:v>41612</c:v>
                </c:pt>
                <c:pt idx="242">
                  <c:v>41613</c:v>
                </c:pt>
                <c:pt idx="243">
                  <c:v>41614</c:v>
                </c:pt>
                <c:pt idx="244">
                  <c:v>41617</c:v>
                </c:pt>
                <c:pt idx="245">
                  <c:v>41618</c:v>
                </c:pt>
                <c:pt idx="246">
                  <c:v>41619</c:v>
                </c:pt>
                <c:pt idx="247">
                  <c:v>41620</c:v>
                </c:pt>
                <c:pt idx="248">
                  <c:v>41621</c:v>
                </c:pt>
                <c:pt idx="249">
                  <c:v>41624</c:v>
                </c:pt>
                <c:pt idx="250">
                  <c:v>41625</c:v>
                </c:pt>
                <c:pt idx="251">
                  <c:v>41626</c:v>
                </c:pt>
                <c:pt idx="252">
                  <c:v>41627</c:v>
                </c:pt>
                <c:pt idx="253">
                  <c:v>41628</c:v>
                </c:pt>
                <c:pt idx="254">
                  <c:v>41631</c:v>
                </c:pt>
                <c:pt idx="255">
                  <c:v>41632</c:v>
                </c:pt>
                <c:pt idx="256">
                  <c:v>41633</c:v>
                </c:pt>
                <c:pt idx="257">
                  <c:v>41634</c:v>
                </c:pt>
                <c:pt idx="258">
                  <c:v>41635</c:v>
                </c:pt>
                <c:pt idx="259">
                  <c:v>41638</c:v>
                </c:pt>
                <c:pt idx="260">
                  <c:v>41639</c:v>
                </c:pt>
                <c:pt idx="261">
                  <c:v>41640</c:v>
                </c:pt>
                <c:pt idx="262">
                  <c:v>41641</c:v>
                </c:pt>
                <c:pt idx="263">
                  <c:v>41642</c:v>
                </c:pt>
                <c:pt idx="264">
                  <c:v>41645</c:v>
                </c:pt>
                <c:pt idx="265">
                  <c:v>41646</c:v>
                </c:pt>
                <c:pt idx="266">
                  <c:v>41647</c:v>
                </c:pt>
                <c:pt idx="267">
                  <c:v>41648</c:v>
                </c:pt>
                <c:pt idx="268">
                  <c:v>41649</c:v>
                </c:pt>
                <c:pt idx="269">
                  <c:v>41652</c:v>
                </c:pt>
                <c:pt idx="270">
                  <c:v>41653</c:v>
                </c:pt>
                <c:pt idx="271">
                  <c:v>41654</c:v>
                </c:pt>
                <c:pt idx="272">
                  <c:v>41655</c:v>
                </c:pt>
                <c:pt idx="273">
                  <c:v>41656</c:v>
                </c:pt>
                <c:pt idx="274">
                  <c:v>41659</c:v>
                </c:pt>
                <c:pt idx="275">
                  <c:v>41660</c:v>
                </c:pt>
                <c:pt idx="276">
                  <c:v>41661</c:v>
                </c:pt>
                <c:pt idx="277">
                  <c:v>41662</c:v>
                </c:pt>
                <c:pt idx="278">
                  <c:v>41663</c:v>
                </c:pt>
                <c:pt idx="279">
                  <c:v>41666</c:v>
                </c:pt>
                <c:pt idx="280">
                  <c:v>41667</c:v>
                </c:pt>
                <c:pt idx="281">
                  <c:v>41668</c:v>
                </c:pt>
                <c:pt idx="282">
                  <c:v>41669</c:v>
                </c:pt>
                <c:pt idx="283">
                  <c:v>41670</c:v>
                </c:pt>
                <c:pt idx="284">
                  <c:v>41673</c:v>
                </c:pt>
                <c:pt idx="285">
                  <c:v>41674</c:v>
                </c:pt>
                <c:pt idx="286">
                  <c:v>41675</c:v>
                </c:pt>
                <c:pt idx="287">
                  <c:v>41676</c:v>
                </c:pt>
                <c:pt idx="288">
                  <c:v>41677</c:v>
                </c:pt>
                <c:pt idx="289">
                  <c:v>41680</c:v>
                </c:pt>
                <c:pt idx="290">
                  <c:v>41681</c:v>
                </c:pt>
                <c:pt idx="291">
                  <c:v>41682</c:v>
                </c:pt>
                <c:pt idx="292">
                  <c:v>41683</c:v>
                </c:pt>
                <c:pt idx="293">
                  <c:v>41684</c:v>
                </c:pt>
                <c:pt idx="294">
                  <c:v>41687</c:v>
                </c:pt>
                <c:pt idx="295">
                  <c:v>41688</c:v>
                </c:pt>
                <c:pt idx="296">
                  <c:v>41689</c:v>
                </c:pt>
                <c:pt idx="297">
                  <c:v>41690</c:v>
                </c:pt>
                <c:pt idx="298">
                  <c:v>41691</c:v>
                </c:pt>
                <c:pt idx="299">
                  <c:v>41694</c:v>
                </c:pt>
                <c:pt idx="300">
                  <c:v>41695</c:v>
                </c:pt>
                <c:pt idx="301">
                  <c:v>41696</c:v>
                </c:pt>
                <c:pt idx="302">
                  <c:v>41697</c:v>
                </c:pt>
                <c:pt idx="303">
                  <c:v>41698</c:v>
                </c:pt>
                <c:pt idx="304">
                  <c:v>41701</c:v>
                </c:pt>
                <c:pt idx="305">
                  <c:v>41702</c:v>
                </c:pt>
                <c:pt idx="306">
                  <c:v>41703</c:v>
                </c:pt>
                <c:pt idx="307">
                  <c:v>41704</c:v>
                </c:pt>
                <c:pt idx="308">
                  <c:v>41705</c:v>
                </c:pt>
                <c:pt idx="309">
                  <c:v>41708</c:v>
                </c:pt>
                <c:pt idx="310">
                  <c:v>41709</c:v>
                </c:pt>
                <c:pt idx="311">
                  <c:v>41710</c:v>
                </c:pt>
                <c:pt idx="312">
                  <c:v>41711</c:v>
                </c:pt>
                <c:pt idx="313">
                  <c:v>41712</c:v>
                </c:pt>
                <c:pt idx="314">
                  <c:v>41715</c:v>
                </c:pt>
                <c:pt idx="315">
                  <c:v>41716</c:v>
                </c:pt>
                <c:pt idx="316">
                  <c:v>41717</c:v>
                </c:pt>
                <c:pt idx="317">
                  <c:v>41718</c:v>
                </c:pt>
                <c:pt idx="318">
                  <c:v>41719</c:v>
                </c:pt>
                <c:pt idx="319">
                  <c:v>41722</c:v>
                </c:pt>
                <c:pt idx="320">
                  <c:v>41723</c:v>
                </c:pt>
                <c:pt idx="321">
                  <c:v>41724</c:v>
                </c:pt>
                <c:pt idx="322">
                  <c:v>41725</c:v>
                </c:pt>
                <c:pt idx="323">
                  <c:v>41726</c:v>
                </c:pt>
                <c:pt idx="324">
                  <c:v>41729</c:v>
                </c:pt>
                <c:pt idx="325">
                  <c:v>41730</c:v>
                </c:pt>
                <c:pt idx="326">
                  <c:v>41731</c:v>
                </c:pt>
                <c:pt idx="327">
                  <c:v>41732</c:v>
                </c:pt>
                <c:pt idx="328">
                  <c:v>41733</c:v>
                </c:pt>
                <c:pt idx="329">
                  <c:v>41736</c:v>
                </c:pt>
                <c:pt idx="330">
                  <c:v>41737</c:v>
                </c:pt>
                <c:pt idx="331">
                  <c:v>41738</c:v>
                </c:pt>
                <c:pt idx="332">
                  <c:v>41739</c:v>
                </c:pt>
                <c:pt idx="333">
                  <c:v>41740</c:v>
                </c:pt>
                <c:pt idx="334">
                  <c:v>41743</c:v>
                </c:pt>
                <c:pt idx="335">
                  <c:v>41744</c:v>
                </c:pt>
                <c:pt idx="336">
                  <c:v>41745</c:v>
                </c:pt>
                <c:pt idx="337">
                  <c:v>41746</c:v>
                </c:pt>
                <c:pt idx="338">
                  <c:v>41747</c:v>
                </c:pt>
                <c:pt idx="339">
                  <c:v>41750</c:v>
                </c:pt>
                <c:pt idx="340">
                  <c:v>41751</c:v>
                </c:pt>
                <c:pt idx="341">
                  <c:v>41752</c:v>
                </c:pt>
                <c:pt idx="342">
                  <c:v>41753</c:v>
                </c:pt>
                <c:pt idx="343">
                  <c:v>41754</c:v>
                </c:pt>
                <c:pt idx="344">
                  <c:v>41757</c:v>
                </c:pt>
                <c:pt idx="345">
                  <c:v>41758</c:v>
                </c:pt>
                <c:pt idx="346">
                  <c:v>41759</c:v>
                </c:pt>
                <c:pt idx="347">
                  <c:v>41760</c:v>
                </c:pt>
                <c:pt idx="348">
                  <c:v>41761</c:v>
                </c:pt>
                <c:pt idx="349">
                  <c:v>41764</c:v>
                </c:pt>
                <c:pt idx="350">
                  <c:v>41765</c:v>
                </c:pt>
                <c:pt idx="351">
                  <c:v>41766</c:v>
                </c:pt>
                <c:pt idx="352">
                  <c:v>41767</c:v>
                </c:pt>
                <c:pt idx="353">
                  <c:v>41768</c:v>
                </c:pt>
                <c:pt idx="354">
                  <c:v>41771</c:v>
                </c:pt>
                <c:pt idx="355">
                  <c:v>41772</c:v>
                </c:pt>
                <c:pt idx="356">
                  <c:v>41773</c:v>
                </c:pt>
                <c:pt idx="357">
                  <c:v>41774</c:v>
                </c:pt>
                <c:pt idx="358">
                  <c:v>41775</c:v>
                </c:pt>
                <c:pt idx="359">
                  <c:v>41778</c:v>
                </c:pt>
                <c:pt idx="360">
                  <c:v>41779</c:v>
                </c:pt>
                <c:pt idx="361">
                  <c:v>41780</c:v>
                </c:pt>
                <c:pt idx="362">
                  <c:v>41781</c:v>
                </c:pt>
                <c:pt idx="363">
                  <c:v>41782</c:v>
                </c:pt>
                <c:pt idx="364">
                  <c:v>41785</c:v>
                </c:pt>
                <c:pt idx="365">
                  <c:v>41786</c:v>
                </c:pt>
                <c:pt idx="366">
                  <c:v>41787</c:v>
                </c:pt>
                <c:pt idx="367">
                  <c:v>41788</c:v>
                </c:pt>
                <c:pt idx="368">
                  <c:v>41789</c:v>
                </c:pt>
                <c:pt idx="369">
                  <c:v>41792</c:v>
                </c:pt>
                <c:pt idx="370">
                  <c:v>41793</c:v>
                </c:pt>
                <c:pt idx="371">
                  <c:v>41794</c:v>
                </c:pt>
                <c:pt idx="372">
                  <c:v>41795</c:v>
                </c:pt>
                <c:pt idx="373">
                  <c:v>41796</c:v>
                </c:pt>
                <c:pt idx="374">
                  <c:v>41799</c:v>
                </c:pt>
                <c:pt idx="375">
                  <c:v>41800</c:v>
                </c:pt>
                <c:pt idx="376">
                  <c:v>41801</c:v>
                </c:pt>
                <c:pt idx="377">
                  <c:v>41802</c:v>
                </c:pt>
                <c:pt idx="378">
                  <c:v>41803</c:v>
                </c:pt>
                <c:pt idx="379">
                  <c:v>41806</c:v>
                </c:pt>
                <c:pt idx="380">
                  <c:v>41807</c:v>
                </c:pt>
                <c:pt idx="381">
                  <c:v>41808</c:v>
                </c:pt>
                <c:pt idx="382">
                  <c:v>41809</c:v>
                </c:pt>
                <c:pt idx="383">
                  <c:v>41810</c:v>
                </c:pt>
                <c:pt idx="384">
                  <c:v>41813</c:v>
                </c:pt>
                <c:pt idx="385">
                  <c:v>41814</c:v>
                </c:pt>
                <c:pt idx="386">
                  <c:v>41815</c:v>
                </c:pt>
                <c:pt idx="387">
                  <c:v>41816</c:v>
                </c:pt>
                <c:pt idx="388">
                  <c:v>41817</c:v>
                </c:pt>
                <c:pt idx="389">
                  <c:v>41820</c:v>
                </c:pt>
                <c:pt idx="390">
                  <c:v>41821</c:v>
                </c:pt>
                <c:pt idx="391">
                  <c:v>41822</c:v>
                </c:pt>
                <c:pt idx="392">
                  <c:v>41823</c:v>
                </c:pt>
                <c:pt idx="393">
                  <c:v>41824</c:v>
                </c:pt>
                <c:pt idx="394">
                  <c:v>41827</c:v>
                </c:pt>
                <c:pt idx="395">
                  <c:v>41828</c:v>
                </c:pt>
                <c:pt idx="396">
                  <c:v>41829</c:v>
                </c:pt>
                <c:pt idx="397">
                  <c:v>41830</c:v>
                </c:pt>
                <c:pt idx="398">
                  <c:v>41831</c:v>
                </c:pt>
                <c:pt idx="399">
                  <c:v>41834</c:v>
                </c:pt>
                <c:pt idx="400">
                  <c:v>41835</c:v>
                </c:pt>
                <c:pt idx="401">
                  <c:v>41836</c:v>
                </c:pt>
                <c:pt idx="402">
                  <c:v>41837</c:v>
                </c:pt>
                <c:pt idx="403">
                  <c:v>41838</c:v>
                </c:pt>
                <c:pt idx="404">
                  <c:v>41841</c:v>
                </c:pt>
                <c:pt idx="405">
                  <c:v>41842</c:v>
                </c:pt>
                <c:pt idx="406">
                  <c:v>41843</c:v>
                </c:pt>
                <c:pt idx="407">
                  <c:v>41844</c:v>
                </c:pt>
                <c:pt idx="408">
                  <c:v>41845</c:v>
                </c:pt>
                <c:pt idx="409">
                  <c:v>41848</c:v>
                </c:pt>
                <c:pt idx="410">
                  <c:v>41849</c:v>
                </c:pt>
                <c:pt idx="411">
                  <c:v>41850</c:v>
                </c:pt>
                <c:pt idx="412">
                  <c:v>41851</c:v>
                </c:pt>
                <c:pt idx="413">
                  <c:v>41852</c:v>
                </c:pt>
                <c:pt idx="414">
                  <c:v>41855</c:v>
                </c:pt>
                <c:pt idx="415">
                  <c:v>41856</c:v>
                </c:pt>
                <c:pt idx="416">
                  <c:v>41857</c:v>
                </c:pt>
                <c:pt idx="417">
                  <c:v>41858</c:v>
                </c:pt>
                <c:pt idx="418">
                  <c:v>41859</c:v>
                </c:pt>
                <c:pt idx="419">
                  <c:v>41862</c:v>
                </c:pt>
                <c:pt idx="420">
                  <c:v>41863</c:v>
                </c:pt>
                <c:pt idx="421">
                  <c:v>41864</c:v>
                </c:pt>
                <c:pt idx="422">
                  <c:v>41865</c:v>
                </c:pt>
                <c:pt idx="423">
                  <c:v>41866</c:v>
                </c:pt>
                <c:pt idx="424">
                  <c:v>41869</c:v>
                </c:pt>
                <c:pt idx="425">
                  <c:v>41870</c:v>
                </c:pt>
                <c:pt idx="426">
                  <c:v>41871</c:v>
                </c:pt>
                <c:pt idx="427">
                  <c:v>41872</c:v>
                </c:pt>
                <c:pt idx="428">
                  <c:v>41873</c:v>
                </c:pt>
                <c:pt idx="429">
                  <c:v>41876</c:v>
                </c:pt>
                <c:pt idx="430">
                  <c:v>41877</c:v>
                </c:pt>
                <c:pt idx="431">
                  <c:v>41878</c:v>
                </c:pt>
                <c:pt idx="432">
                  <c:v>41879</c:v>
                </c:pt>
                <c:pt idx="433">
                  <c:v>41880</c:v>
                </c:pt>
                <c:pt idx="434">
                  <c:v>41883</c:v>
                </c:pt>
                <c:pt idx="435">
                  <c:v>41884</c:v>
                </c:pt>
                <c:pt idx="436">
                  <c:v>41885</c:v>
                </c:pt>
                <c:pt idx="437">
                  <c:v>41886</c:v>
                </c:pt>
                <c:pt idx="438">
                  <c:v>41887</c:v>
                </c:pt>
                <c:pt idx="439">
                  <c:v>41890</c:v>
                </c:pt>
                <c:pt idx="440">
                  <c:v>41891</c:v>
                </c:pt>
                <c:pt idx="441">
                  <c:v>41892</c:v>
                </c:pt>
                <c:pt idx="442">
                  <c:v>41893</c:v>
                </c:pt>
                <c:pt idx="443">
                  <c:v>41894</c:v>
                </c:pt>
                <c:pt idx="444">
                  <c:v>41897</c:v>
                </c:pt>
                <c:pt idx="445">
                  <c:v>41898</c:v>
                </c:pt>
                <c:pt idx="446">
                  <c:v>41899</c:v>
                </c:pt>
                <c:pt idx="447">
                  <c:v>41900</c:v>
                </c:pt>
                <c:pt idx="448">
                  <c:v>41901</c:v>
                </c:pt>
                <c:pt idx="449">
                  <c:v>41904</c:v>
                </c:pt>
                <c:pt idx="450">
                  <c:v>41905</c:v>
                </c:pt>
                <c:pt idx="451">
                  <c:v>41906</c:v>
                </c:pt>
                <c:pt idx="452">
                  <c:v>41907</c:v>
                </c:pt>
                <c:pt idx="453">
                  <c:v>41908</c:v>
                </c:pt>
                <c:pt idx="454">
                  <c:v>41911</c:v>
                </c:pt>
                <c:pt idx="455">
                  <c:v>41912</c:v>
                </c:pt>
                <c:pt idx="456">
                  <c:v>41913</c:v>
                </c:pt>
                <c:pt idx="457">
                  <c:v>41914</c:v>
                </c:pt>
                <c:pt idx="458">
                  <c:v>41915</c:v>
                </c:pt>
                <c:pt idx="459">
                  <c:v>41918</c:v>
                </c:pt>
                <c:pt idx="460">
                  <c:v>41919</c:v>
                </c:pt>
                <c:pt idx="461">
                  <c:v>41920</c:v>
                </c:pt>
                <c:pt idx="462">
                  <c:v>41921</c:v>
                </c:pt>
                <c:pt idx="463">
                  <c:v>41922</c:v>
                </c:pt>
                <c:pt idx="464">
                  <c:v>41925</c:v>
                </c:pt>
                <c:pt idx="465">
                  <c:v>41926</c:v>
                </c:pt>
                <c:pt idx="466">
                  <c:v>41927</c:v>
                </c:pt>
                <c:pt idx="467">
                  <c:v>41928</c:v>
                </c:pt>
                <c:pt idx="468">
                  <c:v>41929</c:v>
                </c:pt>
                <c:pt idx="469">
                  <c:v>41932</c:v>
                </c:pt>
                <c:pt idx="470">
                  <c:v>41933</c:v>
                </c:pt>
                <c:pt idx="471">
                  <c:v>41934</c:v>
                </c:pt>
                <c:pt idx="472">
                  <c:v>41935</c:v>
                </c:pt>
                <c:pt idx="473">
                  <c:v>41936</c:v>
                </c:pt>
                <c:pt idx="474">
                  <c:v>41939</c:v>
                </c:pt>
                <c:pt idx="475">
                  <c:v>41940</c:v>
                </c:pt>
                <c:pt idx="476">
                  <c:v>41941</c:v>
                </c:pt>
                <c:pt idx="477">
                  <c:v>41942</c:v>
                </c:pt>
                <c:pt idx="478">
                  <c:v>41943</c:v>
                </c:pt>
                <c:pt idx="479">
                  <c:v>41946</c:v>
                </c:pt>
                <c:pt idx="480">
                  <c:v>41947</c:v>
                </c:pt>
                <c:pt idx="481">
                  <c:v>41948</c:v>
                </c:pt>
                <c:pt idx="482">
                  <c:v>41949</c:v>
                </c:pt>
                <c:pt idx="483">
                  <c:v>41950</c:v>
                </c:pt>
                <c:pt idx="484">
                  <c:v>41953</c:v>
                </c:pt>
                <c:pt idx="485">
                  <c:v>41954</c:v>
                </c:pt>
                <c:pt idx="486">
                  <c:v>41955</c:v>
                </c:pt>
                <c:pt idx="487">
                  <c:v>41956</c:v>
                </c:pt>
                <c:pt idx="488">
                  <c:v>41957</c:v>
                </c:pt>
                <c:pt idx="489">
                  <c:v>41960</c:v>
                </c:pt>
                <c:pt idx="490">
                  <c:v>41961</c:v>
                </c:pt>
                <c:pt idx="491">
                  <c:v>41962</c:v>
                </c:pt>
                <c:pt idx="492">
                  <c:v>41963</c:v>
                </c:pt>
                <c:pt idx="493">
                  <c:v>41964</c:v>
                </c:pt>
                <c:pt idx="494">
                  <c:v>41967</c:v>
                </c:pt>
                <c:pt idx="495">
                  <c:v>41968</c:v>
                </c:pt>
                <c:pt idx="496">
                  <c:v>41969</c:v>
                </c:pt>
                <c:pt idx="497">
                  <c:v>41970</c:v>
                </c:pt>
                <c:pt idx="498">
                  <c:v>41971</c:v>
                </c:pt>
                <c:pt idx="499">
                  <c:v>41974</c:v>
                </c:pt>
                <c:pt idx="500">
                  <c:v>41975</c:v>
                </c:pt>
                <c:pt idx="501">
                  <c:v>41976</c:v>
                </c:pt>
                <c:pt idx="502">
                  <c:v>41977</c:v>
                </c:pt>
                <c:pt idx="503">
                  <c:v>41978</c:v>
                </c:pt>
                <c:pt idx="504">
                  <c:v>41981</c:v>
                </c:pt>
                <c:pt idx="505">
                  <c:v>41982</c:v>
                </c:pt>
                <c:pt idx="506">
                  <c:v>41983</c:v>
                </c:pt>
                <c:pt idx="507">
                  <c:v>41984</c:v>
                </c:pt>
                <c:pt idx="508">
                  <c:v>41985</c:v>
                </c:pt>
                <c:pt idx="509">
                  <c:v>41988</c:v>
                </c:pt>
                <c:pt idx="510">
                  <c:v>41989</c:v>
                </c:pt>
                <c:pt idx="511">
                  <c:v>41990</c:v>
                </c:pt>
                <c:pt idx="512">
                  <c:v>41991</c:v>
                </c:pt>
                <c:pt idx="513">
                  <c:v>41992</c:v>
                </c:pt>
                <c:pt idx="514">
                  <c:v>41995</c:v>
                </c:pt>
                <c:pt idx="515">
                  <c:v>41996</c:v>
                </c:pt>
                <c:pt idx="516">
                  <c:v>41997</c:v>
                </c:pt>
                <c:pt idx="517">
                  <c:v>41998</c:v>
                </c:pt>
                <c:pt idx="518">
                  <c:v>41999</c:v>
                </c:pt>
                <c:pt idx="519">
                  <c:v>42002</c:v>
                </c:pt>
                <c:pt idx="520">
                  <c:v>42003</c:v>
                </c:pt>
                <c:pt idx="521">
                  <c:v>42004</c:v>
                </c:pt>
                <c:pt idx="522">
                  <c:v>42005</c:v>
                </c:pt>
                <c:pt idx="523">
                  <c:v>42006</c:v>
                </c:pt>
                <c:pt idx="524">
                  <c:v>42009</c:v>
                </c:pt>
                <c:pt idx="525">
                  <c:v>42010</c:v>
                </c:pt>
                <c:pt idx="526">
                  <c:v>42011</c:v>
                </c:pt>
                <c:pt idx="527">
                  <c:v>42012</c:v>
                </c:pt>
                <c:pt idx="528">
                  <c:v>42013</c:v>
                </c:pt>
                <c:pt idx="529">
                  <c:v>42016</c:v>
                </c:pt>
                <c:pt idx="530">
                  <c:v>42017</c:v>
                </c:pt>
                <c:pt idx="531">
                  <c:v>42018</c:v>
                </c:pt>
                <c:pt idx="532">
                  <c:v>42019</c:v>
                </c:pt>
                <c:pt idx="533">
                  <c:v>42020</c:v>
                </c:pt>
                <c:pt idx="534">
                  <c:v>42023</c:v>
                </c:pt>
                <c:pt idx="535">
                  <c:v>42024</c:v>
                </c:pt>
                <c:pt idx="536">
                  <c:v>42025</c:v>
                </c:pt>
                <c:pt idx="537">
                  <c:v>42026</c:v>
                </c:pt>
                <c:pt idx="538">
                  <c:v>42027</c:v>
                </c:pt>
                <c:pt idx="539">
                  <c:v>42030</c:v>
                </c:pt>
                <c:pt idx="540">
                  <c:v>42031</c:v>
                </c:pt>
                <c:pt idx="541">
                  <c:v>42032</c:v>
                </c:pt>
                <c:pt idx="542">
                  <c:v>42033</c:v>
                </c:pt>
                <c:pt idx="543">
                  <c:v>42034</c:v>
                </c:pt>
                <c:pt idx="544">
                  <c:v>42037</c:v>
                </c:pt>
                <c:pt idx="545">
                  <c:v>42038</c:v>
                </c:pt>
                <c:pt idx="546">
                  <c:v>42039</c:v>
                </c:pt>
                <c:pt idx="547">
                  <c:v>42040</c:v>
                </c:pt>
                <c:pt idx="548">
                  <c:v>42041</c:v>
                </c:pt>
                <c:pt idx="549">
                  <c:v>42044</c:v>
                </c:pt>
                <c:pt idx="550">
                  <c:v>42045</c:v>
                </c:pt>
                <c:pt idx="551">
                  <c:v>42046</c:v>
                </c:pt>
                <c:pt idx="552">
                  <c:v>42047</c:v>
                </c:pt>
                <c:pt idx="553">
                  <c:v>42048</c:v>
                </c:pt>
                <c:pt idx="554">
                  <c:v>42051</c:v>
                </c:pt>
                <c:pt idx="555">
                  <c:v>42052</c:v>
                </c:pt>
                <c:pt idx="556">
                  <c:v>42053</c:v>
                </c:pt>
                <c:pt idx="557">
                  <c:v>42054</c:v>
                </c:pt>
                <c:pt idx="558">
                  <c:v>42055</c:v>
                </c:pt>
                <c:pt idx="559">
                  <c:v>42058</c:v>
                </c:pt>
                <c:pt idx="560">
                  <c:v>42059</c:v>
                </c:pt>
                <c:pt idx="561">
                  <c:v>42060</c:v>
                </c:pt>
                <c:pt idx="562">
                  <c:v>42061</c:v>
                </c:pt>
                <c:pt idx="563">
                  <c:v>42062</c:v>
                </c:pt>
                <c:pt idx="564">
                  <c:v>42065</c:v>
                </c:pt>
                <c:pt idx="565">
                  <c:v>42066</c:v>
                </c:pt>
                <c:pt idx="566">
                  <c:v>42067</c:v>
                </c:pt>
                <c:pt idx="567">
                  <c:v>42068</c:v>
                </c:pt>
                <c:pt idx="568">
                  <c:v>42069</c:v>
                </c:pt>
                <c:pt idx="569">
                  <c:v>42072</c:v>
                </c:pt>
                <c:pt idx="570">
                  <c:v>42073</c:v>
                </c:pt>
                <c:pt idx="571">
                  <c:v>42074</c:v>
                </c:pt>
                <c:pt idx="572">
                  <c:v>42075</c:v>
                </c:pt>
                <c:pt idx="573">
                  <c:v>42076</c:v>
                </c:pt>
                <c:pt idx="574">
                  <c:v>42079</c:v>
                </c:pt>
                <c:pt idx="575">
                  <c:v>42080</c:v>
                </c:pt>
                <c:pt idx="576">
                  <c:v>42081</c:v>
                </c:pt>
                <c:pt idx="577">
                  <c:v>42082</c:v>
                </c:pt>
                <c:pt idx="578">
                  <c:v>42083</c:v>
                </c:pt>
                <c:pt idx="579">
                  <c:v>42086</c:v>
                </c:pt>
                <c:pt idx="580">
                  <c:v>42087</c:v>
                </c:pt>
                <c:pt idx="581">
                  <c:v>42088</c:v>
                </c:pt>
                <c:pt idx="582">
                  <c:v>42089</c:v>
                </c:pt>
                <c:pt idx="583">
                  <c:v>42090</c:v>
                </c:pt>
                <c:pt idx="584">
                  <c:v>42093</c:v>
                </c:pt>
                <c:pt idx="585">
                  <c:v>42094</c:v>
                </c:pt>
                <c:pt idx="586">
                  <c:v>42095</c:v>
                </c:pt>
                <c:pt idx="587">
                  <c:v>42096</c:v>
                </c:pt>
                <c:pt idx="588">
                  <c:v>42097</c:v>
                </c:pt>
                <c:pt idx="589">
                  <c:v>42100</c:v>
                </c:pt>
                <c:pt idx="590">
                  <c:v>42101</c:v>
                </c:pt>
                <c:pt idx="591">
                  <c:v>42102</c:v>
                </c:pt>
                <c:pt idx="592">
                  <c:v>42103</c:v>
                </c:pt>
                <c:pt idx="593">
                  <c:v>42104</c:v>
                </c:pt>
                <c:pt idx="594">
                  <c:v>42107</c:v>
                </c:pt>
                <c:pt idx="595">
                  <c:v>42108</c:v>
                </c:pt>
                <c:pt idx="596">
                  <c:v>42109</c:v>
                </c:pt>
                <c:pt idx="597">
                  <c:v>42110</c:v>
                </c:pt>
                <c:pt idx="598">
                  <c:v>42111</c:v>
                </c:pt>
                <c:pt idx="599">
                  <c:v>42114</c:v>
                </c:pt>
                <c:pt idx="600">
                  <c:v>42115</c:v>
                </c:pt>
                <c:pt idx="601">
                  <c:v>42116</c:v>
                </c:pt>
                <c:pt idx="602">
                  <c:v>42117</c:v>
                </c:pt>
                <c:pt idx="603">
                  <c:v>42118</c:v>
                </c:pt>
                <c:pt idx="604">
                  <c:v>42121</c:v>
                </c:pt>
                <c:pt idx="605">
                  <c:v>42122</c:v>
                </c:pt>
                <c:pt idx="606">
                  <c:v>42123</c:v>
                </c:pt>
                <c:pt idx="607">
                  <c:v>42124</c:v>
                </c:pt>
                <c:pt idx="608">
                  <c:v>42125</c:v>
                </c:pt>
                <c:pt idx="609">
                  <c:v>42128</c:v>
                </c:pt>
                <c:pt idx="610">
                  <c:v>42129</c:v>
                </c:pt>
                <c:pt idx="611">
                  <c:v>42130</c:v>
                </c:pt>
                <c:pt idx="612">
                  <c:v>42131</c:v>
                </c:pt>
                <c:pt idx="613">
                  <c:v>42132</c:v>
                </c:pt>
                <c:pt idx="614">
                  <c:v>42135</c:v>
                </c:pt>
                <c:pt idx="615">
                  <c:v>42136</c:v>
                </c:pt>
                <c:pt idx="616">
                  <c:v>42137</c:v>
                </c:pt>
                <c:pt idx="617">
                  <c:v>42138</c:v>
                </c:pt>
                <c:pt idx="618">
                  <c:v>42139</c:v>
                </c:pt>
                <c:pt idx="619">
                  <c:v>42142</c:v>
                </c:pt>
                <c:pt idx="620">
                  <c:v>42143</c:v>
                </c:pt>
                <c:pt idx="621">
                  <c:v>42144</c:v>
                </c:pt>
                <c:pt idx="622">
                  <c:v>42145</c:v>
                </c:pt>
                <c:pt idx="623">
                  <c:v>42146</c:v>
                </c:pt>
                <c:pt idx="624">
                  <c:v>42149</c:v>
                </c:pt>
                <c:pt idx="625">
                  <c:v>42150</c:v>
                </c:pt>
                <c:pt idx="626">
                  <c:v>42151</c:v>
                </c:pt>
                <c:pt idx="627">
                  <c:v>42152</c:v>
                </c:pt>
                <c:pt idx="628">
                  <c:v>42153</c:v>
                </c:pt>
                <c:pt idx="629">
                  <c:v>42156</c:v>
                </c:pt>
                <c:pt idx="630">
                  <c:v>42157</c:v>
                </c:pt>
                <c:pt idx="631">
                  <c:v>42158</c:v>
                </c:pt>
                <c:pt idx="632">
                  <c:v>42159</c:v>
                </c:pt>
                <c:pt idx="633">
                  <c:v>42160</c:v>
                </c:pt>
                <c:pt idx="634">
                  <c:v>42163</c:v>
                </c:pt>
                <c:pt idx="635">
                  <c:v>42164</c:v>
                </c:pt>
                <c:pt idx="636">
                  <c:v>42165</c:v>
                </c:pt>
                <c:pt idx="637">
                  <c:v>42166</c:v>
                </c:pt>
                <c:pt idx="638">
                  <c:v>42167</c:v>
                </c:pt>
                <c:pt idx="639">
                  <c:v>42170</c:v>
                </c:pt>
                <c:pt idx="640">
                  <c:v>42171</c:v>
                </c:pt>
                <c:pt idx="641">
                  <c:v>42172</c:v>
                </c:pt>
                <c:pt idx="642">
                  <c:v>42173</c:v>
                </c:pt>
                <c:pt idx="643">
                  <c:v>42174</c:v>
                </c:pt>
                <c:pt idx="644">
                  <c:v>42177</c:v>
                </c:pt>
                <c:pt idx="645">
                  <c:v>42178</c:v>
                </c:pt>
                <c:pt idx="646">
                  <c:v>42179</c:v>
                </c:pt>
                <c:pt idx="647">
                  <c:v>42180</c:v>
                </c:pt>
                <c:pt idx="648">
                  <c:v>42181</c:v>
                </c:pt>
                <c:pt idx="649">
                  <c:v>42184</c:v>
                </c:pt>
                <c:pt idx="650">
                  <c:v>42185</c:v>
                </c:pt>
                <c:pt idx="651">
                  <c:v>42186</c:v>
                </c:pt>
                <c:pt idx="652">
                  <c:v>42187</c:v>
                </c:pt>
                <c:pt idx="653">
                  <c:v>42188</c:v>
                </c:pt>
                <c:pt idx="654">
                  <c:v>42191</c:v>
                </c:pt>
                <c:pt idx="655">
                  <c:v>42192</c:v>
                </c:pt>
                <c:pt idx="656">
                  <c:v>42193</c:v>
                </c:pt>
                <c:pt idx="657">
                  <c:v>42194</c:v>
                </c:pt>
                <c:pt idx="658">
                  <c:v>42195</c:v>
                </c:pt>
                <c:pt idx="659">
                  <c:v>42198</c:v>
                </c:pt>
                <c:pt idx="660">
                  <c:v>42199</c:v>
                </c:pt>
                <c:pt idx="661">
                  <c:v>42200</c:v>
                </c:pt>
                <c:pt idx="662">
                  <c:v>42201</c:v>
                </c:pt>
                <c:pt idx="663">
                  <c:v>42202</c:v>
                </c:pt>
                <c:pt idx="664">
                  <c:v>42205</c:v>
                </c:pt>
                <c:pt idx="665">
                  <c:v>42206</c:v>
                </c:pt>
                <c:pt idx="666">
                  <c:v>42207</c:v>
                </c:pt>
                <c:pt idx="667">
                  <c:v>42208</c:v>
                </c:pt>
                <c:pt idx="668">
                  <c:v>42209</c:v>
                </c:pt>
                <c:pt idx="669">
                  <c:v>42212</c:v>
                </c:pt>
                <c:pt idx="670">
                  <c:v>42213</c:v>
                </c:pt>
                <c:pt idx="671">
                  <c:v>42214</c:v>
                </c:pt>
                <c:pt idx="672">
                  <c:v>42215</c:v>
                </c:pt>
                <c:pt idx="673">
                  <c:v>42216</c:v>
                </c:pt>
                <c:pt idx="674">
                  <c:v>42219</c:v>
                </c:pt>
                <c:pt idx="675">
                  <c:v>42220</c:v>
                </c:pt>
                <c:pt idx="676">
                  <c:v>42221</c:v>
                </c:pt>
                <c:pt idx="677">
                  <c:v>42222</c:v>
                </c:pt>
                <c:pt idx="678">
                  <c:v>42223</c:v>
                </c:pt>
                <c:pt idx="679">
                  <c:v>42226</c:v>
                </c:pt>
                <c:pt idx="680">
                  <c:v>42227</c:v>
                </c:pt>
                <c:pt idx="681">
                  <c:v>42228</c:v>
                </c:pt>
                <c:pt idx="682">
                  <c:v>42229</c:v>
                </c:pt>
                <c:pt idx="683">
                  <c:v>42230</c:v>
                </c:pt>
                <c:pt idx="684">
                  <c:v>42233</c:v>
                </c:pt>
                <c:pt idx="685">
                  <c:v>42234</c:v>
                </c:pt>
                <c:pt idx="686">
                  <c:v>42235</c:v>
                </c:pt>
                <c:pt idx="687">
                  <c:v>42236</c:v>
                </c:pt>
                <c:pt idx="688">
                  <c:v>42237</c:v>
                </c:pt>
                <c:pt idx="689">
                  <c:v>42240</c:v>
                </c:pt>
                <c:pt idx="690">
                  <c:v>42241</c:v>
                </c:pt>
                <c:pt idx="691">
                  <c:v>42242</c:v>
                </c:pt>
                <c:pt idx="692">
                  <c:v>42243</c:v>
                </c:pt>
                <c:pt idx="693">
                  <c:v>42244</c:v>
                </c:pt>
                <c:pt idx="694">
                  <c:v>42247</c:v>
                </c:pt>
                <c:pt idx="695">
                  <c:v>42248</c:v>
                </c:pt>
                <c:pt idx="696">
                  <c:v>42249</c:v>
                </c:pt>
                <c:pt idx="697">
                  <c:v>42250</c:v>
                </c:pt>
                <c:pt idx="698">
                  <c:v>42251</c:v>
                </c:pt>
                <c:pt idx="699">
                  <c:v>42254</c:v>
                </c:pt>
                <c:pt idx="700">
                  <c:v>42255</c:v>
                </c:pt>
                <c:pt idx="701">
                  <c:v>42256</c:v>
                </c:pt>
                <c:pt idx="702">
                  <c:v>42257</c:v>
                </c:pt>
                <c:pt idx="703">
                  <c:v>42258</c:v>
                </c:pt>
                <c:pt idx="704">
                  <c:v>42261</c:v>
                </c:pt>
                <c:pt idx="705">
                  <c:v>42262</c:v>
                </c:pt>
                <c:pt idx="706">
                  <c:v>42263</c:v>
                </c:pt>
                <c:pt idx="707">
                  <c:v>42264</c:v>
                </c:pt>
                <c:pt idx="708">
                  <c:v>42265</c:v>
                </c:pt>
                <c:pt idx="709">
                  <c:v>42268</c:v>
                </c:pt>
                <c:pt idx="710">
                  <c:v>42269</c:v>
                </c:pt>
                <c:pt idx="711">
                  <c:v>42270</c:v>
                </c:pt>
                <c:pt idx="712">
                  <c:v>42271</c:v>
                </c:pt>
                <c:pt idx="713">
                  <c:v>42272</c:v>
                </c:pt>
                <c:pt idx="714">
                  <c:v>42275</c:v>
                </c:pt>
                <c:pt idx="715">
                  <c:v>42276</c:v>
                </c:pt>
                <c:pt idx="716">
                  <c:v>42277</c:v>
                </c:pt>
                <c:pt idx="717">
                  <c:v>42278</c:v>
                </c:pt>
                <c:pt idx="718">
                  <c:v>42279</c:v>
                </c:pt>
                <c:pt idx="719">
                  <c:v>42282</c:v>
                </c:pt>
                <c:pt idx="720">
                  <c:v>42283</c:v>
                </c:pt>
                <c:pt idx="721">
                  <c:v>42284</c:v>
                </c:pt>
                <c:pt idx="722">
                  <c:v>42285</c:v>
                </c:pt>
                <c:pt idx="723">
                  <c:v>42286</c:v>
                </c:pt>
                <c:pt idx="724">
                  <c:v>42289</c:v>
                </c:pt>
                <c:pt idx="725">
                  <c:v>42290</c:v>
                </c:pt>
                <c:pt idx="726">
                  <c:v>42291</c:v>
                </c:pt>
                <c:pt idx="727">
                  <c:v>42292</c:v>
                </c:pt>
                <c:pt idx="728">
                  <c:v>42293</c:v>
                </c:pt>
                <c:pt idx="729">
                  <c:v>42296</c:v>
                </c:pt>
                <c:pt idx="730">
                  <c:v>42297</c:v>
                </c:pt>
                <c:pt idx="731">
                  <c:v>42298</c:v>
                </c:pt>
                <c:pt idx="732">
                  <c:v>42299</c:v>
                </c:pt>
                <c:pt idx="733">
                  <c:v>42300</c:v>
                </c:pt>
                <c:pt idx="734">
                  <c:v>42303</c:v>
                </c:pt>
                <c:pt idx="735">
                  <c:v>42304</c:v>
                </c:pt>
                <c:pt idx="736">
                  <c:v>42305</c:v>
                </c:pt>
                <c:pt idx="737">
                  <c:v>42306</c:v>
                </c:pt>
                <c:pt idx="738">
                  <c:v>42307</c:v>
                </c:pt>
                <c:pt idx="739">
                  <c:v>42310</c:v>
                </c:pt>
                <c:pt idx="740">
                  <c:v>42311</c:v>
                </c:pt>
                <c:pt idx="741">
                  <c:v>42312</c:v>
                </c:pt>
                <c:pt idx="742">
                  <c:v>42313</c:v>
                </c:pt>
                <c:pt idx="743">
                  <c:v>42314</c:v>
                </c:pt>
                <c:pt idx="744">
                  <c:v>42317</c:v>
                </c:pt>
                <c:pt idx="745">
                  <c:v>42318</c:v>
                </c:pt>
                <c:pt idx="746">
                  <c:v>42319</c:v>
                </c:pt>
                <c:pt idx="747">
                  <c:v>42320</c:v>
                </c:pt>
                <c:pt idx="748">
                  <c:v>42321</c:v>
                </c:pt>
                <c:pt idx="749">
                  <c:v>42324</c:v>
                </c:pt>
                <c:pt idx="750">
                  <c:v>42325</c:v>
                </c:pt>
                <c:pt idx="751">
                  <c:v>42326</c:v>
                </c:pt>
                <c:pt idx="752">
                  <c:v>42327</c:v>
                </c:pt>
                <c:pt idx="753">
                  <c:v>42328</c:v>
                </c:pt>
                <c:pt idx="754">
                  <c:v>42331</c:v>
                </c:pt>
                <c:pt idx="755">
                  <c:v>42332</c:v>
                </c:pt>
                <c:pt idx="756">
                  <c:v>42333</c:v>
                </c:pt>
                <c:pt idx="757">
                  <c:v>42334</c:v>
                </c:pt>
                <c:pt idx="758">
                  <c:v>42335</c:v>
                </c:pt>
                <c:pt idx="759">
                  <c:v>42338</c:v>
                </c:pt>
                <c:pt idx="760">
                  <c:v>42339</c:v>
                </c:pt>
                <c:pt idx="761">
                  <c:v>42340</c:v>
                </c:pt>
                <c:pt idx="762">
                  <c:v>42341</c:v>
                </c:pt>
                <c:pt idx="763">
                  <c:v>42342</c:v>
                </c:pt>
                <c:pt idx="764">
                  <c:v>42345</c:v>
                </c:pt>
                <c:pt idx="765">
                  <c:v>42346</c:v>
                </c:pt>
                <c:pt idx="766">
                  <c:v>42347</c:v>
                </c:pt>
                <c:pt idx="767">
                  <c:v>42348</c:v>
                </c:pt>
                <c:pt idx="768">
                  <c:v>42349</c:v>
                </c:pt>
                <c:pt idx="769">
                  <c:v>42352</c:v>
                </c:pt>
                <c:pt idx="770">
                  <c:v>42353</c:v>
                </c:pt>
                <c:pt idx="771">
                  <c:v>42354</c:v>
                </c:pt>
                <c:pt idx="772">
                  <c:v>42355</c:v>
                </c:pt>
                <c:pt idx="773">
                  <c:v>42356</c:v>
                </c:pt>
                <c:pt idx="774">
                  <c:v>42359</c:v>
                </c:pt>
                <c:pt idx="775">
                  <c:v>42360</c:v>
                </c:pt>
                <c:pt idx="776">
                  <c:v>42361</c:v>
                </c:pt>
                <c:pt idx="777">
                  <c:v>42362</c:v>
                </c:pt>
                <c:pt idx="778">
                  <c:v>42363</c:v>
                </c:pt>
                <c:pt idx="779">
                  <c:v>42366</c:v>
                </c:pt>
                <c:pt idx="780">
                  <c:v>42367</c:v>
                </c:pt>
                <c:pt idx="781">
                  <c:v>42368</c:v>
                </c:pt>
                <c:pt idx="782">
                  <c:v>42369</c:v>
                </c:pt>
                <c:pt idx="783">
                  <c:v>42370</c:v>
                </c:pt>
                <c:pt idx="784">
                  <c:v>42373</c:v>
                </c:pt>
                <c:pt idx="785">
                  <c:v>42374</c:v>
                </c:pt>
                <c:pt idx="786">
                  <c:v>42375</c:v>
                </c:pt>
                <c:pt idx="787">
                  <c:v>42376</c:v>
                </c:pt>
                <c:pt idx="788">
                  <c:v>42377</c:v>
                </c:pt>
                <c:pt idx="789">
                  <c:v>42380</c:v>
                </c:pt>
                <c:pt idx="790">
                  <c:v>42381</c:v>
                </c:pt>
                <c:pt idx="791">
                  <c:v>42382</c:v>
                </c:pt>
                <c:pt idx="792">
                  <c:v>42383</c:v>
                </c:pt>
                <c:pt idx="793">
                  <c:v>42384</c:v>
                </c:pt>
                <c:pt idx="794">
                  <c:v>42387</c:v>
                </c:pt>
                <c:pt idx="795">
                  <c:v>42388</c:v>
                </c:pt>
                <c:pt idx="796">
                  <c:v>42389</c:v>
                </c:pt>
                <c:pt idx="797">
                  <c:v>42390</c:v>
                </c:pt>
                <c:pt idx="798">
                  <c:v>42391</c:v>
                </c:pt>
                <c:pt idx="799">
                  <c:v>42394</c:v>
                </c:pt>
                <c:pt idx="800">
                  <c:v>42395</c:v>
                </c:pt>
                <c:pt idx="801">
                  <c:v>42396</c:v>
                </c:pt>
                <c:pt idx="802">
                  <c:v>42397</c:v>
                </c:pt>
                <c:pt idx="803">
                  <c:v>42398</c:v>
                </c:pt>
                <c:pt idx="804">
                  <c:v>42401</c:v>
                </c:pt>
                <c:pt idx="805">
                  <c:v>42402</c:v>
                </c:pt>
                <c:pt idx="806">
                  <c:v>42403</c:v>
                </c:pt>
                <c:pt idx="807">
                  <c:v>42404</c:v>
                </c:pt>
                <c:pt idx="808">
                  <c:v>42405</c:v>
                </c:pt>
                <c:pt idx="809">
                  <c:v>42408</c:v>
                </c:pt>
                <c:pt idx="810">
                  <c:v>42409</c:v>
                </c:pt>
                <c:pt idx="811">
                  <c:v>42410</c:v>
                </c:pt>
                <c:pt idx="812">
                  <c:v>42411</c:v>
                </c:pt>
                <c:pt idx="813">
                  <c:v>42412</c:v>
                </c:pt>
                <c:pt idx="814">
                  <c:v>42415</c:v>
                </c:pt>
                <c:pt idx="815">
                  <c:v>42416</c:v>
                </c:pt>
                <c:pt idx="816">
                  <c:v>42417</c:v>
                </c:pt>
                <c:pt idx="817">
                  <c:v>42418</c:v>
                </c:pt>
                <c:pt idx="818">
                  <c:v>42419</c:v>
                </c:pt>
                <c:pt idx="819">
                  <c:v>42422</c:v>
                </c:pt>
                <c:pt idx="820">
                  <c:v>42423</c:v>
                </c:pt>
                <c:pt idx="821">
                  <c:v>42424</c:v>
                </c:pt>
                <c:pt idx="822">
                  <c:v>42425</c:v>
                </c:pt>
                <c:pt idx="823">
                  <c:v>42426</c:v>
                </c:pt>
                <c:pt idx="824">
                  <c:v>42429</c:v>
                </c:pt>
                <c:pt idx="825">
                  <c:v>42430</c:v>
                </c:pt>
                <c:pt idx="826">
                  <c:v>42431</c:v>
                </c:pt>
                <c:pt idx="827">
                  <c:v>42432</c:v>
                </c:pt>
                <c:pt idx="828">
                  <c:v>42433</c:v>
                </c:pt>
                <c:pt idx="829">
                  <c:v>42436</c:v>
                </c:pt>
                <c:pt idx="830">
                  <c:v>42437</c:v>
                </c:pt>
                <c:pt idx="831">
                  <c:v>42438</c:v>
                </c:pt>
                <c:pt idx="832">
                  <c:v>42439</c:v>
                </c:pt>
                <c:pt idx="833">
                  <c:v>42440</c:v>
                </c:pt>
                <c:pt idx="834">
                  <c:v>42443</c:v>
                </c:pt>
                <c:pt idx="835">
                  <c:v>42444</c:v>
                </c:pt>
                <c:pt idx="836">
                  <c:v>42445</c:v>
                </c:pt>
                <c:pt idx="837">
                  <c:v>42446</c:v>
                </c:pt>
                <c:pt idx="838">
                  <c:v>42447</c:v>
                </c:pt>
                <c:pt idx="839">
                  <c:v>42450</c:v>
                </c:pt>
                <c:pt idx="840">
                  <c:v>42451</c:v>
                </c:pt>
                <c:pt idx="841">
                  <c:v>42452</c:v>
                </c:pt>
                <c:pt idx="842">
                  <c:v>42453</c:v>
                </c:pt>
                <c:pt idx="843">
                  <c:v>42454</c:v>
                </c:pt>
                <c:pt idx="844">
                  <c:v>42457</c:v>
                </c:pt>
                <c:pt idx="845">
                  <c:v>42458</c:v>
                </c:pt>
                <c:pt idx="846">
                  <c:v>42459</c:v>
                </c:pt>
                <c:pt idx="847">
                  <c:v>42460</c:v>
                </c:pt>
                <c:pt idx="848">
                  <c:v>42461</c:v>
                </c:pt>
                <c:pt idx="849">
                  <c:v>42464</c:v>
                </c:pt>
                <c:pt idx="850">
                  <c:v>42465</c:v>
                </c:pt>
                <c:pt idx="851">
                  <c:v>42466</c:v>
                </c:pt>
                <c:pt idx="852">
                  <c:v>42467</c:v>
                </c:pt>
                <c:pt idx="853">
                  <c:v>42468</c:v>
                </c:pt>
                <c:pt idx="854">
                  <c:v>42471</c:v>
                </c:pt>
                <c:pt idx="855">
                  <c:v>42472</c:v>
                </c:pt>
                <c:pt idx="856">
                  <c:v>42473</c:v>
                </c:pt>
                <c:pt idx="857">
                  <c:v>42474</c:v>
                </c:pt>
                <c:pt idx="858">
                  <c:v>42475</c:v>
                </c:pt>
                <c:pt idx="859">
                  <c:v>42478</c:v>
                </c:pt>
                <c:pt idx="860">
                  <c:v>42479</c:v>
                </c:pt>
                <c:pt idx="861">
                  <c:v>42480</c:v>
                </c:pt>
                <c:pt idx="862">
                  <c:v>42481</c:v>
                </c:pt>
                <c:pt idx="863">
                  <c:v>42482</c:v>
                </c:pt>
                <c:pt idx="864">
                  <c:v>42485</c:v>
                </c:pt>
                <c:pt idx="865">
                  <c:v>42486</c:v>
                </c:pt>
                <c:pt idx="866">
                  <c:v>42487</c:v>
                </c:pt>
                <c:pt idx="867">
                  <c:v>42488</c:v>
                </c:pt>
                <c:pt idx="868">
                  <c:v>42489</c:v>
                </c:pt>
                <c:pt idx="869">
                  <c:v>42492</c:v>
                </c:pt>
                <c:pt idx="870">
                  <c:v>42493</c:v>
                </c:pt>
                <c:pt idx="871">
                  <c:v>42494</c:v>
                </c:pt>
                <c:pt idx="872">
                  <c:v>42495</c:v>
                </c:pt>
                <c:pt idx="873">
                  <c:v>42496</c:v>
                </c:pt>
                <c:pt idx="874">
                  <c:v>42499</c:v>
                </c:pt>
                <c:pt idx="875">
                  <c:v>42500</c:v>
                </c:pt>
                <c:pt idx="876">
                  <c:v>42501</c:v>
                </c:pt>
                <c:pt idx="877">
                  <c:v>42502</c:v>
                </c:pt>
                <c:pt idx="878">
                  <c:v>42503</c:v>
                </c:pt>
                <c:pt idx="879">
                  <c:v>42506</c:v>
                </c:pt>
                <c:pt idx="880">
                  <c:v>42507</c:v>
                </c:pt>
                <c:pt idx="881">
                  <c:v>42508</c:v>
                </c:pt>
                <c:pt idx="882">
                  <c:v>42509</c:v>
                </c:pt>
                <c:pt idx="883">
                  <c:v>42510</c:v>
                </c:pt>
                <c:pt idx="884">
                  <c:v>42513</c:v>
                </c:pt>
                <c:pt idx="885">
                  <c:v>42514</c:v>
                </c:pt>
                <c:pt idx="886">
                  <c:v>42515</c:v>
                </c:pt>
                <c:pt idx="887">
                  <c:v>42516</c:v>
                </c:pt>
                <c:pt idx="888">
                  <c:v>42517</c:v>
                </c:pt>
                <c:pt idx="889">
                  <c:v>42520</c:v>
                </c:pt>
                <c:pt idx="890">
                  <c:v>42521</c:v>
                </c:pt>
                <c:pt idx="891">
                  <c:v>42522</c:v>
                </c:pt>
                <c:pt idx="892">
                  <c:v>42523</c:v>
                </c:pt>
                <c:pt idx="893">
                  <c:v>42524</c:v>
                </c:pt>
                <c:pt idx="894">
                  <c:v>42527</c:v>
                </c:pt>
                <c:pt idx="895">
                  <c:v>42528</c:v>
                </c:pt>
                <c:pt idx="896">
                  <c:v>42529</c:v>
                </c:pt>
                <c:pt idx="897">
                  <c:v>42530</c:v>
                </c:pt>
                <c:pt idx="898">
                  <c:v>42531</c:v>
                </c:pt>
                <c:pt idx="899">
                  <c:v>42534</c:v>
                </c:pt>
                <c:pt idx="900">
                  <c:v>42535</c:v>
                </c:pt>
                <c:pt idx="901">
                  <c:v>42536</c:v>
                </c:pt>
                <c:pt idx="902">
                  <c:v>42537</c:v>
                </c:pt>
                <c:pt idx="903">
                  <c:v>42538</c:v>
                </c:pt>
                <c:pt idx="904">
                  <c:v>42541</c:v>
                </c:pt>
                <c:pt idx="905">
                  <c:v>42542</c:v>
                </c:pt>
                <c:pt idx="906">
                  <c:v>42543</c:v>
                </c:pt>
                <c:pt idx="907">
                  <c:v>42544</c:v>
                </c:pt>
                <c:pt idx="908">
                  <c:v>42545</c:v>
                </c:pt>
                <c:pt idx="909">
                  <c:v>42548</c:v>
                </c:pt>
                <c:pt idx="910">
                  <c:v>42549</c:v>
                </c:pt>
                <c:pt idx="911">
                  <c:v>42550</c:v>
                </c:pt>
                <c:pt idx="912">
                  <c:v>42551</c:v>
                </c:pt>
                <c:pt idx="913">
                  <c:v>42552</c:v>
                </c:pt>
                <c:pt idx="914">
                  <c:v>42555</c:v>
                </c:pt>
                <c:pt idx="915">
                  <c:v>42556</c:v>
                </c:pt>
                <c:pt idx="916">
                  <c:v>42557</c:v>
                </c:pt>
                <c:pt idx="917">
                  <c:v>42558</c:v>
                </c:pt>
                <c:pt idx="918">
                  <c:v>42559</c:v>
                </c:pt>
                <c:pt idx="919">
                  <c:v>42562</c:v>
                </c:pt>
                <c:pt idx="920">
                  <c:v>42563</c:v>
                </c:pt>
                <c:pt idx="921">
                  <c:v>42564</c:v>
                </c:pt>
                <c:pt idx="922">
                  <c:v>42565</c:v>
                </c:pt>
                <c:pt idx="923">
                  <c:v>42566</c:v>
                </c:pt>
                <c:pt idx="924">
                  <c:v>42569</c:v>
                </c:pt>
                <c:pt idx="925">
                  <c:v>42570</c:v>
                </c:pt>
                <c:pt idx="926">
                  <c:v>42571</c:v>
                </c:pt>
                <c:pt idx="927">
                  <c:v>42572</c:v>
                </c:pt>
                <c:pt idx="928">
                  <c:v>42573</c:v>
                </c:pt>
                <c:pt idx="929">
                  <c:v>42576</c:v>
                </c:pt>
                <c:pt idx="930">
                  <c:v>42577</c:v>
                </c:pt>
                <c:pt idx="931">
                  <c:v>42578</c:v>
                </c:pt>
                <c:pt idx="932">
                  <c:v>42579</c:v>
                </c:pt>
                <c:pt idx="933">
                  <c:v>42580</c:v>
                </c:pt>
                <c:pt idx="934">
                  <c:v>42583</c:v>
                </c:pt>
                <c:pt idx="935">
                  <c:v>42584</c:v>
                </c:pt>
                <c:pt idx="936">
                  <c:v>42585</c:v>
                </c:pt>
                <c:pt idx="937">
                  <c:v>42586</c:v>
                </c:pt>
                <c:pt idx="938">
                  <c:v>42587</c:v>
                </c:pt>
                <c:pt idx="939">
                  <c:v>42590</c:v>
                </c:pt>
                <c:pt idx="940">
                  <c:v>42591</c:v>
                </c:pt>
              </c:numCache>
            </c:numRef>
          </c:cat>
          <c:val>
            <c:numRef>
              <c:f>[0]!longExoRange</c:f>
              <c:numCache>
                <c:formatCode>General</c:formatCode>
                <c:ptCount val="941"/>
                <c:pt idx="0">
                  <c:v>0</c:v>
                </c:pt>
                <c:pt idx="1">
                  <c:v>0</c:v>
                </c:pt>
                <c:pt idx="2">
                  <c:v>4488.4999999999991</c:v>
                </c:pt>
                <c:pt idx="3">
                  <c:v>7689.2000000000007</c:v>
                </c:pt>
                <c:pt idx="4">
                  <c:v>10734.8</c:v>
                </c:pt>
                <c:pt idx="5">
                  <c:v>14579.4</c:v>
                </c:pt>
                <c:pt idx="6">
                  <c:v>19575.5</c:v>
                </c:pt>
                <c:pt idx="7">
                  <c:v>20003.2</c:v>
                </c:pt>
                <c:pt idx="8">
                  <c:v>21605.9</c:v>
                </c:pt>
                <c:pt idx="9">
                  <c:v>22724.5</c:v>
                </c:pt>
                <c:pt idx="10">
                  <c:v>24115.699999999997</c:v>
                </c:pt>
                <c:pt idx="11">
                  <c:v>26677.199999999997</c:v>
                </c:pt>
                <c:pt idx="12">
                  <c:v>26677.199999999997</c:v>
                </c:pt>
                <c:pt idx="13">
                  <c:v>27212.999999999996</c:v>
                </c:pt>
                <c:pt idx="14">
                  <c:v>27212.999999999996</c:v>
                </c:pt>
                <c:pt idx="15">
                  <c:v>26799.399999999998</c:v>
                </c:pt>
                <c:pt idx="16">
                  <c:v>28171.8</c:v>
                </c:pt>
                <c:pt idx="17">
                  <c:v>18438.099999999999</c:v>
                </c:pt>
                <c:pt idx="18">
                  <c:v>18574.400000000001</c:v>
                </c:pt>
                <c:pt idx="19">
                  <c:v>20228.800000000003</c:v>
                </c:pt>
                <c:pt idx="20">
                  <c:v>18381.700000000004</c:v>
                </c:pt>
                <c:pt idx="21">
                  <c:v>29121.200000000004</c:v>
                </c:pt>
                <c:pt idx="22">
                  <c:v>26606.700000000004</c:v>
                </c:pt>
                <c:pt idx="23">
                  <c:v>42180</c:v>
                </c:pt>
                <c:pt idx="24">
                  <c:v>39388.199999999997</c:v>
                </c:pt>
                <c:pt idx="25">
                  <c:v>38330.699999999997</c:v>
                </c:pt>
                <c:pt idx="26">
                  <c:v>38330.699999999997</c:v>
                </c:pt>
                <c:pt idx="27">
                  <c:v>37390.699999999997</c:v>
                </c:pt>
                <c:pt idx="28">
                  <c:v>36511.799999999996</c:v>
                </c:pt>
                <c:pt idx="29">
                  <c:v>34866.799999999996</c:v>
                </c:pt>
                <c:pt idx="30">
                  <c:v>31811.799999999996</c:v>
                </c:pt>
                <c:pt idx="31">
                  <c:v>25466.799999999996</c:v>
                </c:pt>
                <c:pt idx="32">
                  <c:v>18355.699999999997</c:v>
                </c:pt>
                <c:pt idx="33">
                  <c:v>16593.199999999997</c:v>
                </c:pt>
                <c:pt idx="34">
                  <c:v>16593.199999999997</c:v>
                </c:pt>
                <c:pt idx="35">
                  <c:v>15653.199999999997</c:v>
                </c:pt>
                <c:pt idx="36">
                  <c:v>15451.099999999997</c:v>
                </c:pt>
                <c:pt idx="37">
                  <c:v>16508.599999999999</c:v>
                </c:pt>
                <c:pt idx="38">
                  <c:v>18858.599999999999</c:v>
                </c:pt>
                <c:pt idx="39">
                  <c:v>18858.599999999999</c:v>
                </c:pt>
                <c:pt idx="40">
                  <c:v>19563.599999999999</c:v>
                </c:pt>
                <c:pt idx="41">
                  <c:v>19563.599999999999</c:v>
                </c:pt>
                <c:pt idx="42">
                  <c:v>19474.299999999996</c:v>
                </c:pt>
                <c:pt idx="43">
                  <c:v>9747.4999999999964</c:v>
                </c:pt>
                <c:pt idx="44">
                  <c:v>13662.599999999999</c:v>
                </c:pt>
                <c:pt idx="45">
                  <c:v>9413.7999999999975</c:v>
                </c:pt>
                <c:pt idx="46">
                  <c:v>4375.399999999996</c:v>
                </c:pt>
                <c:pt idx="47">
                  <c:v>-381.00000000000728</c:v>
                </c:pt>
                <c:pt idx="48">
                  <c:v>-1720.5000000000055</c:v>
                </c:pt>
                <c:pt idx="49">
                  <c:v>-5081.0000000000073</c:v>
                </c:pt>
                <c:pt idx="50">
                  <c:v>-8606.0000000000073</c:v>
                </c:pt>
                <c:pt idx="51">
                  <c:v>-9696.4000000000069</c:v>
                </c:pt>
                <c:pt idx="52">
                  <c:v>-7346.4000000000069</c:v>
                </c:pt>
                <c:pt idx="53">
                  <c:v>-3962.4000000000015</c:v>
                </c:pt>
                <c:pt idx="54">
                  <c:v>-3962.4000000000015</c:v>
                </c:pt>
                <c:pt idx="55">
                  <c:v>-3962.4000000000015</c:v>
                </c:pt>
                <c:pt idx="56">
                  <c:v>-7990.3000000000011</c:v>
                </c:pt>
                <c:pt idx="57">
                  <c:v>-7595.5000000000055</c:v>
                </c:pt>
                <c:pt idx="58">
                  <c:v>-9108.9000000000069</c:v>
                </c:pt>
                <c:pt idx="59">
                  <c:v>-8690.6000000000076</c:v>
                </c:pt>
                <c:pt idx="60">
                  <c:v>-8577.8000000000011</c:v>
                </c:pt>
                <c:pt idx="61">
                  <c:v>-9499</c:v>
                </c:pt>
                <c:pt idx="62">
                  <c:v>-9442.6000000000058</c:v>
                </c:pt>
                <c:pt idx="63">
                  <c:v>-23740.000000000004</c:v>
                </c:pt>
                <c:pt idx="64">
                  <c:v>-28560.000000000004</c:v>
                </c:pt>
                <c:pt idx="65">
                  <c:v>-20922.500000000004</c:v>
                </c:pt>
                <c:pt idx="66">
                  <c:v>-20922.500000000004</c:v>
                </c:pt>
                <c:pt idx="67">
                  <c:v>-29735.000000000004</c:v>
                </c:pt>
                <c:pt idx="68">
                  <c:v>-27920.800000000003</c:v>
                </c:pt>
                <c:pt idx="69">
                  <c:v>-35638.199999999997</c:v>
                </c:pt>
                <c:pt idx="70">
                  <c:v>-33072</c:v>
                </c:pt>
                <c:pt idx="71">
                  <c:v>-37076.400000000009</c:v>
                </c:pt>
                <c:pt idx="72">
                  <c:v>-35210.500000000007</c:v>
                </c:pt>
                <c:pt idx="73">
                  <c:v>-35210.500000000007</c:v>
                </c:pt>
                <c:pt idx="74">
                  <c:v>-35210.500000000007</c:v>
                </c:pt>
                <c:pt idx="75">
                  <c:v>-41673</c:v>
                </c:pt>
                <c:pt idx="76">
                  <c:v>-37663.900000000009</c:v>
                </c:pt>
                <c:pt idx="77">
                  <c:v>-38627.4</c:v>
                </c:pt>
                <c:pt idx="78">
                  <c:v>-38627.4</c:v>
                </c:pt>
                <c:pt idx="79">
                  <c:v>-37692.100000000006</c:v>
                </c:pt>
                <c:pt idx="80">
                  <c:v>-37052.900000000009</c:v>
                </c:pt>
                <c:pt idx="81">
                  <c:v>-37052.900000000009</c:v>
                </c:pt>
                <c:pt idx="82">
                  <c:v>-36517.100000000006</c:v>
                </c:pt>
                <c:pt idx="83">
                  <c:v>-36197.500000000007</c:v>
                </c:pt>
                <c:pt idx="84">
                  <c:v>-36197.500000000007</c:v>
                </c:pt>
                <c:pt idx="85">
                  <c:v>-36225.700000000004</c:v>
                </c:pt>
                <c:pt idx="86">
                  <c:v>-35142.500000000007</c:v>
                </c:pt>
                <c:pt idx="87">
                  <c:v>-32331.9</c:v>
                </c:pt>
                <c:pt idx="88">
                  <c:v>-32331.9</c:v>
                </c:pt>
                <c:pt idx="89">
                  <c:v>-32331.9</c:v>
                </c:pt>
                <c:pt idx="90">
                  <c:v>-31363.700000000004</c:v>
                </c:pt>
                <c:pt idx="91">
                  <c:v>-29521.300000000007</c:v>
                </c:pt>
                <c:pt idx="92">
                  <c:v>-29521.300000000007</c:v>
                </c:pt>
                <c:pt idx="93">
                  <c:v>-29521.300000000007</c:v>
                </c:pt>
                <c:pt idx="94">
                  <c:v>-29521.300000000007</c:v>
                </c:pt>
                <c:pt idx="95">
                  <c:v>-26663.700000000004</c:v>
                </c:pt>
                <c:pt idx="96">
                  <c:v>-26663.700000000004</c:v>
                </c:pt>
                <c:pt idx="97">
                  <c:v>-30339.100000000006</c:v>
                </c:pt>
                <c:pt idx="98">
                  <c:v>-30339.100000000006</c:v>
                </c:pt>
                <c:pt idx="99">
                  <c:v>-30339.100000000006</c:v>
                </c:pt>
                <c:pt idx="100">
                  <c:v>-30339.100000000006</c:v>
                </c:pt>
                <c:pt idx="101">
                  <c:v>-29521.30000000001</c:v>
                </c:pt>
                <c:pt idx="102">
                  <c:v>-29521.30000000001</c:v>
                </c:pt>
                <c:pt idx="103">
                  <c:v>-30442.500000000007</c:v>
                </c:pt>
                <c:pt idx="104">
                  <c:v>-30442.500000000007</c:v>
                </c:pt>
                <c:pt idx="105">
                  <c:v>-30442.500000000007</c:v>
                </c:pt>
                <c:pt idx="106">
                  <c:v>-29676.400000000009</c:v>
                </c:pt>
                <c:pt idx="107">
                  <c:v>-29370.900000000009</c:v>
                </c:pt>
                <c:pt idx="108">
                  <c:v>-29187.600000000009</c:v>
                </c:pt>
                <c:pt idx="109">
                  <c:v>-21750.000000000007</c:v>
                </c:pt>
                <c:pt idx="110">
                  <c:v>-16166.400000000011</c:v>
                </c:pt>
                <c:pt idx="111">
                  <c:v>-18812.500000000007</c:v>
                </c:pt>
                <c:pt idx="112">
                  <c:v>-18812.500000000007</c:v>
                </c:pt>
                <c:pt idx="113">
                  <c:v>-17402.500000000007</c:v>
                </c:pt>
                <c:pt idx="114">
                  <c:v>-20485.700000000004</c:v>
                </c:pt>
                <c:pt idx="115">
                  <c:v>-20076.80000000001</c:v>
                </c:pt>
                <c:pt idx="116">
                  <c:v>-20076.80000000001</c:v>
                </c:pt>
                <c:pt idx="117">
                  <c:v>-20076.80000000001</c:v>
                </c:pt>
                <c:pt idx="118">
                  <c:v>-19103.900000000009</c:v>
                </c:pt>
                <c:pt idx="119">
                  <c:v>-19103.900000000009</c:v>
                </c:pt>
                <c:pt idx="120">
                  <c:v>-17520.000000000007</c:v>
                </c:pt>
                <c:pt idx="121">
                  <c:v>-17285.000000000007</c:v>
                </c:pt>
                <c:pt idx="122">
                  <c:v>-17285.000000000007</c:v>
                </c:pt>
                <c:pt idx="123">
                  <c:v>-18516.400000000009</c:v>
                </c:pt>
                <c:pt idx="124">
                  <c:v>-19691.400000000009</c:v>
                </c:pt>
                <c:pt idx="125">
                  <c:v>-19573.900000000009</c:v>
                </c:pt>
                <c:pt idx="126">
                  <c:v>-19047.500000000007</c:v>
                </c:pt>
                <c:pt idx="127">
                  <c:v>-19047.500000000007</c:v>
                </c:pt>
                <c:pt idx="128">
                  <c:v>-19165.000000000007</c:v>
                </c:pt>
                <c:pt idx="129">
                  <c:v>-20695.000000000007</c:v>
                </c:pt>
                <c:pt idx="130">
                  <c:v>-20695.000000000007</c:v>
                </c:pt>
                <c:pt idx="131">
                  <c:v>-20695.000000000007</c:v>
                </c:pt>
                <c:pt idx="132">
                  <c:v>-20695.000000000007</c:v>
                </c:pt>
                <c:pt idx="133">
                  <c:v>-22217.800000000003</c:v>
                </c:pt>
                <c:pt idx="134">
                  <c:v>-20774.900000000001</c:v>
                </c:pt>
                <c:pt idx="135">
                  <c:v>-18504.8</c:v>
                </c:pt>
                <c:pt idx="136">
                  <c:v>-18504.8</c:v>
                </c:pt>
                <c:pt idx="137">
                  <c:v>-18504.8</c:v>
                </c:pt>
                <c:pt idx="138">
                  <c:v>-18880.800000000003</c:v>
                </c:pt>
                <c:pt idx="139">
                  <c:v>-22349.4</c:v>
                </c:pt>
                <c:pt idx="140">
                  <c:v>-22029.800000000003</c:v>
                </c:pt>
                <c:pt idx="141">
                  <c:v>-21738.400000000009</c:v>
                </c:pt>
                <c:pt idx="142">
                  <c:v>-21738.400000000009</c:v>
                </c:pt>
                <c:pt idx="143">
                  <c:v>-19064.100000000006</c:v>
                </c:pt>
                <c:pt idx="144">
                  <c:v>-19491.80000000001</c:v>
                </c:pt>
                <c:pt idx="145">
                  <c:v>-17625.900000000009</c:v>
                </c:pt>
                <c:pt idx="146">
                  <c:v>-16982.000000000007</c:v>
                </c:pt>
                <c:pt idx="147">
                  <c:v>-16450.900000000009</c:v>
                </c:pt>
                <c:pt idx="148">
                  <c:v>-16450.900000000009</c:v>
                </c:pt>
                <c:pt idx="149">
                  <c:v>-16450.900000000009</c:v>
                </c:pt>
                <c:pt idx="150">
                  <c:v>-16342.800000000005</c:v>
                </c:pt>
                <c:pt idx="151">
                  <c:v>-16234.70000000001</c:v>
                </c:pt>
                <c:pt idx="152">
                  <c:v>-6127.5000000000073</c:v>
                </c:pt>
                <c:pt idx="153">
                  <c:v>-3321.6000000000058</c:v>
                </c:pt>
                <c:pt idx="154">
                  <c:v>-3321.6000000000058</c:v>
                </c:pt>
                <c:pt idx="155">
                  <c:v>-3321.6000000000058</c:v>
                </c:pt>
                <c:pt idx="156">
                  <c:v>-3321.6000000000058</c:v>
                </c:pt>
                <c:pt idx="157">
                  <c:v>306.79999999999563</c:v>
                </c:pt>
                <c:pt idx="158">
                  <c:v>2872.9999999999945</c:v>
                </c:pt>
                <c:pt idx="159">
                  <c:v>3671.9999999999909</c:v>
                </c:pt>
                <c:pt idx="160">
                  <c:v>3671.9999999999909</c:v>
                </c:pt>
                <c:pt idx="161">
                  <c:v>1937.6999999999925</c:v>
                </c:pt>
                <c:pt idx="162">
                  <c:v>3671.9999999999909</c:v>
                </c:pt>
                <c:pt idx="163">
                  <c:v>3540.3999999999924</c:v>
                </c:pt>
                <c:pt idx="164">
                  <c:v>3540.3999999999924</c:v>
                </c:pt>
                <c:pt idx="165">
                  <c:v>2097.4999999999927</c:v>
                </c:pt>
                <c:pt idx="166">
                  <c:v>2097.4999999999927</c:v>
                </c:pt>
                <c:pt idx="167">
                  <c:v>1721.4999999999891</c:v>
                </c:pt>
                <c:pt idx="168">
                  <c:v>2045.799999999992</c:v>
                </c:pt>
                <c:pt idx="169">
                  <c:v>2045.799999999992</c:v>
                </c:pt>
                <c:pt idx="170">
                  <c:v>1829.5999999999931</c:v>
                </c:pt>
                <c:pt idx="171">
                  <c:v>1829.5999999999931</c:v>
                </c:pt>
                <c:pt idx="172">
                  <c:v>2045.799999999992</c:v>
                </c:pt>
                <c:pt idx="173">
                  <c:v>2045.799999999992</c:v>
                </c:pt>
                <c:pt idx="174">
                  <c:v>3739.9999999999927</c:v>
                </c:pt>
                <c:pt idx="175">
                  <c:v>-11365.800000000007</c:v>
                </c:pt>
                <c:pt idx="176">
                  <c:v>948.19999999998981</c:v>
                </c:pt>
                <c:pt idx="177">
                  <c:v>948.19999999998981</c:v>
                </c:pt>
                <c:pt idx="178">
                  <c:v>-5044.3000000000102</c:v>
                </c:pt>
                <c:pt idx="179">
                  <c:v>-8804.3000000000102</c:v>
                </c:pt>
                <c:pt idx="180">
                  <c:v>-7920.7000000000044</c:v>
                </c:pt>
                <c:pt idx="181">
                  <c:v>-3399.3000000000102</c:v>
                </c:pt>
                <c:pt idx="182">
                  <c:v>-3399.3000000000102</c:v>
                </c:pt>
                <c:pt idx="183">
                  <c:v>-1989.3000000000102</c:v>
                </c:pt>
                <c:pt idx="184">
                  <c:v>-1989.3000000000102</c:v>
                </c:pt>
                <c:pt idx="185">
                  <c:v>-1989.3000000000102</c:v>
                </c:pt>
                <c:pt idx="186">
                  <c:v>-1458.2000000000044</c:v>
                </c:pt>
                <c:pt idx="187">
                  <c:v>-1458.2000000000044</c:v>
                </c:pt>
                <c:pt idx="188">
                  <c:v>-2694.3000000000102</c:v>
                </c:pt>
                <c:pt idx="189">
                  <c:v>-3046.8000000000102</c:v>
                </c:pt>
                <c:pt idx="190">
                  <c:v>-3046.8000000000102</c:v>
                </c:pt>
                <c:pt idx="191">
                  <c:v>-3046.8000000000102</c:v>
                </c:pt>
                <c:pt idx="192">
                  <c:v>-3046.8000000000102</c:v>
                </c:pt>
                <c:pt idx="193">
                  <c:v>-3281.8000000000102</c:v>
                </c:pt>
                <c:pt idx="194">
                  <c:v>-3310.0000000000073</c:v>
                </c:pt>
                <c:pt idx="195">
                  <c:v>-8717.5000000000073</c:v>
                </c:pt>
                <c:pt idx="196">
                  <c:v>-8153.5000000000109</c:v>
                </c:pt>
                <c:pt idx="197">
                  <c:v>-12985.100000000009</c:v>
                </c:pt>
                <c:pt idx="198">
                  <c:v>-14005.000000000007</c:v>
                </c:pt>
                <c:pt idx="199">
                  <c:v>-16919.000000000004</c:v>
                </c:pt>
                <c:pt idx="200">
                  <c:v>-21055.000000000007</c:v>
                </c:pt>
                <c:pt idx="201">
                  <c:v>-21055.000000000007</c:v>
                </c:pt>
                <c:pt idx="202">
                  <c:v>-20646.100000000006</c:v>
                </c:pt>
                <c:pt idx="203">
                  <c:v>-21797.600000000013</c:v>
                </c:pt>
                <c:pt idx="204">
                  <c:v>-21797.600000000013</c:v>
                </c:pt>
                <c:pt idx="205">
                  <c:v>-21797.600000000013</c:v>
                </c:pt>
                <c:pt idx="206">
                  <c:v>-20265.400000000009</c:v>
                </c:pt>
                <c:pt idx="207">
                  <c:v>-19701.400000000012</c:v>
                </c:pt>
                <c:pt idx="208">
                  <c:v>-18423.000000000011</c:v>
                </c:pt>
                <c:pt idx="209">
                  <c:v>-15894.400000000005</c:v>
                </c:pt>
                <c:pt idx="210">
                  <c:v>-15076.600000000008</c:v>
                </c:pt>
                <c:pt idx="211">
                  <c:v>-15433.80000000001</c:v>
                </c:pt>
                <c:pt idx="212">
                  <c:v>-17276.200000000008</c:v>
                </c:pt>
                <c:pt idx="213">
                  <c:v>-17017.700000000012</c:v>
                </c:pt>
                <c:pt idx="214">
                  <c:v>-18549.900000000005</c:v>
                </c:pt>
                <c:pt idx="215">
                  <c:v>-16712.200000000012</c:v>
                </c:pt>
                <c:pt idx="216">
                  <c:v>-16510.100000000013</c:v>
                </c:pt>
                <c:pt idx="217">
                  <c:v>-16585.30000000001</c:v>
                </c:pt>
                <c:pt idx="218">
                  <c:v>-12950.000000000013</c:v>
                </c:pt>
                <c:pt idx="219">
                  <c:v>-12950.000000000013</c:v>
                </c:pt>
                <c:pt idx="220">
                  <c:v>-12950.000000000013</c:v>
                </c:pt>
                <c:pt idx="221">
                  <c:v>-11441.300000000014</c:v>
                </c:pt>
                <c:pt idx="222">
                  <c:v>-10012.500000000013</c:v>
                </c:pt>
                <c:pt idx="223">
                  <c:v>-10012.500000000013</c:v>
                </c:pt>
                <c:pt idx="224">
                  <c:v>-10012.500000000013</c:v>
                </c:pt>
                <c:pt idx="225">
                  <c:v>-10012.500000000013</c:v>
                </c:pt>
                <c:pt idx="226">
                  <c:v>-9650.6000000000167</c:v>
                </c:pt>
                <c:pt idx="227">
                  <c:v>-10990.100000000015</c:v>
                </c:pt>
                <c:pt idx="228">
                  <c:v>-11300.30000000001</c:v>
                </c:pt>
                <c:pt idx="229">
                  <c:v>-9899.7000000000153</c:v>
                </c:pt>
                <c:pt idx="230">
                  <c:v>-8893.900000000016</c:v>
                </c:pt>
                <c:pt idx="231">
                  <c:v>-9566.0000000000164</c:v>
                </c:pt>
                <c:pt idx="232">
                  <c:v>-7996.2000000000116</c:v>
                </c:pt>
                <c:pt idx="233">
                  <c:v>-7996.2000000000116</c:v>
                </c:pt>
                <c:pt idx="234">
                  <c:v>-5759.0000000000091</c:v>
                </c:pt>
                <c:pt idx="235">
                  <c:v>-5759.0000000000091</c:v>
                </c:pt>
                <c:pt idx="236">
                  <c:v>-5759.0000000000091</c:v>
                </c:pt>
                <c:pt idx="237">
                  <c:v>-5759.0000000000091</c:v>
                </c:pt>
                <c:pt idx="238">
                  <c:v>-9660.0000000000127</c:v>
                </c:pt>
                <c:pt idx="239">
                  <c:v>5729.9999999999873</c:v>
                </c:pt>
                <c:pt idx="240">
                  <c:v>6289.2999999999856</c:v>
                </c:pt>
                <c:pt idx="241">
                  <c:v>9480.5999999999876</c:v>
                </c:pt>
                <c:pt idx="242">
                  <c:v>16022.999999999989</c:v>
                </c:pt>
                <c:pt idx="243">
                  <c:v>18880.599999999988</c:v>
                </c:pt>
                <c:pt idx="244">
                  <c:v>29620.099999999988</c:v>
                </c:pt>
                <c:pt idx="245">
                  <c:v>25845.999999999985</c:v>
                </c:pt>
                <c:pt idx="246">
                  <c:v>25845.999999999985</c:v>
                </c:pt>
                <c:pt idx="247">
                  <c:v>26574.499999999985</c:v>
                </c:pt>
                <c:pt idx="248">
                  <c:v>26574.499999999985</c:v>
                </c:pt>
                <c:pt idx="249">
                  <c:v>28111.399999999987</c:v>
                </c:pt>
                <c:pt idx="250">
                  <c:v>28111.399999999987</c:v>
                </c:pt>
                <c:pt idx="251">
                  <c:v>28111.399999999987</c:v>
                </c:pt>
                <c:pt idx="252">
                  <c:v>29004.399999999987</c:v>
                </c:pt>
                <c:pt idx="253">
                  <c:v>28811.699999999986</c:v>
                </c:pt>
                <c:pt idx="254">
                  <c:v>29483.799999999988</c:v>
                </c:pt>
                <c:pt idx="255">
                  <c:v>29201.799999999988</c:v>
                </c:pt>
                <c:pt idx="256">
                  <c:v>29201.799999999988</c:v>
                </c:pt>
                <c:pt idx="257">
                  <c:v>14876.199999999986</c:v>
                </c:pt>
                <c:pt idx="258">
                  <c:v>29201.799999999988</c:v>
                </c:pt>
                <c:pt idx="259">
                  <c:v>28976.199999999986</c:v>
                </c:pt>
                <c:pt idx="260">
                  <c:v>28976.199999999986</c:v>
                </c:pt>
                <c:pt idx="261">
                  <c:v>32047.499999999985</c:v>
                </c:pt>
                <c:pt idx="262">
                  <c:v>32047.499999999985</c:v>
                </c:pt>
                <c:pt idx="263">
                  <c:v>32047.499999999985</c:v>
                </c:pt>
                <c:pt idx="264">
                  <c:v>27239.399999999987</c:v>
                </c:pt>
                <c:pt idx="265">
                  <c:v>23234.999999999985</c:v>
                </c:pt>
                <c:pt idx="266">
                  <c:v>24184.399999999987</c:v>
                </c:pt>
                <c:pt idx="267">
                  <c:v>24184.399999999987</c:v>
                </c:pt>
                <c:pt idx="268">
                  <c:v>24184.399999999987</c:v>
                </c:pt>
                <c:pt idx="269">
                  <c:v>24184.399999999987</c:v>
                </c:pt>
                <c:pt idx="270">
                  <c:v>24912.899999999987</c:v>
                </c:pt>
                <c:pt idx="271">
                  <c:v>24912.899999999987</c:v>
                </c:pt>
                <c:pt idx="272">
                  <c:v>25528.599999999988</c:v>
                </c:pt>
                <c:pt idx="273">
                  <c:v>25528.599999999988</c:v>
                </c:pt>
                <c:pt idx="274">
                  <c:v>25528.599999999988</c:v>
                </c:pt>
                <c:pt idx="275">
                  <c:v>-4180.1000000000095</c:v>
                </c:pt>
                <c:pt idx="276">
                  <c:v>24771.899999999994</c:v>
                </c:pt>
                <c:pt idx="277">
                  <c:v>25166.699999999993</c:v>
                </c:pt>
                <c:pt idx="278">
                  <c:v>25669.599999999991</c:v>
                </c:pt>
                <c:pt idx="279">
                  <c:v>25528.599999999991</c:v>
                </c:pt>
                <c:pt idx="280">
                  <c:v>24856.499999999993</c:v>
                </c:pt>
                <c:pt idx="281">
                  <c:v>24771.899999999994</c:v>
                </c:pt>
                <c:pt idx="282">
                  <c:v>24828.299999999992</c:v>
                </c:pt>
                <c:pt idx="283">
                  <c:v>24550.999999999993</c:v>
                </c:pt>
                <c:pt idx="284">
                  <c:v>7839.9999999999927</c:v>
                </c:pt>
                <c:pt idx="285">
                  <c:v>7839.9999999999927</c:v>
                </c:pt>
                <c:pt idx="286">
                  <c:v>7839.9999999999927</c:v>
                </c:pt>
                <c:pt idx="287">
                  <c:v>18476.099999999995</c:v>
                </c:pt>
                <c:pt idx="288">
                  <c:v>16619.599999999995</c:v>
                </c:pt>
                <c:pt idx="289">
                  <c:v>16619.599999999995</c:v>
                </c:pt>
                <c:pt idx="290">
                  <c:v>14612.699999999993</c:v>
                </c:pt>
                <c:pt idx="291">
                  <c:v>13870.099999999995</c:v>
                </c:pt>
                <c:pt idx="292">
                  <c:v>13870.099999999995</c:v>
                </c:pt>
                <c:pt idx="293">
                  <c:v>12507.099999999993</c:v>
                </c:pt>
                <c:pt idx="294">
                  <c:v>12507.099999999993</c:v>
                </c:pt>
                <c:pt idx="295">
                  <c:v>11087.699999999993</c:v>
                </c:pt>
                <c:pt idx="296">
                  <c:v>11581.199999999993</c:v>
                </c:pt>
                <c:pt idx="297">
                  <c:v>10932.599999999997</c:v>
                </c:pt>
                <c:pt idx="298">
                  <c:v>10932.599999999997</c:v>
                </c:pt>
                <c:pt idx="299">
                  <c:v>10622.399999999992</c:v>
                </c:pt>
                <c:pt idx="300">
                  <c:v>10373.299999999994</c:v>
                </c:pt>
                <c:pt idx="301">
                  <c:v>10373.299999999994</c:v>
                </c:pt>
                <c:pt idx="302">
                  <c:v>10561.299999999996</c:v>
                </c:pt>
                <c:pt idx="303">
                  <c:v>10561.299999999996</c:v>
                </c:pt>
                <c:pt idx="304">
                  <c:v>11832.499999999995</c:v>
                </c:pt>
                <c:pt idx="305">
                  <c:v>11832.499999999995</c:v>
                </c:pt>
                <c:pt idx="306">
                  <c:v>11832.499999999995</c:v>
                </c:pt>
                <c:pt idx="307">
                  <c:v>11832.499999999995</c:v>
                </c:pt>
                <c:pt idx="308">
                  <c:v>11832.499999999995</c:v>
                </c:pt>
                <c:pt idx="309">
                  <c:v>11832.499999999995</c:v>
                </c:pt>
                <c:pt idx="310">
                  <c:v>12701.999999999993</c:v>
                </c:pt>
                <c:pt idx="311">
                  <c:v>13092.099999999995</c:v>
                </c:pt>
                <c:pt idx="312">
                  <c:v>13092.099999999995</c:v>
                </c:pt>
                <c:pt idx="313">
                  <c:v>13092.099999999995</c:v>
                </c:pt>
                <c:pt idx="314">
                  <c:v>10013.599999999995</c:v>
                </c:pt>
                <c:pt idx="315">
                  <c:v>9736.2999999999956</c:v>
                </c:pt>
                <c:pt idx="316">
                  <c:v>9736.2999999999956</c:v>
                </c:pt>
                <c:pt idx="317">
                  <c:v>8838.5999999999949</c:v>
                </c:pt>
                <c:pt idx="318">
                  <c:v>8838.5999999999949</c:v>
                </c:pt>
                <c:pt idx="319">
                  <c:v>9341.4999999999945</c:v>
                </c:pt>
                <c:pt idx="320">
                  <c:v>10041.799999999992</c:v>
                </c:pt>
                <c:pt idx="321">
                  <c:v>10041.799999999992</c:v>
                </c:pt>
                <c:pt idx="322">
                  <c:v>9787.9999999999964</c:v>
                </c:pt>
                <c:pt idx="323">
                  <c:v>9787.9999999999964</c:v>
                </c:pt>
                <c:pt idx="324">
                  <c:v>9787.9999999999964</c:v>
                </c:pt>
                <c:pt idx="325">
                  <c:v>6424.9999999999945</c:v>
                </c:pt>
                <c:pt idx="326">
                  <c:v>5249.9999999999945</c:v>
                </c:pt>
                <c:pt idx="327">
                  <c:v>7599.9999999999945</c:v>
                </c:pt>
                <c:pt idx="328">
                  <c:v>6424.9999999999945</c:v>
                </c:pt>
                <c:pt idx="329">
                  <c:v>5249.9999999999945</c:v>
                </c:pt>
                <c:pt idx="330">
                  <c:v>5461.4999999999955</c:v>
                </c:pt>
                <c:pt idx="331">
                  <c:v>5461.4999999999955</c:v>
                </c:pt>
                <c:pt idx="332">
                  <c:v>5461.4999999999955</c:v>
                </c:pt>
                <c:pt idx="333">
                  <c:v>5461.4999999999955</c:v>
                </c:pt>
                <c:pt idx="334">
                  <c:v>5461.4999999999955</c:v>
                </c:pt>
                <c:pt idx="335">
                  <c:v>6424.9999999999945</c:v>
                </c:pt>
                <c:pt idx="336">
                  <c:v>6721.0999999999958</c:v>
                </c:pt>
                <c:pt idx="337">
                  <c:v>6453.1999999999962</c:v>
                </c:pt>
                <c:pt idx="338">
                  <c:v>6453.1999999999962</c:v>
                </c:pt>
                <c:pt idx="339">
                  <c:v>6453.1999999999962</c:v>
                </c:pt>
                <c:pt idx="340">
                  <c:v>6636.4999999999955</c:v>
                </c:pt>
                <c:pt idx="341">
                  <c:v>6636.4999999999955</c:v>
                </c:pt>
                <c:pt idx="342">
                  <c:v>7040.6999999999962</c:v>
                </c:pt>
                <c:pt idx="343">
                  <c:v>6721.0999999999958</c:v>
                </c:pt>
                <c:pt idx="344">
                  <c:v>6556.5999999999931</c:v>
                </c:pt>
                <c:pt idx="345">
                  <c:v>6453.1999999999962</c:v>
                </c:pt>
                <c:pt idx="346">
                  <c:v>6424.9999999999945</c:v>
                </c:pt>
                <c:pt idx="347">
                  <c:v>3367.4999999999945</c:v>
                </c:pt>
                <c:pt idx="348">
                  <c:v>3367.4999999999945</c:v>
                </c:pt>
                <c:pt idx="349">
                  <c:v>2300.599999999994</c:v>
                </c:pt>
                <c:pt idx="350">
                  <c:v>2300.599999999994</c:v>
                </c:pt>
                <c:pt idx="351">
                  <c:v>1792.9999999999964</c:v>
                </c:pt>
                <c:pt idx="352">
                  <c:v>1337.0999999999949</c:v>
                </c:pt>
                <c:pt idx="353">
                  <c:v>2620.1999999999944</c:v>
                </c:pt>
                <c:pt idx="354">
                  <c:v>2620.1999999999944</c:v>
                </c:pt>
                <c:pt idx="355">
                  <c:v>2620.1999999999944</c:v>
                </c:pt>
                <c:pt idx="356">
                  <c:v>885.899999999996</c:v>
                </c:pt>
                <c:pt idx="357">
                  <c:v>885.899999999996</c:v>
                </c:pt>
                <c:pt idx="358">
                  <c:v>857.69999999999891</c:v>
                </c:pt>
                <c:pt idx="359">
                  <c:v>321.89999999999054</c:v>
                </c:pt>
                <c:pt idx="360">
                  <c:v>321.89999999999054</c:v>
                </c:pt>
                <c:pt idx="361">
                  <c:v>321.89999999999054</c:v>
                </c:pt>
                <c:pt idx="362">
                  <c:v>-745.00000000000546</c:v>
                </c:pt>
                <c:pt idx="363">
                  <c:v>-745.00000000000546</c:v>
                </c:pt>
                <c:pt idx="364">
                  <c:v>-745.00000000000546</c:v>
                </c:pt>
                <c:pt idx="365">
                  <c:v>-745.00000000000546</c:v>
                </c:pt>
                <c:pt idx="366">
                  <c:v>-745.00000000000546</c:v>
                </c:pt>
                <c:pt idx="367">
                  <c:v>-970.60000000000946</c:v>
                </c:pt>
                <c:pt idx="368">
                  <c:v>-970.60000000000946</c:v>
                </c:pt>
                <c:pt idx="369">
                  <c:v>-7915.0000000000055</c:v>
                </c:pt>
                <c:pt idx="370">
                  <c:v>-9592.9000000000051</c:v>
                </c:pt>
                <c:pt idx="371">
                  <c:v>-9592.9000000000051</c:v>
                </c:pt>
                <c:pt idx="372">
                  <c:v>-9592.9000000000051</c:v>
                </c:pt>
                <c:pt idx="373">
                  <c:v>-9592.9000000000051</c:v>
                </c:pt>
                <c:pt idx="374">
                  <c:v>-10937.100000000006</c:v>
                </c:pt>
                <c:pt idx="375">
                  <c:v>-10937.100000000006</c:v>
                </c:pt>
                <c:pt idx="376">
                  <c:v>-12897.000000000004</c:v>
                </c:pt>
                <c:pt idx="377">
                  <c:v>-12897.000000000004</c:v>
                </c:pt>
                <c:pt idx="378">
                  <c:v>-12558.600000000002</c:v>
                </c:pt>
                <c:pt idx="379">
                  <c:v>-12868.800000000007</c:v>
                </c:pt>
                <c:pt idx="380">
                  <c:v>-13705.400000000005</c:v>
                </c:pt>
                <c:pt idx="381">
                  <c:v>-13705.400000000005</c:v>
                </c:pt>
                <c:pt idx="382">
                  <c:v>-13705.400000000005</c:v>
                </c:pt>
                <c:pt idx="383">
                  <c:v>-13705.400000000005</c:v>
                </c:pt>
                <c:pt idx="384">
                  <c:v>-13536.200000000004</c:v>
                </c:pt>
                <c:pt idx="385">
                  <c:v>-12840.600000000009</c:v>
                </c:pt>
                <c:pt idx="386">
                  <c:v>-12281.300000000007</c:v>
                </c:pt>
                <c:pt idx="387">
                  <c:v>-12281.300000000007</c:v>
                </c:pt>
                <c:pt idx="388">
                  <c:v>-12224.900000000003</c:v>
                </c:pt>
                <c:pt idx="389">
                  <c:v>-12224.900000000003</c:v>
                </c:pt>
                <c:pt idx="390">
                  <c:v>-9210.0000000000055</c:v>
                </c:pt>
                <c:pt idx="391">
                  <c:v>-8646.0000000000091</c:v>
                </c:pt>
                <c:pt idx="392">
                  <c:v>-7038.6000000000022</c:v>
                </c:pt>
                <c:pt idx="393">
                  <c:v>-7038.6000000000022</c:v>
                </c:pt>
                <c:pt idx="394">
                  <c:v>-5017.6000000000076</c:v>
                </c:pt>
                <c:pt idx="395">
                  <c:v>-5017.6000000000076</c:v>
                </c:pt>
                <c:pt idx="396">
                  <c:v>-4561.7000000000062</c:v>
                </c:pt>
                <c:pt idx="397">
                  <c:v>-4134.0000000000018</c:v>
                </c:pt>
                <c:pt idx="398">
                  <c:v>-4134.0000000000018</c:v>
                </c:pt>
                <c:pt idx="399">
                  <c:v>-1144.8000000000011</c:v>
                </c:pt>
                <c:pt idx="400">
                  <c:v>-449.20000000000618</c:v>
                </c:pt>
                <c:pt idx="401">
                  <c:v>-449.20000000000618</c:v>
                </c:pt>
                <c:pt idx="402">
                  <c:v>829.19999999999527</c:v>
                </c:pt>
                <c:pt idx="403">
                  <c:v>2887.7999999999965</c:v>
                </c:pt>
                <c:pt idx="404">
                  <c:v>2887.7999999999965</c:v>
                </c:pt>
                <c:pt idx="405">
                  <c:v>2887.7999999999965</c:v>
                </c:pt>
                <c:pt idx="406">
                  <c:v>5101.4999999999955</c:v>
                </c:pt>
                <c:pt idx="407">
                  <c:v>2225.0999999999967</c:v>
                </c:pt>
                <c:pt idx="408">
                  <c:v>1961.8999999999951</c:v>
                </c:pt>
                <c:pt idx="409">
                  <c:v>2356.6999999999953</c:v>
                </c:pt>
                <c:pt idx="410">
                  <c:v>4598.5999999999958</c:v>
                </c:pt>
                <c:pt idx="411">
                  <c:v>4861.7999999999929</c:v>
                </c:pt>
                <c:pt idx="412">
                  <c:v>4302.4999999999945</c:v>
                </c:pt>
                <c:pt idx="413">
                  <c:v>21219.999999999993</c:v>
                </c:pt>
                <c:pt idx="414">
                  <c:v>21219.999999999993</c:v>
                </c:pt>
                <c:pt idx="415">
                  <c:v>14870.299999999996</c:v>
                </c:pt>
                <c:pt idx="416">
                  <c:v>15636.399999999992</c:v>
                </c:pt>
                <c:pt idx="417">
                  <c:v>16139.299999999992</c:v>
                </c:pt>
                <c:pt idx="418">
                  <c:v>16313.199999999995</c:v>
                </c:pt>
                <c:pt idx="419">
                  <c:v>16440.099999999995</c:v>
                </c:pt>
                <c:pt idx="420">
                  <c:v>16421.299999999996</c:v>
                </c:pt>
                <c:pt idx="421">
                  <c:v>13051.399999999994</c:v>
                </c:pt>
                <c:pt idx="422">
                  <c:v>11707.199999999993</c:v>
                </c:pt>
                <c:pt idx="423">
                  <c:v>11707.199999999993</c:v>
                </c:pt>
                <c:pt idx="424">
                  <c:v>13667.099999999995</c:v>
                </c:pt>
                <c:pt idx="425">
                  <c:v>13667.099999999995</c:v>
                </c:pt>
                <c:pt idx="426">
                  <c:v>13699.999999999995</c:v>
                </c:pt>
                <c:pt idx="427">
                  <c:v>13887.999999999996</c:v>
                </c:pt>
                <c:pt idx="428">
                  <c:v>13887.999999999996</c:v>
                </c:pt>
                <c:pt idx="429">
                  <c:v>13887.999999999996</c:v>
                </c:pt>
                <c:pt idx="430">
                  <c:v>14226.399999999994</c:v>
                </c:pt>
                <c:pt idx="431">
                  <c:v>14395.599999999995</c:v>
                </c:pt>
                <c:pt idx="432">
                  <c:v>14395.599999999995</c:v>
                </c:pt>
                <c:pt idx="433">
                  <c:v>14395.599999999995</c:v>
                </c:pt>
                <c:pt idx="434">
                  <c:v>16987.499999999996</c:v>
                </c:pt>
                <c:pt idx="435">
                  <c:v>16987.499999999996</c:v>
                </c:pt>
                <c:pt idx="436">
                  <c:v>16987.499999999996</c:v>
                </c:pt>
                <c:pt idx="437">
                  <c:v>15422.399999999994</c:v>
                </c:pt>
                <c:pt idx="438">
                  <c:v>15422.399999999994</c:v>
                </c:pt>
                <c:pt idx="439">
                  <c:v>14468.299999999996</c:v>
                </c:pt>
                <c:pt idx="440">
                  <c:v>14919.499999999995</c:v>
                </c:pt>
                <c:pt idx="441">
                  <c:v>12818.599999999999</c:v>
                </c:pt>
                <c:pt idx="442">
                  <c:v>13565.899999999998</c:v>
                </c:pt>
                <c:pt idx="443">
                  <c:v>12870.3</c:v>
                </c:pt>
                <c:pt idx="444">
                  <c:v>12870.3</c:v>
                </c:pt>
                <c:pt idx="445">
                  <c:v>13485.999999999996</c:v>
                </c:pt>
                <c:pt idx="446">
                  <c:v>17767.699999999997</c:v>
                </c:pt>
                <c:pt idx="447">
                  <c:v>19530.199999999997</c:v>
                </c:pt>
                <c:pt idx="448">
                  <c:v>22885.999999999996</c:v>
                </c:pt>
                <c:pt idx="449">
                  <c:v>22885.999999999996</c:v>
                </c:pt>
                <c:pt idx="450">
                  <c:v>23783.699999999997</c:v>
                </c:pt>
                <c:pt idx="451">
                  <c:v>23783.699999999997</c:v>
                </c:pt>
                <c:pt idx="452">
                  <c:v>23783.699999999997</c:v>
                </c:pt>
                <c:pt idx="453">
                  <c:v>23783.699999999997</c:v>
                </c:pt>
                <c:pt idx="454">
                  <c:v>24455.799999999996</c:v>
                </c:pt>
                <c:pt idx="455">
                  <c:v>24286.6</c:v>
                </c:pt>
                <c:pt idx="456">
                  <c:v>44480</c:v>
                </c:pt>
                <c:pt idx="457">
                  <c:v>36052.9</c:v>
                </c:pt>
                <c:pt idx="458">
                  <c:v>33369.200000000004</c:v>
                </c:pt>
                <c:pt idx="459">
                  <c:v>37453.500000000007</c:v>
                </c:pt>
                <c:pt idx="460">
                  <c:v>33571.30000000001</c:v>
                </c:pt>
                <c:pt idx="461">
                  <c:v>33571.30000000001</c:v>
                </c:pt>
                <c:pt idx="462">
                  <c:v>33571.30000000001</c:v>
                </c:pt>
                <c:pt idx="463">
                  <c:v>31940.400000000009</c:v>
                </c:pt>
                <c:pt idx="464">
                  <c:v>30022.80000000001</c:v>
                </c:pt>
                <c:pt idx="465">
                  <c:v>30022.80000000001</c:v>
                </c:pt>
                <c:pt idx="466">
                  <c:v>31019.200000000012</c:v>
                </c:pt>
                <c:pt idx="467">
                  <c:v>29792.500000000011</c:v>
                </c:pt>
                <c:pt idx="468">
                  <c:v>29510.500000000011</c:v>
                </c:pt>
                <c:pt idx="469">
                  <c:v>29769.000000000011</c:v>
                </c:pt>
                <c:pt idx="470">
                  <c:v>29769.000000000011</c:v>
                </c:pt>
                <c:pt idx="471">
                  <c:v>29769.000000000011</c:v>
                </c:pt>
                <c:pt idx="472">
                  <c:v>29769.000000000011</c:v>
                </c:pt>
                <c:pt idx="473">
                  <c:v>29613.900000000012</c:v>
                </c:pt>
                <c:pt idx="474">
                  <c:v>28462.400000000012</c:v>
                </c:pt>
                <c:pt idx="475">
                  <c:v>28462.400000000012</c:v>
                </c:pt>
                <c:pt idx="476">
                  <c:v>28462.400000000012</c:v>
                </c:pt>
                <c:pt idx="477">
                  <c:v>28462.400000000012</c:v>
                </c:pt>
                <c:pt idx="478">
                  <c:v>28312.000000000015</c:v>
                </c:pt>
                <c:pt idx="479">
                  <c:v>9110.0000000000146</c:v>
                </c:pt>
                <c:pt idx="480">
                  <c:v>12635.000000000015</c:v>
                </c:pt>
                <c:pt idx="481">
                  <c:v>9293.3000000000138</c:v>
                </c:pt>
                <c:pt idx="482">
                  <c:v>3855.4000000000142</c:v>
                </c:pt>
                <c:pt idx="483">
                  <c:v>4316.0000000000136</c:v>
                </c:pt>
                <c:pt idx="484">
                  <c:v>3451.2000000000135</c:v>
                </c:pt>
                <c:pt idx="485">
                  <c:v>1439.6000000000149</c:v>
                </c:pt>
                <c:pt idx="486">
                  <c:v>1068.3000000000138</c:v>
                </c:pt>
                <c:pt idx="487">
                  <c:v>-2329.7999999999811</c:v>
                </c:pt>
                <c:pt idx="488">
                  <c:v>-2329.7999999999811</c:v>
                </c:pt>
                <c:pt idx="489">
                  <c:v>-2329.7999999999811</c:v>
                </c:pt>
                <c:pt idx="490">
                  <c:v>-2329.7999999999811</c:v>
                </c:pt>
                <c:pt idx="491">
                  <c:v>-2978.3999999999869</c:v>
                </c:pt>
                <c:pt idx="492">
                  <c:v>-4651.599999999984</c:v>
                </c:pt>
                <c:pt idx="493">
                  <c:v>-4341.3999999999887</c:v>
                </c:pt>
                <c:pt idx="494">
                  <c:v>-3847.8999999999851</c:v>
                </c:pt>
                <c:pt idx="495">
                  <c:v>-4585.7999999999847</c:v>
                </c:pt>
                <c:pt idx="496">
                  <c:v>-5022.8999999999851</c:v>
                </c:pt>
                <c:pt idx="497">
                  <c:v>-5022.8999999999851</c:v>
                </c:pt>
                <c:pt idx="498">
                  <c:v>-5022.8999999999851</c:v>
                </c:pt>
                <c:pt idx="499">
                  <c:v>-23909.999999999985</c:v>
                </c:pt>
                <c:pt idx="500">
                  <c:v>-27834.499999999985</c:v>
                </c:pt>
                <c:pt idx="501">
                  <c:v>-27834.499999999985</c:v>
                </c:pt>
                <c:pt idx="502">
                  <c:v>-27834.499999999985</c:v>
                </c:pt>
                <c:pt idx="503">
                  <c:v>-32402.899999999987</c:v>
                </c:pt>
                <c:pt idx="504">
                  <c:v>-32402.899999999987</c:v>
                </c:pt>
                <c:pt idx="505">
                  <c:v>-38705.599999999991</c:v>
                </c:pt>
                <c:pt idx="506">
                  <c:v>-41910.999999999993</c:v>
                </c:pt>
                <c:pt idx="507">
                  <c:v>-41910.999999999993</c:v>
                </c:pt>
                <c:pt idx="508">
                  <c:v>-48852.899999999994</c:v>
                </c:pt>
                <c:pt idx="509">
                  <c:v>-55258.999999999985</c:v>
                </c:pt>
                <c:pt idx="510">
                  <c:v>-55846.499999999985</c:v>
                </c:pt>
                <c:pt idx="511">
                  <c:v>-53176.899999999994</c:v>
                </c:pt>
                <c:pt idx="512">
                  <c:v>-51978.399999999994</c:v>
                </c:pt>
                <c:pt idx="513">
                  <c:v>-54328.399999999994</c:v>
                </c:pt>
                <c:pt idx="514">
                  <c:v>-53393.099999999991</c:v>
                </c:pt>
                <c:pt idx="515">
                  <c:v>-53393.099999999991</c:v>
                </c:pt>
                <c:pt idx="516">
                  <c:v>-53393.099999999991</c:v>
                </c:pt>
                <c:pt idx="517">
                  <c:v>-53393.099999999991</c:v>
                </c:pt>
                <c:pt idx="518">
                  <c:v>-53393.099999999991</c:v>
                </c:pt>
                <c:pt idx="519">
                  <c:v>-53393.099999999991</c:v>
                </c:pt>
                <c:pt idx="520">
                  <c:v>-53496.499999999993</c:v>
                </c:pt>
                <c:pt idx="521">
                  <c:v>-53496.499999999993</c:v>
                </c:pt>
                <c:pt idx="522">
                  <c:v>-69855</c:v>
                </c:pt>
                <c:pt idx="523">
                  <c:v>-69855</c:v>
                </c:pt>
                <c:pt idx="524">
                  <c:v>-70968.899999999994</c:v>
                </c:pt>
                <c:pt idx="525">
                  <c:v>-70968.899999999994</c:v>
                </c:pt>
                <c:pt idx="526">
                  <c:v>-91413.9</c:v>
                </c:pt>
                <c:pt idx="527">
                  <c:v>-91413.9</c:v>
                </c:pt>
                <c:pt idx="528">
                  <c:v>-91296.4</c:v>
                </c:pt>
                <c:pt idx="529">
                  <c:v>-91296.4</c:v>
                </c:pt>
                <c:pt idx="530">
                  <c:v>-91296.4</c:v>
                </c:pt>
                <c:pt idx="531">
                  <c:v>-93411.4</c:v>
                </c:pt>
                <c:pt idx="532">
                  <c:v>-92443.199999999997</c:v>
                </c:pt>
                <c:pt idx="533">
                  <c:v>-92151.8</c:v>
                </c:pt>
                <c:pt idx="534">
                  <c:v>-92151.8</c:v>
                </c:pt>
                <c:pt idx="535">
                  <c:v>-92678.2</c:v>
                </c:pt>
                <c:pt idx="536">
                  <c:v>-91738.2</c:v>
                </c:pt>
                <c:pt idx="537">
                  <c:v>-90506.8</c:v>
                </c:pt>
                <c:pt idx="538">
                  <c:v>-90154.3</c:v>
                </c:pt>
                <c:pt idx="539">
                  <c:v>-90300</c:v>
                </c:pt>
                <c:pt idx="540">
                  <c:v>-90887.5</c:v>
                </c:pt>
                <c:pt idx="541">
                  <c:v>-91061.4</c:v>
                </c:pt>
                <c:pt idx="542">
                  <c:v>-90887.5</c:v>
                </c:pt>
                <c:pt idx="543">
                  <c:v>-90680.7</c:v>
                </c:pt>
                <c:pt idx="544">
                  <c:v>-89362.5</c:v>
                </c:pt>
                <c:pt idx="545">
                  <c:v>-85466.200000000012</c:v>
                </c:pt>
                <c:pt idx="546">
                  <c:v>-85466.200000000012</c:v>
                </c:pt>
                <c:pt idx="547">
                  <c:v>-82994</c:v>
                </c:pt>
                <c:pt idx="548">
                  <c:v>-87167.6</c:v>
                </c:pt>
                <c:pt idx="549">
                  <c:v>-86302.800000000017</c:v>
                </c:pt>
                <c:pt idx="550">
                  <c:v>-84291.200000000012</c:v>
                </c:pt>
                <c:pt idx="551">
                  <c:v>-85405.1</c:v>
                </c:pt>
                <c:pt idx="552">
                  <c:v>-86763.400000000009</c:v>
                </c:pt>
                <c:pt idx="553">
                  <c:v>-84601.4</c:v>
                </c:pt>
                <c:pt idx="554">
                  <c:v>-84601.4</c:v>
                </c:pt>
                <c:pt idx="555">
                  <c:v>-87383.799999999988</c:v>
                </c:pt>
                <c:pt idx="556">
                  <c:v>-85654.2</c:v>
                </c:pt>
                <c:pt idx="557">
                  <c:v>-85870.400000000009</c:v>
                </c:pt>
                <c:pt idx="558">
                  <c:v>-85499.1</c:v>
                </c:pt>
                <c:pt idx="559">
                  <c:v>-85188.9</c:v>
                </c:pt>
                <c:pt idx="560">
                  <c:v>-85433.3</c:v>
                </c:pt>
                <c:pt idx="561">
                  <c:v>-85898.6</c:v>
                </c:pt>
                <c:pt idx="562">
                  <c:v>-86331</c:v>
                </c:pt>
                <c:pt idx="563">
                  <c:v>-86519</c:v>
                </c:pt>
                <c:pt idx="564">
                  <c:v>-98295</c:v>
                </c:pt>
                <c:pt idx="565">
                  <c:v>-98295</c:v>
                </c:pt>
                <c:pt idx="566">
                  <c:v>-95597.2</c:v>
                </c:pt>
                <c:pt idx="567">
                  <c:v>-97627.6</c:v>
                </c:pt>
                <c:pt idx="568">
                  <c:v>-100513.40000000001</c:v>
                </c:pt>
                <c:pt idx="569">
                  <c:v>-100057.5</c:v>
                </c:pt>
                <c:pt idx="570">
                  <c:v>-100057.5</c:v>
                </c:pt>
                <c:pt idx="571">
                  <c:v>-100057.5</c:v>
                </c:pt>
                <c:pt idx="572">
                  <c:v>-100057.5</c:v>
                </c:pt>
                <c:pt idx="573">
                  <c:v>-101444</c:v>
                </c:pt>
                <c:pt idx="574">
                  <c:v>-101768.3</c:v>
                </c:pt>
                <c:pt idx="575">
                  <c:v>-99709.7</c:v>
                </c:pt>
                <c:pt idx="576">
                  <c:v>-100245.5</c:v>
                </c:pt>
                <c:pt idx="577">
                  <c:v>-101928.1</c:v>
                </c:pt>
                <c:pt idx="578">
                  <c:v>-101711.90000000002</c:v>
                </c:pt>
                <c:pt idx="579">
                  <c:v>-101711.90000000002</c:v>
                </c:pt>
                <c:pt idx="580">
                  <c:v>-102355.80000000002</c:v>
                </c:pt>
                <c:pt idx="581">
                  <c:v>-102355.80000000002</c:v>
                </c:pt>
                <c:pt idx="582">
                  <c:v>-102355.80000000002</c:v>
                </c:pt>
                <c:pt idx="583">
                  <c:v>-102595.50000000001</c:v>
                </c:pt>
                <c:pt idx="584">
                  <c:v>-102807.00000000003</c:v>
                </c:pt>
                <c:pt idx="585">
                  <c:v>-102807.00000000003</c:v>
                </c:pt>
                <c:pt idx="586">
                  <c:v>-114865.00000000003</c:v>
                </c:pt>
                <c:pt idx="587">
                  <c:v>-114865.00000000003</c:v>
                </c:pt>
                <c:pt idx="588">
                  <c:v>-114865.00000000003</c:v>
                </c:pt>
                <c:pt idx="589">
                  <c:v>-114865.00000000003</c:v>
                </c:pt>
                <c:pt idx="590">
                  <c:v>-115870.80000000003</c:v>
                </c:pt>
                <c:pt idx="591">
                  <c:v>-122056.00000000001</c:v>
                </c:pt>
                <c:pt idx="592">
                  <c:v>-123395.50000000003</c:v>
                </c:pt>
                <c:pt idx="593">
                  <c:v>-125078.10000000005</c:v>
                </c:pt>
                <c:pt idx="594">
                  <c:v>-126643.20000000004</c:v>
                </c:pt>
                <c:pt idx="595">
                  <c:v>-129552.50000000004</c:v>
                </c:pt>
                <c:pt idx="596">
                  <c:v>-129552.50000000004</c:v>
                </c:pt>
                <c:pt idx="597">
                  <c:v>-129552.50000000004</c:v>
                </c:pt>
                <c:pt idx="598">
                  <c:v>-129552.50000000004</c:v>
                </c:pt>
                <c:pt idx="599">
                  <c:v>-130558.30000000006</c:v>
                </c:pt>
                <c:pt idx="600">
                  <c:v>-129886.20000000004</c:v>
                </c:pt>
                <c:pt idx="601">
                  <c:v>-129886.20000000004</c:v>
                </c:pt>
                <c:pt idx="602">
                  <c:v>-128208.30000000008</c:v>
                </c:pt>
                <c:pt idx="603">
                  <c:v>-128208.30000000008</c:v>
                </c:pt>
                <c:pt idx="604">
                  <c:v>-128208.30000000008</c:v>
                </c:pt>
                <c:pt idx="605">
                  <c:v>-128123.70000000004</c:v>
                </c:pt>
                <c:pt idx="606">
                  <c:v>-128015.60000000006</c:v>
                </c:pt>
                <c:pt idx="607">
                  <c:v>-128015.60000000006</c:v>
                </c:pt>
                <c:pt idx="608">
                  <c:v>-132022.50000000006</c:v>
                </c:pt>
                <c:pt idx="609">
                  <c:v>-129230.70000000006</c:v>
                </c:pt>
                <c:pt idx="610">
                  <c:v>-129230.70000000006</c:v>
                </c:pt>
                <c:pt idx="611">
                  <c:v>-128732.50000000006</c:v>
                </c:pt>
                <c:pt idx="612">
                  <c:v>-128732.50000000006</c:v>
                </c:pt>
                <c:pt idx="613">
                  <c:v>-128290.70000000006</c:v>
                </c:pt>
                <c:pt idx="614">
                  <c:v>-127059.30000000006</c:v>
                </c:pt>
                <c:pt idx="615">
                  <c:v>-127059.30000000006</c:v>
                </c:pt>
                <c:pt idx="616">
                  <c:v>-127059.30000000006</c:v>
                </c:pt>
                <c:pt idx="617">
                  <c:v>-127059.30000000006</c:v>
                </c:pt>
                <c:pt idx="618">
                  <c:v>-127059.30000000006</c:v>
                </c:pt>
                <c:pt idx="619">
                  <c:v>-127059.30000000006</c:v>
                </c:pt>
                <c:pt idx="620">
                  <c:v>-126824.30000000006</c:v>
                </c:pt>
                <c:pt idx="621">
                  <c:v>-128262.50000000006</c:v>
                </c:pt>
                <c:pt idx="622">
                  <c:v>-129672.50000000006</c:v>
                </c:pt>
                <c:pt idx="623">
                  <c:v>-131138.90000000005</c:v>
                </c:pt>
                <c:pt idx="624">
                  <c:v>-131138.90000000005</c:v>
                </c:pt>
                <c:pt idx="625">
                  <c:v>-130668.90000000005</c:v>
                </c:pt>
                <c:pt idx="626">
                  <c:v>-129879.30000000006</c:v>
                </c:pt>
                <c:pt idx="627">
                  <c:v>-129996.80000000006</c:v>
                </c:pt>
                <c:pt idx="628">
                  <c:v>-129996.80000000006</c:v>
                </c:pt>
                <c:pt idx="629">
                  <c:v>-133905.00000000006</c:v>
                </c:pt>
                <c:pt idx="630">
                  <c:v>-137270.20000000007</c:v>
                </c:pt>
                <c:pt idx="631">
                  <c:v>-139404.00000000009</c:v>
                </c:pt>
                <c:pt idx="632">
                  <c:v>-138896.40000000008</c:v>
                </c:pt>
                <c:pt idx="633">
                  <c:v>-141302.80000000008</c:v>
                </c:pt>
                <c:pt idx="634">
                  <c:v>-140846.90000000008</c:v>
                </c:pt>
                <c:pt idx="635">
                  <c:v>-140419.20000000007</c:v>
                </c:pt>
                <c:pt idx="636">
                  <c:v>-141222.90000000008</c:v>
                </c:pt>
                <c:pt idx="637">
                  <c:v>-142341.50000000009</c:v>
                </c:pt>
                <c:pt idx="638">
                  <c:v>-142341.50000000009</c:v>
                </c:pt>
                <c:pt idx="639">
                  <c:v>-142341.50000000009</c:v>
                </c:pt>
                <c:pt idx="640">
                  <c:v>-141754.00000000009</c:v>
                </c:pt>
                <c:pt idx="641">
                  <c:v>-140955.00000000006</c:v>
                </c:pt>
                <c:pt idx="642">
                  <c:v>-140955.00000000006</c:v>
                </c:pt>
                <c:pt idx="643">
                  <c:v>-140315.80000000008</c:v>
                </c:pt>
                <c:pt idx="644">
                  <c:v>-140687.10000000003</c:v>
                </c:pt>
                <c:pt idx="645">
                  <c:v>-141006.70000000001</c:v>
                </c:pt>
                <c:pt idx="646">
                  <c:v>-141274.60000000003</c:v>
                </c:pt>
                <c:pt idx="647">
                  <c:v>-141918.50000000003</c:v>
                </c:pt>
                <c:pt idx="648">
                  <c:v>-142078.30000000005</c:v>
                </c:pt>
                <c:pt idx="649">
                  <c:v>-142181.70000000001</c:v>
                </c:pt>
                <c:pt idx="650">
                  <c:v>-142238.10000000003</c:v>
                </c:pt>
                <c:pt idx="651">
                  <c:v>-152825.00000000003</c:v>
                </c:pt>
                <c:pt idx="652">
                  <c:v>-153948.30000000005</c:v>
                </c:pt>
                <c:pt idx="653">
                  <c:v>-153948.30000000005</c:v>
                </c:pt>
                <c:pt idx="654">
                  <c:v>-157149.00000000006</c:v>
                </c:pt>
                <c:pt idx="655">
                  <c:v>-157149.00000000006</c:v>
                </c:pt>
                <c:pt idx="656">
                  <c:v>-157633.10000000006</c:v>
                </c:pt>
                <c:pt idx="657">
                  <c:v>-157177.20000000007</c:v>
                </c:pt>
                <c:pt idx="658">
                  <c:v>-157177.20000000007</c:v>
                </c:pt>
                <c:pt idx="659">
                  <c:v>-157576.70000000004</c:v>
                </c:pt>
                <c:pt idx="660">
                  <c:v>-157576.70000000004</c:v>
                </c:pt>
                <c:pt idx="661">
                  <c:v>-157576.70000000004</c:v>
                </c:pt>
                <c:pt idx="662">
                  <c:v>-157576.70000000004</c:v>
                </c:pt>
                <c:pt idx="663">
                  <c:v>-157872.80000000005</c:v>
                </c:pt>
                <c:pt idx="664">
                  <c:v>-157872.80000000005</c:v>
                </c:pt>
                <c:pt idx="665">
                  <c:v>-157872.80000000005</c:v>
                </c:pt>
                <c:pt idx="666">
                  <c:v>-157872.80000000005</c:v>
                </c:pt>
                <c:pt idx="667">
                  <c:v>-158432.10000000003</c:v>
                </c:pt>
                <c:pt idx="668">
                  <c:v>-158591.90000000002</c:v>
                </c:pt>
                <c:pt idx="669">
                  <c:v>-158859.80000000005</c:v>
                </c:pt>
                <c:pt idx="670">
                  <c:v>-158859.80000000005</c:v>
                </c:pt>
                <c:pt idx="671">
                  <c:v>-158859.80000000005</c:v>
                </c:pt>
                <c:pt idx="672">
                  <c:v>-158859.80000000005</c:v>
                </c:pt>
                <c:pt idx="673">
                  <c:v>-158888.00000000006</c:v>
                </c:pt>
                <c:pt idx="674">
                  <c:v>-165282.50000000006</c:v>
                </c:pt>
                <c:pt idx="675">
                  <c:v>-169756.90000000005</c:v>
                </c:pt>
                <c:pt idx="676">
                  <c:v>-171886.00000000006</c:v>
                </c:pt>
                <c:pt idx="677">
                  <c:v>-174908.10000000009</c:v>
                </c:pt>
                <c:pt idx="678">
                  <c:v>-175857.50000000009</c:v>
                </c:pt>
                <c:pt idx="679">
                  <c:v>-175857.50000000009</c:v>
                </c:pt>
                <c:pt idx="680">
                  <c:v>-175857.50000000009</c:v>
                </c:pt>
                <c:pt idx="681">
                  <c:v>-175857.50000000009</c:v>
                </c:pt>
                <c:pt idx="682">
                  <c:v>-177314.50000000009</c:v>
                </c:pt>
                <c:pt idx="683">
                  <c:v>-178320.30000000008</c:v>
                </c:pt>
                <c:pt idx="684">
                  <c:v>-178320.30000000008</c:v>
                </c:pt>
                <c:pt idx="685">
                  <c:v>-178320.30000000008</c:v>
                </c:pt>
                <c:pt idx="686">
                  <c:v>-178823.20000000007</c:v>
                </c:pt>
                <c:pt idx="687">
                  <c:v>-179048.80000000008</c:v>
                </c:pt>
                <c:pt idx="688">
                  <c:v>-180026.40000000005</c:v>
                </c:pt>
                <c:pt idx="689">
                  <c:v>-182038.00000000006</c:v>
                </c:pt>
                <c:pt idx="690">
                  <c:v>-182038.00000000006</c:v>
                </c:pt>
                <c:pt idx="691">
                  <c:v>-182038.00000000006</c:v>
                </c:pt>
                <c:pt idx="692">
                  <c:v>-182038.00000000006</c:v>
                </c:pt>
                <c:pt idx="693">
                  <c:v>-182038.00000000006</c:v>
                </c:pt>
                <c:pt idx="694">
                  <c:v>-182038.00000000006</c:v>
                </c:pt>
                <c:pt idx="695">
                  <c:v>-193015.00000000006</c:v>
                </c:pt>
                <c:pt idx="696">
                  <c:v>-193015.00000000006</c:v>
                </c:pt>
                <c:pt idx="697">
                  <c:v>-193015.00000000006</c:v>
                </c:pt>
                <c:pt idx="698">
                  <c:v>-193517.90000000008</c:v>
                </c:pt>
                <c:pt idx="699">
                  <c:v>-193517.90000000008</c:v>
                </c:pt>
                <c:pt idx="700">
                  <c:v>-194472.00000000009</c:v>
                </c:pt>
                <c:pt idx="701">
                  <c:v>-194472.00000000009</c:v>
                </c:pt>
                <c:pt idx="702">
                  <c:v>-194472.00000000009</c:v>
                </c:pt>
                <c:pt idx="703">
                  <c:v>-192122.00000000009</c:v>
                </c:pt>
                <c:pt idx="704">
                  <c:v>-190665.00000000009</c:v>
                </c:pt>
                <c:pt idx="705">
                  <c:v>-190331.3000000001</c:v>
                </c:pt>
                <c:pt idx="706">
                  <c:v>-191252.50000000009</c:v>
                </c:pt>
                <c:pt idx="707">
                  <c:v>-191811.8000000001</c:v>
                </c:pt>
                <c:pt idx="708">
                  <c:v>-191811.8000000001</c:v>
                </c:pt>
                <c:pt idx="709">
                  <c:v>-192037.40000000011</c:v>
                </c:pt>
                <c:pt idx="710">
                  <c:v>-192037.40000000011</c:v>
                </c:pt>
                <c:pt idx="711">
                  <c:v>-192371.10000000009</c:v>
                </c:pt>
                <c:pt idx="712">
                  <c:v>-191952.80000000008</c:v>
                </c:pt>
                <c:pt idx="713">
                  <c:v>-191614.40000000008</c:v>
                </c:pt>
                <c:pt idx="714">
                  <c:v>-191614.40000000008</c:v>
                </c:pt>
                <c:pt idx="715">
                  <c:v>-191614.40000000008</c:v>
                </c:pt>
                <c:pt idx="716">
                  <c:v>-191478.10000000009</c:v>
                </c:pt>
                <c:pt idx="717">
                  <c:v>-184910.00000000009</c:v>
                </c:pt>
                <c:pt idx="718">
                  <c:v>-184350.70000000007</c:v>
                </c:pt>
                <c:pt idx="719">
                  <c:v>-185953.40000000008</c:v>
                </c:pt>
                <c:pt idx="720">
                  <c:v>-185445.8000000001</c:v>
                </c:pt>
                <c:pt idx="721">
                  <c:v>-185445.8000000001</c:v>
                </c:pt>
                <c:pt idx="722">
                  <c:v>-183626.90000000008</c:v>
                </c:pt>
                <c:pt idx="723">
                  <c:v>-182771.50000000012</c:v>
                </c:pt>
                <c:pt idx="724">
                  <c:v>-181173.50000000009</c:v>
                </c:pt>
                <c:pt idx="725">
                  <c:v>-181920.8000000001</c:v>
                </c:pt>
                <c:pt idx="726">
                  <c:v>-181573.00000000009</c:v>
                </c:pt>
                <c:pt idx="727">
                  <c:v>-181681.10000000009</c:v>
                </c:pt>
                <c:pt idx="728">
                  <c:v>-182607.00000000009</c:v>
                </c:pt>
                <c:pt idx="729">
                  <c:v>-183899.50000000009</c:v>
                </c:pt>
                <c:pt idx="730">
                  <c:v>-183937.10000000006</c:v>
                </c:pt>
                <c:pt idx="731">
                  <c:v>-184045.20000000007</c:v>
                </c:pt>
                <c:pt idx="732">
                  <c:v>-184139.20000000004</c:v>
                </c:pt>
                <c:pt idx="733">
                  <c:v>-184059.30000000005</c:v>
                </c:pt>
                <c:pt idx="734">
                  <c:v>-184073.40000000005</c:v>
                </c:pt>
                <c:pt idx="735">
                  <c:v>-183659.80000000005</c:v>
                </c:pt>
                <c:pt idx="736">
                  <c:v>-183631.60000000003</c:v>
                </c:pt>
                <c:pt idx="737">
                  <c:v>-183283.80000000005</c:v>
                </c:pt>
                <c:pt idx="738">
                  <c:v>-183307.30000000005</c:v>
                </c:pt>
                <c:pt idx="739">
                  <c:v>-179155.00000000006</c:v>
                </c:pt>
                <c:pt idx="740">
                  <c:v>-180268.90000000005</c:v>
                </c:pt>
                <c:pt idx="741">
                  <c:v>-180268.90000000005</c:v>
                </c:pt>
                <c:pt idx="742">
                  <c:v>-180268.90000000005</c:v>
                </c:pt>
                <c:pt idx="743">
                  <c:v>-178858.90000000005</c:v>
                </c:pt>
                <c:pt idx="744">
                  <c:v>-178858.90000000005</c:v>
                </c:pt>
                <c:pt idx="745">
                  <c:v>-178858.90000000005</c:v>
                </c:pt>
                <c:pt idx="746">
                  <c:v>-178858.90000000005</c:v>
                </c:pt>
                <c:pt idx="747">
                  <c:v>-180268.90000000005</c:v>
                </c:pt>
                <c:pt idx="748">
                  <c:v>-179949.30000000005</c:v>
                </c:pt>
                <c:pt idx="749">
                  <c:v>-179949.30000000005</c:v>
                </c:pt>
                <c:pt idx="750">
                  <c:v>-178891.80000000005</c:v>
                </c:pt>
                <c:pt idx="751">
                  <c:v>-178656.80000000005</c:v>
                </c:pt>
                <c:pt idx="752">
                  <c:v>-179681.40000000002</c:v>
                </c:pt>
                <c:pt idx="753">
                  <c:v>-178802.50000000003</c:v>
                </c:pt>
                <c:pt idx="754">
                  <c:v>-179093.90000000002</c:v>
                </c:pt>
                <c:pt idx="755">
                  <c:v>-178858.90000000002</c:v>
                </c:pt>
                <c:pt idx="756">
                  <c:v>-178774.30000000005</c:v>
                </c:pt>
                <c:pt idx="757">
                  <c:v>-178774.30000000005</c:v>
                </c:pt>
                <c:pt idx="758">
                  <c:v>-178774.30000000005</c:v>
                </c:pt>
                <c:pt idx="759">
                  <c:v>-178741.40000000002</c:v>
                </c:pt>
                <c:pt idx="760">
                  <c:v>-177512.50000000003</c:v>
                </c:pt>
                <c:pt idx="761">
                  <c:v>-177512.50000000003</c:v>
                </c:pt>
                <c:pt idx="762">
                  <c:v>-177512.50000000003</c:v>
                </c:pt>
                <c:pt idx="763">
                  <c:v>-178020.1</c:v>
                </c:pt>
                <c:pt idx="764">
                  <c:v>-179942.40000000002</c:v>
                </c:pt>
                <c:pt idx="765">
                  <c:v>-178579.4</c:v>
                </c:pt>
                <c:pt idx="766">
                  <c:v>-178579.4</c:v>
                </c:pt>
                <c:pt idx="767">
                  <c:v>-178179.90000000002</c:v>
                </c:pt>
                <c:pt idx="768">
                  <c:v>-178555.90000000002</c:v>
                </c:pt>
                <c:pt idx="769">
                  <c:v>-178899.00000000003</c:v>
                </c:pt>
                <c:pt idx="770">
                  <c:v>-178899.00000000003</c:v>
                </c:pt>
                <c:pt idx="771">
                  <c:v>-178899.00000000003</c:v>
                </c:pt>
                <c:pt idx="772">
                  <c:v>-178635.80000000005</c:v>
                </c:pt>
                <c:pt idx="773">
                  <c:v>-178635.80000000005</c:v>
                </c:pt>
                <c:pt idx="774">
                  <c:v>-178635.80000000005</c:v>
                </c:pt>
                <c:pt idx="775">
                  <c:v>-178447.80000000002</c:v>
                </c:pt>
                <c:pt idx="776">
                  <c:v>-178447.80000000002</c:v>
                </c:pt>
                <c:pt idx="777">
                  <c:v>-178447.80000000002</c:v>
                </c:pt>
                <c:pt idx="778">
                  <c:v>-178447.80000000002</c:v>
                </c:pt>
                <c:pt idx="779">
                  <c:v>-178339.70000000004</c:v>
                </c:pt>
                <c:pt idx="780">
                  <c:v>-178499.50000000003</c:v>
                </c:pt>
                <c:pt idx="781">
                  <c:v>-178607.6</c:v>
                </c:pt>
                <c:pt idx="782">
                  <c:v>-178659.30000000002</c:v>
                </c:pt>
                <c:pt idx="783">
                  <c:v>-178807.5</c:v>
                </c:pt>
                <c:pt idx="784">
                  <c:v>-178807.5</c:v>
                </c:pt>
                <c:pt idx="785">
                  <c:v>-178807.5</c:v>
                </c:pt>
                <c:pt idx="786">
                  <c:v>-178807.5</c:v>
                </c:pt>
                <c:pt idx="787">
                  <c:v>-178807.5</c:v>
                </c:pt>
                <c:pt idx="788">
                  <c:v>-178807.5</c:v>
                </c:pt>
                <c:pt idx="789">
                  <c:v>-179239.90000000002</c:v>
                </c:pt>
                <c:pt idx="790">
                  <c:v>-178840.40000000002</c:v>
                </c:pt>
                <c:pt idx="791">
                  <c:v>-178840.40000000002</c:v>
                </c:pt>
                <c:pt idx="792">
                  <c:v>-178497.30000000002</c:v>
                </c:pt>
                <c:pt idx="793">
                  <c:v>-178497.30000000002</c:v>
                </c:pt>
                <c:pt idx="794">
                  <c:v>-178497.30000000002</c:v>
                </c:pt>
                <c:pt idx="795">
                  <c:v>-178497.30000000002</c:v>
                </c:pt>
                <c:pt idx="796">
                  <c:v>-179982.50000000003</c:v>
                </c:pt>
                <c:pt idx="797">
                  <c:v>-180414.90000000005</c:v>
                </c:pt>
                <c:pt idx="798">
                  <c:v>-180602.90000000005</c:v>
                </c:pt>
                <c:pt idx="799">
                  <c:v>-181063.50000000003</c:v>
                </c:pt>
                <c:pt idx="800">
                  <c:v>-181063.50000000003</c:v>
                </c:pt>
                <c:pt idx="801">
                  <c:v>-181063.50000000003</c:v>
                </c:pt>
                <c:pt idx="802">
                  <c:v>-181063.50000000003</c:v>
                </c:pt>
                <c:pt idx="803">
                  <c:v>-181063.50000000003</c:v>
                </c:pt>
                <c:pt idx="804">
                  <c:v>-186565.00000000006</c:v>
                </c:pt>
                <c:pt idx="805">
                  <c:v>-186565.00000000006</c:v>
                </c:pt>
                <c:pt idx="806">
                  <c:v>-186565.00000000006</c:v>
                </c:pt>
                <c:pt idx="807">
                  <c:v>-186565.00000000006</c:v>
                </c:pt>
                <c:pt idx="808">
                  <c:v>-186565.00000000006</c:v>
                </c:pt>
                <c:pt idx="809">
                  <c:v>-186565.00000000006</c:v>
                </c:pt>
                <c:pt idx="810">
                  <c:v>-186565.00000000006</c:v>
                </c:pt>
                <c:pt idx="811">
                  <c:v>-186565.00000000006</c:v>
                </c:pt>
                <c:pt idx="812">
                  <c:v>-188769.30000000005</c:v>
                </c:pt>
                <c:pt idx="813">
                  <c:v>-188769.30000000005</c:v>
                </c:pt>
                <c:pt idx="814">
                  <c:v>-188769.30000000005</c:v>
                </c:pt>
                <c:pt idx="815">
                  <c:v>-188769.30000000005</c:v>
                </c:pt>
                <c:pt idx="816">
                  <c:v>-188769.30000000005</c:v>
                </c:pt>
                <c:pt idx="817">
                  <c:v>-189004.30000000005</c:v>
                </c:pt>
                <c:pt idx="818">
                  <c:v>-188797.50000000006</c:v>
                </c:pt>
                <c:pt idx="819">
                  <c:v>-188797.50000000006</c:v>
                </c:pt>
                <c:pt idx="820">
                  <c:v>-188797.50000000006</c:v>
                </c:pt>
                <c:pt idx="821">
                  <c:v>-188327.50000000006</c:v>
                </c:pt>
                <c:pt idx="822">
                  <c:v>-188327.50000000006</c:v>
                </c:pt>
                <c:pt idx="823">
                  <c:v>-187857.50000000006</c:v>
                </c:pt>
                <c:pt idx="824">
                  <c:v>-187857.50000000006</c:v>
                </c:pt>
                <c:pt idx="825">
                  <c:v>-183160.00000000006</c:v>
                </c:pt>
                <c:pt idx="826">
                  <c:v>-183160.00000000006</c:v>
                </c:pt>
                <c:pt idx="827">
                  <c:v>-181021.50000000006</c:v>
                </c:pt>
                <c:pt idx="828">
                  <c:v>-181021.50000000006</c:v>
                </c:pt>
                <c:pt idx="829">
                  <c:v>-178619.80000000005</c:v>
                </c:pt>
                <c:pt idx="830">
                  <c:v>-178619.80000000005</c:v>
                </c:pt>
                <c:pt idx="831">
                  <c:v>-177764.40000000002</c:v>
                </c:pt>
                <c:pt idx="832">
                  <c:v>-176965.40000000005</c:v>
                </c:pt>
                <c:pt idx="833">
                  <c:v>-176965.40000000005</c:v>
                </c:pt>
                <c:pt idx="834">
                  <c:v>-176965.40000000005</c:v>
                </c:pt>
                <c:pt idx="835">
                  <c:v>-176645.80000000005</c:v>
                </c:pt>
                <c:pt idx="836">
                  <c:v>-176645.80000000005</c:v>
                </c:pt>
                <c:pt idx="837">
                  <c:v>-175574.2</c:v>
                </c:pt>
                <c:pt idx="838">
                  <c:v>-175574.2</c:v>
                </c:pt>
                <c:pt idx="839">
                  <c:v>-175574.2</c:v>
                </c:pt>
                <c:pt idx="840">
                  <c:v>-175574.2</c:v>
                </c:pt>
                <c:pt idx="841">
                  <c:v>-175574.2</c:v>
                </c:pt>
                <c:pt idx="842">
                  <c:v>-175574.2</c:v>
                </c:pt>
                <c:pt idx="843">
                  <c:v>-175574.2</c:v>
                </c:pt>
                <c:pt idx="844">
                  <c:v>-175574.2</c:v>
                </c:pt>
                <c:pt idx="845">
                  <c:v>-175574.2</c:v>
                </c:pt>
                <c:pt idx="846">
                  <c:v>-175574.2</c:v>
                </c:pt>
                <c:pt idx="847">
                  <c:v>-175842.10000000003</c:v>
                </c:pt>
                <c:pt idx="848">
                  <c:v>-175642.50000000006</c:v>
                </c:pt>
                <c:pt idx="849">
                  <c:v>-175642.50000000006</c:v>
                </c:pt>
                <c:pt idx="850">
                  <c:v>-177235.80000000008</c:v>
                </c:pt>
                <c:pt idx="851">
                  <c:v>-177235.80000000008</c:v>
                </c:pt>
                <c:pt idx="852">
                  <c:v>-176761.10000000006</c:v>
                </c:pt>
                <c:pt idx="853">
                  <c:v>-177658.80000000008</c:v>
                </c:pt>
                <c:pt idx="854">
                  <c:v>-177658.80000000008</c:v>
                </c:pt>
                <c:pt idx="855">
                  <c:v>-177658.80000000008</c:v>
                </c:pt>
                <c:pt idx="856">
                  <c:v>-177292.20000000007</c:v>
                </c:pt>
                <c:pt idx="857">
                  <c:v>-177292.20000000007</c:v>
                </c:pt>
                <c:pt idx="858">
                  <c:v>-177602.40000000008</c:v>
                </c:pt>
                <c:pt idx="859">
                  <c:v>-177602.40000000008</c:v>
                </c:pt>
                <c:pt idx="860">
                  <c:v>-176591.90000000005</c:v>
                </c:pt>
                <c:pt idx="861">
                  <c:v>-175698.90000000005</c:v>
                </c:pt>
                <c:pt idx="862">
                  <c:v>-175698.90000000005</c:v>
                </c:pt>
                <c:pt idx="863">
                  <c:v>-175698.90000000005</c:v>
                </c:pt>
                <c:pt idx="864">
                  <c:v>-175698.90000000005</c:v>
                </c:pt>
                <c:pt idx="865">
                  <c:v>-175698.90000000005</c:v>
                </c:pt>
                <c:pt idx="866">
                  <c:v>-175698.90000000005</c:v>
                </c:pt>
                <c:pt idx="867">
                  <c:v>-175698.90000000005</c:v>
                </c:pt>
                <c:pt idx="868">
                  <c:v>-175698.90000000005</c:v>
                </c:pt>
                <c:pt idx="869">
                  <c:v>-174000.00000000006</c:v>
                </c:pt>
                <c:pt idx="870">
                  <c:v>-174000.00000000006</c:v>
                </c:pt>
                <c:pt idx="871">
                  <c:v>-174000.00000000006</c:v>
                </c:pt>
                <c:pt idx="872">
                  <c:v>-174000.00000000006</c:v>
                </c:pt>
                <c:pt idx="873">
                  <c:v>-175903.50000000006</c:v>
                </c:pt>
                <c:pt idx="874">
                  <c:v>-174112.80000000005</c:v>
                </c:pt>
                <c:pt idx="875">
                  <c:v>-174531.10000000006</c:v>
                </c:pt>
                <c:pt idx="876">
                  <c:v>-175706.10000000006</c:v>
                </c:pt>
                <c:pt idx="877">
                  <c:v>-175706.10000000006</c:v>
                </c:pt>
                <c:pt idx="878">
                  <c:v>-175706.10000000006</c:v>
                </c:pt>
                <c:pt idx="879">
                  <c:v>-175706.10000000006</c:v>
                </c:pt>
                <c:pt idx="880">
                  <c:v>-175706.10000000006</c:v>
                </c:pt>
                <c:pt idx="881">
                  <c:v>-175706.10000000006</c:v>
                </c:pt>
                <c:pt idx="882">
                  <c:v>-175706.10000000006</c:v>
                </c:pt>
                <c:pt idx="883">
                  <c:v>-175706.10000000006</c:v>
                </c:pt>
                <c:pt idx="884">
                  <c:v>-175706.10000000006</c:v>
                </c:pt>
                <c:pt idx="885">
                  <c:v>-175287.80000000005</c:v>
                </c:pt>
                <c:pt idx="886">
                  <c:v>-175287.80000000005</c:v>
                </c:pt>
                <c:pt idx="887">
                  <c:v>-175287.80000000005</c:v>
                </c:pt>
                <c:pt idx="888">
                  <c:v>-175287.80000000005</c:v>
                </c:pt>
                <c:pt idx="889">
                  <c:v>-175287.80000000005</c:v>
                </c:pt>
                <c:pt idx="890">
                  <c:v>-175259.60000000003</c:v>
                </c:pt>
                <c:pt idx="891">
                  <c:v>-174120.00000000006</c:v>
                </c:pt>
                <c:pt idx="892">
                  <c:v>-174120.00000000006</c:v>
                </c:pt>
                <c:pt idx="893">
                  <c:v>-174120.00000000006</c:v>
                </c:pt>
                <c:pt idx="894">
                  <c:v>-174120.00000000006</c:v>
                </c:pt>
                <c:pt idx="895">
                  <c:v>-174120.00000000006</c:v>
                </c:pt>
                <c:pt idx="896">
                  <c:v>-175027.10000000003</c:v>
                </c:pt>
                <c:pt idx="897">
                  <c:v>-174599.40000000002</c:v>
                </c:pt>
                <c:pt idx="898">
                  <c:v>-174998.90000000002</c:v>
                </c:pt>
                <c:pt idx="899">
                  <c:v>-174627.6</c:v>
                </c:pt>
                <c:pt idx="900">
                  <c:v>-174279.80000000002</c:v>
                </c:pt>
                <c:pt idx="901">
                  <c:v>-173321</c:v>
                </c:pt>
                <c:pt idx="902">
                  <c:v>-173321</c:v>
                </c:pt>
                <c:pt idx="903">
                  <c:v>-173321</c:v>
                </c:pt>
                <c:pt idx="904">
                  <c:v>-173321</c:v>
                </c:pt>
                <c:pt idx="905">
                  <c:v>-173321</c:v>
                </c:pt>
                <c:pt idx="906">
                  <c:v>-173321</c:v>
                </c:pt>
                <c:pt idx="907">
                  <c:v>-173321</c:v>
                </c:pt>
                <c:pt idx="908">
                  <c:v>-173584.2</c:v>
                </c:pt>
                <c:pt idx="909">
                  <c:v>-173692.30000000002</c:v>
                </c:pt>
                <c:pt idx="910">
                  <c:v>-173612.40000000002</c:v>
                </c:pt>
                <c:pt idx="911">
                  <c:v>-173664.1</c:v>
                </c:pt>
                <c:pt idx="912">
                  <c:v>-173612.40000000002</c:v>
                </c:pt>
                <c:pt idx="913">
                  <c:v>-173065</c:v>
                </c:pt>
                <c:pt idx="914">
                  <c:v>-173065</c:v>
                </c:pt>
                <c:pt idx="915">
                  <c:v>-173065</c:v>
                </c:pt>
                <c:pt idx="916">
                  <c:v>-173065</c:v>
                </c:pt>
                <c:pt idx="917">
                  <c:v>-174564.3</c:v>
                </c:pt>
                <c:pt idx="918">
                  <c:v>-174564.3</c:v>
                </c:pt>
                <c:pt idx="919">
                  <c:v>-174564.3</c:v>
                </c:pt>
                <c:pt idx="920">
                  <c:v>-173328.19999999998</c:v>
                </c:pt>
                <c:pt idx="921">
                  <c:v>-173328.19999999998</c:v>
                </c:pt>
                <c:pt idx="922">
                  <c:v>-173328.19999999998</c:v>
                </c:pt>
                <c:pt idx="923">
                  <c:v>-173328.19999999998</c:v>
                </c:pt>
                <c:pt idx="924">
                  <c:v>-173328.19999999998</c:v>
                </c:pt>
                <c:pt idx="925">
                  <c:v>-172270.69999999998</c:v>
                </c:pt>
                <c:pt idx="926">
                  <c:v>-171800.69999999998</c:v>
                </c:pt>
                <c:pt idx="927">
                  <c:v>-171800.69999999998</c:v>
                </c:pt>
                <c:pt idx="928">
                  <c:v>-171800.69999999998</c:v>
                </c:pt>
                <c:pt idx="929">
                  <c:v>-171509.3</c:v>
                </c:pt>
                <c:pt idx="930">
                  <c:v>-171391.8</c:v>
                </c:pt>
                <c:pt idx="931">
                  <c:v>-170597.5</c:v>
                </c:pt>
                <c:pt idx="932">
                  <c:v>-170362.5</c:v>
                </c:pt>
                <c:pt idx="933">
                  <c:v>-170362.5</c:v>
                </c:pt>
                <c:pt idx="934">
                  <c:v>-160260</c:v>
                </c:pt>
                <c:pt idx="935">
                  <c:v>-160260</c:v>
                </c:pt>
                <c:pt idx="936">
                  <c:v>-159188.4</c:v>
                </c:pt>
                <c:pt idx="937">
                  <c:v>-154079.5</c:v>
                </c:pt>
                <c:pt idx="938">
                  <c:v>-154079.5</c:v>
                </c:pt>
                <c:pt idx="939">
                  <c:v>-154079.5</c:v>
                </c:pt>
                <c:pt idx="940">
                  <c:v>-151470.99999999997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77-4910-8C05-8FB841B684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230248"/>
        <c:axId val="530236520"/>
      </c:lineChart>
      <c:dateAx>
        <c:axId val="5302302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6520"/>
        <c:crosses val="autoZero"/>
        <c:auto val="1"/>
        <c:lblOffset val="100"/>
        <c:baseTimeUnit val="days"/>
      </c:dateAx>
      <c:valAx>
        <c:axId val="530236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0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DHP</a:t>
            </a:r>
            <a:r>
              <a:rPr lang="en-US" baseline="0"/>
              <a:t> and Futures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Data!$J$11</c:f>
              <c:strCache>
                <c:ptCount val="1"/>
                <c:pt idx="0">
                  <c:v>Long Polypropylene Futures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941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41281</c:v>
                </c:pt>
                <c:pt idx="5">
                  <c:v>41282</c:v>
                </c:pt>
                <c:pt idx="6">
                  <c:v>41283</c:v>
                </c:pt>
                <c:pt idx="7">
                  <c:v>41284</c:v>
                </c:pt>
                <c:pt idx="8">
                  <c:v>41285</c:v>
                </c:pt>
                <c:pt idx="9">
                  <c:v>41288</c:v>
                </c:pt>
                <c:pt idx="10">
                  <c:v>41289</c:v>
                </c:pt>
                <c:pt idx="11">
                  <c:v>41290</c:v>
                </c:pt>
                <c:pt idx="12">
                  <c:v>41291</c:v>
                </c:pt>
                <c:pt idx="13">
                  <c:v>41292</c:v>
                </c:pt>
                <c:pt idx="14">
                  <c:v>41295</c:v>
                </c:pt>
                <c:pt idx="15">
                  <c:v>41296</c:v>
                </c:pt>
                <c:pt idx="16">
                  <c:v>41297</c:v>
                </c:pt>
                <c:pt idx="17">
                  <c:v>41298</c:v>
                </c:pt>
                <c:pt idx="18">
                  <c:v>41299</c:v>
                </c:pt>
                <c:pt idx="19">
                  <c:v>41302</c:v>
                </c:pt>
                <c:pt idx="20">
                  <c:v>41303</c:v>
                </c:pt>
                <c:pt idx="21">
                  <c:v>41304</c:v>
                </c:pt>
                <c:pt idx="22">
                  <c:v>41305</c:v>
                </c:pt>
                <c:pt idx="23">
                  <c:v>41306</c:v>
                </c:pt>
                <c:pt idx="24">
                  <c:v>41309</c:v>
                </c:pt>
                <c:pt idx="25">
                  <c:v>41310</c:v>
                </c:pt>
                <c:pt idx="26">
                  <c:v>41311</c:v>
                </c:pt>
                <c:pt idx="27">
                  <c:v>41312</c:v>
                </c:pt>
                <c:pt idx="28">
                  <c:v>41313</c:v>
                </c:pt>
                <c:pt idx="29">
                  <c:v>41316</c:v>
                </c:pt>
                <c:pt idx="30">
                  <c:v>41317</c:v>
                </c:pt>
                <c:pt idx="31">
                  <c:v>41318</c:v>
                </c:pt>
                <c:pt idx="32">
                  <c:v>41319</c:v>
                </c:pt>
                <c:pt idx="33">
                  <c:v>41320</c:v>
                </c:pt>
                <c:pt idx="34">
                  <c:v>41323</c:v>
                </c:pt>
                <c:pt idx="35">
                  <c:v>41324</c:v>
                </c:pt>
                <c:pt idx="36">
                  <c:v>41325</c:v>
                </c:pt>
                <c:pt idx="37">
                  <c:v>41326</c:v>
                </c:pt>
                <c:pt idx="38">
                  <c:v>41327</c:v>
                </c:pt>
                <c:pt idx="39">
                  <c:v>41330</c:v>
                </c:pt>
                <c:pt idx="40">
                  <c:v>41331</c:v>
                </c:pt>
                <c:pt idx="41">
                  <c:v>41332</c:v>
                </c:pt>
                <c:pt idx="42">
                  <c:v>41333</c:v>
                </c:pt>
                <c:pt idx="43">
                  <c:v>41334</c:v>
                </c:pt>
                <c:pt idx="44">
                  <c:v>41337</c:v>
                </c:pt>
                <c:pt idx="45">
                  <c:v>41338</c:v>
                </c:pt>
                <c:pt idx="46">
                  <c:v>41339</c:v>
                </c:pt>
                <c:pt idx="47">
                  <c:v>41340</c:v>
                </c:pt>
                <c:pt idx="48">
                  <c:v>41341</c:v>
                </c:pt>
                <c:pt idx="49">
                  <c:v>41344</c:v>
                </c:pt>
                <c:pt idx="50">
                  <c:v>41345</c:v>
                </c:pt>
                <c:pt idx="51">
                  <c:v>41346</c:v>
                </c:pt>
                <c:pt idx="52">
                  <c:v>41347</c:v>
                </c:pt>
                <c:pt idx="53">
                  <c:v>41348</c:v>
                </c:pt>
                <c:pt idx="54">
                  <c:v>41351</c:v>
                </c:pt>
                <c:pt idx="55">
                  <c:v>41352</c:v>
                </c:pt>
                <c:pt idx="56">
                  <c:v>41353</c:v>
                </c:pt>
                <c:pt idx="57">
                  <c:v>41354</c:v>
                </c:pt>
                <c:pt idx="58">
                  <c:v>41355</c:v>
                </c:pt>
                <c:pt idx="59">
                  <c:v>41358</c:v>
                </c:pt>
                <c:pt idx="60">
                  <c:v>41359</c:v>
                </c:pt>
                <c:pt idx="61">
                  <c:v>41360</c:v>
                </c:pt>
                <c:pt idx="62">
                  <c:v>41361</c:v>
                </c:pt>
                <c:pt idx="63">
                  <c:v>41362</c:v>
                </c:pt>
                <c:pt idx="64">
                  <c:v>41365</c:v>
                </c:pt>
                <c:pt idx="65">
                  <c:v>41366</c:v>
                </c:pt>
                <c:pt idx="66">
                  <c:v>41367</c:v>
                </c:pt>
                <c:pt idx="67">
                  <c:v>41368</c:v>
                </c:pt>
                <c:pt idx="68">
                  <c:v>41369</c:v>
                </c:pt>
                <c:pt idx="69">
                  <c:v>41372</c:v>
                </c:pt>
                <c:pt idx="70">
                  <c:v>41373</c:v>
                </c:pt>
                <c:pt idx="71">
                  <c:v>41374</c:v>
                </c:pt>
                <c:pt idx="72">
                  <c:v>41375</c:v>
                </c:pt>
                <c:pt idx="73">
                  <c:v>41376</c:v>
                </c:pt>
                <c:pt idx="74">
                  <c:v>41379</c:v>
                </c:pt>
                <c:pt idx="75">
                  <c:v>41380</c:v>
                </c:pt>
                <c:pt idx="76">
                  <c:v>41381</c:v>
                </c:pt>
                <c:pt idx="77">
                  <c:v>41382</c:v>
                </c:pt>
                <c:pt idx="78">
                  <c:v>41383</c:v>
                </c:pt>
                <c:pt idx="79">
                  <c:v>41386</c:v>
                </c:pt>
                <c:pt idx="80">
                  <c:v>41387</c:v>
                </c:pt>
                <c:pt idx="81">
                  <c:v>41388</c:v>
                </c:pt>
                <c:pt idx="82">
                  <c:v>41389</c:v>
                </c:pt>
                <c:pt idx="83">
                  <c:v>41390</c:v>
                </c:pt>
                <c:pt idx="84">
                  <c:v>41393</c:v>
                </c:pt>
                <c:pt idx="85">
                  <c:v>41394</c:v>
                </c:pt>
                <c:pt idx="86">
                  <c:v>41395</c:v>
                </c:pt>
                <c:pt idx="87">
                  <c:v>41396</c:v>
                </c:pt>
                <c:pt idx="88">
                  <c:v>41397</c:v>
                </c:pt>
                <c:pt idx="89">
                  <c:v>41400</c:v>
                </c:pt>
                <c:pt idx="90">
                  <c:v>41401</c:v>
                </c:pt>
                <c:pt idx="91">
                  <c:v>41402</c:v>
                </c:pt>
                <c:pt idx="92">
                  <c:v>41403</c:v>
                </c:pt>
                <c:pt idx="93">
                  <c:v>41404</c:v>
                </c:pt>
                <c:pt idx="94">
                  <c:v>41407</c:v>
                </c:pt>
                <c:pt idx="95">
                  <c:v>41408</c:v>
                </c:pt>
                <c:pt idx="96">
                  <c:v>41409</c:v>
                </c:pt>
                <c:pt idx="97">
                  <c:v>41410</c:v>
                </c:pt>
                <c:pt idx="98">
                  <c:v>41411</c:v>
                </c:pt>
                <c:pt idx="99">
                  <c:v>41414</c:v>
                </c:pt>
                <c:pt idx="100">
                  <c:v>41415</c:v>
                </c:pt>
                <c:pt idx="101">
                  <c:v>41416</c:v>
                </c:pt>
                <c:pt idx="102">
                  <c:v>41417</c:v>
                </c:pt>
                <c:pt idx="103">
                  <c:v>41418</c:v>
                </c:pt>
                <c:pt idx="104">
                  <c:v>41421</c:v>
                </c:pt>
                <c:pt idx="105">
                  <c:v>41422</c:v>
                </c:pt>
                <c:pt idx="106">
                  <c:v>41423</c:v>
                </c:pt>
                <c:pt idx="107">
                  <c:v>41424</c:v>
                </c:pt>
                <c:pt idx="108">
                  <c:v>41425</c:v>
                </c:pt>
                <c:pt idx="109">
                  <c:v>41428</c:v>
                </c:pt>
                <c:pt idx="110">
                  <c:v>41429</c:v>
                </c:pt>
                <c:pt idx="111">
                  <c:v>41430</c:v>
                </c:pt>
                <c:pt idx="112">
                  <c:v>41431</c:v>
                </c:pt>
                <c:pt idx="113">
                  <c:v>41432</c:v>
                </c:pt>
                <c:pt idx="114">
                  <c:v>41435</c:v>
                </c:pt>
                <c:pt idx="115">
                  <c:v>41436</c:v>
                </c:pt>
                <c:pt idx="116">
                  <c:v>41437</c:v>
                </c:pt>
                <c:pt idx="117">
                  <c:v>41438</c:v>
                </c:pt>
                <c:pt idx="118">
                  <c:v>41439</c:v>
                </c:pt>
                <c:pt idx="119">
                  <c:v>41442</c:v>
                </c:pt>
                <c:pt idx="120">
                  <c:v>41443</c:v>
                </c:pt>
                <c:pt idx="121">
                  <c:v>41444</c:v>
                </c:pt>
                <c:pt idx="122">
                  <c:v>41445</c:v>
                </c:pt>
                <c:pt idx="123">
                  <c:v>41446</c:v>
                </c:pt>
                <c:pt idx="124">
                  <c:v>41449</c:v>
                </c:pt>
                <c:pt idx="125">
                  <c:v>41450</c:v>
                </c:pt>
                <c:pt idx="126">
                  <c:v>41451</c:v>
                </c:pt>
                <c:pt idx="127">
                  <c:v>41452</c:v>
                </c:pt>
                <c:pt idx="128">
                  <c:v>41453</c:v>
                </c:pt>
                <c:pt idx="129">
                  <c:v>41456</c:v>
                </c:pt>
                <c:pt idx="130">
                  <c:v>41457</c:v>
                </c:pt>
                <c:pt idx="131">
                  <c:v>41458</c:v>
                </c:pt>
                <c:pt idx="132">
                  <c:v>41459</c:v>
                </c:pt>
                <c:pt idx="133">
                  <c:v>41460</c:v>
                </c:pt>
                <c:pt idx="134">
                  <c:v>41463</c:v>
                </c:pt>
                <c:pt idx="135">
                  <c:v>41464</c:v>
                </c:pt>
                <c:pt idx="136">
                  <c:v>41465</c:v>
                </c:pt>
                <c:pt idx="137">
                  <c:v>41466</c:v>
                </c:pt>
                <c:pt idx="138">
                  <c:v>41467</c:v>
                </c:pt>
                <c:pt idx="139">
                  <c:v>41470</c:v>
                </c:pt>
                <c:pt idx="140">
                  <c:v>41471</c:v>
                </c:pt>
                <c:pt idx="141">
                  <c:v>41472</c:v>
                </c:pt>
                <c:pt idx="142">
                  <c:v>41473</c:v>
                </c:pt>
                <c:pt idx="143">
                  <c:v>41474</c:v>
                </c:pt>
                <c:pt idx="144">
                  <c:v>41477</c:v>
                </c:pt>
                <c:pt idx="145">
                  <c:v>41478</c:v>
                </c:pt>
                <c:pt idx="146">
                  <c:v>41479</c:v>
                </c:pt>
                <c:pt idx="147">
                  <c:v>41480</c:v>
                </c:pt>
                <c:pt idx="148">
                  <c:v>41481</c:v>
                </c:pt>
                <c:pt idx="149">
                  <c:v>41484</c:v>
                </c:pt>
                <c:pt idx="150">
                  <c:v>41485</c:v>
                </c:pt>
                <c:pt idx="151">
                  <c:v>41486</c:v>
                </c:pt>
                <c:pt idx="152">
                  <c:v>41487</c:v>
                </c:pt>
                <c:pt idx="153">
                  <c:v>41488</c:v>
                </c:pt>
                <c:pt idx="154">
                  <c:v>41491</c:v>
                </c:pt>
                <c:pt idx="155">
                  <c:v>41492</c:v>
                </c:pt>
                <c:pt idx="156">
                  <c:v>41493</c:v>
                </c:pt>
                <c:pt idx="157">
                  <c:v>41494</c:v>
                </c:pt>
                <c:pt idx="158">
                  <c:v>41495</c:v>
                </c:pt>
                <c:pt idx="159">
                  <c:v>41498</c:v>
                </c:pt>
                <c:pt idx="160">
                  <c:v>41499</c:v>
                </c:pt>
                <c:pt idx="161">
                  <c:v>41500</c:v>
                </c:pt>
                <c:pt idx="162">
                  <c:v>41501</c:v>
                </c:pt>
                <c:pt idx="163">
                  <c:v>41502</c:v>
                </c:pt>
                <c:pt idx="164">
                  <c:v>41505</c:v>
                </c:pt>
                <c:pt idx="165">
                  <c:v>41506</c:v>
                </c:pt>
                <c:pt idx="166">
                  <c:v>41507</c:v>
                </c:pt>
                <c:pt idx="167">
                  <c:v>41508</c:v>
                </c:pt>
                <c:pt idx="168">
                  <c:v>41509</c:v>
                </c:pt>
                <c:pt idx="169">
                  <c:v>41512</c:v>
                </c:pt>
                <c:pt idx="170">
                  <c:v>41513</c:v>
                </c:pt>
                <c:pt idx="171">
                  <c:v>41514</c:v>
                </c:pt>
                <c:pt idx="172">
                  <c:v>41515</c:v>
                </c:pt>
                <c:pt idx="173">
                  <c:v>41516</c:v>
                </c:pt>
                <c:pt idx="174">
                  <c:v>41519</c:v>
                </c:pt>
                <c:pt idx="175">
                  <c:v>41520</c:v>
                </c:pt>
                <c:pt idx="176">
                  <c:v>41521</c:v>
                </c:pt>
                <c:pt idx="177">
                  <c:v>41522</c:v>
                </c:pt>
                <c:pt idx="178">
                  <c:v>41523</c:v>
                </c:pt>
                <c:pt idx="179">
                  <c:v>41526</c:v>
                </c:pt>
                <c:pt idx="180">
                  <c:v>41527</c:v>
                </c:pt>
                <c:pt idx="181">
                  <c:v>41528</c:v>
                </c:pt>
                <c:pt idx="182">
                  <c:v>41529</c:v>
                </c:pt>
                <c:pt idx="183">
                  <c:v>41530</c:v>
                </c:pt>
                <c:pt idx="184">
                  <c:v>41533</c:v>
                </c:pt>
                <c:pt idx="185">
                  <c:v>41534</c:v>
                </c:pt>
                <c:pt idx="186">
                  <c:v>41535</c:v>
                </c:pt>
                <c:pt idx="187">
                  <c:v>41536</c:v>
                </c:pt>
                <c:pt idx="188">
                  <c:v>41537</c:v>
                </c:pt>
                <c:pt idx="189">
                  <c:v>41540</c:v>
                </c:pt>
                <c:pt idx="190">
                  <c:v>41541</c:v>
                </c:pt>
                <c:pt idx="191">
                  <c:v>41542</c:v>
                </c:pt>
                <c:pt idx="192">
                  <c:v>41543</c:v>
                </c:pt>
                <c:pt idx="193">
                  <c:v>41544</c:v>
                </c:pt>
                <c:pt idx="194">
                  <c:v>41547</c:v>
                </c:pt>
                <c:pt idx="195">
                  <c:v>41548</c:v>
                </c:pt>
                <c:pt idx="196">
                  <c:v>41549</c:v>
                </c:pt>
                <c:pt idx="197">
                  <c:v>41550</c:v>
                </c:pt>
                <c:pt idx="198">
                  <c:v>41551</c:v>
                </c:pt>
                <c:pt idx="199">
                  <c:v>41554</c:v>
                </c:pt>
                <c:pt idx="200">
                  <c:v>41555</c:v>
                </c:pt>
                <c:pt idx="201">
                  <c:v>41556</c:v>
                </c:pt>
                <c:pt idx="202">
                  <c:v>41557</c:v>
                </c:pt>
                <c:pt idx="203">
                  <c:v>41558</c:v>
                </c:pt>
                <c:pt idx="204">
                  <c:v>41561</c:v>
                </c:pt>
                <c:pt idx="205">
                  <c:v>41562</c:v>
                </c:pt>
                <c:pt idx="206">
                  <c:v>41563</c:v>
                </c:pt>
                <c:pt idx="207">
                  <c:v>41564</c:v>
                </c:pt>
                <c:pt idx="208">
                  <c:v>41565</c:v>
                </c:pt>
                <c:pt idx="209">
                  <c:v>41568</c:v>
                </c:pt>
                <c:pt idx="210">
                  <c:v>41569</c:v>
                </c:pt>
                <c:pt idx="211">
                  <c:v>41570</c:v>
                </c:pt>
                <c:pt idx="212">
                  <c:v>41571</c:v>
                </c:pt>
                <c:pt idx="213">
                  <c:v>41572</c:v>
                </c:pt>
                <c:pt idx="214">
                  <c:v>41575</c:v>
                </c:pt>
                <c:pt idx="215">
                  <c:v>41576</c:v>
                </c:pt>
                <c:pt idx="216">
                  <c:v>41577</c:v>
                </c:pt>
                <c:pt idx="217">
                  <c:v>41578</c:v>
                </c:pt>
                <c:pt idx="218">
                  <c:v>41579</c:v>
                </c:pt>
                <c:pt idx="219">
                  <c:v>41582</c:v>
                </c:pt>
                <c:pt idx="220">
                  <c:v>41583</c:v>
                </c:pt>
                <c:pt idx="221">
                  <c:v>41584</c:v>
                </c:pt>
                <c:pt idx="222">
                  <c:v>41585</c:v>
                </c:pt>
                <c:pt idx="223">
                  <c:v>41586</c:v>
                </c:pt>
                <c:pt idx="224">
                  <c:v>41589</c:v>
                </c:pt>
                <c:pt idx="225">
                  <c:v>41590</c:v>
                </c:pt>
                <c:pt idx="226">
                  <c:v>41591</c:v>
                </c:pt>
                <c:pt idx="227">
                  <c:v>41592</c:v>
                </c:pt>
                <c:pt idx="228">
                  <c:v>41593</c:v>
                </c:pt>
                <c:pt idx="229">
                  <c:v>41596</c:v>
                </c:pt>
                <c:pt idx="230">
                  <c:v>41597</c:v>
                </c:pt>
                <c:pt idx="231">
                  <c:v>41598</c:v>
                </c:pt>
                <c:pt idx="232">
                  <c:v>41599</c:v>
                </c:pt>
                <c:pt idx="233">
                  <c:v>41600</c:v>
                </c:pt>
                <c:pt idx="234">
                  <c:v>41603</c:v>
                </c:pt>
                <c:pt idx="235">
                  <c:v>41604</c:v>
                </c:pt>
                <c:pt idx="236">
                  <c:v>41605</c:v>
                </c:pt>
                <c:pt idx="237">
                  <c:v>41606</c:v>
                </c:pt>
                <c:pt idx="238">
                  <c:v>41607</c:v>
                </c:pt>
                <c:pt idx="239">
                  <c:v>41610</c:v>
                </c:pt>
                <c:pt idx="240">
                  <c:v>41611</c:v>
                </c:pt>
                <c:pt idx="241">
                  <c:v>41612</c:v>
                </c:pt>
                <c:pt idx="242">
                  <c:v>41613</c:v>
                </c:pt>
                <c:pt idx="243">
                  <c:v>41614</c:v>
                </c:pt>
                <c:pt idx="244">
                  <c:v>41617</c:v>
                </c:pt>
                <c:pt idx="245">
                  <c:v>41618</c:v>
                </c:pt>
                <c:pt idx="246">
                  <c:v>41619</c:v>
                </c:pt>
                <c:pt idx="247">
                  <c:v>41620</c:v>
                </c:pt>
                <c:pt idx="248">
                  <c:v>41621</c:v>
                </c:pt>
                <c:pt idx="249">
                  <c:v>41624</c:v>
                </c:pt>
                <c:pt idx="250">
                  <c:v>41625</c:v>
                </c:pt>
                <c:pt idx="251">
                  <c:v>41626</c:v>
                </c:pt>
                <c:pt idx="252">
                  <c:v>41627</c:v>
                </c:pt>
                <c:pt idx="253">
                  <c:v>41628</c:v>
                </c:pt>
                <c:pt idx="254">
                  <c:v>41631</c:v>
                </c:pt>
                <c:pt idx="255">
                  <c:v>41632</c:v>
                </c:pt>
                <c:pt idx="256">
                  <c:v>41633</c:v>
                </c:pt>
                <c:pt idx="257">
                  <c:v>41634</c:v>
                </c:pt>
                <c:pt idx="258">
                  <c:v>41635</c:v>
                </c:pt>
                <c:pt idx="259">
                  <c:v>41638</c:v>
                </c:pt>
                <c:pt idx="260">
                  <c:v>41639</c:v>
                </c:pt>
                <c:pt idx="261">
                  <c:v>41640</c:v>
                </c:pt>
                <c:pt idx="262">
                  <c:v>41641</c:v>
                </c:pt>
                <c:pt idx="263">
                  <c:v>41642</c:v>
                </c:pt>
                <c:pt idx="264">
                  <c:v>41645</c:v>
                </c:pt>
                <c:pt idx="265">
                  <c:v>41646</c:v>
                </c:pt>
                <c:pt idx="266">
                  <c:v>41647</c:v>
                </c:pt>
                <c:pt idx="267">
                  <c:v>41648</c:v>
                </c:pt>
                <c:pt idx="268">
                  <c:v>41649</c:v>
                </c:pt>
                <c:pt idx="269">
                  <c:v>41652</c:v>
                </c:pt>
                <c:pt idx="270">
                  <c:v>41653</c:v>
                </c:pt>
                <c:pt idx="271">
                  <c:v>41654</c:v>
                </c:pt>
                <c:pt idx="272">
                  <c:v>41655</c:v>
                </c:pt>
                <c:pt idx="273">
                  <c:v>41656</c:v>
                </c:pt>
                <c:pt idx="274">
                  <c:v>41659</c:v>
                </c:pt>
                <c:pt idx="275">
                  <c:v>41660</c:v>
                </c:pt>
                <c:pt idx="276">
                  <c:v>41661</c:v>
                </c:pt>
                <c:pt idx="277">
                  <c:v>41662</c:v>
                </c:pt>
                <c:pt idx="278">
                  <c:v>41663</c:v>
                </c:pt>
                <c:pt idx="279">
                  <c:v>41666</c:v>
                </c:pt>
                <c:pt idx="280">
                  <c:v>41667</c:v>
                </c:pt>
                <c:pt idx="281">
                  <c:v>41668</c:v>
                </c:pt>
                <c:pt idx="282">
                  <c:v>41669</c:v>
                </c:pt>
                <c:pt idx="283">
                  <c:v>41670</c:v>
                </c:pt>
                <c:pt idx="284">
                  <c:v>41673</c:v>
                </c:pt>
                <c:pt idx="285">
                  <c:v>41674</c:v>
                </c:pt>
                <c:pt idx="286">
                  <c:v>41675</c:v>
                </c:pt>
                <c:pt idx="287">
                  <c:v>41676</c:v>
                </c:pt>
                <c:pt idx="288">
                  <c:v>41677</c:v>
                </c:pt>
                <c:pt idx="289">
                  <c:v>41680</c:v>
                </c:pt>
                <c:pt idx="290">
                  <c:v>41681</c:v>
                </c:pt>
                <c:pt idx="291">
                  <c:v>41682</c:v>
                </c:pt>
                <c:pt idx="292">
                  <c:v>41683</c:v>
                </c:pt>
                <c:pt idx="293">
                  <c:v>41684</c:v>
                </c:pt>
                <c:pt idx="294">
                  <c:v>41687</c:v>
                </c:pt>
                <c:pt idx="295">
                  <c:v>41688</c:v>
                </c:pt>
                <c:pt idx="296">
                  <c:v>41689</c:v>
                </c:pt>
                <c:pt idx="297">
                  <c:v>41690</c:v>
                </c:pt>
                <c:pt idx="298">
                  <c:v>41691</c:v>
                </c:pt>
                <c:pt idx="299">
                  <c:v>41694</c:v>
                </c:pt>
                <c:pt idx="300">
                  <c:v>41695</c:v>
                </c:pt>
                <c:pt idx="301">
                  <c:v>41696</c:v>
                </c:pt>
                <c:pt idx="302">
                  <c:v>41697</c:v>
                </c:pt>
                <c:pt idx="303">
                  <c:v>41698</c:v>
                </c:pt>
                <c:pt idx="304">
                  <c:v>41701</c:v>
                </c:pt>
                <c:pt idx="305">
                  <c:v>41702</c:v>
                </c:pt>
                <c:pt idx="306">
                  <c:v>41703</c:v>
                </c:pt>
                <c:pt idx="307">
                  <c:v>41704</c:v>
                </c:pt>
                <c:pt idx="308">
                  <c:v>41705</c:v>
                </c:pt>
                <c:pt idx="309">
                  <c:v>41708</c:v>
                </c:pt>
                <c:pt idx="310">
                  <c:v>41709</c:v>
                </c:pt>
                <c:pt idx="311">
                  <c:v>41710</c:v>
                </c:pt>
                <c:pt idx="312">
                  <c:v>41711</c:v>
                </c:pt>
                <c:pt idx="313">
                  <c:v>41712</c:v>
                </c:pt>
                <c:pt idx="314">
                  <c:v>41715</c:v>
                </c:pt>
                <c:pt idx="315">
                  <c:v>41716</c:v>
                </c:pt>
                <c:pt idx="316">
                  <c:v>41717</c:v>
                </c:pt>
                <c:pt idx="317">
                  <c:v>41718</c:v>
                </c:pt>
                <c:pt idx="318">
                  <c:v>41719</c:v>
                </c:pt>
                <c:pt idx="319">
                  <c:v>41722</c:v>
                </c:pt>
                <c:pt idx="320">
                  <c:v>41723</c:v>
                </c:pt>
                <c:pt idx="321">
                  <c:v>41724</c:v>
                </c:pt>
                <c:pt idx="322">
                  <c:v>41725</c:v>
                </c:pt>
                <c:pt idx="323">
                  <c:v>41726</c:v>
                </c:pt>
                <c:pt idx="324">
                  <c:v>41729</c:v>
                </c:pt>
                <c:pt idx="325">
                  <c:v>41730</c:v>
                </c:pt>
                <c:pt idx="326">
                  <c:v>41731</c:v>
                </c:pt>
                <c:pt idx="327">
                  <c:v>41732</c:v>
                </c:pt>
                <c:pt idx="328">
                  <c:v>41733</c:v>
                </c:pt>
                <c:pt idx="329">
                  <c:v>41736</c:v>
                </c:pt>
                <c:pt idx="330">
                  <c:v>41737</c:v>
                </c:pt>
                <c:pt idx="331">
                  <c:v>41738</c:v>
                </c:pt>
                <c:pt idx="332">
                  <c:v>41739</c:v>
                </c:pt>
                <c:pt idx="333">
                  <c:v>41740</c:v>
                </c:pt>
                <c:pt idx="334">
                  <c:v>41743</c:v>
                </c:pt>
                <c:pt idx="335">
                  <c:v>41744</c:v>
                </c:pt>
                <c:pt idx="336">
                  <c:v>41745</c:v>
                </c:pt>
                <c:pt idx="337">
                  <c:v>41746</c:v>
                </c:pt>
                <c:pt idx="338">
                  <c:v>41747</c:v>
                </c:pt>
                <c:pt idx="339">
                  <c:v>41750</c:v>
                </c:pt>
                <c:pt idx="340">
                  <c:v>41751</c:v>
                </c:pt>
                <c:pt idx="341">
                  <c:v>41752</c:v>
                </c:pt>
                <c:pt idx="342">
                  <c:v>41753</c:v>
                </c:pt>
                <c:pt idx="343">
                  <c:v>41754</c:v>
                </c:pt>
                <c:pt idx="344">
                  <c:v>41757</c:v>
                </c:pt>
                <c:pt idx="345">
                  <c:v>41758</c:v>
                </c:pt>
                <c:pt idx="346">
                  <c:v>41759</c:v>
                </c:pt>
                <c:pt idx="347">
                  <c:v>41760</c:v>
                </c:pt>
                <c:pt idx="348">
                  <c:v>41761</c:v>
                </c:pt>
                <c:pt idx="349">
                  <c:v>41764</c:v>
                </c:pt>
                <c:pt idx="350">
                  <c:v>41765</c:v>
                </c:pt>
                <c:pt idx="351">
                  <c:v>41766</c:v>
                </c:pt>
                <c:pt idx="352">
                  <c:v>41767</c:v>
                </c:pt>
                <c:pt idx="353">
                  <c:v>41768</c:v>
                </c:pt>
                <c:pt idx="354">
                  <c:v>41771</c:v>
                </c:pt>
                <c:pt idx="355">
                  <c:v>41772</c:v>
                </c:pt>
                <c:pt idx="356">
                  <c:v>41773</c:v>
                </c:pt>
                <c:pt idx="357">
                  <c:v>41774</c:v>
                </c:pt>
                <c:pt idx="358">
                  <c:v>41775</c:v>
                </c:pt>
                <c:pt idx="359">
                  <c:v>41778</c:v>
                </c:pt>
                <c:pt idx="360">
                  <c:v>41779</c:v>
                </c:pt>
                <c:pt idx="361">
                  <c:v>41780</c:v>
                </c:pt>
                <c:pt idx="362">
                  <c:v>41781</c:v>
                </c:pt>
                <c:pt idx="363">
                  <c:v>41782</c:v>
                </c:pt>
                <c:pt idx="364">
                  <c:v>41785</c:v>
                </c:pt>
                <c:pt idx="365">
                  <c:v>41786</c:v>
                </c:pt>
                <c:pt idx="366">
                  <c:v>41787</c:v>
                </c:pt>
                <c:pt idx="367">
                  <c:v>41788</c:v>
                </c:pt>
                <c:pt idx="368">
                  <c:v>41789</c:v>
                </c:pt>
                <c:pt idx="369">
                  <c:v>41792</c:v>
                </c:pt>
                <c:pt idx="370">
                  <c:v>41793</c:v>
                </c:pt>
                <c:pt idx="371">
                  <c:v>41794</c:v>
                </c:pt>
                <c:pt idx="372">
                  <c:v>41795</c:v>
                </c:pt>
                <c:pt idx="373">
                  <c:v>41796</c:v>
                </c:pt>
                <c:pt idx="374">
                  <c:v>41799</c:v>
                </c:pt>
                <c:pt idx="375">
                  <c:v>41800</c:v>
                </c:pt>
                <c:pt idx="376">
                  <c:v>41801</c:v>
                </c:pt>
                <c:pt idx="377">
                  <c:v>41802</c:v>
                </c:pt>
                <c:pt idx="378">
                  <c:v>41803</c:v>
                </c:pt>
                <c:pt idx="379">
                  <c:v>41806</c:v>
                </c:pt>
                <c:pt idx="380">
                  <c:v>41807</c:v>
                </c:pt>
                <c:pt idx="381">
                  <c:v>41808</c:v>
                </c:pt>
                <c:pt idx="382">
                  <c:v>41809</c:v>
                </c:pt>
                <c:pt idx="383">
                  <c:v>41810</c:v>
                </c:pt>
                <c:pt idx="384">
                  <c:v>41813</c:v>
                </c:pt>
                <c:pt idx="385">
                  <c:v>41814</c:v>
                </c:pt>
                <c:pt idx="386">
                  <c:v>41815</c:v>
                </c:pt>
                <c:pt idx="387">
                  <c:v>41816</c:v>
                </c:pt>
                <c:pt idx="388">
                  <c:v>41817</c:v>
                </c:pt>
                <c:pt idx="389">
                  <c:v>41820</c:v>
                </c:pt>
                <c:pt idx="390">
                  <c:v>41821</c:v>
                </c:pt>
                <c:pt idx="391">
                  <c:v>41822</c:v>
                </c:pt>
                <c:pt idx="392">
                  <c:v>41823</c:v>
                </c:pt>
                <c:pt idx="393">
                  <c:v>41824</c:v>
                </c:pt>
                <c:pt idx="394">
                  <c:v>41827</c:v>
                </c:pt>
                <c:pt idx="395">
                  <c:v>41828</c:v>
                </c:pt>
                <c:pt idx="396">
                  <c:v>41829</c:v>
                </c:pt>
                <c:pt idx="397">
                  <c:v>41830</c:v>
                </c:pt>
                <c:pt idx="398">
                  <c:v>41831</c:v>
                </c:pt>
                <c:pt idx="399">
                  <c:v>41834</c:v>
                </c:pt>
                <c:pt idx="400">
                  <c:v>41835</c:v>
                </c:pt>
                <c:pt idx="401">
                  <c:v>41836</c:v>
                </c:pt>
                <c:pt idx="402">
                  <c:v>41837</c:v>
                </c:pt>
                <c:pt idx="403">
                  <c:v>41838</c:v>
                </c:pt>
                <c:pt idx="404">
                  <c:v>41841</c:v>
                </c:pt>
                <c:pt idx="405">
                  <c:v>41842</c:v>
                </c:pt>
                <c:pt idx="406">
                  <c:v>41843</c:v>
                </c:pt>
                <c:pt idx="407">
                  <c:v>41844</c:v>
                </c:pt>
                <c:pt idx="408">
                  <c:v>41845</c:v>
                </c:pt>
                <c:pt idx="409">
                  <c:v>41848</c:v>
                </c:pt>
                <c:pt idx="410">
                  <c:v>41849</c:v>
                </c:pt>
                <c:pt idx="411">
                  <c:v>41850</c:v>
                </c:pt>
                <c:pt idx="412">
                  <c:v>41851</c:v>
                </c:pt>
                <c:pt idx="413">
                  <c:v>41852</c:v>
                </c:pt>
                <c:pt idx="414">
                  <c:v>41855</c:v>
                </c:pt>
                <c:pt idx="415">
                  <c:v>41856</c:v>
                </c:pt>
                <c:pt idx="416">
                  <c:v>41857</c:v>
                </c:pt>
                <c:pt idx="417">
                  <c:v>41858</c:v>
                </c:pt>
                <c:pt idx="418">
                  <c:v>41859</c:v>
                </c:pt>
                <c:pt idx="419">
                  <c:v>41862</c:v>
                </c:pt>
                <c:pt idx="420">
                  <c:v>41863</c:v>
                </c:pt>
                <c:pt idx="421">
                  <c:v>41864</c:v>
                </c:pt>
                <c:pt idx="422">
                  <c:v>41865</c:v>
                </c:pt>
                <c:pt idx="423">
                  <c:v>41866</c:v>
                </c:pt>
                <c:pt idx="424">
                  <c:v>41869</c:v>
                </c:pt>
                <c:pt idx="425">
                  <c:v>41870</c:v>
                </c:pt>
                <c:pt idx="426">
                  <c:v>41871</c:v>
                </c:pt>
                <c:pt idx="427">
                  <c:v>41872</c:v>
                </c:pt>
                <c:pt idx="428">
                  <c:v>41873</c:v>
                </c:pt>
                <c:pt idx="429">
                  <c:v>41876</c:v>
                </c:pt>
                <c:pt idx="430">
                  <c:v>41877</c:v>
                </c:pt>
                <c:pt idx="431">
                  <c:v>41878</c:v>
                </c:pt>
                <c:pt idx="432">
                  <c:v>41879</c:v>
                </c:pt>
                <c:pt idx="433">
                  <c:v>41880</c:v>
                </c:pt>
                <c:pt idx="434">
                  <c:v>41883</c:v>
                </c:pt>
                <c:pt idx="435">
                  <c:v>41884</c:v>
                </c:pt>
                <c:pt idx="436">
                  <c:v>41885</c:v>
                </c:pt>
                <c:pt idx="437">
                  <c:v>41886</c:v>
                </c:pt>
                <c:pt idx="438">
                  <c:v>41887</c:v>
                </c:pt>
                <c:pt idx="439">
                  <c:v>41890</c:v>
                </c:pt>
                <c:pt idx="440">
                  <c:v>41891</c:v>
                </c:pt>
                <c:pt idx="441">
                  <c:v>41892</c:v>
                </c:pt>
                <c:pt idx="442">
                  <c:v>41893</c:v>
                </c:pt>
                <c:pt idx="443">
                  <c:v>41894</c:v>
                </c:pt>
                <c:pt idx="444">
                  <c:v>41897</c:v>
                </c:pt>
                <c:pt idx="445">
                  <c:v>41898</c:v>
                </c:pt>
                <c:pt idx="446">
                  <c:v>41899</c:v>
                </c:pt>
                <c:pt idx="447">
                  <c:v>41900</c:v>
                </c:pt>
                <c:pt idx="448">
                  <c:v>41901</c:v>
                </c:pt>
                <c:pt idx="449">
                  <c:v>41904</c:v>
                </c:pt>
                <c:pt idx="450">
                  <c:v>41905</c:v>
                </c:pt>
                <c:pt idx="451">
                  <c:v>41906</c:v>
                </c:pt>
                <c:pt idx="452">
                  <c:v>41907</c:v>
                </c:pt>
                <c:pt idx="453">
                  <c:v>41908</c:v>
                </c:pt>
                <c:pt idx="454">
                  <c:v>41911</c:v>
                </c:pt>
                <c:pt idx="455">
                  <c:v>41912</c:v>
                </c:pt>
                <c:pt idx="456">
                  <c:v>41913</c:v>
                </c:pt>
                <c:pt idx="457">
                  <c:v>41914</c:v>
                </c:pt>
                <c:pt idx="458">
                  <c:v>41915</c:v>
                </c:pt>
                <c:pt idx="459">
                  <c:v>41918</c:v>
                </c:pt>
                <c:pt idx="460">
                  <c:v>41919</c:v>
                </c:pt>
                <c:pt idx="461">
                  <c:v>41920</c:v>
                </c:pt>
                <c:pt idx="462">
                  <c:v>41921</c:v>
                </c:pt>
                <c:pt idx="463">
                  <c:v>41922</c:v>
                </c:pt>
                <c:pt idx="464">
                  <c:v>41925</c:v>
                </c:pt>
                <c:pt idx="465">
                  <c:v>41926</c:v>
                </c:pt>
                <c:pt idx="466">
                  <c:v>41927</c:v>
                </c:pt>
                <c:pt idx="467">
                  <c:v>41928</c:v>
                </c:pt>
                <c:pt idx="468">
                  <c:v>41929</c:v>
                </c:pt>
                <c:pt idx="469">
                  <c:v>41932</c:v>
                </c:pt>
                <c:pt idx="470">
                  <c:v>41933</c:v>
                </c:pt>
                <c:pt idx="471">
                  <c:v>41934</c:v>
                </c:pt>
                <c:pt idx="472">
                  <c:v>41935</c:v>
                </c:pt>
                <c:pt idx="473">
                  <c:v>41936</c:v>
                </c:pt>
                <c:pt idx="474">
                  <c:v>41939</c:v>
                </c:pt>
                <c:pt idx="475">
                  <c:v>41940</c:v>
                </c:pt>
                <c:pt idx="476">
                  <c:v>41941</c:v>
                </c:pt>
                <c:pt idx="477">
                  <c:v>41942</c:v>
                </c:pt>
                <c:pt idx="478">
                  <c:v>41943</c:v>
                </c:pt>
                <c:pt idx="479">
                  <c:v>41946</c:v>
                </c:pt>
                <c:pt idx="480">
                  <c:v>41947</c:v>
                </c:pt>
                <c:pt idx="481">
                  <c:v>41948</c:v>
                </c:pt>
                <c:pt idx="482">
                  <c:v>41949</c:v>
                </c:pt>
                <c:pt idx="483">
                  <c:v>41950</c:v>
                </c:pt>
                <c:pt idx="484">
                  <c:v>41953</c:v>
                </c:pt>
                <c:pt idx="485">
                  <c:v>41954</c:v>
                </c:pt>
                <c:pt idx="486">
                  <c:v>41955</c:v>
                </c:pt>
                <c:pt idx="487">
                  <c:v>41956</c:v>
                </c:pt>
                <c:pt idx="488">
                  <c:v>41957</c:v>
                </c:pt>
                <c:pt idx="489">
                  <c:v>41960</c:v>
                </c:pt>
                <c:pt idx="490">
                  <c:v>41961</c:v>
                </c:pt>
                <c:pt idx="491">
                  <c:v>41962</c:v>
                </c:pt>
                <c:pt idx="492">
                  <c:v>41963</c:v>
                </c:pt>
                <c:pt idx="493">
                  <c:v>41964</c:v>
                </c:pt>
                <c:pt idx="494">
                  <c:v>41967</c:v>
                </c:pt>
                <c:pt idx="495">
                  <c:v>41968</c:v>
                </c:pt>
                <c:pt idx="496">
                  <c:v>41969</c:v>
                </c:pt>
                <c:pt idx="497">
                  <c:v>41970</c:v>
                </c:pt>
                <c:pt idx="498">
                  <c:v>41971</c:v>
                </c:pt>
                <c:pt idx="499">
                  <c:v>41974</c:v>
                </c:pt>
                <c:pt idx="500">
                  <c:v>41975</c:v>
                </c:pt>
                <c:pt idx="501">
                  <c:v>41976</c:v>
                </c:pt>
                <c:pt idx="502">
                  <c:v>41977</c:v>
                </c:pt>
                <c:pt idx="503">
                  <c:v>41978</c:v>
                </c:pt>
                <c:pt idx="504">
                  <c:v>41981</c:v>
                </c:pt>
                <c:pt idx="505">
                  <c:v>41982</c:v>
                </c:pt>
                <c:pt idx="506">
                  <c:v>41983</c:v>
                </c:pt>
                <c:pt idx="507">
                  <c:v>41984</c:v>
                </c:pt>
                <c:pt idx="508">
                  <c:v>41985</c:v>
                </c:pt>
                <c:pt idx="509">
                  <c:v>41988</c:v>
                </c:pt>
                <c:pt idx="510">
                  <c:v>41989</c:v>
                </c:pt>
                <c:pt idx="511">
                  <c:v>41990</c:v>
                </c:pt>
                <c:pt idx="512">
                  <c:v>41991</c:v>
                </c:pt>
                <c:pt idx="513">
                  <c:v>41992</c:v>
                </c:pt>
                <c:pt idx="514">
                  <c:v>41995</c:v>
                </c:pt>
                <c:pt idx="515">
                  <c:v>41996</c:v>
                </c:pt>
                <c:pt idx="516">
                  <c:v>41997</c:v>
                </c:pt>
                <c:pt idx="517">
                  <c:v>41998</c:v>
                </c:pt>
                <c:pt idx="518">
                  <c:v>41999</c:v>
                </c:pt>
                <c:pt idx="519">
                  <c:v>42002</c:v>
                </c:pt>
                <c:pt idx="520">
                  <c:v>42003</c:v>
                </c:pt>
                <c:pt idx="521">
                  <c:v>42004</c:v>
                </c:pt>
                <c:pt idx="522">
                  <c:v>42005</c:v>
                </c:pt>
                <c:pt idx="523">
                  <c:v>42006</c:v>
                </c:pt>
                <c:pt idx="524">
                  <c:v>42009</c:v>
                </c:pt>
                <c:pt idx="525">
                  <c:v>42010</c:v>
                </c:pt>
                <c:pt idx="526">
                  <c:v>42011</c:v>
                </c:pt>
                <c:pt idx="527">
                  <c:v>42012</c:v>
                </c:pt>
                <c:pt idx="528">
                  <c:v>42013</c:v>
                </c:pt>
                <c:pt idx="529">
                  <c:v>42016</c:v>
                </c:pt>
                <c:pt idx="530">
                  <c:v>42017</c:v>
                </c:pt>
                <c:pt idx="531">
                  <c:v>42018</c:v>
                </c:pt>
                <c:pt idx="532">
                  <c:v>42019</c:v>
                </c:pt>
                <c:pt idx="533">
                  <c:v>42020</c:v>
                </c:pt>
                <c:pt idx="534">
                  <c:v>42023</c:v>
                </c:pt>
                <c:pt idx="535">
                  <c:v>42024</c:v>
                </c:pt>
                <c:pt idx="536">
                  <c:v>42025</c:v>
                </c:pt>
                <c:pt idx="537">
                  <c:v>42026</c:v>
                </c:pt>
                <c:pt idx="538">
                  <c:v>42027</c:v>
                </c:pt>
                <c:pt idx="539">
                  <c:v>42030</c:v>
                </c:pt>
                <c:pt idx="540">
                  <c:v>42031</c:v>
                </c:pt>
                <c:pt idx="541">
                  <c:v>42032</c:v>
                </c:pt>
                <c:pt idx="542">
                  <c:v>42033</c:v>
                </c:pt>
                <c:pt idx="543">
                  <c:v>42034</c:v>
                </c:pt>
                <c:pt idx="544">
                  <c:v>42037</c:v>
                </c:pt>
                <c:pt idx="545">
                  <c:v>42038</c:v>
                </c:pt>
                <c:pt idx="546">
                  <c:v>42039</c:v>
                </c:pt>
                <c:pt idx="547">
                  <c:v>42040</c:v>
                </c:pt>
                <c:pt idx="548">
                  <c:v>42041</c:v>
                </c:pt>
                <c:pt idx="549">
                  <c:v>42044</c:v>
                </c:pt>
                <c:pt idx="550">
                  <c:v>42045</c:v>
                </c:pt>
                <c:pt idx="551">
                  <c:v>42046</c:v>
                </c:pt>
                <c:pt idx="552">
                  <c:v>42047</c:v>
                </c:pt>
                <c:pt idx="553">
                  <c:v>42048</c:v>
                </c:pt>
                <c:pt idx="554">
                  <c:v>42051</c:v>
                </c:pt>
                <c:pt idx="555">
                  <c:v>42052</c:v>
                </c:pt>
                <c:pt idx="556">
                  <c:v>42053</c:v>
                </c:pt>
                <c:pt idx="557">
                  <c:v>42054</c:v>
                </c:pt>
                <c:pt idx="558">
                  <c:v>42055</c:v>
                </c:pt>
                <c:pt idx="559">
                  <c:v>42058</c:v>
                </c:pt>
                <c:pt idx="560">
                  <c:v>42059</c:v>
                </c:pt>
                <c:pt idx="561">
                  <c:v>42060</c:v>
                </c:pt>
                <c:pt idx="562">
                  <c:v>42061</c:v>
                </c:pt>
                <c:pt idx="563">
                  <c:v>42062</c:v>
                </c:pt>
                <c:pt idx="564">
                  <c:v>42065</c:v>
                </c:pt>
                <c:pt idx="565">
                  <c:v>42066</c:v>
                </c:pt>
                <c:pt idx="566">
                  <c:v>42067</c:v>
                </c:pt>
                <c:pt idx="567">
                  <c:v>42068</c:v>
                </c:pt>
                <c:pt idx="568">
                  <c:v>42069</c:v>
                </c:pt>
                <c:pt idx="569">
                  <c:v>42072</c:v>
                </c:pt>
                <c:pt idx="570">
                  <c:v>42073</c:v>
                </c:pt>
                <c:pt idx="571">
                  <c:v>42074</c:v>
                </c:pt>
                <c:pt idx="572">
                  <c:v>42075</c:v>
                </c:pt>
                <c:pt idx="573">
                  <c:v>42076</c:v>
                </c:pt>
                <c:pt idx="574">
                  <c:v>42079</c:v>
                </c:pt>
                <c:pt idx="575">
                  <c:v>42080</c:v>
                </c:pt>
                <c:pt idx="576">
                  <c:v>42081</c:v>
                </c:pt>
                <c:pt idx="577">
                  <c:v>42082</c:v>
                </c:pt>
                <c:pt idx="578">
                  <c:v>42083</c:v>
                </c:pt>
                <c:pt idx="579">
                  <c:v>42086</c:v>
                </c:pt>
                <c:pt idx="580">
                  <c:v>42087</c:v>
                </c:pt>
                <c:pt idx="581">
                  <c:v>42088</c:v>
                </c:pt>
                <c:pt idx="582">
                  <c:v>42089</c:v>
                </c:pt>
                <c:pt idx="583">
                  <c:v>42090</c:v>
                </c:pt>
                <c:pt idx="584">
                  <c:v>42093</c:v>
                </c:pt>
                <c:pt idx="585">
                  <c:v>42094</c:v>
                </c:pt>
                <c:pt idx="586">
                  <c:v>42095</c:v>
                </c:pt>
                <c:pt idx="587">
                  <c:v>42096</c:v>
                </c:pt>
                <c:pt idx="588">
                  <c:v>42097</c:v>
                </c:pt>
                <c:pt idx="589">
                  <c:v>42100</c:v>
                </c:pt>
                <c:pt idx="590">
                  <c:v>42101</c:v>
                </c:pt>
                <c:pt idx="591">
                  <c:v>42102</c:v>
                </c:pt>
                <c:pt idx="592">
                  <c:v>42103</c:v>
                </c:pt>
                <c:pt idx="593">
                  <c:v>42104</c:v>
                </c:pt>
                <c:pt idx="594">
                  <c:v>42107</c:v>
                </c:pt>
                <c:pt idx="595">
                  <c:v>42108</c:v>
                </c:pt>
                <c:pt idx="596">
                  <c:v>42109</c:v>
                </c:pt>
                <c:pt idx="597">
                  <c:v>42110</c:v>
                </c:pt>
                <c:pt idx="598">
                  <c:v>42111</c:v>
                </c:pt>
                <c:pt idx="599">
                  <c:v>42114</c:v>
                </c:pt>
                <c:pt idx="600">
                  <c:v>42115</c:v>
                </c:pt>
                <c:pt idx="601">
                  <c:v>42116</c:v>
                </c:pt>
                <c:pt idx="602">
                  <c:v>42117</c:v>
                </c:pt>
                <c:pt idx="603">
                  <c:v>42118</c:v>
                </c:pt>
                <c:pt idx="604">
                  <c:v>42121</c:v>
                </c:pt>
                <c:pt idx="605">
                  <c:v>42122</c:v>
                </c:pt>
                <c:pt idx="606">
                  <c:v>42123</c:v>
                </c:pt>
                <c:pt idx="607">
                  <c:v>42124</c:v>
                </c:pt>
                <c:pt idx="608">
                  <c:v>42125</c:v>
                </c:pt>
                <c:pt idx="609">
                  <c:v>42128</c:v>
                </c:pt>
                <c:pt idx="610">
                  <c:v>42129</c:v>
                </c:pt>
                <c:pt idx="611">
                  <c:v>42130</c:v>
                </c:pt>
                <c:pt idx="612">
                  <c:v>42131</c:v>
                </c:pt>
                <c:pt idx="613">
                  <c:v>42132</c:v>
                </c:pt>
                <c:pt idx="614">
                  <c:v>42135</c:v>
                </c:pt>
                <c:pt idx="615">
                  <c:v>42136</c:v>
                </c:pt>
                <c:pt idx="616">
                  <c:v>42137</c:v>
                </c:pt>
                <c:pt idx="617">
                  <c:v>42138</c:v>
                </c:pt>
                <c:pt idx="618">
                  <c:v>42139</c:v>
                </c:pt>
                <c:pt idx="619">
                  <c:v>42142</c:v>
                </c:pt>
                <c:pt idx="620">
                  <c:v>42143</c:v>
                </c:pt>
                <c:pt idx="621">
                  <c:v>42144</c:v>
                </c:pt>
                <c:pt idx="622">
                  <c:v>42145</c:v>
                </c:pt>
                <c:pt idx="623">
                  <c:v>42146</c:v>
                </c:pt>
                <c:pt idx="624">
                  <c:v>42149</c:v>
                </c:pt>
                <c:pt idx="625">
                  <c:v>42150</c:v>
                </c:pt>
                <c:pt idx="626">
                  <c:v>42151</c:v>
                </c:pt>
                <c:pt idx="627">
                  <c:v>42152</c:v>
                </c:pt>
                <c:pt idx="628">
                  <c:v>42153</c:v>
                </c:pt>
                <c:pt idx="629">
                  <c:v>42156</c:v>
                </c:pt>
                <c:pt idx="630">
                  <c:v>42157</c:v>
                </c:pt>
                <c:pt idx="631">
                  <c:v>42158</c:v>
                </c:pt>
                <c:pt idx="632">
                  <c:v>42159</c:v>
                </c:pt>
                <c:pt idx="633">
                  <c:v>42160</c:v>
                </c:pt>
                <c:pt idx="634">
                  <c:v>42163</c:v>
                </c:pt>
                <c:pt idx="635">
                  <c:v>42164</c:v>
                </c:pt>
                <c:pt idx="636">
                  <c:v>42165</c:v>
                </c:pt>
                <c:pt idx="637">
                  <c:v>42166</c:v>
                </c:pt>
                <c:pt idx="638">
                  <c:v>42167</c:v>
                </c:pt>
                <c:pt idx="639">
                  <c:v>42170</c:v>
                </c:pt>
                <c:pt idx="640">
                  <c:v>42171</c:v>
                </c:pt>
                <c:pt idx="641">
                  <c:v>42172</c:v>
                </c:pt>
                <c:pt idx="642">
                  <c:v>42173</c:v>
                </c:pt>
                <c:pt idx="643">
                  <c:v>42174</c:v>
                </c:pt>
                <c:pt idx="644">
                  <c:v>42177</c:v>
                </c:pt>
                <c:pt idx="645">
                  <c:v>42178</c:v>
                </c:pt>
                <c:pt idx="646">
                  <c:v>42179</c:v>
                </c:pt>
                <c:pt idx="647">
                  <c:v>42180</c:v>
                </c:pt>
                <c:pt idx="648">
                  <c:v>42181</c:v>
                </c:pt>
                <c:pt idx="649">
                  <c:v>42184</c:v>
                </c:pt>
                <c:pt idx="650">
                  <c:v>42185</c:v>
                </c:pt>
                <c:pt idx="651">
                  <c:v>42186</c:v>
                </c:pt>
                <c:pt idx="652">
                  <c:v>42187</c:v>
                </c:pt>
                <c:pt idx="653">
                  <c:v>42188</c:v>
                </c:pt>
                <c:pt idx="654">
                  <c:v>42191</c:v>
                </c:pt>
                <c:pt idx="655">
                  <c:v>42192</c:v>
                </c:pt>
                <c:pt idx="656">
                  <c:v>42193</c:v>
                </c:pt>
                <c:pt idx="657">
                  <c:v>42194</c:v>
                </c:pt>
                <c:pt idx="658">
                  <c:v>42195</c:v>
                </c:pt>
                <c:pt idx="659">
                  <c:v>42198</c:v>
                </c:pt>
                <c:pt idx="660">
                  <c:v>42199</c:v>
                </c:pt>
                <c:pt idx="661">
                  <c:v>42200</c:v>
                </c:pt>
                <c:pt idx="662">
                  <c:v>42201</c:v>
                </c:pt>
                <c:pt idx="663">
                  <c:v>42202</c:v>
                </c:pt>
                <c:pt idx="664">
                  <c:v>42205</c:v>
                </c:pt>
                <c:pt idx="665">
                  <c:v>42206</c:v>
                </c:pt>
                <c:pt idx="666">
                  <c:v>42207</c:v>
                </c:pt>
                <c:pt idx="667">
                  <c:v>42208</c:v>
                </c:pt>
                <c:pt idx="668">
                  <c:v>42209</c:v>
                </c:pt>
                <c:pt idx="669">
                  <c:v>42212</c:v>
                </c:pt>
                <c:pt idx="670">
                  <c:v>42213</c:v>
                </c:pt>
                <c:pt idx="671">
                  <c:v>42214</c:v>
                </c:pt>
                <c:pt idx="672">
                  <c:v>42215</c:v>
                </c:pt>
                <c:pt idx="673">
                  <c:v>42216</c:v>
                </c:pt>
                <c:pt idx="674">
                  <c:v>42219</c:v>
                </c:pt>
                <c:pt idx="675">
                  <c:v>42220</c:v>
                </c:pt>
                <c:pt idx="676">
                  <c:v>42221</c:v>
                </c:pt>
                <c:pt idx="677">
                  <c:v>42222</c:v>
                </c:pt>
                <c:pt idx="678">
                  <c:v>42223</c:v>
                </c:pt>
                <c:pt idx="679">
                  <c:v>42226</c:v>
                </c:pt>
                <c:pt idx="680">
                  <c:v>42227</c:v>
                </c:pt>
                <c:pt idx="681">
                  <c:v>42228</c:v>
                </c:pt>
                <c:pt idx="682">
                  <c:v>42229</c:v>
                </c:pt>
                <c:pt idx="683">
                  <c:v>42230</c:v>
                </c:pt>
                <c:pt idx="684">
                  <c:v>42233</c:v>
                </c:pt>
                <c:pt idx="685">
                  <c:v>42234</c:v>
                </c:pt>
                <c:pt idx="686">
                  <c:v>42235</c:v>
                </c:pt>
                <c:pt idx="687">
                  <c:v>42236</c:v>
                </c:pt>
                <c:pt idx="688">
                  <c:v>42237</c:v>
                </c:pt>
                <c:pt idx="689">
                  <c:v>42240</c:v>
                </c:pt>
                <c:pt idx="690">
                  <c:v>42241</c:v>
                </c:pt>
                <c:pt idx="691">
                  <c:v>42242</c:v>
                </c:pt>
                <c:pt idx="692">
                  <c:v>42243</c:v>
                </c:pt>
                <c:pt idx="693">
                  <c:v>42244</c:v>
                </c:pt>
                <c:pt idx="694">
                  <c:v>42247</c:v>
                </c:pt>
                <c:pt idx="695">
                  <c:v>42248</c:v>
                </c:pt>
                <c:pt idx="696">
                  <c:v>42249</c:v>
                </c:pt>
                <c:pt idx="697">
                  <c:v>42250</c:v>
                </c:pt>
                <c:pt idx="698">
                  <c:v>42251</c:v>
                </c:pt>
                <c:pt idx="699">
                  <c:v>42254</c:v>
                </c:pt>
                <c:pt idx="700">
                  <c:v>42255</c:v>
                </c:pt>
                <c:pt idx="701">
                  <c:v>42256</c:v>
                </c:pt>
                <c:pt idx="702">
                  <c:v>42257</c:v>
                </c:pt>
                <c:pt idx="703">
                  <c:v>42258</c:v>
                </c:pt>
                <c:pt idx="704">
                  <c:v>42261</c:v>
                </c:pt>
                <c:pt idx="705">
                  <c:v>42262</c:v>
                </c:pt>
                <c:pt idx="706">
                  <c:v>42263</c:v>
                </c:pt>
                <c:pt idx="707">
                  <c:v>42264</c:v>
                </c:pt>
                <c:pt idx="708">
                  <c:v>42265</c:v>
                </c:pt>
                <c:pt idx="709">
                  <c:v>42268</c:v>
                </c:pt>
                <c:pt idx="710">
                  <c:v>42269</c:v>
                </c:pt>
                <c:pt idx="711">
                  <c:v>42270</c:v>
                </c:pt>
                <c:pt idx="712">
                  <c:v>42271</c:v>
                </c:pt>
                <c:pt idx="713">
                  <c:v>42272</c:v>
                </c:pt>
                <c:pt idx="714">
                  <c:v>42275</c:v>
                </c:pt>
                <c:pt idx="715">
                  <c:v>42276</c:v>
                </c:pt>
                <c:pt idx="716">
                  <c:v>42277</c:v>
                </c:pt>
                <c:pt idx="717">
                  <c:v>42278</c:v>
                </c:pt>
                <c:pt idx="718">
                  <c:v>42279</c:v>
                </c:pt>
                <c:pt idx="719">
                  <c:v>42282</c:v>
                </c:pt>
                <c:pt idx="720">
                  <c:v>42283</c:v>
                </c:pt>
                <c:pt idx="721">
                  <c:v>42284</c:v>
                </c:pt>
                <c:pt idx="722">
                  <c:v>42285</c:v>
                </c:pt>
                <c:pt idx="723">
                  <c:v>42286</c:v>
                </c:pt>
                <c:pt idx="724">
                  <c:v>42289</c:v>
                </c:pt>
                <c:pt idx="725">
                  <c:v>42290</c:v>
                </c:pt>
                <c:pt idx="726">
                  <c:v>42291</c:v>
                </c:pt>
                <c:pt idx="727">
                  <c:v>42292</c:v>
                </c:pt>
                <c:pt idx="728">
                  <c:v>42293</c:v>
                </c:pt>
                <c:pt idx="729">
                  <c:v>42296</c:v>
                </c:pt>
                <c:pt idx="730">
                  <c:v>42297</c:v>
                </c:pt>
                <c:pt idx="731">
                  <c:v>42298</c:v>
                </c:pt>
                <c:pt idx="732">
                  <c:v>42299</c:v>
                </c:pt>
                <c:pt idx="733">
                  <c:v>42300</c:v>
                </c:pt>
                <c:pt idx="734">
                  <c:v>42303</c:v>
                </c:pt>
                <c:pt idx="735">
                  <c:v>42304</c:v>
                </c:pt>
                <c:pt idx="736">
                  <c:v>42305</c:v>
                </c:pt>
                <c:pt idx="737">
                  <c:v>42306</c:v>
                </c:pt>
                <c:pt idx="738">
                  <c:v>42307</c:v>
                </c:pt>
                <c:pt idx="739">
                  <c:v>42310</c:v>
                </c:pt>
                <c:pt idx="740">
                  <c:v>42311</c:v>
                </c:pt>
                <c:pt idx="741">
                  <c:v>42312</c:v>
                </c:pt>
                <c:pt idx="742">
                  <c:v>42313</c:v>
                </c:pt>
                <c:pt idx="743">
                  <c:v>42314</c:v>
                </c:pt>
                <c:pt idx="744">
                  <c:v>42317</c:v>
                </c:pt>
                <c:pt idx="745">
                  <c:v>42318</c:v>
                </c:pt>
                <c:pt idx="746">
                  <c:v>42319</c:v>
                </c:pt>
                <c:pt idx="747">
                  <c:v>42320</c:v>
                </c:pt>
                <c:pt idx="748">
                  <c:v>42321</c:v>
                </c:pt>
                <c:pt idx="749">
                  <c:v>42324</c:v>
                </c:pt>
                <c:pt idx="750">
                  <c:v>42325</c:v>
                </c:pt>
                <c:pt idx="751">
                  <c:v>42326</c:v>
                </c:pt>
                <c:pt idx="752">
                  <c:v>42327</c:v>
                </c:pt>
                <c:pt idx="753">
                  <c:v>42328</c:v>
                </c:pt>
                <c:pt idx="754">
                  <c:v>42331</c:v>
                </c:pt>
                <c:pt idx="755">
                  <c:v>42332</c:v>
                </c:pt>
                <c:pt idx="756">
                  <c:v>42333</c:v>
                </c:pt>
                <c:pt idx="757">
                  <c:v>42334</c:v>
                </c:pt>
                <c:pt idx="758">
                  <c:v>42335</c:v>
                </c:pt>
                <c:pt idx="759">
                  <c:v>42338</c:v>
                </c:pt>
                <c:pt idx="760">
                  <c:v>42339</c:v>
                </c:pt>
                <c:pt idx="761">
                  <c:v>42340</c:v>
                </c:pt>
                <c:pt idx="762">
                  <c:v>42341</c:v>
                </c:pt>
                <c:pt idx="763">
                  <c:v>42342</c:v>
                </c:pt>
                <c:pt idx="764">
                  <c:v>42345</c:v>
                </c:pt>
                <c:pt idx="765">
                  <c:v>42346</c:v>
                </c:pt>
                <c:pt idx="766">
                  <c:v>42347</c:v>
                </c:pt>
                <c:pt idx="767">
                  <c:v>42348</c:v>
                </c:pt>
                <c:pt idx="768">
                  <c:v>42349</c:v>
                </c:pt>
                <c:pt idx="769">
                  <c:v>42352</c:v>
                </c:pt>
                <c:pt idx="770">
                  <c:v>42353</c:v>
                </c:pt>
                <c:pt idx="771">
                  <c:v>42354</c:v>
                </c:pt>
                <c:pt idx="772">
                  <c:v>42355</c:v>
                </c:pt>
                <c:pt idx="773">
                  <c:v>42356</c:v>
                </c:pt>
                <c:pt idx="774">
                  <c:v>42359</c:v>
                </c:pt>
                <c:pt idx="775">
                  <c:v>42360</c:v>
                </c:pt>
                <c:pt idx="776">
                  <c:v>42361</c:v>
                </c:pt>
                <c:pt idx="777">
                  <c:v>42362</c:v>
                </c:pt>
                <c:pt idx="778">
                  <c:v>42363</c:v>
                </c:pt>
                <c:pt idx="779">
                  <c:v>42366</c:v>
                </c:pt>
                <c:pt idx="780">
                  <c:v>42367</c:v>
                </c:pt>
                <c:pt idx="781">
                  <c:v>42368</c:v>
                </c:pt>
                <c:pt idx="782">
                  <c:v>42369</c:v>
                </c:pt>
                <c:pt idx="783">
                  <c:v>42370</c:v>
                </c:pt>
                <c:pt idx="784">
                  <c:v>42373</c:v>
                </c:pt>
                <c:pt idx="785">
                  <c:v>42374</c:v>
                </c:pt>
                <c:pt idx="786">
                  <c:v>42375</c:v>
                </c:pt>
                <c:pt idx="787">
                  <c:v>42376</c:v>
                </c:pt>
                <c:pt idx="788">
                  <c:v>42377</c:v>
                </c:pt>
                <c:pt idx="789">
                  <c:v>42380</c:v>
                </c:pt>
                <c:pt idx="790">
                  <c:v>42381</c:v>
                </c:pt>
                <c:pt idx="791">
                  <c:v>42382</c:v>
                </c:pt>
                <c:pt idx="792">
                  <c:v>42383</c:v>
                </c:pt>
                <c:pt idx="793">
                  <c:v>42384</c:v>
                </c:pt>
                <c:pt idx="794">
                  <c:v>42387</c:v>
                </c:pt>
                <c:pt idx="795">
                  <c:v>42388</c:v>
                </c:pt>
                <c:pt idx="796">
                  <c:v>42389</c:v>
                </c:pt>
                <c:pt idx="797">
                  <c:v>42390</c:v>
                </c:pt>
                <c:pt idx="798">
                  <c:v>42391</c:v>
                </c:pt>
                <c:pt idx="799">
                  <c:v>42394</c:v>
                </c:pt>
                <c:pt idx="800">
                  <c:v>42395</c:v>
                </c:pt>
                <c:pt idx="801">
                  <c:v>42396</c:v>
                </c:pt>
                <c:pt idx="802">
                  <c:v>42397</c:v>
                </c:pt>
                <c:pt idx="803">
                  <c:v>42398</c:v>
                </c:pt>
                <c:pt idx="804">
                  <c:v>42401</c:v>
                </c:pt>
                <c:pt idx="805">
                  <c:v>42402</c:v>
                </c:pt>
                <c:pt idx="806">
                  <c:v>42403</c:v>
                </c:pt>
                <c:pt idx="807">
                  <c:v>42404</c:v>
                </c:pt>
                <c:pt idx="808">
                  <c:v>42405</c:v>
                </c:pt>
                <c:pt idx="809">
                  <c:v>42408</c:v>
                </c:pt>
                <c:pt idx="810">
                  <c:v>42409</c:v>
                </c:pt>
                <c:pt idx="811">
                  <c:v>42410</c:v>
                </c:pt>
                <c:pt idx="812">
                  <c:v>42411</c:v>
                </c:pt>
                <c:pt idx="813">
                  <c:v>42412</c:v>
                </c:pt>
                <c:pt idx="814">
                  <c:v>42415</c:v>
                </c:pt>
                <c:pt idx="815">
                  <c:v>42416</c:v>
                </c:pt>
                <c:pt idx="816">
                  <c:v>42417</c:v>
                </c:pt>
                <c:pt idx="817">
                  <c:v>42418</c:v>
                </c:pt>
                <c:pt idx="818">
                  <c:v>42419</c:v>
                </c:pt>
                <c:pt idx="819">
                  <c:v>42422</c:v>
                </c:pt>
                <c:pt idx="820">
                  <c:v>42423</c:v>
                </c:pt>
                <c:pt idx="821">
                  <c:v>42424</c:v>
                </c:pt>
                <c:pt idx="822">
                  <c:v>42425</c:v>
                </c:pt>
                <c:pt idx="823">
                  <c:v>42426</c:v>
                </c:pt>
                <c:pt idx="824">
                  <c:v>42429</c:v>
                </c:pt>
                <c:pt idx="825">
                  <c:v>42430</c:v>
                </c:pt>
                <c:pt idx="826">
                  <c:v>42431</c:v>
                </c:pt>
                <c:pt idx="827">
                  <c:v>42432</c:v>
                </c:pt>
                <c:pt idx="828">
                  <c:v>42433</c:v>
                </c:pt>
                <c:pt idx="829">
                  <c:v>42436</c:v>
                </c:pt>
                <c:pt idx="830">
                  <c:v>42437</c:v>
                </c:pt>
                <c:pt idx="831">
                  <c:v>42438</c:v>
                </c:pt>
                <c:pt idx="832">
                  <c:v>42439</c:v>
                </c:pt>
                <c:pt idx="833">
                  <c:v>42440</c:v>
                </c:pt>
                <c:pt idx="834">
                  <c:v>42443</c:v>
                </c:pt>
                <c:pt idx="835">
                  <c:v>42444</c:v>
                </c:pt>
                <c:pt idx="836">
                  <c:v>42445</c:v>
                </c:pt>
                <c:pt idx="837">
                  <c:v>42446</c:v>
                </c:pt>
                <c:pt idx="838">
                  <c:v>42447</c:v>
                </c:pt>
                <c:pt idx="839">
                  <c:v>42450</c:v>
                </c:pt>
                <c:pt idx="840">
                  <c:v>42451</c:v>
                </c:pt>
                <c:pt idx="841">
                  <c:v>42452</c:v>
                </c:pt>
                <c:pt idx="842">
                  <c:v>42453</c:v>
                </c:pt>
                <c:pt idx="843">
                  <c:v>42454</c:v>
                </c:pt>
                <c:pt idx="844">
                  <c:v>42457</c:v>
                </c:pt>
                <c:pt idx="845">
                  <c:v>42458</c:v>
                </c:pt>
                <c:pt idx="846">
                  <c:v>42459</c:v>
                </c:pt>
                <c:pt idx="847">
                  <c:v>42460</c:v>
                </c:pt>
                <c:pt idx="848">
                  <c:v>42461</c:v>
                </c:pt>
                <c:pt idx="849">
                  <c:v>42464</c:v>
                </c:pt>
                <c:pt idx="850">
                  <c:v>42465</c:v>
                </c:pt>
                <c:pt idx="851">
                  <c:v>42466</c:v>
                </c:pt>
                <c:pt idx="852">
                  <c:v>42467</c:v>
                </c:pt>
                <c:pt idx="853">
                  <c:v>42468</c:v>
                </c:pt>
                <c:pt idx="854">
                  <c:v>42471</c:v>
                </c:pt>
                <c:pt idx="855">
                  <c:v>42472</c:v>
                </c:pt>
                <c:pt idx="856">
                  <c:v>42473</c:v>
                </c:pt>
                <c:pt idx="857">
                  <c:v>42474</c:v>
                </c:pt>
                <c:pt idx="858">
                  <c:v>42475</c:v>
                </c:pt>
                <c:pt idx="859">
                  <c:v>42478</c:v>
                </c:pt>
                <c:pt idx="860">
                  <c:v>42479</c:v>
                </c:pt>
                <c:pt idx="861">
                  <c:v>42480</c:v>
                </c:pt>
                <c:pt idx="862">
                  <c:v>42481</c:v>
                </c:pt>
                <c:pt idx="863">
                  <c:v>42482</c:v>
                </c:pt>
                <c:pt idx="864">
                  <c:v>42485</c:v>
                </c:pt>
                <c:pt idx="865">
                  <c:v>42486</c:v>
                </c:pt>
                <c:pt idx="866">
                  <c:v>42487</c:v>
                </c:pt>
                <c:pt idx="867">
                  <c:v>42488</c:v>
                </c:pt>
                <c:pt idx="868">
                  <c:v>42489</c:v>
                </c:pt>
                <c:pt idx="869">
                  <c:v>42492</c:v>
                </c:pt>
                <c:pt idx="870">
                  <c:v>42493</c:v>
                </c:pt>
                <c:pt idx="871">
                  <c:v>42494</c:v>
                </c:pt>
                <c:pt idx="872">
                  <c:v>42495</c:v>
                </c:pt>
                <c:pt idx="873">
                  <c:v>42496</c:v>
                </c:pt>
                <c:pt idx="874">
                  <c:v>42499</c:v>
                </c:pt>
                <c:pt idx="875">
                  <c:v>42500</c:v>
                </c:pt>
                <c:pt idx="876">
                  <c:v>42501</c:v>
                </c:pt>
                <c:pt idx="877">
                  <c:v>42502</c:v>
                </c:pt>
                <c:pt idx="878">
                  <c:v>42503</c:v>
                </c:pt>
                <c:pt idx="879">
                  <c:v>42506</c:v>
                </c:pt>
                <c:pt idx="880">
                  <c:v>42507</c:v>
                </c:pt>
                <c:pt idx="881">
                  <c:v>42508</c:v>
                </c:pt>
                <c:pt idx="882">
                  <c:v>42509</c:v>
                </c:pt>
                <c:pt idx="883">
                  <c:v>42510</c:v>
                </c:pt>
                <c:pt idx="884">
                  <c:v>42513</c:v>
                </c:pt>
                <c:pt idx="885">
                  <c:v>42514</c:v>
                </c:pt>
                <c:pt idx="886">
                  <c:v>42515</c:v>
                </c:pt>
                <c:pt idx="887">
                  <c:v>42516</c:v>
                </c:pt>
                <c:pt idx="888">
                  <c:v>42517</c:v>
                </c:pt>
                <c:pt idx="889">
                  <c:v>42520</c:v>
                </c:pt>
                <c:pt idx="890">
                  <c:v>42521</c:v>
                </c:pt>
                <c:pt idx="891">
                  <c:v>42522</c:v>
                </c:pt>
                <c:pt idx="892">
                  <c:v>42523</c:v>
                </c:pt>
                <c:pt idx="893">
                  <c:v>42524</c:v>
                </c:pt>
                <c:pt idx="894">
                  <c:v>42527</c:v>
                </c:pt>
                <c:pt idx="895">
                  <c:v>42528</c:v>
                </c:pt>
                <c:pt idx="896">
                  <c:v>42529</c:v>
                </c:pt>
                <c:pt idx="897">
                  <c:v>42530</c:v>
                </c:pt>
                <c:pt idx="898">
                  <c:v>42531</c:v>
                </c:pt>
                <c:pt idx="899">
                  <c:v>42534</c:v>
                </c:pt>
                <c:pt idx="900">
                  <c:v>42535</c:v>
                </c:pt>
                <c:pt idx="901">
                  <c:v>42536</c:v>
                </c:pt>
                <c:pt idx="902">
                  <c:v>42537</c:v>
                </c:pt>
                <c:pt idx="903">
                  <c:v>42538</c:v>
                </c:pt>
                <c:pt idx="904">
                  <c:v>42541</c:v>
                </c:pt>
                <c:pt idx="905">
                  <c:v>42542</c:v>
                </c:pt>
                <c:pt idx="906">
                  <c:v>42543</c:v>
                </c:pt>
                <c:pt idx="907">
                  <c:v>42544</c:v>
                </c:pt>
                <c:pt idx="908">
                  <c:v>42545</c:v>
                </c:pt>
                <c:pt idx="909">
                  <c:v>42548</c:v>
                </c:pt>
                <c:pt idx="910">
                  <c:v>42549</c:v>
                </c:pt>
                <c:pt idx="911">
                  <c:v>42550</c:v>
                </c:pt>
                <c:pt idx="912">
                  <c:v>42551</c:v>
                </c:pt>
                <c:pt idx="913">
                  <c:v>42552</c:v>
                </c:pt>
                <c:pt idx="914">
                  <c:v>42555</c:v>
                </c:pt>
                <c:pt idx="915">
                  <c:v>42556</c:v>
                </c:pt>
                <c:pt idx="916">
                  <c:v>42557</c:v>
                </c:pt>
                <c:pt idx="917">
                  <c:v>42558</c:v>
                </c:pt>
                <c:pt idx="918">
                  <c:v>42559</c:v>
                </c:pt>
                <c:pt idx="919">
                  <c:v>42562</c:v>
                </c:pt>
                <c:pt idx="920">
                  <c:v>42563</c:v>
                </c:pt>
                <c:pt idx="921">
                  <c:v>42564</c:v>
                </c:pt>
                <c:pt idx="922">
                  <c:v>42565</c:v>
                </c:pt>
                <c:pt idx="923">
                  <c:v>42566</c:v>
                </c:pt>
                <c:pt idx="924">
                  <c:v>42569</c:v>
                </c:pt>
                <c:pt idx="925">
                  <c:v>42570</c:v>
                </c:pt>
                <c:pt idx="926">
                  <c:v>42571</c:v>
                </c:pt>
                <c:pt idx="927">
                  <c:v>42572</c:v>
                </c:pt>
                <c:pt idx="928">
                  <c:v>42573</c:v>
                </c:pt>
                <c:pt idx="929">
                  <c:v>42576</c:v>
                </c:pt>
                <c:pt idx="930">
                  <c:v>42577</c:v>
                </c:pt>
                <c:pt idx="931">
                  <c:v>42578</c:v>
                </c:pt>
                <c:pt idx="932">
                  <c:v>42579</c:v>
                </c:pt>
                <c:pt idx="933">
                  <c:v>42580</c:v>
                </c:pt>
                <c:pt idx="934">
                  <c:v>42583</c:v>
                </c:pt>
                <c:pt idx="935">
                  <c:v>42584</c:v>
                </c:pt>
                <c:pt idx="936">
                  <c:v>42585</c:v>
                </c:pt>
                <c:pt idx="937">
                  <c:v>42586</c:v>
                </c:pt>
                <c:pt idx="938">
                  <c:v>42587</c:v>
                </c:pt>
                <c:pt idx="939">
                  <c:v>42590</c:v>
                </c:pt>
                <c:pt idx="940">
                  <c:v>42591</c:v>
                </c:pt>
              </c:numCache>
            </c:numRef>
          </c:cat>
          <c:val>
            <c:numRef>
              <c:f>[0]!longExoRange</c:f>
              <c:numCache>
                <c:formatCode>General</c:formatCode>
                <c:ptCount val="941"/>
                <c:pt idx="0">
                  <c:v>0</c:v>
                </c:pt>
                <c:pt idx="1">
                  <c:v>0</c:v>
                </c:pt>
                <c:pt idx="2">
                  <c:v>4488.4999999999991</c:v>
                </c:pt>
                <c:pt idx="3">
                  <c:v>7689.2000000000007</c:v>
                </c:pt>
                <c:pt idx="4">
                  <c:v>10734.8</c:v>
                </c:pt>
                <c:pt idx="5">
                  <c:v>14579.4</c:v>
                </c:pt>
                <c:pt idx="6">
                  <c:v>19575.5</c:v>
                </c:pt>
                <c:pt idx="7">
                  <c:v>20003.2</c:v>
                </c:pt>
                <c:pt idx="8">
                  <c:v>21605.9</c:v>
                </c:pt>
                <c:pt idx="9">
                  <c:v>22724.5</c:v>
                </c:pt>
                <c:pt idx="10">
                  <c:v>24115.699999999997</c:v>
                </c:pt>
                <c:pt idx="11">
                  <c:v>26677.199999999997</c:v>
                </c:pt>
                <c:pt idx="12">
                  <c:v>26677.199999999997</c:v>
                </c:pt>
                <c:pt idx="13">
                  <c:v>27212.999999999996</c:v>
                </c:pt>
                <c:pt idx="14">
                  <c:v>27212.999999999996</c:v>
                </c:pt>
                <c:pt idx="15">
                  <c:v>26799.399999999998</c:v>
                </c:pt>
                <c:pt idx="16">
                  <c:v>28171.8</c:v>
                </c:pt>
                <c:pt idx="17">
                  <c:v>18438.099999999999</c:v>
                </c:pt>
                <c:pt idx="18">
                  <c:v>18574.400000000001</c:v>
                </c:pt>
                <c:pt idx="19">
                  <c:v>20228.800000000003</c:v>
                </c:pt>
                <c:pt idx="20">
                  <c:v>18381.700000000004</c:v>
                </c:pt>
                <c:pt idx="21">
                  <c:v>29121.200000000004</c:v>
                </c:pt>
                <c:pt idx="22">
                  <c:v>26606.700000000004</c:v>
                </c:pt>
                <c:pt idx="23">
                  <c:v>42180</c:v>
                </c:pt>
                <c:pt idx="24">
                  <c:v>39388.199999999997</c:v>
                </c:pt>
                <c:pt idx="25">
                  <c:v>38330.699999999997</c:v>
                </c:pt>
                <c:pt idx="26">
                  <c:v>38330.699999999997</c:v>
                </c:pt>
                <c:pt idx="27">
                  <c:v>37390.699999999997</c:v>
                </c:pt>
                <c:pt idx="28">
                  <c:v>36511.799999999996</c:v>
                </c:pt>
                <c:pt idx="29">
                  <c:v>34866.799999999996</c:v>
                </c:pt>
                <c:pt idx="30">
                  <c:v>31811.799999999996</c:v>
                </c:pt>
                <c:pt idx="31">
                  <c:v>25466.799999999996</c:v>
                </c:pt>
                <c:pt idx="32">
                  <c:v>18355.699999999997</c:v>
                </c:pt>
                <c:pt idx="33">
                  <c:v>16593.199999999997</c:v>
                </c:pt>
                <c:pt idx="34">
                  <c:v>16593.199999999997</c:v>
                </c:pt>
                <c:pt idx="35">
                  <c:v>15653.199999999997</c:v>
                </c:pt>
                <c:pt idx="36">
                  <c:v>15451.099999999997</c:v>
                </c:pt>
                <c:pt idx="37">
                  <c:v>16508.599999999999</c:v>
                </c:pt>
                <c:pt idx="38">
                  <c:v>18858.599999999999</c:v>
                </c:pt>
                <c:pt idx="39">
                  <c:v>18858.599999999999</c:v>
                </c:pt>
                <c:pt idx="40">
                  <c:v>19563.599999999999</c:v>
                </c:pt>
                <c:pt idx="41">
                  <c:v>19563.599999999999</c:v>
                </c:pt>
                <c:pt idx="42">
                  <c:v>19474.299999999996</c:v>
                </c:pt>
                <c:pt idx="43">
                  <c:v>9747.4999999999964</c:v>
                </c:pt>
                <c:pt idx="44">
                  <c:v>13662.599999999999</c:v>
                </c:pt>
                <c:pt idx="45">
                  <c:v>9413.7999999999975</c:v>
                </c:pt>
                <c:pt idx="46">
                  <c:v>4375.399999999996</c:v>
                </c:pt>
                <c:pt idx="47">
                  <c:v>-381.00000000000728</c:v>
                </c:pt>
                <c:pt idx="48">
                  <c:v>-1720.5000000000055</c:v>
                </c:pt>
                <c:pt idx="49">
                  <c:v>-5081.0000000000073</c:v>
                </c:pt>
                <c:pt idx="50">
                  <c:v>-8606.0000000000073</c:v>
                </c:pt>
                <c:pt idx="51">
                  <c:v>-9696.4000000000069</c:v>
                </c:pt>
                <c:pt idx="52">
                  <c:v>-7346.4000000000069</c:v>
                </c:pt>
                <c:pt idx="53">
                  <c:v>-3962.4000000000015</c:v>
                </c:pt>
                <c:pt idx="54">
                  <c:v>-3962.4000000000015</c:v>
                </c:pt>
                <c:pt idx="55">
                  <c:v>-3962.4000000000015</c:v>
                </c:pt>
                <c:pt idx="56">
                  <c:v>-7990.3000000000011</c:v>
                </c:pt>
                <c:pt idx="57">
                  <c:v>-7595.5000000000055</c:v>
                </c:pt>
                <c:pt idx="58">
                  <c:v>-9108.9000000000069</c:v>
                </c:pt>
                <c:pt idx="59">
                  <c:v>-8690.6000000000076</c:v>
                </c:pt>
                <c:pt idx="60">
                  <c:v>-8577.8000000000011</c:v>
                </c:pt>
                <c:pt idx="61">
                  <c:v>-9499</c:v>
                </c:pt>
                <c:pt idx="62">
                  <c:v>-9442.6000000000058</c:v>
                </c:pt>
                <c:pt idx="63">
                  <c:v>-23740.000000000004</c:v>
                </c:pt>
                <c:pt idx="64">
                  <c:v>-28560.000000000004</c:v>
                </c:pt>
                <c:pt idx="65">
                  <c:v>-20922.500000000004</c:v>
                </c:pt>
                <c:pt idx="66">
                  <c:v>-20922.500000000004</c:v>
                </c:pt>
                <c:pt idx="67">
                  <c:v>-29735.000000000004</c:v>
                </c:pt>
                <c:pt idx="68">
                  <c:v>-27920.800000000003</c:v>
                </c:pt>
                <c:pt idx="69">
                  <c:v>-35638.199999999997</c:v>
                </c:pt>
                <c:pt idx="70">
                  <c:v>-33072</c:v>
                </c:pt>
                <c:pt idx="71">
                  <c:v>-37076.400000000009</c:v>
                </c:pt>
                <c:pt idx="72">
                  <c:v>-35210.500000000007</c:v>
                </c:pt>
                <c:pt idx="73">
                  <c:v>-35210.500000000007</c:v>
                </c:pt>
                <c:pt idx="74">
                  <c:v>-35210.500000000007</c:v>
                </c:pt>
                <c:pt idx="75">
                  <c:v>-41673</c:v>
                </c:pt>
                <c:pt idx="76">
                  <c:v>-37663.900000000009</c:v>
                </c:pt>
                <c:pt idx="77">
                  <c:v>-38627.4</c:v>
                </c:pt>
                <c:pt idx="78">
                  <c:v>-38627.4</c:v>
                </c:pt>
                <c:pt idx="79">
                  <c:v>-37692.100000000006</c:v>
                </c:pt>
                <c:pt idx="80">
                  <c:v>-37052.900000000009</c:v>
                </c:pt>
                <c:pt idx="81">
                  <c:v>-37052.900000000009</c:v>
                </c:pt>
                <c:pt idx="82">
                  <c:v>-36517.100000000006</c:v>
                </c:pt>
                <c:pt idx="83">
                  <c:v>-36197.500000000007</c:v>
                </c:pt>
                <c:pt idx="84">
                  <c:v>-36197.500000000007</c:v>
                </c:pt>
                <c:pt idx="85">
                  <c:v>-36225.700000000004</c:v>
                </c:pt>
                <c:pt idx="86">
                  <c:v>-35142.500000000007</c:v>
                </c:pt>
                <c:pt idx="87">
                  <c:v>-32331.9</c:v>
                </c:pt>
                <c:pt idx="88">
                  <c:v>-32331.9</c:v>
                </c:pt>
                <c:pt idx="89">
                  <c:v>-32331.9</c:v>
                </c:pt>
                <c:pt idx="90">
                  <c:v>-31363.700000000004</c:v>
                </c:pt>
                <c:pt idx="91">
                  <c:v>-29521.300000000007</c:v>
                </c:pt>
                <c:pt idx="92">
                  <c:v>-29521.300000000007</c:v>
                </c:pt>
                <c:pt idx="93">
                  <c:v>-29521.300000000007</c:v>
                </c:pt>
                <c:pt idx="94">
                  <c:v>-29521.300000000007</c:v>
                </c:pt>
                <c:pt idx="95">
                  <c:v>-26663.700000000004</c:v>
                </c:pt>
                <c:pt idx="96">
                  <c:v>-26663.700000000004</c:v>
                </c:pt>
                <c:pt idx="97">
                  <c:v>-30339.100000000006</c:v>
                </c:pt>
                <c:pt idx="98">
                  <c:v>-30339.100000000006</c:v>
                </c:pt>
                <c:pt idx="99">
                  <c:v>-30339.100000000006</c:v>
                </c:pt>
                <c:pt idx="100">
                  <c:v>-30339.100000000006</c:v>
                </c:pt>
                <c:pt idx="101">
                  <c:v>-29521.30000000001</c:v>
                </c:pt>
                <c:pt idx="102">
                  <c:v>-29521.30000000001</c:v>
                </c:pt>
                <c:pt idx="103">
                  <c:v>-30442.500000000007</c:v>
                </c:pt>
                <c:pt idx="104">
                  <c:v>-30442.500000000007</c:v>
                </c:pt>
                <c:pt idx="105">
                  <c:v>-30442.500000000007</c:v>
                </c:pt>
                <c:pt idx="106">
                  <c:v>-29676.400000000009</c:v>
                </c:pt>
                <c:pt idx="107">
                  <c:v>-29370.900000000009</c:v>
                </c:pt>
                <c:pt idx="108">
                  <c:v>-29187.600000000009</c:v>
                </c:pt>
                <c:pt idx="109">
                  <c:v>-21750.000000000007</c:v>
                </c:pt>
                <c:pt idx="110">
                  <c:v>-16166.400000000011</c:v>
                </c:pt>
                <c:pt idx="111">
                  <c:v>-18812.500000000007</c:v>
                </c:pt>
                <c:pt idx="112">
                  <c:v>-18812.500000000007</c:v>
                </c:pt>
                <c:pt idx="113">
                  <c:v>-17402.500000000007</c:v>
                </c:pt>
                <c:pt idx="114">
                  <c:v>-20485.700000000004</c:v>
                </c:pt>
                <c:pt idx="115">
                  <c:v>-20076.80000000001</c:v>
                </c:pt>
                <c:pt idx="116">
                  <c:v>-20076.80000000001</c:v>
                </c:pt>
                <c:pt idx="117">
                  <c:v>-20076.80000000001</c:v>
                </c:pt>
                <c:pt idx="118">
                  <c:v>-19103.900000000009</c:v>
                </c:pt>
                <c:pt idx="119">
                  <c:v>-19103.900000000009</c:v>
                </c:pt>
                <c:pt idx="120">
                  <c:v>-17520.000000000007</c:v>
                </c:pt>
                <c:pt idx="121">
                  <c:v>-17285.000000000007</c:v>
                </c:pt>
                <c:pt idx="122">
                  <c:v>-17285.000000000007</c:v>
                </c:pt>
                <c:pt idx="123">
                  <c:v>-18516.400000000009</c:v>
                </c:pt>
                <c:pt idx="124">
                  <c:v>-19691.400000000009</c:v>
                </c:pt>
                <c:pt idx="125">
                  <c:v>-19573.900000000009</c:v>
                </c:pt>
                <c:pt idx="126">
                  <c:v>-19047.500000000007</c:v>
                </c:pt>
                <c:pt idx="127">
                  <c:v>-19047.500000000007</c:v>
                </c:pt>
                <c:pt idx="128">
                  <c:v>-19165.000000000007</c:v>
                </c:pt>
                <c:pt idx="129">
                  <c:v>-20695.000000000007</c:v>
                </c:pt>
                <c:pt idx="130">
                  <c:v>-20695.000000000007</c:v>
                </c:pt>
                <c:pt idx="131">
                  <c:v>-20695.000000000007</c:v>
                </c:pt>
                <c:pt idx="132">
                  <c:v>-20695.000000000007</c:v>
                </c:pt>
                <c:pt idx="133">
                  <c:v>-22217.800000000003</c:v>
                </c:pt>
                <c:pt idx="134">
                  <c:v>-20774.900000000001</c:v>
                </c:pt>
                <c:pt idx="135">
                  <c:v>-18504.8</c:v>
                </c:pt>
                <c:pt idx="136">
                  <c:v>-18504.8</c:v>
                </c:pt>
                <c:pt idx="137">
                  <c:v>-18504.8</c:v>
                </c:pt>
                <c:pt idx="138">
                  <c:v>-18880.800000000003</c:v>
                </c:pt>
                <c:pt idx="139">
                  <c:v>-22349.4</c:v>
                </c:pt>
                <c:pt idx="140">
                  <c:v>-22029.800000000003</c:v>
                </c:pt>
                <c:pt idx="141">
                  <c:v>-21738.400000000009</c:v>
                </c:pt>
                <c:pt idx="142">
                  <c:v>-21738.400000000009</c:v>
                </c:pt>
                <c:pt idx="143">
                  <c:v>-19064.100000000006</c:v>
                </c:pt>
                <c:pt idx="144">
                  <c:v>-19491.80000000001</c:v>
                </c:pt>
                <c:pt idx="145">
                  <c:v>-17625.900000000009</c:v>
                </c:pt>
                <c:pt idx="146">
                  <c:v>-16982.000000000007</c:v>
                </c:pt>
                <c:pt idx="147">
                  <c:v>-16450.900000000009</c:v>
                </c:pt>
                <c:pt idx="148">
                  <c:v>-16450.900000000009</c:v>
                </c:pt>
                <c:pt idx="149">
                  <c:v>-16450.900000000009</c:v>
                </c:pt>
                <c:pt idx="150">
                  <c:v>-16342.800000000005</c:v>
                </c:pt>
                <c:pt idx="151">
                  <c:v>-16234.70000000001</c:v>
                </c:pt>
                <c:pt idx="152">
                  <c:v>-6127.5000000000073</c:v>
                </c:pt>
                <c:pt idx="153">
                  <c:v>-3321.6000000000058</c:v>
                </c:pt>
                <c:pt idx="154">
                  <c:v>-3321.6000000000058</c:v>
                </c:pt>
                <c:pt idx="155">
                  <c:v>-3321.6000000000058</c:v>
                </c:pt>
                <c:pt idx="156">
                  <c:v>-3321.6000000000058</c:v>
                </c:pt>
                <c:pt idx="157">
                  <c:v>306.79999999999563</c:v>
                </c:pt>
                <c:pt idx="158">
                  <c:v>2872.9999999999945</c:v>
                </c:pt>
                <c:pt idx="159">
                  <c:v>3671.9999999999909</c:v>
                </c:pt>
                <c:pt idx="160">
                  <c:v>3671.9999999999909</c:v>
                </c:pt>
                <c:pt idx="161">
                  <c:v>1937.6999999999925</c:v>
                </c:pt>
                <c:pt idx="162">
                  <c:v>3671.9999999999909</c:v>
                </c:pt>
                <c:pt idx="163">
                  <c:v>3540.3999999999924</c:v>
                </c:pt>
                <c:pt idx="164">
                  <c:v>3540.3999999999924</c:v>
                </c:pt>
                <c:pt idx="165">
                  <c:v>2097.4999999999927</c:v>
                </c:pt>
                <c:pt idx="166">
                  <c:v>2097.4999999999927</c:v>
                </c:pt>
                <c:pt idx="167">
                  <c:v>1721.4999999999891</c:v>
                </c:pt>
                <c:pt idx="168">
                  <c:v>2045.799999999992</c:v>
                </c:pt>
                <c:pt idx="169">
                  <c:v>2045.799999999992</c:v>
                </c:pt>
                <c:pt idx="170">
                  <c:v>1829.5999999999931</c:v>
                </c:pt>
                <c:pt idx="171">
                  <c:v>1829.5999999999931</c:v>
                </c:pt>
                <c:pt idx="172">
                  <c:v>2045.799999999992</c:v>
                </c:pt>
                <c:pt idx="173">
                  <c:v>2045.799999999992</c:v>
                </c:pt>
                <c:pt idx="174">
                  <c:v>3739.9999999999927</c:v>
                </c:pt>
                <c:pt idx="175">
                  <c:v>-11365.800000000007</c:v>
                </c:pt>
                <c:pt idx="176">
                  <c:v>948.19999999998981</c:v>
                </c:pt>
                <c:pt idx="177">
                  <c:v>948.19999999998981</c:v>
                </c:pt>
                <c:pt idx="178">
                  <c:v>-5044.3000000000102</c:v>
                </c:pt>
                <c:pt idx="179">
                  <c:v>-8804.3000000000102</c:v>
                </c:pt>
                <c:pt idx="180">
                  <c:v>-7920.7000000000044</c:v>
                </c:pt>
                <c:pt idx="181">
                  <c:v>-3399.3000000000102</c:v>
                </c:pt>
                <c:pt idx="182">
                  <c:v>-3399.3000000000102</c:v>
                </c:pt>
                <c:pt idx="183">
                  <c:v>-1989.3000000000102</c:v>
                </c:pt>
                <c:pt idx="184">
                  <c:v>-1989.3000000000102</c:v>
                </c:pt>
                <c:pt idx="185">
                  <c:v>-1989.3000000000102</c:v>
                </c:pt>
                <c:pt idx="186">
                  <c:v>-1458.2000000000044</c:v>
                </c:pt>
                <c:pt idx="187">
                  <c:v>-1458.2000000000044</c:v>
                </c:pt>
                <c:pt idx="188">
                  <c:v>-2694.3000000000102</c:v>
                </c:pt>
                <c:pt idx="189">
                  <c:v>-3046.8000000000102</c:v>
                </c:pt>
                <c:pt idx="190">
                  <c:v>-3046.8000000000102</c:v>
                </c:pt>
                <c:pt idx="191">
                  <c:v>-3046.8000000000102</c:v>
                </c:pt>
                <c:pt idx="192">
                  <c:v>-3046.8000000000102</c:v>
                </c:pt>
                <c:pt idx="193">
                  <c:v>-3281.8000000000102</c:v>
                </c:pt>
                <c:pt idx="194">
                  <c:v>-3310.0000000000073</c:v>
                </c:pt>
                <c:pt idx="195">
                  <c:v>-8717.5000000000073</c:v>
                </c:pt>
                <c:pt idx="196">
                  <c:v>-8153.5000000000109</c:v>
                </c:pt>
                <c:pt idx="197">
                  <c:v>-12985.100000000009</c:v>
                </c:pt>
                <c:pt idx="198">
                  <c:v>-14005.000000000007</c:v>
                </c:pt>
                <c:pt idx="199">
                  <c:v>-16919.000000000004</c:v>
                </c:pt>
                <c:pt idx="200">
                  <c:v>-21055.000000000007</c:v>
                </c:pt>
                <c:pt idx="201">
                  <c:v>-21055.000000000007</c:v>
                </c:pt>
                <c:pt idx="202">
                  <c:v>-20646.100000000006</c:v>
                </c:pt>
                <c:pt idx="203">
                  <c:v>-21797.600000000013</c:v>
                </c:pt>
                <c:pt idx="204">
                  <c:v>-21797.600000000013</c:v>
                </c:pt>
                <c:pt idx="205">
                  <c:v>-21797.600000000013</c:v>
                </c:pt>
                <c:pt idx="206">
                  <c:v>-20265.400000000009</c:v>
                </c:pt>
                <c:pt idx="207">
                  <c:v>-19701.400000000012</c:v>
                </c:pt>
                <c:pt idx="208">
                  <c:v>-18423.000000000011</c:v>
                </c:pt>
                <c:pt idx="209">
                  <c:v>-15894.400000000005</c:v>
                </c:pt>
                <c:pt idx="210">
                  <c:v>-15076.600000000008</c:v>
                </c:pt>
                <c:pt idx="211">
                  <c:v>-15433.80000000001</c:v>
                </c:pt>
                <c:pt idx="212">
                  <c:v>-17276.200000000008</c:v>
                </c:pt>
                <c:pt idx="213">
                  <c:v>-17017.700000000012</c:v>
                </c:pt>
                <c:pt idx="214">
                  <c:v>-18549.900000000005</c:v>
                </c:pt>
                <c:pt idx="215">
                  <c:v>-16712.200000000012</c:v>
                </c:pt>
                <c:pt idx="216">
                  <c:v>-16510.100000000013</c:v>
                </c:pt>
                <c:pt idx="217">
                  <c:v>-16585.30000000001</c:v>
                </c:pt>
                <c:pt idx="218">
                  <c:v>-12950.000000000013</c:v>
                </c:pt>
                <c:pt idx="219">
                  <c:v>-12950.000000000013</c:v>
                </c:pt>
                <c:pt idx="220">
                  <c:v>-12950.000000000013</c:v>
                </c:pt>
                <c:pt idx="221">
                  <c:v>-11441.300000000014</c:v>
                </c:pt>
                <c:pt idx="222">
                  <c:v>-10012.500000000013</c:v>
                </c:pt>
                <c:pt idx="223">
                  <c:v>-10012.500000000013</c:v>
                </c:pt>
                <c:pt idx="224">
                  <c:v>-10012.500000000013</c:v>
                </c:pt>
                <c:pt idx="225">
                  <c:v>-10012.500000000013</c:v>
                </c:pt>
                <c:pt idx="226">
                  <c:v>-9650.6000000000167</c:v>
                </c:pt>
                <c:pt idx="227">
                  <c:v>-10990.100000000015</c:v>
                </c:pt>
                <c:pt idx="228">
                  <c:v>-11300.30000000001</c:v>
                </c:pt>
                <c:pt idx="229">
                  <c:v>-9899.7000000000153</c:v>
                </c:pt>
                <c:pt idx="230">
                  <c:v>-8893.900000000016</c:v>
                </c:pt>
                <c:pt idx="231">
                  <c:v>-9566.0000000000164</c:v>
                </c:pt>
                <c:pt idx="232">
                  <c:v>-7996.2000000000116</c:v>
                </c:pt>
                <c:pt idx="233">
                  <c:v>-7996.2000000000116</c:v>
                </c:pt>
                <c:pt idx="234">
                  <c:v>-5759.0000000000091</c:v>
                </c:pt>
                <c:pt idx="235">
                  <c:v>-5759.0000000000091</c:v>
                </c:pt>
                <c:pt idx="236">
                  <c:v>-5759.0000000000091</c:v>
                </c:pt>
                <c:pt idx="237">
                  <c:v>-5759.0000000000091</c:v>
                </c:pt>
                <c:pt idx="238">
                  <c:v>-9660.0000000000127</c:v>
                </c:pt>
                <c:pt idx="239">
                  <c:v>5729.9999999999873</c:v>
                </c:pt>
                <c:pt idx="240">
                  <c:v>6289.2999999999856</c:v>
                </c:pt>
                <c:pt idx="241">
                  <c:v>9480.5999999999876</c:v>
                </c:pt>
                <c:pt idx="242">
                  <c:v>16022.999999999989</c:v>
                </c:pt>
                <c:pt idx="243">
                  <c:v>18880.599999999988</c:v>
                </c:pt>
                <c:pt idx="244">
                  <c:v>29620.099999999988</c:v>
                </c:pt>
                <c:pt idx="245">
                  <c:v>25845.999999999985</c:v>
                </c:pt>
                <c:pt idx="246">
                  <c:v>25845.999999999985</c:v>
                </c:pt>
                <c:pt idx="247">
                  <c:v>26574.499999999985</c:v>
                </c:pt>
                <c:pt idx="248">
                  <c:v>26574.499999999985</c:v>
                </c:pt>
                <c:pt idx="249">
                  <c:v>28111.399999999987</c:v>
                </c:pt>
                <c:pt idx="250">
                  <c:v>28111.399999999987</c:v>
                </c:pt>
                <c:pt idx="251">
                  <c:v>28111.399999999987</c:v>
                </c:pt>
                <c:pt idx="252">
                  <c:v>29004.399999999987</c:v>
                </c:pt>
                <c:pt idx="253">
                  <c:v>28811.699999999986</c:v>
                </c:pt>
                <c:pt idx="254">
                  <c:v>29483.799999999988</c:v>
                </c:pt>
                <c:pt idx="255">
                  <c:v>29201.799999999988</c:v>
                </c:pt>
                <c:pt idx="256">
                  <c:v>29201.799999999988</c:v>
                </c:pt>
                <c:pt idx="257">
                  <c:v>14876.199999999986</c:v>
                </c:pt>
                <c:pt idx="258">
                  <c:v>29201.799999999988</c:v>
                </c:pt>
                <c:pt idx="259">
                  <c:v>28976.199999999986</c:v>
                </c:pt>
                <c:pt idx="260">
                  <c:v>28976.199999999986</c:v>
                </c:pt>
                <c:pt idx="261">
                  <c:v>32047.499999999985</c:v>
                </c:pt>
                <c:pt idx="262">
                  <c:v>32047.499999999985</c:v>
                </c:pt>
                <c:pt idx="263">
                  <c:v>32047.499999999985</c:v>
                </c:pt>
                <c:pt idx="264">
                  <c:v>27239.399999999987</c:v>
                </c:pt>
                <c:pt idx="265">
                  <c:v>23234.999999999985</c:v>
                </c:pt>
                <c:pt idx="266">
                  <c:v>24184.399999999987</c:v>
                </c:pt>
                <c:pt idx="267">
                  <c:v>24184.399999999987</c:v>
                </c:pt>
                <c:pt idx="268">
                  <c:v>24184.399999999987</c:v>
                </c:pt>
                <c:pt idx="269">
                  <c:v>24184.399999999987</c:v>
                </c:pt>
                <c:pt idx="270">
                  <c:v>24912.899999999987</c:v>
                </c:pt>
                <c:pt idx="271">
                  <c:v>24912.899999999987</c:v>
                </c:pt>
                <c:pt idx="272">
                  <c:v>25528.599999999988</c:v>
                </c:pt>
                <c:pt idx="273">
                  <c:v>25528.599999999988</c:v>
                </c:pt>
                <c:pt idx="274">
                  <c:v>25528.599999999988</c:v>
                </c:pt>
                <c:pt idx="275">
                  <c:v>-4180.1000000000095</c:v>
                </c:pt>
                <c:pt idx="276">
                  <c:v>24771.899999999994</c:v>
                </c:pt>
                <c:pt idx="277">
                  <c:v>25166.699999999993</c:v>
                </c:pt>
                <c:pt idx="278">
                  <c:v>25669.599999999991</c:v>
                </c:pt>
                <c:pt idx="279">
                  <c:v>25528.599999999991</c:v>
                </c:pt>
                <c:pt idx="280">
                  <c:v>24856.499999999993</c:v>
                </c:pt>
                <c:pt idx="281">
                  <c:v>24771.899999999994</c:v>
                </c:pt>
                <c:pt idx="282">
                  <c:v>24828.299999999992</c:v>
                </c:pt>
                <c:pt idx="283">
                  <c:v>24550.999999999993</c:v>
                </c:pt>
                <c:pt idx="284">
                  <c:v>7839.9999999999927</c:v>
                </c:pt>
                <c:pt idx="285">
                  <c:v>7839.9999999999927</c:v>
                </c:pt>
                <c:pt idx="286">
                  <c:v>7839.9999999999927</c:v>
                </c:pt>
                <c:pt idx="287">
                  <c:v>18476.099999999995</c:v>
                </c:pt>
                <c:pt idx="288">
                  <c:v>16619.599999999995</c:v>
                </c:pt>
                <c:pt idx="289">
                  <c:v>16619.599999999995</c:v>
                </c:pt>
                <c:pt idx="290">
                  <c:v>14612.699999999993</c:v>
                </c:pt>
                <c:pt idx="291">
                  <c:v>13870.099999999995</c:v>
                </c:pt>
                <c:pt idx="292">
                  <c:v>13870.099999999995</c:v>
                </c:pt>
                <c:pt idx="293">
                  <c:v>12507.099999999993</c:v>
                </c:pt>
                <c:pt idx="294">
                  <c:v>12507.099999999993</c:v>
                </c:pt>
                <c:pt idx="295">
                  <c:v>11087.699999999993</c:v>
                </c:pt>
                <c:pt idx="296">
                  <c:v>11581.199999999993</c:v>
                </c:pt>
                <c:pt idx="297">
                  <c:v>10932.599999999997</c:v>
                </c:pt>
                <c:pt idx="298">
                  <c:v>10932.599999999997</c:v>
                </c:pt>
                <c:pt idx="299">
                  <c:v>10622.399999999992</c:v>
                </c:pt>
                <c:pt idx="300">
                  <c:v>10373.299999999994</c:v>
                </c:pt>
                <c:pt idx="301">
                  <c:v>10373.299999999994</c:v>
                </c:pt>
                <c:pt idx="302">
                  <c:v>10561.299999999996</c:v>
                </c:pt>
                <c:pt idx="303">
                  <c:v>10561.299999999996</c:v>
                </c:pt>
                <c:pt idx="304">
                  <c:v>11832.499999999995</c:v>
                </c:pt>
                <c:pt idx="305">
                  <c:v>11832.499999999995</c:v>
                </c:pt>
                <c:pt idx="306">
                  <c:v>11832.499999999995</c:v>
                </c:pt>
                <c:pt idx="307">
                  <c:v>11832.499999999995</c:v>
                </c:pt>
                <c:pt idx="308">
                  <c:v>11832.499999999995</c:v>
                </c:pt>
                <c:pt idx="309">
                  <c:v>11832.499999999995</c:v>
                </c:pt>
                <c:pt idx="310">
                  <c:v>12701.999999999993</c:v>
                </c:pt>
                <c:pt idx="311">
                  <c:v>13092.099999999995</c:v>
                </c:pt>
                <c:pt idx="312">
                  <c:v>13092.099999999995</c:v>
                </c:pt>
                <c:pt idx="313">
                  <c:v>13092.099999999995</c:v>
                </c:pt>
                <c:pt idx="314">
                  <c:v>10013.599999999995</c:v>
                </c:pt>
                <c:pt idx="315">
                  <c:v>9736.2999999999956</c:v>
                </c:pt>
                <c:pt idx="316">
                  <c:v>9736.2999999999956</c:v>
                </c:pt>
                <c:pt idx="317">
                  <c:v>8838.5999999999949</c:v>
                </c:pt>
                <c:pt idx="318">
                  <c:v>8838.5999999999949</c:v>
                </c:pt>
                <c:pt idx="319">
                  <c:v>9341.4999999999945</c:v>
                </c:pt>
                <c:pt idx="320">
                  <c:v>10041.799999999992</c:v>
                </c:pt>
                <c:pt idx="321">
                  <c:v>10041.799999999992</c:v>
                </c:pt>
                <c:pt idx="322">
                  <c:v>9787.9999999999964</c:v>
                </c:pt>
                <c:pt idx="323">
                  <c:v>9787.9999999999964</c:v>
                </c:pt>
                <c:pt idx="324">
                  <c:v>9787.9999999999964</c:v>
                </c:pt>
                <c:pt idx="325">
                  <c:v>6424.9999999999945</c:v>
                </c:pt>
                <c:pt idx="326">
                  <c:v>5249.9999999999945</c:v>
                </c:pt>
                <c:pt idx="327">
                  <c:v>7599.9999999999945</c:v>
                </c:pt>
                <c:pt idx="328">
                  <c:v>6424.9999999999945</c:v>
                </c:pt>
                <c:pt idx="329">
                  <c:v>5249.9999999999945</c:v>
                </c:pt>
                <c:pt idx="330">
                  <c:v>5461.4999999999955</c:v>
                </c:pt>
                <c:pt idx="331">
                  <c:v>5461.4999999999955</c:v>
                </c:pt>
                <c:pt idx="332">
                  <c:v>5461.4999999999955</c:v>
                </c:pt>
                <c:pt idx="333">
                  <c:v>5461.4999999999955</c:v>
                </c:pt>
                <c:pt idx="334">
                  <c:v>5461.4999999999955</c:v>
                </c:pt>
                <c:pt idx="335">
                  <c:v>6424.9999999999945</c:v>
                </c:pt>
                <c:pt idx="336">
                  <c:v>6721.0999999999958</c:v>
                </c:pt>
                <c:pt idx="337">
                  <c:v>6453.1999999999962</c:v>
                </c:pt>
                <c:pt idx="338">
                  <c:v>6453.1999999999962</c:v>
                </c:pt>
                <c:pt idx="339">
                  <c:v>6453.1999999999962</c:v>
                </c:pt>
                <c:pt idx="340">
                  <c:v>6636.4999999999955</c:v>
                </c:pt>
                <c:pt idx="341">
                  <c:v>6636.4999999999955</c:v>
                </c:pt>
                <c:pt idx="342">
                  <c:v>7040.6999999999962</c:v>
                </c:pt>
                <c:pt idx="343">
                  <c:v>6721.0999999999958</c:v>
                </c:pt>
                <c:pt idx="344">
                  <c:v>6556.5999999999931</c:v>
                </c:pt>
                <c:pt idx="345">
                  <c:v>6453.1999999999962</c:v>
                </c:pt>
                <c:pt idx="346">
                  <c:v>6424.9999999999945</c:v>
                </c:pt>
                <c:pt idx="347">
                  <c:v>3367.4999999999945</c:v>
                </c:pt>
                <c:pt idx="348">
                  <c:v>3367.4999999999945</c:v>
                </c:pt>
                <c:pt idx="349">
                  <c:v>2300.599999999994</c:v>
                </c:pt>
                <c:pt idx="350">
                  <c:v>2300.599999999994</c:v>
                </c:pt>
                <c:pt idx="351">
                  <c:v>1792.9999999999964</c:v>
                </c:pt>
                <c:pt idx="352">
                  <c:v>1337.0999999999949</c:v>
                </c:pt>
                <c:pt idx="353">
                  <c:v>2620.1999999999944</c:v>
                </c:pt>
                <c:pt idx="354">
                  <c:v>2620.1999999999944</c:v>
                </c:pt>
                <c:pt idx="355">
                  <c:v>2620.1999999999944</c:v>
                </c:pt>
                <c:pt idx="356">
                  <c:v>885.899999999996</c:v>
                </c:pt>
                <c:pt idx="357">
                  <c:v>885.899999999996</c:v>
                </c:pt>
                <c:pt idx="358">
                  <c:v>857.69999999999891</c:v>
                </c:pt>
                <c:pt idx="359">
                  <c:v>321.89999999999054</c:v>
                </c:pt>
                <c:pt idx="360">
                  <c:v>321.89999999999054</c:v>
                </c:pt>
                <c:pt idx="361">
                  <c:v>321.89999999999054</c:v>
                </c:pt>
                <c:pt idx="362">
                  <c:v>-745.00000000000546</c:v>
                </c:pt>
                <c:pt idx="363">
                  <c:v>-745.00000000000546</c:v>
                </c:pt>
                <c:pt idx="364">
                  <c:v>-745.00000000000546</c:v>
                </c:pt>
                <c:pt idx="365">
                  <c:v>-745.00000000000546</c:v>
                </c:pt>
                <c:pt idx="366">
                  <c:v>-745.00000000000546</c:v>
                </c:pt>
                <c:pt idx="367">
                  <c:v>-970.60000000000946</c:v>
                </c:pt>
                <c:pt idx="368">
                  <c:v>-970.60000000000946</c:v>
                </c:pt>
                <c:pt idx="369">
                  <c:v>-7915.0000000000055</c:v>
                </c:pt>
                <c:pt idx="370">
                  <c:v>-9592.9000000000051</c:v>
                </c:pt>
                <c:pt idx="371">
                  <c:v>-9592.9000000000051</c:v>
                </c:pt>
                <c:pt idx="372">
                  <c:v>-9592.9000000000051</c:v>
                </c:pt>
                <c:pt idx="373">
                  <c:v>-9592.9000000000051</c:v>
                </c:pt>
                <c:pt idx="374">
                  <c:v>-10937.100000000006</c:v>
                </c:pt>
                <c:pt idx="375">
                  <c:v>-10937.100000000006</c:v>
                </c:pt>
                <c:pt idx="376">
                  <c:v>-12897.000000000004</c:v>
                </c:pt>
                <c:pt idx="377">
                  <c:v>-12897.000000000004</c:v>
                </c:pt>
                <c:pt idx="378">
                  <c:v>-12558.600000000002</c:v>
                </c:pt>
                <c:pt idx="379">
                  <c:v>-12868.800000000007</c:v>
                </c:pt>
                <c:pt idx="380">
                  <c:v>-13705.400000000005</c:v>
                </c:pt>
                <c:pt idx="381">
                  <c:v>-13705.400000000005</c:v>
                </c:pt>
                <c:pt idx="382">
                  <c:v>-13705.400000000005</c:v>
                </c:pt>
                <c:pt idx="383">
                  <c:v>-13705.400000000005</c:v>
                </c:pt>
                <c:pt idx="384">
                  <c:v>-13536.200000000004</c:v>
                </c:pt>
                <c:pt idx="385">
                  <c:v>-12840.600000000009</c:v>
                </c:pt>
                <c:pt idx="386">
                  <c:v>-12281.300000000007</c:v>
                </c:pt>
                <c:pt idx="387">
                  <c:v>-12281.300000000007</c:v>
                </c:pt>
                <c:pt idx="388">
                  <c:v>-12224.900000000003</c:v>
                </c:pt>
                <c:pt idx="389">
                  <c:v>-12224.900000000003</c:v>
                </c:pt>
                <c:pt idx="390">
                  <c:v>-9210.0000000000055</c:v>
                </c:pt>
                <c:pt idx="391">
                  <c:v>-8646.0000000000091</c:v>
                </c:pt>
                <c:pt idx="392">
                  <c:v>-7038.6000000000022</c:v>
                </c:pt>
                <c:pt idx="393">
                  <c:v>-7038.6000000000022</c:v>
                </c:pt>
                <c:pt idx="394">
                  <c:v>-5017.6000000000076</c:v>
                </c:pt>
                <c:pt idx="395">
                  <c:v>-5017.6000000000076</c:v>
                </c:pt>
                <c:pt idx="396">
                  <c:v>-4561.7000000000062</c:v>
                </c:pt>
                <c:pt idx="397">
                  <c:v>-4134.0000000000018</c:v>
                </c:pt>
                <c:pt idx="398">
                  <c:v>-4134.0000000000018</c:v>
                </c:pt>
                <c:pt idx="399">
                  <c:v>-1144.8000000000011</c:v>
                </c:pt>
                <c:pt idx="400">
                  <c:v>-449.20000000000618</c:v>
                </c:pt>
                <c:pt idx="401">
                  <c:v>-449.20000000000618</c:v>
                </c:pt>
                <c:pt idx="402">
                  <c:v>829.19999999999527</c:v>
                </c:pt>
                <c:pt idx="403">
                  <c:v>2887.7999999999965</c:v>
                </c:pt>
                <c:pt idx="404">
                  <c:v>2887.7999999999965</c:v>
                </c:pt>
                <c:pt idx="405">
                  <c:v>2887.7999999999965</c:v>
                </c:pt>
                <c:pt idx="406">
                  <c:v>5101.4999999999955</c:v>
                </c:pt>
                <c:pt idx="407">
                  <c:v>2225.0999999999967</c:v>
                </c:pt>
                <c:pt idx="408">
                  <c:v>1961.8999999999951</c:v>
                </c:pt>
                <c:pt idx="409">
                  <c:v>2356.6999999999953</c:v>
                </c:pt>
                <c:pt idx="410">
                  <c:v>4598.5999999999958</c:v>
                </c:pt>
                <c:pt idx="411">
                  <c:v>4861.7999999999929</c:v>
                </c:pt>
                <c:pt idx="412">
                  <c:v>4302.4999999999945</c:v>
                </c:pt>
                <c:pt idx="413">
                  <c:v>21219.999999999993</c:v>
                </c:pt>
                <c:pt idx="414">
                  <c:v>21219.999999999993</c:v>
                </c:pt>
                <c:pt idx="415">
                  <c:v>14870.299999999996</c:v>
                </c:pt>
                <c:pt idx="416">
                  <c:v>15636.399999999992</c:v>
                </c:pt>
                <c:pt idx="417">
                  <c:v>16139.299999999992</c:v>
                </c:pt>
                <c:pt idx="418">
                  <c:v>16313.199999999995</c:v>
                </c:pt>
                <c:pt idx="419">
                  <c:v>16440.099999999995</c:v>
                </c:pt>
                <c:pt idx="420">
                  <c:v>16421.299999999996</c:v>
                </c:pt>
                <c:pt idx="421">
                  <c:v>13051.399999999994</c:v>
                </c:pt>
                <c:pt idx="422">
                  <c:v>11707.199999999993</c:v>
                </c:pt>
                <c:pt idx="423">
                  <c:v>11707.199999999993</c:v>
                </c:pt>
                <c:pt idx="424">
                  <c:v>13667.099999999995</c:v>
                </c:pt>
                <c:pt idx="425">
                  <c:v>13667.099999999995</c:v>
                </c:pt>
                <c:pt idx="426">
                  <c:v>13699.999999999995</c:v>
                </c:pt>
                <c:pt idx="427">
                  <c:v>13887.999999999996</c:v>
                </c:pt>
                <c:pt idx="428">
                  <c:v>13887.999999999996</c:v>
                </c:pt>
                <c:pt idx="429">
                  <c:v>13887.999999999996</c:v>
                </c:pt>
                <c:pt idx="430">
                  <c:v>14226.399999999994</c:v>
                </c:pt>
                <c:pt idx="431">
                  <c:v>14395.599999999995</c:v>
                </c:pt>
                <c:pt idx="432">
                  <c:v>14395.599999999995</c:v>
                </c:pt>
                <c:pt idx="433">
                  <c:v>14395.599999999995</c:v>
                </c:pt>
                <c:pt idx="434">
                  <c:v>16987.499999999996</c:v>
                </c:pt>
                <c:pt idx="435">
                  <c:v>16987.499999999996</c:v>
                </c:pt>
                <c:pt idx="436">
                  <c:v>16987.499999999996</c:v>
                </c:pt>
                <c:pt idx="437">
                  <c:v>15422.399999999994</c:v>
                </c:pt>
                <c:pt idx="438">
                  <c:v>15422.399999999994</c:v>
                </c:pt>
                <c:pt idx="439">
                  <c:v>14468.299999999996</c:v>
                </c:pt>
                <c:pt idx="440">
                  <c:v>14919.499999999995</c:v>
                </c:pt>
                <c:pt idx="441">
                  <c:v>12818.599999999999</c:v>
                </c:pt>
                <c:pt idx="442">
                  <c:v>13565.899999999998</c:v>
                </c:pt>
                <c:pt idx="443">
                  <c:v>12870.3</c:v>
                </c:pt>
                <c:pt idx="444">
                  <c:v>12870.3</c:v>
                </c:pt>
                <c:pt idx="445">
                  <c:v>13485.999999999996</c:v>
                </c:pt>
                <c:pt idx="446">
                  <c:v>17767.699999999997</c:v>
                </c:pt>
                <c:pt idx="447">
                  <c:v>19530.199999999997</c:v>
                </c:pt>
                <c:pt idx="448">
                  <c:v>22885.999999999996</c:v>
                </c:pt>
                <c:pt idx="449">
                  <c:v>22885.999999999996</c:v>
                </c:pt>
                <c:pt idx="450">
                  <c:v>23783.699999999997</c:v>
                </c:pt>
                <c:pt idx="451">
                  <c:v>23783.699999999997</c:v>
                </c:pt>
                <c:pt idx="452">
                  <c:v>23783.699999999997</c:v>
                </c:pt>
                <c:pt idx="453">
                  <c:v>23783.699999999997</c:v>
                </c:pt>
                <c:pt idx="454">
                  <c:v>24455.799999999996</c:v>
                </c:pt>
                <c:pt idx="455">
                  <c:v>24286.6</c:v>
                </c:pt>
                <c:pt idx="456">
                  <c:v>44480</c:v>
                </c:pt>
                <c:pt idx="457">
                  <c:v>36052.9</c:v>
                </c:pt>
                <c:pt idx="458">
                  <c:v>33369.200000000004</c:v>
                </c:pt>
                <c:pt idx="459">
                  <c:v>37453.500000000007</c:v>
                </c:pt>
                <c:pt idx="460">
                  <c:v>33571.30000000001</c:v>
                </c:pt>
                <c:pt idx="461">
                  <c:v>33571.30000000001</c:v>
                </c:pt>
                <c:pt idx="462">
                  <c:v>33571.30000000001</c:v>
                </c:pt>
                <c:pt idx="463">
                  <c:v>31940.400000000009</c:v>
                </c:pt>
                <c:pt idx="464">
                  <c:v>30022.80000000001</c:v>
                </c:pt>
                <c:pt idx="465">
                  <c:v>30022.80000000001</c:v>
                </c:pt>
                <c:pt idx="466">
                  <c:v>31019.200000000012</c:v>
                </c:pt>
                <c:pt idx="467">
                  <c:v>29792.500000000011</c:v>
                </c:pt>
                <c:pt idx="468">
                  <c:v>29510.500000000011</c:v>
                </c:pt>
                <c:pt idx="469">
                  <c:v>29769.000000000011</c:v>
                </c:pt>
                <c:pt idx="470">
                  <c:v>29769.000000000011</c:v>
                </c:pt>
                <c:pt idx="471">
                  <c:v>29769.000000000011</c:v>
                </c:pt>
                <c:pt idx="472">
                  <c:v>29769.000000000011</c:v>
                </c:pt>
                <c:pt idx="473">
                  <c:v>29613.900000000012</c:v>
                </c:pt>
                <c:pt idx="474">
                  <c:v>28462.400000000012</c:v>
                </c:pt>
                <c:pt idx="475">
                  <c:v>28462.400000000012</c:v>
                </c:pt>
                <c:pt idx="476">
                  <c:v>28462.400000000012</c:v>
                </c:pt>
                <c:pt idx="477">
                  <c:v>28462.400000000012</c:v>
                </c:pt>
                <c:pt idx="478">
                  <c:v>28312.000000000015</c:v>
                </c:pt>
                <c:pt idx="479">
                  <c:v>9110.0000000000146</c:v>
                </c:pt>
                <c:pt idx="480">
                  <c:v>12635.000000000015</c:v>
                </c:pt>
                <c:pt idx="481">
                  <c:v>9293.3000000000138</c:v>
                </c:pt>
                <c:pt idx="482">
                  <c:v>3855.4000000000142</c:v>
                </c:pt>
                <c:pt idx="483">
                  <c:v>4316.0000000000136</c:v>
                </c:pt>
                <c:pt idx="484">
                  <c:v>3451.2000000000135</c:v>
                </c:pt>
                <c:pt idx="485">
                  <c:v>1439.6000000000149</c:v>
                </c:pt>
                <c:pt idx="486">
                  <c:v>1068.3000000000138</c:v>
                </c:pt>
                <c:pt idx="487">
                  <c:v>-2329.7999999999811</c:v>
                </c:pt>
                <c:pt idx="488">
                  <c:v>-2329.7999999999811</c:v>
                </c:pt>
                <c:pt idx="489">
                  <c:v>-2329.7999999999811</c:v>
                </c:pt>
                <c:pt idx="490">
                  <c:v>-2329.7999999999811</c:v>
                </c:pt>
                <c:pt idx="491">
                  <c:v>-2978.3999999999869</c:v>
                </c:pt>
                <c:pt idx="492">
                  <c:v>-4651.599999999984</c:v>
                </c:pt>
                <c:pt idx="493">
                  <c:v>-4341.3999999999887</c:v>
                </c:pt>
                <c:pt idx="494">
                  <c:v>-3847.8999999999851</c:v>
                </c:pt>
                <c:pt idx="495">
                  <c:v>-4585.7999999999847</c:v>
                </c:pt>
                <c:pt idx="496">
                  <c:v>-5022.8999999999851</c:v>
                </c:pt>
                <c:pt idx="497">
                  <c:v>-5022.8999999999851</c:v>
                </c:pt>
                <c:pt idx="498">
                  <c:v>-5022.8999999999851</c:v>
                </c:pt>
                <c:pt idx="499">
                  <c:v>-23909.999999999985</c:v>
                </c:pt>
                <c:pt idx="500">
                  <c:v>-27834.499999999985</c:v>
                </c:pt>
                <c:pt idx="501">
                  <c:v>-27834.499999999985</c:v>
                </c:pt>
                <c:pt idx="502">
                  <c:v>-27834.499999999985</c:v>
                </c:pt>
                <c:pt idx="503">
                  <c:v>-32402.899999999987</c:v>
                </c:pt>
                <c:pt idx="504">
                  <c:v>-32402.899999999987</c:v>
                </c:pt>
                <c:pt idx="505">
                  <c:v>-38705.599999999991</c:v>
                </c:pt>
                <c:pt idx="506">
                  <c:v>-41910.999999999993</c:v>
                </c:pt>
                <c:pt idx="507">
                  <c:v>-41910.999999999993</c:v>
                </c:pt>
                <c:pt idx="508">
                  <c:v>-48852.899999999994</c:v>
                </c:pt>
                <c:pt idx="509">
                  <c:v>-55258.999999999985</c:v>
                </c:pt>
                <c:pt idx="510">
                  <c:v>-55846.499999999985</c:v>
                </c:pt>
                <c:pt idx="511">
                  <c:v>-53176.899999999994</c:v>
                </c:pt>
                <c:pt idx="512">
                  <c:v>-51978.399999999994</c:v>
                </c:pt>
                <c:pt idx="513">
                  <c:v>-54328.399999999994</c:v>
                </c:pt>
                <c:pt idx="514">
                  <c:v>-53393.099999999991</c:v>
                </c:pt>
                <c:pt idx="515">
                  <c:v>-53393.099999999991</c:v>
                </c:pt>
                <c:pt idx="516">
                  <c:v>-53393.099999999991</c:v>
                </c:pt>
                <c:pt idx="517">
                  <c:v>-53393.099999999991</c:v>
                </c:pt>
                <c:pt idx="518">
                  <c:v>-53393.099999999991</c:v>
                </c:pt>
                <c:pt idx="519">
                  <c:v>-53393.099999999991</c:v>
                </c:pt>
                <c:pt idx="520">
                  <c:v>-53496.499999999993</c:v>
                </c:pt>
                <c:pt idx="521">
                  <c:v>-53496.499999999993</c:v>
                </c:pt>
                <c:pt idx="522">
                  <c:v>-69855</c:v>
                </c:pt>
                <c:pt idx="523">
                  <c:v>-69855</c:v>
                </c:pt>
                <c:pt idx="524">
                  <c:v>-70968.899999999994</c:v>
                </c:pt>
                <c:pt idx="525">
                  <c:v>-70968.899999999994</c:v>
                </c:pt>
                <c:pt idx="526">
                  <c:v>-91413.9</c:v>
                </c:pt>
                <c:pt idx="527">
                  <c:v>-91413.9</c:v>
                </c:pt>
                <c:pt idx="528">
                  <c:v>-91296.4</c:v>
                </c:pt>
                <c:pt idx="529">
                  <c:v>-91296.4</c:v>
                </c:pt>
                <c:pt idx="530">
                  <c:v>-91296.4</c:v>
                </c:pt>
                <c:pt idx="531">
                  <c:v>-93411.4</c:v>
                </c:pt>
                <c:pt idx="532">
                  <c:v>-92443.199999999997</c:v>
                </c:pt>
                <c:pt idx="533">
                  <c:v>-92151.8</c:v>
                </c:pt>
                <c:pt idx="534">
                  <c:v>-92151.8</c:v>
                </c:pt>
                <c:pt idx="535">
                  <c:v>-92678.2</c:v>
                </c:pt>
                <c:pt idx="536">
                  <c:v>-91738.2</c:v>
                </c:pt>
                <c:pt idx="537">
                  <c:v>-90506.8</c:v>
                </c:pt>
                <c:pt idx="538">
                  <c:v>-90154.3</c:v>
                </c:pt>
                <c:pt idx="539">
                  <c:v>-90300</c:v>
                </c:pt>
                <c:pt idx="540">
                  <c:v>-90887.5</c:v>
                </c:pt>
                <c:pt idx="541">
                  <c:v>-91061.4</c:v>
                </c:pt>
                <c:pt idx="542">
                  <c:v>-90887.5</c:v>
                </c:pt>
                <c:pt idx="543">
                  <c:v>-90680.7</c:v>
                </c:pt>
                <c:pt idx="544">
                  <c:v>-89362.5</c:v>
                </c:pt>
                <c:pt idx="545">
                  <c:v>-85466.200000000012</c:v>
                </c:pt>
                <c:pt idx="546">
                  <c:v>-85466.200000000012</c:v>
                </c:pt>
                <c:pt idx="547">
                  <c:v>-82994</c:v>
                </c:pt>
                <c:pt idx="548">
                  <c:v>-87167.6</c:v>
                </c:pt>
                <c:pt idx="549">
                  <c:v>-86302.800000000017</c:v>
                </c:pt>
                <c:pt idx="550">
                  <c:v>-84291.200000000012</c:v>
                </c:pt>
                <c:pt idx="551">
                  <c:v>-85405.1</c:v>
                </c:pt>
                <c:pt idx="552">
                  <c:v>-86763.400000000009</c:v>
                </c:pt>
                <c:pt idx="553">
                  <c:v>-84601.4</c:v>
                </c:pt>
                <c:pt idx="554">
                  <c:v>-84601.4</c:v>
                </c:pt>
                <c:pt idx="555">
                  <c:v>-87383.799999999988</c:v>
                </c:pt>
                <c:pt idx="556">
                  <c:v>-85654.2</c:v>
                </c:pt>
                <c:pt idx="557">
                  <c:v>-85870.400000000009</c:v>
                </c:pt>
                <c:pt idx="558">
                  <c:v>-85499.1</c:v>
                </c:pt>
                <c:pt idx="559">
                  <c:v>-85188.9</c:v>
                </c:pt>
                <c:pt idx="560">
                  <c:v>-85433.3</c:v>
                </c:pt>
                <c:pt idx="561">
                  <c:v>-85898.6</c:v>
                </c:pt>
                <c:pt idx="562">
                  <c:v>-86331</c:v>
                </c:pt>
                <c:pt idx="563">
                  <c:v>-86519</c:v>
                </c:pt>
                <c:pt idx="564">
                  <c:v>-98295</c:v>
                </c:pt>
                <c:pt idx="565">
                  <c:v>-98295</c:v>
                </c:pt>
                <c:pt idx="566">
                  <c:v>-95597.2</c:v>
                </c:pt>
                <c:pt idx="567">
                  <c:v>-97627.6</c:v>
                </c:pt>
                <c:pt idx="568">
                  <c:v>-100513.40000000001</c:v>
                </c:pt>
                <c:pt idx="569">
                  <c:v>-100057.5</c:v>
                </c:pt>
                <c:pt idx="570">
                  <c:v>-100057.5</c:v>
                </c:pt>
                <c:pt idx="571">
                  <c:v>-100057.5</c:v>
                </c:pt>
                <c:pt idx="572">
                  <c:v>-100057.5</c:v>
                </c:pt>
                <c:pt idx="573">
                  <c:v>-101444</c:v>
                </c:pt>
                <c:pt idx="574">
                  <c:v>-101768.3</c:v>
                </c:pt>
                <c:pt idx="575">
                  <c:v>-99709.7</c:v>
                </c:pt>
                <c:pt idx="576">
                  <c:v>-100245.5</c:v>
                </c:pt>
                <c:pt idx="577">
                  <c:v>-101928.1</c:v>
                </c:pt>
                <c:pt idx="578">
                  <c:v>-101711.90000000002</c:v>
                </c:pt>
                <c:pt idx="579">
                  <c:v>-101711.90000000002</c:v>
                </c:pt>
                <c:pt idx="580">
                  <c:v>-102355.80000000002</c:v>
                </c:pt>
                <c:pt idx="581">
                  <c:v>-102355.80000000002</c:v>
                </c:pt>
                <c:pt idx="582">
                  <c:v>-102355.80000000002</c:v>
                </c:pt>
                <c:pt idx="583">
                  <c:v>-102595.50000000001</c:v>
                </c:pt>
                <c:pt idx="584">
                  <c:v>-102807.00000000003</c:v>
                </c:pt>
                <c:pt idx="585">
                  <c:v>-102807.00000000003</c:v>
                </c:pt>
                <c:pt idx="586">
                  <c:v>-114865.00000000003</c:v>
                </c:pt>
                <c:pt idx="587">
                  <c:v>-114865.00000000003</c:v>
                </c:pt>
                <c:pt idx="588">
                  <c:v>-114865.00000000003</c:v>
                </c:pt>
                <c:pt idx="589">
                  <c:v>-114865.00000000003</c:v>
                </c:pt>
                <c:pt idx="590">
                  <c:v>-115870.80000000003</c:v>
                </c:pt>
                <c:pt idx="591">
                  <c:v>-122056.00000000001</c:v>
                </c:pt>
                <c:pt idx="592">
                  <c:v>-123395.50000000003</c:v>
                </c:pt>
                <c:pt idx="593">
                  <c:v>-125078.10000000005</c:v>
                </c:pt>
                <c:pt idx="594">
                  <c:v>-126643.20000000004</c:v>
                </c:pt>
                <c:pt idx="595">
                  <c:v>-129552.50000000004</c:v>
                </c:pt>
                <c:pt idx="596">
                  <c:v>-129552.50000000004</c:v>
                </c:pt>
                <c:pt idx="597">
                  <c:v>-129552.50000000004</c:v>
                </c:pt>
                <c:pt idx="598">
                  <c:v>-129552.50000000004</c:v>
                </c:pt>
                <c:pt idx="599">
                  <c:v>-130558.30000000006</c:v>
                </c:pt>
                <c:pt idx="600">
                  <c:v>-129886.20000000004</c:v>
                </c:pt>
                <c:pt idx="601">
                  <c:v>-129886.20000000004</c:v>
                </c:pt>
                <c:pt idx="602">
                  <c:v>-128208.30000000008</c:v>
                </c:pt>
                <c:pt idx="603">
                  <c:v>-128208.30000000008</c:v>
                </c:pt>
                <c:pt idx="604">
                  <c:v>-128208.30000000008</c:v>
                </c:pt>
                <c:pt idx="605">
                  <c:v>-128123.70000000004</c:v>
                </c:pt>
                <c:pt idx="606">
                  <c:v>-128015.60000000006</c:v>
                </c:pt>
                <c:pt idx="607">
                  <c:v>-128015.60000000006</c:v>
                </c:pt>
                <c:pt idx="608">
                  <c:v>-132022.50000000006</c:v>
                </c:pt>
                <c:pt idx="609">
                  <c:v>-129230.70000000006</c:v>
                </c:pt>
                <c:pt idx="610">
                  <c:v>-129230.70000000006</c:v>
                </c:pt>
                <c:pt idx="611">
                  <c:v>-128732.50000000006</c:v>
                </c:pt>
                <c:pt idx="612">
                  <c:v>-128732.50000000006</c:v>
                </c:pt>
                <c:pt idx="613">
                  <c:v>-128290.70000000006</c:v>
                </c:pt>
                <c:pt idx="614">
                  <c:v>-127059.30000000006</c:v>
                </c:pt>
                <c:pt idx="615">
                  <c:v>-127059.30000000006</c:v>
                </c:pt>
                <c:pt idx="616">
                  <c:v>-127059.30000000006</c:v>
                </c:pt>
                <c:pt idx="617">
                  <c:v>-127059.30000000006</c:v>
                </c:pt>
                <c:pt idx="618">
                  <c:v>-127059.30000000006</c:v>
                </c:pt>
                <c:pt idx="619">
                  <c:v>-127059.30000000006</c:v>
                </c:pt>
                <c:pt idx="620">
                  <c:v>-126824.30000000006</c:v>
                </c:pt>
                <c:pt idx="621">
                  <c:v>-128262.50000000006</c:v>
                </c:pt>
                <c:pt idx="622">
                  <c:v>-129672.50000000006</c:v>
                </c:pt>
                <c:pt idx="623">
                  <c:v>-131138.90000000005</c:v>
                </c:pt>
                <c:pt idx="624">
                  <c:v>-131138.90000000005</c:v>
                </c:pt>
                <c:pt idx="625">
                  <c:v>-130668.90000000005</c:v>
                </c:pt>
                <c:pt idx="626">
                  <c:v>-129879.30000000006</c:v>
                </c:pt>
                <c:pt idx="627">
                  <c:v>-129996.80000000006</c:v>
                </c:pt>
                <c:pt idx="628">
                  <c:v>-129996.80000000006</c:v>
                </c:pt>
                <c:pt idx="629">
                  <c:v>-133905.00000000006</c:v>
                </c:pt>
                <c:pt idx="630">
                  <c:v>-137270.20000000007</c:v>
                </c:pt>
                <c:pt idx="631">
                  <c:v>-139404.00000000009</c:v>
                </c:pt>
                <c:pt idx="632">
                  <c:v>-138896.40000000008</c:v>
                </c:pt>
                <c:pt idx="633">
                  <c:v>-141302.80000000008</c:v>
                </c:pt>
                <c:pt idx="634">
                  <c:v>-140846.90000000008</c:v>
                </c:pt>
                <c:pt idx="635">
                  <c:v>-140419.20000000007</c:v>
                </c:pt>
                <c:pt idx="636">
                  <c:v>-141222.90000000008</c:v>
                </c:pt>
                <c:pt idx="637">
                  <c:v>-142341.50000000009</c:v>
                </c:pt>
                <c:pt idx="638">
                  <c:v>-142341.50000000009</c:v>
                </c:pt>
                <c:pt idx="639">
                  <c:v>-142341.50000000009</c:v>
                </c:pt>
                <c:pt idx="640">
                  <c:v>-141754.00000000009</c:v>
                </c:pt>
                <c:pt idx="641">
                  <c:v>-140955.00000000006</c:v>
                </c:pt>
                <c:pt idx="642">
                  <c:v>-140955.00000000006</c:v>
                </c:pt>
                <c:pt idx="643">
                  <c:v>-140315.80000000008</c:v>
                </c:pt>
                <c:pt idx="644">
                  <c:v>-140687.10000000003</c:v>
                </c:pt>
                <c:pt idx="645">
                  <c:v>-141006.70000000001</c:v>
                </c:pt>
                <c:pt idx="646">
                  <c:v>-141274.60000000003</c:v>
                </c:pt>
                <c:pt idx="647">
                  <c:v>-141918.50000000003</c:v>
                </c:pt>
                <c:pt idx="648">
                  <c:v>-142078.30000000005</c:v>
                </c:pt>
                <c:pt idx="649">
                  <c:v>-142181.70000000001</c:v>
                </c:pt>
                <c:pt idx="650">
                  <c:v>-142238.10000000003</c:v>
                </c:pt>
                <c:pt idx="651">
                  <c:v>-152825.00000000003</c:v>
                </c:pt>
                <c:pt idx="652">
                  <c:v>-153948.30000000005</c:v>
                </c:pt>
                <c:pt idx="653">
                  <c:v>-153948.30000000005</c:v>
                </c:pt>
                <c:pt idx="654">
                  <c:v>-157149.00000000006</c:v>
                </c:pt>
                <c:pt idx="655">
                  <c:v>-157149.00000000006</c:v>
                </c:pt>
                <c:pt idx="656">
                  <c:v>-157633.10000000006</c:v>
                </c:pt>
                <c:pt idx="657">
                  <c:v>-157177.20000000007</c:v>
                </c:pt>
                <c:pt idx="658">
                  <c:v>-157177.20000000007</c:v>
                </c:pt>
                <c:pt idx="659">
                  <c:v>-157576.70000000004</c:v>
                </c:pt>
                <c:pt idx="660">
                  <c:v>-157576.70000000004</c:v>
                </c:pt>
                <c:pt idx="661">
                  <c:v>-157576.70000000004</c:v>
                </c:pt>
                <c:pt idx="662">
                  <c:v>-157576.70000000004</c:v>
                </c:pt>
                <c:pt idx="663">
                  <c:v>-157872.80000000005</c:v>
                </c:pt>
                <c:pt idx="664">
                  <c:v>-157872.80000000005</c:v>
                </c:pt>
                <c:pt idx="665">
                  <c:v>-157872.80000000005</c:v>
                </c:pt>
                <c:pt idx="666">
                  <c:v>-157872.80000000005</c:v>
                </c:pt>
                <c:pt idx="667">
                  <c:v>-158432.10000000003</c:v>
                </c:pt>
                <c:pt idx="668">
                  <c:v>-158591.90000000002</c:v>
                </c:pt>
                <c:pt idx="669">
                  <c:v>-158859.80000000005</c:v>
                </c:pt>
                <c:pt idx="670">
                  <c:v>-158859.80000000005</c:v>
                </c:pt>
                <c:pt idx="671">
                  <c:v>-158859.80000000005</c:v>
                </c:pt>
                <c:pt idx="672">
                  <c:v>-158859.80000000005</c:v>
                </c:pt>
                <c:pt idx="673">
                  <c:v>-158888.00000000006</c:v>
                </c:pt>
                <c:pt idx="674">
                  <c:v>-165282.50000000006</c:v>
                </c:pt>
                <c:pt idx="675">
                  <c:v>-169756.90000000005</c:v>
                </c:pt>
                <c:pt idx="676">
                  <c:v>-171886.00000000006</c:v>
                </c:pt>
                <c:pt idx="677">
                  <c:v>-174908.10000000009</c:v>
                </c:pt>
                <c:pt idx="678">
                  <c:v>-175857.50000000009</c:v>
                </c:pt>
                <c:pt idx="679">
                  <c:v>-175857.50000000009</c:v>
                </c:pt>
                <c:pt idx="680">
                  <c:v>-175857.50000000009</c:v>
                </c:pt>
                <c:pt idx="681">
                  <c:v>-175857.50000000009</c:v>
                </c:pt>
                <c:pt idx="682">
                  <c:v>-177314.50000000009</c:v>
                </c:pt>
                <c:pt idx="683">
                  <c:v>-178320.30000000008</c:v>
                </c:pt>
                <c:pt idx="684">
                  <c:v>-178320.30000000008</c:v>
                </c:pt>
                <c:pt idx="685">
                  <c:v>-178320.30000000008</c:v>
                </c:pt>
                <c:pt idx="686">
                  <c:v>-178823.20000000007</c:v>
                </c:pt>
                <c:pt idx="687">
                  <c:v>-179048.80000000008</c:v>
                </c:pt>
                <c:pt idx="688">
                  <c:v>-180026.40000000005</c:v>
                </c:pt>
                <c:pt idx="689">
                  <c:v>-182038.00000000006</c:v>
                </c:pt>
                <c:pt idx="690">
                  <c:v>-182038.00000000006</c:v>
                </c:pt>
                <c:pt idx="691">
                  <c:v>-182038.00000000006</c:v>
                </c:pt>
                <c:pt idx="692">
                  <c:v>-182038.00000000006</c:v>
                </c:pt>
                <c:pt idx="693">
                  <c:v>-182038.00000000006</c:v>
                </c:pt>
                <c:pt idx="694">
                  <c:v>-182038.00000000006</c:v>
                </c:pt>
                <c:pt idx="695">
                  <c:v>-193015.00000000006</c:v>
                </c:pt>
                <c:pt idx="696">
                  <c:v>-193015.00000000006</c:v>
                </c:pt>
                <c:pt idx="697">
                  <c:v>-193015.00000000006</c:v>
                </c:pt>
                <c:pt idx="698">
                  <c:v>-193517.90000000008</c:v>
                </c:pt>
                <c:pt idx="699">
                  <c:v>-193517.90000000008</c:v>
                </c:pt>
                <c:pt idx="700">
                  <c:v>-194472.00000000009</c:v>
                </c:pt>
                <c:pt idx="701">
                  <c:v>-194472.00000000009</c:v>
                </c:pt>
                <c:pt idx="702">
                  <c:v>-194472.00000000009</c:v>
                </c:pt>
                <c:pt idx="703">
                  <c:v>-192122.00000000009</c:v>
                </c:pt>
                <c:pt idx="704">
                  <c:v>-190665.00000000009</c:v>
                </c:pt>
                <c:pt idx="705">
                  <c:v>-190331.3000000001</c:v>
                </c:pt>
                <c:pt idx="706">
                  <c:v>-191252.50000000009</c:v>
                </c:pt>
                <c:pt idx="707">
                  <c:v>-191811.8000000001</c:v>
                </c:pt>
                <c:pt idx="708">
                  <c:v>-191811.8000000001</c:v>
                </c:pt>
                <c:pt idx="709">
                  <c:v>-192037.40000000011</c:v>
                </c:pt>
                <c:pt idx="710">
                  <c:v>-192037.40000000011</c:v>
                </c:pt>
                <c:pt idx="711">
                  <c:v>-192371.10000000009</c:v>
                </c:pt>
                <c:pt idx="712">
                  <c:v>-191952.80000000008</c:v>
                </c:pt>
                <c:pt idx="713">
                  <c:v>-191614.40000000008</c:v>
                </c:pt>
                <c:pt idx="714">
                  <c:v>-191614.40000000008</c:v>
                </c:pt>
                <c:pt idx="715">
                  <c:v>-191614.40000000008</c:v>
                </c:pt>
                <c:pt idx="716">
                  <c:v>-191478.10000000009</c:v>
                </c:pt>
                <c:pt idx="717">
                  <c:v>-184910.00000000009</c:v>
                </c:pt>
                <c:pt idx="718">
                  <c:v>-184350.70000000007</c:v>
                </c:pt>
                <c:pt idx="719">
                  <c:v>-185953.40000000008</c:v>
                </c:pt>
                <c:pt idx="720">
                  <c:v>-185445.8000000001</c:v>
                </c:pt>
                <c:pt idx="721">
                  <c:v>-185445.8000000001</c:v>
                </c:pt>
                <c:pt idx="722">
                  <c:v>-183626.90000000008</c:v>
                </c:pt>
                <c:pt idx="723">
                  <c:v>-182771.50000000012</c:v>
                </c:pt>
                <c:pt idx="724">
                  <c:v>-181173.50000000009</c:v>
                </c:pt>
                <c:pt idx="725">
                  <c:v>-181920.8000000001</c:v>
                </c:pt>
                <c:pt idx="726">
                  <c:v>-181573.00000000009</c:v>
                </c:pt>
                <c:pt idx="727">
                  <c:v>-181681.10000000009</c:v>
                </c:pt>
                <c:pt idx="728">
                  <c:v>-182607.00000000009</c:v>
                </c:pt>
                <c:pt idx="729">
                  <c:v>-183899.50000000009</c:v>
                </c:pt>
                <c:pt idx="730">
                  <c:v>-183937.10000000006</c:v>
                </c:pt>
                <c:pt idx="731">
                  <c:v>-184045.20000000007</c:v>
                </c:pt>
                <c:pt idx="732">
                  <c:v>-184139.20000000004</c:v>
                </c:pt>
                <c:pt idx="733">
                  <c:v>-184059.30000000005</c:v>
                </c:pt>
                <c:pt idx="734">
                  <c:v>-184073.40000000005</c:v>
                </c:pt>
                <c:pt idx="735">
                  <c:v>-183659.80000000005</c:v>
                </c:pt>
                <c:pt idx="736">
                  <c:v>-183631.60000000003</c:v>
                </c:pt>
                <c:pt idx="737">
                  <c:v>-183283.80000000005</c:v>
                </c:pt>
                <c:pt idx="738">
                  <c:v>-183307.30000000005</c:v>
                </c:pt>
                <c:pt idx="739">
                  <c:v>-179155.00000000006</c:v>
                </c:pt>
                <c:pt idx="740">
                  <c:v>-180268.90000000005</c:v>
                </c:pt>
                <c:pt idx="741">
                  <c:v>-180268.90000000005</c:v>
                </c:pt>
                <c:pt idx="742">
                  <c:v>-180268.90000000005</c:v>
                </c:pt>
                <c:pt idx="743">
                  <c:v>-178858.90000000005</c:v>
                </c:pt>
                <c:pt idx="744">
                  <c:v>-178858.90000000005</c:v>
                </c:pt>
                <c:pt idx="745">
                  <c:v>-178858.90000000005</c:v>
                </c:pt>
                <c:pt idx="746">
                  <c:v>-178858.90000000005</c:v>
                </c:pt>
                <c:pt idx="747">
                  <c:v>-180268.90000000005</c:v>
                </c:pt>
                <c:pt idx="748">
                  <c:v>-179949.30000000005</c:v>
                </c:pt>
                <c:pt idx="749">
                  <c:v>-179949.30000000005</c:v>
                </c:pt>
                <c:pt idx="750">
                  <c:v>-178891.80000000005</c:v>
                </c:pt>
                <c:pt idx="751">
                  <c:v>-178656.80000000005</c:v>
                </c:pt>
                <c:pt idx="752">
                  <c:v>-179681.40000000002</c:v>
                </c:pt>
                <c:pt idx="753">
                  <c:v>-178802.50000000003</c:v>
                </c:pt>
                <c:pt idx="754">
                  <c:v>-179093.90000000002</c:v>
                </c:pt>
                <c:pt idx="755">
                  <c:v>-178858.90000000002</c:v>
                </c:pt>
                <c:pt idx="756">
                  <c:v>-178774.30000000005</c:v>
                </c:pt>
                <c:pt idx="757">
                  <c:v>-178774.30000000005</c:v>
                </c:pt>
                <c:pt idx="758">
                  <c:v>-178774.30000000005</c:v>
                </c:pt>
                <c:pt idx="759">
                  <c:v>-178741.40000000002</c:v>
                </c:pt>
                <c:pt idx="760">
                  <c:v>-177512.50000000003</c:v>
                </c:pt>
                <c:pt idx="761">
                  <c:v>-177512.50000000003</c:v>
                </c:pt>
                <c:pt idx="762">
                  <c:v>-177512.50000000003</c:v>
                </c:pt>
                <c:pt idx="763">
                  <c:v>-178020.1</c:v>
                </c:pt>
                <c:pt idx="764">
                  <c:v>-179942.40000000002</c:v>
                </c:pt>
                <c:pt idx="765">
                  <c:v>-178579.4</c:v>
                </c:pt>
                <c:pt idx="766">
                  <c:v>-178579.4</c:v>
                </c:pt>
                <c:pt idx="767">
                  <c:v>-178179.90000000002</c:v>
                </c:pt>
                <c:pt idx="768">
                  <c:v>-178555.90000000002</c:v>
                </c:pt>
                <c:pt idx="769">
                  <c:v>-178899.00000000003</c:v>
                </c:pt>
                <c:pt idx="770">
                  <c:v>-178899.00000000003</c:v>
                </c:pt>
                <c:pt idx="771">
                  <c:v>-178899.00000000003</c:v>
                </c:pt>
                <c:pt idx="772">
                  <c:v>-178635.80000000005</c:v>
                </c:pt>
                <c:pt idx="773">
                  <c:v>-178635.80000000005</c:v>
                </c:pt>
                <c:pt idx="774">
                  <c:v>-178635.80000000005</c:v>
                </c:pt>
                <c:pt idx="775">
                  <c:v>-178447.80000000002</c:v>
                </c:pt>
                <c:pt idx="776">
                  <c:v>-178447.80000000002</c:v>
                </c:pt>
                <c:pt idx="777">
                  <c:v>-178447.80000000002</c:v>
                </c:pt>
                <c:pt idx="778">
                  <c:v>-178447.80000000002</c:v>
                </c:pt>
                <c:pt idx="779">
                  <c:v>-178339.70000000004</c:v>
                </c:pt>
                <c:pt idx="780">
                  <c:v>-178499.50000000003</c:v>
                </c:pt>
                <c:pt idx="781">
                  <c:v>-178607.6</c:v>
                </c:pt>
                <c:pt idx="782">
                  <c:v>-178659.30000000002</c:v>
                </c:pt>
                <c:pt idx="783">
                  <c:v>-178807.5</c:v>
                </c:pt>
                <c:pt idx="784">
                  <c:v>-178807.5</c:v>
                </c:pt>
                <c:pt idx="785">
                  <c:v>-178807.5</c:v>
                </c:pt>
                <c:pt idx="786">
                  <c:v>-178807.5</c:v>
                </c:pt>
                <c:pt idx="787">
                  <c:v>-178807.5</c:v>
                </c:pt>
                <c:pt idx="788">
                  <c:v>-178807.5</c:v>
                </c:pt>
                <c:pt idx="789">
                  <c:v>-179239.90000000002</c:v>
                </c:pt>
                <c:pt idx="790">
                  <c:v>-178840.40000000002</c:v>
                </c:pt>
                <c:pt idx="791">
                  <c:v>-178840.40000000002</c:v>
                </c:pt>
                <c:pt idx="792">
                  <c:v>-178497.30000000002</c:v>
                </c:pt>
                <c:pt idx="793">
                  <c:v>-178497.30000000002</c:v>
                </c:pt>
                <c:pt idx="794">
                  <c:v>-178497.30000000002</c:v>
                </c:pt>
                <c:pt idx="795">
                  <c:v>-178497.30000000002</c:v>
                </c:pt>
                <c:pt idx="796">
                  <c:v>-179982.50000000003</c:v>
                </c:pt>
                <c:pt idx="797">
                  <c:v>-180414.90000000005</c:v>
                </c:pt>
                <c:pt idx="798">
                  <c:v>-180602.90000000005</c:v>
                </c:pt>
                <c:pt idx="799">
                  <c:v>-181063.50000000003</c:v>
                </c:pt>
                <c:pt idx="800">
                  <c:v>-181063.50000000003</c:v>
                </c:pt>
                <c:pt idx="801">
                  <c:v>-181063.50000000003</c:v>
                </c:pt>
                <c:pt idx="802">
                  <c:v>-181063.50000000003</c:v>
                </c:pt>
                <c:pt idx="803">
                  <c:v>-181063.50000000003</c:v>
                </c:pt>
                <c:pt idx="804">
                  <c:v>-186565.00000000006</c:v>
                </c:pt>
                <c:pt idx="805">
                  <c:v>-186565.00000000006</c:v>
                </c:pt>
                <c:pt idx="806">
                  <c:v>-186565.00000000006</c:v>
                </c:pt>
                <c:pt idx="807">
                  <c:v>-186565.00000000006</c:v>
                </c:pt>
                <c:pt idx="808">
                  <c:v>-186565.00000000006</c:v>
                </c:pt>
                <c:pt idx="809">
                  <c:v>-186565.00000000006</c:v>
                </c:pt>
                <c:pt idx="810">
                  <c:v>-186565.00000000006</c:v>
                </c:pt>
                <c:pt idx="811">
                  <c:v>-186565.00000000006</c:v>
                </c:pt>
                <c:pt idx="812">
                  <c:v>-188769.30000000005</c:v>
                </c:pt>
                <c:pt idx="813">
                  <c:v>-188769.30000000005</c:v>
                </c:pt>
                <c:pt idx="814">
                  <c:v>-188769.30000000005</c:v>
                </c:pt>
                <c:pt idx="815">
                  <c:v>-188769.30000000005</c:v>
                </c:pt>
                <c:pt idx="816">
                  <c:v>-188769.30000000005</c:v>
                </c:pt>
                <c:pt idx="817">
                  <c:v>-189004.30000000005</c:v>
                </c:pt>
                <c:pt idx="818">
                  <c:v>-188797.50000000006</c:v>
                </c:pt>
                <c:pt idx="819">
                  <c:v>-188797.50000000006</c:v>
                </c:pt>
                <c:pt idx="820">
                  <c:v>-188797.50000000006</c:v>
                </c:pt>
                <c:pt idx="821">
                  <c:v>-188327.50000000006</c:v>
                </c:pt>
                <c:pt idx="822">
                  <c:v>-188327.50000000006</c:v>
                </c:pt>
                <c:pt idx="823">
                  <c:v>-187857.50000000006</c:v>
                </c:pt>
                <c:pt idx="824">
                  <c:v>-187857.50000000006</c:v>
                </c:pt>
                <c:pt idx="825">
                  <c:v>-183160.00000000006</c:v>
                </c:pt>
                <c:pt idx="826">
                  <c:v>-183160.00000000006</c:v>
                </c:pt>
                <c:pt idx="827">
                  <c:v>-181021.50000000006</c:v>
                </c:pt>
                <c:pt idx="828">
                  <c:v>-181021.50000000006</c:v>
                </c:pt>
                <c:pt idx="829">
                  <c:v>-178619.80000000005</c:v>
                </c:pt>
                <c:pt idx="830">
                  <c:v>-178619.80000000005</c:v>
                </c:pt>
                <c:pt idx="831">
                  <c:v>-177764.40000000002</c:v>
                </c:pt>
                <c:pt idx="832">
                  <c:v>-176965.40000000005</c:v>
                </c:pt>
                <c:pt idx="833">
                  <c:v>-176965.40000000005</c:v>
                </c:pt>
                <c:pt idx="834">
                  <c:v>-176965.40000000005</c:v>
                </c:pt>
                <c:pt idx="835">
                  <c:v>-176645.80000000005</c:v>
                </c:pt>
                <c:pt idx="836">
                  <c:v>-176645.80000000005</c:v>
                </c:pt>
                <c:pt idx="837">
                  <c:v>-175574.2</c:v>
                </c:pt>
                <c:pt idx="838">
                  <c:v>-175574.2</c:v>
                </c:pt>
                <c:pt idx="839">
                  <c:v>-175574.2</c:v>
                </c:pt>
                <c:pt idx="840">
                  <c:v>-175574.2</c:v>
                </c:pt>
                <c:pt idx="841">
                  <c:v>-175574.2</c:v>
                </c:pt>
                <c:pt idx="842">
                  <c:v>-175574.2</c:v>
                </c:pt>
                <c:pt idx="843">
                  <c:v>-175574.2</c:v>
                </c:pt>
                <c:pt idx="844">
                  <c:v>-175574.2</c:v>
                </c:pt>
                <c:pt idx="845">
                  <c:v>-175574.2</c:v>
                </c:pt>
                <c:pt idx="846">
                  <c:v>-175574.2</c:v>
                </c:pt>
                <c:pt idx="847">
                  <c:v>-175842.10000000003</c:v>
                </c:pt>
                <c:pt idx="848">
                  <c:v>-175642.50000000006</c:v>
                </c:pt>
                <c:pt idx="849">
                  <c:v>-175642.50000000006</c:v>
                </c:pt>
                <c:pt idx="850">
                  <c:v>-177235.80000000008</c:v>
                </c:pt>
                <c:pt idx="851">
                  <c:v>-177235.80000000008</c:v>
                </c:pt>
                <c:pt idx="852">
                  <c:v>-176761.10000000006</c:v>
                </c:pt>
                <c:pt idx="853">
                  <c:v>-177658.80000000008</c:v>
                </c:pt>
                <c:pt idx="854">
                  <c:v>-177658.80000000008</c:v>
                </c:pt>
                <c:pt idx="855">
                  <c:v>-177658.80000000008</c:v>
                </c:pt>
                <c:pt idx="856">
                  <c:v>-177292.20000000007</c:v>
                </c:pt>
                <c:pt idx="857">
                  <c:v>-177292.20000000007</c:v>
                </c:pt>
                <c:pt idx="858">
                  <c:v>-177602.40000000008</c:v>
                </c:pt>
                <c:pt idx="859">
                  <c:v>-177602.40000000008</c:v>
                </c:pt>
                <c:pt idx="860">
                  <c:v>-176591.90000000005</c:v>
                </c:pt>
                <c:pt idx="861">
                  <c:v>-175698.90000000005</c:v>
                </c:pt>
                <c:pt idx="862">
                  <c:v>-175698.90000000005</c:v>
                </c:pt>
                <c:pt idx="863">
                  <c:v>-175698.90000000005</c:v>
                </c:pt>
                <c:pt idx="864">
                  <c:v>-175698.90000000005</c:v>
                </c:pt>
                <c:pt idx="865">
                  <c:v>-175698.90000000005</c:v>
                </c:pt>
                <c:pt idx="866">
                  <c:v>-175698.90000000005</c:v>
                </c:pt>
                <c:pt idx="867">
                  <c:v>-175698.90000000005</c:v>
                </c:pt>
                <c:pt idx="868">
                  <c:v>-175698.90000000005</c:v>
                </c:pt>
                <c:pt idx="869">
                  <c:v>-174000.00000000006</c:v>
                </c:pt>
                <c:pt idx="870">
                  <c:v>-174000.00000000006</c:v>
                </c:pt>
                <c:pt idx="871">
                  <c:v>-174000.00000000006</c:v>
                </c:pt>
                <c:pt idx="872">
                  <c:v>-174000.00000000006</c:v>
                </c:pt>
                <c:pt idx="873">
                  <c:v>-175903.50000000006</c:v>
                </c:pt>
                <c:pt idx="874">
                  <c:v>-174112.80000000005</c:v>
                </c:pt>
                <c:pt idx="875">
                  <c:v>-174531.10000000006</c:v>
                </c:pt>
                <c:pt idx="876">
                  <c:v>-175706.10000000006</c:v>
                </c:pt>
                <c:pt idx="877">
                  <c:v>-175706.10000000006</c:v>
                </c:pt>
                <c:pt idx="878">
                  <c:v>-175706.10000000006</c:v>
                </c:pt>
                <c:pt idx="879">
                  <c:v>-175706.10000000006</c:v>
                </c:pt>
                <c:pt idx="880">
                  <c:v>-175706.10000000006</c:v>
                </c:pt>
                <c:pt idx="881">
                  <c:v>-175706.10000000006</c:v>
                </c:pt>
                <c:pt idx="882">
                  <c:v>-175706.10000000006</c:v>
                </c:pt>
                <c:pt idx="883">
                  <c:v>-175706.10000000006</c:v>
                </c:pt>
                <c:pt idx="884">
                  <c:v>-175706.10000000006</c:v>
                </c:pt>
                <c:pt idx="885">
                  <c:v>-175287.80000000005</c:v>
                </c:pt>
                <c:pt idx="886">
                  <c:v>-175287.80000000005</c:v>
                </c:pt>
                <c:pt idx="887">
                  <c:v>-175287.80000000005</c:v>
                </c:pt>
                <c:pt idx="888">
                  <c:v>-175287.80000000005</c:v>
                </c:pt>
                <c:pt idx="889">
                  <c:v>-175287.80000000005</c:v>
                </c:pt>
                <c:pt idx="890">
                  <c:v>-175259.60000000003</c:v>
                </c:pt>
                <c:pt idx="891">
                  <c:v>-174120.00000000006</c:v>
                </c:pt>
                <c:pt idx="892">
                  <c:v>-174120.00000000006</c:v>
                </c:pt>
                <c:pt idx="893">
                  <c:v>-174120.00000000006</c:v>
                </c:pt>
                <c:pt idx="894">
                  <c:v>-174120.00000000006</c:v>
                </c:pt>
                <c:pt idx="895">
                  <c:v>-174120.00000000006</c:v>
                </c:pt>
                <c:pt idx="896">
                  <c:v>-175027.10000000003</c:v>
                </c:pt>
                <c:pt idx="897">
                  <c:v>-174599.40000000002</c:v>
                </c:pt>
                <c:pt idx="898">
                  <c:v>-174998.90000000002</c:v>
                </c:pt>
                <c:pt idx="899">
                  <c:v>-174627.6</c:v>
                </c:pt>
                <c:pt idx="900">
                  <c:v>-174279.80000000002</c:v>
                </c:pt>
                <c:pt idx="901">
                  <c:v>-173321</c:v>
                </c:pt>
                <c:pt idx="902">
                  <c:v>-173321</c:v>
                </c:pt>
                <c:pt idx="903">
                  <c:v>-173321</c:v>
                </c:pt>
                <c:pt idx="904">
                  <c:v>-173321</c:v>
                </c:pt>
                <c:pt idx="905">
                  <c:v>-173321</c:v>
                </c:pt>
                <c:pt idx="906">
                  <c:v>-173321</c:v>
                </c:pt>
                <c:pt idx="907">
                  <c:v>-173321</c:v>
                </c:pt>
                <c:pt idx="908">
                  <c:v>-173584.2</c:v>
                </c:pt>
                <c:pt idx="909">
                  <c:v>-173692.30000000002</c:v>
                </c:pt>
                <c:pt idx="910">
                  <c:v>-173612.40000000002</c:v>
                </c:pt>
                <c:pt idx="911">
                  <c:v>-173664.1</c:v>
                </c:pt>
                <c:pt idx="912">
                  <c:v>-173612.40000000002</c:v>
                </c:pt>
                <c:pt idx="913">
                  <c:v>-173065</c:v>
                </c:pt>
                <c:pt idx="914">
                  <c:v>-173065</c:v>
                </c:pt>
                <c:pt idx="915">
                  <c:v>-173065</c:v>
                </c:pt>
                <c:pt idx="916">
                  <c:v>-173065</c:v>
                </c:pt>
                <c:pt idx="917">
                  <c:v>-174564.3</c:v>
                </c:pt>
                <c:pt idx="918">
                  <c:v>-174564.3</c:v>
                </c:pt>
                <c:pt idx="919">
                  <c:v>-174564.3</c:v>
                </c:pt>
                <c:pt idx="920">
                  <c:v>-173328.19999999998</c:v>
                </c:pt>
                <c:pt idx="921">
                  <c:v>-173328.19999999998</c:v>
                </c:pt>
                <c:pt idx="922">
                  <c:v>-173328.19999999998</c:v>
                </c:pt>
                <c:pt idx="923">
                  <c:v>-173328.19999999998</c:v>
                </c:pt>
                <c:pt idx="924">
                  <c:v>-173328.19999999998</c:v>
                </c:pt>
                <c:pt idx="925">
                  <c:v>-172270.69999999998</c:v>
                </c:pt>
                <c:pt idx="926">
                  <c:v>-171800.69999999998</c:v>
                </c:pt>
                <c:pt idx="927">
                  <c:v>-171800.69999999998</c:v>
                </c:pt>
                <c:pt idx="928">
                  <c:v>-171800.69999999998</c:v>
                </c:pt>
                <c:pt idx="929">
                  <c:v>-171509.3</c:v>
                </c:pt>
                <c:pt idx="930">
                  <c:v>-171391.8</c:v>
                </c:pt>
                <c:pt idx="931">
                  <c:v>-170597.5</c:v>
                </c:pt>
                <c:pt idx="932">
                  <c:v>-170362.5</c:v>
                </c:pt>
                <c:pt idx="933">
                  <c:v>-170362.5</c:v>
                </c:pt>
                <c:pt idx="934">
                  <c:v>-160260</c:v>
                </c:pt>
                <c:pt idx="935">
                  <c:v>-160260</c:v>
                </c:pt>
                <c:pt idx="936">
                  <c:v>-159188.4</c:v>
                </c:pt>
                <c:pt idx="937">
                  <c:v>-154079.5</c:v>
                </c:pt>
                <c:pt idx="938">
                  <c:v>-154079.5</c:v>
                </c:pt>
                <c:pt idx="939">
                  <c:v>-154079.5</c:v>
                </c:pt>
                <c:pt idx="940">
                  <c:v>-151470.99999999997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68C-43A1-80E4-4B0FEF6A888C}"/>
            </c:ext>
          </c:extLst>
        </c:ser>
        <c:ser>
          <c:idx val="2"/>
          <c:order val="1"/>
          <c:tx>
            <c:strRef>
              <c:f>Data!$K$11</c:f>
              <c:strCache>
                <c:ptCount val="1"/>
                <c:pt idx="0">
                  <c:v>Short Polypropylene Futures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941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41281</c:v>
                </c:pt>
                <c:pt idx="5">
                  <c:v>41282</c:v>
                </c:pt>
                <c:pt idx="6">
                  <c:v>41283</c:v>
                </c:pt>
                <c:pt idx="7">
                  <c:v>41284</c:v>
                </c:pt>
                <c:pt idx="8">
                  <c:v>41285</c:v>
                </c:pt>
                <c:pt idx="9">
                  <c:v>41288</c:v>
                </c:pt>
                <c:pt idx="10">
                  <c:v>41289</c:v>
                </c:pt>
                <c:pt idx="11">
                  <c:v>41290</c:v>
                </c:pt>
                <c:pt idx="12">
                  <c:v>41291</c:v>
                </c:pt>
                <c:pt idx="13">
                  <c:v>41292</c:v>
                </c:pt>
                <c:pt idx="14">
                  <c:v>41295</c:v>
                </c:pt>
                <c:pt idx="15">
                  <c:v>41296</c:v>
                </c:pt>
                <c:pt idx="16">
                  <c:v>41297</c:v>
                </c:pt>
                <c:pt idx="17">
                  <c:v>41298</c:v>
                </c:pt>
                <c:pt idx="18">
                  <c:v>41299</c:v>
                </c:pt>
                <c:pt idx="19">
                  <c:v>41302</c:v>
                </c:pt>
                <c:pt idx="20">
                  <c:v>41303</c:v>
                </c:pt>
                <c:pt idx="21">
                  <c:v>41304</c:v>
                </c:pt>
                <c:pt idx="22">
                  <c:v>41305</c:v>
                </c:pt>
                <c:pt idx="23">
                  <c:v>41306</c:v>
                </c:pt>
                <c:pt idx="24">
                  <c:v>41309</c:v>
                </c:pt>
                <c:pt idx="25">
                  <c:v>41310</c:v>
                </c:pt>
                <c:pt idx="26">
                  <c:v>41311</c:v>
                </c:pt>
                <c:pt idx="27">
                  <c:v>41312</c:v>
                </c:pt>
                <c:pt idx="28">
                  <c:v>41313</c:v>
                </c:pt>
                <c:pt idx="29">
                  <c:v>41316</c:v>
                </c:pt>
                <c:pt idx="30">
                  <c:v>41317</c:v>
                </c:pt>
                <c:pt idx="31">
                  <c:v>41318</c:v>
                </c:pt>
                <c:pt idx="32">
                  <c:v>41319</c:v>
                </c:pt>
                <c:pt idx="33">
                  <c:v>41320</c:v>
                </c:pt>
                <c:pt idx="34">
                  <c:v>41323</c:v>
                </c:pt>
                <c:pt idx="35">
                  <c:v>41324</c:v>
                </c:pt>
                <c:pt idx="36">
                  <c:v>41325</c:v>
                </c:pt>
                <c:pt idx="37">
                  <c:v>41326</c:v>
                </c:pt>
                <c:pt idx="38">
                  <c:v>41327</c:v>
                </c:pt>
                <c:pt idx="39">
                  <c:v>41330</c:v>
                </c:pt>
                <c:pt idx="40">
                  <c:v>41331</c:v>
                </c:pt>
                <c:pt idx="41">
                  <c:v>41332</c:v>
                </c:pt>
                <c:pt idx="42">
                  <c:v>41333</c:v>
                </c:pt>
                <c:pt idx="43">
                  <c:v>41334</c:v>
                </c:pt>
                <c:pt idx="44">
                  <c:v>41337</c:v>
                </c:pt>
                <c:pt idx="45">
                  <c:v>41338</c:v>
                </c:pt>
                <c:pt idx="46">
                  <c:v>41339</c:v>
                </c:pt>
                <c:pt idx="47">
                  <c:v>41340</c:v>
                </c:pt>
                <c:pt idx="48">
                  <c:v>41341</c:v>
                </c:pt>
                <c:pt idx="49">
                  <c:v>41344</c:v>
                </c:pt>
                <c:pt idx="50">
                  <c:v>41345</c:v>
                </c:pt>
                <c:pt idx="51">
                  <c:v>41346</c:v>
                </c:pt>
                <c:pt idx="52">
                  <c:v>41347</c:v>
                </c:pt>
                <c:pt idx="53">
                  <c:v>41348</c:v>
                </c:pt>
                <c:pt idx="54">
                  <c:v>41351</c:v>
                </c:pt>
                <c:pt idx="55">
                  <c:v>41352</c:v>
                </c:pt>
                <c:pt idx="56">
                  <c:v>41353</c:v>
                </c:pt>
                <c:pt idx="57">
                  <c:v>41354</c:v>
                </c:pt>
                <c:pt idx="58">
                  <c:v>41355</c:v>
                </c:pt>
                <c:pt idx="59">
                  <c:v>41358</c:v>
                </c:pt>
                <c:pt idx="60">
                  <c:v>41359</c:v>
                </c:pt>
                <c:pt idx="61">
                  <c:v>41360</c:v>
                </c:pt>
                <c:pt idx="62">
                  <c:v>41361</c:v>
                </c:pt>
                <c:pt idx="63">
                  <c:v>41362</c:v>
                </c:pt>
                <c:pt idx="64">
                  <c:v>41365</c:v>
                </c:pt>
                <c:pt idx="65">
                  <c:v>41366</c:v>
                </c:pt>
                <c:pt idx="66">
                  <c:v>41367</c:v>
                </c:pt>
                <c:pt idx="67">
                  <c:v>41368</c:v>
                </c:pt>
                <c:pt idx="68">
                  <c:v>41369</c:v>
                </c:pt>
                <c:pt idx="69">
                  <c:v>41372</c:v>
                </c:pt>
                <c:pt idx="70">
                  <c:v>41373</c:v>
                </c:pt>
                <c:pt idx="71">
                  <c:v>41374</c:v>
                </c:pt>
                <c:pt idx="72">
                  <c:v>41375</c:v>
                </c:pt>
                <c:pt idx="73">
                  <c:v>41376</c:v>
                </c:pt>
                <c:pt idx="74">
                  <c:v>41379</c:v>
                </c:pt>
                <c:pt idx="75">
                  <c:v>41380</c:v>
                </c:pt>
                <c:pt idx="76">
                  <c:v>41381</c:v>
                </c:pt>
                <c:pt idx="77">
                  <c:v>41382</c:v>
                </c:pt>
                <c:pt idx="78">
                  <c:v>41383</c:v>
                </c:pt>
                <c:pt idx="79">
                  <c:v>41386</c:v>
                </c:pt>
                <c:pt idx="80">
                  <c:v>41387</c:v>
                </c:pt>
                <c:pt idx="81">
                  <c:v>41388</c:v>
                </c:pt>
                <c:pt idx="82">
                  <c:v>41389</c:v>
                </c:pt>
                <c:pt idx="83">
                  <c:v>41390</c:v>
                </c:pt>
                <c:pt idx="84">
                  <c:v>41393</c:v>
                </c:pt>
                <c:pt idx="85">
                  <c:v>41394</c:v>
                </c:pt>
                <c:pt idx="86">
                  <c:v>41395</c:v>
                </c:pt>
                <c:pt idx="87">
                  <c:v>41396</c:v>
                </c:pt>
                <c:pt idx="88">
                  <c:v>41397</c:v>
                </c:pt>
                <c:pt idx="89">
                  <c:v>41400</c:v>
                </c:pt>
                <c:pt idx="90">
                  <c:v>41401</c:v>
                </c:pt>
                <c:pt idx="91">
                  <c:v>41402</c:v>
                </c:pt>
                <c:pt idx="92">
                  <c:v>41403</c:v>
                </c:pt>
                <c:pt idx="93">
                  <c:v>41404</c:v>
                </c:pt>
                <c:pt idx="94">
                  <c:v>41407</c:v>
                </c:pt>
                <c:pt idx="95">
                  <c:v>41408</c:v>
                </c:pt>
                <c:pt idx="96">
                  <c:v>41409</c:v>
                </c:pt>
                <c:pt idx="97">
                  <c:v>41410</c:v>
                </c:pt>
                <c:pt idx="98">
                  <c:v>41411</c:v>
                </c:pt>
                <c:pt idx="99">
                  <c:v>41414</c:v>
                </c:pt>
                <c:pt idx="100">
                  <c:v>41415</c:v>
                </c:pt>
                <c:pt idx="101">
                  <c:v>41416</c:v>
                </c:pt>
                <c:pt idx="102">
                  <c:v>41417</c:v>
                </c:pt>
                <c:pt idx="103">
                  <c:v>41418</c:v>
                </c:pt>
                <c:pt idx="104">
                  <c:v>41421</c:v>
                </c:pt>
                <c:pt idx="105">
                  <c:v>41422</c:v>
                </c:pt>
                <c:pt idx="106">
                  <c:v>41423</c:v>
                </c:pt>
                <c:pt idx="107">
                  <c:v>41424</c:v>
                </c:pt>
                <c:pt idx="108">
                  <c:v>41425</c:v>
                </c:pt>
                <c:pt idx="109">
                  <c:v>41428</c:v>
                </c:pt>
                <c:pt idx="110">
                  <c:v>41429</c:v>
                </c:pt>
                <c:pt idx="111">
                  <c:v>41430</c:v>
                </c:pt>
                <c:pt idx="112">
                  <c:v>41431</c:v>
                </c:pt>
                <c:pt idx="113">
                  <c:v>41432</c:v>
                </c:pt>
                <c:pt idx="114">
                  <c:v>41435</c:v>
                </c:pt>
                <c:pt idx="115">
                  <c:v>41436</c:v>
                </c:pt>
                <c:pt idx="116">
                  <c:v>41437</c:v>
                </c:pt>
                <c:pt idx="117">
                  <c:v>41438</c:v>
                </c:pt>
                <c:pt idx="118">
                  <c:v>41439</c:v>
                </c:pt>
                <c:pt idx="119">
                  <c:v>41442</c:v>
                </c:pt>
                <c:pt idx="120">
                  <c:v>41443</c:v>
                </c:pt>
                <c:pt idx="121">
                  <c:v>41444</c:v>
                </c:pt>
                <c:pt idx="122">
                  <c:v>41445</c:v>
                </c:pt>
                <c:pt idx="123">
                  <c:v>41446</c:v>
                </c:pt>
                <c:pt idx="124">
                  <c:v>41449</c:v>
                </c:pt>
                <c:pt idx="125">
                  <c:v>41450</c:v>
                </c:pt>
                <c:pt idx="126">
                  <c:v>41451</c:v>
                </c:pt>
                <c:pt idx="127">
                  <c:v>41452</c:v>
                </c:pt>
                <c:pt idx="128">
                  <c:v>41453</c:v>
                </c:pt>
                <c:pt idx="129">
                  <c:v>41456</c:v>
                </c:pt>
                <c:pt idx="130">
                  <c:v>41457</c:v>
                </c:pt>
                <c:pt idx="131">
                  <c:v>41458</c:v>
                </c:pt>
                <c:pt idx="132">
                  <c:v>41459</c:v>
                </c:pt>
                <c:pt idx="133">
                  <c:v>41460</c:v>
                </c:pt>
                <c:pt idx="134">
                  <c:v>41463</c:v>
                </c:pt>
                <c:pt idx="135">
                  <c:v>41464</c:v>
                </c:pt>
                <c:pt idx="136">
                  <c:v>41465</c:v>
                </c:pt>
                <c:pt idx="137">
                  <c:v>41466</c:v>
                </c:pt>
                <c:pt idx="138">
                  <c:v>41467</c:v>
                </c:pt>
                <c:pt idx="139">
                  <c:v>41470</c:v>
                </c:pt>
                <c:pt idx="140">
                  <c:v>41471</c:v>
                </c:pt>
                <c:pt idx="141">
                  <c:v>41472</c:v>
                </c:pt>
                <c:pt idx="142">
                  <c:v>41473</c:v>
                </c:pt>
                <c:pt idx="143">
                  <c:v>41474</c:v>
                </c:pt>
                <c:pt idx="144">
                  <c:v>41477</c:v>
                </c:pt>
                <c:pt idx="145">
                  <c:v>41478</c:v>
                </c:pt>
                <c:pt idx="146">
                  <c:v>41479</c:v>
                </c:pt>
                <c:pt idx="147">
                  <c:v>41480</c:v>
                </c:pt>
                <c:pt idx="148">
                  <c:v>41481</c:v>
                </c:pt>
                <c:pt idx="149">
                  <c:v>41484</c:v>
                </c:pt>
                <c:pt idx="150">
                  <c:v>41485</c:v>
                </c:pt>
                <c:pt idx="151">
                  <c:v>41486</c:v>
                </c:pt>
                <c:pt idx="152">
                  <c:v>41487</c:v>
                </c:pt>
                <c:pt idx="153">
                  <c:v>41488</c:v>
                </c:pt>
                <c:pt idx="154">
                  <c:v>41491</c:v>
                </c:pt>
                <c:pt idx="155">
                  <c:v>41492</c:v>
                </c:pt>
                <c:pt idx="156">
                  <c:v>41493</c:v>
                </c:pt>
                <c:pt idx="157">
                  <c:v>41494</c:v>
                </c:pt>
                <c:pt idx="158">
                  <c:v>41495</c:v>
                </c:pt>
                <c:pt idx="159">
                  <c:v>41498</c:v>
                </c:pt>
                <c:pt idx="160">
                  <c:v>41499</c:v>
                </c:pt>
                <c:pt idx="161">
                  <c:v>41500</c:v>
                </c:pt>
                <c:pt idx="162">
                  <c:v>41501</c:v>
                </c:pt>
                <c:pt idx="163">
                  <c:v>41502</c:v>
                </c:pt>
                <c:pt idx="164">
                  <c:v>41505</c:v>
                </c:pt>
                <c:pt idx="165">
                  <c:v>41506</c:v>
                </c:pt>
                <c:pt idx="166">
                  <c:v>41507</c:v>
                </c:pt>
                <c:pt idx="167">
                  <c:v>41508</c:v>
                </c:pt>
                <c:pt idx="168">
                  <c:v>41509</c:v>
                </c:pt>
                <c:pt idx="169">
                  <c:v>41512</c:v>
                </c:pt>
                <c:pt idx="170">
                  <c:v>41513</c:v>
                </c:pt>
                <c:pt idx="171">
                  <c:v>41514</c:v>
                </c:pt>
                <c:pt idx="172">
                  <c:v>41515</c:v>
                </c:pt>
                <c:pt idx="173">
                  <c:v>41516</c:v>
                </c:pt>
                <c:pt idx="174">
                  <c:v>41519</c:v>
                </c:pt>
                <c:pt idx="175">
                  <c:v>41520</c:v>
                </c:pt>
                <c:pt idx="176">
                  <c:v>41521</c:v>
                </c:pt>
                <c:pt idx="177">
                  <c:v>41522</c:v>
                </c:pt>
                <c:pt idx="178">
                  <c:v>41523</c:v>
                </c:pt>
                <c:pt idx="179">
                  <c:v>41526</c:v>
                </c:pt>
                <c:pt idx="180">
                  <c:v>41527</c:v>
                </c:pt>
                <c:pt idx="181">
                  <c:v>41528</c:v>
                </c:pt>
                <c:pt idx="182">
                  <c:v>41529</c:v>
                </c:pt>
                <c:pt idx="183">
                  <c:v>41530</c:v>
                </c:pt>
                <c:pt idx="184">
                  <c:v>41533</c:v>
                </c:pt>
                <c:pt idx="185">
                  <c:v>41534</c:v>
                </c:pt>
                <c:pt idx="186">
                  <c:v>41535</c:v>
                </c:pt>
                <c:pt idx="187">
                  <c:v>41536</c:v>
                </c:pt>
                <c:pt idx="188">
                  <c:v>41537</c:v>
                </c:pt>
                <c:pt idx="189">
                  <c:v>41540</c:v>
                </c:pt>
                <c:pt idx="190">
                  <c:v>41541</c:v>
                </c:pt>
                <c:pt idx="191">
                  <c:v>41542</c:v>
                </c:pt>
                <c:pt idx="192">
                  <c:v>41543</c:v>
                </c:pt>
                <c:pt idx="193">
                  <c:v>41544</c:v>
                </c:pt>
                <c:pt idx="194">
                  <c:v>41547</c:v>
                </c:pt>
                <c:pt idx="195">
                  <c:v>41548</c:v>
                </c:pt>
                <c:pt idx="196">
                  <c:v>41549</c:v>
                </c:pt>
                <c:pt idx="197">
                  <c:v>41550</c:v>
                </c:pt>
                <c:pt idx="198">
                  <c:v>41551</c:v>
                </c:pt>
                <c:pt idx="199">
                  <c:v>41554</c:v>
                </c:pt>
                <c:pt idx="200">
                  <c:v>41555</c:v>
                </c:pt>
                <c:pt idx="201">
                  <c:v>41556</c:v>
                </c:pt>
                <c:pt idx="202">
                  <c:v>41557</c:v>
                </c:pt>
                <c:pt idx="203">
                  <c:v>41558</c:v>
                </c:pt>
                <c:pt idx="204">
                  <c:v>41561</c:v>
                </c:pt>
                <c:pt idx="205">
                  <c:v>41562</c:v>
                </c:pt>
                <c:pt idx="206">
                  <c:v>41563</c:v>
                </c:pt>
                <c:pt idx="207">
                  <c:v>41564</c:v>
                </c:pt>
                <c:pt idx="208">
                  <c:v>41565</c:v>
                </c:pt>
                <c:pt idx="209">
                  <c:v>41568</c:v>
                </c:pt>
                <c:pt idx="210">
                  <c:v>41569</c:v>
                </c:pt>
                <c:pt idx="211">
                  <c:v>41570</c:v>
                </c:pt>
                <c:pt idx="212">
                  <c:v>41571</c:v>
                </c:pt>
                <c:pt idx="213">
                  <c:v>41572</c:v>
                </c:pt>
                <c:pt idx="214">
                  <c:v>41575</c:v>
                </c:pt>
                <c:pt idx="215">
                  <c:v>41576</c:v>
                </c:pt>
                <c:pt idx="216">
                  <c:v>41577</c:v>
                </c:pt>
                <c:pt idx="217">
                  <c:v>41578</c:v>
                </c:pt>
                <c:pt idx="218">
                  <c:v>41579</c:v>
                </c:pt>
                <c:pt idx="219">
                  <c:v>41582</c:v>
                </c:pt>
                <c:pt idx="220">
                  <c:v>41583</c:v>
                </c:pt>
                <c:pt idx="221">
                  <c:v>41584</c:v>
                </c:pt>
                <c:pt idx="222">
                  <c:v>41585</c:v>
                </c:pt>
                <c:pt idx="223">
                  <c:v>41586</c:v>
                </c:pt>
                <c:pt idx="224">
                  <c:v>41589</c:v>
                </c:pt>
                <c:pt idx="225">
                  <c:v>41590</c:v>
                </c:pt>
                <c:pt idx="226">
                  <c:v>41591</c:v>
                </c:pt>
                <c:pt idx="227">
                  <c:v>41592</c:v>
                </c:pt>
                <c:pt idx="228">
                  <c:v>41593</c:v>
                </c:pt>
                <c:pt idx="229">
                  <c:v>41596</c:v>
                </c:pt>
                <c:pt idx="230">
                  <c:v>41597</c:v>
                </c:pt>
                <c:pt idx="231">
                  <c:v>41598</c:v>
                </c:pt>
                <c:pt idx="232">
                  <c:v>41599</c:v>
                </c:pt>
                <c:pt idx="233">
                  <c:v>41600</c:v>
                </c:pt>
                <c:pt idx="234">
                  <c:v>41603</c:v>
                </c:pt>
                <c:pt idx="235">
                  <c:v>41604</c:v>
                </c:pt>
                <c:pt idx="236">
                  <c:v>41605</c:v>
                </c:pt>
                <c:pt idx="237">
                  <c:v>41606</c:v>
                </c:pt>
                <c:pt idx="238">
                  <c:v>41607</c:v>
                </c:pt>
                <c:pt idx="239">
                  <c:v>41610</c:v>
                </c:pt>
                <c:pt idx="240">
                  <c:v>41611</c:v>
                </c:pt>
                <c:pt idx="241">
                  <c:v>41612</c:v>
                </c:pt>
                <c:pt idx="242">
                  <c:v>41613</c:v>
                </c:pt>
                <c:pt idx="243">
                  <c:v>41614</c:v>
                </c:pt>
                <c:pt idx="244">
                  <c:v>41617</c:v>
                </c:pt>
                <c:pt idx="245">
                  <c:v>41618</c:v>
                </c:pt>
                <c:pt idx="246">
                  <c:v>41619</c:v>
                </c:pt>
                <c:pt idx="247">
                  <c:v>41620</c:v>
                </c:pt>
                <c:pt idx="248">
                  <c:v>41621</c:v>
                </c:pt>
                <c:pt idx="249">
                  <c:v>41624</c:v>
                </c:pt>
                <c:pt idx="250">
                  <c:v>41625</c:v>
                </c:pt>
                <c:pt idx="251">
                  <c:v>41626</c:v>
                </c:pt>
                <c:pt idx="252">
                  <c:v>41627</c:v>
                </c:pt>
                <c:pt idx="253">
                  <c:v>41628</c:v>
                </c:pt>
                <c:pt idx="254">
                  <c:v>41631</c:v>
                </c:pt>
                <c:pt idx="255">
                  <c:v>41632</c:v>
                </c:pt>
                <c:pt idx="256">
                  <c:v>41633</c:v>
                </c:pt>
                <c:pt idx="257">
                  <c:v>41634</c:v>
                </c:pt>
                <c:pt idx="258">
                  <c:v>41635</c:v>
                </c:pt>
                <c:pt idx="259">
                  <c:v>41638</c:v>
                </c:pt>
                <c:pt idx="260">
                  <c:v>41639</c:v>
                </c:pt>
                <c:pt idx="261">
                  <c:v>41640</c:v>
                </c:pt>
                <c:pt idx="262">
                  <c:v>41641</c:v>
                </c:pt>
                <c:pt idx="263">
                  <c:v>41642</c:v>
                </c:pt>
                <c:pt idx="264">
                  <c:v>41645</c:v>
                </c:pt>
                <c:pt idx="265">
                  <c:v>41646</c:v>
                </c:pt>
                <c:pt idx="266">
                  <c:v>41647</c:v>
                </c:pt>
                <c:pt idx="267">
                  <c:v>41648</c:v>
                </c:pt>
                <c:pt idx="268">
                  <c:v>41649</c:v>
                </c:pt>
                <c:pt idx="269">
                  <c:v>41652</c:v>
                </c:pt>
                <c:pt idx="270">
                  <c:v>41653</c:v>
                </c:pt>
                <c:pt idx="271">
                  <c:v>41654</c:v>
                </c:pt>
                <c:pt idx="272">
                  <c:v>41655</c:v>
                </c:pt>
                <c:pt idx="273">
                  <c:v>41656</c:v>
                </c:pt>
                <c:pt idx="274">
                  <c:v>41659</c:v>
                </c:pt>
                <c:pt idx="275">
                  <c:v>41660</c:v>
                </c:pt>
                <c:pt idx="276">
                  <c:v>41661</c:v>
                </c:pt>
                <c:pt idx="277">
                  <c:v>41662</c:v>
                </c:pt>
                <c:pt idx="278">
                  <c:v>41663</c:v>
                </c:pt>
                <c:pt idx="279">
                  <c:v>41666</c:v>
                </c:pt>
                <c:pt idx="280">
                  <c:v>41667</c:v>
                </c:pt>
                <c:pt idx="281">
                  <c:v>41668</c:v>
                </c:pt>
                <c:pt idx="282">
                  <c:v>41669</c:v>
                </c:pt>
                <c:pt idx="283">
                  <c:v>41670</c:v>
                </c:pt>
                <c:pt idx="284">
                  <c:v>41673</c:v>
                </c:pt>
                <c:pt idx="285">
                  <c:v>41674</c:v>
                </c:pt>
                <c:pt idx="286">
                  <c:v>41675</c:v>
                </c:pt>
                <c:pt idx="287">
                  <c:v>41676</c:v>
                </c:pt>
                <c:pt idx="288">
                  <c:v>41677</c:v>
                </c:pt>
                <c:pt idx="289">
                  <c:v>41680</c:v>
                </c:pt>
                <c:pt idx="290">
                  <c:v>41681</c:v>
                </c:pt>
                <c:pt idx="291">
                  <c:v>41682</c:v>
                </c:pt>
                <c:pt idx="292">
                  <c:v>41683</c:v>
                </c:pt>
                <c:pt idx="293">
                  <c:v>41684</c:v>
                </c:pt>
                <c:pt idx="294">
                  <c:v>41687</c:v>
                </c:pt>
                <c:pt idx="295">
                  <c:v>41688</c:v>
                </c:pt>
                <c:pt idx="296">
                  <c:v>41689</c:v>
                </c:pt>
                <c:pt idx="297">
                  <c:v>41690</c:v>
                </c:pt>
                <c:pt idx="298">
                  <c:v>41691</c:v>
                </c:pt>
                <c:pt idx="299">
                  <c:v>41694</c:v>
                </c:pt>
                <c:pt idx="300">
                  <c:v>41695</c:v>
                </c:pt>
                <c:pt idx="301">
                  <c:v>41696</c:v>
                </c:pt>
                <c:pt idx="302">
                  <c:v>41697</c:v>
                </c:pt>
                <c:pt idx="303">
                  <c:v>41698</c:v>
                </c:pt>
                <c:pt idx="304">
                  <c:v>41701</c:v>
                </c:pt>
                <c:pt idx="305">
                  <c:v>41702</c:v>
                </c:pt>
                <c:pt idx="306">
                  <c:v>41703</c:v>
                </c:pt>
                <c:pt idx="307">
                  <c:v>41704</c:v>
                </c:pt>
                <c:pt idx="308">
                  <c:v>41705</c:v>
                </c:pt>
                <c:pt idx="309">
                  <c:v>41708</c:v>
                </c:pt>
                <c:pt idx="310">
                  <c:v>41709</c:v>
                </c:pt>
                <c:pt idx="311">
                  <c:v>41710</c:v>
                </c:pt>
                <c:pt idx="312">
                  <c:v>41711</c:v>
                </c:pt>
                <c:pt idx="313">
                  <c:v>41712</c:v>
                </c:pt>
                <c:pt idx="314">
                  <c:v>41715</c:v>
                </c:pt>
                <c:pt idx="315">
                  <c:v>41716</c:v>
                </c:pt>
                <c:pt idx="316">
                  <c:v>41717</c:v>
                </c:pt>
                <c:pt idx="317">
                  <c:v>41718</c:v>
                </c:pt>
                <c:pt idx="318">
                  <c:v>41719</c:v>
                </c:pt>
                <c:pt idx="319">
                  <c:v>41722</c:v>
                </c:pt>
                <c:pt idx="320">
                  <c:v>41723</c:v>
                </c:pt>
                <c:pt idx="321">
                  <c:v>41724</c:v>
                </c:pt>
                <c:pt idx="322">
                  <c:v>41725</c:v>
                </c:pt>
                <c:pt idx="323">
                  <c:v>41726</c:v>
                </c:pt>
                <c:pt idx="324">
                  <c:v>41729</c:v>
                </c:pt>
                <c:pt idx="325">
                  <c:v>41730</c:v>
                </c:pt>
                <c:pt idx="326">
                  <c:v>41731</c:v>
                </c:pt>
                <c:pt idx="327">
                  <c:v>41732</c:v>
                </c:pt>
                <c:pt idx="328">
                  <c:v>41733</c:v>
                </c:pt>
                <c:pt idx="329">
                  <c:v>41736</c:v>
                </c:pt>
                <c:pt idx="330">
                  <c:v>41737</c:v>
                </c:pt>
                <c:pt idx="331">
                  <c:v>41738</c:v>
                </c:pt>
                <c:pt idx="332">
                  <c:v>41739</c:v>
                </c:pt>
                <c:pt idx="333">
                  <c:v>41740</c:v>
                </c:pt>
                <c:pt idx="334">
                  <c:v>41743</c:v>
                </c:pt>
                <c:pt idx="335">
                  <c:v>41744</c:v>
                </c:pt>
                <c:pt idx="336">
                  <c:v>41745</c:v>
                </c:pt>
                <c:pt idx="337">
                  <c:v>41746</c:v>
                </c:pt>
                <c:pt idx="338">
                  <c:v>41747</c:v>
                </c:pt>
                <c:pt idx="339">
                  <c:v>41750</c:v>
                </c:pt>
                <c:pt idx="340">
                  <c:v>41751</c:v>
                </c:pt>
                <c:pt idx="341">
                  <c:v>41752</c:v>
                </c:pt>
                <c:pt idx="342">
                  <c:v>41753</c:v>
                </c:pt>
                <c:pt idx="343">
                  <c:v>41754</c:v>
                </c:pt>
                <c:pt idx="344">
                  <c:v>41757</c:v>
                </c:pt>
                <c:pt idx="345">
                  <c:v>41758</c:v>
                </c:pt>
                <c:pt idx="346">
                  <c:v>41759</c:v>
                </c:pt>
                <c:pt idx="347">
                  <c:v>41760</c:v>
                </c:pt>
                <c:pt idx="348">
                  <c:v>41761</c:v>
                </c:pt>
                <c:pt idx="349">
                  <c:v>41764</c:v>
                </c:pt>
                <c:pt idx="350">
                  <c:v>41765</c:v>
                </c:pt>
                <c:pt idx="351">
                  <c:v>41766</c:v>
                </c:pt>
                <c:pt idx="352">
                  <c:v>41767</c:v>
                </c:pt>
                <c:pt idx="353">
                  <c:v>41768</c:v>
                </c:pt>
                <c:pt idx="354">
                  <c:v>41771</c:v>
                </c:pt>
                <c:pt idx="355">
                  <c:v>41772</c:v>
                </c:pt>
                <c:pt idx="356">
                  <c:v>41773</c:v>
                </c:pt>
                <c:pt idx="357">
                  <c:v>41774</c:v>
                </c:pt>
                <c:pt idx="358">
                  <c:v>41775</c:v>
                </c:pt>
                <c:pt idx="359">
                  <c:v>41778</c:v>
                </c:pt>
                <c:pt idx="360">
                  <c:v>41779</c:v>
                </c:pt>
                <c:pt idx="361">
                  <c:v>41780</c:v>
                </c:pt>
                <c:pt idx="362">
                  <c:v>41781</c:v>
                </c:pt>
                <c:pt idx="363">
                  <c:v>41782</c:v>
                </c:pt>
                <c:pt idx="364">
                  <c:v>41785</c:v>
                </c:pt>
                <c:pt idx="365">
                  <c:v>41786</c:v>
                </c:pt>
                <c:pt idx="366">
                  <c:v>41787</c:v>
                </c:pt>
                <c:pt idx="367">
                  <c:v>41788</c:v>
                </c:pt>
                <c:pt idx="368">
                  <c:v>41789</c:v>
                </c:pt>
                <c:pt idx="369">
                  <c:v>41792</c:v>
                </c:pt>
                <c:pt idx="370">
                  <c:v>41793</c:v>
                </c:pt>
                <c:pt idx="371">
                  <c:v>41794</c:v>
                </c:pt>
                <c:pt idx="372">
                  <c:v>41795</c:v>
                </c:pt>
                <c:pt idx="373">
                  <c:v>41796</c:v>
                </c:pt>
                <c:pt idx="374">
                  <c:v>41799</c:v>
                </c:pt>
                <c:pt idx="375">
                  <c:v>41800</c:v>
                </c:pt>
                <c:pt idx="376">
                  <c:v>41801</c:v>
                </c:pt>
                <c:pt idx="377">
                  <c:v>41802</c:v>
                </c:pt>
                <c:pt idx="378">
                  <c:v>41803</c:v>
                </c:pt>
                <c:pt idx="379">
                  <c:v>41806</c:v>
                </c:pt>
                <c:pt idx="380">
                  <c:v>41807</c:v>
                </c:pt>
                <c:pt idx="381">
                  <c:v>41808</c:v>
                </c:pt>
                <c:pt idx="382">
                  <c:v>41809</c:v>
                </c:pt>
                <c:pt idx="383">
                  <c:v>41810</c:v>
                </c:pt>
                <c:pt idx="384">
                  <c:v>41813</c:v>
                </c:pt>
                <c:pt idx="385">
                  <c:v>41814</c:v>
                </c:pt>
                <c:pt idx="386">
                  <c:v>41815</c:v>
                </c:pt>
                <c:pt idx="387">
                  <c:v>41816</c:v>
                </c:pt>
                <c:pt idx="388">
                  <c:v>41817</c:v>
                </c:pt>
                <c:pt idx="389">
                  <c:v>41820</c:v>
                </c:pt>
                <c:pt idx="390">
                  <c:v>41821</c:v>
                </c:pt>
                <c:pt idx="391">
                  <c:v>41822</c:v>
                </c:pt>
                <c:pt idx="392">
                  <c:v>41823</c:v>
                </c:pt>
                <c:pt idx="393">
                  <c:v>41824</c:v>
                </c:pt>
                <c:pt idx="394">
                  <c:v>41827</c:v>
                </c:pt>
                <c:pt idx="395">
                  <c:v>41828</c:v>
                </c:pt>
                <c:pt idx="396">
                  <c:v>41829</c:v>
                </c:pt>
                <c:pt idx="397">
                  <c:v>41830</c:v>
                </c:pt>
                <c:pt idx="398">
                  <c:v>41831</c:v>
                </c:pt>
                <c:pt idx="399">
                  <c:v>41834</c:v>
                </c:pt>
                <c:pt idx="400">
                  <c:v>41835</c:v>
                </c:pt>
                <c:pt idx="401">
                  <c:v>41836</c:v>
                </c:pt>
                <c:pt idx="402">
                  <c:v>41837</c:v>
                </c:pt>
                <c:pt idx="403">
                  <c:v>41838</c:v>
                </c:pt>
                <c:pt idx="404">
                  <c:v>41841</c:v>
                </c:pt>
                <c:pt idx="405">
                  <c:v>41842</c:v>
                </c:pt>
                <c:pt idx="406">
                  <c:v>41843</c:v>
                </c:pt>
                <c:pt idx="407">
                  <c:v>41844</c:v>
                </c:pt>
                <c:pt idx="408">
                  <c:v>41845</c:v>
                </c:pt>
                <c:pt idx="409">
                  <c:v>41848</c:v>
                </c:pt>
                <c:pt idx="410">
                  <c:v>41849</c:v>
                </c:pt>
                <c:pt idx="411">
                  <c:v>41850</c:v>
                </c:pt>
                <c:pt idx="412">
                  <c:v>41851</c:v>
                </c:pt>
                <c:pt idx="413">
                  <c:v>41852</c:v>
                </c:pt>
                <c:pt idx="414">
                  <c:v>41855</c:v>
                </c:pt>
                <c:pt idx="415">
                  <c:v>41856</c:v>
                </c:pt>
                <c:pt idx="416">
                  <c:v>41857</c:v>
                </c:pt>
                <c:pt idx="417">
                  <c:v>41858</c:v>
                </c:pt>
                <c:pt idx="418">
                  <c:v>41859</c:v>
                </c:pt>
                <c:pt idx="419">
                  <c:v>41862</c:v>
                </c:pt>
                <c:pt idx="420">
                  <c:v>41863</c:v>
                </c:pt>
                <c:pt idx="421">
                  <c:v>41864</c:v>
                </c:pt>
                <c:pt idx="422">
                  <c:v>41865</c:v>
                </c:pt>
                <c:pt idx="423">
                  <c:v>41866</c:v>
                </c:pt>
                <c:pt idx="424">
                  <c:v>41869</c:v>
                </c:pt>
                <c:pt idx="425">
                  <c:v>41870</c:v>
                </c:pt>
                <c:pt idx="426">
                  <c:v>41871</c:v>
                </c:pt>
                <c:pt idx="427">
                  <c:v>41872</c:v>
                </c:pt>
                <c:pt idx="428">
                  <c:v>41873</c:v>
                </c:pt>
                <c:pt idx="429">
                  <c:v>41876</c:v>
                </c:pt>
                <c:pt idx="430">
                  <c:v>41877</c:v>
                </c:pt>
                <c:pt idx="431">
                  <c:v>41878</c:v>
                </c:pt>
                <c:pt idx="432">
                  <c:v>41879</c:v>
                </c:pt>
                <c:pt idx="433">
                  <c:v>41880</c:v>
                </c:pt>
                <c:pt idx="434">
                  <c:v>41883</c:v>
                </c:pt>
                <c:pt idx="435">
                  <c:v>41884</c:v>
                </c:pt>
                <c:pt idx="436">
                  <c:v>41885</c:v>
                </c:pt>
                <c:pt idx="437">
                  <c:v>41886</c:v>
                </c:pt>
                <c:pt idx="438">
                  <c:v>41887</c:v>
                </c:pt>
                <c:pt idx="439">
                  <c:v>41890</c:v>
                </c:pt>
                <c:pt idx="440">
                  <c:v>41891</c:v>
                </c:pt>
                <c:pt idx="441">
                  <c:v>41892</c:v>
                </c:pt>
                <c:pt idx="442">
                  <c:v>41893</c:v>
                </c:pt>
                <c:pt idx="443">
                  <c:v>41894</c:v>
                </c:pt>
                <c:pt idx="444">
                  <c:v>41897</c:v>
                </c:pt>
                <c:pt idx="445">
                  <c:v>41898</c:v>
                </c:pt>
                <c:pt idx="446">
                  <c:v>41899</c:v>
                </c:pt>
                <c:pt idx="447">
                  <c:v>41900</c:v>
                </c:pt>
                <c:pt idx="448">
                  <c:v>41901</c:v>
                </c:pt>
                <c:pt idx="449">
                  <c:v>41904</c:v>
                </c:pt>
                <c:pt idx="450">
                  <c:v>41905</c:v>
                </c:pt>
                <c:pt idx="451">
                  <c:v>41906</c:v>
                </c:pt>
                <c:pt idx="452">
                  <c:v>41907</c:v>
                </c:pt>
                <c:pt idx="453">
                  <c:v>41908</c:v>
                </c:pt>
                <c:pt idx="454">
                  <c:v>41911</c:v>
                </c:pt>
                <c:pt idx="455">
                  <c:v>41912</c:v>
                </c:pt>
                <c:pt idx="456">
                  <c:v>41913</c:v>
                </c:pt>
                <c:pt idx="457">
                  <c:v>41914</c:v>
                </c:pt>
                <c:pt idx="458">
                  <c:v>41915</c:v>
                </c:pt>
                <c:pt idx="459">
                  <c:v>41918</c:v>
                </c:pt>
                <c:pt idx="460">
                  <c:v>41919</c:v>
                </c:pt>
                <c:pt idx="461">
                  <c:v>41920</c:v>
                </c:pt>
                <c:pt idx="462">
                  <c:v>41921</c:v>
                </c:pt>
                <c:pt idx="463">
                  <c:v>41922</c:v>
                </c:pt>
                <c:pt idx="464">
                  <c:v>41925</c:v>
                </c:pt>
                <c:pt idx="465">
                  <c:v>41926</c:v>
                </c:pt>
                <c:pt idx="466">
                  <c:v>41927</c:v>
                </c:pt>
                <c:pt idx="467">
                  <c:v>41928</c:v>
                </c:pt>
                <c:pt idx="468">
                  <c:v>41929</c:v>
                </c:pt>
                <c:pt idx="469">
                  <c:v>41932</c:v>
                </c:pt>
                <c:pt idx="470">
                  <c:v>41933</c:v>
                </c:pt>
                <c:pt idx="471">
                  <c:v>41934</c:v>
                </c:pt>
                <c:pt idx="472">
                  <c:v>41935</c:v>
                </c:pt>
                <c:pt idx="473">
                  <c:v>41936</c:v>
                </c:pt>
                <c:pt idx="474">
                  <c:v>41939</c:v>
                </c:pt>
                <c:pt idx="475">
                  <c:v>41940</c:v>
                </c:pt>
                <c:pt idx="476">
                  <c:v>41941</c:v>
                </c:pt>
                <c:pt idx="477">
                  <c:v>41942</c:v>
                </c:pt>
                <c:pt idx="478">
                  <c:v>41943</c:v>
                </c:pt>
                <c:pt idx="479">
                  <c:v>41946</c:v>
                </c:pt>
                <c:pt idx="480">
                  <c:v>41947</c:v>
                </c:pt>
                <c:pt idx="481">
                  <c:v>41948</c:v>
                </c:pt>
                <c:pt idx="482">
                  <c:v>41949</c:v>
                </c:pt>
                <c:pt idx="483">
                  <c:v>41950</c:v>
                </c:pt>
                <c:pt idx="484">
                  <c:v>41953</c:v>
                </c:pt>
                <c:pt idx="485">
                  <c:v>41954</c:v>
                </c:pt>
                <c:pt idx="486">
                  <c:v>41955</c:v>
                </c:pt>
                <c:pt idx="487">
                  <c:v>41956</c:v>
                </c:pt>
                <c:pt idx="488">
                  <c:v>41957</c:v>
                </c:pt>
                <c:pt idx="489">
                  <c:v>41960</c:v>
                </c:pt>
                <c:pt idx="490">
                  <c:v>41961</c:v>
                </c:pt>
                <c:pt idx="491">
                  <c:v>41962</c:v>
                </c:pt>
                <c:pt idx="492">
                  <c:v>41963</c:v>
                </c:pt>
                <c:pt idx="493">
                  <c:v>41964</c:v>
                </c:pt>
                <c:pt idx="494">
                  <c:v>41967</c:v>
                </c:pt>
                <c:pt idx="495">
                  <c:v>41968</c:v>
                </c:pt>
                <c:pt idx="496">
                  <c:v>41969</c:v>
                </c:pt>
                <c:pt idx="497">
                  <c:v>41970</c:v>
                </c:pt>
                <c:pt idx="498">
                  <c:v>41971</c:v>
                </c:pt>
                <c:pt idx="499">
                  <c:v>41974</c:v>
                </c:pt>
                <c:pt idx="500">
                  <c:v>41975</c:v>
                </c:pt>
                <c:pt idx="501">
                  <c:v>41976</c:v>
                </c:pt>
                <c:pt idx="502">
                  <c:v>41977</c:v>
                </c:pt>
                <c:pt idx="503">
                  <c:v>41978</c:v>
                </c:pt>
                <c:pt idx="504">
                  <c:v>41981</c:v>
                </c:pt>
                <c:pt idx="505">
                  <c:v>41982</c:v>
                </c:pt>
                <c:pt idx="506">
                  <c:v>41983</c:v>
                </c:pt>
                <c:pt idx="507">
                  <c:v>41984</c:v>
                </c:pt>
                <c:pt idx="508">
                  <c:v>41985</c:v>
                </c:pt>
                <c:pt idx="509">
                  <c:v>41988</c:v>
                </c:pt>
                <c:pt idx="510">
                  <c:v>41989</c:v>
                </c:pt>
                <c:pt idx="511">
                  <c:v>41990</c:v>
                </c:pt>
                <c:pt idx="512">
                  <c:v>41991</c:v>
                </c:pt>
                <c:pt idx="513">
                  <c:v>41992</c:v>
                </c:pt>
                <c:pt idx="514">
                  <c:v>41995</c:v>
                </c:pt>
                <c:pt idx="515">
                  <c:v>41996</c:v>
                </c:pt>
                <c:pt idx="516">
                  <c:v>41997</c:v>
                </c:pt>
                <c:pt idx="517">
                  <c:v>41998</c:v>
                </c:pt>
                <c:pt idx="518">
                  <c:v>41999</c:v>
                </c:pt>
                <c:pt idx="519">
                  <c:v>42002</c:v>
                </c:pt>
                <c:pt idx="520">
                  <c:v>42003</c:v>
                </c:pt>
                <c:pt idx="521">
                  <c:v>42004</c:v>
                </c:pt>
                <c:pt idx="522">
                  <c:v>42005</c:v>
                </c:pt>
                <c:pt idx="523">
                  <c:v>42006</c:v>
                </c:pt>
                <c:pt idx="524">
                  <c:v>42009</c:v>
                </c:pt>
                <c:pt idx="525">
                  <c:v>42010</c:v>
                </c:pt>
                <c:pt idx="526">
                  <c:v>42011</c:v>
                </c:pt>
                <c:pt idx="527">
                  <c:v>42012</c:v>
                </c:pt>
                <c:pt idx="528">
                  <c:v>42013</c:v>
                </c:pt>
                <c:pt idx="529">
                  <c:v>42016</c:v>
                </c:pt>
                <c:pt idx="530">
                  <c:v>42017</c:v>
                </c:pt>
                <c:pt idx="531">
                  <c:v>42018</c:v>
                </c:pt>
                <c:pt idx="532">
                  <c:v>42019</c:v>
                </c:pt>
                <c:pt idx="533">
                  <c:v>42020</c:v>
                </c:pt>
                <c:pt idx="534">
                  <c:v>42023</c:v>
                </c:pt>
                <c:pt idx="535">
                  <c:v>42024</c:v>
                </c:pt>
                <c:pt idx="536">
                  <c:v>42025</c:v>
                </c:pt>
                <c:pt idx="537">
                  <c:v>42026</c:v>
                </c:pt>
                <c:pt idx="538">
                  <c:v>42027</c:v>
                </c:pt>
                <c:pt idx="539">
                  <c:v>42030</c:v>
                </c:pt>
                <c:pt idx="540">
                  <c:v>42031</c:v>
                </c:pt>
                <c:pt idx="541">
                  <c:v>42032</c:v>
                </c:pt>
                <c:pt idx="542">
                  <c:v>42033</c:v>
                </c:pt>
                <c:pt idx="543">
                  <c:v>42034</c:v>
                </c:pt>
                <c:pt idx="544">
                  <c:v>42037</c:v>
                </c:pt>
                <c:pt idx="545">
                  <c:v>42038</c:v>
                </c:pt>
                <c:pt idx="546">
                  <c:v>42039</c:v>
                </c:pt>
                <c:pt idx="547">
                  <c:v>42040</c:v>
                </c:pt>
                <c:pt idx="548">
                  <c:v>42041</c:v>
                </c:pt>
                <c:pt idx="549">
                  <c:v>42044</c:v>
                </c:pt>
                <c:pt idx="550">
                  <c:v>42045</c:v>
                </c:pt>
                <c:pt idx="551">
                  <c:v>42046</c:v>
                </c:pt>
                <c:pt idx="552">
                  <c:v>42047</c:v>
                </c:pt>
                <c:pt idx="553">
                  <c:v>42048</c:v>
                </c:pt>
                <c:pt idx="554">
                  <c:v>42051</c:v>
                </c:pt>
                <c:pt idx="555">
                  <c:v>42052</c:v>
                </c:pt>
                <c:pt idx="556">
                  <c:v>42053</c:v>
                </c:pt>
                <c:pt idx="557">
                  <c:v>42054</c:v>
                </c:pt>
                <c:pt idx="558">
                  <c:v>42055</c:v>
                </c:pt>
                <c:pt idx="559">
                  <c:v>42058</c:v>
                </c:pt>
                <c:pt idx="560">
                  <c:v>42059</c:v>
                </c:pt>
                <c:pt idx="561">
                  <c:v>42060</c:v>
                </c:pt>
                <c:pt idx="562">
                  <c:v>42061</c:v>
                </c:pt>
                <c:pt idx="563">
                  <c:v>42062</c:v>
                </c:pt>
                <c:pt idx="564">
                  <c:v>42065</c:v>
                </c:pt>
                <c:pt idx="565">
                  <c:v>42066</c:v>
                </c:pt>
                <c:pt idx="566">
                  <c:v>42067</c:v>
                </c:pt>
                <c:pt idx="567">
                  <c:v>42068</c:v>
                </c:pt>
                <c:pt idx="568">
                  <c:v>42069</c:v>
                </c:pt>
                <c:pt idx="569">
                  <c:v>42072</c:v>
                </c:pt>
                <c:pt idx="570">
                  <c:v>42073</c:v>
                </c:pt>
                <c:pt idx="571">
                  <c:v>42074</c:v>
                </c:pt>
                <c:pt idx="572">
                  <c:v>42075</c:v>
                </c:pt>
                <c:pt idx="573">
                  <c:v>42076</c:v>
                </c:pt>
                <c:pt idx="574">
                  <c:v>42079</c:v>
                </c:pt>
                <c:pt idx="575">
                  <c:v>42080</c:v>
                </c:pt>
                <c:pt idx="576">
                  <c:v>42081</c:v>
                </c:pt>
                <c:pt idx="577">
                  <c:v>42082</c:v>
                </c:pt>
                <c:pt idx="578">
                  <c:v>42083</c:v>
                </c:pt>
                <c:pt idx="579">
                  <c:v>42086</c:v>
                </c:pt>
                <c:pt idx="580">
                  <c:v>42087</c:v>
                </c:pt>
                <c:pt idx="581">
                  <c:v>42088</c:v>
                </c:pt>
                <c:pt idx="582">
                  <c:v>42089</c:v>
                </c:pt>
                <c:pt idx="583">
                  <c:v>42090</c:v>
                </c:pt>
                <c:pt idx="584">
                  <c:v>42093</c:v>
                </c:pt>
                <c:pt idx="585">
                  <c:v>42094</c:v>
                </c:pt>
                <c:pt idx="586">
                  <c:v>42095</c:v>
                </c:pt>
                <c:pt idx="587">
                  <c:v>42096</c:v>
                </c:pt>
                <c:pt idx="588">
                  <c:v>42097</c:v>
                </c:pt>
                <c:pt idx="589">
                  <c:v>42100</c:v>
                </c:pt>
                <c:pt idx="590">
                  <c:v>42101</c:v>
                </c:pt>
                <c:pt idx="591">
                  <c:v>42102</c:v>
                </c:pt>
                <c:pt idx="592">
                  <c:v>42103</c:v>
                </c:pt>
                <c:pt idx="593">
                  <c:v>42104</c:v>
                </c:pt>
                <c:pt idx="594">
                  <c:v>42107</c:v>
                </c:pt>
                <c:pt idx="595">
                  <c:v>42108</c:v>
                </c:pt>
                <c:pt idx="596">
                  <c:v>42109</c:v>
                </c:pt>
                <c:pt idx="597">
                  <c:v>42110</c:v>
                </c:pt>
                <c:pt idx="598">
                  <c:v>42111</c:v>
                </c:pt>
                <c:pt idx="599">
                  <c:v>42114</c:v>
                </c:pt>
                <c:pt idx="600">
                  <c:v>42115</c:v>
                </c:pt>
                <c:pt idx="601">
                  <c:v>42116</c:v>
                </c:pt>
                <c:pt idx="602">
                  <c:v>42117</c:v>
                </c:pt>
                <c:pt idx="603">
                  <c:v>42118</c:v>
                </c:pt>
                <c:pt idx="604">
                  <c:v>42121</c:v>
                </c:pt>
                <c:pt idx="605">
                  <c:v>42122</c:v>
                </c:pt>
                <c:pt idx="606">
                  <c:v>42123</c:v>
                </c:pt>
                <c:pt idx="607">
                  <c:v>42124</c:v>
                </c:pt>
                <c:pt idx="608">
                  <c:v>42125</c:v>
                </c:pt>
                <c:pt idx="609">
                  <c:v>42128</c:v>
                </c:pt>
                <c:pt idx="610">
                  <c:v>42129</c:v>
                </c:pt>
                <c:pt idx="611">
                  <c:v>42130</c:v>
                </c:pt>
                <c:pt idx="612">
                  <c:v>42131</c:v>
                </c:pt>
                <c:pt idx="613">
                  <c:v>42132</c:v>
                </c:pt>
                <c:pt idx="614">
                  <c:v>42135</c:v>
                </c:pt>
                <c:pt idx="615">
                  <c:v>42136</c:v>
                </c:pt>
                <c:pt idx="616">
                  <c:v>42137</c:v>
                </c:pt>
                <c:pt idx="617">
                  <c:v>42138</c:v>
                </c:pt>
                <c:pt idx="618">
                  <c:v>42139</c:v>
                </c:pt>
                <c:pt idx="619">
                  <c:v>42142</c:v>
                </c:pt>
                <c:pt idx="620">
                  <c:v>42143</c:v>
                </c:pt>
                <c:pt idx="621">
                  <c:v>42144</c:v>
                </c:pt>
                <c:pt idx="622">
                  <c:v>42145</c:v>
                </c:pt>
                <c:pt idx="623">
                  <c:v>42146</c:v>
                </c:pt>
                <c:pt idx="624">
                  <c:v>42149</c:v>
                </c:pt>
                <c:pt idx="625">
                  <c:v>42150</c:v>
                </c:pt>
                <c:pt idx="626">
                  <c:v>42151</c:v>
                </c:pt>
                <c:pt idx="627">
                  <c:v>42152</c:v>
                </c:pt>
                <c:pt idx="628">
                  <c:v>42153</c:v>
                </c:pt>
                <c:pt idx="629">
                  <c:v>42156</c:v>
                </c:pt>
                <c:pt idx="630">
                  <c:v>42157</c:v>
                </c:pt>
                <c:pt idx="631">
                  <c:v>42158</c:v>
                </c:pt>
                <c:pt idx="632">
                  <c:v>42159</c:v>
                </c:pt>
                <c:pt idx="633">
                  <c:v>42160</c:v>
                </c:pt>
                <c:pt idx="634">
                  <c:v>42163</c:v>
                </c:pt>
                <c:pt idx="635">
                  <c:v>42164</c:v>
                </c:pt>
                <c:pt idx="636">
                  <c:v>42165</c:v>
                </c:pt>
                <c:pt idx="637">
                  <c:v>42166</c:v>
                </c:pt>
                <c:pt idx="638">
                  <c:v>42167</c:v>
                </c:pt>
                <c:pt idx="639">
                  <c:v>42170</c:v>
                </c:pt>
                <c:pt idx="640">
                  <c:v>42171</c:v>
                </c:pt>
                <c:pt idx="641">
                  <c:v>42172</c:v>
                </c:pt>
                <c:pt idx="642">
                  <c:v>42173</c:v>
                </c:pt>
                <c:pt idx="643">
                  <c:v>42174</c:v>
                </c:pt>
                <c:pt idx="644">
                  <c:v>42177</c:v>
                </c:pt>
                <c:pt idx="645">
                  <c:v>42178</c:v>
                </c:pt>
                <c:pt idx="646">
                  <c:v>42179</c:v>
                </c:pt>
                <c:pt idx="647">
                  <c:v>42180</c:v>
                </c:pt>
                <c:pt idx="648">
                  <c:v>42181</c:v>
                </c:pt>
                <c:pt idx="649">
                  <c:v>42184</c:v>
                </c:pt>
                <c:pt idx="650">
                  <c:v>42185</c:v>
                </c:pt>
                <c:pt idx="651">
                  <c:v>42186</c:v>
                </c:pt>
                <c:pt idx="652">
                  <c:v>42187</c:v>
                </c:pt>
                <c:pt idx="653">
                  <c:v>42188</c:v>
                </c:pt>
                <c:pt idx="654">
                  <c:v>42191</c:v>
                </c:pt>
                <c:pt idx="655">
                  <c:v>42192</c:v>
                </c:pt>
                <c:pt idx="656">
                  <c:v>42193</c:v>
                </c:pt>
                <c:pt idx="657">
                  <c:v>42194</c:v>
                </c:pt>
                <c:pt idx="658">
                  <c:v>42195</c:v>
                </c:pt>
                <c:pt idx="659">
                  <c:v>42198</c:v>
                </c:pt>
                <c:pt idx="660">
                  <c:v>42199</c:v>
                </c:pt>
                <c:pt idx="661">
                  <c:v>42200</c:v>
                </c:pt>
                <c:pt idx="662">
                  <c:v>42201</c:v>
                </c:pt>
                <c:pt idx="663">
                  <c:v>42202</c:v>
                </c:pt>
                <c:pt idx="664">
                  <c:v>42205</c:v>
                </c:pt>
                <c:pt idx="665">
                  <c:v>42206</c:v>
                </c:pt>
                <c:pt idx="666">
                  <c:v>42207</c:v>
                </c:pt>
                <c:pt idx="667">
                  <c:v>42208</c:v>
                </c:pt>
                <c:pt idx="668">
                  <c:v>42209</c:v>
                </c:pt>
                <c:pt idx="669">
                  <c:v>42212</c:v>
                </c:pt>
                <c:pt idx="670">
                  <c:v>42213</c:v>
                </c:pt>
                <c:pt idx="671">
                  <c:v>42214</c:v>
                </c:pt>
                <c:pt idx="672">
                  <c:v>42215</c:v>
                </c:pt>
                <c:pt idx="673">
                  <c:v>42216</c:v>
                </c:pt>
                <c:pt idx="674">
                  <c:v>42219</c:v>
                </c:pt>
                <c:pt idx="675">
                  <c:v>42220</c:v>
                </c:pt>
                <c:pt idx="676">
                  <c:v>42221</c:v>
                </c:pt>
                <c:pt idx="677">
                  <c:v>42222</c:v>
                </c:pt>
                <c:pt idx="678">
                  <c:v>42223</c:v>
                </c:pt>
                <c:pt idx="679">
                  <c:v>42226</c:v>
                </c:pt>
                <c:pt idx="680">
                  <c:v>42227</c:v>
                </c:pt>
                <c:pt idx="681">
                  <c:v>42228</c:v>
                </c:pt>
                <c:pt idx="682">
                  <c:v>42229</c:v>
                </c:pt>
                <c:pt idx="683">
                  <c:v>42230</c:v>
                </c:pt>
                <c:pt idx="684">
                  <c:v>42233</c:v>
                </c:pt>
                <c:pt idx="685">
                  <c:v>42234</c:v>
                </c:pt>
                <c:pt idx="686">
                  <c:v>42235</c:v>
                </c:pt>
                <c:pt idx="687">
                  <c:v>42236</c:v>
                </c:pt>
                <c:pt idx="688">
                  <c:v>42237</c:v>
                </c:pt>
                <c:pt idx="689">
                  <c:v>42240</c:v>
                </c:pt>
                <c:pt idx="690">
                  <c:v>42241</c:v>
                </c:pt>
                <c:pt idx="691">
                  <c:v>42242</c:v>
                </c:pt>
                <c:pt idx="692">
                  <c:v>42243</c:v>
                </c:pt>
                <c:pt idx="693">
                  <c:v>42244</c:v>
                </c:pt>
                <c:pt idx="694">
                  <c:v>42247</c:v>
                </c:pt>
                <c:pt idx="695">
                  <c:v>42248</c:v>
                </c:pt>
                <c:pt idx="696">
                  <c:v>42249</c:v>
                </c:pt>
                <c:pt idx="697">
                  <c:v>42250</c:v>
                </c:pt>
                <c:pt idx="698">
                  <c:v>42251</c:v>
                </c:pt>
                <c:pt idx="699">
                  <c:v>42254</c:v>
                </c:pt>
                <c:pt idx="700">
                  <c:v>42255</c:v>
                </c:pt>
                <c:pt idx="701">
                  <c:v>42256</c:v>
                </c:pt>
                <c:pt idx="702">
                  <c:v>42257</c:v>
                </c:pt>
                <c:pt idx="703">
                  <c:v>42258</c:v>
                </c:pt>
                <c:pt idx="704">
                  <c:v>42261</c:v>
                </c:pt>
                <c:pt idx="705">
                  <c:v>42262</c:v>
                </c:pt>
                <c:pt idx="706">
                  <c:v>42263</c:v>
                </c:pt>
                <c:pt idx="707">
                  <c:v>42264</c:v>
                </c:pt>
                <c:pt idx="708">
                  <c:v>42265</c:v>
                </c:pt>
                <c:pt idx="709">
                  <c:v>42268</c:v>
                </c:pt>
                <c:pt idx="710">
                  <c:v>42269</c:v>
                </c:pt>
                <c:pt idx="711">
                  <c:v>42270</c:v>
                </c:pt>
                <c:pt idx="712">
                  <c:v>42271</c:v>
                </c:pt>
                <c:pt idx="713">
                  <c:v>42272</c:v>
                </c:pt>
                <c:pt idx="714">
                  <c:v>42275</c:v>
                </c:pt>
                <c:pt idx="715">
                  <c:v>42276</c:v>
                </c:pt>
                <c:pt idx="716">
                  <c:v>42277</c:v>
                </c:pt>
                <c:pt idx="717">
                  <c:v>42278</c:v>
                </c:pt>
                <c:pt idx="718">
                  <c:v>42279</c:v>
                </c:pt>
                <c:pt idx="719">
                  <c:v>42282</c:v>
                </c:pt>
                <c:pt idx="720">
                  <c:v>42283</c:v>
                </c:pt>
                <c:pt idx="721">
                  <c:v>42284</c:v>
                </c:pt>
                <c:pt idx="722">
                  <c:v>42285</c:v>
                </c:pt>
                <c:pt idx="723">
                  <c:v>42286</c:v>
                </c:pt>
                <c:pt idx="724">
                  <c:v>42289</c:v>
                </c:pt>
                <c:pt idx="725">
                  <c:v>42290</c:v>
                </c:pt>
                <c:pt idx="726">
                  <c:v>42291</c:v>
                </c:pt>
                <c:pt idx="727">
                  <c:v>42292</c:v>
                </c:pt>
                <c:pt idx="728">
                  <c:v>42293</c:v>
                </c:pt>
                <c:pt idx="729">
                  <c:v>42296</c:v>
                </c:pt>
                <c:pt idx="730">
                  <c:v>42297</c:v>
                </c:pt>
                <c:pt idx="731">
                  <c:v>42298</c:v>
                </c:pt>
                <c:pt idx="732">
                  <c:v>42299</c:v>
                </c:pt>
                <c:pt idx="733">
                  <c:v>42300</c:v>
                </c:pt>
                <c:pt idx="734">
                  <c:v>42303</c:v>
                </c:pt>
                <c:pt idx="735">
                  <c:v>42304</c:v>
                </c:pt>
                <c:pt idx="736">
                  <c:v>42305</c:v>
                </c:pt>
                <c:pt idx="737">
                  <c:v>42306</c:v>
                </c:pt>
                <c:pt idx="738">
                  <c:v>42307</c:v>
                </c:pt>
                <c:pt idx="739">
                  <c:v>42310</c:v>
                </c:pt>
                <c:pt idx="740">
                  <c:v>42311</c:v>
                </c:pt>
                <c:pt idx="741">
                  <c:v>42312</c:v>
                </c:pt>
                <c:pt idx="742">
                  <c:v>42313</c:v>
                </c:pt>
                <c:pt idx="743">
                  <c:v>42314</c:v>
                </c:pt>
                <c:pt idx="744">
                  <c:v>42317</c:v>
                </c:pt>
                <c:pt idx="745">
                  <c:v>42318</c:v>
                </c:pt>
                <c:pt idx="746">
                  <c:v>42319</c:v>
                </c:pt>
                <c:pt idx="747">
                  <c:v>42320</c:v>
                </c:pt>
                <c:pt idx="748">
                  <c:v>42321</c:v>
                </c:pt>
                <c:pt idx="749">
                  <c:v>42324</c:v>
                </c:pt>
                <c:pt idx="750">
                  <c:v>42325</c:v>
                </c:pt>
                <c:pt idx="751">
                  <c:v>42326</c:v>
                </c:pt>
                <c:pt idx="752">
                  <c:v>42327</c:v>
                </c:pt>
                <c:pt idx="753">
                  <c:v>42328</c:v>
                </c:pt>
                <c:pt idx="754">
                  <c:v>42331</c:v>
                </c:pt>
                <c:pt idx="755">
                  <c:v>42332</c:v>
                </c:pt>
                <c:pt idx="756">
                  <c:v>42333</c:v>
                </c:pt>
                <c:pt idx="757">
                  <c:v>42334</c:v>
                </c:pt>
                <c:pt idx="758">
                  <c:v>42335</c:v>
                </c:pt>
                <c:pt idx="759">
                  <c:v>42338</c:v>
                </c:pt>
                <c:pt idx="760">
                  <c:v>42339</c:v>
                </c:pt>
                <c:pt idx="761">
                  <c:v>42340</c:v>
                </c:pt>
                <c:pt idx="762">
                  <c:v>42341</c:v>
                </c:pt>
                <c:pt idx="763">
                  <c:v>42342</c:v>
                </c:pt>
                <c:pt idx="764">
                  <c:v>42345</c:v>
                </c:pt>
                <c:pt idx="765">
                  <c:v>42346</c:v>
                </c:pt>
                <c:pt idx="766">
                  <c:v>42347</c:v>
                </c:pt>
                <c:pt idx="767">
                  <c:v>42348</c:v>
                </c:pt>
                <c:pt idx="768">
                  <c:v>42349</c:v>
                </c:pt>
                <c:pt idx="769">
                  <c:v>42352</c:v>
                </c:pt>
                <c:pt idx="770">
                  <c:v>42353</c:v>
                </c:pt>
                <c:pt idx="771">
                  <c:v>42354</c:v>
                </c:pt>
                <c:pt idx="772">
                  <c:v>42355</c:v>
                </c:pt>
                <c:pt idx="773">
                  <c:v>42356</c:v>
                </c:pt>
                <c:pt idx="774">
                  <c:v>42359</c:v>
                </c:pt>
                <c:pt idx="775">
                  <c:v>42360</c:v>
                </c:pt>
                <c:pt idx="776">
                  <c:v>42361</c:v>
                </c:pt>
                <c:pt idx="777">
                  <c:v>42362</c:v>
                </c:pt>
                <c:pt idx="778">
                  <c:v>42363</c:v>
                </c:pt>
                <c:pt idx="779">
                  <c:v>42366</c:v>
                </c:pt>
                <c:pt idx="780">
                  <c:v>42367</c:v>
                </c:pt>
                <c:pt idx="781">
                  <c:v>42368</c:v>
                </c:pt>
                <c:pt idx="782">
                  <c:v>42369</c:v>
                </c:pt>
                <c:pt idx="783">
                  <c:v>42370</c:v>
                </c:pt>
                <c:pt idx="784">
                  <c:v>42373</c:v>
                </c:pt>
                <c:pt idx="785">
                  <c:v>42374</c:v>
                </c:pt>
                <c:pt idx="786">
                  <c:v>42375</c:v>
                </c:pt>
                <c:pt idx="787">
                  <c:v>42376</c:v>
                </c:pt>
                <c:pt idx="788">
                  <c:v>42377</c:v>
                </c:pt>
                <c:pt idx="789">
                  <c:v>42380</c:v>
                </c:pt>
                <c:pt idx="790">
                  <c:v>42381</c:v>
                </c:pt>
                <c:pt idx="791">
                  <c:v>42382</c:v>
                </c:pt>
                <c:pt idx="792">
                  <c:v>42383</c:v>
                </c:pt>
                <c:pt idx="793">
                  <c:v>42384</c:v>
                </c:pt>
                <c:pt idx="794">
                  <c:v>42387</c:v>
                </c:pt>
                <c:pt idx="795">
                  <c:v>42388</c:v>
                </c:pt>
                <c:pt idx="796">
                  <c:v>42389</c:v>
                </c:pt>
                <c:pt idx="797">
                  <c:v>42390</c:v>
                </c:pt>
                <c:pt idx="798">
                  <c:v>42391</c:v>
                </c:pt>
                <c:pt idx="799">
                  <c:v>42394</c:v>
                </c:pt>
                <c:pt idx="800">
                  <c:v>42395</c:v>
                </c:pt>
                <c:pt idx="801">
                  <c:v>42396</c:v>
                </c:pt>
                <c:pt idx="802">
                  <c:v>42397</c:v>
                </c:pt>
                <c:pt idx="803">
                  <c:v>42398</c:v>
                </c:pt>
                <c:pt idx="804">
                  <c:v>42401</c:v>
                </c:pt>
                <c:pt idx="805">
                  <c:v>42402</c:v>
                </c:pt>
                <c:pt idx="806">
                  <c:v>42403</c:v>
                </c:pt>
                <c:pt idx="807">
                  <c:v>42404</c:v>
                </c:pt>
                <c:pt idx="808">
                  <c:v>42405</c:v>
                </c:pt>
                <c:pt idx="809">
                  <c:v>42408</c:v>
                </c:pt>
                <c:pt idx="810">
                  <c:v>42409</c:v>
                </c:pt>
                <c:pt idx="811">
                  <c:v>42410</c:v>
                </c:pt>
                <c:pt idx="812">
                  <c:v>42411</c:v>
                </c:pt>
                <c:pt idx="813">
                  <c:v>42412</c:v>
                </c:pt>
                <c:pt idx="814">
                  <c:v>42415</c:v>
                </c:pt>
                <c:pt idx="815">
                  <c:v>42416</c:v>
                </c:pt>
                <c:pt idx="816">
                  <c:v>42417</c:v>
                </c:pt>
                <c:pt idx="817">
                  <c:v>42418</c:v>
                </c:pt>
                <c:pt idx="818">
                  <c:v>42419</c:v>
                </c:pt>
                <c:pt idx="819">
                  <c:v>42422</c:v>
                </c:pt>
                <c:pt idx="820">
                  <c:v>42423</c:v>
                </c:pt>
                <c:pt idx="821">
                  <c:v>42424</c:v>
                </c:pt>
                <c:pt idx="822">
                  <c:v>42425</c:v>
                </c:pt>
                <c:pt idx="823">
                  <c:v>42426</c:v>
                </c:pt>
                <c:pt idx="824">
                  <c:v>42429</c:v>
                </c:pt>
                <c:pt idx="825">
                  <c:v>42430</c:v>
                </c:pt>
                <c:pt idx="826">
                  <c:v>42431</c:v>
                </c:pt>
                <c:pt idx="827">
                  <c:v>42432</c:v>
                </c:pt>
                <c:pt idx="828">
                  <c:v>42433</c:v>
                </c:pt>
                <c:pt idx="829">
                  <c:v>42436</c:v>
                </c:pt>
                <c:pt idx="830">
                  <c:v>42437</c:v>
                </c:pt>
                <c:pt idx="831">
                  <c:v>42438</c:v>
                </c:pt>
                <c:pt idx="832">
                  <c:v>42439</c:v>
                </c:pt>
                <c:pt idx="833">
                  <c:v>42440</c:v>
                </c:pt>
                <c:pt idx="834">
                  <c:v>42443</c:v>
                </c:pt>
                <c:pt idx="835">
                  <c:v>42444</c:v>
                </c:pt>
                <c:pt idx="836">
                  <c:v>42445</c:v>
                </c:pt>
                <c:pt idx="837">
                  <c:v>42446</c:v>
                </c:pt>
                <c:pt idx="838">
                  <c:v>42447</c:v>
                </c:pt>
                <c:pt idx="839">
                  <c:v>42450</c:v>
                </c:pt>
                <c:pt idx="840">
                  <c:v>42451</c:v>
                </c:pt>
                <c:pt idx="841">
                  <c:v>42452</c:v>
                </c:pt>
                <c:pt idx="842">
                  <c:v>42453</c:v>
                </c:pt>
                <c:pt idx="843">
                  <c:v>42454</c:v>
                </c:pt>
                <c:pt idx="844">
                  <c:v>42457</c:v>
                </c:pt>
                <c:pt idx="845">
                  <c:v>42458</c:v>
                </c:pt>
                <c:pt idx="846">
                  <c:v>42459</c:v>
                </c:pt>
                <c:pt idx="847">
                  <c:v>42460</c:v>
                </c:pt>
                <c:pt idx="848">
                  <c:v>42461</c:v>
                </c:pt>
                <c:pt idx="849">
                  <c:v>42464</c:v>
                </c:pt>
                <c:pt idx="850">
                  <c:v>42465</c:v>
                </c:pt>
                <c:pt idx="851">
                  <c:v>42466</c:v>
                </c:pt>
                <c:pt idx="852">
                  <c:v>42467</c:v>
                </c:pt>
                <c:pt idx="853">
                  <c:v>42468</c:v>
                </c:pt>
                <c:pt idx="854">
                  <c:v>42471</c:v>
                </c:pt>
                <c:pt idx="855">
                  <c:v>42472</c:v>
                </c:pt>
                <c:pt idx="856">
                  <c:v>42473</c:v>
                </c:pt>
                <c:pt idx="857">
                  <c:v>42474</c:v>
                </c:pt>
                <c:pt idx="858">
                  <c:v>42475</c:v>
                </c:pt>
                <c:pt idx="859">
                  <c:v>42478</c:v>
                </c:pt>
                <c:pt idx="860">
                  <c:v>42479</c:v>
                </c:pt>
                <c:pt idx="861">
                  <c:v>42480</c:v>
                </c:pt>
                <c:pt idx="862">
                  <c:v>42481</c:v>
                </c:pt>
                <c:pt idx="863">
                  <c:v>42482</c:v>
                </c:pt>
                <c:pt idx="864">
                  <c:v>42485</c:v>
                </c:pt>
                <c:pt idx="865">
                  <c:v>42486</c:v>
                </c:pt>
                <c:pt idx="866">
                  <c:v>42487</c:v>
                </c:pt>
                <c:pt idx="867">
                  <c:v>42488</c:v>
                </c:pt>
                <c:pt idx="868">
                  <c:v>42489</c:v>
                </c:pt>
                <c:pt idx="869">
                  <c:v>42492</c:v>
                </c:pt>
                <c:pt idx="870">
                  <c:v>42493</c:v>
                </c:pt>
                <c:pt idx="871">
                  <c:v>42494</c:v>
                </c:pt>
                <c:pt idx="872">
                  <c:v>42495</c:v>
                </c:pt>
                <c:pt idx="873">
                  <c:v>42496</c:v>
                </c:pt>
                <c:pt idx="874">
                  <c:v>42499</c:v>
                </c:pt>
                <c:pt idx="875">
                  <c:v>42500</c:v>
                </c:pt>
                <c:pt idx="876">
                  <c:v>42501</c:v>
                </c:pt>
                <c:pt idx="877">
                  <c:v>42502</c:v>
                </c:pt>
                <c:pt idx="878">
                  <c:v>42503</c:v>
                </c:pt>
                <c:pt idx="879">
                  <c:v>42506</c:v>
                </c:pt>
                <c:pt idx="880">
                  <c:v>42507</c:v>
                </c:pt>
                <c:pt idx="881">
                  <c:v>42508</c:v>
                </c:pt>
                <c:pt idx="882">
                  <c:v>42509</c:v>
                </c:pt>
                <c:pt idx="883">
                  <c:v>42510</c:v>
                </c:pt>
                <c:pt idx="884">
                  <c:v>42513</c:v>
                </c:pt>
                <c:pt idx="885">
                  <c:v>42514</c:v>
                </c:pt>
                <c:pt idx="886">
                  <c:v>42515</c:v>
                </c:pt>
                <c:pt idx="887">
                  <c:v>42516</c:v>
                </c:pt>
                <c:pt idx="888">
                  <c:v>42517</c:v>
                </c:pt>
                <c:pt idx="889">
                  <c:v>42520</c:v>
                </c:pt>
                <c:pt idx="890">
                  <c:v>42521</c:v>
                </c:pt>
                <c:pt idx="891">
                  <c:v>42522</c:v>
                </c:pt>
                <c:pt idx="892">
                  <c:v>42523</c:v>
                </c:pt>
                <c:pt idx="893">
                  <c:v>42524</c:v>
                </c:pt>
                <c:pt idx="894">
                  <c:v>42527</c:v>
                </c:pt>
                <c:pt idx="895">
                  <c:v>42528</c:v>
                </c:pt>
                <c:pt idx="896">
                  <c:v>42529</c:v>
                </c:pt>
                <c:pt idx="897">
                  <c:v>42530</c:v>
                </c:pt>
                <c:pt idx="898">
                  <c:v>42531</c:v>
                </c:pt>
                <c:pt idx="899">
                  <c:v>42534</c:v>
                </c:pt>
                <c:pt idx="900">
                  <c:v>42535</c:v>
                </c:pt>
                <c:pt idx="901">
                  <c:v>42536</c:v>
                </c:pt>
                <c:pt idx="902">
                  <c:v>42537</c:v>
                </c:pt>
                <c:pt idx="903">
                  <c:v>42538</c:v>
                </c:pt>
                <c:pt idx="904">
                  <c:v>42541</c:v>
                </c:pt>
                <c:pt idx="905">
                  <c:v>42542</c:v>
                </c:pt>
                <c:pt idx="906">
                  <c:v>42543</c:v>
                </c:pt>
                <c:pt idx="907">
                  <c:v>42544</c:v>
                </c:pt>
                <c:pt idx="908">
                  <c:v>42545</c:v>
                </c:pt>
                <c:pt idx="909">
                  <c:v>42548</c:v>
                </c:pt>
                <c:pt idx="910">
                  <c:v>42549</c:v>
                </c:pt>
                <c:pt idx="911">
                  <c:v>42550</c:v>
                </c:pt>
                <c:pt idx="912">
                  <c:v>42551</c:v>
                </c:pt>
                <c:pt idx="913">
                  <c:v>42552</c:v>
                </c:pt>
                <c:pt idx="914">
                  <c:v>42555</c:v>
                </c:pt>
                <c:pt idx="915">
                  <c:v>42556</c:v>
                </c:pt>
                <c:pt idx="916">
                  <c:v>42557</c:v>
                </c:pt>
                <c:pt idx="917">
                  <c:v>42558</c:v>
                </c:pt>
                <c:pt idx="918">
                  <c:v>42559</c:v>
                </c:pt>
                <c:pt idx="919">
                  <c:v>42562</c:v>
                </c:pt>
                <c:pt idx="920">
                  <c:v>42563</c:v>
                </c:pt>
                <c:pt idx="921">
                  <c:v>42564</c:v>
                </c:pt>
                <c:pt idx="922">
                  <c:v>42565</c:v>
                </c:pt>
                <c:pt idx="923">
                  <c:v>42566</c:v>
                </c:pt>
                <c:pt idx="924">
                  <c:v>42569</c:v>
                </c:pt>
                <c:pt idx="925">
                  <c:v>42570</c:v>
                </c:pt>
                <c:pt idx="926">
                  <c:v>42571</c:v>
                </c:pt>
                <c:pt idx="927">
                  <c:v>42572</c:v>
                </c:pt>
                <c:pt idx="928">
                  <c:v>42573</c:v>
                </c:pt>
                <c:pt idx="929">
                  <c:v>42576</c:v>
                </c:pt>
                <c:pt idx="930">
                  <c:v>42577</c:v>
                </c:pt>
                <c:pt idx="931">
                  <c:v>42578</c:v>
                </c:pt>
                <c:pt idx="932">
                  <c:v>42579</c:v>
                </c:pt>
                <c:pt idx="933">
                  <c:v>42580</c:v>
                </c:pt>
                <c:pt idx="934">
                  <c:v>42583</c:v>
                </c:pt>
                <c:pt idx="935">
                  <c:v>42584</c:v>
                </c:pt>
                <c:pt idx="936">
                  <c:v>42585</c:v>
                </c:pt>
                <c:pt idx="937">
                  <c:v>42586</c:v>
                </c:pt>
                <c:pt idx="938">
                  <c:v>42587</c:v>
                </c:pt>
                <c:pt idx="939">
                  <c:v>42590</c:v>
                </c:pt>
                <c:pt idx="940">
                  <c:v>42591</c:v>
                </c:pt>
              </c:numCache>
            </c:numRef>
          </c:cat>
          <c:val>
            <c:numRef>
              <c:f>[0]!shortExoRange</c:f>
              <c:numCache>
                <c:formatCode>General</c:formatCode>
                <c:ptCount val="941"/>
                <c:pt idx="0">
                  <c:v>0</c:v>
                </c:pt>
                <c:pt idx="1">
                  <c:v>0</c:v>
                </c:pt>
                <c:pt idx="2">
                  <c:v>-4488.4999999999991</c:v>
                </c:pt>
                <c:pt idx="3">
                  <c:v>-7689.2000000000007</c:v>
                </c:pt>
                <c:pt idx="4">
                  <c:v>-10734.8</c:v>
                </c:pt>
                <c:pt idx="5">
                  <c:v>-14579.4</c:v>
                </c:pt>
                <c:pt idx="6">
                  <c:v>-19575.5</c:v>
                </c:pt>
                <c:pt idx="7">
                  <c:v>-20003.2</c:v>
                </c:pt>
                <c:pt idx="8">
                  <c:v>-21605.9</c:v>
                </c:pt>
                <c:pt idx="9">
                  <c:v>-22724.5</c:v>
                </c:pt>
                <c:pt idx="10">
                  <c:v>-24115.699999999997</c:v>
                </c:pt>
                <c:pt idx="11">
                  <c:v>-26677.199999999997</c:v>
                </c:pt>
                <c:pt idx="12">
                  <c:v>-26677.199999999997</c:v>
                </c:pt>
                <c:pt idx="13">
                  <c:v>-27212.999999999996</c:v>
                </c:pt>
                <c:pt idx="14">
                  <c:v>-27212.999999999996</c:v>
                </c:pt>
                <c:pt idx="15">
                  <c:v>-26799.399999999998</c:v>
                </c:pt>
                <c:pt idx="16">
                  <c:v>-28171.8</c:v>
                </c:pt>
                <c:pt idx="17">
                  <c:v>-18438.099999999999</c:v>
                </c:pt>
                <c:pt idx="18">
                  <c:v>-18574.400000000001</c:v>
                </c:pt>
                <c:pt idx="19">
                  <c:v>-20228.800000000003</c:v>
                </c:pt>
                <c:pt idx="20">
                  <c:v>-18381.700000000004</c:v>
                </c:pt>
                <c:pt idx="21">
                  <c:v>-29121.200000000004</c:v>
                </c:pt>
                <c:pt idx="22">
                  <c:v>-26606.700000000004</c:v>
                </c:pt>
                <c:pt idx="23">
                  <c:v>-42180</c:v>
                </c:pt>
                <c:pt idx="24">
                  <c:v>-39388.199999999997</c:v>
                </c:pt>
                <c:pt idx="25">
                  <c:v>-38330.699999999997</c:v>
                </c:pt>
                <c:pt idx="26">
                  <c:v>-38330.699999999997</c:v>
                </c:pt>
                <c:pt idx="27">
                  <c:v>-37390.699999999997</c:v>
                </c:pt>
                <c:pt idx="28">
                  <c:v>-36511.799999999996</c:v>
                </c:pt>
                <c:pt idx="29">
                  <c:v>-34866.799999999996</c:v>
                </c:pt>
                <c:pt idx="30">
                  <c:v>-31811.799999999996</c:v>
                </c:pt>
                <c:pt idx="31">
                  <c:v>-25466.799999999996</c:v>
                </c:pt>
                <c:pt idx="32">
                  <c:v>-18355.699999999997</c:v>
                </c:pt>
                <c:pt idx="33">
                  <c:v>-16593.199999999997</c:v>
                </c:pt>
                <c:pt idx="34">
                  <c:v>-16593.199999999997</c:v>
                </c:pt>
                <c:pt idx="35">
                  <c:v>-15653.199999999997</c:v>
                </c:pt>
                <c:pt idx="36">
                  <c:v>-15451.099999999997</c:v>
                </c:pt>
                <c:pt idx="37">
                  <c:v>-16508.599999999999</c:v>
                </c:pt>
                <c:pt idx="38">
                  <c:v>-18858.599999999999</c:v>
                </c:pt>
                <c:pt idx="39">
                  <c:v>-18858.599999999999</c:v>
                </c:pt>
                <c:pt idx="40">
                  <c:v>-19563.599999999999</c:v>
                </c:pt>
                <c:pt idx="41">
                  <c:v>-19563.599999999999</c:v>
                </c:pt>
                <c:pt idx="42">
                  <c:v>-19474.299999999996</c:v>
                </c:pt>
                <c:pt idx="43">
                  <c:v>-9747.4999999999964</c:v>
                </c:pt>
                <c:pt idx="44">
                  <c:v>-13662.599999999999</c:v>
                </c:pt>
                <c:pt idx="45">
                  <c:v>-9413.7999999999975</c:v>
                </c:pt>
                <c:pt idx="46">
                  <c:v>-4375.399999999996</c:v>
                </c:pt>
                <c:pt idx="47">
                  <c:v>381.00000000000728</c:v>
                </c:pt>
                <c:pt idx="48">
                  <c:v>1720.5000000000055</c:v>
                </c:pt>
                <c:pt idx="49">
                  <c:v>5081.0000000000073</c:v>
                </c:pt>
                <c:pt idx="50">
                  <c:v>8606.0000000000073</c:v>
                </c:pt>
                <c:pt idx="51">
                  <c:v>9696.4000000000069</c:v>
                </c:pt>
                <c:pt idx="52">
                  <c:v>7346.4000000000069</c:v>
                </c:pt>
                <c:pt idx="53">
                  <c:v>3962.4000000000015</c:v>
                </c:pt>
                <c:pt idx="54">
                  <c:v>3962.4000000000015</c:v>
                </c:pt>
                <c:pt idx="55">
                  <c:v>3962.4000000000015</c:v>
                </c:pt>
                <c:pt idx="56">
                  <c:v>7990.3000000000011</c:v>
                </c:pt>
                <c:pt idx="57">
                  <c:v>7595.5000000000055</c:v>
                </c:pt>
                <c:pt idx="58">
                  <c:v>9108.9000000000069</c:v>
                </c:pt>
                <c:pt idx="59">
                  <c:v>8690.6000000000076</c:v>
                </c:pt>
                <c:pt idx="60">
                  <c:v>8577.8000000000011</c:v>
                </c:pt>
                <c:pt idx="61">
                  <c:v>9499</c:v>
                </c:pt>
                <c:pt idx="62">
                  <c:v>9442.6000000000058</c:v>
                </c:pt>
                <c:pt idx="63">
                  <c:v>23740.000000000004</c:v>
                </c:pt>
                <c:pt idx="64">
                  <c:v>28560.000000000004</c:v>
                </c:pt>
                <c:pt idx="65">
                  <c:v>20922.500000000004</c:v>
                </c:pt>
                <c:pt idx="66">
                  <c:v>20922.500000000004</c:v>
                </c:pt>
                <c:pt idx="67">
                  <c:v>29735.000000000004</c:v>
                </c:pt>
                <c:pt idx="68">
                  <c:v>27920.800000000003</c:v>
                </c:pt>
                <c:pt idx="69">
                  <c:v>35638.199999999997</c:v>
                </c:pt>
                <c:pt idx="70">
                  <c:v>33072</c:v>
                </c:pt>
                <c:pt idx="71">
                  <c:v>37076.400000000009</c:v>
                </c:pt>
                <c:pt idx="72">
                  <c:v>35210.500000000007</c:v>
                </c:pt>
                <c:pt idx="73">
                  <c:v>35210.500000000007</c:v>
                </c:pt>
                <c:pt idx="74">
                  <c:v>35210.500000000007</c:v>
                </c:pt>
                <c:pt idx="75">
                  <c:v>41673</c:v>
                </c:pt>
                <c:pt idx="76">
                  <c:v>37663.900000000009</c:v>
                </c:pt>
                <c:pt idx="77">
                  <c:v>38627.4</c:v>
                </c:pt>
                <c:pt idx="78">
                  <c:v>38627.4</c:v>
                </c:pt>
                <c:pt idx="79">
                  <c:v>37692.100000000006</c:v>
                </c:pt>
                <c:pt idx="80">
                  <c:v>37052.900000000009</c:v>
                </c:pt>
                <c:pt idx="81">
                  <c:v>37052.900000000009</c:v>
                </c:pt>
                <c:pt idx="82">
                  <c:v>36517.100000000006</c:v>
                </c:pt>
                <c:pt idx="83">
                  <c:v>36197.500000000007</c:v>
                </c:pt>
                <c:pt idx="84">
                  <c:v>36197.500000000007</c:v>
                </c:pt>
                <c:pt idx="85">
                  <c:v>36225.700000000004</c:v>
                </c:pt>
                <c:pt idx="86">
                  <c:v>35142.500000000007</c:v>
                </c:pt>
                <c:pt idx="87">
                  <c:v>32331.9</c:v>
                </c:pt>
                <c:pt idx="88">
                  <c:v>32331.9</c:v>
                </c:pt>
                <c:pt idx="89">
                  <c:v>32331.9</c:v>
                </c:pt>
                <c:pt idx="90">
                  <c:v>31363.700000000004</c:v>
                </c:pt>
                <c:pt idx="91">
                  <c:v>29521.300000000007</c:v>
                </c:pt>
                <c:pt idx="92">
                  <c:v>29521.300000000007</c:v>
                </c:pt>
                <c:pt idx="93">
                  <c:v>29521.300000000007</c:v>
                </c:pt>
                <c:pt idx="94">
                  <c:v>29521.300000000007</c:v>
                </c:pt>
                <c:pt idx="95">
                  <c:v>26663.700000000004</c:v>
                </c:pt>
                <c:pt idx="96">
                  <c:v>26663.700000000004</c:v>
                </c:pt>
                <c:pt idx="97">
                  <c:v>30339.100000000006</c:v>
                </c:pt>
                <c:pt idx="98">
                  <c:v>30339.100000000006</c:v>
                </c:pt>
                <c:pt idx="99">
                  <c:v>30339.100000000006</c:v>
                </c:pt>
                <c:pt idx="100">
                  <c:v>30339.100000000006</c:v>
                </c:pt>
                <c:pt idx="101">
                  <c:v>29521.30000000001</c:v>
                </c:pt>
                <c:pt idx="102">
                  <c:v>29521.30000000001</c:v>
                </c:pt>
                <c:pt idx="103">
                  <c:v>30442.500000000007</c:v>
                </c:pt>
                <c:pt idx="104">
                  <c:v>30442.500000000007</c:v>
                </c:pt>
                <c:pt idx="105">
                  <c:v>30442.500000000007</c:v>
                </c:pt>
                <c:pt idx="106">
                  <c:v>29676.400000000009</c:v>
                </c:pt>
                <c:pt idx="107">
                  <c:v>29370.900000000009</c:v>
                </c:pt>
                <c:pt idx="108">
                  <c:v>29187.600000000009</c:v>
                </c:pt>
                <c:pt idx="109">
                  <c:v>21750.000000000007</c:v>
                </c:pt>
                <c:pt idx="110">
                  <c:v>16166.400000000011</c:v>
                </c:pt>
                <c:pt idx="111">
                  <c:v>18812.500000000007</c:v>
                </c:pt>
                <c:pt idx="112">
                  <c:v>18812.500000000007</c:v>
                </c:pt>
                <c:pt idx="113">
                  <c:v>17402.500000000007</c:v>
                </c:pt>
                <c:pt idx="114">
                  <c:v>20485.700000000004</c:v>
                </c:pt>
                <c:pt idx="115">
                  <c:v>20076.80000000001</c:v>
                </c:pt>
                <c:pt idx="116">
                  <c:v>20076.80000000001</c:v>
                </c:pt>
                <c:pt idx="117">
                  <c:v>20076.80000000001</c:v>
                </c:pt>
                <c:pt idx="118">
                  <c:v>19103.900000000009</c:v>
                </c:pt>
                <c:pt idx="119">
                  <c:v>19103.900000000009</c:v>
                </c:pt>
                <c:pt idx="120">
                  <c:v>17520.000000000007</c:v>
                </c:pt>
                <c:pt idx="121">
                  <c:v>17285.000000000007</c:v>
                </c:pt>
                <c:pt idx="122">
                  <c:v>17285.000000000007</c:v>
                </c:pt>
                <c:pt idx="123">
                  <c:v>18516.400000000009</c:v>
                </c:pt>
                <c:pt idx="124">
                  <c:v>19691.400000000009</c:v>
                </c:pt>
                <c:pt idx="125">
                  <c:v>19573.900000000009</c:v>
                </c:pt>
                <c:pt idx="126">
                  <c:v>19047.500000000007</c:v>
                </c:pt>
                <c:pt idx="127">
                  <c:v>19047.500000000007</c:v>
                </c:pt>
                <c:pt idx="128">
                  <c:v>19165.000000000007</c:v>
                </c:pt>
                <c:pt idx="129">
                  <c:v>20695.000000000007</c:v>
                </c:pt>
                <c:pt idx="130">
                  <c:v>20695.000000000007</c:v>
                </c:pt>
                <c:pt idx="131">
                  <c:v>20695.000000000007</c:v>
                </c:pt>
                <c:pt idx="132">
                  <c:v>20695.000000000007</c:v>
                </c:pt>
                <c:pt idx="133">
                  <c:v>22217.800000000003</c:v>
                </c:pt>
                <c:pt idx="134">
                  <c:v>20774.900000000001</c:v>
                </c:pt>
                <c:pt idx="135">
                  <c:v>18504.8</c:v>
                </c:pt>
                <c:pt idx="136">
                  <c:v>18504.8</c:v>
                </c:pt>
                <c:pt idx="137">
                  <c:v>18504.8</c:v>
                </c:pt>
                <c:pt idx="138">
                  <c:v>18880.800000000003</c:v>
                </c:pt>
                <c:pt idx="139">
                  <c:v>22349.4</c:v>
                </c:pt>
                <c:pt idx="140">
                  <c:v>22029.800000000003</c:v>
                </c:pt>
                <c:pt idx="141">
                  <c:v>21738.400000000009</c:v>
                </c:pt>
                <c:pt idx="142">
                  <c:v>21738.400000000009</c:v>
                </c:pt>
                <c:pt idx="143">
                  <c:v>19064.100000000006</c:v>
                </c:pt>
                <c:pt idx="144">
                  <c:v>19491.80000000001</c:v>
                </c:pt>
                <c:pt idx="145">
                  <c:v>17625.900000000009</c:v>
                </c:pt>
                <c:pt idx="146">
                  <c:v>16982.000000000007</c:v>
                </c:pt>
                <c:pt idx="147">
                  <c:v>16450.900000000009</c:v>
                </c:pt>
                <c:pt idx="148">
                  <c:v>16450.900000000009</c:v>
                </c:pt>
                <c:pt idx="149">
                  <c:v>16450.900000000009</c:v>
                </c:pt>
                <c:pt idx="150">
                  <c:v>16342.800000000005</c:v>
                </c:pt>
                <c:pt idx="151">
                  <c:v>16234.70000000001</c:v>
                </c:pt>
                <c:pt idx="152">
                  <c:v>6127.5000000000073</c:v>
                </c:pt>
                <c:pt idx="153">
                  <c:v>3321.6000000000058</c:v>
                </c:pt>
                <c:pt idx="154">
                  <c:v>3321.6000000000058</c:v>
                </c:pt>
                <c:pt idx="155">
                  <c:v>3321.6000000000058</c:v>
                </c:pt>
                <c:pt idx="156">
                  <c:v>3321.6000000000058</c:v>
                </c:pt>
                <c:pt idx="157">
                  <c:v>-306.79999999999563</c:v>
                </c:pt>
                <c:pt idx="158">
                  <c:v>-2872.9999999999945</c:v>
                </c:pt>
                <c:pt idx="159">
                  <c:v>-3671.9999999999909</c:v>
                </c:pt>
                <c:pt idx="160">
                  <c:v>-3671.9999999999909</c:v>
                </c:pt>
                <c:pt idx="161">
                  <c:v>-1937.6999999999925</c:v>
                </c:pt>
                <c:pt idx="162">
                  <c:v>-3671.9999999999909</c:v>
                </c:pt>
                <c:pt idx="163">
                  <c:v>-3540.3999999999924</c:v>
                </c:pt>
                <c:pt idx="164">
                  <c:v>-3540.3999999999924</c:v>
                </c:pt>
                <c:pt idx="165">
                  <c:v>-2097.4999999999927</c:v>
                </c:pt>
                <c:pt idx="166">
                  <c:v>-2097.4999999999927</c:v>
                </c:pt>
                <c:pt idx="167">
                  <c:v>-1721.4999999999891</c:v>
                </c:pt>
                <c:pt idx="168">
                  <c:v>-2045.799999999992</c:v>
                </c:pt>
                <c:pt idx="169">
                  <c:v>-2045.799999999992</c:v>
                </c:pt>
                <c:pt idx="170">
                  <c:v>-1829.5999999999931</c:v>
                </c:pt>
                <c:pt idx="171">
                  <c:v>-1829.5999999999931</c:v>
                </c:pt>
                <c:pt idx="172">
                  <c:v>-2045.799999999992</c:v>
                </c:pt>
                <c:pt idx="173">
                  <c:v>-2045.799999999992</c:v>
                </c:pt>
                <c:pt idx="174">
                  <c:v>-3739.9999999999927</c:v>
                </c:pt>
                <c:pt idx="175">
                  <c:v>11365.800000000007</c:v>
                </c:pt>
                <c:pt idx="176">
                  <c:v>-948.19999999998981</c:v>
                </c:pt>
                <c:pt idx="177">
                  <c:v>-948.19999999998981</c:v>
                </c:pt>
                <c:pt idx="178">
                  <c:v>5044.3000000000102</c:v>
                </c:pt>
                <c:pt idx="179">
                  <c:v>8804.3000000000102</c:v>
                </c:pt>
                <c:pt idx="180">
                  <c:v>7920.7000000000044</c:v>
                </c:pt>
                <c:pt idx="181">
                  <c:v>3399.3000000000102</c:v>
                </c:pt>
                <c:pt idx="182">
                  <c:v>3399.3000000000102</c:v>
                </c:pt>
                <c:pt idx="183">
                  <c:v>1989.3000000000102</c:v>
                </c:pt>
                <c:pt idx="184">
                  <c:v>1989.3000000000102</c:v>
                </c:pt>
                <c:pt idx="185">
                  <c:v>1989.3000000000102</c:v>
                </c:pt>
                <c:pt idx="186">
                  <c:v>1458.2000000000044</c:v>
                </c:pt>
                <c:pt idx="187">
                  <c:v>1458.2000000000044</c:v>
                </c:pt>
                <c:pt idx="188">
                  <c:v>2694.3000000000102</c:v>
                </c:pt>
                <c:pt idx="189">
                  <c:v>3046.8000000000102</c:v>
                </c:pt>
                <c:pt idx="190">
                  <c:v>3046.8000000000102</c:v>
                </c:pt>
                <c:pt idx="191">
                  <c:v>3046.8000000000102</c:v>
                </c:pt>
                <c:pt idx="192">
                  <c:v>3046.8000000000102</c:v>
                </c:pt>
                <c:pt idx="193">
                  <c:v>3281.8000000000102</c:v>
                </c:pt>
                <c:pt idx="194">
                  <c:v>3310.0000000000073</c:v>
                </c:pt>
                <c:pt idx="195">
                  <c:v>8717.5000000000073</c:v>
                </c:pt>
                <c:pt idx="196">
                  <c:v>8153.5000000000109</c:v>
                </c:pt>
                <c:pt idx="197">
                  <c:v>12985.100000000009</c:v>
                </c:pt>
                <c:pt idx="198">
                  <c:v>14005.000000000007</c:v>
                </c:pt>
                <c:pt idx="199">
                  <c:v>16919.000000000004</c:v>
                </c:pt>
                <c:pt idx="200">
                  <c:v>21055.000000000007</c:v>
                </c:pt>
                <c:pt idx="201">
                  <c:v>21055.000000000007</c:v>
                </c:pt>
                <c:pt idx="202">
                  <c:v>20646.100000000006</c:v>
                </c:pt>
                <c:pt idx="203">
                  <c:v>21797.600000000013</c:v>
                </c:pt>
                <c:pt idx="204">
                  <c:v>21797.600000000013</c:v>
                </c:pt>
                <c:pt idx="205">
                  <c:v>21797.600000000013</c:v>
                </c:pt>
                <c:pt idx="206">
                  <c:v>20265.400000000009</c:v>
                </c:pt>
                <c:pt idx="207">
                  <c:v>19701.400000000012</c:v>
                </c:pt>
                <c:pt idx="208">
                  <c:v>18423.000000000011</c:v>
                </c:pt>
                <c:pt idx="209">
                  <c:v>15894.400000000005</c:v>
                </c:pt>
                <c:pt idx="210">
                  <c:v>15076.600000000008</c:v>
                </c:pt>
                <c:pt idx="211">
                  <c:v>15433.80000000001</c:v>
                </c:pt>
                <c:pt idx="212">
                  <c:v>17276.200000000008</c:v>
                </c:pt>
                <c:pt idx="213">
                  <c:v>17017.700000000012</c:v>
                </c:pt>
                <c:pt idx="214">
                  <c:v>18549.900000000005</c:v>
                </c:pt>
                <c:pt idx="215">
                  <c:v>16712.200000000012</c:v>
                </c:pt>
                <c:pt idx="216">
                  <c:v>16510.100000000013</c:v>
                </c:pt>
                <c:pt idx="217">
                  <c:v>16585.30000000001</c:v>
                </c:pt>
                <c:pt idx="218">
                  <c:v>12950.000000000013</c:v>
                </c:pt>
                <c:pt idx="219">
                  <c:v>12950.000000000013</c:v>
                </c:pt>
                <c:pt idx="220">
                  <c:v>12950.000000000013</c:v>
                </c:pt>
                <c:pt idx="221">
                  <c:v>11441.300000000014</c:v>
                </c:pt>
                <c:pt idx="222">
                  <c:v>10012.500000000013</c:v>
                </c:pt>
                <c:pt idx="223">
                  <c:v>10012.500000000013</c:v>
                </c:pt>
                <c:pt idx="224">
                  <c:v>10012.500000000013</c:v>
                </c:pt>
                <c:pt idx="225">
                  <c:v>10012.500000000013</c:v>
                </c:pt>
                <c:pt idx="226">
                  <c:v>9650.6000000000167</c:v>
                </c:pt>
                <c:pt idx="227">
                  <c:v>10990.100000000015</c:v>
                </c:pt>
                <c:pt idx="228">
                  <c:v>11300.30000000001</c:v>
                </c:pt>
                <c:pt idx="229">
                  <c:v>9899.7000000000153</c:v>
                </c:pt>
                <c:pt idx="230">
                  <c:v>8893.900000000016</c:v>
                </c:pt>
                <c:pt idx="231">
                  <c:v>9566.0000000000164</c:v>
                </c:pt>
                <c:pt idx="232">
                  <c:v>7996.2000000000116</c:v>
                </c:pt>
                <c:pt idx="233">
                  <c:v>7996.2000000000116</c:v>
                </c:pt>
                <c:pt idx="234">
                  <c:v>5759.0000000000091</c:v>
                </c:pt>
                <c:pt idx="235">
                  <c:v>5759.0000000000091</c:v>
                </c:pt>
                <c:pt idx="236">
                  <c:v>5759.0000000000091</c:v>
                </c:pt>
                <c:pt idx="237">
                  <c:v>5759.0000000000091</c:v>
                </c:pt>
                <c:pt idx="238">
                  <c:v>9660.0000000000127</c:v>
                </c:pt>
                <c:pt idx="239">
                  <c:v>-5729.9999999999873</c:v>
                </c:pt>
                <c:pt idx="240">
                  <c:v>-6289.2999999999856</c:v>
                </c:pt>
                <c:pt idx="241">
                  <c:v>-9480.5999999999876</c:v>
                </c:pt>
                <c:pt idx="242">
                  <c:v>-16022.999999999989</c:v>
                </c:pt>
                <c:pt idx="243">
                  <c:v>-18880.599999999988</c:v>
                </c:pt>
                <c:pt idx="244">
                  <c:v>-29620.099999999988</c:v>
                </c:pt>
                <c:pt idx="245">
                  <c:v>-25845.999999999985</c:v>
                </c:pt>
                <c:pt idx="246">
                  <c:v>-25845.999999999985</c:v>
                </c:pt>
                <c:pt idx="247">
                  <c:v>-26574.499999999985</c:v>
                </c:pt>
                <c:pt idx="248">
                  <c:v>-26574.499999999985</c:v>
                </c:pt>
                <c:pt idx="249">
                  <c:v>-28111.399999999987</c:v>
                </c:pt>
                <c:pt idx="250">
                  <c:v>-28111.399999999987</c:v>
                </c:pt>
                <c:pt idx="251">
                  <c:v>-28111.399999999987</c:v>
                </c:pt>
                <c:pt idx="252">
                  <c:v>-29004.399999999987</c:v>
                </c:pt>
                <c:pt idx="253">
                  <c:v>-28811.699999999986</c:v>
                </c:pt>
                <c:pt idx="254">
                  <c:v>-29483.799999999988</c:v>
                </c:pt>
                <c:pt idx="255">
                  <c:v>-29201.799999999988</c:v>
                </c:pt>
                <c:pt idx="256">
                  <c:v>-29201.799999999988</c:v>
                </c:pt>
                <c:pt idx="257">
                  <c:v>-14876.199999999986</c:v>
                </c:pt>
                <c:pt idx="258">
                  <c:v>-29201.799999999988</c:v>
                </c:pt>
                <c:pt idx="259">
                  <c:v>-28976.199999999986</c:v>
                </c:pt>
                <c:pt idx="260">
                  <c:v>-28976.199999999986</c:v>
                </c:pt>
                <c:pt idx="261">
                  <c:v>-32047.499999999985</c:v>
                </c:pt>
                <c:pt idx="262">
                  <c:v>-32047.499999999985</c:v>
                </c:pt>
                <c:pt idx="263">
                  <c:v>-32047.499999999985</c:v>
                </c:pt>
                <c:pt idx="264">
                  <c:v>-27239.399999999987</c:v>
                </c:pt>
                <c:pt idx="265">
                  <c:v>-23234.999999999985</c:v>
                </c:pt>
                <c:pt idx="266">
                  <c:v>-24184.399999999987</c:v>
                </c:pt>
                <c:pt idx="267">
                  <c:v>-24184.399999999987</c:v>
                </c:pt>
                <c:pt idx="268">
                  <c:v>-24184.399999999987</c:v>
                </c:pt>
                <c:pt idx="269">
                  <c:v>-24184.399999999987</c:v>
                </c:pt>
                <c:pt idx="270">
                  <c:v>-24912.899999999987</c:v>
                </c:pt>
                <c:pt idx="271">
                  <c:v>-24912.899999999987</c:v>
                </c:pt>
                <c:pt idx="272">
                  <c:v>-25528.599999999988</c:v>
                </c:pt>
                <c:pt idx="273">
                  <c:v>-25528.599999999988</c:v>
                </c:pt>
                <c:pt idx="274">
                  <c:v>-25528.599999999988</c:v>
                </c:pt>
                <c:pt idx="275">
                  <c:v>4180.1000000000095</c:v>
                </c:pt>
                <c:pt idx="276">
                  <c:v>-24771.899999999994</c:v>
                </c:pt>
                <c:pt idx="277">
                  <c:v>-25166.699999999993</c:v>
                </c:pt>
                <c:pt idx="278">
                  <c:v>-25669.599999999991</c:v>
                </c:pt>
                <c:pt idx="279">
                  <c:v>-25528.599999999991</c:v>
                </c:pt>
                <c:pt idx="280">
                  <c:v>-24856.499999999993</c:v>
                </c:pt>
                <c:pt idx="281">
                  <c:v>-24771.899999999994</c:v>
                </c:pt>
                <c:pt idx="282">
                  <c:v>-24828.299999999992</c:v>
                </c:pt>
                <c:pt idx="283">
                  <c:v>-24550.999999999993</c:v>
                </c:pt>
                <c:pt idx="284">
                  <c:v>-7839.9999999999927</c:v>
                </c:pt>
                <c:pt idx="285">
                  <c:v>-7839.9999999999927</c:v>
                </c:pt>
                <c:pt idx="286">
                  <c:v>-7839.9999999999927</c:v>
                </c:pt>
                <c:pt idx="287">
                  <c:v>-18476.099999999995</c:v>
                </c:pt>
                <c:pt idx="288">
                  <c:v>-16619.599999999995</c:v>
                </c:pt>
                <c:pt idx="289">
                  <c:v>-16619.599999999995</c:v>
                </c:pt>
                <c:pt idx="290">
                  <c:v>-14612.699999999993</c:v>
                </c:pt>
                <c:pt idx="291">
                  <c:v>-13870.099999999995</c:v>
                </c:pt>
                <c:pt idx="292">
                  <c:v>-13870.099999999995</c:v>
                </c:pt>
                <c:pt idx="293">
                  <c:v>-12507.099999999993</c:v>
                </c:pt>
                <c:pt idx="294">
                  <c:v>-12507.099999999993</c:v>
                </c:pt>
                <c:pt idx="295">
                  <c:v>-11087.699999999993</c:v>
                </c:pt>
                <c:pt idx="296">
                  <c:v>-11581.199999999993</c:v>
                </c:pt>
                <c:pt idx="297">
                  <c:v>-10932.599999999997</c:v>
                </c:pt>
                <c:pt idx="298">
                  <c:v>-10932.599999999997</c:v>
                </c:pt>
                <c:pt idx="299">
                  <c:v>-10622.399999999992</c:v>
                </c:pt>
                <c:pt idx="300">
                  <c:v>-10373.299999999994</c:v>
                </c:pt>
                <c:pt idx="301">
                  <c:v>-10373.299999999994</c:v>
                </c:pt>
                <c:pt idx="302">
                  <c:v>-10561.299999999996</c:v>
                </c:pt>
                <c:pt idx="303">
                  <c:v>-10561.299999999996</c:v>
                </c:pt>
                <c:pt idx="304">
                  <c:v>-11832.499999999995</c:v>
                </c:pt>
                <c:pt idx="305">
                  <c:v>-11832.499999999995</c:v>
                </c:pt>
                <c:pt idx="306">
                  <c:v>-11832.499999999995</c:v>
                </c:pt>
                <c:pt idx="307">
                  <c:v>-11832.499999999995</c:v>
                </c:pt>
                <c:pt idx="308">
                  <c:v>-11832.499999999995</c:v>
                </c:pt>
                <c:pt idx="309">
                  <c:v>-11832.499999999995</c:v>
                </c:pt>
                <c:pt idx="310">
                  <c:v>-12701.999999999993</c:v>
                </c:pt>
                <c:pt idx="311">
                  <c:v>-13092.099999999995</c:v>
                </c:pt>
                <c:pt idx="312">
                  <c:v>-13092.099999999995</c:v>
                </c:pt>
                <c:pt idx="313">
                  <c:v>-13092.099999999995</c:v>
                </c:pt>
                <c:pt idx="314">
                  <c:v>-10013.599999999995</c:v>
                </c:pt>
                <c:pt idx="315">
                  <c:v>-9736.2999999999956</c:v>
                </c:pt>
                <c:pt idx="316">
                  <c:v>-9736.2999999999956</c:v>
                </c:pt>
                <c:pt idx="317">
                  <c:v>-8838.5999999999949</c:v>
                </c:pt>
                <c:pt idx="318">
                  <c:v>-8838.5999999999949</c:v>
                </c:pt>
                <c:pt idx="319">
                  <c:v>-9341.4999999999945</c:v>
                </c:pt>
                <c:pt idx="320">
                  <c:v>-10041.799999999992</c:v>
                </c:pt>
                <c:pt idx="321">
                  <c:v>-10041.799999999992</c:v>
                </c:pt>
                <c:pt idx="322">
                  <c:v>-9787.9999999999964</c:v>
                </c:pt>
                <c:pt idx="323">
                  <c:v>-9787.9999999999964</c:v>
                </c:pt>
                <c:pt idx="324">
                  <c:v>-9787.9999999999964</c:v>
                </c:pt>
                <c:pt idx="325">
                  <c:v>-6424.9999999999945</c:v>
                </c:pt>
                <c:pt idx="326">
                  <c:v>-5249.9999999999945</c:v>
                </c:pt>
                <c:pt idx="327">
                  <c:v>-7599.9999999999945</c:v>
                </c:pt>
                <c:pt idx="328">
                  <c:v>-6424.9999999999945</c:v>
                </c:pt>
                <c:pt idx="329">
                  <c:v>-5249.9999999999945</c:v>
                </c:pt>
                <c:pt idx="330">
                  <c:v>-5461.4999999999955</c:v>
                </c:pt>
                <c:pt idx="331">
                  <c:v>-5461.4999999999955</c:v>
                </c:pt>
                <c:pt idx="332">
                  <c:v>-5461.4999999999955</c:v>
                </c:pt>
                <c:pt idx="333">
                  <c:v>-5461.4999999999955</c:v>
                </c:pt>
                <c:pt idx="334">
                  <c:v>-5461.4999999999955</c:v>
                </c:pt>
                <c:pt idx="335">
                  <c:v>-6424.9999999999945</c:v>
                </c:pt>
                <c:pt idx="336">
                  <c:v>-6721.0999999999958</c:v>
                </c:pt>
                <c:pt idx="337">
                  <c:v>-6453.1999999999962</c:v>
                </c:pt>
                <c:pt idx="338">
                  <c:v>-6453.1999999999962</c:v>
                </c:pt>
                <c:pt idx="339">
                  <c:v>-6453.1999999999962</c:v>
                </c:pt>
                <c:pt idx="340">
                  <c:v>-6636.4999999999955</c:v>
                </c:pt>
                <c:pt idx="341">
                  <c:v>-6636.4999999999955</c:v>
                </c:pt>
                <c:pt idx="342">
                  <c:v>-7040.6999999999962</c:v>
                </c:pt>
                <c:pt idx="343">
                  <c:v>-6721.0999999999958</c:v>
                </c:pt>
                <c:pt idx="344">
                  <c:v>-6556.5999999999931</c:v>
                </c:pt>
                <c:pt idx="345">
                  <c:v>-6453.1999999999962</c:v>
                </c:pt>
                <c:pt idx="346">
                  <c:v>-6424.9999999999945</c:v>
                </c:pt>
                <c:pt idx="347">
                  <c:v>-3367.4999999999945</c:v>
                </c:pt>
                <c:pt idx="348">
                  <c:v>-3367.4999999999945</c:v>
                </c:pt>
                <c:pt idx="349">
                  <c:v>-2300.599999999994</c:v>
                </c:pt>
                <c:pt idx="350">
                  <c:v>-2300.599999999994</c:v>
                </c:pt>
                <c:pt idx="351">
                  <c:v>-1792.9999999999964</c:v>
                </c:pt>
                <c:pt idx="352">
                  <c:v>-1337.0999999999949</c:v>
                </c:pt>
                <c:pt idx="353">
                  <c:v>-2620.1999999999944</c:v>
                </c:pt>
                <c:pt idx="354">
                  <c:v>-2620.1999999999944</c:v>
                </c:pt>
                <c:pt idx="355">
                  <c:v>-2620.1999999999944</c:v>
                </c:pt>
                <c:pt idx="356">
                  <c:v>-885.899999999996</c:v>
                </c:pt>
                <c:pt idx="357">
                  <c:v>-885.899999999996</c:v>
                </c:pt>
                <c:pt idx="358">
                  <c:v>-857.69999999999891</c:v>
                </c:pt>
                <c:pt idx="359">
                  <c:v>-321.89999999999054</c:v>
                </c:pt>
                <c:pt idx="360">
                  <c:v>-321.89999999999054</c:v>
                </c:pt>
                <c:pt idx="361">
                  <c:v>-321.89999999999054</c:v>
                </c:pt>
                <c:pt idx="362">
                  <c:v>745.00000000000546</c:v>
                </c:pt>
                <c:pt idx="363">
                  <c:v>745.00000000000546</c:v>
                </c:pt>
                <c:pt idx="364">
                  <c:v>745.00000000000546</c:v>
                </c:pt>
                <c:pt idx="365">
                  <c:v>745.00000000000546</c:v>
                </c:pt>
                <c:pt idx="366">
                  <c:v>745.00000000000546</c:v>
                </c:pt>
                <c:pt idx="367">
                  <c:v>970.60000000000946</c:v>
                </c:pt>
                <c:pt idx="368">
                  <c:v>970.60000000000946</c:v>
                </c:pt>
                <c:pt idx="369">
                  <c:v>7915.0000000000055</c:v>
                </c:pt>
                <c:pt idx="370">
                  <c:v>9592.9000000000051</c:v>
                </c:pt>
                <c:pt idx="371">
                  <c:v>9592.9000000000051</c:v>
                </c:pt>
                <c:pt idx="372">
                  <c:v>9592.9000000000051</c:v>
                </c:pt>
                <c:pt idx="373">
                  <c:v>9592.9000000000051</c:v>
                </c:pt>
                <c:pt idx="374">
                  <c:v>10937.100000000006</c:v>
                </c:pt>
                <c:pt idx="375">
                  <c:v>10937.100000000006</c:v>
                </c:pt>
                <c:pt idx="376">
                  <c:v>12897.000000000004</c:v>
                </c:pt>
                <c:pt idx="377">
                  <c:v>12897.000000000004</c:v>
                </c:pt>
                <c:pt idx="378">
                  <c:v>12558.600000000002</c:v>
                </c:pt>
                <c:pt idx="379">
                  <c:v>12868.800000000007</c:v>
                </c:pt>
                <c:pt idx="380">
                  <c:v>13705.400000000005</c:v>
                </c:pt>
                <c:pt idx="381">
                  <c:v>13705.400000000005</c:v>
                </c:pt>
                <c:pt idx="382">
                  <c:v>13705.400000000005</c:v>
                </c:pt>
                <c:pt idx="383">
                  <c:v>13705.400000000005</c:v>
                </c:pt>
                <c:pt idx="384">
                  <c:v>13536.200000000004</c:v>
                </c:pt>
                <c:pt idx="385">
                  <c:v>12840.600000000009</c:v>
                </c:pt>
                <c:pt idx="386">
                  <c:v>12281.300000000007</c:v>
                </c:pt>
                <c:pt idx="387">
                  <c:v>12281.300000000007</c:v>
                </c:pt>
                <c:pt idx="388">
                  <c:v>12224.900000000003</c:v>
                </c:pt>
                <c:pt idx="389">
                  <c:v>12224.900000000003</c:v>
                </c:pt>
                <c:pt idx="390">
                  <c:v>9210.0000000000055</c:v>
                </c:pt>
                <c:pt idx="391">
                  <c:v>8646.0000000000091</c:v>
                </c:pt>
                <c:pt idx="392">
                  <c:v>7038.6000000000022</c:v>
                </c:pt>
                <c:pt idx="393">
                  <c:v>7038.6000000000022</c:v>
                </c:pt>
                <c:pt idx="394">
                  <c:v>5017.6000000000076</c:v>
                </c:pt>
                <c:pt idx="395">
                  <c:v>5017.6000000000076</c:v>
                </c:pt>
                <c:pt idx="396">
                  <c:v>4561.7000000000062</c:v>
                </c:pt>
                <c:pt idx="397">
                  <c:v>4134.0000000000018</c:v>
                </c:pt>
                <c:pt idx="398">
                  <c:v>4134.0000000000018</c:v>
                </c:pt>
                <c:pt idx="399">
                  <c:v>1144.8000000000011</c:v>
                </c:pt>
                <c:pt idx="400">
                  <c:v>449.20000000000618</c:v>
                </c:pt>
                <c:pt idx="401">
                  <c:v>449.20000000000618</c:v>
                </c:pt>
                <c:pt idx="402">
                  <c:v>-829.19999999999527</c:v>
                </c:pt>
                <c:pt idx="403">
                  <c:v>-2887.7999999999965</c:v>
                </c:pt>
                <c:pt idx="404">
                  <c:v>-2887.7999999999965</c:v>
                </c:pt>
                <c:pt idx="405">
                  <c:v>-2887.7999999999965</c:v>
                </c:pt>
                <c:pt idx="406">
                  <c:v>-5101.4999999999955</c:v>
                </c:pt>
                <c:pt idx="407">
                  <c:v>-2225.0999999999967</c:v>
                </c:pt>
                <c:pt idx="408">
                  <c:v>-1961.8999999999951</c:v>
                </c:pt>
                <c:pt idx="409">
                  <c:v>-2356.6999999999953</c:v>
                </c:pt>
                <c:pt idx="410">
                  <c:v>-4598.5999999999958</c:v>
                </c:pt>
                <c:pt idx="411">
                  <c:v>-4861.7999999999929</c:v>
                </c:pt>
                <c:pt idx="412">
                  <c:v>-4302.4999999999945</c:v>
                </c:pt>
                <c:pt idx="413">
                  <c:v>-21219.999999999993</c:v>
                </c:pt>
                <c:pt idx="414">
                  <c:v>-21219.999999999993</c:v>
                </c:pt>
                <c:pt idx="415">
                  <c:v>-14870.299999999996</c:v>
                </c:pt>
                <c:pt idx="416">
                  <c:v>-15636.399999999992</c:v>
                </c:pt>
                <c:pt idx="417">
                  <c:v>-16139.299999999992</c:v>
                </c:pt>
                <c:pt idx="418">
                  <c:v>-16313.199999999995</c:v>
                </c:pt>
                <c:pt idx="419">
                  <c:v>-16440.099999999995</c:v>
                </c:pt>
                <c:pt idx="420">
                  <c:v>-16421.299999999996</c:v>
                </c:pt>
                <c:pt idx="421">
                  <c:v>-13051.399999999994</c:v>
                </c:pt>
                <c:pt idx="422">
                  <c:v>-11707.199999999993</c:v>
                </c:pt>
                <c:pt idx="423">
                  <c:v>-11707.199999999993</c:v>
                </c:pt>
                <c:pt idx="424">
                  <c:v>-13667.099999999995</c:v>
                </c:pt>
                <c:pt idx="425">
                  <c:v>-13667.099999999995</c:v>
                </c:pt>
                <c:pt idx="426">
                  <c:v>-13699.999999999995</c:v>
                </c:pt>
                <c:pt idx="427">
                  <c:v>-13887.999999999996</c:v>
                </c:pt>
                <c:pt idx="428">
                  <c:v>-13887.999999999996</c:v>
                </c:pt>
                <c:pt idx="429">
                  <c:v>-13887.999999999996</c:v>
                </c:pt>
                <c:pt idx="430">
                  <c:v>-14226.399999999994</c:v>
                </c:pt>
                <c:pt idx="431">
                  <c:v>-14395.599999999995</c:v>
                </c:pt>
                <c:pt idx="432">
                  <c:v>-14395.599999999995</c:v>
                </c:pt>
                <c:pt idx="433">
                  <c:v>-14395.599999999995</c:v>
                </c:pt>
                <c:pt idx="434">
                  <c:v>-16987.499999999996</c:v>
                </c:pt>
                <c:pt idx="435">
                  <c:v>-16987.499999999996</c:v>
                </c:pt>
                <c:pt idx="436">
                  <c:v>-16987.499999999996</c:v>
                </c:pt>
                <c:pt idx="437">
                  <c:v>-15422.399999999994</c:v>
                </c:pt>
                <c:pt idx="438">
                  <c:v>-15422.399999999994</c:v>
                </c:pt>
                <c:pt idx="439">
                  <c:v>-14468.299999999996</c:v>
                </c:pt>
                <c:pt idx="440">
                  <c:v>-14919.499999999995</c:v>
                </c:pt>
                <c:pt idx="441">
                  <c:v>-12818.599999999999</c:v>
                </c:pt>
                <c:pt idx="442">
                  <c:v>-13565.899999999998</c:v>
                </c:pt>
                <c:pt idx="443">
                  <c:v>-12870.3</c:v>
                </c:pt>
                <c:pt idx="444">
                  <c:v>-12870.3</c:v>
                </c:pt>
                <c:pt idx="445">
                  <c:v>-13485.999999999996</c:v>
                </c:pt>
                <c:pt idx="446">
                  <c:v>-17767.699999999997</c:v>
                </c:pt>
                <c:pt idx="447">
                  <c:v>-19530.199999999997</c:v>
                </c:pt>
                <c:pt idx="448">
                  <c:v>-22885.999999999996</c:v>
                </c:pt>
                <c:pt idx="449">
                  <c:v>-22885.999999999996</c:v>
                </c:pt>
                <c:pt idx="450">
                  <c:v>-23783.699999999997</c:v>
                </c:pt>
                <c:pt idx="451">
                  <c:v>-23783.699999999997</c:v>
                </c:pt>
                <c:pt idx="452">
                  <c:v>-23783.699999999997</c:v>
                </c:pt>
                <c:pt idx="453">
                  <c:v>-23783.699999999997</c:v>
                </c:pt>
                <c:pt idx="454">
                  <c:v>-24455.799999999996</c:v>
                </c:pt>
                <c:pt idx="455">
                  <c:v>-24286.6</c:v>
                </c:pt>
                <c:pt idx="456">
                  <c:v>-44480</c:v>
                </c:pt>
                <c:pt idx="457">
                  <c:v>-36052.9</c:v>
                </c:pt>
                <c:pt idx="458">
                  <c:v>-33369.200000000004</c:v>
                </c:pt>
                <c:pt idx="459">
                  <c:v>-37453.500000000007</c:v>
                </c:pt>
                <c:pt idx="460">
                  <c:v>-33571.30000000001</c:v>
                </c:pt>
                <c:pt idx="461">
                  <c:v>-33571.30000000001</c:v>
                </c:pt>
                <c:pt idx="462">
                  <c:v>-33571.30000000001</c:v>
                </c:pt>
                <c:pt idx="463">
                  <c:v>-31940.400000000009</c:v>
                </c:pt>
                <c:pt idx="464">
                  <c:v>-30022.80000000001</c:v>
                </c:pt>
                <c:pt idx="465">
                  <c:v>-30022.80000000001</c:v>
                </c:pt>
                <c:pt idx="466">
                  <c:v>-31019.200000000012</c:v>
                </c:pt>
                <c:pt idx="467">
                  <c:v>-29792.500000000011</c:v>
                </c:pt>
                <c:pt idx="468">
                  <c:v>-29510.500000000011</c:v>
                </c:pt>
                <c:pt idx="469">
                  <c:v>-29769.000000000011</c:v>
                </c:pt>
                <c:pt idx="470">
                  <c:v>-29769.000000000011</c:v>
                </c:pt>
                <c:pt idx="471">
                  <c:v>-29769.000000000011</c:v>
                </c:pt>
                <c:pt idx="472">
                  <c:v>-29769.000000000011</c:v>
                </c:pt>
                <c:pt idx="473">
                  <c:v>-29613.900000000012</c:v>
                </c:pt>
                <c:pt idx="474">
                  <c:v>-28462.400000000012</c:v>
                </c:pt>
                <c:pt idx="475">
                  <c:v>-28462.400000000012</c:v>
                </c:pt>
                <c:pt idx="476">
                  <c:v>-28462.400000000012</c:v>
                </c:pt>
                <c:pt idx="477">
                  <c:v>-28462.400000000012</c:v>
                </c:pt>
                <c:pt idx="478">
                  <c:v>-28312.000000000015</c:v>
                </c:pt>
                <c:pt idx="479">
                  <c:v>-9110.0000000000146</c:v>
                </c:pt>
                <c:pt idx="480">
                  <c:v>-12635.000000000015</c:v>
                </c:pt>
                <c:pt idx="481">
                  <c:v>-9293.3000000000138</c:v>
                </c:pt>
                <c:pt idx="482">
                  <c:v>-3855.4000000000142</c:v>
                </c:pt>
                <c:pt idx="483">
                  <c:v>-4316.0000000000136</c:v>
                </c:pt>
                <c:pt idx="484">
                  <c:v>-3451.2000000000135</c:v>
                </c:pt>
                <c:pt idx="485">
                  <c:v>-1439.6000000000149</c:v>
                </c:pt>
                <c:pt idx="486">
                  <c:v>-1068.3000000000138</c:v>
                </c:pt>
                <c:pt idx="487">
                  <c:v>2329.7999999999811</c:v>
                </c:pt>
                <c:pt idx="488">
                  <c:v>2329.7999999999811</c:v>
                </c:pt>
                <c:pt idx="489">
                  <c:v>2329.7999999999811</c:v>
                </c:pt>
                <c:pt idx="490">
                  <c:v>2329.7999999999811</c:v>
                </c:pt>
                <c:pt idx="491">
                  <c:v>2978.3999999999869</c:v>
                </c:pt>
                <c:pt idx="492">
                  <c:v>4651.599999999984</c:v>
                </c:pt>
                <c:pt idx="493">
                  <c:v>4341.3999999999887</c:v>
                </c:pt>
                <c:pt idx="494">
                  <c:v>3847.8999999999851</c:v>
                </c:pt>
                <c:pt idx="495">
                  <c:v>4585.7999999999847</c:v>
                </c:pt>
                <c:pt idx="496">
                  <c:v>5022.8999999999851</c:v>
                </c:pt>
                <c:pt idx="497">
                  <c:v>5022.8999999999851</c:v>
                </c:pt>
                <c:pt idx="498">
                  <c:v>5022.8999999999851</c:v>
                </c:pt>
                <c:pt idx="499">
                  <c:v>23909.999999999985</c:v>
                </c:pt>
                <c:pt idx="500">
                  <c:v>27834.499999999985</c:v>
                </c:pt>
                <c:pt idx="501">
                  <c:v>27834.499999999985</c:v>
                </c:pt>
                <c:pt idx="502">
                  <c:v>27834.499999999985</c:v>
                </c:pt>
                <c:pt idx="503">
                  <c:v>32402.899999999987</c:v>
                </c:pt>
                <c:pt idx="504">
                  <c:v>32402.899999999987</c:v>
                </c:pt>
                <c:pt idx="505">
                  <c:v>38705.599999999991</c:v>
                </c:pt>
                <c:pt idx="506">
                  <c:v>41910.999999999993</c:v>
                </c:pt>
                <c:pt idx="507">
                  <c:v>41910.999999999993</c:v>
                </c:pt>
                <c:pt idx="508">
                  <c:v>48852.899999999994</c:v>
                </c:pt>
                <c:pt idx="509">
                  <c:v>55258.999999999985</c:v>
                </c:pt>
                <c:pt idx="510">
                  <c:v>55846.499999999985</c:v>
                </c:pt>
                <c:pt idx="511">
                  <c:v>53176.899999999994</c:v>
                </c:pt>
                <c:pt idx="512">
                  <c:v>51978.399999999994</c:v>
                </c:pt>
                <c:pt idx="513">
                  <c:v>54328.399999999994</c:v>
                </c:pt>
                <c:pt idx="514">
                  <c:v>53393.099999999991</c:v>
                </c:pt>
                <c:pt idx="515">
                  <c:v>53393.099999999991</c:v>
                </c:pt>
                <c:pt idx="516">
                  <c:v>53393.099999999991</c:v>
                </c:pt>
                <c:pt idx="517">
                  <c:v>53393.099999999991</c:v>
                </c:pt>
                <c:pt idx="518">
                  <c:v>53393.099999999991</c:v>
                </c:pt>
                <c:pt idx="519">
                  <c:v>53393.099999999991</c:v>
                </c:pt>
                <c:pt idx="520">
                  <c:v>53496.499999999993</c:v>
                </c:pt>
                <c:pt idx="521">
                  <c:v>53496.499999999993</c:v>
                </c:pt>
                <c:pt idx="522">
                  <c:v>69855</c:v>
                </c:pt>
                <c:pt idx="523">
                  <c:v>69855</c:v>
                </c:pt>
                <c:pt idx="524">
                  <c:v>70968.899999999994</c:v>
                </c:pt>
                <c:pt idx="525">
                  <c:v>70968.899999999994</c:v>
                </c:pt>
                <c:pt idx="526">
                  <c:v>91413.9</c:v>
                </c:pt>
                <c:pt idx="527">
                  <c:v>91413.9</c:v>
                </c:pt>
                <c:pt idx="528">
                  <c:v>91296.4</c:v>
                </c:pt>
                <c:pt idx="529">
                  <c:v>91296.4</c:v>
                </c:pt>
                <c:pt idx="530">
                  <c:v>91296.4</c:v>
                </c:pt>
                <c:pt idx="531">
                  <c:v>93411.4</c:v>
                </c:pt>
                <c:pt idx="532">
                  <c:v>92443.199999999997</c:v>
                </c:pt>
                <c:pt idx="533">
                  <c:v>92151.8</c:v>
                </c:pt>
                <c:pt idx="534">
                  <c:v>92151.8</c:v>
                </c:pt>
                <c:pt idx="535">
                  <c:v>92678.2</c:v>
                </c:pt>
                <c:pt idx="536">
                  <c:v>91738.2</c:v>
                </c:pt>
                <c:pt idx="537">
                  <c:v>90506.8</c:v>
                </c:pt>
                <c:pt idx="538">
                  <c:v>90154.3</c:v>
                </c:pt>
                <c:pt idx="539">
                  <c:v>90300</c:v>
                </c:pt>
                <c:pt idx="540">
                  <c:v>90887.5</c:v>
                </c:pt>
                <c:pt idx="541">
                  <c:v>91061.4</c:v>
                </c:pt>
                <c:pt idx="542">
                  <c:v>90887.5</c:v>
                </c:pt>
                <c:pt idx="543">
                  <c:v>90680.7</c:v>
                </c:pt>
                <c:pt idx="544">
                  <c:v>89362.5</c:v>
                </c:pt>
                <c:pt idx="545">
                  <c:v>85466.200000000012</c:v>
                </c:pt>
                <c:pt idx="546">
                  <c:v>85466.200000000012</c:v>
                </c:pt>
                <c:pt idx="547">
                  <c:v>82994</c:v>
                </c:pt>
                <c:pt idx="548">
                  <c:v>87167.6</c:v>
                </c:pt>
                <c:pt idx="549">
                  <c:v>86302.800000000017</c:v>
                </c:pt>
                <c:pt idx="550">
                  <c:v>84291.200000000012</c:v>
                </c:pt>
                <c:pt idx="551">
                  <c:v>85405.1</c:v>
                </c:pt>
                <c:pt idx="552">
                  <c:v>86763.400000000009</c:v>
                </c:pt>
                <c:pt idx="553">
                  <c:v>84601.4</c:v>
                </c:pt>
                <c:pt idx="554">
                  <c:v>84601.4</c:v>
                </c:pt>
                <c:pt idx="555">
                  <c:v>87383.799999999988</c:v>
                </c:pt>
                <c:pt idx="556">
                  <c:v>85654.2</c:v>
                </c:pt>
                <c:pt idx="557">
                  <c:v>85870.400000000009</c:v>
                </c:pt>
                <c:pt idx="558">
                  <c:v>85499.1</c:v>
                </c:pt>
                <c:pt idx="559">
                  <c:v>85188.9</c:v>
                </c:pt>
                <c:pt idx="560">
                  <c:v>85433.3</c:v>
                </c:pt>
                <c:pt idx="561">
                  <c:v>85898.6</c:v>
                </c:pt>
                <c:pt idx="562">
                  <c:v>86331</c:v>
                </c:pt>
                <c:pt idx="563">
                  <c:v>86519</c:v>
                </c:pt>
                <c:pt idx="564">
                  <c:v>98295</c:v>
                </c:pt>
                <c:pt idx="565">
                  <c:v>98295</c:v>
                </c:pt>
                <c:pt idx="566">
                  <c:v>95597.2</c:v>
                </c:pt>
                <c:pt idx="567">
                  <c:v>97627.6</c:v>
                </c:pt>
                <c:pt idx="568">
                  <c:v>100513.40000000001</c:v>
                </c:pt>
                <c:pt idx="569">
                  <c:v>100057.5</c:v>
                </c:pt>
                <c:pt idx="570">
                  <c:v>100057.5</c:v>
                </c:pt>
                <c:pt idx="571">
                  <c:v>100057.5</c:v>
                </c:pt>
                <c:pt idx="572">
                  <c:v>100057.5</c:v>
                </c:pt>
                <c:pt idx="573">
                  <c:v>101444</c:v>
                </c:pt>
                <c:pt idx="574">
                  <c:v>101768.3</c:v>
                </c:pt>
                <c:pt idx="575">
                  <c:v>99709.7</c:v>
                </c:pt>
                <c:pt idx="576">
                  <c:v>100245.5</c:v>
                </c:pt>
                <c:pt idx="577">
                  <c:v>101928.1</c:v>
                </c:pt>
                <c:pt idx="578">
                  <c:v>101711.90000000002</c:v>
                </c:pt>
                <c:pt idx="579">
                  <c:v>101711.90000000002</c:v>
                </c:pt>
                <c:pt idx="580">
                  <c:v>102355.80000000002</c:v>
                </c:pt>
                <c:pt idx="581">
                  <c:v>102355.80000000002</c:v>
                </c:pt>
                <c:pt idx="582">
                  <c:v>102355.80000000002</c:v>
                </c:pt>
                <c:pt idx="583">
                  <c:v>102595.50000000001</c:v>
                </c:pt>
                <c:pt idx="584">
                  <c:v>102807.00000000003</c:v>
                </c:pt>
                <c:pt idx="585">
                  <c:v>102807.00000000003</c:v>
                </c:pt>
                <c:pt idx="586">
                  <c:v>114865.00000000003</c:v>
                </c:pt>
                <c:pt idx="587">
                  <c:v>114865.00000000003</c:v>
                </c:pt>
                <c:pt idx="588">
                  <c:v>114865.00000000003</c:v>
                </c:pt>
                <c:pt idx="589">
                  <c:v>114865.00000000003</c:v>
                </c:pt>
                <c:pt idx="590">
                  <c:v>115870.80000000003</c:v>
                </c:pt>
                <c:pt idx="591">
                  <c:v>122056.00000000001</c:v>
                </c:pt>
                <c:pt idx="592">
                  <c:v>123395.50000000003</c:v>
                </c:pt>
                <c:pt idx="593">
                  <c:v>125078.10000000005</c:v>
                </c:pt>
                <c:pt idx="594">
                  <c:v>126643.20000000004</c:v>
                </c:pt>
                <c:pt idx="595">
                  <c:v>129552.50000000004</c:v>
                </c:pt>
                <c:pt idx="596">
                  <c:v>129552.50000000004</c:v>
                </c:pt>
                <c:pt idx="597">
                  <c:v>129552.50000000004</c:v>
                </c:pt>
                <c:pt idx="598">
                  <c:v>129552.50000000004</c:v>
                </c:pt>
                <c:pt idx="599">
                  <c:v>130558.30000000006</c:v>
                </c:pt>
                <c:pt idx="600">
                  <c:v>129886.20000000004</c:v>
                </c:pt>
                <c:pt idx="601">
                  <c:v>129886.20000000004</c:v>
                </c:pt>
                <c:pt idx="602">
                  <c:v>128208.30000000008</c:v>
                </c:pt>
                <c:pt idx="603">
                  <c:v>128208.30000000008</c:v>
                </c:pt>
                <c:pt idx="604">
                  <c:v>128208.30000000008</c:v>
                </c:pt>
                <c:pt idx="605">
                  <c:v>128123.70000000004</c:v>
                </c:pt>
                <c:pt idx="606">
                  <c:v>128015.60000000006</c:v>
                </c:pt>
                <c:pt idx="607">
                  <c:v>128015.60000000006</c:v>
                </c:pt>
                <c:pt idx="608">
                  <c:v>132022.50000000006</c:v>
                </c:pt>
                <c:pt idx="609">
                  <c:v>129230.70000000006</c:v>
                </c:pt>
                <c:pt idx="610">
                  <c:v>129230.70000000006</c:v>
                </c:pt>
                <c:pt idx="611">
                  <c:v>128732.50000000006</c:v>
                </c:pt>
                <c:pt idx="612">
                  <c:v>128732.50000000006</c:v>
                </c:pt>
                <c:pt idx="613">
                  <c:v>128290.70000000006</c:v>
                </c:pt>
                <c:pt idx="614">
                  <c:v>127059.30000000006</c:v>
                </c:pt>
                <c:pt idx="615">
                  <c:v>127059.30000000006</c:v>
                </c:pt>
                <c:pt idx="616">
                  <c:v>127059.30000000006</c:v>
                </c:pt>
                <c:pt idx="617">
                  <c:v>127059.30000000006</c:v>
                </c:pt>
                <c:pt idx="618">
                  <c:v>127059.30000000006</c:v>
                </c:pt>
                <c:pt idx="619">
                  <c:v>127059.30000000006</c:v>
                </c:pt>
                <c:pt idx="620">
                  <c:v>126824.30000000006</c:v>
                </c:pt>
                <c:pt idx="621">
                  <c:v>128262.50000000006</c:v>
                </c:pt>
                <c:pt idx="622">
                  <c:v>129672.50000000006</c:v>
                </c:pt>
                <c:pt idx="623">
                  <c:v>131138.90000000005</c:v>
                </c:pt>
                <c:pt idx="624">
                  <c:v>131138.90000000005</c:v>
                </c:pt>
                <c:pt idx="625">
                  <c:v>130668.90000000005</c:v>
                </c:pt>
                <c:pt idx="626">
                  <c:v>129879.30000000006</c:v>
                </c:pt>
                <c:pt idx="627">
                  <c:v>129996.80000000006</c:v>
                </c:pt>
                <c:pt idx="628">
                  <c:v>129996.80000000006</c:v>
                </c:pt>
                <c:pt idx="629">
                  <c:v>133905.00000000006</c:v>
                </c:pt>
                <c:pt idx="630">
                  <c:v>137270.20000000007</c:v>
                </c:pt>
                <c:pt idx="631">
                  <c:v>139404.00000000009</c:v>
                </c:pt>
                <c:pt idx="632">
                  <c:v>138896.40000000008</c:v>
                </c:pt>
                <c:pt idx="633">
                  <c:v>141302.80000000008</c:v>
                </c:pt>
                <c:pt idx="634">
                  <c:v>140846.90000000008</c:v>
                </c:pt>
                <c:pt idx="635">
                  <c:v>140419.20000000007</c:v>
                </c:pt>
                <c:pt idx="636">
                  <c:v>141222.90000000008</c:v>
                </c:pt>
                <c:pt idx="637">
                  <c:v>142341.50000000009</c:v>
                </c:pt>
                <c:pt idx="638">
                  <c:v>142341.50000000009</c:v>
                </c:pt>
                <c:pt idx="639">
                  <c:v>142341.50000000009</c:v>
                </c:pt>
                <c:pt idx="640">
                  <c:v>141754.00000000009</c:v>
                </c:pt>
                <c:pt idx="641">
                  <c:v>140955.00000000006</c:v>
                </c:pt>
                <c:pt idx="642">
                  <c:v>140955.00000000006</c:v>
                </c:pt>
                <c:pt idx="643">
                  <c:v>140315.80000000008</c:v>
                </c:pt>
                <c:pt idx="644">
                  <c:v>140687.10000000003</c:v>
                </c:pt>
                <c:pt idx="645">
                  <c:v>141006.70000000001</c:v>
                </c:pt>
                <c:pt idx="646">
                  <c:v>141274.60000000003</c:v>
                </c:pt>
                <c:pt idx="647">
                  <c:v>141918.50000000003</c:v>
                </c:pt>
                <c:pt idx="648">
                  <c:v>142078.30000000005</c:v>
                </c:pt>
                <c:pt idx="649">
                  <c:v>142181.70000000001</c:v>
                </c:pt>
                <c:pt idx="650">
                  <c:v>142238.10000000003</c:v>
                </c:pt>
                <c:pt idx="651">
                  <c:v>152825.00000000003</c:v>
                </c:pt>
                <c:pt idx="652">
                  <c:v>153948.30000000005</c:v>
                </c:pt>
                <c:pt idx="653">
                  <c:v>153948.30000000005</c:v>
                </c:pt>
                <c:pt idx="654">
                  <c:v>157149.00000000006</c:v>
                </c:pt>
                <c:pt idx="655">
                  <c:v>157149.00000000006</c:v>
                </c:pt>
                <c:pt idx="656">
                  <c:v>157633.10000000006</c:v>
                </c:pt>
                <c:pt idx="657">
                  <c:v>157177.20000000007</c:v>
                </c:pt>
                <c:pt idx="658">
                  <c:v>157177.20000000007</c:v>
                </c:pt>
                <c:pt idx="659">
                  <c:v>157576.70000000004</c:v>
                </c:pt>
                <c:pt idx="660">
                  <c:v>157576.70000000004</c:v>
                </c:pt>
                <c:pt idx="661">
                  <c:v>157576.70000000004</c:v>
                </c:pt>
                <c:pt idx="662">
                  <c:v>157576.70000000004</c:v>
                </c:pt>
                <c:pt idx="663">
                  <c:v>157872.80000000005</c:v>
                </c:pt>
                <c:pt idx="664">
                  <c:v>157872.80000000005</c:v>
                </c:pt>
                <c:pt idx="665">
                  <c:v>157872.80000000005</c:v>
                </c:pt>
                <c:pt idx="666">
                  <c:v>157872.80000000005</c:v>
                </c:pt>
                <c:pt idx="667">
                  <c:v>158432.10000000003</c:v>
                </c:pt>
                <c:pt idx="668">
                  <c:v>158591.90000000002</c:v>
                </c:pt>
                <c:pt idx="669">
                  <c:v>158859.80000000005</c:v>
                </c:pt>
                <c:pt idx="670">
                  <c:v>158859.80000000005</c:v>
                </c:pt>
                <c:pt idx="671">
                  <c:v>158859.80000000005</c:v>
                </c:pt>
                <c:pt idx="672">
                  <c:v>158859.80000000005</c:v>
                </c:pt>
                <c:pt idx="673">
                  <c:v>158888.00000000006</c:v>
                </c:pt>
                <c:pt idx="674">
                  <c:v>165282.50000000006</c:v>
                </c:pt>
                <c:pt idx="675">
                  <c:v>169756.90000000005</c:v>
                </c:pt>
                <c:pt idx="676">
                  <c:v>171886.00000000006</c:v>
                </c:pt>
                <c:pt idx="677">
                  <c:v>174908.10000000009</c:v>
                </c:pt>
                <c:pt idx="678">
                  <c:v>175857.50000000009</c:v>
                </c:pt>
                <c:pt idx="679">
                  <c:v>175857.50000000009</c:v>
                </c:pt>
                <c:pt idx="680">
                  <c:v>175857.50000000009</c:v>
                </c:pt>
                <c:pt idx="681">
                  <c:v>175857.50000000009</c:v>
                </c:pt>
                <c:pt idx="682">
                  <c:v>177314.50000000009</c:v>
                </c:pt>
                <c:pt idx="683">
                  <c:v>178320.30000000008</c:v>
                </c:pt>
                <c:pt idx="684">
                  <c:v>178320.30000000008</c:v>
                </c:pt>
                <c:pt idx="685">
                  <c:v>178320.30000000008</c:v>
                </c:pt>
                <c:pt idx="686">
                  <c:v>178823.20000000007</c:v>
                </c:pt>
                <c:pt idx="687">
                  <c:v>179048.80000000008</c:v>
                </c:pt>
                <c:pt idx="688">
                  <c:v>180026.40000000005</c:v>
                </c:pt>
                <c:pt idx="689">
                  <c:v>182038.00000000006</c:v>
                </c:pt>
                <c:pt idx="690">
                  <c:v>182038.00000000006</c:v>
                </c:pt>
                <c:pt idx="691">
                  <c:v>182038.00000000006</c:v>
                </c:pt>
                <c:pt idx="692">
                  <c:v>182038.00000000006</c:v>
                </c:pt>
                <c:pt idx="693">
                  <c:v>182038.00000000006</c:v>
                </c:pt>
                <c:pt idx="694">
                  <c:v>182038.00000000006</c:v>
                </c:pt>
                <c:pt idx="695">
                  <c:v>193015.00000000006</c:v>
                </c:pt>
                <c:pt idx="696">
                  <c:v>193015.00000000006</c:v>
                </c:pt>
                <c:pt idx="697">
                  <c:v>193015.00000000006</c:v>
                </c:pt>
                <c:pt idx="698">
                  <c:v>193517.90000000008</c:v>
                </c:pt>
                <c:pt idx="699">
                  <c:v>193517.90000000008</c:v>
                </c:pt>
                <c:pt idx="700">
                  <c:v>194472.00000000009</c:v>
                </c:pt>
                <c:pt idx="701">
                  <c:v>194472.00000000009</c:v>
                </c:pt>
                <c:pt idx="702">
                  <c:v>194472.00000000009</c:v>
                </c:pt>
                <c:pt idx="703">
                  <c:v>192122.00000000009</c:v>
                </c:pt>
                <c:pt idx="704">
                  <c:v>190665.00000000009</c:v>
                </c:pt>
                <c:pt idx="705">
                  <c:v>190331.3000000001</c:v>
                </c:pt>
                <c:pt idx="706">
                  <c:v>191252.50000000009</c:v>
                </c:pt>
                <c:pt idx="707">
                  <c:v>191811.8000000001</c:v>
                </c:pt>
                <c:pt idx="708">
                  <c:v>191811.8000000001</c:v>
                </c:pt>
                <c:pt idx="709">
                  <c:v>192037.40000000011</c:v>
                </c:pt>
                <c:pt idx="710">
                  <c:v>192037.40000000011</c:v>
                </c:pt>
                <c:pt idx="711">
                  <c:v>192371.10000000009</c:v>
                </c:pt>
                <c:pt idx="712">
                  <c:v>191952.80000000008</c:v>
                </c:pt>
                <c:pt idx="713">
                  <c:v>191614.40000000008</c:v>
                </c:pt>
                <c:pt idx="714">
                  <c:v>191614.40000000008</c:v>
                </c:pt>
                <c:pt idx="715">
                  <c:v>191614.40000000008</c:v>
                </c:pt>
                <c:pt idx="716">
                  <c:v>191478.10000000009</c:v>
                </c:pt>
                <c:pt idx="717">
                  <c:v>184910.00000000009</c:v>
                </c:pt>
                <c:pt idx="718">
                  <c:v>184350.70000000007</c:v>
                </c:pt>
                <c:pt idx="719">
                  <c:v>185953.40000000008</c:v>
                </c:pt>
                <c:pt idx="720">
                  <c:v>185445.8000000001</c:v>
                </c:pt>
                <c:pt idx="721">
                  <c:v>185445.8000000001</c:v>
                </c:pt>
                <c:pt idx="722">
                  <c:v>183626.90000000008</c:v>
                </c:pt>
                <c:pt idx="723">
                  <c:v>182771.50000000012</c:v>
                </c:pt>
                <c:pt idx="724">
                  <c:v>181173.50000000009</c:v>
                </c:pt>
                <c:pt idx="725">
                  <c:v>181920.8000000001</c:v>
                </c:pt>
                <c:pt idx="726">
                  <c:v>181573.00000000009</c:v>
                </c:pt>
                <c:pt idx="727">
                  <c:v>181681.10000000009</c:v>
                </c:pt>
                <c:pt idx="728">
                  <c:v>182607.00000000009</c:v>
                </c:pt>
                <c:pt idx="729">
                  <c:v>183899.50000000009</c:v>
                </c:pt>
                <c:pt idx="730">
                  <c:v>183937.10000000006</c:v>
                </c:pt>
                <c:pt idx="731">
                  <c:v>184045.20000000007</c:v>
                </c:pt>
                <c:pt idx="732">
                  <c:v>184139.20000000004</c:v>
                </c:pt>
                <c:pt idx="733">
                  <c:v>184059.30000000005</c:v>
                </c:pt>
                <c:pt idx="734">
                  <c:v>184073.40000000005</c:v>
                </c:pt>
                <c:pt idx="735">
                  <c:v>183659.80000000005</c:v>
                </c:pt>
                <c:pt idx="736">
                  <c:v>183631.60000000003</c:v>
                </c:pt>
                <c:pt idx="737">
                  <c:v>183283.80000000005</c:v>
                </c:pt>
                <c:pt idx="738">
                  <c:v>183307.30000000005</c:v>
                </c:pt>
                <c:pt idx="739">
                  <c:v>179155.00000000006</c:v>
                </c:pt>
                <c:pt idx="740">
                  <c:v>180268.90000000005</c:v>
                </c:pt>
                <c:pt idx="741">
                  <c:v>180268.90000000005</c:v>
                </c:pt>
                <c:pt idx="742">
                  <c:v>180268.90000000005</c:v>
                </c:pt>
                <c:pt idx="743">
                  <c:v>178858.90000000005</c:v>
                </c:pt>
                <c:pt idx="744">
                  <c:v>178858.90000000005</c:v>
                </c:pt>
                <c:pt idx="745">
                  <c:v>178858.90000000005</c:v>
                </c:pt>
                <c:pt idx="746">
                  <c:v>178858.90000000005</c:v>
                </c:pt>
                <c:pt idx="747">
                  <c:v>180268.90000000005</c:v>
                </c:pt>
                <c:pt idx="748">
                  <c:v>179949.30000000005</c:v>
                </c:pt>
                <c:pt idx="749">
                  <c:v>179949.30000000005</c:v>
                </c:pt>
                <c:pt idx="750">
                  <c:v>178891.80000000005</c:v>
                </c:pt>
                <c:pt idx="751">
                  <c:v>178656.80000000005</c:v>
                </c:pt>
                <c:pt idx="752">
                  <c:v>179681.40000000002</c:v>
                </c:pt>
                <c:pt idx="753">
                  <c:v>178802.50000000003</c:v>
                </c:pt>
                <c:pt idx="754">
                  <c:v>179093.90000000002</c:v>
                </c:pt>
                <c:pt idx="755">
                  <c:v>178858.90000000002</c:v>
                </c:pt>
                <c:pt idx="756">
                  <c:v>178774.30000000005</c:v>
                </c:pt>
                <c:pt idx="757">
                  <c:v>178774.30000000005</c:v>
                </c:pt>
                <c:pt idx="758">
                  <c:v>178774.30000000005</c:v>
                </c:pt>
                <c:pt idx="759">
                  <c:v>178741.40000000002</c:v>
                </c:pt>
                <c:pt idx="760">
                  <c:v>177512.50000000003</c:v>
                </c:pt>
                <c:pt idx="761">
                  <c:v>177512.50000000003</c:v>
                </c:pt>
                <c:pt idx="762">
                  <c:v>177512.50000000003</c:v>
                </c:pt>
                <c:pt idx="763">
                  <c:v>178020.1</c:v>
                </c:pt>
                <c:pt idx="764">
                  <c:v>179942.40000000002</c:v>
                </c:pt>
                <c:pt idx="765">
                  <c:v>178579.4</c:v>
                </c:pt>
                <c:pt idx="766">
                  <c:v>178579.4</c:v>
                </c:pt>
                <c:pt idx="767">
                  <c:v>178179.90000000002</c:v>
                </c:pt>
                <c:pt idx="768">
                  <c:v>178555.90000000002</c:v>
                </c:pt>
                <c:pt idx="769">
                  <c:v>178899.00000000003</c:v>
                </c:pt>
                <c:pt idx="770">
                  <c:v>178899.00000000003</c:v>
                </c:pt>
                <c:pt idx="771">
                  <c:v>178899.00000000003</c:v>
                </c:pt>
                <c:pt idx="772">
                  <c:v>178635.80000000005</c:v>
                </c:pt>
                <c:pt idx="773">
                  <c:v>178635.80000000005</c:v>
                </c:pt>
                <c:pt idx="774">
                  <c:v>178635.80000000005</c:v>
                </c:pt>
                <c:pt idx="775">
                  <c:v>178447.80000000002</c:v>
                </c:pt>
                <c:pt idx="776">
                  <c:v>178447.80000000002</c:v>
                </c:pt>
                <c:pt idx="777">
                  <c:v>178447.80000000002</c:v>
                </c:pt>
                <c:pt idx="778">
                  <c:v>178447.80000000002</c:v>
                </c:pt>
                <c:pt idx="779">
                  <c:v>178339.70000000004</c:v>
                </c:pt>
                <c:pt idx="780">
                  <c:v>178499.50000000003</c:v>
                </c:pt>
                <c:pt idx="781">
                  <c:v>178607.6</c:v>
                </c:pt>
                <c:pt idx="782">
                  <c:v>178659.30000000002</c:v>
                </c:pt>
                <c:pt idx="783">
                  <c:v>178807.5</c:v>
                </c:pt>
                <c:pt idx="784">
                  <c:v>178807.5</c:v>
                </c:pt>
                <c:pt idx="785">
                  <c:v>178807.5</c:v>
                </c:pt>
                <c:pt idx="786">
                  <c:v>178807.5</c:v>
                </c:pt>
                <c:pt idx="787">
                  <c:v>178807.5</c:v>
                </c:pt>
                <c:pt idx="788">
                  <c:v>178807.5</c:v>
                </c:pt>
                <c:pt idx="789">
                  <c:v>179239.90000000002</c:v>
                </c:pt>
                <c:pt idx="790">
                  <c:v>178840.40000000002</c:v>
                </c:pt>
                <c:pt idx="791">
                  <c:v>178840.40000000002</c:v>
                </c:pt>
                <c:pt idx="792">
                  <c:v>178497.30000000002</c:v>
                </c:pt>
                <c:pt idx="793">
                  <c:v>178497.30000000002</c:v>
                </c:pt>
                <c:pt idx="794">
                  <c:v>178497.30000000002</c:v>
                </c:pt>
                <c:pt idx="795">
                  <c:v>178497.30000000002</c:v>
                </c:pt>
                <c:pt idx="796">
                  <c:v>179982.50000000003</c:v>
                </c:pt>
                <c:pt idx="797">
                  <c:v>180414.90000000005</c:v>
                </c:pt>
                <c:pt idx="798">
                  <c:v>180602.90000000005</c:v>
                </c:pt>
                <c:pt idx="799">
                  <c:v>181063.50000000003</c:v>
                </c:pt>
                <c:pt idx="800">
                  <c:v>181063.50000000003</c:v>
                </c:pt>
                <c:pt idx="801">
                  <c:v>181063.50000000003</c:v>
                </c:pt>
                <c:pt idx="802">
                  <c:v>181063.50000000003</c:v>
                </c:pt>
                <c:pt idx="803">
                  <c:v>181063.50000000003</c:v>
                </c:pt>
                <c:pt idx="804">
                  <c:v>186565.00000000006</c:v>
                </c:pt>
                <c:pt idx="805">
                  <c:v>186565.00000000006</c:v>
                </c:pt>
                <c:pt idx="806">
                  <c:v>186565.00000000006</c:v>
                </c:pt>
                <c:pt idx="807">
                  <c:v>186565.00000000006</c:v>
                </c:pt>
                <c:pt idx="808">
                  <c:v>186565.00000000006</c:v>
                </c:pt>
                <c:pt idx="809">
                  <c:v>186565.00000000006</c:v>
                </c:pt>
                <c:pt idx="810">
                  <c:v>186565.00000000006</c:v>
                </c:pt>
                <c:pt idx="811">
                  <c:v>186565.00000000006</c:v>
                </c:pt>
                <c:pt idx="812">
                  <c:v>188769.30000000005</c:v>
                </c:pt>
                <c:pt idx="813">
                  <c:v>188769.30000000005</c:v>
                </c:pt>
                <c:pt idx="814">
                  <c:v>188769.30000000005</c:v>
                </c:pt>
                <c:pt idx="815">
                  <c:v>188769.30000000005</c:v>
                </c:pt>
                <c:pt idx="816">
                  <c:v>188769.30000000005</c:v>
                </c:pt>
                <c:pt idx="817">
                  <c:v>189004.30000000005</c:v>
                </c:pt>
                <c:pt idx="818">
                  <c:v>188797.50000000006</c:v>
                </c:pt>
                <c:pt idx="819">
                  <c:v>188797.50000000006</c:v>
                </c:pt>
                <c:pt idx="820">
                  <c:v>188797.50000000006</c:v>
                </c:pt>
                <c:pt idx="821">
                  <c:v>188327.50000000006</c:v>
                </c:pt>
                <c:pt idx="822">
                  <c:v>188327.50000000006</c:v>
                </c:pt>
                <c:pt idx="823">
                  <c:v>187857.50000000006</c:v>
                </c:pt>
                <c:pt idx="824">
                  <c:v>187857.50000000006</c:v>
                </c:pt>
                <c:pt idx="825">
                  <c:v>183160.00000000006</c:v>
                </c:pt>
                <c:pt idx="826">
                  <c:v>183160.00000000006</c:v>
                </c:pt>
                <c:pt idx="827">
                  <c:v>181021.50000000006</c:v>
                </c:pt>
                <c:pt idx="828">
                  <c:v>181021.50000000006</c:v>
                </c:pt>
                <c:pt idx="829">
                  <c:v>178619.80000000005</c:v>
                </c:pt>
                <c:pt idx="830">
                  <c:v>178619.80000000005</c:v>
                </c:pt>
                <c:pt idx="831">
                  <c:v>177764.40000000002</c:v>
                </c:pt>
                <c:pt idx="832">
                  <c:v>176965.40000000005</c:v>
                </c:pt>
                <c:pt idx="833">
                  <c:v>176965.40000000005</c:v>
                </c:pt>
                <c:pt idx="834">
                  <c:v>176965.40000000005</c:v>
                </c:pt>
                <c:pt idx="835">
                  <c:v>176645.80000000005</c:v>
                </c:pt>
                <c:pt idx="836">
                  <c:v>176645.80000000005</c:v>
                </c:pt>
                <c:pt idx="837">
                  <c:v>175574.2</c:v>
                </c:pt>
                <c:pt idx="838">
                  <c:v>175574.2</c:v>
                </c:pt>
                <c:pt idx="839">
                  <c:v>175574.2</c:v>
                </c:pt>
                <c:pt idx="840">
                  <c:v>175574.2</c:v>
                </c:pt>
                <c:pt idx="841">
                  <c:v>175574.2</c:v>
                </c:pt>
                <c:pt idx="842">
                  <c:v>175574.2</c:v>
                </c:pt>
                <c:pt idx="843">
                  <c:v>175574.2</c:v>
                </c:pt>
                <c:pt idx="844">
                  <c:v>175574.2</c:v>
                </c:pt>
                <c:pt idx="845">
                  <c:v>175574.2</c:v>
                </c:pt>
                <c:pt idx="846">
                  <c:v>175574.2</c:v>
                </c:pt>
                <c:pt idx="847">
                  <c:v>175842.10000000003</c:v>
                </c:pt>
                <c:pt idx="848">
                  <c:v>175642.50000000006</c:v>
                </c:pt>
                <c:pt idx="849">
                  <c:v>175642.50000000006</c:v>
                </c:pt>
                <c:pt idx="850">
                  <c:v>177235.80000000008</c:v>
                </c:pt>
                <c:pt idx="851">
                  <c:v>177235.80000000008</c:v>
                </c:pt>
                <c:pt idx="852">
                  <c:v>176761.10000000006</c:v>
                </c:pt>
                <c:pt idx="853">
                  <c:v>177658.80000000008</c:v>
                </c:pt>
                <c:pt idx="854">
                  <c:v>177658.80000000008</c:v>
                </c:pt>
                <c:pt idx="855">
                  <c:v>177658.80000000008</c:v>
                </c:pt>
                <c:pt idx="856">
                  <c:v>177292.20000000007</c:v>
                </c:pt>
                <c:pt idx="857">
                  <c:v>177292.20000000007</c:v>
                </c:pt>
                <c:pt idx="858">
                  <c:v>177602.40000000008</c:v>
                </c:pt>
                <c:pt idx="859">
                  <c:v>177602.40000000008</c:v>
                </c:pt>
                <c:pt idx="860">
                  <c:v>176591.90000000005</c:v>
                </c:pt>
                <c:pt idx="861">
                  <c:v>175698.90000000005</c:v>
                </c:pt>
                <c:pt idx="862">
                  <c:v>175698.90000000005</c:v>
                </c:pt>
                <c:pt idx="863">
                  <c:v>175698.90000000005</c:v>
                </c:pt>
                <c:pt idx="864">
                  <c:v>175698.90000000005</c:v>
                </c:pt>
                <c:pt idx="865">
                  <c:v>175698.90000000005</c:v>
                </c:pt>
                <c:pt idx="866">
                  <c:v>175698.90000000005</c:v>
                </c:pt>
                <c:pt idx="867">
                  <c:v>175698.90000000005</c:v>
                </c:pt>
                <c:pt idx="868">
                  <c:v>175698.90000000005</c:v>
                </c:pt>
                <c:pt idx="869">
                  <c:v>174000.00000000006</c:v>
                </c:pt>
                <c:pt idx="870">
                  <c:v>174000.00000000006</c:v>
                </c:pt>
                <c:pt idx="871">
                  <c:v>174000.00000000006</c:v>
                </c:pt>
                <c:pt idx="872">
                  <c:v>174000.00000000006</c:v>
                </c:pt>
                <c:pt idx="873">
                  <c:v>175903.50000000006</c:v>
                </c:pt>
                <c:pt idx="874">
                  <c:v>174112.80000000005</c:v>
                </c:pt>
                <c:pt idx="875">
                  <c:v>174531.10000000006</c:v>
                </c:pt>
                <c:pt idx="876">
                  <c:v>175706.10000000006</c:v>
                </c:pt>
                <c:pt idx="877">
                  <c:v>175706.10000000006</c:v>
                </c:pt>
                <c:pt idx="878">
                  <c:v>175706.10000000006</c:v>
                </c:pt>
                <c:pt idx="879">
                  <c:v>175706.10000000006</c:v>
                </c:pt>
                <c:pt idx="880">
                  <c:v>175706.10000000006</c:v>
                </c:pt>
                <c:pt idx="881">
                  <c:v>175706.10000000006</c:v>
                </c:pt>
                <c:pt idx="882">
                  <c:v>175706.10000000006</c:v>
                </c:pt>
                <c:pt idx="883">
                  <c:v>175706.10000000006</c:v>
                </c:pt>
                <c:pt idx="884">
                  <c:v>175706.10000000006</c:v>
                </c:pt>
                <c:pt idx="885">
                  <c:v>175287.80000000005</c:v>
                </c:pt>
                <c:pt idx="886">
                  <c:v>175287.80000000005</c:v>
                </c:pt>
                <c:pt idx="887">
                  <c:v>175287.80000000005</c:v>
                </c:pt>
                <c:pt idx="888">
                  <c:v>175287.80000000005</c:v>
                </c:pt>
                <c:pt idx="889">
                  <c:v>175287.80000000005</c:v>
                </c:pt>
                <c:pt idx="890">
                  <c:v>175259.60000000003</c:v>
                </c:pt>
                <c:pt idx="891">
                  <c:v>174120.00000000006</c:v>
                </c:pt>
                <c:pt idx="892">
                  <c:v>174120.00000000006</c:v>
                </c:pt>
                <c:pt idx="893">
                  <c:v>174120.00000000006</c:v>
                </c:pt>
                <c:pt idx="894">
                  <c:v>174120.00000000006</c:v>
                </c:pt>
                <c:pt idx="895">
                  <c:v>174120.00000000006</c:v>
                </c:pt>
                <c:pt idx="896">
                  <c:v>175027.10000000003</c:v>
                </c:pt>
                <c:pt idx="897">
                  <c:v>174599.40000000002</c:v>
                </c:pt>
                <c:pt idx="898">
                  <c:v>174998.90000000002</c:v>
                </c:pt>
                <c:pt idx="899">
                  <c:v>174627.6</c:v>
                </c:pt>
                <c:pt idx="900">
                  <c:v>174279.80000000002</c:v>
                </c:pt>
                <c:pt idx="901">
                  <c:v>173321</c:v>
                </c:pt>
                <c:pt idx="902">
                  <c:v>173321</c:v>
                </c:pt>
                <c:pt idx="903">
                  <c:v>173321</c:v>
                </c:pt>
                <c:pt idx="904">
                  <c:v>173321</c:v>
                </c:pt>
                <c:pt idx="905">
                  <c:v>173321</c:v>
                </c:pt>
                <c:pt idx="906">
                  <c:v>173321</c:v>
                </c:pt>
                <c:pt idx="907">
                  <c:v>173321</c:v>
                </c:pt>
                <c:pt idx="908">
                  <c:v>173584.2</c:v>
                </c:pt>
                <c:pt idx="909">
                  <c:v>173692.30000000002</c:v>
                </c:pt>
                <c:pt idx="910">
                  <c:v>173612.40000000002</c:v>
                </c:pt>
                <c:pt idx="911">
                  <c:v>173664.1</c:v>
                </c:pt>
                <c:pt idx="912">
                  <c:v>173612.40000000002</c:v>
                </c:pt>
                <c:pt idx="913">
                  <c:v>173065</c:v>
                </c:pt>
                <c:pt idx="914">
                  <c:v>173065</c:v>
                </c:pt>
                <c:pt idx="915">
                  <c:v>173065</c:v>
                </c:pt>
                <c:pt idx="916">
                  <c:v>173065</c:v>
                </c:pt>
                <c:pt idx="917">
                  <c:v>174564.3</c:v>
                </c:pt>
                <c:pt idx="918">
                  <c:v>174564.3</c:v>
                </c:pt>
                <c:pt idx="919">
                  <c:v>174564.3</c:v>
                </c:pt>
                <c:pt idx="920">
                  <c:v>173328.19999999998</c:v>
                </c:pt>
                <c:pt idx="921">
                  <c:v>173328.19999999998</c:v>
                </c:pt>
                <c:pt idx="922">
                  <c:v>173328.19999999998</c:v>
                </c:pt>
                <c:pt idx="923">
                  <c:v>173328.19999999998</c:v>
                </c:pt>
                <c:pt idx="924">
                  <c:v>173328.19999999998</c:v>
                </c:pt>
                <c:pt idx="925">
                  <c:v>172270.69999999998</c:v>
                </c:pt>
                <c:pt idx="926">
                  <c:v>171800.69999999998</c:v>
                </c:pt>
                <c:pt idx="927">
                  <c:v>171800.69999999998</c:v>
                </c:pt>
                <c:pt idx="928">
                  <c:v>171800.69999999998</c:v>
                </c:pt>
                <c:pt idx="929">
                  <c:v>171509.3</c:v>
                </c:pt>
                <c:pt idx="930">
                  <c:v>171391.8</c:v>
                </c:pt>
                <c:pt idx="931">
                  <c:v>170597.5</c:v>
                </c:pt>
                <c:pt idx="932">
                  <c:v>170362.5</c:v>
                </c:pt>
                <c:pt idx="933">
                  <c:v>170362.5</c:v>
                </c:pt>
                <c:pt idx="934">
                  <c:v>160260</c:v>
                </c:pt>
                <c:pt idx="935">
                  <c:v>160260</c:v>
                </c:pt>
                <c:pt idx="936">
                  <c:v>159188.4</c:v>
                </c:pt>
                <c:pt idx="937">
                  <c:v>154079.5</c:v>
                </c:pt>
                <c:pt idx="938">
                  <c:v>154079.5</c:v>
                </c:pt>
                <c:pt idx="939">
                  <c:v>154079.5</c:v>
                </c:pt>
                <c:pt idx="940">
                  <c:v>151470.99999999997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68C-43A1-80E4-4B0FEF6A88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232992"/>
        <c:axId val="530234952"/>
      </c:lineChart>
      <c:dateAx>
        <c:axId val="5302329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4952"/>
        <c:crosses val="autoZero"/>
        <c:auto val="1"/>
        <c:lblOffset val="100"/>
        <c:baseTimeUnit val="days"/>
      </c:dateAx>
      <c:valAx>
        <c:axId val="530234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2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DHP</a:t>
            </a:r>
            <a:r>
              <a:rPr lang="en-US" baseline="0"/>
              <a:t> and Futures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Data!$I$11</c:f>
              <c:strCache>
                <c:ptCount val="1"/>
                <c:pt idx="0">
                  <c:v>Resin DHP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941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41281</c:v>
                </c:pt>
                <c:pt idx="5">
                  <c:v>41282</c:v>
                </c:pt>
                <c:pt idx="6">
                  <c:v>41283</c:v>
                </c:pt>
                <c:pt idx="7">
                  <c:v>41284</c:v>
                </c:pt>
                <c:pt idx="8">
                  <c:v>41285</c:v>
                </c:pt>
                <c:pt idx="9">
                  <c:v>41288</c:v>
                </c:pt>
                <c:pt idx="10">
                  <c:v>41289</c:v>
                </c:pt>
                <c:pt idx="11">
                  <c:v>41290</c:v>
                </c:pt>
                <c:pt idx="12">
                  <c:v>41291</c:v>
                </c:pt>
                <c:pt idx="13">
                  <c:v>41292</c:v>
                </c:pt>
                <c:pt idx="14">
                  <c:v>41295</c:v>
                </c:pt>
                <c:pt idx="15">
                  <c:v>41296</c:v>
                </c:pt>
                <c:pt idx="16">
                  <c:v>41297</c:v>
                </c:pt>
                <c:pt idx="17">
                  <c:v>41298</c:v>
                </c:pt>
                <c:pt idx="18">
                  <c:v>41299</c:v>
                </c:pt>
                <c:pt idx="19">
                  <c:v>41302</c:v>
                </c:pt>
                <c:pt idx="20">
                  <c:v>41303</c:v>
                </c:pt>
                <c:pt idx="21">
                  <c:v>41304</c:v>
                </c:pt>
                <c:pt idx="22">
                  <c:v>41305</c:v>
                </c:pt>
                <c:pt idx="23">
                  <c:v>41306</c:v>
                </c:pt>
                <c:pt idx="24">
                  <c:v>41309</c:v>
                </c:pt>
                <c:pt idx="25">
                  <c:v>41310</c:v>
                </c:pt>
                <c:pt idx="26">
                  <c:v>41311</c:v>
                </c:pt>
                <c:pt idx="27">
                  <c:v>41312</c:v>
                </c:pt>
                <c:pt idx="28">
                  <c:v>41313</c:v>
                </c:pt>
                <c:pt idx="29">
                  <c:v>41316</c:v>
                </c:pt>
                <c:pt idx="30">
                  <c:v>41317</c:v>
                </c:pt>
                <c:pt idx="31">
                  <c:v>41318</c:v>
                </c:pt>
                <c:pt idx="32">
                  <c:v>41319</c:v>
                </c:pt>
                <c:pt idx="33">
                  <c:v>41320</c:v>
                </c:pt>
                <c:pt idx="34">
                  <c:v>41323</c:v>
                </c:pt>
                <c:pt idx="35">
                  <c:v>41324</c:v>
                </c:pt>
                <c:pt idx="36">
                  <c:v>41325</c:v>
                </c:pt>
                <c:pt idx="37">
                  <c:v>41326</c:v>
                </c:pt>
                <c:pt idx="38">
                  <c:v>41327</c:v>
                </c:pt>
                <c:pt idx="39">
                  <c:v>41330</c:v>
                </c:pt>
                <c:pt idx="40">
                  <c:v>41331</c:v>
                </c:pt>
                <c:pt idx="41">
                  <c:v>41332</c:v>
                </c:pt>
                <c:pt idx="42">
                  <c:v>41333</c:v>
                </c:pt>
                <c:pt idx="43">
                  <c:v>41334</c:v>
                </c:pt>
                <c:pt idx="44">
                  <c:v>41337</c:v>
                </c:pt>
                <c:pt idx="45">
                  <c:v>41338</c:v>
                </c:pt>
                <c:pt idx="46">
                  <c:v>41339</c:v>
                </c:pt>
                <c:pt idx="47">
                  <c:v>41340</c:v>
                </c:pt>
                <c:pt idx="48">
                  <c:v>41341</c:v>
                </c:pt>
                <c:pt idx="49">
                  <c:v>41344</c:v>
                </c:pt>
                <c:pt idx="50">
                  <c:v>41345</c:v>
                </c:pt>
                <c:pt idx="51">
                  <c:v>41346</c:v>
                </c:pt>
                <c:pt idx="52">
                  <c:v>41347</c:v>
                </c:pt>
                <c:pt idx="53">
                  <c:v>41348</c:v>
                </c:pt>
                <c:pt idx="54">
                  <c:v>41351</c:v>
                </c:pt>
                <c:pt idx="55">
                  <c:v>41352</c:v>
                </c:pt>
                <c:pt idx="56">
                  <c:v>41353</c:v>
                </c:pt>
                <c:pt idx="57">
                  <c:v>41354</c:v>
                </c:pt>
                <c:pt idx="58">
                  <c:v>41355</c:v>
                </c:pt>
                <c:pt idx="59">
                  <c:v>41358</c:v>
                </c:pt>
                <c:pt idx="60">
                  <c:v>41359</c:v>
                </c:pt>
                <c:pt idx="61">
                  <c:v>41360</c:v>
                </c:pt>
                <c:pt idx="62">
                  <c:v>41361</c:v>
                </c:pt>
                <c:pt idx="63">
                  <c:v>41362</c:v>
                </c:pt>
                <c:pt idx="64">
                  <c:v>41365</c:v>
                </c:pt>
                <c:pt idx="65">
                  <c:v>41366</c:v>
                </c:pt>
                <c:pt idx="66">
                  <c:v>41367</c:v>
                </c:pt>
                <c:pt idx="67">
                  <c:v>41368</c:v>
                </c:pt>
                <c:pt idx="68">
                  <c:v>41369</c:v>
                </c:pt>
                <c:pt idx="69">
                  <c:v>41372</c:v>
                </c:pt>
                <c:pt idx="70">
                  <c:v>41373</c:v>
                </c:pt>
                <c:pt idx="71">
                  <c:v>41374</c:v>
                </c:pt>
                <c:pt idx="72">
                  <c:v>41375</c:v>
                </c:pt>
                <c:pt idx="73">
                  <c:v>41376</c:v>
                </c:pt>
                <c:pt idx="74">
                  <c:v>41379</c:v>
                </c:pt>
                <c:pt idx="75">
                  <c:v>41380</c:v>
                </c:pt>
                <c:pt idx="76">
                  <c:v>41381</c:v>
                </c:pt>
                <c:pt idx="77">
                  <c:v>41382</c:v>
                </c:pt>
                <c:pt idx="78">
                  <c:v>41383</c:v>
                </c:pt>
                <c:pt idx="79">
                  <c:v>41386</c:v>
                </c:pt>
                <c:pt idx="80">
                  <c:v>41387</c:v>
                </c:pt>
                <c:pt idx="81">
                  <c:v>41388</c:v>
                </c:pt>
                <c:pt idx="82">
                  <c:v>41389</c:v>
                </c:pt>
                <c:pt idx="83">
                  <c:v>41390</c:v>
                </c:pt>
                <c:pt idx="84">
                  <c:v>41393</c:v>
                </c:pt>
                <c:pt idx="85">
                  <c:v>41394</c:v>
                </c:pt>
                <c:pt idx="86">
                  <c:v>41395</c:v>
                </c:pt>
                <c:pt idx="87">
                  <c:v>41396</c:v>
                </c:pt>
                <c:pt idx="88">
                  <c:v>41397</c:v>
                </c:pt>
                <c:pt idx="89">
                  <c:v>41400</c:v>
                </c:pt>
                <c:pt idx="90">
                  <c:v>41401</c:v>
                </c:pt>
                <c:pt idx="91">
                  <c:v>41402</c:v>
                </c:pt>
                <c:pt idx="92">
                  <c:v>41403</c:v>
                </c:pt>
                <c:pt idx="93">
                  <c:v>41404</c:v>
                </c:pt>
                <c:pt idx="94">
                  <c:v>41407</c:v>
                </c:pt>
                <c:pt idx="95">
                  <c:v>41408</c:v>
                </c:pt>
                <c:pt idx="96">
                  <c:v>41409</c:v>
                </c:pt>
                <c:pt idx="97">
                  <c:v>41410</c:v>
                </c:pt>
                <c:pt idx="98">
                  <c:v>41411</c:v>
                </c:pt>
                <c:pt idx="99">
                  <c:v>41414</c:v>
                </c:pt>
                <c:pt idx="100">
                  <c:v>41415</c:v>
                </c:pt>
                <c:pt idx="101">
                  <c:v>41416</c:v>
                </c:pt>
                <c:pt idx="102">
                  <c:v>41417</c:v>
                </c:pt>
                <c:pt idx="103">
                  <c:v>41418</c:v>
                </c:pt>
                <c:pt idx="104">
                  <c:v>41421</c:v>
                </c:pt>
                <c:pt idx="105">
                  <c:v>41422</c:v>
                </c:pt>
                <c:pt idx="106">
                  <c:v>41423</c:v>
                </c:pt>
                <c:pt idx="107">
                  <c:v>41424</c:v>
                </c:pt>
                <c:pt idx="108">
                  <c:v>41425</c:v>
                </c:pt>
                <c:pt idx="109">
                  <c:v>41428</c:v>
                </c:pt>
                <c:pt idx="110">
                  <c:v>41429</c:v>
                </c:pt>
                <c:pt idx="111">
                  <c:v>41430</c:v>
                </c:pt>
                <c:pt idx="112">
                  <c:v>41431</c:v>
                </c:pt>
                <c:pt idx="113">
                  <c:v>41432</c:v>
                </c:pt>
                <c:pt idx="114">
                  <c:v>41435</c:v>
                </c:pt>
                <c:pt idx="115">
                  <c:v>41436</c:v>
                </c:pt>
                <c:pt idx="116">
                  <c:v>41437</c:v>
                </c:pt>
                <c:pt idx="117">
                  <c:v>41438</c:v>
                </c:pt>
                <c:pt idx="118">
                  <c:v>41439</c:v>
                </c:pt>
                <c:pt idx="119">
                  <c:v>41442</c:v>
                </c:pt>
                <c:pt idx="120">
                  <c:v>41443</c:v>
                </c:pt>
                <c:pt idx="121">
                  <c:v>41444</c:v>
                </c:pt>
                <c:pt idx="122">
                  <c:v>41445</c:v>
                </c:pt>
                <c:pt idx="123">
                  <c:v>41446</c:v>
                </c:pt>
                <c:pt idx="124">
                  <c:v>41449</c:v>
                </c:pt>
                <c:pt idx="125">
                  <c:v>41450</c:v>
                </c:pt>
                <c:pt idx="126">
                  <c:v>41451</c:v>
                </c:pt>
                <c:pt idx="127">
                  <c:v>41452</c:v>
                </c:pt>
                <c:pt idx="128">
                  <c:v>41453</c:v>
                </c:pt>
                <c:pt idx="129">
                  <c:v>41456</c:v>
                </c:pt>
                <c:pt idx="130">
                  <c:v>41457</c:v>
                </c:pt>
                <c:pt idx="131">
                  <c:v>41458</c:v>
                </c:pt>
                <c:pt idx="132">
                  <c:v>41459</c:v>
                </c:pt>
                <c:pt idx="133">
                  <c:v>41460</c:v>
                </c:pt>
                <c:pt idx="134">
                  <c:v>41463</c:v>
                </c:pt>
                <c:pt idx="135">
                  <c:v>41464</c:v>
                </c:pt>
                <c:pt idx="136">
                  <c:v>41465</c:v>
                </c:pt>
                <c:pt idx="137">
                  <c:v>41466</c:v>
                </c:pt>
                <c:pt idx="138">
                  <c:v>41467</c:v>
                </c:pt>
                <c:pt idx="139">
                  <c:v>41470</c:v>
                </c:pt>
                <c:pt idx="140">
                  <c:v>41471</c:v>
                </c:pt>
                <c:pt idx="141">
                  <c:v>41472</c:v>
                </c:pt>
                <c:pt idx="142">
                  <c:v>41473</c:v>
                </c:pt>
                <c:pt idx="143">
                  <c:v>41474</c:v>
                </c:pt>
                <c:pt idx="144">
                  <c:v>41477</c:v>
                </c:pt>
                <c:pt idx="145">
                  <c:v>41478</c:v>
                </c:pt>
                <c:pt idx="146">
                  <c:v>41479</c:v>
                </c:pt>
                <c:pt idx="147">
                  <c:v>41480</c:v>
                </c:pt>
                <c:pt idx="148">
                  <c:v>41481</c:v>
                </c:pt>
                <c:pt idx="149">
                  <c:v>41484</c:v>
                </c:pt>
                <c:pt idx="150">
                  <c:v>41485</c:v>
                </c:pt>
                <c:pt idx="151">
                  <c:v>41486</c:v>
                </c:pt>
                <c:pt idx="152">
                  <c:v>41487</c:v>
                </c:pt>
                <c:pt idx="153">
                  <c:v>41488</c:v>
                </c:pt>
                <c:pt idx="154">
                  <c:v>41491</c:v>
                </c:pt>
                <c:pt idx="155">
                  <c:v>41492</c:v>
                </c:pt>
                <c:pt idx="156">
                  <c:v>41493</c:v>
                </c:pt>
                <c:pt idx="157">
                  <c:v>41494</c:v>
                </c:pt>
                <c:pt idx="158">
                  <c:v>41495</c:v>
                </c:pt>
                <c:pt idx="159">
                  <c:v>41498</c:v>
                </c:pt>
                <c:pt idx="160">
                  <c:v>41499</c:v>
                </c:pt>
                <c:pt idx="161">
                  <c:v>41500</c:v>
                </c:pt>
                <c:pt idx="162">
                  <c:v>41501</c:v>
                </c:pt>
                <c:pt idx="163">
                  <c:v>41502</c:v>
                </c:pt>
                <c:pt idx="164">
                  <c:v>41505</c:v>
                </c:pt>
                <c:pt idx="165">
                  <c:v>41506</c:v>
                </c:pt>
                <c:pt idx="166">
                  <c:v>41507</c:v>
                </c:pt>
                <c:pt idx="167">
                  <c:v>41508</c:v>
                </c:pt>
                <c:pt idx="168">
                  <c:v>41509</c:v>
                </c:pt>
                <c:pt idx="169">
                  <c:v>41512</c:v>
                </c:pt>
                <c:pt idx="170">
                  <c:v>41513</c:v>
                </c:pt>
                <c:pt idx="171">
                  <c:v>41514</c:v>
                </c:pt>
                <c:pt idx="172">
                  <c:v>41515</c:v>
                </c:pt>
                <c:pt idx="173">
                  <c:v>41516</c:v>
                </c:pt>
                <c:pt idx="174">
                  <c:v>41519</c:v>
                </c:pt>
                <c:pt idx="175">
                  <c:v>41520</c:v>
                </c:pt>
                <c:pt idx="176">
                  <c:v>41521</c:v>
                </c:pt>
                <c:pt idx="177">
                  <c:v>41522</c:v>
                </c:pt>
                <c:pt idx="178">
                  <c:v>41523</c:v>
                </c:pt>
                <c:pt idx="179">
                  <c:v>41526</c:v>
                </c:pt>
                <c:pt idx="180">
                  <c:v>41527</c:v>
                </c:pt>
                <c:pt idx="181">
                  <c:v>41528</c:v>
                </c:pt>
                <c:pt idx="182">
                  <c:v>41529</c:v>
                </c:pt>
                <c:pt idx="183">
                  <c:v>41530</c:v>
                </c:pt>
                <c:pt idx="184">
                  <c:v>41533</c:v>
                </c:pt>
                <c:pt idx="185">
                  <c:v>41534</c:v>
                </c:pt>
                <c:pt idx="186">
                  <c:v>41535</c:v>
                </c:pt>
                <c:pt idx="187">
                  <c:v>41536</c:v>
                </c:pt>
                <c:pt idx="188">
                  <c:v>41537</c:v>
                </c:pt>
                <c:pt idx="189">
                  <c:v>41540</c:v>
                </c:pt>
                <c:pt idx="190">
                  <c:v>41541</c:v>
                </c:pt>
                <c:pt idx="191">
                  <c:v>41542</c:v>
                </c:pt>
                <c:pt idx="192">
                  <c:v>41543</c:v>
                </c:pt>
                <c:pt idx="193">
                  <c:v>41544</c:v>
                </c:pt>
                <c:pt idx="194">
                  <c:v>41547</c:v>
                </c:pt>
                <c:pt idx="195">
                  <c:v>41548</c:v>
                </c:pt>
                <c:pt idx="196">
                  <c:v>41549</c:v>
                </c:pt>
                <c:pt idx="197">
                  <c:v>41550</c:v>
                </c:pt>
                <c:pt idx="198">
                  <c:v>41551</c:v>
                </c:pt>
                <c:pt idx="199">
                  <c:v>41554</c:v>
                </c:pt>
                <c:pt idx="200">
                  <c:v>41555</c:v>
                </c:pt>
                <c:pt idx="201">
                  <c:v>41556</c:v>
                </c:pt>
                <c:pt idx="202">
                  <c:v>41557</c:v>
                </c:pt>
                <c:pt idx="203">
                  <c:v>41558</c:v>
                </c:pt>
                <c:pt idx="204">
                  <c:v>41561</c:v>
                </c:pt>
                <c:pt idx="205">
                  <c:v>41562</c:v>
                </c:pt>
                <c:pt idx="206">
                  <c:v>41563</c:v>
                </c:pt>
                <c:pt idx="207">
                  <c:v>41564</c:v>
                </c:pt>
                <c:pt idx="208">
                  <c:v>41565</c:v>
                </c:pt>
                <c:pt idx="209">
                  <c:v>41568</c:v>
                </c:pt>
                <c:pt idx="210">
                  <c:v>41569</c:v>
                </c:pt>
                <c:pt idx="211">
                  <c:v>41570</c:v>
                </c:pt>
                <c:pt idx="212">
                  <c:v>41571</c:v>
                </c:pt>
                <c:pt idx="213">
                  <c:v>41572</c:v>
                </c:pt>
                <c:pt idx="214">
                  <c:v>41575</c:v>
                </c:pt>
                <c:pt idx="215">
                  <c:v>41576</c:v>
                </c:pt>
                <c:pt idx="216">
                  <c:v>41577</c:v>
                </c:pt>
                <c:pt idx="217">
                  <c:v>41578</c:v>
                </c:pt>
                <c:pt idx="218">
                  <c:v>41579</c:v>
                </c:pt>
                <c:pt idx="219">
                  <c:v>41582</c:v>
                </c:pt>
                <c:pt idx="220">
                  <c:v>41583</c:v>
                </c:pt>
                <c:pt idx="221">
                  <c:v>41584</c:v>
                </c:pt>
                <c:pt idx="222">
                  <c:v>41585</c:v>
                </c:pt>
                <c:pt idx="223">
                  <c:v>41586</c:v>
                </c:pt>
                <c:pt idx="224">
                  <c:v>41589</c:v>
                </c:pt>
                <c:pt idx="225">
                  <c:v>41590</c:v>
                </c:pt>
                <c:pt idx="226">
                  <c:v>41591</c:v>
                </c:pt>
                <c:pt idx="227">
                  <c:v>41592</c:v>
                </c:pt>
                <c:pt idx="228">
                  <c:v>41593</c:v>
                </c:pt>
                <c:pt idx="229">
                  <c:v>41596</c:v>
                </c:pt>
                <c:pt idx="230">
                  <c:v>41597</c:v>
                </c:pt>
                <c:pt idx="231">
                  <c:v>41598</c:v>
                </c:pt>
                <c:pt idx="232">
                  <c:v>41599</c:v>
                </c:pt>
                <c:pt idx="233">
                  <c:v>41600</c:v>
                </c:pt>
                <c:pt idx="234">
                  <c:v>41603</c:v>
                </c:pt>
                <c:pt idx="235">
                  <c:v>41604</c:v>
                </c:pt>
                <c:pt idx="236">
                  <c:v>41605</c:v>
                </c:pt>
                <c:pt idx="237">
                  <c:v>41606</c:v>
                </c:pt>
                <c:pt idx="238">
                  <c:v>41607</c:v>
                </c:pt>
                <c:pt idx="239">
                  <c:v>41610</c:v>
                </c:pt>
                <c:pt idx="240">
                  <c:v>41611</c:v>
                </c:pt>
                <c:pt idx="241">
                  <c:v>41612</c:v>
                </c:pt>
                <c:pt idx="242">
                  <c:v>41613</c:v>
                </c:pt>
                <c:pt idx="243">
                  <c:v>41614</c:v>
                </c:pt>
                <c:pt idx="244">
                  <c:v>41617</c:v>
                </c:pt>
                <c:pt idx="245">
                  <c:v>41618</c:v>
                </c:pt>
                <c:pt idx="246">
                  <c:v>41619</c:v>
                </c:pt>
                <c:pt idx="247">
                  <c:v>41620</c:v>
                </c:pt>
                <c:pt idx="248">
                  <c:v>41621</c:v>
                </c:pt>
                <c:pt idx="249">
                  <c:v>41624</c:v>
                </c:pt>
                <c:pt idx="250">
                  <c:v>41625</c:v>
                </c:pt>
                <c:pt idx="251">
                  <c:v>41626</c:v>
                </c:pt>
                <c:pt idx="252">
                  <c:v>41627</c:v>
                </c:pt>
                <c:pt idx="253">
                  <c:v>41628</c:v>
                </c:pt>
                <c:pt idx="254">
                  <c:v>41631</c:v>
                </c:pt>
                <c:pt idx="255">
                  <c:v>41632</c:v>
                </c:pt>
                <c:pt idx="256">
                  <c:v>41633</c:v>
                </c:pt>
                <c:pt idx="257">
                  <c:v>41634</c:v>
                </c:pt>
                <c:pt idx="258">
                  <c:v>41635</c:v>
                </c:pt>
                <c:pt idx="259">
                  <c:v>41638</c:v>
                </c:pt>
                <c:pt idx="260">
                  <c:v>41639</c:v>
                </c:pt>
                <c:pt idx="261">
                  <c:v>41640</c:v>
                </c:pt>
                <c:pt idx="262">
                  <c:v>41641</c:v>
                </c:pt>
                <c:pt idx="263">
                  <c:v>41642</c:v>
                </c:pt>
                <c:pt idx="264">
                  <c:v>41645</c:v>
                </c:pt>
                <c:pt idx="265">
                  <c:v>41646</c:v>
                </c:pt>
                <c:pt idx="266">
                  <c:v>41647</c:v>
                </c:pt>
                <c:pt idx="267">
                  <c:v>41648</c:v>
                </c:pt>
                <c:pt idx="268">
                  <c:v>41649</c:v>
                </c:pt>
                <c:pt idx="269">
                  <c:v>41652</c:v>
                </c:pt>
                <c:pt idx="270">
                  <c:v>41653</c:v>
                </c:pt>
                <c:pt idx="271">
                  <c:v>41654</c:v>
                </c:pt>
                <c:pt idx="272">
                  <c:v>41655</c:v>
                </c:pt>
                <c:pt idx="273">
                  <c:v>41656</c:v>
                </c:pt>
                <c:pt idx="274">
                  <c:v>41659</c:v>
                </c:pt>
                <c:pt idx="275">
                  <c:v>41660</c:v>
                </c:pt>
                <c:pt idx="276">
                  <c:v>41661</c:v>
                </c:pt>
                <c:pt idx="277">
                  <c:v>41662</c:v>
                </c:pt>
                <c:pt idx="278">
                  <c:v>41663</c:v>
                </c:pt>
                <c:pt idx="279">
                  <c:v>41666</c:v>
                </c:pt>
                <c:pt idx="280">
                  <c:v>41667</c:v>
                </c:pt>
                <c:pt idx="281">
                  <c:v>41668</c:v>
                </c:pt>
                <c:pt idx="282">
                  <c:v>41669</c:v>
                </c:pt>
                <c:pt idx="283">
                  <c:v>41670</c:v>
                </c:pt>
                <c:pt idx="284">
                  <c:v>41673</c:v>
                </c:pt>
                <c:pt idx="285">
                  <c:v>41674</c:v>
                </c:pt>
                <c:pt idx="286">
                  <c:v>41675</c:v>
                </c:pt>
                <c:pt idx="287">
                  <c:v>41676</c:v>
                </c:pt>
                <c:pt idx="288">
                  <c:v>41677</c:v>
                </c:pt>
                <c:pt idx="289">
                  <c:v>41680</c:v>
                </c:pt>
                <c:pt idx="290">
                  <c:v>41681</c:v>
                </c:pt>
                <c:pt idx="291">
                  <c:v>41682</c:v>
                </c:pt>
                <c:pt idx="292">
                  <c:v>41683</c:v>
                </c:pt>
                <c:pt idx="293">
                  <c:v>41684</c:v>
                </c:pt>
                <c:pt idx="294">
                  <c:v>41687</c:v>
                </c:pt>
                <c:pt idx="295">
                  <c:v>41688</c:v>
                </c:pt>
                <c:pt idx="296">
                  <c:v>41689</c:v>
                </c:pt>
                <c:pt idx="297">
                  <c:v>41690</c:v>
                </c:pt>
                <c:pt idx="298">
                  <c:v>41691</c:v>
                </c:pt>
                <c:pt idx="299">
                  <c:v>41694</c:v>
                </c:pt>
                <c:pt idx="300">
                  <c:v>41695</c:v>
                </c:pt>
                <c:pt idx="301">
                  <c:v>41696</c:v>
                </c:pt>
                <c:pt idx="302">
                  <c:v>41697</c:v>
                </c:pt>
                <c:pt idx="303">
                  <c:v>41698</c:v>
                </c:pt>
                <c:pt idx="304">
                  <c:v>41701</c:v>
                </c:pt>
                <c:pt idx="305">
                  <c:v>41702</c:v>
                </c:pt>
                <c:pt idx="306">
                  <c:v>41703</c:v>
                </c:pt>
                <c:pt idx="307">
                  <c:v>41704</c:v>
                </c:pt>
                <c:pt idx="308">
                  <c:v>41705</c:v>
                </c:pt>
                <c:pt idx="309">
                  <c:v>41708</c:v>
                </c:pt>
                <c:pt idx="310">
                  <c:v>41709</c:v>
                </c:pt>
                <c:pt idx="311">
                  <c:v>41710</c:v>
                </c:pt>
                <c:pt idx="312">
                  <c:v>41711</c:v>
                </c:pt>
                <c:pt idx="313">
                  <c:v>41712</c:v>
                </c:pt>
                <c:pt idx="314">
                  <c:v>41715</c:v>
                </c:pt>
                <c:pt idx="315">
                  <c:v>41716</c:v>
                </c:pt>
                <c:pt idx="316">
                  <c:v>41717</c:v>
                </c:pt>
                <c:pt idx="317">
                  <c:v>41718</c:v>
                </c:pt>
                <c:pt idx="318">
                  <c:v>41719</c:v>
                </c:pt>
                <c:pt idx="319">
                  <c:v>41722</c:v>
                </c:pt>
                <c:pt idx="320">
                  <c:v>41723</c:v>
                </c:pt>
                <c:pt idx="321">
                  <c:v>41724</c:v>
                </c:pt>
                <c:pt idx="322">
                  <c:v>41725</c:v>
                </c:pt>
                <c:pt idx="323">
                  <c:v>41726</c:v>
                </c:pt>
                <c:pt idx="324">
                  <c:v>41729</c:v>
                </c:pt>
                <c:pt idx="325">
                  <c:v>41730</c:v>
                </c:pt>
                <c:pt idx="326">
                  <c:v>41731</c:v>
                </c:pt>
                <c:pt idx="327">
                  <c:v>41732</c:v>
                </c:pt>
                <c:pt idx="328">
                  <c:v>41733</c:v>
                </c:pt>
                <c:pt idx="329">
                  <c:v>41736</c:v>
                </c:pt>
                <c:pt idx="330">
                  <c:v>41737</c:v>
                </c:pt>
                <c:pt idx="331">
                  <c:v>41738</c:v>
                </c:pt>
                <c:pt idx="332">
                  <c:v>41739</c:v>
                </c:pt>
                <c:pt idx="333">
                  <c:v>41740</c:v>
                </c:pt>
                <c:pt idx="334">
                  <c:v>41743</c:v>
                </c:pt>
                <c:pt idx="335">
                  <c:v>41744</c:v>
                </c:pt>
                <c:pt idx="336">
                  <c:v>41745</c:v>
                </c:pt>
                <c:pt idx="337">
                  <c:v>41746</c:v>
                </c:pt>
                <c:pt idx="338">
                  <c:v>41747</c:v>
                </c:pt>
                <c:pt idx="339">
                  <c:v>41750</c:v>
                </c:pt>
                <c:pt idx="340">
                  <c:v>41751</c:v>
                </c:pt>
                <c:pt idx="341">
                  <c:v>41752</c:v>
                </c:pt>
                <c:pt idx="342">
                  <c:v>41753</c:v>
                </c:pt>
                <c:pt idx="343">
                  <c:v>41754</c:v>
                </c:pt>
                <c:pt idx="344">
                  <c:v>41757</c:v>
                </c:pt>
                <c:pt idx="345">
                  <c:v>41758</c:v>
                </c:pt>
                <c:pt idx="346">
                  <c:v>41759</c:v>
                </c:pt>
                <c:pt idx="347">
                  <c:v>41760</c:v>
                </c:pt>
                <c:pt idx="348">
                  <c:v>41761</c:v>
                </c:pt>
                <c:pt idx="349">
                  <c:v>41764</c:v>
                </c:pt>
                <c:pt idx="350">
                  <c:v>41765</c:v>
                </c:pt>
                <c:pt idx="351">
                  <c:v>41766</c:v>
                </c:pt>
                <c:pt idx="352">
                  <c:v>41767</c:v>
                </c:pt>
                <c:pt idx="353">
                  <c:v>41768</c:v>
                </c:pt>
                <c:pt idx="354">
                  <c:v>41771</c:v>
                </c:pt>
                <c:pt idx="355">
                  <c:v>41772</c:v>
                </c:pt>
                <c:pt idx="356">
                  <c:v>41773</c:v>
                </c:pt>
                <c:pt idx="357">
                  <c:v>41774</c:v>
                </c:pt>
                <c:pt idx="358">
                  <c:v>41775</c:v>
                </c:pt>
                <c:pt idx="359">
                  <c:v>41778</c:v>
                </c:pt>
                <c:pt idx="360">
                  <c:v>41779</c:v>
                </c:pt>
                <c:pt idx="361">
                  <c:v>41780</c:v>
                </c:pt>
                <c:pt idx="362">
                  <c:v>41781</c:v>
                </c:pt>
                <c:pt idx="363">
                  <c:v>41782</c:v>
                </c:pt>
                <c:pt idx="364">
                  <c:v>41785</c:v>
                </c:pt>
                <c:pt idx="365">
                  <c:v>41786</c:v>
                </c:pt>
                <c:pt idx="366">
                  <c:v>41787</c:v>
                </c:pt>
                <c:pt idx="367">
                  <c:v>41788</c:v>
                </c:pt>
                <c:pt idx="368">
                  <c:v>41789</c:v>
                </c:pt>
                <c:pt idx="369">
                  <c:v>41792</c:v>
                </c:pt>
                <c:pt idx="370">
                  <c:v>41793</c:v>
                </c:pt>
                <c:pt idx="371">
                  <c:v>41794</c:v>
                </c:pt>
                <c:pt idx="372">
                  <c:v>41795</c:v>
                </c:pt>
                <c:pt idx="373">
                  <c:v>41796</c:v>
                </c:pt>
                <c:pt idx="374">
                  <c:v>41799</c:v>
                </c:pt>
                <c:pt idx="375">
                  <c:v>41800</c:v>
                </c:pt>
                <c:pt idx="376">
                  <c:v>41801</c:v>
                </c:pt>
                <c:pt idx="377">
                  <c:v>41802</c:v>
                </c:pt>
                <c:pt idx="378">
                  <c:v>41803</c:v>
                </c:pt>
                <c:pt idx="379">
                  <c:v>41806</c:v>
                </c:pt>
                <c:pt idx="380">
                  <c:v>41807</c:v>
                </c:pt>
                <c:pt idx="381">
                  <c:v>41808</c:v>
                </c:pt>
                <c:pt idx="382">
                  <c:v>41809</c:v>
                </c:pt>
                <c:pt idx="383">
                  <c:v>41810</c:v>
                </c:pt>
                <c:pt idx="384">
                  <c:v>41813</c:v>
                </c:pt>
                <c:pt idx="385">
                  <c:v>41814</c:v>
                </c:pt>
                <c:pt idx="386">
                  <c:v>41815</c:v>
                </c:pt>
                <c:pt idx="387">
                  <c:v>41816</c:v>
                </c:pt>
                <c:pt idx="388">
                  <c:v>41817</c:v>
                </c:pt>
                <c:pt idx="389">
                  <c:v>41820</c:v>
                </c:pt>
                <c:pt idx="390">
                  <c:v>41821</c:v>
                </c:pt>
                <c:pt idx="391">
                  <c:v>41822</c:v>
                </c:pt>
                <c:pt idx="392">
                  <c:v>41823</c:v>
                </c:pt>
                <c:pt idx="393">
                  <c:v>41824</c:v>
                </c:pt>
                <c:pt idx="394">
                  <c:v>41827</c:v>
                </c:pt>
                <c:pt idx="395">
                  <c:v>41828</c:v>
                </c:pt>
                <c:pt idx="396">
                  <c:v>41829</c:v>
                </c:pt>
                <c:pt idx="397">
                  <c:v>41830</c:v>
                </c:pt>
                <c:pt idx="398">
                  <c:v>41831</c:v>
                </c:pt>
                <c:pt idx="399">
                  <c:v>41834</c:v>
                </c:pt>
                <c:pt idx="400">
                  <c:v>41835</c:v>
                </c:pt>
                <c:pt idx="401">
                  <c:v>41836</c:v>
                </c:pt>
                <c:pt idx="402">
                  <c:v>41837</c:v>
                </c:pt>
                <c:pt idx="403">
                  <c:v>41838</c:v>
                </c:pt>
                <c:pt idx="404">
                  <c:v>41841</c:v>
                </c:pt>
                <c:pt idx="405">
                  <c:v>41842</c:v>
                </c:pt>
                <c:pt idx="406">
                  <c:v>41843</c:v>
                </c:pt>
                <c:pt idx="407">
                  <c:v>41844</c:v>
                </c:pt>
                <c:pt idx="408">
                  <c:v>41845</c:v>
                </c:pt>
                <c:pt idx="409">
                  <c:v>41848</c:v>
                </c:pt>
                <c:pt idx="410">
                  <c:v>41849</c:v>
                </c:pt>
                <c:pt idx="411">
                  <c:v>41850</c:v>
                </c:pt>
                <c:pt idx="412">
                  <c:v>41851</c:v>
                </c:pt>
                <c:pt idx="413">
                  <c:v>41852</c:v>
                </c:pt>
                <c:pt idx="414">
                  <c:v>41855</c:v>
                </c:pt>
                <c:pt idx="415">
                  <c:v>41856</c:v>
                </c:pt>
                <c:pt idx="416">
                  <c:v>41857</c:v>
                </c:pt>
                <c:pt idx="417">
                  <c:v>41858</c:v>
                </c:pt>
                <c:pt idx="418">
                  <c:v>41859</c:v>
                </c:pt>
                <c:pt idx="419">
                  <c:v>41862</c:v>
                </c:pt>
                <c:pt idx="420">
                  <c:v>41863</c:v>
                </c:pt>
                <c:pt idx="421">
                  <c:v>41864</c:v>
                </c:pt>
                <c:pt idx="422">
                  <c:v>41865</c:v>
                </c:pt>
                <c:pt idx="423">
                  <c:v>41866</c:v>
                </c:pt>
                <c:pt idx="424">
                  <c:v>41869</c:v>
                </c:pt>
                <c:pt idx="425">
                  <c:v>41870</c:v>
                </c:pt>
                <c:pt idx="426">
                  <c:v>41871</c:v>
                </c:pt>
                <c:pt idx="427">
                  <c:v>41872</c:v>
                </c:pt>
                <c:pt idx="428">
                  <c:v>41873</c:v>
                </c:pt>
                <c:pt idx="429">
                  <c:v>41876</c:v>
                </c:pt>
                <c:pt idx="430">
                  <c:v>41877</c:v>
                </c:pt>
                <c:pt idx="431">
                  <c:v>41878</c:v>
                </c:pt>
                <c:pt idx="432">
                  <c:v>41879</c:v>
                </c:pt>
                <c:pt idx="433">
                  <c:v>41880</c:v>
                </c:pt>
                <c:pt idx="434">
                  <c:v>41883</c:v>
                </c:pt>
                <c:pt idx="435">
                  <c:v>41884</c:v>
                </c:pt>
                <c:pt idx="436">
                  <c:v>41885</c:v>
                </c:pt>
                <c:pt idx="437">
                  <c:v>41886</c:v>
                </c:pt>
                <c:pt idx="438">
                  <c:v>41887</c:v>
                </c:pt>
                <c:pt idx="439">
                  <c:v>41890</c:v>
                </c:pt>
                <c:pt idx="440">
                  <c:v>41891</c:v>
                </c:pt>
                <c:pt idx="441">
                  <c:v>41892</c:v>
                </c:pt>
                <c:pt idx="442">
                  <c:v>41893</c:v>
                </c:pt>
                <c:pt idx="443">
                  <c:v>41894</c:v>
                </c:pt>
                <c:pt idx="444">
                  <c:v>41897</c:v>
                </c:pt>
                <c:pt idx="445">
                  <c:v>41898</c:v>
                </c:pt>
                <c:pt idx="446">
                  <c:v>41899</c:v>
                </c:pt>
                <c:pt idx="447">
                  <c:v>41900</c:v>
                </c:pt>
                <c:pt idx="448">
                  <c:v>41901</c:v>
                </c:pt>
                <c:pt idx="449">
                  <c:v>41904</c:v>
                </c:pt>
                <c:pt idx="450">
                  <c:v>41905</c:v>
                </c:pt>
                <c:pt idx="451">
                  <c:v>41906</c:v>
                </c:pt>
                <c:pt idx="452">
                  <c:v>41907</c:v>
                </c:pt>
                <c:pt idx="453">
                  <c:v>41908</c:v>
                </c:pt>
                <c:pt idx="454">
                  <c:v>41911</c:v>
                </c:pt>
                <c:pt idx="455">
                  <c:v>41912</c:v>
                </c:pt>
                <c:pt idx="456">
                  <c:v>41913</c:v>
                </c:pt>
                <c:pt idx="457">
                  <c:v>41914</c:v>
                </c:pt>
                <c:pt idx="458">
                  <c:v>41915</c:v>
                </c:pt>
                <c:pt idx="459">
                  <c:v>41918</c:v>
                </c:pt>
                <c:pt idx="460">
                  <c:v>41919</c:v>
                </c:pt>
                <c:pt idx="461">
                  <c:v>41920</c:v>
                </c:pt>
                <c:pt idx="462">
                  <c:v>41921</c:v>
                </c:pt>
                <c:pt idx="463">
                  <c:v>41922</c:v>
                </c:pt>
                <c:pt idx="464">
                  <c:v>41925</c:v>
                </c:pt>
                <c:pt idx="465">
                  <c:v>41926</c:v>
                </c:pt>
                <c:pt idx="466">
                  <c:v>41927</c:v>
                </c:pt>
                <c:pt idx="467">
                  <c:v>41928</c:v>
                </c:pt>
                <c:pt idx="468">
                  <c:v>41929</c:v>
                </c:pt>
                <c:pt idx="469">
                  <c:v>41932</c:v>
                </c:pt>
                <c:pt idx="470">
                  <c:v>41933</c:v>
                </c:pt>
                <c:pt idx="471">
                  <c:v>41934</c:v>
                </c:pt>
                <c:pt idx="472">
                  <c:v>41935</c:v>
                </c:pt>
                <c:pt idx="473">
                  <c:v>41936</c:v>
                </c:pt>
                <c:pt idx="474">
                  <c:v>41939</c:v>
                </c:pt>
                <c:pt idx="475">
                  <c:v>41940</c:v>
                </c:pt>
                <c:pt idx="476">
                  <c:v>41941</c:v>
                </c:pt>
                <c:pt idx="477">
                  <c:v>41942</c:v>
                </c:pt>
                <c:pt idx="478">
                  <c:v>41943</c:v>
                </c:pt>
                <c:pt idx="479">
                  <c:v>41946</c:v>
                </c:pt>
                <c:pt idx="480">
                  <c:v>41947</c:v>
                </c:pt>
                <c:pt idx="481">
                  <c:v>41948</c:v>
                </c:pt>
                <c:pt idx="482">
                  <c:v>41949</c:v>
                </c:pt>
                <c:pt idx="483">
                  <c:v>41950</c:v>
                </c:pt>
                <c:pt idx="484">
                  <c:v>41953</c:v>
                </c:pt>
                <c:pt idx="485">
                  <c:v>41954</c:v>
                </c:pt>
                <c:pt idx="486">
                  <c:v>41955</c:v>
                </c:pt>
                <c:pt idx="487">
                  <c:v>41956</c:v>
                </c:pt>
                <c:pt idx="488">
                  <c:v>41957</c:v>
                </c:pt>
                <c:pt idx="489">
                  <c:v>41960</c:v>
                </c:pt>
                <c:pt idx="490">
                  <c:v>41961</c:v>
                </c:pt>
                <c:pt idx="491">
                  <c:v>41962</c:v>
                </c:pt>
                <c:pt idx="492">
                  <c:v>41963</c:v>
                </c:pt>
                <c:pt idx="493">
                  <c:v>41964</c:v>
                </c:pt>
                <c:pt idx="494">
                  <c:v>41967</c:v>
                </c:pt>
                <c:pt idx="495">
                  <c:v>41968</c:v>
                </c:pt>
                <c:pt idx="496">
                  <c:v>41969</c:v>
                </c:pt>
                <c:pt idx="497">
                  <c:v>41970</c:v>
                </c:pt>
                <c:pt idx="498">
                  <c:v>41971</c:v>
                </c:pt>
                <c:pt idx="499">
                  <c:v>41974</c:v>
                </c:pt>
                <c:pt idx="500">
                  <c:v>41975</c:v>
                </c:pt>
                <c:pt idx="501">
                  <c:v>41976</c:v>
                </c:pt>
                <c:pt idx="502">
                  <c:v>41977</c:v>
                </c:pt>
                <c:pt idx="503">
                  <c:v>41978</c:v>
                </c:pt>
                <c:pt idx="504">
                  <c:v>41981</c:v>
                </c:pt>
                <c:pt idx="505">
                  <c:v>41982</c:v>
                </c:pt>
                <c:pt idx="506">
                  <c:v>41983</c:v>
                </c:pt>
                <c:pt idx="507">
                  <c:v>41984</c:v>
                </c:pt>
                <c:pt idx="508">
                  <c:v>41985</c:v>
                </c:pt>
                <c:pt idx="509">
                  <c:v>41988</c:v>
                </c:pt>
                <c:pt idx="510">
                  <c:v>41989</c:v>
                </c:pt>
                <c:pt idx="511">
                  <c:v>41990</c:v>
                </c:pt>
                <c:pt idx="512">
                  <c:v>41991</c:v>
                </c:pt>
                <c:pt idx="513">
                  <c:v>41992</c:v>
                </c:pt>
                <c:pt idx="514">
                  <c:v>41995</c:v>
                </c:pt>
                <c:pt idx="515">
                  <c:v>41996</c:v>
                </c:pt>
                <c:pt idx="516">
                  <c:v>41997</c:v>
                </c:pt>
                <c:pt idx="517">
                  <c:v>41998</c:v>
                </c:pt>
                <c:pt idx="518">
                  <c:v>41999</c:v>
                </c:pt>
                <c:pt idx="519">
                  <c:v>42002</c:v>
                </c:pt>
                <c:pt idx="520">
                  <c:v>42003</c:v>
                </c:pt>
                <c:pt idx="521">
                  <c:v>42004</c:v>
                </c:pt>
                <c:pt idx="522">
                  <c:v>42005</c:v>
                </c:pt>
                <c:pt idx="523">
                  <c:v>42006</c:v>
                </c:pt>
                <c:pt idx="524">
                  <c:v>42009</c:v>
                </c:pt>
                <c:pt idx="525">
                  <c:v>42010</c:v>
                </c:pt>
                <c:pt idx="526">
                  <c:v>42011</c:v>
                </c:pt>
                <c:pt idx="527">
                  <c:v>42012</c:v>
                </c:pt>
                <c:pt idx="528">
                  <c:v>42013</c:v>
                </c:pt>
                <c:pt idx="529">
                  <c:v>42016</c:v>
                </c:pt>
                <c:pt idx="530">
                  <c:v>42017</c:v>
                </c:pt>
                <c:pt idx="531">
                  <c:v>42018</c:v>
                </c:pt>
                <c:pt idx="532">
                  <c:v>42019</c:v>
                </c:pt>
                <c:pt idx="533">
                  <c:v>42020</c:v>
                </c:pt>
                <c:pt idx="534">
                  <c:v>42023</c:v>
                </c:pt>
                <c:pt idx="535">
                  <c:v>42024</c:v>
                </c:pt>
                <c:pt idx="536">
                  <c:v>42025</c:v>
                </c:pt>
                <c:pt idx="537">
                  <c:v>42026</c:v>
                </c:pt>
                <c:pt idx="538">
                  <c:v>42027</c:v>
                </c:pt>
                <c:pt idx="539">
                  <c:v>42030</c:v>
                </c:pt>
                <c:pt idx="540">
                  <c:v>42031</c:v>
                </c:pt>
                <c:pt idx="541">
                  <c:v>42032</c:v>
                </c:pt>
                <c:pt idx="542">
                  <c:v>42033</c:v>
                </c:pt>
                <c:pt idx="543">
                  <c:v>42034</c:v>
                </c:pt>
                <c:pt idx="544">
                  <c:v>42037</c:v>
                </c:pt>
                <c:pt idx="545">
                  <c:v>42038</c:v>
                </c:pt>
                <c:pt idx="546">
                  <c:v>42039</c:v>
                </c:pt>
                <c:pt idx="547">
                  <c:v>42040</c:v>
                </c:pt>
                <c:pt idx="548">
                  <c:v>42041</c:v>
                </c:pt>
                <c:pt idx="549">
                  <c:v>42044</c:v>
                </c:pt>
                <c:pt idx="550">
                  <c:v>42045</c:v>
                </c:pt>
                <c:pt idx="551">
                  <c:v>42046</c:v>
                </c:pt>
                <c:pt idx="552">
                  <c:v>42047</c:v>
                </c:pt>
                <c:pt idx="553">
                  <c:v>42048</c:v>
                </c:pt>
                <c:pt idx="554">
                  <c:v>42051</c:v>
                </c:pt>
                <c:pt idx="555">
                  <c:v>42052</c:v>
                </c:pt>
                <c:pt idx="556">
                  <c:v>42053</c:v>
                </c:pt>
                <c:pt idx="557">
                  <c:v>42054</c:v>
                </c:pt>
                <c:pt idx="558">
                  <c:v>42055</c:v>
                </c:pt>
                <c:pt idx="559">
                  <c:v>42058</c:v>
                </c:pt>
                <c:pt idx="560">
                  <c:v>42059</c:v>
                </c:pt>
                <c:pt idx="561">
                  <c:v>42060</c:v>
                </c:pt>
                <c:pt idx="562">
                  <c:v>42061</c:v>
                </c:pt>
                <c:pt idx="563">
                  <c:v>42062</c:v>
                </c:pt>
                <c:pt idx="564">
                  <c:v>42065</c:v>
                </c:pt>
                <c:pt idx="565">
                  <c:v>42066</c:v>
                </c:pt>
                <c:pt idx="566">
                  <c:v>42067</c:v>
                </c:pt>
                <c:pt idx="567">
                  <c:v>42068</c:v>
                </c:pt>
                <c:pt idx="568">
                  <c:v>42069</c:v>
                </c:pt>
                <c:pt idx="569">
                  <c:v>42072</c:v>
                </c:pt>
                <c:pt idx="570">
                  <c:v>42073</c:v>
                </c:pt>
                <c:pt idx="571">
                  <c:v>42074</c:v>
                </c:pt>
                <c:pt idx="572">
                  <c:v>42075</c:v>
                </c:pt>
                <c:pt idx="573">
                  <c:v>42076</c:v>
                </c:pt>
                <c:pt idx="574">
                  <c:v>42079</c:v>
                </c:pt>
                <c:pt idx="575">
                  <c:v>42080</c:v>
                </c:pt>
                <c:pt idx="576">
                  <c:v>42081</c:v>
                </c:pt>
                <c:pt idx="577">
                  <c:v>42082</c:v>
                </c:pt>
                <c:pt idx="578">
                  <c:v>42083</c:v>
                </c:pt>
                <c:pt idx="579">
                  <c:v>42086</c:v>
                </c:pt>
                <c:pt idx="580">
                  <c:v>42087</c:v>
                </c:pt>
                <c:pt idx="581">
                  <c:v>42088</c:v>
                </c:pt>
                <c:pt idx="582">
                  <c:v>42089</c:v>
                </c:pt>
                <c:pt idx="583">
                  <c:v>42090</c:v>
                </c:pt>
                <c:pt idx="584">
                  <c:v>42093</c:v>
                </c:pt>
                <c:pt idx="585">
                  <c:v>42094</c:v>
                </c:pt>
                <c:pt idx="586">
                  <c:v>42095</c:v>
                </c:pt>
                <c:pt idx="587">
                  <c:v>42096</c:v>
                </c:pt>
                <c:pt idx="588">
                  <c:v>42097</c:v>
                </c:pt>
                <c:pt idx="589">
                  <c:v>42100</c:v>
                </c:pt>
                <c:pt idx="590">
                  <c:v>42101</c:v>
                </c:pt>
                <c:pt idx="591">
                  <c:v>42102</c:v>
                </c:pt>
                <c:pt idx="592">
                  <c:v>42103</c:v>
                </c:pt>
                <c:pt idx="593">
                  <c:v>42104</c:v>
                </c:pt>
                <c:pt idx="594">
                  <c:v>42107</c:v>
                </c:pt>
                <c:pt idx="595">
                  <c:v>42108</c:v>
                </c:pt>
                <c:pt idx="596">
                  <c:v>42109</c:v>
                </c:pt>
                <c:pt idx="597">
                  <c:v>42110</c:v>
                </c:pt>
                <c:pt idx="598">
                  <c:v>42111</c:v>
                </c:pt>
                <c:pt idx="599">
                  <c:v>42114</c:v>
                </c:pt>
                <c:pt idx="600">
                  <c:v>42115</c:v>
                </c:pt>
                <c:pt idx="601">
                  <c:v>42116</c:v>
                </c:pt>
                <c:pt idx="602">
                  <c:v>42117</c:v>
                </c:pt>
                <c:pt idx="603">
                  <c:v>42118</c:v>
                </c:pt>
                <c:pt idx="604">
                  <c:v>42121</c:v>
                </c:pt>
                <c:pt idx="605">
                  <c:v>42122</c:v>
                </c:pt>
                <c:pt idx="606">
                  <c:v>42123</c:v>
                </c:pt>
                <c:pt idx="607">
                  <c:v>42124</c:v>
                </c:pt>
                <c:pt idx="608">
                  <c:v>42125</c:v>
                </c:pt>
                <c:pt idx="609">
                  <c:v>42128</c:v>
                </c:pt>
                <c:pt idx="610">
                  <c:v>42129</c:v>
                </c:pt>
                <c:pt idx="611">
                  <c:v>42130</c:v>
                </c:pt>
                <c:pt idx="612">
                  <c:v>42131</c:v>
                </c:pt>
                <c:pt idx="613">
                  <c:v>42132</c:v>
                </c:pt>
                <c:pt idx="614">
                  <c:v>42135</c:v>
                </c:pt>
                <c:pt idx="615">
                  <c:v>42136</c:v>
                </c:pt>
                <c:pt idx="616">
                  <c:v>42137</c:v>
                </c:pt>
                <c:pt idx="617">
                  <c:v>42138</c:v>
                </c:pt>
                <c:pt idx="618">
                  <c:v>42139</c:v>
                </c:pt>
                <c:pt idx="619">
                  <c:v>42142</c:v>
                </c:pt>
                <c:pt idx="620">
                  <c:v>42143</c:v>
                </c:pt>
                <c:pt idx="621">
                  <c:v>42144</c:v>
                </c:pt>
                <c:pt idx="622">
                  <c:v>42145</c:v>
                </c:pt>
                <c:pt idx="623">
                  <c:v>42146</c:v>
                </c:pt>
                <c:pt idx="624">
                  <c:v>42149</c:v>
                </c:pt>
                <c:pt idx="625">
                  <c:v>42150</c:v>
                </c:pt>
                <c:pt idx="626">
                  <c:v>42151</c:v>
                </c:pt>
                <c:pt idx="627">
                  <c:v>42152</c:v>
                </c:pt>
                <c:pt idx="628">
                  <c:v>42153</c:v>
                </c:pt>
                <c:pt idx="629">
                  <c:v>42156</c:v>
                </c:pt>
                <c:pt idx="630">
                  <c:v>42157</c:v>
                </c:pt>
                <c:pt idx="631">
                  <c:v>42158</c:v>
                </c:pt>
                <c:pt idx="632">
                  <c:v>42159</c:v>
                </c:pt>
                <c:pt idx="633">
                  <c:v>42160</c:v>
                </c:pt>
                <c:pt idx="634">
                  <c:v>42163</c:v>
                </c:pt>
                <c:pt idx="635">
                  <c:v>42164</c:v>
                </c:pt>
                <c:pt idx="636">
                  <c:v>42165</c:v>
                </c:pt>
                <c:pt idx="637">
                  <c:v>42166</c:v>
                </c:pt>
                <c:pt idx="638">
                  <c:v>42167</c:v>
                </c:pt>
                <c:pt idx="639">
                  <c:v>42170</c:v>
                </c:pt>
                <c:pt idx="640">
                  <c:v>42171</c:v>
                </c:pt>
                <c:pt idx="641">
                  <c:v>42172</c:v>
                </c:pt>
                <c:pt idx="642">
                  <c:v>42173</c:v>
                </c:pt>
                <c:pt idx="643">
                  <c:v>42174</c:v>
                </c:pt>
                <c:pt idx="644">
                  <c:v>42177</c:v>
                </c:pt>
                <c:pt idx="645">
                  <c:v>42178</c:v>
                </c:pt>
                <c:pt idx="646">
                  <c:v>42179</c:v>
                </c:pt>
                <c:pt idx="647">
                  <c:v>42180</c:v>
                </c:pt>
                <c:pt idx="648">
                  <c:v>42181</c:v>
                </c:pt>
                <c:pt idx="649">
                  <c:v>42184</c:v>
                </c:pt>
                <c:pt idx="650">
                  <c:v>42185</c:v>
                </c:pt>
                <c:pt idx="651">
                  <c:v>42186</c:v>
                </c:pt>
                <c:pt idx="652">
                  <c:v>42187</c:v>
                </c:pt>
                <c:pt idx="653">
                  <c:v>42188</c:v>
                </c:pt>
                <c:pt idx="654">
                  <c:v>42191</c:v>
                </c:pt>
                <c:pt idx="655">
                  <c:v>42192</c:v>
                </c:pt>
                <c:pt idx="656">
                  <c:v>42193</c:v>
                </c:pt>
                <c:pt idx="657">
                  <c:v>42194</c:v>
                </c:pt>
                <c:pt idx="658">
                  <c:v>42195</c:v>
                </c:pt>
                <c:pt idx="659">
                  <c:v>42198</c:v>
                </c:pt>
                <c:pt idx="660">
                  <c:v>42199</c:v>
                </c:pt>
                <c:pt idx="661">
                  <c:v>42200</c:v>
                </c:pt>
                <c:pt idx="662">
                  <c:v>42201</c:v>
                </c:pt>
                <c:pt idx="663">
                  <c:v>42202</c:v>
                </c:pt>
                <c:pt idx="664">
                  <c:v>42205</c:v>
                </c:pt>
                <c:pt idx="665">
                  <c:v>42206</c:v>
                </c:pt>
                <c:pt idx="666">
                  <c:v>42207</c:v>
                </c:pt>
                <c:pt idx="667">
                  <c:v>42208</c:v>
                </c:pt>
                <c:pt idx="668">
                  <c:v>42209</c:v>
                </c:pt>
                <c:pt idx="669">
                  <c:v>42212</c:v>
                </c:pt>
                <c:pt idx="670">
                  <c:v>42213</c:v>
                </c:pt>
                <c:pt idx="671">
                  <c:v>42214</c:v>
                </c:pt>
                <c:pt idx="672">
                  <c:v>42215</c:v>
                </c:pt>
                <c:pt idx="673">
                  <c:v>42216</c:v>
                </c:pt>
                <c:pt idx="674">
                  <c:v>42219</c:v>
                </c:pt>
                <c:pt idx="675">
                  <c:v>42220</c:v>
                </c:pt>
                <c:pt idx="676">
                  <c:v>42221</c:v>
                </c:pt>
                <c:pt idx="677">
                  <c:v>42222</c:v>
                </c:pt>
                <c:pt idx="678">
                  <c:v>42223</c:v>
                </c:pt>
                <c:pt idx="679">
                  <c:v>42226</c:v>
                </c:pt>
                <c:pt idx="680">
                  <c:v>42227</c:v>
                </c:pt>
                <c:pt idx="681">
                  <c:v>42228</c:v>
                </c:pt>
                <c:pt idx="682">
                  <c:v>42229</c:v>
                </c:pt>
                <c:pt idx="683">
                  <c:v>42230</c:v>
                </c:pt>
                <c:pt idx="684">
                  <c:v>42233</c:v>
                </c:pt>
                <c:pt idx="685">
                  <c:v>42234</c:v>
                </c:pt>
                <c:pt idx="686">
                  <c:v>42235</c:v>
                </c:pt>
                <c:pt idx="687">
                  <c:v>42236</c:v>
                </c:pt>
                <c:pt idx="688">
                  <c:v>42237</c:v>
                </c:pt>
                <c:pt idx="689">
                  <c:v>42240</c:v>
                </c:pt>
                <c:pt idx="690">
                  <c:v>42241</c:v>
                </c:pt>
                <c:pt idx="691">
                  <c:v>42242</c:v>
                </c:pt>
                <c:pt idx="692">
                  <c:v>42243</c:v>
                </c:pt>
                <c:pt idx="693">
                  <c:v>42244</c:v>
                </c:pt>
                <c:pt idx="694">
                  <c:v>42247</c:v>
                </c:pt>
                <c:pt idx="695">
                  <c:v>42248</c:v>
                </c:pt>
                <c:pt idx="696">
                  <c:v>42249</c:v>
                </c:pt>
                <c:pt idx="697">
                  <c:v>42250</c:v>
                </c:pt>
                <c:pt idx="698">
                  <c:v>42251</c:v>
                </c:pt>
                <c:pt idx="699">
                  <c:v>42254</c:v>
                </c:pt>
                <c:pt idx="700">
                  <c:v>42255</c:v>
                </c:pt>
                <c:pt idx="701">
                  <c:v>42256</c:v>
                </c:pt>
                <c:pt idx="702">
                  <c:v>42257</c:v>
                </c:pt>
                <c:pt idx="703">
                  <c:v>42258</c:v>
                </c:pt>
                <c:pt idx="704">
                  <c:v>42261</c:v>
                </c:pt>
                <c:pt idx="705">
                  <c:v>42262</c:v>
                </c:pt>
                <c:pt idx="706">
                  <c:v>42263</c:v>
                </c:pt>
                <c:pt idx="707">
                  <c:v>42264</c:v>
                </c:pt>
                <c:pt idx="708">
                  <c:v>42265</c:v>
                </c:pt>
                <c:pt idx="709">
                  <c:v>42268</c:v>
                </c:pt>
                <c:pt idx="710">
                  <c:v>42269</c:v>
                </c:pt>
                <c:pt idx="711">
                  <c:v>42270</c:v>
                </c:pt>
                <c:pt idx="712">
                  <c:v>42271</c:v>
                </c:pt>
                <c:pt idx="713">
                  <c:v>42272</c:v>
                </c:pt>
                <c:pt idx="714">
                  <c:v>42275</c:v>
                </c:pt>
                <c:pt idx="715">
                  <c:v>42276</c:v>
                </c:pt>
                <c:pt idx="716">
                  <c:v>42277</c:v>
                </c:pt>
                <c:pt idx="717">
                  <c:v>42278</c:v>
                </c:pt>
                <c:pt idx="718">
                  <c:v>42279</c:v>
                </c:pt>
                <c:pt idx="719">
                  <c:v>42282</c:v>
                </c:pt>
                <c:pt idx="720">
                  <c:v>42283</c:v>
                </c:pt>
                <c:pt idx="721">
                  <c:v>42284</c:v>
                </c:pt>
                <c:pt idx="722">
                  <c:v>42285</c:v>
                </c:pt>
                <c:pt idx="723">
                  <c:v>42286</c:v>
                </c:pt>
                <c:pt idx="724">
                  <c:v>42289</c:v>
                </c:pt>
                <c:pt idx="725">
                  <c:v>42290</c:v>
                </c:pt>
                <c:pt idx="726">
                  <c:v>42291</c:v>
                </c:pt>
                <c:pt idx="727">
                  <c:v>42292</c:v>
                </c:pt>
                <c:pt idx="728">
                  <c:v>42293</c:v>
                </c:pt>
                <c:pt idx="729">
                  <c:v>42296</c:v>
                </c:pt>
                <c:pt idx="730">
                  <c:v>42297</c:v>
                </c:pt>
                <c:pt idx="731">
                  <c:v>42298</c:v>
                </c:pt>
                <c:pt idx="732">
                  <c:v>42299</c:v>
                </c:pt>
                <c:pt idx="733">
                  <c:v>42300</c:v>
                </c:pt>
                <c:pt idx="734">
                  <c:v>42303</c:v>
                </c:pt>
                <c:pt idx="735">
                  <c:v>42304</c:v>
                </c:pt>
                <c:pt idx="736">
                  <c:v>42305</c:v>
                </c:pt>
                <c:pt idx="737">
                  <c:v>42306</c:v>
                </c:pt>
                <c:pt idx="738">
                  <c:v>42307</c:v>
                </c:pt>
                <c:pt idx="739">
                  <c:v>42310</c:v>
                </c:pt>
                <c:pt idx="740">
                  <c:v>42311</c:v>
                </c:pt>
                <c:pt idx="741">
                  <c:v>42312</c:v>
                </c:pt>
                <c:pt idx="742">
                  <c:v>42313</c:v>
                </c:pt>
                <c:pt idx="743">
                  <c:v>42314</c:v>
                </c:pt>
                <c:pt idx="744">
                  <c:v>42317</c:v>
                </c:pt>
                <c:pt idx="745">
                  <c:v>42318</c:v>
                </c:pt>
                <c:pt idx="746">
                  <c:v>42319</c:v>
                </c:pt>
                <c:pt idx="747">
                  <c:v>42320</c:v>
                </c:pt>
                <c:pt idx="748">
                  <c:v>42321</c:v>
                </c:pt>
                <c:pt idx="749">
                  <c:v>42324</c:v>
                </c:pt>
                <c:pt idx="750">
                  <c:v>42325</c:v>
                </c:pt>
                <c:pt idx="751">
                  <c:v>42326</c:v>
                </c:pt>
                <c:pt idx="752">
                  <c:v>42327</c:v>
                </c:pt>
                <c:pt idx="753">
                  <c:v>42328</c:v>
                </c:pt>
                <c:pt idx="754">
                  <c:v>42331</c:v>
                </c:pt>
                <c:pt idx="755">
                  <c:v>42332</c:v>
                </c:pt>
                <c:pt idx="756">
                  <c:v>42333</c:v>
                </c:pt>
                <c:pt idx="757">
                  <c:v>42334</c:v>
                </c:pt>
                <c:pt idx="758">
                  <c:v>42335</c:v>
                </c:pt>
                <c:pt idx="759">
                  <c:v>42338</c:v>
                </c:pt>
                <c:pt idx="760">
                  <c:v>42339</c:v>
                </c:pt>
                <c:pt idx="761">
                  <c:v>42340</c:v>
                </c:pt>
                <c:pt idx="762">
                  <c:v>42341</c:v>
                </c:pt>
                <c:pt idx="763">
                  <c:v>42342</c:v>
                </c:pt>
                <c:pt idx="764">
                  <c:v>42345</c:v>
                </c:pt>
                <c:pt idx="765">
                  <c:v>42346</c:v>
                </c:pt>
                <c:pt idx="766">
                  <c:v>42347</c:v>
                </c:pt>
                <c:pt idx="767">
                  <c:v>42348</c:v>
                </c:pt>
                <c:pt idx="768">
                  <c:v>42349</c:v>
                </c:pt>
                <c:pt idx="769">
                  <c:v>42352</c:v>
                </c:pt>
                <c:pt idx="770">
                  <c:v>42353</c:v>
                </c:pt>
                <c:pt idx="771">
                  <c:v>42354</c:v>
                </c:pt>
                <c:pt idx="772">
                  <c:v>42355</c:v>
                </c:pt>
                <c:pt idx="773">
                  <c:v>42356</c:v>
                </c:pt>
                <c:pt idx="774">
                  <c:v>42359</c:v>
                </c:pt>
                <c:pt idx="775">
                  <c:v>42360</c:v>
                </c:pt>
                <c:pt idx="776">
                  <c:v>42361</c:v>
                </c:pt>
                <c:pt idx="777">
                  <c:v>42362</c:v>
                </c:pt>
                <c:pt idx="778">
                  <c:v>42363</c:v>
                </c:pt>
                <c:pt idx="779">
                  <c:v>42366</c:v>
                </c:pt>
                <c:pt idx="780">
                  <c:v>42367</c:v>
                </c:pt>
                <c:pt idx="781">
                  <c:v>42368</c:v>
                </c:pt>
                <c:pt idx="782">
                  <c:v>42369</c:v>
                </c:pt>
                <c:pt idx="783">
                  <c:v>42370</c:v>
                </c:pt>
                <c:pt idx="784">
                  <c:v>42373</c:v>
                </c:pt>
                <c:pt idx="785">
                  <c:v>42374</c:v>
                </c:pt>
                <c:pt idx="786">
                  <c:v>42375</c:v>
                </c:pt>
                <c:pt idx="787">
                  <c:v>42376</c:v>
                </c:pt>
                <c:pt idx="788">
                  <c:v>42377</c:v>
                </c:pt>
                <c:pt idx="789">
                  <c:v>42380</c:v>
                </c:pt>
                <c:pt idx="790">
                  <c:v>42381</c:v>
                </c:pt>
                <c:pt idx="791">
                  <c:v>42382</c:v>
                </c:pt>
                <c:pt idx="792">
                  <c:v>42383</c:v>
                </c:pt>
                <c:pt idx="793">
                  <c:v>42384</c:v>
                </c:pt>
                <c:pt idx="794">
                  <c:v>42387</c:v>
                </c:pt>
                <c:pt idx="795">
                  <c:v>42388</c:v>
                </c:pt>
                <c:pt idx="796">
                  <c:v>42389</c:v>
                </c:pt>
                <c:pt idx="797">
                  <c:v>42390</c:v>
                </c:pt>
                <c:pt idx="798">
                  <c:v>42391</c:v>
                </c:pt>
                <c:pt idx="799">
                  <c:v>42394</c:v>
                </c:pt>
                <c:pt idx="800">
                  <c:v>42395</c:v>
                </c:pt>
                <c:pt idx="801">
                  <c:v>42396</c:v>
                </c:pt>
                <c:pt idx="802">
                  <c:v>42397</c:v>
                </c:pt>
                <c:pt idx="803">
                  <c:v>42398</c:v>
                </c:pt>
                <c:pt idx="804">
                  <c:v>42401</c:v>
                </c:pt>
                <c:pt idx="805">
                  <c:v>42402</c:v>
                </c:pt>
                <c:pt idx="806">
                  <c:v>42403</c:v>
                </c:pt>
                <c:pt idx="807">
                  <c:v>42404</c:v>
                </c:pt>
                <c:pt idx="808">
                  <c:v>42405</c:v>
                </c:pt>
                <c:pt idx="809">
                  <c:v>42408</c:v>
                </c:pt>
                <c:pt idx="810">
                  <c:v>42409</c:v>
                </c:pt>
                <c:pt idx="811">
                  <c:v>42410</c:v>
                </c:pt>
                <c:pt idx="812">
                  <c:v>42411</c:v>
                </c:pt>
                <c:pt idx="813">
                  <c:v>42412</c:v>
                </c:pt>
                <c:pt idx="814">
                  <c:v>42415</c:v>
                </c:pt>
                <c:pt idx="815">
                  <c:v>42416</c:v>
                </c:pt>
                <c:pt idx="816">
                  <c:v>42417</c:v>
                </c:pt>
                <c:pt idx="817">
                  <c:v>42418</c:v>
                </c:pt>
                <c:pt idx="818">
                  <c:v>42419</c:v>
                </c:pt>
                <c:pt idx="819">
                  <c:v>42422</c:v>
                </c:pt>
                <c:pt idx="820">
                  <c:v>42423</c:v>
                </c:pt>
                <c:pt idx="821">
                  <c:v>42424</c:v>
                </c:pt>
                <c:pt idx="822">
                  <c:v>42425</c:v>
                </c:pt>
                <c:pt idx="823">
                  <c:v>42426</c:v>
                </c:pt>
                <c:pt idx="824">
                  <c:v>42429</c:v>
                </c:pt>
                <c:pt idx="825">
                  <c:v>42430</c:v>
                </c:pt>
                <c:pt idx="826">
                  <c:v>42431</c:v>
                </c:pt>
                <c:pt idx="827">
                  <c:v>42432</c:v>
                </c:pt>
                <c:pt idx="828">
                  <c:v>42433</c:v>
                </c:pt>
                <c:pt idx="829">
                  <c:v>42436</c:v>
                </c:pt>
                <c:pt idx="830">
                  <c:v>42437</c:v>
                </c:pt>
                <c:pt idx="831">
                  <c:v>42438</c:v>
                </c:pt>
                <c:pt idx="832">
                  <c:v>42439</c:v>
                </c:pt>
                <c:pt idx="833">
                  <c:v>42440</c:v>
                </c:pt>
                <c:pt idx="834">
                  <c:v>42443</c:v>
                </c:pt>
                <c:pt idx="835">
                  <c:v>42444</c:v>
                </c:pt>
                <c:pt idx="836">
                  <c:v>42445</c:v>
                </c:pt>
                <c:pt idx="837">
                  <c:v>42446</c:v>
                </c:pt>
                <c:pt idx="838">
                  <c:v>42447</c:v>
                </c:pt>
                <c:pt idx="839">
                  <c:v>42450</c:v>
                </c:pt>
                <c:pt idx="840">
                  <c:v>42451</c:v>
                </c:pt>
                <c:pt idx="841">
                  <c:v>42452</c:v>
                </c:pt>
                <c:pt idx="842">
                  <c:v>42453</c:v>
                </c:pt>
                <c:pt idx="843">
                  <c:v>42454</c:v>
                </c:pt>
                <c:pt idx="844">
                  <c:v>42457</c:v>
                </c:pt>
                <c:pt idx="845">
                  <c:v>42458</c:v>
                </c:pt>
                <c:pt idx="846">
                  <c:v>42459</c:v>
                </c:pt>
                <c:pt idx="847">
                  <c:v>42460</c:v>
                </c:pt>
                <c:pt idx="848">
                  <c:v>42461</c:v>
                </c:pt>
                <c:pt idx="849">
                  <c:v>42464</c:v>
                </c:pt>
                <c:pt idx="850">
                  <c:v>42465</c:v>
                </c:pt>
                <c:pt idx="851">
                  <c:v>42466</c:v>
                </c:pt>
                <c:pt idx="852">
                  <c:v>42467</c:v>
                </c:pt>
                <c:pt idx="853">
                  <c:v>42468</c:v>
                </c:pt>
                <c:pt idx="854">
                  <c:v>42471</c:v>
                </c:pt>
                <c:pt idx="855">
                  <c:v>42472</c:v>
                </c:pt>
                <c:pt idx="856">
                  <c:v>42473</c:v>
                </c:pt>
                <c:pt idx="857">
                  <c:v>42474</c:v>
                </c:pt>
                <c:pt idx="858">
                  <c:v>42475</c:v>
                </c:pt>
                <c:pt idx="859">
                  <c:v>42478</c:v>
                </c:pt>
                <c:pt idx="860">
                  <c:v>42479</c:v>
                </c:pt>
                <c:pt idx="861">
                  <c:v>42480</c:v>
                </c:pt>
                <c:pt idx="862">
                  <c:v>42481</c:v>
                </c:pt>
                <c:pt idx="863">
                  <c:v>42482</c:v>
                </c:pt>
                <c:pt idx="864">
                  <c:v>42485</c:v>
                </c:pt>
                <c:pt idx="865">
                  <c:v>42486</c:v>
                </c:pt>
                <c:pt idx="866">
                  <c:v>42487</c:v>
                </c:pt>
                <c:pt idx="867">
                  <c:v>42488</c:v>
                </c:pt>
                <c:pt idx="868">
                  <c:v>42489</c:v>
                </c:pt>
                <c:pt idx="869">
                  <c:v>42492</c:v>
                </c:pt>
                <c:pt idx="870">
                  <c:v>42493</c:v>
                </c:pt>
                <c:pt idx="871">
                  <c:v>42494</c:v>
                </c:pt>
                <c:pt idx="872">
                  <c:v>42495</c:v>
                </c:pt>
                <c:pt idx="873">
                  <c:v>42496</c:v>
                </c:pt>
                <c:pt idx="874">
                  <c:v>42499</c:v>
                </c:pt>
                <c:pt idx="875">
                  <c:v>42500</c:v>
                </c:pt>
                <c:pt idx="876">
                  <c:v>42501</c:v>
                </c:pt>
                <c:pt idx="877">
                  <c:v>42502</c:v>
                </c:pt>
                <c:pt idx="878">
                  <c:v>42503</c:v>
                </c:pt>
                <c:pt idx="879">
                  <c:v>42506</c:v>
                </c:pt>
                <c:pt idx="880">
                  <c:v>42507</c:v>
                </c:pt>
                <c:pt idx="881">
                  <c:v>42508</c:v>
                </c:pt>
                <c:pt idx="882">
                  <c:v>42509</c:v>
                </c:pt>
                <c:pt idx="883">
                  <c:v>42510</c:v>
                </c:pt>
                <c:pt idx="884">
                  <c:v>42513</c:v>
                </c:pt>
                <c:pt idx="885">
                  <c:v>42514</c:v>
                </c:pt>
                <c:pt idx="886">
                  <c:v>42515</c:v>
                </c:pt>
                <c:pt idx="887">
                  <c:v>42516</c:v>
                </c:pt>
                <c:pt idx="888">
                  <c:v>42517</c:v>
                </c:pt>
                <c:pt idx="889">
                  <c:v>42520</c:v>
                </c:pt>
                <c:pt idx="890">
                  <c:v>42521</c:v>
                </c:pt>
                <c:pt idx="891">
                  <c:v>42522</c:v>
                </c:pt>
                <c:pt idx="892">
                  <c:v>42523</c:v>
                </c:pt>
                <c:pt idx="893">
                  <c:v>42524</c:v>
                </c:pt>
                <c:pt idx="894">
                  <c:v>42527</c:v>
                </c:pt>
                <c:pt idx="895">
                  <c:v>42528</c:v>
                </c:pt>
                <c:pt idx="896">
                  <c:v>42529</c:v>
                </c:pt>
                <c:pt idx="897">
                  <c:v>42530</c:v>
                </c:pt>
                <c:pt idx="898">
                  <c:v>42531</c:v>
                </c:pt>
                <c:pt idx="899">
                  <c:v>42534</c:v>
                </c:pt>
                <c:pt idx="900">
                  <c:v>42535</c:v>
                </c:pt>
                <c:pt idx="901">
                  <c:v>42536</c:v>
                </c:pt>
                <c:pt idx="902">
                  <c:v>42537</c:v>
                </c:pt>
                <c:pt idx="903">
                  <c:v>42538</c:v>
                </c:pt>
                <c:pt idx="904">
                  <c:v>42541</c:v>
                </c:pt>
                <c:pt idx="905">
                  <c:v>42542</c:v>
                </c:pt>
                <c:pt idx="906">
                  <c:v>42543</c:v>
                </c:pt>
                <c:pt idx="907">
                  <c:v>42544</c:v>
                </c:pt>
                <c:pt idx="908">
                  <c:v>42545</c:v>
                </c:pt>
                <c:pt idx="909">
                  <c:v>42548</c:v>
                </c:pt>
                <c:pt idx="910">
                  <c:v>42549</c:v>
                </c:pt>
                <c:pt idx="911">
                  <c:v>42550</c:v>
                </c:pt>
                <c:pt idx="912">
                  <c:v>42551</c:v>
                </c:pt>
                <c:pt idx="913">
                  <c:v>42552</c:v>
                </c:pt>
                <c:pt idx="914">
                  <c:v>42555</c:v>
                </c:pt>
                <c:pt idx="915">
                  <c:v>42556</c:v>
                </c:pt>
                <c:pt idx="916">
                  <c:v>42557</c:v>
                </c:pt>
                <c:pt idx="917">
                  <c:v>42558</c:v>
                </c:pt>
                <c:pt idx="918">
                  <c:v>42559</c:v>
                </c:pt>
                <c:pt idx="919">
                  <c:v>42562</c:v>
                </c:pt>
                <c:pt idx="920">
                  <c:v>42563</c:v>
                </c:pt>
                <c:pt idx="921">
                  <c:v>42564</c:v>
                </c:pt>
                <c:pt idx="922">
                  <c:v>42565</c:v>
                </c:pt>
                <c:pt idx="923">
                  <c:v>42566</c:v>
                </c:pt>
                <c:pt idx="924">
                  <c:v>42569</c:v>
                </c:pt>
                <c:pt idx="925">
                  <c:v>42570</c:v>
                </c:pt>
                <c:pt idx="926">
                  <c:v>42571</c:v>
                </c:pt>
                <c:pt idx="927">
                  <c:v>42572</c:v>
                </c:pt>
                <c:pt idx="928">
                  <c:v>42573</c:v>
                </c:pt>
                <c:pt idx="929">
                  <c:v>42576</c:v>
                </c:pt>
                <c:pt idx="930">
                  <c:v>42577</c:v>
                </c:pt>
                <c:pt idx="931">
                  <c:v>42578</c:v>
                </c:pt>
                <c:pt idx="932">
                  <c:v>42579</c:v>
                </c:pt>
                <c:pt idx="933">
                  <c:v>42580</c:v>
                </c:pt>
                <c:pt idx="934">
                  <c:v>42583</c:v>
                </c:pt>
                <c:pt idx="935">
                  <c:v>42584</c:v>
                </c:pt>
                <c:pt idx="936">
                  <c:v>42585</c:v>
                </c:pt>
                <c:pt idx="937">
                  <c:v>42586</c:v>
                </c:pt>
                <c:pt idx="938">
                  <c:v>42587</c:v>
                </c:pt>
                <c:pt idx="939">
                  <c:v>42590</c:v>
                </c:pt>
                <c:pt idx="940">
                  <c:v>42591</c:v>
                </c:pt>
              </c:numCache>
            </c:numRef>
          </c:cat>
          <c:val>
            <c:numRef>
              <c:f>[0]!dhpRange</c:f>
              <c:numCache>
                <c:formatCode>General</c:formatCode>
                <c:ptCount val="9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-920</c:v>
                </c:pt>
                <c:pt idx="4">
                  <c:v>-4060</c:v>
                </c:pt>
                <c:pt idx="5">
                  <c:v>-5860</c:v>
                </c:pt>
                <c:pt idx="6">
                  <c:v>-8660</c:v>
                </c:pt>
                <c:pt idx="7">
                  <c:v>-460</c:v>
                </c:pt>
                <c:pt idx="8">
                  <c:v>-10460</c:v>
                </c:pt>
                <c:pt idx="9">
                  <c:v>-17580</c:v>
                </c:pt>
                <c:pt idx="10">
                  <c:v>-10260</c:v>
                </c:pt>
                <c:pt idx="11">
                  <c:v>-1940</c:v>
                </c:pt>
                <c:pt idx="12">
                  <c:v>35040</c:v>
                </c:pt>
                <c:pt idx="13">
                  <c:v>28400</c:v>
                </c:pt>
                <c:pt idx="14">
                  <c:v>27100</c:v>
                </c:pt>
                <c:pt idx="15">
                  <c:v>44600</c:v>
                </c:pt>
                <c:pt idx="16">
                  <c:v>12580</c:v>
                </c:pt>
                <c:pt idx="17">
                  <c:v>27640</c:v>
                </c:pt>
                <c:pt idx="18">
                  <c:v>24940</c:v>
                </c:pt>
                <c:pt idx="19">
                  <c:v>28540</c:v>
                </c:pt>
                <c:pt idx="20">
                  <c:v>43240</c:v>
                </c:pt>
                <c:pt idx="21">
                  <c:v>47140</c:v>
                </c:pt>
                <c:pt idx="22">
                  <c:v>39340</c:v>
                </c:pt>
                <c:pt idx="23">
                  <c:v>44740</c:v>
                </c:pt>
                <c:pt idx="24">
                  <c:v>30340</c:v>
                </c:pt>
                <c:pt idx="25">
                  <c:v>35140</c:v>
                </c:pt>
                <c:pt idx="26">
                  <c:v>32140</c:v>
                </c:pt>
                <c:pt idx="27">
                  <c:v>27940</c:v>
                </c:pt>
                <c:pt idx="28">
                  <c:v>27520</c:v>
                </c:pt>
                <c:pt idx="29">
                  <c:v>27760</c:v>
                </c:pt>
                <c:pt idx="30">
                  <c:v>29720</c:v>
                </c:pt>
                <c:pt idx="31">
                  <c:v>24920</c:v>
                </c:pt>
                <c:pt idx="32">
                  <c:v>29120</c:v>
                </c:pt>
                <c:pt idx="33">
                  <c:v>8600</c:v>
                </c:pt>
                <c:pt idx="34">
                  <c:v>6960</c:v>
                </c:pt>
                <c:pt idx="35">
                  <c:v>10760</c:v>
                </c:pt>
                <c:pt idx="36">
                  <c:v>340</c:v>
                </c:pt>
                <c:pt idx="37">
                  <c:v>7380</c:v>
                </c:pt>
                <c:pt idx="38">
                  <c:v>12040</c:v>
                </c:pt>
                <c:pt idx="39">
                  <c:v>13100</c:v>
                </c:pt>
                <c:pt idx="40">
                  <c:v>17000</c:v>
                </c:pt>
                <c:pt idx="41">
                  <c:v>19760</c:v>
                </c:pt>
                <c:pt idx="42">
                  <c:v>28220</c:v>
                </c:pt>
                <c:pt idx="43">
                  <c:v>48240</c:v>
                </c:pt>
                <c:pt idx="44">
                  <c:v>48240</c:v>
                </c:pt>
                <c:pt idx="45">
                  <c:v>51440</c:v>
                </c:pt>
                <c:pt idx="46">
                  <c:v>49320</c:v>
                </c:pt>
                <c:pt idx="47">
                  <c:v>51080</c:v>
                </c:pt>
                <c:pt idx="48">
                  <c:v>49680</c:v>
                </c:pt>
                <c:pt idx="49">
                  <c:v>46180</c:v>
                </c:pt>
                <c:pt idx="50">
                  <c:v>44080</c:v>
                </c:pt>
                <c:pt idx="51">
                  <c:v>50880</c:v>
                </c:pt>
                <c:pt idx="52">
                  <c:v>41820</c:v>
                </c:pt>
                <c:pt idx="53">
                  <c:v>27160</c:v>
                </c:pt>
                <c:pt idx="54">
                  <c:v>30480</c:v>
                </c:pt>
                <c:pt idx="55">
                  <c:v>20080</c:v>
                </c:pt>
                <c:pt idx="56">
                  <c:v>22280</c:v>
                </c:pt>
                <c:pt idx="57">
                  <c:v>12520</c:v>
                </c:pt>
                <c:pt idx="58">
                  <c:v>10540</c:v>
                </c:pt>
                <c:pt idx="59">
                  <c:v>21660</c:v>
                </c:pt>
                <c:pt idx="60">
                  <c:v>36400</c:v>
                </c:pt>
                <c:pt idx="61">
                  <c:v>46600</c:v>
                </c:pt>
                <c:pt idx="62">
                  <c:v>50960</c:v>
                </c:pt>
                <c:pt idx="63">
                  <c:v>53060</c:v>
                </c:pt>
                <c:pt idx="64">
                  <c:v>59560</c:v>
                </c:pt>
                <c:pt idx="65">
                  <c:v>56360</c:v>
                </c:pt>
                <c:pt idx="66">
                  <c:v>86140</c:v>
                </c:pt>
                <c:pt idx="67">
                  <c:v>109880</c:v>
                </c:pt>
                <c:pt idx="68">
                  <c:v>116040</c:v>
                </c:pt>
                <c:pt idx="69">
                  <c:v>99140</c:v>
                </c:pt>
                <c:pt idx="70">
                  <c:v>80840</c:v>
                </c:pt>
                <c:pt idx="71">
                  <c:v>70440</c:v>
                </c:pt>
                <c:pt idx="72">
                  <c:v>97340</c:v>
                </c:pt>
                <c:pt idx="73">
                  <c:v>133940</c:v>
                </c:pt>
                <c:pt idx="74">
                  <c:v>200180</c:v>
                </c:pt>
                <c:pt idx="75">
                  <c:v>192240</c:v>
                </c:pt>
                <c:pt idx="76">
                  <c:v>218500</c:v>
                </c:pt>
                <c:pt idx="77">
                  <c:v>211900</c:v>
                </c:pt>
                <c:pt idx="78">
                  <c:v>199000</c:v>
                </c:pt>
                <c:pt idx="79">
                  <c:v>194700</c:v>
                </c:pt>
                <c:pt idx="80">
                  <c:v>192920</c:v>
                </c:pt>
                <c:pt idx="81">
                  <c:v>185580</c:v>
                </c:pt>
                <c:pt idx="82">
                  <c:v>162420</c:v>
                </c:pt>
                <c:pt idx="83">
                  <c:v>160200</c:v>
                </c:pt>
                <c:pt idx="84">
                  <c:v>174960</c:v>
                </c:pt>
                <c:pt idx="85">
                  <c:v>160760</c:v>
                </c:pt>
                <c:pt idx="86">
                  <c:v>137560</c:v>
                </c:pt>
                <c:pt idx="87">
                  <c:v>158560</c:v>
                </c:pt>
                <c:pt idx="88">
                  <c:v>182160</c:v>
                </c:pt>
                <c:pt idx="89">
                  <c:v>189960</c:v>
                </c:pt>
                <c:pt idx="90">
                  <c:v>180960</c:v>
                </c:pt>
                <c:pt idx="91">
                  <c:v>195360</c:v>
                </c:pt>
                <c:pt idx="92">
                  <c:v>183760</c:v>
                </c:pt>
                <c:pt idx="93">
                  <c:v>175560</c:v>
                </c:pt>
                <c:pt idx="94">
                  <c:v>168360</c:v>
                </c:pt>
                <c:pt idx="95">
                  <c:v>158360</c:v>
                </c:pt>
                <c:pt idx="96">
                  <c:v>157160</c:v>
                </c:pt>
                <c:pt idx="97">
                  <c:v>168760</c:v>
                </c:pt>
                <c:pt idx="98">
                  <c:v>174560</c:v>
                </c:pt>
                <c:pt idx="99">
                  <c:v>181160</c:v>
                </c:pt>
                <c:pt idx="100">
                  <c:v>175760</c:v>
                </c:pt>
                <c:pt idx="101">
                  <c:v>156560</c:v>
                </c:pt>
                <c:pt idx="102">
                  <c:v>150560</c:v>
                </c:pt>
                <c:pt idx="103">
                  <c:v>153160</c:v>
                </c:pt>
                <c:pt idx="104">
                  <c:v>148560</c:v>
                </c:pt>
                <c:pt idx="105">
                  <c:v>162160</c:v>
                </c:pt>
                <c:pt idx="106">
                  <c:v>144560</c:v>
                </c:pt>
                <c:pt idx="107">
                  <c:v>147160</c:v>
                </c:pt>
                <c:pt idx="108">
                  <c:v>135760</c:v>
                </c:pt>
                <c:pt idx="109">
                  <c:v>146560</c:v>
                </c:pt>
                <c:pt idx="110">
                  <c:v>146560</c:v>
                </c:pt>
                <c:pt idx="111">
                  <c:v>146560</c:v>
                </c:pt>
                <c:pt idx="112">
                  <c:v>146560</c:v>
                </c:pt>
                <c:pt idx="113">
                  <c:v>146080</c:v>
                </c:pt>
                <c:pt idx="114">
                  <c:v>145600</c:v>
                </c:pt>
                <c:pt idx="115">
                  <c:v>146080</c:v>
                </c:pt>
                <c:pt idx="116">
                  <c:v>144400</c:v>
                </c:pt>
                <c:pt idx="117">
                  <c:v>139620</c:v>
                </c:pt>
                <c:pt idx="118">
                  <c:v>126540</c:v>
                </c:pt>
                <c:pt idx="119">
                  <c:v>124960</c:v>
                </c:pt>
                <c:pt idx="120">
                  <c:v>120460</c:v>
                </c:pt>
                <c:pt idx="121">
                  <c:v>121060</c:v>
                </c:pt>
                <c:pt idx="122">
                  <c:v>121340</c:v>
                </c:pt>
                <c:pt idx="123">
                  <c:v>127060</c:v>
                </c:pt>
                <c:pt idx="124">
                  <c:v>121580</c:v>
                </c:pt>
                <c:pt idx="125">
                  <c:v>122680</c:v>
                </c:pt>
                <c:pt idx="126">
                  <c:v>123980</c:v>
                </c:pt>
                <c:pt idx="127">
                  <c:v>113380</c:v>
                </c:pt>
                <c:pt idx="128">
                  <c:v>117680</c:v>
                </c:pt>
                <c:pt idx="129">
                  <c:v>118860</c:v>
                </c:pt>
                <c:pt idx="130">
                  <c:v>125360</c:v>
                </c:pt>
                <c:pt idx="131">
                  <c:v>139140</c:v>
                </c:pt>
                <c:pt idx="132">
                  <c:v>140220</c:v>
                </c:pt>
                <c:pt idx="133">
                  <c:v>154680</c:v>
                </c:pt>
                <c:pt idx="134">
                  <c:v>152600</c:v>
                </c:pt>
                <c:pt idx="135">
                  <c:v>154740</c:v>
                </c:pt>
                <c:pt idx="136">
                  <c:v>175740</c:v>
                </c:pt>
                <c:pt idx="137">
                  <c:v>165520</c:v>
                </c:pt>
                <c:pt idx="138">
                  <c:v>172880</c:v>
                </c:pt>
                <c:pt idx="139">
                  <c:v>173080</c:v>
                </c:pt>
                <c:pt idx="140">
                  <c:v>172180</c:v>
                </c:pt>
                <c:pt idx="141">
                  <c:v>178580</c:v>
                </c:pt>
                <c:pt idx="142">
                  <c:v>198580</c:v>
                </c:pt>
                <c:pt idx="143">
                  <c:v>193380</c:v>
                </c:pt>
                <c:pt idx="144">
                  <c:v>190960</c:v>
                </c:pt>
                <c:pt idx="145">
                  <c:v>192620</c:v>
                </c:pt>
                <c:pt idx="146">
                  <c:v>188160</c:v>
                </c:pt>
                <c:pt idx="147">
                  <c:v>185740</c:v>
                </c:pt>
                <c:pt idx="148">
                  <c:v>191340</c:v>
                </c:pt>
                <c:pt idx="149">
                  <c:v>191340</c:v>
                </c:pt>
                <c:pt idx="150">
                  <c:v>189660</c:v>
                </c:pt>
                <c:pt idx="151">
                  <c:v>182420</c:v>
                </c:pt>
                <c:pt idx="152">
                  <c:v>177980</c:v>
                </c:pt>
                <c:pt idx="153">
                  <c:v>194420</c:v>
                </c:pt>
                <c:pt idx="154">
                  <c:v>195180</c:v>
                </c:pt>
                <c:pt idx="155">
                  <c:v>235100</c:v>
                </c:pt>
                <c:pt idx="156">
                  <c:v>261880</c:v>
                </c:pt>
                <c:pt idx="157">
                  <c:v>313620</c:v>
                </c:pt>
                <c:pt idx="158">
                  <c:v>189880</c:v>
                </c:pt>
                <c:pt idx="159">
                  <c:v>201980</c:v>
                </c:pt>
                <c:pt idx="160">
                  <c:v>149260</c:v>
                </c:pt>
                <c:pt idx="161">
                  <c:v>151680</c:v>
                </c:pt>
                <c:pt idx="162">
                  <c:v>151320</c:v>
                </c:pt>
                <c:pt idx="163">
                  <c:v>151320</c:v>
                </c:pt>
                <c:pt idx="164">
                  <c:v>151320</c:v>
                </c:pt>
                <c:pt idx="165">
                  <c:v>150240</c:v>
                </c:pt>
                <c:pt idx="166">
                  <c:v>150240</c:v>
                </c:pt>
                <c:pt idx="167">
                  <c:v>149640</c:v>
                </c:pt>
                <c:pt idx="168">
                  <c:v>149640</c:v>
                </c:pt>
                <c:pt idx="169">
                  <c:v>149640</c:v>
                </c:pt>
                <c:pt idx="170">
                  <c:v>154480</c:v>
                </c:pt>
                <c:pt idx="171">
                  <c:v>162860</c:v>
                </c:pt>
                <c:pt idx="172">
                  <c:v>164960</c:v>
                </c:pt>
                <c:pt idx="173">
                  <c:v>152360</c:v>
                </c:pt>
                <c:pt idx="174">
                  <c:v>142260</c:v>
                </c:pt>
                <c:pt idx="175">
                  <c:v>164860</c:v>
                </c:pt>
                <c:pt idx="176">
                  <c:v>146160</c:v>
                </c:pt>
                <c:pt idx="177">
                  <c:v>165060</c:v>
                </c:pt>
                <c:pt idx="178">
                  <c:v>189840</c:v>
                </c:pt>
                <c:pt idx="179">
                  <c:v>184780</c:v>
                </c:pt>
                <c:pt idx="180">
                  <c:v>156240</c:v>
                </c:pt>
                <c:pt idx="181">
                  <c:v>170740</c:v>
                </c:pt>
                <c:pt idx="182">
                  <c:v>184040</c:v>
                </c:pt>
                <c:pt idx="183">
                  <c:v>180540</c:v>
                </c:pt>
                <c:pt idx="184">
                  <c:v>179740</c:v>
                </c:pt>
                <c:pt idx="185">
                  <c:v>174840</c:v>
                </c:pt>
                <c:pt idx="186">
                  <c:v>181840</c:v>
                </c:pt>
                <c:pt idx="187">
                  <c:v>180140</c:v>
                </c:pt>
                <c:pt idx="188">
                  <c:v>175040</c:v>
                </c:pt>
                <c:pt idx="189">
                  <c:v>170960</c:v>
                </c:pt>
                <c:pt idx="190">
                  <c:v>173860</c:v>
                </c:pt>
                <c:pt idx="191">
                  <c:v>186280</c:v>
                </c:pt>
                <c:pt idx="192">
                  <c:v>190700</c:v>
                </c:pt>
                <c:pt idx="193">
                  <c:v>177940</c:v>
                </c:pt>
                <c:pt idx="194">
                  <c:v>200740</c:v>
                </c:pt>
                <c:pt idx="195">
                  <c:v>214340</c:v>
                </c:pt>
                <c:pt idx="196">
                  <c:v>161780</c:v>
                </c:pt>
                <c:pt idx="197">
                  <c:v>175340</c:v>
                </c:pt>
                <c:pt idx="198">
                  <c:v>172300</c:v>
                </c:pt>
                <c:pt idx="199">
                  <c:v>205640</c:v>
                </c:pt>
                <c:pt idx="200">
                  <c:v>168020</c:v>
                </c:pt>
                <c:pt idx="201">
                  <c:v>237740</c:v>
                </c:pt>
                <c:pt idx="202">
                  <c:v>189900</c:v>
                </c:pt>
                <c:pt idx="203">
                  <c:v>242960</c:v>
                </c:pt>
                <c:pt idx="204">
                  <c:v>227680</c:v>
                </c:pt>
                <c:pt idx="205">
                  <c:v>265540</c:v>
                </c:pt>
                <c:pt idx="206">
                  <c:v>224900</c:v>
                </c:pt>
                <c:pt idx="207">
                  <c:v>289340</c:v>
                </c:pt>
                <c:pt idx="208">
                  <c:v>291980</c:v>
                </c:pt>
                <c:pt idx="209">
                  <c:v>339180</c:v>
                </c:pt>
                <c:pt idx="210">
                  <c:v>382940</c:v>
                </c:pt>
                <c:pt idx="211">
                  <c:v>415140</c:v>
                </c:pt>
                <c:pt idx="212">
                  <c:v>419000</c:v>
                </c:pt>
                <c:pt idx="213">
                  <c:v>414380</c:v>
                </c:pt>
                <c:pt idx="214">
                  <c:v>401220</c:v>
                </c:pt>
                <c:pt idx="215">
                  <c:v>412580</c:v>
                </c:pt>
                <c:pt idx="216">
                  <c:v>437180</c:v>
                </c:pt>
                <c:pt idx="217">
                  <c:v>447140</c:v>
                </c:pt>
                <c:pt idx="218">
                  <c:v>454440</c:v>
                </c:pt>
                <c:pt idx="219">
                  <c:v>459000</c:v>
                </c:pt>
                <c:pt idx="220">
                  <c:v>467700</c:v>
                </c:pt>
                <c:pt idx="221">
                  <c:v>458420</c:v>
                </c:pt>
                <c:pt idx="222">
                  <c:v>462660</c:v>
                </c:pt>
                <c:pt idx="223">
                  <c:v>463260</c:v>
                </c:pt>
                <c:pt idx="224">
                  <c:v>466360</c:v>
                </c:pt>
                <c:pt idx="225">
                  <c:v>474260</c:v>
                </c:pt>
                <c:pt idx="226">
                  <c:v>472460</c:v>
                </c:pt>
                <c:pt idx="227">
                  <c:v>473560</c:v>
                </c:pt>
                <c:pt idx="228">
                  <c:v>471660</c:v>
                </c:pt>
                <c:pt idx="229">
                  <c:v>508960</c:v>
                </c:pt>
                <c:pt idx="230">
                  <c:v>491040</c:v>
                </c:pt>
                <c:pt idx="231">
                  <c:v>502300</c:v>
                </c:pt>
                <c:pt idx="232">
                  <c:v>437040</c:v>
                </c:pt>
                <c:pt idx="233">
                  <c:v>447980</c:v>
                </c:pt>
                <c:pt idx="234">
                  <c:v>468900</c:v>
                </c:pt>
                <c:pt idx="235">
                  <c:v>480900</c:v>
                </c:pt>
                <c:pt idx="236">
                  <c:v>534340</c:v>
                </c:pt>
                <c:pt idx="237">
                  <c:v>533200</c:v>
                </c:pt>
                <c:pt idx="238">
                  <c:v>521660</c:v>
                </c:pt>
                <c:pt idx="239">
                  <c:v>498660</c:v>
                </c:pt>
                <c:pt idx="240">
                  <c:v>446780</c:v>
                </c:pt>
                <c:pt idx="241">
                  <c:v>475900</c:v>
                </c:pt>
                <c:pt idx="242">
                  <c:v>488140</c:v>
                </c:pt>
                <c:pt idx="243">
                  <c:v>492220</c:v>
                </c:pt>
                <c:pt idx="244">
                  <c:v>497060</c:v>
                </c:pt>
                <c:pt idx="245">
                  <c:v>505860</c:v>
                </c:pt>
                <c:pt idx="246">
                  <c:v>501260</c:v>
                </c:pt>
                <c:pt idx="247">
                  <c:v>507060</c:v>
                </c:pt>
                <c:pt idx="248">
                  <c:v>486580</c:v>
                </c:pt>
                <c:pt idx="249">
                  <c:v>509960</c:v>
                </c:pt>
                <c:pt idx="250">
                  <c:v>500240</c:v>
                </c:pt>
                <c:pt idx="251">
                  <c:v>511240</c:v>
                </c:pt>
                <c:pt idx="252">
                  <c:v>556740</c:v>
                </c:pt>
                <c:pt idx="253">
                  <c:v>559540</c:v>
                </c:pt>
                <c:pt idx="254">
                  <c:v>553640</c:v>
                </c:pt>
                <c:pt idx="255">
                  <c:v>569640</c:v>
                </c:pt>
                <c:pt idx="256">
                  <c:v>569100</c:v>
                </c:pt>
                <c:pt idx="257">
                  <c:v>578820</c:v>
                </c:pt>
                <c:pt idx="258">
                  <c:v>596700</c:v>
                </c:pt>
                <c:pt idx="259">
                  <c:v>566040</c:v>
                </c:pt>
                <c:pt idx="260">
                  <c:v>545160</c:v>
                </c:pt>
                <c:pt idx="261">
                  <c:v>550080</c:v>
                </c:pt>
                <c:pt idx="262">
                  <c:v>499920</c:v>
                </c:pt>
                <c:pt idx="263">
                  <c:v>499000</c:v>
                </c:pt>
                <c:pt idx="264">
                  <c:v>496100</c:v>
                </c:pt>
                <c:pt idx="265">
                  <c:v>499380</c:v>
                </c:pt>
                <c:pt idx="266">
                  <c:v>498160</c:v>
                </c:pt>
                <c:pt idx="267">
                  <c:v>487200</c:v>
                </c:pt>
                <c:pt idx="268">
                  <c:v>497120</c:v>
                </c:pt>
                <c:pt idx="269">
                  <c:v>484960</c:v>
                </c:pt>
                <c:pt idx="270">
                  <c:v>481280</c:v>
                </c:pt>
                <c:pt idx="271">
                  <c:v>454980</c:v>
                </c:pt>
                <c:pt idx="272">
                  <c:v>455800</c:v>
                </c:pt>
                <c:pt idx="273">
                  <c:v>455800</c:v>
                </c:pt>
                <c:pt idx="274">
                  <c:v>455800</c:v>
                </c:pt>
                <c:pt idx="275">
                  <c:v>455080</c:v>
                </c:pt>
                <c:pt idx="276">
                  <c:v>454840</c:v>
                </c:pt>
                <c:pt idx="277">
                  <c:v>454840</c:v>
                </c:pt>
                <c:pt idx="278">
                  <c:v>454840</c:v>
                </c:pt>
                <c:pt idx="279">
                  <c:v>454840</c:v>
                </c:pt>
                <c:pt idx="280">
                  <c:v>454840</c:v>
                </c:pt>
                <c:pt idx="281">
                  <c:v>454840</c:v>
                </c:pt>
                <c:pt idx="282">
                  <c:v>454840</c:v>
                </c:pt>
                <c:pt idx="283">
                  <c:v>454840</c:v>
                </c:pt>
                <c:pt idx="284">
                  <c:v>446640</c:v>
                </c:pt>
                <c:pt idx="285">
                  <c:v>450140</c:v>
                </c:pt>
                <c:pt idx="286">
                  <c:v>450140</c:v>
                </c:pt>
                <c:pt idx="287">
                  <c:v>450140</c:v>
                </c:pt>
                <c:pt idx="288">
                  <c:v>449900</c:v>
                </c:pt>
                <c:pt idx="289">
                  <c:v>449900</c:v>
                </c:pt>
                <c:pt idx="290">
                  <c:v>449520</c:v>
                </c:pt>
                <c:pt idx="291">
                  <c:v>449760</c:v>
                </c:pt>
                <c:pt idx="292">
                  <c:v>452760</c:v>
                </c:pt>
                <c:pt idx="293">
                  <c:v>454760</c:v>
                </c:pt>
                <c:pt idx="294">
                  <c:v>454980</c:v>
                </c:pt>
                <c:pt idx="295">
                  <c:v>455120</c:v>
                </c:pt>
                <c:pt idx="296">
                  <c:v>452620</c:v>
                </c:pt>
                <c:pt idx="297">
                  <c:v>453740</c:v>
                </c:pt>
                <c:pt idx="298">
                  <c:v>455880</c:v>
                </c:pt>
                <c:pt idx="299">
                  <c:v>452680</c:v>
                </c:pt>
                <c:pt idx="300">
                  <c:v>457180</c:v>
                </c:pt>
                <c:pt idx="301">
                  <c:v>453080</c:v>
                </c:pt>
                <c:pt idx="302">
                  <c:v>455780</c:v>
                </c:pt>
                <c:pt idx="303">
                  <c:v>453080</c:v>
                </c:pt>
                <c:pt idx="304">
                  <c:v>444540</c:v>
                </c:pt>
                <c:pt idx="305">
                  <c:v>449540</c:v>
                </c:pt>
                <c:pt idx="306">
                  <c:v>449540</c:v>
                </c:pt>
                <c:pt idx="307">
                  <c:v>449180</c:v>
                </c:pt>
                <c:pt idx="308">
                  <c:v>428040</c:v>
                </c:pt>
                <c:pt idx="309">
                  <c:v>444840</c:v>
                </c:pt>
                <c:pt idx="310">
                  <c:v>444480</c:v>
                </c:pt>
                <c:pt idx="311">
                  <c:v>509640</c:v>
                </c:pt>
                <c:pt idx="312">
                  <c:v>511940</c:v>
                </c:pt>
                <c:pt idx="313">
                  <c:v>500280</c:v>
                </c:pt>
                <c:pt idx="314">
                  <c:v>510360</c:v>
                </c:pt>
                <c:pt idx="315">
                  <c:v>493960</c:v>
                </c:pt>
                <c:pt idx="316">
                  <c:v>493460</c:v>
                </c:pt>
                <c:pt idx="317">
                  <c:v>489560</c:v>
                </c:pt>
                <c:pt idx="318">
                  <c:v>476360</c:v>
                </c:pt>
                <c:pt idx="319">
                  <c:v>472480</c:v>
                </c:pt>
                <c:pt idx="320">
                  <c:v>472820</c:v>
                </c:pt>
                <c:pt idx="321">
                  <c:v>475620</c:v>
                </c:pt>
                <c:pt idx="322">
                  <c:v>482620</c:v>
                </c:pt>
                <c:pt idx="323">
                  <c:v>484320</c:v>
                </c:pt>
                <c:pt idx="324">
                  <c:v>483120</c:v>
                </c:pt>
                <c:pt idx="325">
                  <c:v>466920</c:v>
                </c:pt>
                <c:pt idx="326">
                  <c:v>466920</c:v>
                </c:pt>
                <c:pt idx="327">
                  <c:v>472720</c:v>
                </c:pt>
                <c:pt idx="328">
                  <c:v>484320</c:v>
                </c:pt>
                <c:pt idx="329">
                  <c:v>477520</c:v>
                </c:pt>
                <c:pt idx="330">
                  <c:v>494720</c:v>
                </c:pt>
                <c:pt idx="331">
                  <c:v>501320</c:v>
                </c:pt>
                <c:pt idx="332">
                  <c:v>502520</c:v>
                </c:pt>
                <c:pt idx="333">
                  <c:v>503520</c:v>
                </c:pt>
                <c:pt idx="334">
                  <c:v>507420</c:v>
                </c:pt>
                <c:pt idx="335">
                  <c:v>505720</c:v>
                </c:pt>
                <c:pt idx="336">
                  <c:v>504920</c:v>
                </c:pt>
                <c:pt idx="337">
                  <c:v>505920</c:v>
                </c:pt>
                <c:pt idx="338">
                  <c:v>506760</c:v>
                </c:pt>
                <c:pt idx="339">
                  <c:v>508240</c:v>
                </c:pt>
                <c:pt idx="340">
                  <c:v>504280</c:v>
                </c:pt>
                <c:pt idx="341">
                  <c:v>509960</c:v>
                </c:pt>
                <c:pt idx="342">
                  <c:v>506560</c:v>
                </c:pt>
                <c:pt idx="343">
                  <c:v>518880</c:v>
                </c:pt>
                <c:pt idx="344">
                  <c:v>522040</c:v>
                </c:pt>
                <c:pt idx="345">
                  <c:v>505400</c:v>
                </c:pt>
                <c:pt idx="346">
                  <c:v>560560</c:v>
                </c:pt>
                <c:pt idx="347">
                  <c:v>568300</c:v>
                </c:pt>
                <c:pt idx="348">
                  <c:v>555900</c:v>
                </c:pt>
                <c:pt idx="349">
                  <c:v>574080</c:v>
                </c:pt>
                <c:pt idx="350">
                  <c:v>561240</c:v>
                </c:pt>
                <c:pt idx="351">
                  <c:v>521340</c:v>
                </c:pt>
                <c:pt idx="352">
                  <c:v>552540</c:v>
                </c:pt>
                <c:pt idx="353">
                  <c:v>561840</c:v>
                </c:pt>
                <c:pt idx="354">
                  <c:v>554020</c:v>
                </c:pt>
                <c:pt idx="355">
                  <c:v>550200</c:v>
                </c:pt>
                <c:pt idx="356">
                  <c:v>561840</c:v>
                </c:pt>
                <c:pt idx="357">
                  <c:v>561140</c:v>
                </c:pt>
                <c:pt idx="358">
                  <c:v>564340</c:v>
                </c:pt>
                <c:pt idx="359">
                  <c:v>565660</c:v>
                </c:pt>
                <c:pt idx="360">
                  <c:v>565500</c:v>
                </c:pt>
                <c:pt idx="361">
                  <c:v>559140</c:v>
                </c:pt>
                <c:pt idx="362">
                  <c:v>557820</c:v>
                </c:pt>
                <c:pt idx="363">
                  <c:v>570020</c:v>
                </c:pt>
                <c:pt idx="364">
                  <c:v>568720</c:v>
                </c:pt>
                <c:pt idx="365">
                  <c:v>569320</c:v>
                </c:pt>
                <c:pt idx="366">
                  <c:v>559020</c:v>
                </c:pt>
                <c:pt idx="367">
                  <c:v>569720</c:v>
                </c:pt>
                <c:pt idx="368">
                  <c:v>554860</c:v>
                </c:pt>
                <c:pt idx="369">
                  <c:v>555640</c:v>
                </c:pt>
                <c:pt idx="370">
                  <c:v>560040</c:v>
                </c:pt>
                <c:pt idx="371">
                  <c:v>561240</c:v>
                </c:pt>
                <c:pt idx="372">
                  <c:v>560140</c:v>
                </c:pt>
                <c:pt idx="373">
                  <c:v>564140</c:v>
                </c:pt>
                <c:pt idx="374">
                  <c:v>563000</c:v>
                </c:pt>
                <c:pt idx="375">
                  <c:v>566720</c:v>
                </c:pt>
                <c:pt idx="376">
                  <c:v>566540</c:v>
                </c:pt>
                <c:pt idx="377">
                  <c:v>558860</c:v>
                </c:pt>
                <c:pt idx="378">
                  <c:v>554020</c:v>
                </c:pt>
                <c:pt idx="379">
                  <c:v>558220</c:v>
                </c:pt>
                <c:pt idx="380">
                  <c:v>559820</c:v>
                </c:pt>
                <c:pt idx="381">
                  <c:v>559020</c:v>
                </c:pt>
                <c:pt idx="382">
                  <c:v>559600</c:v>
                </c:pt>
                <c:pt idx="383">
                  <c:v>559360</c:v>
                </c:pt>
                <c:pt idx="384">
                  <c:v>561560</c:v>
                </c:pt>
                <c:pt idx="385">
                  <c:v>561960</c:v>
                </c:pt>
                <c:pt idx="386">
                  <c:v>562760</c:v>
                </c:pt>
                <c:pt idx="387">
                  <c:v>563160</c:v>
                </c:pt>
                <c:pt idx="388">
                  <c:v>564160</c:v>
                </c:pt>
                <c:pt idx="389">
                  <c:v>565560</c:v>
                </c:pt>
                <c:pt idx="390">
                  <c:v>562160</c:v>
                </c:pt>
                <c:pt idx="391">
                  <c:v>578180</c:v>
                </c:pt>
                <c:pt idx="392">
                  <c:v>596940</c:v>
                </c:pt>
                <c:pt idx="393">
                  <c:v>599680</c:v>
                </c:pt>
                <c:pt idx="394">
                  <c:v>615760</c:v>
                </c:pt>
                <c:pt idx="395">
                  <c:v>623700</c:v>
                </c:pt>
                <c:pt idx="396">
                  <c:v>644060</c:v>
                </c:pt>
                <c:pt idx="397">
                  <c:v>612460</c:v>
                </c:pt>
                <c:pt idx="398">
                  <c:v>707860</c:v>
                </c:pt>
                <c:pt idx="399">
                  <c:v>716380</c:v>
                </c:pt>
                <c:pt idx="400">
                  <c:v>734520</c:v>
                </c:pt>
                <c:pt idx="401">
                  <c:v>698120</c:v>
                </c:pt>
                <c:pt idx="402">
                  <c:v>649440</c:v>
                </c:pt>
                <c:pt idx="403">
                  <c:v>651680</c:v>
                </c:pt>
                <c:pt idx="404">
                  <c:v>630700</c:v>
                </c:pt>
                <c:pt idx="405">
                  <c:v>643440</c:v>
                </c:pt>
                <c:pt idx="406">
                  <c:v>622740</c:v>
                </c:pt>
                <c:pt idx="407">
                  <c:v>641520</c:v>
                </c:pt>
                <c:pt idx="408">
                  <c:v>647140</c:v>
                </c:pt>
                <c:pt idx="409">
                  <c:v>650060</c:v>
                </c:pt>
                <c:pt idx="410">
                  <c:v>682940</c:v>
                </c:pt>
                <c:pt idx="411">
                  <c:v>704500</c:v>
                </c:pt>
                <c:pt idx="412">
                  <c:v>764580</c:v>
                </c:pt>
                <c:pt idx="413">
                  <c:v>797740</c:v>
                </c:pt>
                <c:pt idx="414">
                  <c:v>780440</c:v>
                </c:pt>
                <c:pt idx="415">
                  <c:v>827820</c:v>
                </c:pt>
                <c:pt idx="416">
                  <c:v>838080</c:v>
                </c:pt>
                <c:pt idx="417">
                  <c:v>827760</c:v>
                </c:pt>
                <c:pt idx="418">
                  <c:v>819920</c:v>
                </c:pt>
                <c:pt idx="419">
                  <c:v>795420</c:v>
                </c:pt>
                <c:pt idx="420">
                  <c:v>825520</c:v>
                </c:pt>
                <c:pt idx="421">
                  <c:v>824120</c:v>
                </c:pt>
                <c:pt idx="422">
                  <c:v>910200</c:v>
                </c:pt>
                <c:pt idx="423">
                  <c:v>878820</c:v>
                </c:pt>
                <c:pt idx="424">
                  <c:v>901140</c:v>
                </c:pt>
                <c:pt idx="425">
                  <c:v>917740</c:v>
                </c:pt>
                <c:pt idx="426">
                  <c:v>912940</c:v>
                </c:pt>
                <c:pt idx="427">
                  <c:v>898940</c:v>
                </c:pt>
                <c:pt idx="428">
                  <c:v>911740</c:v>
                </c:pt>
                <c:pt idx="429">
                  <c:v>913720</c:v>
                </c:pt>
                <c:pt idx="430">
                  <c:v>903080</c:v>
                </c:pt>
                <c:pt idx="431">
                  <c:v>905080</c:v>
                </c:pt>
                <c:pt idx="432">
                  <c:v>892480</c:v>
                </c:pt>
                <c:pt idx="433">
                  <c:v>856920</c:v>
                </c:pt>
                <c:pt idx="434">
                  <c:v>856700</c:v>
                </c:pt>
                <c:pt idx="435">
                  <c:v>912600</c:v>
                </c:pt>
                <c:pt idx="436">
                  <c:v>865700</c:v>
                </c:pt>
                <c:pt idx="437">
                  <c:v>886100</c:v>
                </c:pt>
                <c:pt idx="438">
                  <c:v>910500</c:v>
                </c:pt>
                <c:pt idx="439">
                  <c:v>927200</c:v>
                </c:pt>
                <c:pt idx="440">
                  <c:v>919500</c:v>
                </c:pt>
                <c:pt idx="441">
                  <c:v>945500</c:v>
                </c:pt>
                <c:pt idx="442">
                  <c:v>927100</c:v>
                </c:pt>
                <c:pt idx="443">
                  <c:v>926800</c:v>
                </c:pt>
                <c:pt idx="444">
                  <c:v>922900</c:v>
                </c:pt>
                <c:pt idx="445">
                  <c:v>938420</c:v>
                </c:pt>
                <c:pt idx="446">
                  <c:v>930860</c:v>
                </c:pt>
                <c:pt idx="447">
                  <c:v>921780</c:v>
                </c:pt>
                <c:pt idx="448">
                  <c:v>916920</c:v>
                </c:pt>
                <c:pt idx="449">
                  <c:v>920620</c:v>
                </c:pt>
                <c:pt idx="450">
                  <c:v>917120</c:v>
                </c:pt>
                <c:pt idx="451">
                  <c:v>913120</c:v>
                </c:pt>
                <c:pt idx="452">
                  <c:v>913140</c:v>
                </c:pt>
                <c:pt idx="453">
                  <c:v>912180</c:v>
                </c:pt>
                <c:pt idx="454">
                  <c:v>907060</c:v>
                </c:pt>
                <c:pt idx="455">
                  <c:v>939140</c:v>
                </c:pt>
                <c:pt idx="456">
                  <c:v>949980</c:v>
                </c:pt>
                <c:pt idx="457">
                  <c:v>943840</c:v>
                </c:pt>
                <c:pt idx="458">
                  <c:v>988700</c:v>
                </c:pt>
                <c:pt idx="459">
                  <c:v>971460</c:v>
                </c:pt>
                <c:pt idx="460">
                  <c:v>1019420</c:v>
                </c:pt>
                <c:pt idx="461">
                  <c:v>1096120</c:v>
                </c:pt>
                <c:pt idx="462">
                  <c:v>1157420</c:v>
                </c:pt>
                <c:pt idx="463">
                  <c:v>1143920</c:v>
                </c:pt>
                <c:pt idx="464">
                  <c:v>1176920</c:v>
                </c:pt>
                <c:pt idx="465">
                  <c:v>1220820</c:v>
                </c:pt>
                <c:pt idx="466">
                  <c:v>1228500</c:v>
                </c:pt>
                <c:pt idx="467">
                  <c:v>1189160</c:v>
                </c:pt>
                <c:pt idx="468">
                  <c:v>1190560</c:v>
                </c:pt>
                <c:pt idx="469">
                  <c:v>1200260</c:v>
                </c:pt>
                <c:pt idx="470">
                  <c:v>1198460</c:v>
                </c:pt>
                <c:pt idx="471">
                  <c:v>1240960</c:v>
                </c:pt>
                <c:pt idx="472">
                  <c:v>1207660</c:v>
                </c:pt>
                <c:pt idx="473">
                  <c:v>1244720</c:v>
                </c:pt>
                <c:pt idx="474">
                  <c:v>1249640</c:v>
                </c:pt>
                <c:pt idx="475">
                  <c:v>1236340</c:v>
                </c:pt>
                <c:pt idx="476">
                  <c:v>1218520</c:v>
                </c:pt>
                <c:pt idx="477">
                  <c:v>1230960</c:v>
                </c:pt>
                <c:pt idx="478">
                  <c:v>1271720</c:v>
                </c:pt>
                <c:pt idx="479">
                  <c:v>1280300</c:v>
                </c:pt>
                <c:pt idx="480">
                  <c:v>1345860</c:v>
                </c:pt>
                <c:pt idx="481">
                  <c:v>1317660</c:v>
                </c:pt>
                <c:pt idx="482">
                  <c:v>1334560</c:v>
                </c:pt>
                <c:pt idx="483">
                  <c:v>1328460</c:v>
                </c:pt>
                <c:pt idx="484">
                  <c:v>1321160</c:v>
                </c:pt>
                <c:pt idx="485">
                  <c:v>1325660</c:v>
                </c:pt>
                <c:pt idx="486">
                  <c:v>1320460</c:v>
                </c:pt>
                <c:pt idx="487">
                  <c:v>1302560</c:v>
                </c:pt>
                <c:pt idx="488">
                  <c:v>1298760</c:v>
                </c:pt>
                <c:pt idx="489">
                  <c:v>1298760</c:v>
                </c:pt>
                <c:pt idx="490">
                  <c:v>1301360</c:v>
                </c:pt>
                <c:pt idx="491">
                  <c:v>1303060</c:v>
                </c:pt>
                <c:pt idx="492">
                  <c:v>1299860</c:v>
                </c:pt>
                <c:pt idx="493">
                  <c:v>1299060</c:v>
                </c:pt>
                <c:pt idx="494">
                  <c:v>1299660</c:v>
                </c:pt>
                <c:pt idx="495">
                  <c:v>1292960</c:v>
                </c:pt>
                <c:pt idx="496">
                  <c:v>1291560</c:v>
                </c:pt>
                <c:pt idx="497">
                  <c:v>1267560</c:v>
                </c:pt>
                <c:pt idx="498">
                  <c:v>1256360</c:v>
                </c:pt>
                <c:pt idx="499">
                  <c:v>1263960</c:v>
                </c:pt>
                <c:pt idx="500">
                  <c:v>1255460</c:v>
                </c:pt>
                <c:pt idx="501">
                  <c:v>1256160</c:v>
                </c:pt>
                <c:pt idx="502">
                  <c:v>1249260</c:v>
                </c:pt>
                <c:pt idx="503">
                  <c:v>1242760</c:v>
                </c:pt>
                <c:pt idx="504">
                  <c:v>1231860</c:v>
                </c:pt>
                <c:pt idx="505">
                  <c:v>1234760</c:v>
                </c:pt>
                <c:pt idx="506">
                  <c:v>1231560</c:v>
                </c:pt>
                <c:pt idx="507">
                  <c:v>1232160</c:v>
                </c:pt>
                <c:pt idx="508">
                  <c:v>1232060</c:v>
                </c:pt>
                <c:pt idx="509">
                  <c:v>1223060</c:v>
                </c:pt>
                <c:pt idx="510">
                  <c:v>1228860</c:v>
                </c:pt>
                <c:pt idx="511">
                  <c:v>1236060</c:v>
                </c:pt>
                <c:pt idx="512">
                  <c:v>1221860</c:v>
                </c:pt>
                <c:pt idx="513">
                  <c:v>1226960</c:v>
                </c:pt>
                <c:pt idx="514">
                  <c:v>1222960</c:v>
                </c:pt>
                <c:pt idx="515">
                  <c:v>1225360</c:v>
                </c:pt>
                <c:pt idx="516">
                  <c:v>1221160</c:v>
                </c:pt>
                <c:pt idx="517">
                  <c:v>1221460</c:v>
                </c:pt>
                <c:pt idx="518">
                  <c:v>1217360</c:v>
                </c:pt>
                <c:pt idx="519">
                  <c:v>1208660</c:v>
                </c:pt>
                <c:pt idx="520">
                  <c:v>1213940</c:v>
                </c:pt>
                <c:pt idx="521">
                  <c:v>1213940</c:v>
                </c:pt>
                <c:pt idx="522">
                  <c:v>1213580</c:v>
                </c:pt>
                <c:pt idx="523">
                  <c:v>1213580</c:v>
                </c:pt>
                <c:pt idx="524">
                  <c:v>1213580</c:v>
                </c:pt>
                <c:pt idx="525">
                  <c:v>1213580</c:v>
                </c:pt>
                <c:pt idx="526">
                  <c:v>1213580</c:v>
                </c:pt>
                <c:pt idx="527">
                  <c:v>1213580</c:v>
                </c:pt>
                <c:pt idx="528">
                  <c:v>1213580</c:v>
                </c:pt>
                <c:pt idx="529">
                  <c:v>1213580</c:v>
                </c:pt>
                <c:pt idx="530">
                  <c:v>1213580</c:v>
                </c:pt>
                <c:pt idx="531">
                  <c:v>1213220</c:v>
                </c:pt>
                <c:pt idx="532">
                  <c:v>1213220</c:v>
                </c:pt>
                <c:pt idx="533">
                  <c:v>1213220</c:v>
                </c:pt>
                <c:pt idx="534">
                  <c:v>1204820</c:v>
                </c:pt>
                <c:pt idx="535">
                  <c:v>1189520</c:v>
                </c:pt>
                <c:pt idx="536">
                  <c:v>1197020</c:v>
                </c:pt>
                <c:pt idx="537">
                  <c:v>1196660</c:v>
                </c:pt>
                <c:pt idx="538">
                  <c:v>1196660</c:v>
                </c:pt>
                <c:pt idx="539">
                  <c:v>1196660</c:v>
                </c:pt>
                <c:pt idx="540">
                  <c:v>1196660</c:v>
                </c:pt>
                <c:pt idx="541">
                  <c:v>1196660</c:v>
                </c:pt>
                <c:pt idx="542">
                  <c:v>1196660</c:v>
                </c:pt>
                <c:pt idx="543">
                  <c:v>1196660</c:v>
                </c:pt>
                <c:pt idx="544">
                  <c:v>1194740</c:v>
                </c:pt>
                <c:pt idx="545">
                  <c:v>1194020</c:v>
                </c:pt>
                <c:pt idx="546">
                  <c:v>1192940</c:v>
                </c:pt>
                <c:pt idx="547">
                  <c:v>1250120</c:v>
                </c:pt>
                <c:pt idx="548">
                  <c:v>1250120</c:v>
                </c:pt>
                <c:pt idx="549">
                  <c:v>1291620</c:v>
                </c:pt>
                <c:pt idx="550">
                  <c:v>1228400</c:v>
                </c:pt>
                <c:pt idx="551">
                  <c:v>1204360</c:v>
                </c:pt>
                <c:pt idx="552">
                  <c:v>1204360</c:v>
                </c:pt>
                <c:pt idx="553">
                  <c:v>1202440</c:v>
                </c:pt>
                <c:pt idx="554">
                  <c:v>1202440</c:v>
                </c:pt>
                <c:pt idx="555">
                  <c:v>1227460</c:v>
                </c:pt>
                <c:pt idx="556">
                  <c:v>1196800</c:v>
                </c:pt>
                <c:pt idx="557">
                  <c:v>1164800</c:v>
                </c:pt>
                <c:pt idx="558">
                  <c:v>1134540</c:v>
                </c:pt>
                <c:pt idx="559">
                  <c:v>1110000</c:v>
                </c:pt>
                <c:pt idx="560">
                  <c:v>1112960</c:v>
                </c:pt>
                <c:pt idx="561">
                  <c:v>1122360</c:v>
                </c:pt>
                <c:pt idx="562">
                  <c:v>1098120</c:v>
                </c:pt>
                <c:pt idx="563">
                  <c:v>1097440</c:v>
                </c:pt>
                <c:pt idx="564">
                  <c:v>1099900</c:v>
                </c:pt>
                <c:pt idx="565">
                  <c:v>1104020</c:v>
                </c:pt>
                <c:pt idx="566">
                  <c:v>1121620</c:v>
                </c:pt>
                <c:pt idx="567">
                  <c:v>1113000</c:v>
                </c:pt>
                <c:pt idx="568">
                  <c:v>1104460</c:v>
                </c:pt>
                <c:pt idx="569">
                  <c:v>1103260</c:v>
                </c:pt>
                <c:pt idx="570">
                  <c:v>1104960</c:v>
                </c:pt>
                <c:pt idx="571">
                  <c:v>1106560</c:v>
                </c:pt>
                <c:pt idx="572">
                  <c:v>1104380</c:v>
                </c:pt>
                <c:pt idx="573">
                  <c:v>1093640</c:v>
                </c:pt>
                <c:pt idx="574">
                  <c:v>1070300</c:v>
                </c:pt>
                <c:pt idx="575">
                  <c:v>1070300</c:v>
                </c:pt>
                <c:pt idx="576">
                  <c:v>1069940</c:v>
                </c:pt>
                <c:pt idx="577">
                  <c:v>1069580</c:v>
                </c:pt>
                <c:pt idx="578">
                  <c:v>1068020</c:v>
                </c:pt>
                <c:pt idx="579">
                  <c:v>1067300</c:v>
                </c:pt>
                <c:pt idx="580">
                  <c:v>1066340</c:v>
                </c:pt>
                <c:pt idx="581">
                  <c:v>1066340</c:v>
                </c:pt>
                <c:pt idx="582">
                  <c:v>1065140</c:v>
                </c:pt>
                <c:pt idx="583">
                  <c:v>1039920</c:v>
                </c:pt>
                <c:pt idx="584">
                  <c:v>1014780</c:v>
                </c:pt>
                <c:pt idx="585">
                  <c:v>1020280</c:v>
                </c:pt>
                <c:pt idx="586">
                  <c:v>1045180</c:v>
                </c:pt>
                <c:pt idx="587">
                  <c:v>1027480</c:v>
                </c:pt>
                <c:pt idx="588">
                  <c:v>1042560</c:v>
                </c:pt>
                <c:pt idx="589">
                  <c:v>1051220</c:v>
                </c:pt>
                <c:pt idx="590">
                  <c:v>1064000</c:v>
                </c:pt>
                <c:pt idx="591">
                  <c:v>1040260</c:v>
                </c:pt>
                <c:pt idx="592">
                  <c:v>1041960</c:v>
                </c:pt>
                <c:pt idx="593">
                  <c:v>1050660</c:v>
                </c:pt>
                <c:pt idx="594">
                  <c:v>1057560</c:v>
                </c:pt>
                <c:pt idx="595">
                  <c:v>1061760</c:v>
                </c:pt>
                <c:pt idx="596">
                  <c:v>1085140</c:v>
                </c:pt>
                <c:pt idx="597">
                  <c:v>1094580</c:v>
                </c:pt>
                <c:pt idx="598">
                  <c:v>1086740</c:v>
                </c:pt>
                <c:pt idx="599">
                  <c:v>1091940</c:v>
                </c:pt>
                <c:pt idx="600">
                  <c:v>1093240</c:v>
                </c:pt>
                <c:pt idx="601">
                  <c:v>1093440</c:v>
                </c:pt>
                <c:pt idx="602">
                  <c:v>1093740</c:v>
                </c:pt>
                <c:pt idx="603">
                  <c:v>1095520</c:v>
                </c:pt>
                <c:pt idx="604">
                  <c:v>1098280</c:v>
                </c:pt>
                <c:pt idx="605">
                  <c:v>1097380</c:v>
                </c:pt>
                <c:pt idx="606">
                  <c:v>1084400</c:v>
                </c:pt>
                <c:pt idx="607">
                  <c:v>1083040</c:v>
                </c:pt>
                <c:pt idx="608">
                  <c:v>1090940</c:v>
                </c:pt>
                <c:pt idx="609">
                  <c:v>1093660</c:v>
                </c:pt>
                <c:pt idx="610">
                  <c:v>1082000</c:v>
                </c:pt>
                <c:pt idx="611">
                  <c:v>1075800</c:v>
                </c:pt>
                <c:pt idx="612">
                  <c:v>1101400</c:v>
                </c:pt>
                <c:pt idx="613">
                  <c:v>1096920</c:v>
                </c:pt>
                <c:pt idx="614">
                  <c:v>1105660</c:v>
                </c:pt>
                <c:pt idx="615">
                  <c:v>1104760</c:v>
                </c:pt>
                <c:pt idx="616">
                  <c:v>1101160</c:v>
                </c:pt>
                <c:pt idx="617">
                  <c:v>1099280</c:v>
                </c:pt>
                <c:pt idx="618">
                  <c:v>1099420</c:v>
                </c:pt>
                <c:pt idx="619">
                  <c:v>1099680</c:v>
                </c:pt>
                <c:pt idx="620">
                  <c:v>1116000</c:v>
                </c:pt>
                <c:pt idx="621">
                  <c:v>1096920</c:v>
                </c:pt>
                <c:pt idx="622">
                  <c:v>1044100</c:v>
                </c:pt>
                <c:pt idx="623">
                  <c:v>1065580</c:v>
                </c:pt>
                <c:pt idx="624">
                  <c:v>1065220</c:v>
                </c:pt>
                <c:pt idx="625">
                  <c:v>1064980</c:v>
                </c:pt>
                <c:pt idx="626">
                  <c:v>1064740</c:v>
                </c:pt>
                <c:pt idx="627">
                  <c:v>1062700</c:v>
                </c:pt>
                <c:pt idx="628">
                  <c:v>1049800</c:v>
                </c:pt>
                <c:pt idx="629">
                  <c:v>1052520</c:v>
                </c:pt>
                <c:pt idx="630">
                  <c:v>1040520</c:v>
                </c:pt>
                <c:pt idx="631">
                  <c:v>1051280</c:v>
                </c:pt>
                <c:pt idx="632">
                  <c:v>1107000</c:v>
                </c:pt>
                <c:pt idx="633">
                  <c:v>1097200</c:v>
                </c:pt>
                <c:pt idx="634">
                  <c:v>1123640</c:v>
                </c:pt>
                <c:pt idx="635">
                  <c:v>1022500</c:v>
                </c:pt>
                <c:pt idx="636">
                  <c:v>983460</c:v>
                </c:pt>
                <c:pt idx="637">
                  <c:v>987740</c:v>
                </c:pt>
                <c:pt idx="638">
                  <c:v>1014500</c:v>
                </c:pt>
                <c:pt idx="639">
                  <c:v>1049000</c:v>
                </c:pt>
                <c:pt idx="640">
                  <c:v>1036460</c:v>
                </c:pt>
                <c:pt idx="641">
                  <c:v>1044960</c:v>
                </c:pt>
                <c:pt idx="642">
                  <c:v>1030720</c:v>
                </c:pt>
                <c:pt idx="643">
                  <c:v>1053220</c:v>
                </c:pt>
                <c:pt idx="644">
                  <c:v>1050520</c:v>
                </c:pt>
                <c:pt idx="645">
                  <c:v>1016920</c:v>
                </c:pt>
                <c:pt idx="646">
                  <c:v>1047520</c:v>
                </c:pt>
                <c:pt idx="647">
                  <c:v>1069320</c:v>
                </c:pt>
                <c:pt idx="648">
                  <c:v>1064620</c:v>
                </c:pt>
                <c:pt idx="649">
                  <c:v>1117980</c:v>
                </c:pt>
                <c:pt idx="650">
                  <c:v>1054820</c:v>
                </c:pt>
                <c:pt idx="651">
                  <c:v>1178500</c:v>
                </c:pt>
                <c:pt idx="652">
                  <c:v>1176460</c:v>
                </c:pt>
                <c:pt idx="653">
                  <c:v>1223120</c:v>
                </c:pt>
                <c:pt idx="654">
                  <c:v>1253820</c:v>
                </c:pt>
                <c:pt idx="655">
                  <c:v>1263700</c:v>
                </c:pt>
                <c:pt idx="656">
                  <c:v>1264460</c:v>
                </c:pt>
                <c:pt idx="657">
                  <c:v>1256460</c:v>
                </c:pt>
                <c:pt idx="658">
                  <c:v>1265160</c:v>
                </c:pt>
                <c:pt idx="659">
                  <c:v>1262360</c:v>
                </c:pt>
                <c:pt idx="660">
                  <c:v>1263960</c:v>
                </c:pt>
                <c:pt idx="661">
                  <c:v>1299660</c:v>
                </c:pt>
                <c:pt idx="662">
                  <c:v>1312960</c:v>
                </c:pt>
                <c:pt idx="663">
                  <c:v>1325140</c:v>
                </c:pt>
                <c:pt idx="664">
                  <c:v>1337200</c:v>
                </c:pt>
                <c:pt idx="665">
                  <c:v>1337580</c:v>
                </c:pt>
                <c:pt idx="666">
                  <c:v>1348940</c:v>
                </c:pt>
                <c:pt idx="667">
                  <c:v>1356920</c:v>
                </c:pt>
                <c:pt idx="668">
                  <c:v>1362660</c:v>
                </c:pt>
                <c:pt idx="669">
                  <c:v>1360120</c:v>
                </c:pt>
                <c:pt idx="670">
                  <c:v>1361420</c:v>
                </c:pt>
                <c:pt idx="671">
                  <c:v>1366620</c:v>
                </c:pt>
                <c:pt idx="672">
                  <c:v>1364020</c:v>
                </c:pt>
                <c:pt idx="673">
                  <c:v>1362720</c:v>
                </c:pt>
                <c:pt idx="674">
                  <c:v>1359520</c:v>
                </c:pt>
                <c:pt idx="675">
                  <c:v>1360920</c:v>
                </c:pt>
                <c:pt idx="676">
                  <c:v>1358520</c:v>
                </c:pt>
                <c:pt idx="677">
                  <c:v>1355920</c:v>
                </c:pt>
                <c:pt idx="678">
                  <c:v>1353000</c:v>
                </c:pt>
                <c:pt idx="679">
                  <c:v>1353000</c:v>
                </c:pt>
                <c:pt idx="680">
                  <c:v>1353000</c:v>
                </c:pt>
                <c:pt idx="681">
                  <c:v>1353000</c:v>
                </c:pt>
                <c:pt idx="682">
                  <c:v>1353000</c:v>
                </c:pt>
                <c:pt idx="683">
                  <c:v>1353000</c:v>
                </c:pt>
                <c:pt idx="684">
                  <c:v>1353000</c:v>
                </c:pt>
                <c:pt idx="685">
                  <c:v>1352640</c:v>
                </c:pt>
                <c:pt idx="686">
                  <c:v>1352640</c:v>
                </c:pt>
                <c:pt idx="687">
                  <c:v>1352640</c:v>
                </c:pt>
                <c:pt idx="688">
                  <c:v>1352640</c:v>
                </c:pt>
                <c:pt idx="689">
                  <c:v>1352640</c:v>
                </c:pt>
                <c:pt idx="690">
                  <c:v>1352640</c:v>
                </c:pt>
                <c:pt idx="691">
                  <c:v>1352640</c:v>
                </c:pt>
                <c:pt idx="692">
                  <c:v>1352640</c:v>
                </c:pt>
                <c:pt idx="693">
                  <c:v>1350120</c:v>
                </c:pt>
                <c:pt idx="694">
                  <c:v>1349760</c:v>
                </c:pt>
                <c:pt idx="695">
                  <c:v>1314120</c:v>
                </c:pt>
                <c:pt idx="696">
                  <c:v>1296120</c:v>
                </c:pt>
                <c:pt idx="697">
                  <c:v>1303020</c:v>
                </c:pt>
                <c:pt idx="698">
                  <c:v>1302780</c:v>
                </c:pt>
                <c:pt idx="699">
                  <c:v>1302780</c:v>
                </c:pt>
                <c:pt idx="700">
                  <c:v>1302420</c:v>
                </c:pt>
                <c:pt idx="701">
                  <c:v>1302420</c:v>
                </c:pt>
                <c:pt idx="702">
                  <c:v>1302420</c:v>
                </c:pt>
                <c:pt idx="703">
                  <c:v>1302420</c:v>
                </c:pt>
                <c:pt idx="704">
                  <c:v>1302180</c:v>
                </c:pt>
                <c:pt idx="705">
                  <c:v>1302180</c:v>
                </c:pt>
                <c:pt idx="706">
                  <c:v>1302180</c:v>
                </c:pt>
                <c:pt idx="707">
                  <c:v>1302180</c:v>
                </c:pt>
                <c:pt idx="708">
                  <c:v>1293280</c:v>
                </c:pt>
                <c:pt idx="709">
                  <c:v>1291080</c:v>
                </c:pt>
                <c:pt idx="710">
                  <c:v>1292080</c:v>
                </c:pt>
                <c:pt idx="711">
                  <c:v>1291680</c:v>
                </c:pt>
                <c:pt idx="712">
                  <c:v>1293880</c:v>
                </c:pt>
                <c:pt idx="713">
                  <c:v>1293180</c:v>
                </c:pt>
                <c:pt idx="714">
                  <c:v>1300460</c:v>
                </c:pt>
                <c:pt idx="715">
                  <c:v>1288800</c:v>
                </c:pt>
                <c:pt idx="716">
                  <c:v>1295860</c:v>
                </c:pt>
                <c:pt idx="717">
                  <c:v>1291960</c:v>
                </c:pt>
                <c:pt idx="718">
                  <c:v>1290880</c:v>
                </c:pt>
                <c:pt idx="719">
                  <c:v>1282520</c:v>
                </c:pt>
                <c:pt idx="720">
                  <c:v>1266680</c:v>
                </c:pt>
                <c:pt idx="721">
                  <c:v>1266680</c:v>
                </c:pt>
                <c:pt idx="722">
                  <c:v>1266320</c:v>
                </c:pt>
                <c:pt idx="723">
                  <c:v>1266320</c:v>
                </c:pt>
                <c:pt idx="724">
                  <c:v>1266320</c:v>
                </c:pt>
                <c:pt idx="725">
                  <c:v>1266320</c:v>
                </c:pt>
                <c:pt idx="726">
                  <c:v>1265600</c:v>
                </c:pt>
                <c:pt idx="727">
                  <c:v>1265240</c:v>
                </c:pt>
                <c:pt idx="728">
                  <c:v>1265240</c:v>
                </c:pt>
                <c:pt idx="729">
                  <c:v>1265240</c:v>
                </c:pt>
                <c:pt idx="730">
                  <c:v>1265240</c:v>
                </c:pt>
                <c:pt idx="731">
                  <c:v>1265240</c:v>
                </c:pt>
                <c:pt idx="732">
                  <c:v>1265240</c:v>
                </c:pt>
                <c:pt idx="733">
                  <c:v>1265240</c:v>
                </c:pt>
                <c:pt idx="734">
                  <c:v>1265240</c:v>
                </c:pt>
                <c:pt idx="735">
                  <c:v>1263680</c:v>
                </c:pt>
                <c:pt idx="736">
                  <c:v>1262360</c:v>
                </c:pt>
                <c:pt idx="737">
                  <c:v>1261280</c:v>
                </c:pt>
                <c:pt idx="738">
                  <c:v>1260680</c:v>
                </c:pt>
                <c:pt idx="739">
                  <c:v>1259600</c:v>
                </c:pt>
                <c:pt idx="740">
                  <c:v>1258520</c:v>
                </c:pt>
                <c:pt idx="741">
                  <c:v>1258160</c:v>
                </c:pt>
                <c:pt idx="742">
                  <c:v>1226140</c:v>
                </c:pt>
                <c:pt idx="743">
                  <c:v>1224820</c:v>
                </c:pt>
                <c:pt idx="744">
                  <c:v>1224820</c:v>
                </c:pt>
                <c:pt idx="745">
                  <c:v>1224460</c:v>
                </c:pt>
                <c:pt idx="746">
                  <c:v>1223980</c:v>
                </c:pt>
                <c:pt idx="747">
                  <c:v>1223380</c:v>
                </c:pt>
                <c:pt idx="748">
                  <c:v>1223380</c:v>
                </c:pt>
                <c:pt idx="749">
                  <c:v>1221100</c:v>
                </c:pt>
                <c:pt idx="750">
                  <c:v>1220380</c:v>
                </c:pt>
                <c:pt idx="751">
                  <c:v>1220380</c:v>
                </c:pt>
                <c:pt idx="752">
                  <c:v>1220380</c:v>
                </c:pt>
                <c:pt idx="753">
                  <c:v>1219540</c:v>
                </c:pt>
                <c:pt idx="754">
                  <c:v>1219540</c:v>
                </c:pt>
                <c:pt idx="755">
                  <c:v>1219540</c:v>
                </c:pt>
                <c:pt idx="756">
                  <c:v>1218820</c:v>
                </c:pt>
                <c:pt idx="757">
                  <c:v>1218820</c:v>
                </c:pt>
                <c:pt idx="758">
                  <c:v>1218820</c:v>
                </c:pt>
                <c:pt idx="759">
                  <c:v>1218820</c:v>
                </c:pt>
                <c:pt idx="760">
                  <c:v>1218220</c:v>
                </c:pt>
                <c:pt idx="761">
                  <c:v>1218220</c:v>
                </c:pt>
                <c:pt idx="762">
                  <c:v>1218220</c:v>
                </c:pt>
                <c:pt idx="763">
                  <c:v>1271220</c:v>
                </c:pt>
                <c:pt idx="764">
                  <c:v>1359700</c:v>
                </c:pt>
                <c:pt idx="765">
                  <c:v>1360860</c:v>
                </c:pt>
                <c:pt idx="766">
                  <c:v>1380860</c:v>
                </c:pt>
                <c:pt idx="767">
                  <c:v>1390740</c:v>
                </c:pt>
                <c:pt idx="768">
                  <c:v>1414300</c:v>
                </c:pt>
                <c:pt idx="769">
                  <c:v>1409200</c:v>
                </c:pt>
                <c:pt idx="770">
                  <c:v>1382800</c:v>
                </c:pt>
                <c:pt idx="771">
                  <c:v>1421600</c:v>
                </c:pt>
                <c:pt idx="772">
                  <c:v>1440900</c:v>
                </c:pt>
                <c:pt idx="773">
                  <c:v>1445100</c:v>
                </c:pt>
                <c:pt idx="774">
                  <c:v>1450000</c:v>
                </c:pt>
                <c:pt idx="775">
                  <c:v>1444400</c:v>
                </c:pt>
                <c:pt idx="776">
                  <c:v>1414900</c:v>
                </c:pt>
                <c:pt idx="777">
                  <c:v>1402100</c:v>
                </c:pt>
                <c:pt idx="778">
                  <c:v>1403200</c:v>
                </c:pt>
                <c:pt idx="779">
                  <c:v>1430300</c:v>
                </c:pt>
                <c:pt idx="780">
                  <c:v>1406400</c:v>
                </c:pt>
                <c:pt idx="781">
                  <c:v>1436920</c:v>
                </c:pt>
                <c:pt idx="782">
                  <c:v>1422060</c:v>
                </c:pt>
                <c:pt idx="783">
                  <c:v>1414760</c:v>
                </c:pt>
                <c:pt idx="784">
                  <c:v>1428560</c:v>
                </c:pt>
                <c:pt idx="785">
                  <c:v>1437040</c:v>
                </c:pt>
                <c:pt idx="786">
                  <c:v>1461100</c:v>
                </c:pt>
                <c:pt idx="787">
                  <c:v>1465600</c:v>
                </c:pt>
                <c:pt idx="788">
                  <c:v>1468480</c:v>
                </c:pt>
                <c:pt idx="789">
                  <c:v>1458340</c:v>
                </c:pt>
                <c:pt idx="790">
                  <c:v>1455440</c:v>
                </c:pt>
                <c:pt idx="791">
                  <c:v>1456140</c:v>
                </c:pt>
                <c:pt idx="792">
                  <c:v>1452240</c:v>
                </c:pt>
                <c:pt idx="793">
                  <c:v>1457040</c:v>
                </c:pt>
                <c:pt idx="794">
                  <c:v>1461040</c:v>
                </c:pt>
                <c:pt idx="795">
                  <c:v>1465640</c:v>
                </c:pt>
                <c:pt idx="796">
                  <c:v>1475240</c:v>
                </c:pt>
                <c:pt idx="797">
                  <c:v>1467040</c:v>
                </c:pt>
                <c:pt idx="798">
                  <c:v>1446640</c:v>
                </c:pt>
                <c:pt idx="799">
                  <c:v>1451740</c:v>
                </c:pt>
                <c:pt idx="800">
                  <c:v>1448140</c:v>
                </c:pt>
                <c:pt idx="801">
                  <c:v>1447040</c:v>
                </c:pt>
                <c:pt idx="802">
                  <c:v>1440220</c:v>
                </c:pt>
                <c:pt idx="803">
                  <c:v>1444580</c:v>
                </c:pt>
                <c:pt idx="804">
                  <c:v>1428200</c:v>
                </c:pt>
                <c:pt idx="805">
                  <c:v>1417980</c:v>
                </c:pt>
                <c:pt idx="806">
                  <c:v>1429780</c:v>
                </c:pt>
                <c:pt idx="807">
                  <c:v>1426020</c:v>
                </c:pt>
                <c:pt idx="808">
                  <c:v>1423920</c:v>
                </c:pt>
                <c:pt idx="809">
                  <c:v>1409800</c:v>
                </c:pt>
                <c:pt idx="810">
                  <c:v>1371860</c:v>
                </c:pt>
                <c:pt idx="811">
                  <c:v>1388180</c:v>
                </c:pt>
                <c:pt idx="812">
                  <c:v>1388180</c:v>
                </c:pt>
                <c:pt idx="813">
                  <c:v>1388180</c:v>
                </c:pt>
                <c:pt idx="814">
                  <c:v>1388180</c:v>
                </c:pt>
                <c:pt idx="815">
                  <c:v>1388180</c:v>
                </c:pt>
                <c:pt idx="816">
                  <c:v>1386140</c:v>
                </c:pt>
                <c:pt idx="817">
                  <c:v>1385780</c:v>
                </c:pt>
                <c:pt idx="818">
                  <c:v>1385780</c:v>
                </c:pt>
                <c:pt idx="819">
                  <c:v>1385420</c:v>
                </c:pt>
                <c:pt idx="820">
                  <c:v>1385420</c:v>
                </c:pt>
                <c:pt idx="821">
                  <c:v>1384220</c:v>
                </c:pt>
                <c:pt idx="822">
                  <c:v>1383620</c:v>
                </c:pt>
                <c:pt idx="823">
                  <c:v>1382660</c:v>
                </c:pt>
                <c:pt idx="824">
                  <c:v>1381820</c:v>
                </c:pt>
                <c:pt idx="825">
                  <c:v>1381100</c:v>
                </c:pt>
                <c:pt idx="826">
                  <c:v>1381100</c:v>
                </c:pt>
                <c:pt idx="827">
                  <c:v>1386600</c:v>
                </c:pt>
                <c:pt idx="828">
                  <c:v>1399520</c:v>
                </c:pt>
                <c:pt idx="829">
                  <c:v>1419140</c:v>
                </c:pt>
                <c:pt idx="830">
                  <c:v>1409660</c:v>
                </c:pt>
                <c:pt idx="831">
                  <c:v>1431380</c:v>
                </c:pt>
                <c:pt idx="832">
                  <c:v>1431480</c:v>
                </c:pt>
                <c:pt idx="833">
                  <c:v>1439580</c:v>
                </c:pt>
                <c:pt idx="834">
                  <c:v>1404300</c:v>
                </c:pt>
                <c:pt idx="835">
                  <c:v>1372860</c:v>
                </c:pt>
                <c:pt idx="836">
                  <c:v>1404480</c:v>
                </c:pt>
                <c:pt idx="837">
                  <c:v>1438900</c:v>
                </c:pt>
                <c:pt idx="838">
                  <c:v>1441820</c:v>
                </c:pt>
                <c:pt idx="839">
                  <c:v>1443020</c:v>
                </c:pt>
                <c:pt idx="840">
                  <c:v>1440620</c:v>
                </c:pt>
                <c:pt idx="841">
                  <c:v>1415420</c:v>
                </c:pt>
                <c:pt idx="842">
                  <c:v>1398220</c:v>
                </c:pt>
                <c:pt idx="843">
                  <c:v>1406120</c:v>
                </c:pt>
                <c:pt idx="844">
                  <c:v>1399520</c:v>
                </c:pt>
                <c:pt idx="845">
                  <c:v>1373720</c:v>
                </c:pt>
                <c:pt idx="846">
                  <c:v>1375700</c:v>
                </c:pt>
                <c:pt idx="847">
                  <c:v>1372540</c:v>
                </c:pt>
                <c:pt idx="848">
                  <c:v>1387280</c:v>
                </c:pt>
                <c:pt idx="849">
                  <c:v>1398440</c:v>
                </c:pt>
                <c:pt idx="850">
                  <c:v>1405020</c:v>
                </c:pt>
                <c:pt idx="851">
                  <c:v>1401600</c:v>
                </c:pt>
                <c:pt idx="852">
                  <c:v>1410240</c:v>
                </c:pt>
                <c:pt idx="853">
                  <c:v>1370440</c:v>
                </c:pt>
                <c:pt idx="854">
                  <c:v>1367380</c:v>
                </c:pt>
                <c:pt idx="855">
                  <c:v>1372340</c:v>
                </c:pt>
                <c:pt idx="856">
                  <c:v>1369300</c:v>
                </c:pt>
                <c:pt idx="857">
                  <c:v>1364960</c:v>
                </c:pt>
                <c:pt idx="858">
                  <c:v>1379980</c:v>
                </c:pt>
                <c:pt idx="859">
                  <c:v>1387400</c:v>
                </c:pt>
                <c:pt idx="860">
                  <c:v>1352540</c:v>
                </c:pt>
                <c:pt idx="861">
                  <c:v>1309140</c:v>
                </c:pt>
                <c:pt idx="862">
                  <c:v>1309140</c:v>
                </c:pt>
                <c:pt idx="863">
                  <c:v>1309140</c:v>
                </c:pt>
                <c:pt idx="864">
                  <c:v>1309140</c:v>
                </c:pt>
                <c:pt idx="865">
                  <c:v>1307100</c:v>
                </c:pt>
                <c:pt idx="866">
                  <c:v>1306740</c:v>
                </c:pt>
                <c:pt idx="867">
                  <c:v>1306740</c:v>
                </c:pt>
                <c:pt idx="868">
                  <c:v>1306740</c:v>
                </c:pt>
                <c:pt idx="869">
                  <c:v>1306740</c:v>
                </c:pt>
                <c:pt idx="870">
                  <c:v>1306740</c:v>
                </c:pt>
                <c:pt idx="871">
                  <c:v>1306500</c:v>
                </c:pt>
                <c:pt idx="872">
                  <c:v>1306500</c:v>
                </c:pt>
                <c:pt idx="873">
                  <c:v>1306500</c:v>
                </c:pt>
                <c:pt idx="874">
                  <c:v>1306500</c:v>
                </c:pt>
                <c:pt idx="875">
                  <c:v>1306500</c:v>
                </c:pt>
                <c:pt idx="876">
                  <c:v>1306500</c:v>
                </c:pt>
                <c:pt idx="877">
                  <c:v>1306500</c:v>
                </c:pt>
                <c:pt idx="878">
                  <c:v>1306260</c:v>
                </c:pt>
                <c:pt idx="879">
                  <c:v>1306020</c:v>
                </c:pt>
                <c:pt idx="880">
                  <c:v>1306020</c:v>
                </c:pt>
                <c:pt idx="881">
                  <c:v>1307520</c:v>
                </c:pt>
                <c:pt idx="882">
                  <c:v>1305420</c:v>
                </c:pt>
                <c:pt idx="883">
                  <c:v>1304220</c:v>
                </c:pt>
                <c:pt idx="884">
                  <c:v>1302120</c:v>
                </c:pt>
                <c:pt idx="885">
                  <c:v>1305420</c:v>
                </c:pt>
                <c:pt idx="886">
                  <c:v>1309120</c:v>
                </c:pt>
                <c:pt idx="887">
                  <c:v>1309820</c:v>
                </c:pt>
                <c:pt idx="888">
                  <c:v>1308620</c:v>
                </c:pt>
                <c:pt idx="889">
                  <c:v>1309920</c:v>
                </c:pt>
                <c:pt idx="890">
                  <c:v>1308720</c:v>
                </c:pt>
                <c:pt idx="891">
                  <c:v>1306820</c:v>
                </c:pt>
                <c:pt idx="892">
                  <c:v>1308720</c:v>
                </c:pt>
                <c:pt idx="893">
                  <c:v>1305920</c:v>
                </c:pt>
                <c:pt idx="894">
                  <c:v>1305920</c:v>
                </c:pt>
                <c:pt idx="895">
                  <c:v>1305920</c:v>
                </c:pt>
                <c:pt idx="896">
                  <c:v>1305920</c:v>
                </c:pt>
                <c:pt idx="897">
                  <c:v>1305920</c:v>
                </c:pt>
                <c:pt idx="898">
                  <c:v>1305920</c:v>
                </c:pt>
                <c:pt idx="899">
                  <c:v>1305520</c:v>
                </c:pt>
                <c:pt idx="900">
                  <c:v>1306020</c:v>
                </c:pt>
                <c:pt idx="901">
                  <c:v>1306520</c:v>
                </c:pt>
                <c:pt idx="902">
                  <c:v>1313200</c:v>
                </c:pt>
                <c:pt idx="903">
                  <c:v>1292760</c:v>
                </c:pt>
                <c:pt idx="904">
                  <c:v>1270480</c:v>
                </c:pt>
                <c:pt idx="905">
                  <c:v>1270480</c:v>
                </c:pt>
                <c:pt idx="906">
                  <c:v>1269280</c:v>
                </c:pt>
                <c:pt idx="907">
                  <c:v>1268680</c:v>
                </c:pt>
                <c:pt idx="908">
                  <c:v>1268320</c:v>
                </c:pt>
                <c:pt idx="909">
                  <c:v>1267240</c:v>
                </c:pt>
                <c:pt idx="910">
                  <c:v>1267000</c:v>
                </c:pt>
                <c:pt idx="911">
                  <c:v>1265680</c:v>
                </c:pt>
                <c:pt idx="912">
                  <c:v>1265320</c:v>
                </c:pt>
                <c:pt idx="913">
                  <c:v>1265320</c:v>
                </c:pt>
                <c:pt idx="914">
                  <c:v>1264960</c:v>
                </c:pt>
                <c:pt idx="915">
                  <c:v>1264720</c:v>
                </c:pt>
                <c:pt idx="916">
                  <c:v>1264360</c:v>
                </c:pt>
                <c:pt idx="917">
                  <c:v>1335580</c:v>
                </c:pt>
                <c:pt idx="918">
                  <c:v>1335580</c:v>
                </c:pt>
                <c:pt idx="919">
                  <c:v>1352180</c:v>
                </c:pt>
                <c:pt idx="920">
                  <c:v>1284700</c:v>
                </c:pt>
                <c:pt idx="921">
                  <c:v>1348660</c:v>
                </c:pt>
                <c:pt idx="922">
                  <c:v>1332400</c:v>
                </c:pt>
                <c:pt idx="923">
                  <c:v>1327400</c:v>
                </c:pt>
                <c:pt idx="924">
                  <c:v>1343100</c:v>
                </c:pt>
                <c:pt idx="925">
                  <c:v>1350500</c:v>
                </c:pt>
                <c:pt idx="926">
                  <c:v>1345000</c:v>
                </c:pt>
                <c:pt idx="927">
                  <c:v>1362400</c:v>
                </c:pt>
                <c:pt idx="928">
                  <c:v>1375820</c:v>
                </c:pt>
                <c:pt idx="929">
                  <c:v>1398920</c:v>
                </c:pt>
                <c:pt idx="930">
                  <c:v>1404240</c:v>
                </c:pt>
                <c:pt idx="931">
                  <c:v>1407900</c:v>
                </c:pt>
                <c:pt idx="932">
                  <c:v>1418120</c:v>
                </c:pt>
                <c:pt idx="933">
                  <c:v>1417020</c:v>
                </c:pt>
                <c:pt idx="934">
                  <c:v>1442640</c:v>
                </c:pt>
                <c:pt idx="935">
                  <c:v>1451580</c:v>
                </c:pt>
                <c:pt idx="936">
                  <c:v>1427280</c:v>
                </c:pt>
                <c:pt idx="937">
                  <c:v>1404380</c:v>
                </c:pt>
                <c:pt idx="938">
                  <c:v>1410680</c:v>
                </c:pt>
                <c:pt idx="939">
                  <c:v>1362240</c:v>
                </c:pt>
                <c:pt idx="940">
                  <c:v>1374560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07-48B7-B774-75E1495063A0}"/>
            </c:ext>
          </c:extLst>
        </c:ser>
        <c:ser>
          <c:idx val="1"/>
          <c:order val="1"/>
          <c:tx>
            <c:strRef>
              <c:f>Data!$J$11</c:f>
              <c:strCache>
                <c:ptCount val="1"/>
                <c:pt idx="0">
                  <c:v>Long Polypropylene Futures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941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41281</c:v>
                </c:pt>
                <c:pt idx="5">
                  <c:v>41282</c:v>
                </c:pt>
                <c:pt idx="6">
                  <c:v>41283</c:v>
                </c:pt>
                <c:pt idx="7">
                  <c:v>41284</c:v>
                </c:pt>
                <c:pt idx="8">
                  <c:v>41285</c:v>
                </c:pt>
                <c:pt idx="9">
                  <c:v>41288</c:v>
                </c:pt>
                <c:pt idx="10">
                  <c:v>41289</c:v>
                </c:pt>
                <c:pt idx="11">
                  <c:v>41290</c:v>
                </c:pt>
                <c:pt idx="12">
                  <c:v>41291</c:v>
                </c:pt>
                <c:pt idx="13">
                  <c:v>41292</c:v>
                </c:pt>
                <c:pt idx="14">
                  <c:v>41295</c:v>
                </c:pt>
                <c:pt idx="15">
                  <c:v>41296</c:v>
                </c:pt>
                <c:pt idx="16">
                  <c:v>41297</c:v>
                </c:pt>
                <c:pt idx="17">
                  <c:v>41298</c:v>
                </c:pt>
                <c:pt idx="18">
                  <c:v>41299</c:v>
                </c:pt>
                <c:pt idx="19">
                  <c:v>41302</c:v>
                </c:pt>
                <c:pt idx="20">
                  <c:v>41303</c:v>
                </c:pt>
                <c:pt idx="21">
                  <c:v>41304</c:v>
                </c:pt>
                <c:pt idx="22">
                  <c:v>41305</c:v>
                </c:pt>
                <c:pt idx="23">
                  <c:v>41306</c:v>
                </c:pt>
                <c:pt idx="24">
                  <c:v>41309</c:v>
                </c:pt>
                <c:pt idx="25">
                  <c:v>41310</c:v>
                </c:pt>
                <c:pt idx="26">
                  <c:v>41311</c:v>
                </c:pt>
                <c:pt idx="27">
                  <c:v>41312</c:v>
                </c:pt>
                <c:pt idx="28">
                  <c:v>41313</c:v>
                </c:pt>
                <c:pt idx="29">
                  <c:v>41316</c:v>
                </c:pt>
                <c:pt idx="30">
                  <c:v>41317</c:v>
                </c:pt>
                <c:pt idx="31">
                  <c:v>41318</c:v>
                </c:pt>
                <c:pt idx="32">
                  <c:v>41319</c:v>
                </c:pt>
                <c:pt idx="33">
                  <c:v>41320</c:v>
                </c:pt>
                <c:pt idx="34">
                  <c:v>41323</c:v>
                </c:pt>
                <c:pt idx="35">
                  <c:v>41324</c:v>
                </c:pt>
                <c:pt idx="36">
                  <c:v>41325</c:v>
                </c:pt>
                <c:pt idx="37">
                  <c:v>41326</c:v>
                </c:pt>
                <c:pt idx="38">
                  <c:v>41327</c:v>
                </c:pt>
                <c:pt idx="39">
                  <c:v>41330</c:v>
                </c:pt>
                <c:pt idx="40">
                  <c:v>41331</c:v>
                </c:pt>
                <c:pt idx="41">
                  <c:v>41332</c:v>
                </c:pt>
                <c:pt idx="42">
                  <c:v>41333</c:v>
                </c:pt>
                <c:pt idx="43">
                  <c:v>41334</c:v>
                </c:pt>
                <c:pt idx="44">
                  <c:v>41337</c:v>
                </c:pt>
                <c:pt idx="45">
                  <c:v>41338</c:v>
                </c:pt>
                <c:pt idx="46">
                  <c:v>41339</c:v>
                </c:pt>
                <c:pt idx="47">
                  <c:v>41340</c:v>
                </c:pt>
                <c:pt idx="48">
                  <c:v>41341</c:v>
                </c:pt>
                <c:pt idx="49">
                  <c:v>41344</c:v>
                </c:pt>
                <c:pt idx="50">
                  <c:v>41345</c:v>
                </c:pt>
                <c:pt idx="51">
                  <c:v>41346</c:v>
                </c:pt>
                <c:pt idx="52">
                  <c:v>41347</c:v>
                </c:pt>
                <c:pt idx="53">
                  <c:v>41348</c:v>
                </c:pt>
                <c:pt idx="54">
                  <c:v>41351</c:v>
                </c:pt>
                <c:pt idx="55">
                  <c:v>41352</c:v>
                </c:pt>
                <c:pt idx="56">
                  <c:v>41353</c:v>
                </c:pt>
                <c:pt idx="57">
                  <c:v>41354</c:v>
                </c:pt>
                <c:pt idx="58">
                  <c:v>41355</c:v>
                </c:pt>
                <c:pt idx="59">
                  <c:v>41358</c:v>
                </c:pt>
                <c:pt idx="60">
                  <c:v>41359</c:v>
                </c:pt>
                <c:pt idx="61">
                  <c:v>41360</c:v>
                </c:pt>
                <c:pt idx="62">
                  <c:v>41361</c:v>
                </c:pt>
                <c:pt idx="63">
                  <c:v>41362</c:v>
                </c:pt>
                <c:pt idx="64">
                  <c:v>41365</c:v>
                </c:pt>
                <c:pt idx="65">
                  <c:v>41366</c:v>
                </c:pt>
                <c:pt idx="66">
                  <c:v>41367</c:v>
                </c:pt>
                <c:pt idx="67">
                  <c:v>41368</c:v>
                </c:pt>
                <c:pt idx="68">
                  <c:v>41369</c:v>
                </c:pt>
                <c:pt idx="69">
                  <c:v>41372</c:v>
                </c:pt>
                <c:pt idx="70">
                  <c:v>41373</c:v>
                </c:pt>
                <c:pt idx="71">
                  <c:v>41374</c:v>
                </c:pt>
                <c:pt idx="72">
                  <c:v>41375</c:v>
                </c:pt>
                <c:pt idx="73">
                  <c:v>41376</c:v>
                </c:pt>
                <c:pt idx="74">
                  <c:v>41379</c:v>
                </c:pt>
                <c:pt idx="75">
                  <c:v>41380</c:v>
                </c:pt>
                <c:pt idx="76">
                  <c:v>41381</c:v>
                </c:pt>
                <c:pt idx="77">
                  <c:v>41382</c:v>
                </c:pt>
                <c:pt idx="78">
                  <c:v>41383</c:v>
                </c:pt>
                <c:pt idx="79">
                  <c:v>41386</c:v>
                </c:pt>
                <c:pt idx="80">
                  <c:v>41387</c:v>
                </c:pt>
                <c:pt idx="81">
                  <c:v>41388</c:v>
                </c:pt>
                <c:pt idx="82">
                  <c:v>41389</c:v>
                </c:pt>
                <c:pt idx="83">
                  <c:v>41390</c:v>
                </c:pt>
                <c:pt idx="84">
                  <c:v>41393</c:v>
                </c:pt>
                <c:pt idx="85">
                  <c:v>41394</c:v>
                </c:pt>
                <c:pt idx="86">
                  <c:v>41395</c:v>
                </c:pt>
                <c:pt idx="87">
                  <c:v>41396</c:v>
                </c:pt>
                <c:pt idx="88">
                  <c:v>41397</c:v>
                </c:pt>
                <c:pt idx="89">
                  <c:v>41400</c:v>
                </c:pt>
                <c:pt idx="90">
                  <c:v>41401</c:v>
                </c:pt>
                <c:pt idx="91">
                  <c:v>41402</c:v>
                </c:pt>
                <c:pt idx="92">
                  <c:v>41403</c:v>
                </c:pt>
                <c:pt idx="93">
                  <c:v>41404</c:v>
                </c:pt>
                <c:pt idx="94">
                  <c:v>41407</c:v>
                </c:pt>
                <c:pt idx="95">
                  <c:v>41408</c:v>
                </c:pt>
                <c:pt idx="96">
                  <c:v>41409</c:v>
                </c:pt>
                <c:pt idx="97">
                  <c:v>41410</c:v>
                </c:pt>
                <c:pt idx="98">
                  <c:v>41411</c:v>
                </c:pt>
                <c:pt idx="99">
                  <c:v>41414</c:v>
                </c:pt>
                <c:pt idx="100">
                  <c:v>41415</c:v>
                </c:pt>
                <c:pt idx="101">
                  <c:v>41416</c:v>
                </c:pt>
                <c:pt idx="102">
                  <c:v>41417</c:v>
                </c:pt>
                <c:pt idx="103">
                  <c:v>41418</c:v>
                </c:pt>
                <c:pt idx="104">
                  <c:v>41421</c:v>
                </c:pt>
                <c:pt idx="105">
                  <c:v>41422</c:v>
                </c:pt>
                <c:pt idx="106">
                  <c:v>41423</c:v>
                </c:pt>
                <c:pt idx="107">
                  <c:v>41424</c:v>
                </c:pt>
                <c:pt idx="108">
                  <c:v>41425</c:v>
                </c:pt>
                <c:pt idx="109">
                  <c:v>41428</c:v>
                </c:pt>
                <c:pt idx="110">
                  <c:v>41429</c:v>
                </c:pt>
                <c:pt idx="111">
                  <c:v>41430</c:v>
                </c:pt>
                <c:pt idx="112">
                  <c:v>41431</c:v>
                </c:pt>
                <c:pt idx="113">
                  <c:v>41432</c:v>
                </c:pt>
                <c:pt idx="114">
                  <c:v>41435</c:v>
                </c:pt>
                <c:pt idx="115">
                  <c:v>41436</c:v>
                </c:pt>
                <c:pt idx="116">
                  <c:v>41437</c:v>
                </c:pt>
                <c:pt idx="117">
                  <c:v>41438</c:v>
                </c:pt>
                <c:pt idx="118">
                  <c:v>41439</c:v>
                </c:pt>
                <c:pt idx="119">
                  <c:v>41442</c:v>
                </c:pt>
                <c:pt idx="120">
                  <c:v>41443</c:v>
                </c:pt>
                <c:pt idx="121">
                  <c:v>41444</c:v>
                </c:pt>
                <c:pt idx="122">
                  <c:v>41445</c:v>
                </c:pt>
                <c:pt idx="123">
                  <c:v>41446</c:v>
                </c:pt>
                <c:pt idx="124">
                  <c:v>41449</c:v>
                </c:pt>
                <c:pt idx="125">
                  <c:v>41450</c:v>
                </c:pt>
                <c:pt idx="126">
                  <c:v>41451</c:v>
                </c:pt>
                <c:pt idx="127">
                  <c:v>41452</c:v>
                </c:pt>
                <c:pt idx="128">
                  <c:v>41453</c:v>
                </c:pt>
                <c:pt idx="129">
                  <c:v>41456</c:v>
                </c:pt>
                <c:pt idx="130">
                  <c:v>41457</c:v>
                </c:pt>
                <c:pt idx="131">
                  <c:v>41458</c:v>
                </c:pt>
                <c:pt idx="132">
                  <c:v>41459</c:v>
                </c:pt>
                <c:pt idx="133">
                  <c:v>41460</c:v>
                </c:pt>
                <c:pt idx="134">
                  <c:v>41463</c:v>
                </c:pt>
                <c:pt idx="135">
                  <c:v>41464</c:v>
                </c:pt>
                <c:pt idx="136">
                  <c:v>41465</c:v>
                </c:pt>
                <c:pt idx="137">
                  <c:v>41466</c:v>
                </c:pt>
                <c:pt idx="138">
                  <c:v>41467</c:v>
                </c:pt>
                <c:pt idx="139">
                  <c:v>41470</c:v>
                </c:pt>
                <c:pt idx="140">
                  <c:v>41471</c:v>
                </c:pt>
                <c:pt idx="141">
                  <c:v>41472</c:v>
                </c:pt>
                <c:pt idx="142">
                  <c:v>41473</c:v>
                </c:pt>
                <c:pt idx="143">
                  <c:v>41474</c:v>
                </c:pt>
                <c:pt idx="144">
                  <c:v>41477</c:v>
                </c:pt>
                <c:pt idx="145">
                  <c:v>41478</c:v>
                </c:pt>
                <c:pt idx="146">
                  <c:v>41479</c:v>
                </c:pt>
                <c:pt idx="147">
                  <c:v>41480</c:v>
                </c:pt>
                <c:pt idx="148">
                  <c:v>41481</c:v>
                </c:pt>
                <c:pt idx="149">
                  <c:v>41484</c:v>
                </c:pt>
                <c:pt idx="150">
                  <c:v>41485</c:v>
                </c:pt>
                <c:pt idx="151">
                  <c:v>41486</c:v>
                </c:pt>
                <c:pt idx="152">
                  <c:v>41487</c:v>
                </c:pt>
                <c:pt idx="153">
                  <c:v>41488</c:v>
                </c:pt>
                <c:pt idx="154">
                  <c:v>41491</c:v>
                </c:pt>
                <c:pt idx="155">
                  <c:v>41492</c:v>
                </c:pt>
                <c:pt idx="156">
                  <c:v>41493</c:v>
                </c:pt>
                <c:pt idx="157">
                  <c:v>41494</c:v>
                </c:pt>
                <c:pt idx="158">
                  <c:v>41495</c:v>
                </c:pt>
                <c:pt idx="159">
                  <c:v>41498</c:v>
                </c:pt>
                <c:pt idx="160">
                  <c:v>41499</c:v>
                </c:pt>
                <c:pt idx="161">
                  <c:v>41500</c:v>
                </c:pt>
                <c:pt idx="162">
                  <c:v>41501</c:v>
                </c:pt>
                <c:pt idx="163">
                  <c:v>41502</c:v>
                </c:pt>
                <c:pt idx="164">
                  <c:v>41505</c:v>
                </c:pt>
                <c:pt idx="165">
                  <c:v>41506</c:v>
                </c:pt>
                <c:pt idx="166">
                  <c:v>41507</c:v>
                </c:pt>
                <c:pt idx="167">
                  <c:v>41508</c:v>
                </c:pt>
                <c:pt idx="168">
                  <c:v>41509</c:v>
                </c:pt>
                <c:pt idx="169">
                  <c:v>41512</c:v>
                </c:pt>
                <c:pt idx="170">
                  <c:v>41513</c:v>
                </c:pt>
                <c:pt idx="171">
                  <c:v>41514</c:v>
                </c:pt>
                <c:pt idx="172">
                  <c:v>41515</c:v>
                </c:pt>
                <c:pt idx="173">
                  <c:v>41516</c:v>
                </c:pt>
                <c:pt idx="174">
                  <c:v>41519</c:v>
                </c:pt>
                <c:pt idx="175">
                  <c:v>41520</c:v>
                </c:pt>
                <c:pt idx="176">
                  <c:v>41521</c:v>
                </c:pt>
                <c:pt idx="177">
                  <c:v>41522</c:v>
                </c:pt>
                <c:pt idx="178">
                  <c:v>41523</c:v>
                </c:pt>
                <c:pt idx="179">
                  <c:v>41526</c:v>
                </c:pt>
                <c:pt idx="180">
                  <c:v>41527</c:v>
                </c:pt>
                <c:pt idx="181">
                  <c:v>41528</c:v>
                </c:pt>
                <c:pt idx="182">
                  <c:v>41529</c:v>
                </c:pt>
                <c:pt idx="183">
                  <c:v>41530</c:v>
                </c:pt>
                <c:pt idx="184">
                  <c:v>41533</c:v>
                </c:pt>
                <c:pt idx="185">
                  <c:v>41534</c:v>
                </c:pt>
                <c:pt idx="186">
                  <c:v>41535</c:v>
                </c:pt>
                <c:pt idx="187">
                  <c:v>41536</c:v>
                </c:pt>
                <c:pt idx="188">
                  <c:v>41537</c:v>
                </c:pt>
                <c:pt idx="189">
                  <c:v>41540</c:v>
                </c:pt>
                <c:pt idx="190">
                  <c:v>41541</c:v>
                </c:pt>
                <c:pt idx="191">
                  <c:v>41542</c:v>
                </c:pt>
                <c:pt idx="192">
                  <c:v>41543</c:v>
                </c:pt>
                <c:pt idx="193">
                  <c:v>41544</c:v>
                </c:pt>
                <c:pt idx="194">
                  <c:v>41547</c:v>
                </c:pt>
                <c:pt idx="195">
                  <c:v>41548</c:v>
                </c:pt>
                <c:pt idx="196">
                  <c:v>41549</c:v>
                </c:pt>
                <c:pt idx="197">
                  <c:v>41550</c:v>
                </c:pt>
                <c:pt idx="198">
                  <c:v>41551</c:v>
                </c:pt>
                <c:pt idx="199">
                  <c:v>41554</c:v>
                </c:pt>
                <c:pt idx="200">
                  <c:v>41555</c:v>
                </c:pt>
                <c:pt idx="201">
                  <c:v>41556</c:v>
                </c:pt>
                <c:pt idx="202">
                  <c:v>41557</c:v>
                </c:pt>
                <c:pt idx="203">
                  <c:v>41558</c:v>
                </c:pt>
                <c:pt idx="204">
                  <c:v>41561</c:v>
                </c:pt>
                <c:pt idx="205">
                  <c:v>41562</c:v>
                </c:pt>
                <c:pt idx="206">
                  <c:v>41563</c:v>
                </c:pt>
                <c:pt idx="207">
                  <c:v>41564</c:v>
                </c:pt>
                <c:pt idx="208">
                  <c:v>41565</c:v>
                </c:pt>
                <c:pt idx="209">
                  <c:v>41568</c:v>
                </c:pt>
                <c:pt idx="210">
                  <c:v>41569</c:v>
                </c:pt>
                <c:pt idx="211">
                  <c:v>41570</c:v>
                </c:pt>
                <c:pt idx="212">
                  <c:v>41571</c:v>
                </c:pt>
                <c:pt idx="213">
                  <c:v>41572</c:v>
                </c:pt>
                <c:pt idx="214">
                  <c:v>41575</c:v>
                </c:pt>
                <c:pt idx="215">
                  <c:v>41576</c:v>
                </c:pt>
                <c:pt idx="216">
                  <c:v>41577</c:v>
                </c:pt>
                <c:pt idx="217">
                  <c:v>41578</c:v>
                </c:pt>
                <c:pt idx="218">
                  <c:v>41579</c:v>
                </c:pt>
                <c:pt idx="219">
                  <c:v>41582</c:v>
                </c:pt>
                <c:pt idx="220">
                  <c:v>41583</c:v>
                </c:pt>
                <c:pt idx="221">
                  <c:v>41584</c:v>
                </c:pt>
                <c:pt idx="222">
                  <c:v>41585</c:v>
                </c:pt>
                <c:pt idx="223">
                  <c:v>41586</c:v>
                </c:pt>
                <c:pt idx="224">
                  <c:v>41589</c:v>
                </c:pt>
                <c:pt idx="225">
                  <c:v>41590</c:v>
                </c:pt>
                <c:pt idx="226">
                  <c:v>41591</c:v>
                </c:pt>
                <c:pt idx="227">
                  <c:v>41592</c:v>
                </c:pt>
                <c:pt idx="228">
                  <c:v>41593</c:v>
                </c:pt>
                <c:pt idx="229">
                  <c:v>41596</c:v>
                </c:pt>
                <c:pt idx="230">
                  <c:v>41597</c:v>
                </c:pt>
                <c:pt idx="231">
                  <c:v>41598</c:v>
                </c:pt>
                <c:pt idx="232">
                  <c:v>41599</c:v>
                </c:pt>
                <c:pt idx="233">
                  <c:v>41600</c:v>
                </c:pt>
                <c:pt idx="234">
                  <c:v>41603</c:v>
                </c:pt>
                <c:pt idx="235">
                  <c:v>41604</c:v>
                </c:pt>
                <c:pt idx="236">
                  <c:v>41605</c:v>
                </c:pt>
                <c:pt idx="237">
                  <c:v>41606</c:v>
                </c:pt>
                <c:pt idx="238">
                  <c:v>41607</c:v>
                </c:pt>
                <c:pt idx="239">
                  <c:v>41610</c:v>
                </c:pt>
                <c:pt idx="240">
                  <c:v>41611</c:v>
                </c:pt>
                <c:pt idx="241">
                  <c:v>41612</c:v>
                </c:pt>
                <c:pt idx="242">
                  <c:v>41613</c:v>
                </c:pt>
                <c:pt idx="243">
                  <c:v>41614</c:v>
                </c:pt>
                <c:pt idx="244">
                  <c:v>41617</c:v>
                </c:pt>
                <c:pt idx="245">
                  <c:v>41618</c:v>
                </c:pt>
                <c:pt idx="246">
                  <c:v>41619</c:v>
                </c:pt>
                <c:pt idx="247">
                  <c:v>41620</c:v>
                </c:pt>
                <c:pt idx="248">
                  <c:v>41621</c:v>
                </c:pt>
                <c:pt idx="249">
                  <c:v>41624</c:v>
                </c:pt>
                <c:pt idx="250">
                  <c:v>41625</c:v>
                </c:pt>
                <c:pt idx="251">
                  <c:v>41626</c:v>
                </c:pt>
                <c:pt idx="252">
                  <c:v>41627</c:v>
                </c:pt>
                <c:pt idx="253">
                  <c:v>41628</c:v>
                </c:pt>
                <c:pt idx="254">
                  <c:v>41631</c:v>
                </c:pt>
                <c:pt idx="255">
                  <c:v>41632</c:v>
                </c:pt>
                <c:pt idx="256">
                  <c:v>41633</c:v>
                </c:pt>
                <c:pt idx="257">
                  <c:v>41634</c:v>
                </c:pt>
                <c:pt idx="258">
                  <c:v>41635</c:v>
                </c:pt>
                <c:pt idx="259">
                  <c:v>41638</c:v>
                </c:pt>
                <c:pt idx="260">
                  <c:v>41639</c:v>
                </c:pt>
                <c:pt idx="261">
                  <c:v>41640</c:v>
                </c:pt>
                <c:pt idx="262">
                  <c:v>41641</c:v>
                </c:pt>
                <c:pt idx="263">
                  <c:v>41642</c:v>
                </c:pt>
                <c:pt idx="264">
                  <c:v>41645</c:v>
                </c:pt>
                <c:pt idx="265">
                  <c:v>41646</c:v>
                </c:pt>
                <c:pt idx="266">
                  <c:v>41647</c:v>
                </c:pt>
                <c:pt idx="267">
                  <c:v>41648</c:v>
                </c:pt>
                <c:pt idx="268">
                  <c:v>41649</c:v>
                </c:pt>
                <c:pt idx="269">
                  <c:v>41652</c:v>
                </c:pt>
                <c:pt idx="270">
                  <c:v>41653</c:v>
                </c:pt>
                <c:pt idx="271">
                  <c:v>41654</c:v>
                </c:pt>
                <c:pt idx="272">
                  <c:v>41655</c:v>
                </c:pt>
                <c:pt idx="273">
                  <c:v>41656</c:v>
                </c:pt>
                <c:pt idx="274">
                  <c:v>41659</c:v>
                </c:pt>
                <c:pt idx="275">
                  <c:v>41660</c:v>
                </c:pt>
                <c:pt idx="276">
                  <c:v>41661</c:v>
                </c:pt>
                <c:pt idx="277">
                  <c:v>41662</c:v>
                </c:pt>
                <c:pt idx="278">
                  <c:v>41663</c:v>
                </c:pt>
                <c:pt idx="279">
                  <c:v>41666</c:v>
                </c:pt>
                <c:pt idx="280">
                  <c:v>41667</c:v>
                </c:pt>
                <c:pt idx="281">
                  <c:v>41668</c:v>
                </c:pt>
                <c:pt idx="282">
                  <c:v>41669</c:v>
                </c:pt>
                <c:pt idx="283">
                  <c:v>41670</c:v>
                </c:pt>
                <c:pt idx="284">
                  <c:v>41673</c:v>
                </c:pt>
                <c:pt idx="285">
                  <c:v>41674</c:v>
                </c:pt>
                <c:pt idx="286">
                  <c:v>41675</c:v>
                </c:pt>
                <c:pt idx="287">
                  <c:v>41676</c:v>
                </c:pt>
                <c:pt idx="288">
                  <c:v>41677</c:v>
                </c:pt>
                <c:pt idx="289">
                  <c:v>41680</c:v>
                </c:pt>
                <c:pt idx="290">
                  <c:v>41681</c:v>
                </c:pt>
                <c:pt idx="291">
                  <c:v>41682</c:v>
                </c:pt>
                <c:pt idx="292">
                  <c:v>41683</c:v>
                </c:pt>
                <c:pt idx="293">
                  <c:v>41684</c:v>
                </c:pt>
                <c:pt idx="294">
                  <c:v>41687</c:v>
                </c:pt>
                <c:pt idx="295">
                  <c:v>41688</c:v>
                </c:pt>
                <c:pt idx="296">
                  <c:v>41689</c:v>
                </c:pt>
                <c:pt idx="297">
                  <c:v>41690</c:v>
                </c:pt>
                <c:pt idx="298">
                  <c:v>41691</c:v>
                </c:pt>
                <c:pt idx="299">
                  <c:v>41694</c:v>
                </c:pt>
                <c:pt idx="300">
                  <c:v>41695</c:v>
                </c:pt>
                <c:pt idx="301">
                  <c:v>41696</c:v>
                </c:pt>
                <c:pt idx="302">
                  <c:v>41697</c:v>
                </c:pt>
                <c:pt idx="303">
                  <c:v>41698</c:v>
                </c:pt>
                <c:pt idx="304">
                  <c:v>41701</c:v>
                </c:pt>
                <c:pt idx="305">
                  <c:v>41702</c:v>
                </c:pt>
                <c:pt idx="306">
                  <c:v>41703</c:v>
                </c:pt>
                <c:pt idx="307">
                  <c:v>41704</c:v>
                </c:pt>
                <c:pt idx="308">
                  <c:v>41705</c:v>
                </c:pt>
                <c:pt idx="309">
                  <c:v>41708</c:v>
                </c:pt>
                <c:pt idx="310">
                  <c:v>41709</c:v>
                </c:pt>
                <c:pt idx="311">
                  <c:v>41710</c:v>
                </c:pt>
                <c:pt idx="312">
                  <c:v>41711</c:v>
                </c:pt>
                <c:pt idx="313">
                  <c:v>41712</c:v>
                </c:pt>
                <c:pt idx="314">
                  <c:v>41715</c:v>
                </c:pt>
                <c:pt idx="315">
                  <c:v>41716</c:v>
                </c:pt>
                <c:pt idx="316">
                  <c:v>41717</c:v>
                </c:pt>
                <c:pt idx="317">
                  <c:v>41718</c:v>
                </c:pt>
                <c:pt idx="318">
                  <c:v>41719</c:v>
                </c:pt>
                <c:pt idx="319">
                  <c:v>41722</c:v>
                </c:pt>
                <c:pt idx="320">
                  <c:v>41723</c:v>
                </c:pt>
                <c:pt idx="321">
                  <c:v>41724</c:v>
                </c:pt>
                <c:pt idx="322">
                  <c:v>41725</c:v>
                </c:pt>
                <c:pt idx="323">
                  <c:v>41726</c:v>
                </c:pt>
                <c:pt idx="324">
                  <c:v>41729</c:v>
                </c:pt>
                <c:pt idx="325">
                  <c:v>41730</c:v>
                </c:pt>
                <c:pt idx="326">
                  <c:v>41731</c:v>
                </c:pt>
                <c:pt idx="327">
                  <c:v>41732</c:v>
                </c:pt>
                <c:pt idx="328">
                  <c:v>41733</c:v>
                </c:pt>
                <c:pt idx="329">
                  <c:v>41736</c:v>
                </c:pt>
                <c:pt idx="330">
                  <c:v>41737</c:v>
                </c:pt>
                <c:pt idx="331">
                  <c:v>41738</c:v>
                </c:pt>
                <c:pt idx="332">
                  <c:v>41739</c:v>
                </c:pt>
                <c:pt idx="333">
                  <c:v>41740</c:v>
                </c:pt>
                <c:pt idx="334">
                  <c:v>41743</c:v>
                </c:pt>
                <c:pt idx="335">
                  <c:v>41744</c:v>
                </c:pt>
                <c:pt idx="336">
                  <c:v>41745</c:v>
                </c:pt>
                <c:pt idx="337">
                  <c:v>41746</c:v>
                </c:pt>
                <c:pt idx="338">
                  <c:v>41747</c:v>
                </c:pt>
                <c:pt idx="339">
                  <c:v>41750</c:v>
                </c:pt>
                <c:pt idx="340">
                  <c:v>41751</c:v>
                </c:pt>
                <c:pt idx="341">
                  <c:v>41752</c:v>
                </c:pt>
                <c:pt idx="342">
                  <c:v>41753</c:v>
                </c:pt>
                <c:pt idx="343">
                  <c:v>41754</c:v>
                </c:pt>
                <c:pt idx="344">
                  <c:v>41757</c:v>
                </c:pt>
                <c:pt idx="345">
                  <c:v>41758</c:v>
                </c:pt>
                <c:pt idx="346">
                  <c:v>41759</c:v>
                </c:pt>
                <c:pt idx="347">
                  <c:v>41760</c:v>
                </c:pt>
                <c:pt idx="348">
                  <c:v>41761</c:v>
                </c:pt>
                <c:pt idx="349">
                  <c:v>41764</c:v>
                </c:pt>
                <c:pt idx="350">
                  <c:v>41765</c:v>
                </c:pt>
                <c:pt idx="351">
                  <c:v>41766</c:v>
                </c:pt>
                <c:pt idx="352">
                  <c:v>41767</c:v>
                </c:pt>
                <c:pt idx="353">
                  <c:v>41768</c:v>
                </c:pt>
                <c:pt idx="354">
                  <c:v>41771</c:v>
                </c:pt>
                <c:pt idx="355">
                  <c:v>41772</c:v>
                </c:pt>
                <c:pt idx="356">
                  <c:v>41773</c:v>
                </c:pt>
                <c:pt idx="357">
                  <c:v>41774</c:v>
                </c:pt>
                <c:pt idx="358">
                  <c:v>41775</c:v>
                </c:pt>
                <c:pt idx="359">
                  <c:v>41778</c:v>
                </c:pt>
                <c:pt idx="360">
                  <c:v>41779</c:v>
                </c:pt>
                <c:pt idx="361">
                  <c:v>41780</c:v>
                </c:pt>
                <c:pt idx="362">
                  <c:v>41781</c:v>
                </c:pt>
                <c:pt idx="363">
                  <c:v>41782</c:v>
                </c:pt>
                <c:pt idx="364">
                  <c:v>41785</c:v>
                </c:pt>
                <c:pt idx="365">
                  <c:v>41786</c:v>
                </c:pt>
                <c:pt idx="366">
                  <c:v>41787</c:v>
                </c:pt>
                <c:pt idx="367">
                  <c:v>41788</c:v>
                </c:pt>
                <c:pt idx="368">
                  <c:v>41789</c:v>
                </c:pt>
                <c:pt idx="369">
                  <c:v>41792</c:v>
                </c:pt>
                <c:pt idx="370">
                  <c:v>41793</c:v>
                </c:pt>
                <c:pt idx="371">
                  <c:v>41794</c:v>
                </c:pt>
                <c:pt idx="372">
                  <c:v>41795</c:v>
                </c:pt>
                <c:pt idx="373">
                  <c:v>41796</c:v>
                </c:pt>
                <c:pt idx="374">
                  <c:v>41799</c:v>
                </c:pt>
                <c:pt idx="375">
                  <c:v>41800</c:v>
                </c:pt>
                <c:pt idx="376">
                  <c:v>41801</c:v>
                </c:pt>
                <c:pt idx="377">
                  <c:v>41802</c:v>
                </c:pt>
                <c:pt idx="378">
                  <c:v>41803</c:v>
                </c:pt>
                <c:pt idx="379">
                  <c:v>41806</c:v>
                </c:pt>
                <c:pt idx="380">
                  <c:v>41807</c:v>
                </c:pt>
                <c:pt idx="381">
                  <c:v>41808</c:v>
                </c:pt>
                <c:pt idx="382">
                  <c:v>41809</c:v>
                </c:pt>
                <c:pt idx="383">
                  <c:v>41810</c:v>
                </c:pt>
                <c:pt idx="384">
                  <c:v>41813</c:v>
                </c:pt>
                <c:pt idx="385">
                  <c:v>41814</c:v>
                </c:pt>
                <c:pt idx="386">
                  <c:v>41815</c:v>
                </c:pt>
                <c:pt idx="387">
                  <c:v>41816</c:v>
                </c:pt>
                <c:pt idx="388">
                  <c:v>41817</c:v>
                </c:pt>
                <c:pt idx="389">
                  <c:v>41820</c:v>
                </c:pt>
                <c:pt idx="390">
                  <c:v>41821</c:v>
                </c:pt>
                <c:pt idx="391">
                  <c:v>41822</c:v>
                </c:pt>
                <c:pt idx="392">
                  <c:v>41823</c:v>
                </c:pt>
                <c:pt idx="393">
                  <c:v>41824</c:v>
                </c:pt>
                <c:pt idx="394">
                  <c:v>41827</c:v>
                </c:pt>
                <c:pt idx="395">
                  <c:v>41828</c:v>
                </c:pt>
                <c:pt idx="396">
                  <c:v>41829</c:v>
                </c:pt>
                <c:pt idx="397">
                  <c:v>41830</c:v>
                </c:pt>
                <c:pt idx="398">
                  <c:v>41831</c:v>
                </c:pt>
                <c:pt idx="399">
                  <c:v>41834</c:v>
                </c:pt>
                <c:pt idx="400">
                  <c:v>41835</c:v>
                </c:pt>
                <c:pt idx="401">
                  <c:v>41836</c:v>
                </c:pt>
                <c:pt idx="402">
                  <c:v>41837</c:v>
                </c:pt>
                <c:pt idx="403">
                  <c:v>41838</c:v>
                </c:pt>
                <c:pt idx="404">
                  <c:v>41841</c:v>
                </c:pt>
                <c:pt idx="405">
                  <c:v>41842</c:v>
                </c:pt>
                <c:pt idx="406">
                  <c:v>41843</c:v>
                </c:pt>
                <c:pt idx="407">
                  <c:v>41844</c:v>
                </c:pt>
                <c:pt idx="408">
                  <c:v>41845</c:v>
                </c:pt>
                <c:pt idx="409">
                  <c:v>41848</c:v>
                </c:pt>
                <c:pt idx="410">
                  <c:v>41849</c:v>
                </c:pt>
                <c:pt idx="411">
                  <c:v>41850</c:v>
                </c:pt>
                <c:pt idx="412">
                  <c:v>41851</c:v>
                </c:pt>
                <c:pt idx="413">
                  <c:v>41852</c:v>
                </c:pt>
                <c:pt idx="414">
                  <c:v>41855</c:v>
                </c:pt>
                <c:pt idx="415">
                  <c:v>41856</c:v>
                </c:pt>
                <c:pt idx="416">
                  <c:v>41857</c:v>
                </c:pt>
                <c:pt idx="417">
                  <c:v>41858</c:v>
                </c:pt>
                <c:pt idx="418">
                  <c:v>41859</c:v>
                </c:pt>
                <c:pt idx="419">
                  <c:v>41862</c:v>
                </c:pt>
                <c:pt idx="420">
                  <c:v>41863</c:v>
                </c:pt>
                <c:pt idx="421">
                  <c:v>41864</c:v>
                </c:pt>
                <c:pt idx="422">
                  <c:v>41865</c:v>
                </c:pt>
                <c:pt idx="423">
                  <c:v>41866</c:v>
                </c:pt>
                <c:pt idx="424">
                  <c:v>41869</c:v>
                </c:pt>
                <c:pt idx="425">
                  <c:v>41870</c:v>
                </c:pt>
                <c:pt idx="426">
                  <c:v>41871</c:v>
                </c:pt>
                <c:pt idx="427">
                  <c:v>41872</c:v>
                </c:pt>
                <c:pt idx="428">
                  <c:v>41873</c:v>
                </c:pt>
                <c:pt idx="429">
                  <c:v>41876</c:v>
                </c:pt>
                <c:pt idx="430">
                  <c:v>41877</c:v>
                </c:pt>
                <c:pt idx="431">
                  <c:v>41878</c:v>
                </c:pt>
                <c:pt idx="432">
                  <c:v>41879</c:v>
                </c:pt>
                <c:pt idx="433">
                  <c:v>41880</c:v>
                </c:pt>
                <c:pt idx="434">
                  <c:v>41883</c:v>
                </c:pt>
                <c:pt idx="435">
                  <c:v>41884</c:v>
                </c:pt>
                <c:pt idx="436">
                  <c:v>41885</c:v>
                </c:pt>
                <c:pt idx="437">
                  <c:v>41886</c:v>
                </c:pt>
                <c:pt idx="438">
                  <c:v>41887</c:v>
                </c:pt>
                <c:pt idx="439">
                  <c:v>41890</c:v>
                </c:pt>
                <c:pt idx="440">
                  <c:v>41891</c:v>
                </c:pt>
                <c:pt idx="441">
                  <c:v>41892</c:v>
                </c:pt>
                <c:pt idx="442">
                  <c:v>41893</c:v>
                </c:pt>
                <c:pt idx="443">
                  <c:v>41894</c:v>
                </c:pt>
                <c:pt idx="444">
                  <c:v>41897</c:v>
                </c:pt>
                <c:pt idx="445">
                  <c:v>41898</c:v>
                </c:pt>
                <c:pt idx="446">
                  <c:v>41899</c:v>
                </c:pt>
                <c:pt idx="447">
                  <c:v>41900</c:v>
                </c:pt>
                <c:pt idx="448">
                  <c:v>41901</c:v>
                </c:pt>
                <c:pt idx="449">
                  <c:v>41904</c:v>
                </c:pt>
                <c:pt idx="450">
                  <c:v>41905</c:v>
                </c:pt>
                <c:pt idx="451">
                  <c:v>41906</c:v>
                </c:pt>
                <c:pt idx="452">
                  <c:v>41907</c:v>
                </c:pt>
                <c:pt idx="453">
                  <c:v>41908</c:v>
                </c:pt>
                <c:pt idx="454">
                  <c:v>41911</c:v>
                </c:pt>
                <c:pt idx="455">
                  <c:v>41912</c:v>
                </c:pt>
                <c:pt idx="456">
                  <c:v>41913</c:v>
                </c:pt>
                <c:pt idx="457">
                  <c:v>41914</c:v>
                </c:pt>
                <c:pt idx="458">
                  <c:v>41915</c:v>
                </c:pt>
                <c:pt idx="459">
                  <c:v>41918</c:v>
                </c:pt>
                <c:pt idx="460">
                  <c:v>41919</c:v>
                </c:pt>
                <c:pt idx="461">
                  <c:v>41920</c:v>
                </c:pt>
                <c:pt idx="462">
                  <c:v>41921</c:v>
                </c:pt>
                <c:pt idx="463">
                  <c:v>41922</c:v>
                </c:pt>
                <c:pt idx="464">
                  <c:v>41925</c:v>
                </c:pt>
                <c:pt idx="465">
                  <c:v>41926</c:v>
                </c:pt>
                <c:pt idx="466">
                  <c:v>41927</c:v>
                </c:pt>
                <c:pt idx="467">
                  <c:v>41928</c:v>
                </c:pt>
                <c:pt idx="468">
                  <c:v>41929</c:v>
                </c:pt>
                <c:pt idx="469">
                  <c:v>41932</c:v>
                </c:pt>
                <c:pt idx="470">
                  <c:v>41933</c:v>
                </c:pt>
                <c:pt idx="471">
                  <c:v>41934</c:v>
                </c:pt>
                <c:pt idx="472">
                  <c:v>41935</c:v>
                </c:pt>
                <c:pt idx="473">
                  <c:v>41936</c:v>
                </c:pt>
                <c:pt idx="474">
                  <c:v>41939</c:v>
                </c:pt>
                <c:pt idx="475">
                  <c:v>41940</c:v>
                </c:pt>
                <c:pt idx="476">
                  <c:v>41941</c:v>
                </c:pt>
                <c:pt idx="477">
                  <c:v>41942</c:v>
                </c:pt>
                <c:pt idx="478">
                  <c:v>41943</c:v>
                </c:pt>
                <c:pt idx="479">
                  <c:v>41946</c:v>
                </c:pt>
                <c:pt idx="480">
                  <c:v>41947</c:v>
                </c:pt>
                <c:pt idx="481">
                  <c:v>41948</c:v>
                </c:pt>
                <c:pt idx="482">
                  <c:v>41949</c:v>
                </c:pt>
                <c:pt idx="483">
                  <c:v>41950</c:v>
                </c:pt>
                <c:pt idx="484">
                  <c:v>41953</c:v>
                </c:pt>
                <c:pt idx="485">
                  <c:v>41954</c:v>
                </c:pt>
                <c:pt idx="486">
                  <c:v>41955</c:v>
                </c:pt>
                <c:pt idx="487">
                  <c:v>41956</c:v>
                </c:pt>
                <c:pt idx="488">
                  <c:v>41957</c:v>
                </c:pt>
                <c:pt idx="489">
                  <c:v>41960</c:v>
                </c:pt>
                <c:pt idx="490">
                  <c:v>41961</c:v>
                </c:pt>
                <c:pt idx="491">
                  <c:v>41962</c:v>
                </c:pt>
                <c:pt idx="492">
                  <c:v>41963</c:v>
                </c:pt>
                <c:pt idx="493">
                  <c:v>41964</c:v>
                </c:pt>
                <c:pt idx="494">
                  <c:v>41967</c:v>
                </c:pt>
                <c:pt idx="495">
                  <c:v>41968</c:v>
                </c:pt>
                <c:pt idx="496">
                  <c:v>41969</c:v>
                </c:pt>
                <c:pt idx="497">
                  <c:v>41970</c:v>
                </c:pt>
                <c:pt idx="498">
                  <c:v>41971</c:v>
                </c:pt>
                <c:pt idx="499">
                  <c:v>41974</c:v>
                </c:pt>
                <c:pt idx="500">
                  <c:v>41975</c:v>
                </c:pt>
                <c:pt idx="501">
                  <c:v>41976</c:v>
                </c:pt>
                <c:pt idx="502">
                  <c:v>41977</c:v>
                </c:pt>
                <c:pt idx="503">
                  <c:v>41978</c:v>
                </c:pt>
                <c:pt idx="504">
                  <c:v>41981</c:v>
                </c:pt>
                <c:pt idx="505">
                  <c:v>41982</c:v>
                </c:pt>
                <c:pt idx="506">
                  <c:v>41983</c:v>
                </c:pt>
                <c:pt idx="507">
                  <c:v>41984</c:v>
                </c:pt>
                <c:pt idx="508">
                  <c:v>41985</c:v>
                </c:pt>
                <c:pt idx="509">
                  <c:v>41988</c:v>
                </c:pt>
                <c:pt idx="510">
                  <c:v>41989</c:v>
                </c:pt>
                <c:pt idx="511">
                  <c:v>41990</c:v>
                </c:pt>
                <c:pt idx="512">
                  <c:v>41991</c:v>
                </c:pt>
                <c:pt idx="513">
                  <c:v>41992</c:v>
                </c:pt>
                <c:pt idx="514">
                  <c:v>41995</c:v>
                </c:pt>
                <c:pt idx="515">
                  <c:v>41996</c:v>
                </c:pt>
                <c:pt idx="516">
                  <c:v>41997</c:v>
                </c:pt>
                <c:pt idx="517">
                  <c:v>41998</c:v>
                </c:pt>
                <c:pt idx="518">
                  <c:v>41999</c:v>
                </c:pt>
                <c:pt idx="519">
                  <c:v>42002</c:v>
                </c:pt>
                <c:pt idx="520">
                  <c:v>42003</c:v>
                </c:pt>
                <c:pt idx="521">
                  <c:v>42004</c:v>
                </c:pt>
                <c:pt idx="522">
                  <c:v>42005</c:v>
                </c:pt>
                <c:pt idx="523">
                  <c:v>42006</c:v>
                </c:pt>
                <c:pt idx="524">
                  <c:v>42009</c:v>
                </c:pt>
                <c:pt idx="525">
                  <c:v>42010</c:v>
                </c:pt>
                <c:pt idx="526">
                  <c:v>42011</c:v>
                </c:pt>
                <c:pt idx="527">
                  <c:v>42012</c:v>
                </c:pt>
                <c:pt idx="528">
                  <c:v>42013</c:v>
                </c:pt>
                <c:pt idx="529">
                  <c:v>42016</c:v>
                </c:pt>
                <c:pt idx="530">
                  <c:v>42017</c:v>
                </c:pt>
                <c:pt idx="531">
                  <c:v>42018</c:v>
                </c:pt>
                <c:pt idx="532">
                  <c:v>42019</c:v>
                </c:pt>
                <c:pt idx="533">
                  <c:v>42020</c:v>
                </c:pt>
                <c:pt idx="534">
                  <c:v>42023</c:v>
                </c:pt>
                <c:pt idx="535">
                  <c:v>42024</c:v>
                </c:pt>
                <c:pt idx="536">
                  <c:v>42025</c:v>
                </c:pt>
                <c:pt idx="537">
                  <c:v>42026</c:v>
                </c:pt>
                <c:pt idx="538">
                  <c:v>42027</c:v>
                </c:pt>
                <c:pt idx="539">
                  <c:v>42030</c:v>
                </c:pt>
                <c:pt idx="540">
                  <c:v>42031</c:v>
                </c:pt>
                <c:pt idx="541">
                  <c:v>42032</c:v>
                </c:pt>
                <c:pt idx="542">
                  <c:v>42033</c:v>
                </c:pt>
                <c:pt idx="543">
                  <c:v>42034</c:v>
                </c:pt>
                <c:pt idx="544">
                  <c:v>42037</c:v>
                </c:pt>
                <c:pt idx="545">
                  <c:v>42038</c:v>
                </c:pt>
                <c:pt idx="546">
                  <c:v>42039</c:v>
                </c:pt>
                <c:pt idx="547">
                  <c:v>42040</c:v>
                </c:pt>
                <c:pt idx="548">
                  <c:v>42041</c:v>
                </c:pt>
                <c:pt idx="549">
                  <c:v>42044</c:v>
                </c:pt>
                <c:pt idx="550">
                  <c:v>42045</c:v>
                </c:pt>
                <c:pt idx="551">
                  <c:v>42046</c:v>
                </c:pt>
                <c:pt idx="552">
                  <c:v>42047</c:v>
                </c:pt>
                <c:pt idx="553">
                  <c:v>42048</c:v>
                </c:pt>
                <c:pt idx="554">
                  <c:v>42051</c:v>
                </c:pt>
                <c:pt idx="555">
                  <c:v>42052</c:v>
                </c:pt>
                <c:pt idx="556">
                  <c:v>42053</c:v>
                </c:pt>
                <c:pt idx="557">
                  <c:v>42054</c:v>
                </c:pt>
                <c:pt idx="558">
                  <c:v>42055</c:v>
                </c:pt>
                <c:pt idx="559">
                  <c:v>42058</c:v>
                </c:pt>
                <c:pt idx="560">
                  <c:v>42059</c:v>
                </c:pt>
                <c:pt idx="561">
                  <c:v>42060</c:v>
                </c:pt>
                <c:pt idx="562">
                  <c:v>42061</c:v>
                </c:pt>
                <c:pt idx="563">
                  <c:v>42062</c:v>
                </c:pt>
                <c:pt idx="564">
                  <c:v>42065</c:v>
                </c:pt>
                <c:pt idx="565">
                  <c:v>42066</c:v>
                </c:pt>
                <c:pt idx="566">
                  <c:v>42067</c:v>
                </c:pt>
                <c:pt idx="567">
                  <c:v>42068</c:v>
                </c:pt>
                <c:pt idx="568">
                  <c:v>42069</c:v>
                </c:pt>
                <c:pt idx="569">
                  <c:v>42072</c:v>
                </c:pt>
                <c:pt idx="570">
                  <c:v>42073</c:v>
                </c:pt>
                <c:pt idx="571">
                  <c:v>42074</c:v>
                </c:pt>
                <c:pt idx="572">
                  <c:v>42075</c:v>
                </c:pt>
                <c:pt idx="573">
                  <c:v>42076</c:v>
                </c:pt>
                <c:pt idx="574">
                  <c:v>42079</c:v>
                </c:pt>
                <c:pt idx="575">
                  <c:v>42080</c:v>
                </c:pt>
                <c:pt idx="576">
                  <c:v>42081</c:v>
                </c:pt>
                <c:pt idx="577">
                  <c:v>42082</c:v>
                </c:pt>
                <c:pt idx="578">
                  <c:v>42083</c:v>
                </c:pt>
                <c:pt idx="579">
                  <c:v>42086</c:v>
                </c:pt>
                <c:pt idx="580">
                  <c:v>42087</c:v>
                </c:pt>
                <c:pt idx="581">
                  <c:v>42088</c:v>
                </c:pt>
                <c:pt idx="582">
                  <c:v>42089</c:v>
                </c:pt>
                <c:pt idx="583">
                  <c:v>42090</c:v>
                </c:pt>
                <c:pt idx="584">
                  <c:v>42093</c:v>
                </c:pt>
                <c:pt idx="585">
                  <c:v>42094</c:v>
                </c:pt>
                <c:pt idx="586">
                  <c:v>42095</c:v>
                </c:pt>
                <c:pt idx="587">
                  <c:v>42096</c:v>
                </c:pt>
                <c:pt idx="588">
                  <c:v>42097</c:v>
                </c:pt>
                <c:pt idx="589">
                  <c:v>42100</c:v>
                </c:pt>
                <c:pt idx="590">
                  <c:v>42101</c:v>
                </c:pt>
                <c:pt idx="591">
                  <c:v>42102</c:v>
                </c:pt>
                <c:pt idx="592">
                  <c:v>42103</c:v>
                </c:pt>
                <c:pt idx="593">
                  <c:v>42104</c:v>
                </c:pt>
                <c:pt idx="594">
                  <c:v>42107</c:v>
                </c:pt>
                <c:pt idx="595">
                  <c:v>42108</c:v>
                </c:pt>
                <c:pt idx="596">
                  <c:v>42109</c:v>
                </c:pt>
                <c:pt idx="597">
                  <c:v>42110</c:v>
                </c:pt>
                <c:pt idx="598">
                  <c:v>42111</c:v>
                </c:pt>
                <c:pt idx="599">
                  <c:v>42114</c:v>
                </c:pt>
                <c:pt idx="600">
                  <c:v>42115</c:v>
                </c:pt>
                <c:pt idx="601">
                  <c:v>42116</c:v>
                </c:pt>
                <c:pt idx="602">
                  <c:v>42117</c:v>
                </c:pt>
                <c:pt idx="603">
                  <c:v>42118</c:v>
                </c:pt>
                <c:pt idx="604">
                  <c:v>42121</c:v>
                </c:pt>
                <c:pt idx="605">
                  <c:v>42122</c:v>
                </c:pt>
                <c:pt idx="606">
                  <c:v>42123</c:v>
                </c:pt>
                <c:pt idx="607">
                  <c:v>42124</c:v>
                </c:pt>
                <c:pt idx="608">
                  <c:v>42125</c:v>
                </c:pt>
                <c:pt idx="609">
                  <c:v>42128</c:v>
                </c:pt>
                <c:pt idx="610">
                  <c:v>42129</c:v>
                </c:pt>
                <c:pt idx="611">
                  <c:v>42130</c:v>
                </c:pt>
                <c:pt idx="612">
                  <c:v>42131</c:v>
                </c:pt>
                <c:pt idx="613">
                  <c:v>42132</c:v>
                </c:pt>
                <c:pt idx="614">
                  <c:v>42135</c:v>
                </c:pt>
                <c:pt idx="615">
                  <c:v>42136</c:v>
                </c:pt>
                <c:pt idx="616">
                  <c:v>42137</c:v>
                </c:pt>
                <c:pt idx="617">
                  <c:v>42138</c:v>
                </c:pt>
                <c:pt idx="618">
                  <c:v>42139</c:v>
                </c:pt>
                <c:pt idx="619">
                  <c:v>42142</c:v>
                </c:pt>
                <c:pt idx="620">
                  <c:v>42143</c:v>
                </c:pt>
                <c:pt idx="621">
                  <c:v>42144</c:v>
                </c:pt>
                <c:pt idx="622">
                  <c:v>42145</c:v>
                </c:pt>
                <c:pt idx="623">
                  <c:v>42146</c:v>
                </c:pt>
                <c:pt idx="624">
                  <c:v>42149</c:v>
                </c:pt>
                <c:pt idx="625">
                  <c:v>42150</c:v>
                </c:pt>
                <c:pt idx="626">
                  <c:v>42151</c:v>
                </c:pt>
                <c:pt idx="627">
                  <c:v>42152</c:v>
                </c:pt>
                <c:pt idx="628">
                  <c:v>42153</c:v>
                </c:pt>
                <c:pt idx="629">
                  <c:v>42156</c:v>
                </c:pt>
                <c:pt idx="630">
                  <c:v>42157</c:v>
                </c:pt>
                <c:pt idx="631">
                  <c:v>42158</c:v>
                </c:pt>
                <c:pt idx="632">
                  <c:v>42159</c:v>
                </c:pt>
                <c:pt idx="633">
                  <c:v>42160</c:v>
                </c:pt>
                <c:pt idx="634">
                  <c:v>42163</c:v>
                </c:pt>
                <c:pt idx="635">
                  <c:v>42164</c:v>
                </c:pt>
                <c:pt idx="636">
                  <c:v>42165</c:v>
                </c:pt>
                <c:pt idx="637">
                  <c:v>42166</c:v>
                </c:pt>
                <c:pt idx="638">
                  <c:v>42167</c:v>
                </c:pt>
                <c:pt idx="639">
                  <c:v>42170</c:v>
                </c:pt>
                <c:pt idx="640">
                  <c:v>42171</c:v>
                </c:pt>
                <c:pt idx="641">
                  <c:v>42172</c:v>
                </c:pt>
                <c:pt idx="642">
                  <c:v>42173</c:v>
                </c:pt>
                <c:pt idx="643">
                  <c:v>42174</c:v>
                </c:pt>
                <c:pt idx="644">
                  <c:v>42177</c:v>
                </c:pt>
                <c:pt idx="645">
                  <c:v>42178</c:v>
                </c:pt>
                <c:pt idx="646">
                  <c:v>42179</c:v>
                </c:pt>
                <c:pt idx="647">
                  <c:v>42180</c:v>
                </c:pt>
                <c:pt idx="648">
                  <c:v>42181</c:v>
                </c:pt>
                <c:pt idx="649">
                  <c:v>42184</c:v>
                </c:pt>
                <c:pt idx="650">
                  <c:v>42185</c:v>
                </c:pt>
                <c:pt idx="651">
                  <c:v>42186</c:v>
                </c:pt>
                <c:pt idx="652">
                  <c:v>42187</c:v>
                </c:pt>
                <c:pt idx="653">
                  <c:v>42188</c:v>
                </c:pt>
                <c:pt idx="654">
                  <c:v>42191</c:v>
                </c:pt>
                <c:pt idx="655">
                  <c:v>42192</c:v>
                </c:pt>
                <c:pt idx="656">
                  <c:v>42193</c:v>
                </c:pt>
                <c:pt idx="657">
                  <c:v>42194</c:v>
                </c:pt>
                <c:pt idx="658">
                  <c:v>42195</c:v>
                </c:pt>
                <c:pt idx="659">
                  <c:v>42198</c:v>
                </c:pt>
                <c:pt idx="660">
                  <c:v>42199</c:v>
                </c:pt>
                <c:pt idx="661">
                  <c:v>42200</c:v>
                </c:pt>
                <c:pt idx="662">
                  <c:v>42201</c:v>
                </c:pt>
                <c:pt idx="663">
                  <c:v>42202</c:v>
                </c:pt>
                <c:pt idx="664">
                  <c:v>42205</c:v>
                </c:pt>
                <c:pt idx="665">
                  <c:v>42206</c:v>
                </c:pt>
                <c:pt idx="666">
                  <c:v>42207</c:v>
                </c:pt>
                <c:pt idx="667">
                  <c:v>42208</c:v>
                </c:pt>
                <c:pt idx="668">
                  <c:v>42209</c:v>
                </c:pt>
                <c:pt idx="669">
                  <c:v>42212</c:v>
                </c:pt>
                <c:pt idx="670">
                  <c:v>42213</c:v>
                </c:pt>
                <c:pt idx="671">
                  <c:v>42214</c:v>
                </c:pt>
                <c:pt idx="672">
                  <c:v>42215</c:v>
                </c:pt>
                <c:pt idx="673">
                  <c:v>42216</c:v>
                </c:pt>
                <c:pt idx="674">
                  <c:v>42219</c:v>
                </c:pt>
                <c:pt idx="675">
                  <c:v>42220</c:v>
                </c:pt>
                <c:pt idx="676">
                  <c:v>42221</c:v>
                </c:pt>
                <c:pt idx="677">
                  <c:v>42222</c:v>
                </c:pt>
                <c:pt idx="678">
                  <c:v>42223</c:v>
                </c:pt>
                <c:pt idx="679">
                  <c:v>42226</c:v>
                </c:pt>
                <c:pt idx="680">
                  <c:v>42227</c:v>
                </c:pt>
                <c:pt idx="681">
                  <c:v>42228</c:v>
                </c:pt>
                <c:pt idx="682">
                  <c:v>42229</c:v>
                </c:pt>
                <c:pt idx="683">
                  <c:v>42230</c:v>
                </c:pt>
                <c:pt idx="684">
                  <c:v>42233</c:v>
                </c:pt>
                <c:pt idx="685">
                  <c:v>42234</c:v>
                </c:pt>
                <c:pt idx="686">
                  <c:v>42235</c:v>
                </c:pt>
                <c:pt idx="687">
                  <c:v>42236</c:v>
                </c:pt>
                <c:pt idx="688">
                  <c:v>42237</c:v>
                </c:pt>
                <c:pt idx="689">
                  <c:v>42240</c:v>
                </c:pt>
                <c:pt idx="690">
                  <c:v>42241</c:v>
                </c:pt>
                <c:pt idx="691">
                  <c:v>42242</c:v>
                </c:pt>
                <c:pt idx="692">
                  <c:v>42243</c:v>
                </c:pt>
                <c:pt idx="693">
                  <c:v>42244</c:v>
                </c:pt>
                <c:pt idx="694">
                  <c:v>42247</c:v>
                </c:pt>
                <c:pt idx="695">
                  <c:v>42248</c:v>
                </c:pt>
                <c:pt idx="696">
                  <c:v>42249</c:v>
                </c:pt>
                <c:pt idx="697">
                  <c:v>42250</c:v>
                </c:pt>
                <c:pt idx="698">
                  <c:v>42251</c:v>
                </c:pt>
                <c:pt idx="699">
                  <c:v>42254</c:v>
                </c:pt>
                <c:pt idx="700">
                  <c:v>42255</c:v>
                </c:pt>
                <c:pt idx="701">
                  <c:v>42256</c:v>
                </c:pt>
                <c:pt idx="702">
                  <c:v>42257</c:v>
                </c:pt>
                <c:pt idx="703">
                  <c:v>42258</c:v>
                </c:pt>
                <c:pt idx="704">
                  <c:v>42261</c:v>
                </c:pt>
                <c:pt idx="705">
                  <c:v>42262</c:v>
                </c:pt>
                <c:pt idx="706">
                  <c:v>42263</c:v>
                </c:pt>
                <c:pt idx="707">
                  <c:v>42264</c:v>
                </c:pt>
                <c:pt idx="708">
                  <c:v>42265</c:v>
                </c:pt>
                <c:pt idx="709">
                  <c:v>42268</c:v>
                </c:pt>
                <c:pt idx="710">
                  <c:v>42269</c:v>
                </c:pt>
                <c:pt idx="711">
                  <c:v>42270</c:v>
                </c:pt>
                <c:pt idx="712">
                  <c:v>42271</c:v>
                </c:pt>
                <c:pt idx="713">
                  <c:v>42272</c:v>
                </c:pt>
                <c:pt idx="714">
                  <c:v>42275</c:v>
                </c:pt>
                <c:pt idx="715">
                  <c:v>42276</c:v>
                </c:pt>
                <c:pt idx="716">
                  <c:v>42277</c:v>
                </c:pt>
                <c:pt idx="717">
                  <c:v>42278</c:v>
                </c:pt>
                <c:pt idx="718">
                  <c:v>42279</c:v>
                </c:pt>
                <c:pt idx="719">
                  <c:v>42282</c:v>
                </c:pt>
                <c:pt idx="720">
                  <c:v>42283</c:v>
                </c:pt>
                <c:pt idx="721">
                  <c:v>42284</c:v>
                </c:pt>
                <c:pt idx="722">
                  <c:v>42285</c:v>
                </c:pt>
                <c:pt idx="723">
                  <c:v>42286</c:v>
                </c:pt>
                <c:pt idx="724">
                  <c:v>42289</c:v>
                </c:pt>
                <c:pt idx="725">
                  <c:v>42290</c:v>
                </c:pt>
                <c:pt idx="726">
                  <c:v>42291</c:v>
                </c:pt>
                <c:pt idx="727">
                  <c:v>42292</c:v>
                </c:pt>
                <c:pt idx="728">
                  <c:v>42293</c:v>
                </c:pt>
                <c:pt idx="729">
                  <c:v>42296</c:v>
                </c:pt>
                <c:pt idx="730">
                  <c:v>42297</c:v>
                </c:pt>
                <c:pt idx="731">
                  <c:v>42298</c:v>
                </c:pt>
                <c:pt idx="732">
                  <c:v>42299</c:v>
                </c:pt>
                <c:pt idx="733">
                  <c:v>42300</c:v>
                </c:pt>
                <c:pt idx="734">
                  <c:v>42303</c:v>
                </c:pt>
                <c:pt idx="735">
                  <c:v>42304</c:v>
                </c:pt>
                <c:pt idx="736">
                  <c:v>42305</c:v>
                </c:pt>
                <c:pt idx="737">
                  <c:v>42306</c:v>
                </c:pt>
                <c:pt idx="738">
                  <c:v>42307</c:v>
                </c:pt>
                <c:pt idx="739">
                  <c:v>42310</c:v>
                </c:pt>
                <c:pt idx="740">
                  <c:v>42311</c:v>
                </c:pt>
                <c:pt idx="741">
                  <c:v>42312</c:v>
                </c:pt>
                <c:pt idx="742">
                  <c:v>42313</c:v>
                </c:pt>
                <c:pt idx="743">
                  <c:v>42314</c:v>
                </c:pt>
                <c:pt idx="744">
                  <c:v>42317</c:v>
                </c:pt>
                <c:pt idx="745">
                  <c:v>42318</c:v>
                </c:pt>
                <c:pt idx="746">
                  <c:v>42319</c:v>
                </c:pt>
                <c:pt idx="747">
                  <c:v>42320</c:v>
                </c:pt>
                <c:pt idx="748">
                  <c:v>42321</c:v>
                </c:pt>
                <c:pt idx="749">
                  <c:v>42324</c:v>
                </c:pt>
                <c:pt idx="750">
                  <c:v>42325</c:v>
                </c:pt>
                <c:pt idx="751">
                  <c:v>42326</c:v>
                </c:pt>
                <c:pt idx="752">
                  <c:v>42327</c:v>
                </c:pt>
                <c:pt idx="753">
                  <c:v>42328</c:v>
                </c:pt>
                <c:pt idx="754">
                  <c:v>42331</c:v>
                </c:pt>
                <c:pt idx="755">
                  <c:v>42332</c:v>
                </c:pt>
                <c:pt idx="756">
                  <c:v>42333</c:v>
                </c:pt>
                <c:pt idx="757">
                  <c:v>42334</c:v>
                </c:pt>
                <c:pt idx="758">
                  <c:v>42335</c:v>
                </c:pt>
                <c:pt idx="759">
                  <c:v>42338</c:v>
                </c:pt>
                <c:pt idx="760">
                  <c:v>42339</c:v>
                </c:pt>
                <c:pt idx="761">
                  <c:v>42340</c:v>
                </c:pt>
                <c:pt idx="762">
                  <c:v>42341</c:v>
                </c:pt>
                <c:pt idx="763">
                  <c:v>42342</c:v>
                </c:pt>
                <c:pt idx="764">
                  <c:v>42345</c:v>
                </c:pt>
                <c:pt idx="765">
                  <c:v>42346</c:v>
                </c:pt>
                <c:pt idx="766">
                  <c:v>42347</c:v>
                </c:pt>
                <c:pt idx="767">
                  <c:v>42348</c:v>
                </c:pt>
                <c:pt idx="768">
                  <c:v>42349</c:v>
                </c:pt>
                <c:pt idx="769">
                  <c:v>42352</c:v>
                </c:pt>
                <c:pt idx="770">
                  <c:v>42353</c:v>
                </c:pt>
                <c:pt idx="771">
                  <c:v>42354</c:v>
                </c:pt>
                <c:pt idx="772">
                  <c:v>42355</c:v>
                </c:pt>
                <c:pt idx="773">
                  <c:v>42356</c:v>
                </c:pt>
                <c:pt idx="774">
                  <c:v>42359</c:v>
                </c:pt>
                <c:pt idx="775">
                  <c:v>42360</c:v>
                </c:pt>
                <c:pt idx="776">
                  <c:v>42361</c:v>
                </c:pt>
                <c:pt idx="777">
                  <c:v>42362</c:v>
                </c:pt>
                <c:pt idx="778">
                  <c:v>42363</c:v>
                </c:pt>
                <c:pt idx="779">
                  <c:v>42366</c:v>
                </c:pt>
                <c:pt idx="780">
                  <c:v>42367</c:v>
                </c:pt>
                <c:pt idx="781">
                  <c:v>42368</c:v>
                </c:pt>
                <c:pt idx="782">
                  <c:v>42369</c:v>
                </c:pt>
                <c:pt idx="783">
                  <c:v>42370</c:v>
                </c:pt>
                <c:pt idx="784">
                  <c:v>42373</c:v>
                </c:pt>
                <c:pt idx="785">
                  <c:v>42374</c:v>
                </c:pt>
                <c:pt idx="786">
                  <c:v>42375</c:v>
                </c:pt>
                <c:pt idx="787">
                  <c:v>42376</c:v>
                </c:pt>
                <c:pt idx="788">
                  <c:v>42377</c:v>
                </c:pt>
                <c:pt idx="789">
                  <c:v>42380</c:v>
                </c:pt>
                <c:pt idx="790">
                  <c:v>42381</c:v>
                </c:pt>
                <c:pt idx="791">
                  <c:v>42382</c:v>
                </c:pt>
                <c:pt idx="792">
                  <c:v>42383</c:v>
                </c:pt>
                <c:pt idx="793">
                  <c:v>42384</c:v>
                </c:pt>
                <c:pt idx="794">
                  <c:v>42387</c:v>
                </c:pt>
                <c:pt idx="795">
                  <c:v>42388</c:v>
                </c:pt>
                <c:pt idx="796">
                  <c:v>42389</c:v>
                </c:pt>
                <c:pt idx="797">
                  <c:v>42390</c:v>
                </c:pt>
                <c:pt idx="798">
                  <c:v>42391</c:v>
                </c:pt>
                <c:pt idx="799">
                  <c:v>42394</c:v>
                </c:pt>
                <c:pt idx="800">
                  <c:v>42395</c:v>
                </c:pt>
                <c:pt idx="801">
                  <c:v>42396</c:v>
                </c:pt>
                <c:pt idx="802">
                  <c:v>42397</c:v>
                </c:pt>
                <c:pt idx="803">
                  <c:v>42398</c:v>
                </c:pt>
                <c:pt idx="804">
                  <c:v>42401</c:v>
                </c:pt>
                <c:pt idx="805">
                  <c:v>42402</c:v>
                </c:pt>
                <c:pt idx="806">
                  <c:v>42403</c:v>
                </c:pt>
                <c:pt idx="807">
                  <c:v>42404</c:v>
                </c:pt>
                <c:pt idx="808">
                  <c:v>42405</c:v>
                </c:pt>
                <c:pt idx="809">
                  <c:v>42408</c:v>
                </c:pt>
                <c:pt idx="810">
                  <c:v>42409</c:v>
                </c:pt>
                <c:pt idx="811">
                  <c:v>42410</c:v>
                </c:pt>
                <c:pt idx="812">
                  <c:v>42411</c:v>
                </c:pt>
                <c:pt idx="813">
                  <c:v>42412</c:v>
                </c:pt>
                <c:pt idx="814">
                  <c:v>42415</c:v>
                </c:pt>
                <c:pt idx="815">
                  <c:v>42416</c:v>
                </c:pt>
                <c:pt idx="816">
                  <c:v>42417</c:v>
                </c:pt>
                <c:pt idx="817">
                  <c:v>42418</c:v>
                </c:pt>
                <c:pt idx="818">
                  <c:v>42419</c:v>
                </c:pt>
                <c:pt idx="819">
                  <c:v>42422</c:v>
                </c:pt>
                <c:pt idx="820">
                  <c:v>42423</c:v>
                </c:pt>
                <c:pt idx="821">
                  <c:v>42424</c:v>
                </c:pt>
                <c:pt idx="822">
                  <c:v>42425</c:v>
                </c:pt>
                <c:pt idx="823">
                  <c:v>42426</c:v>
                </c:pt>
                <c:pt idx="824">
                  <c:v>42429</c:v>
                </c:pt>
                <c:pt idx="825">
                  <c:v>42430</c:v>
                </c:pt>
                <c:pt idx="826">
                  <c:v>42431</c:v>
                </c:pt>
                <c:pt idx="827">
                  <c:v>42432</c:v>
                </c:pt>
                <c:pt idx="828">
                  <c:v>42433</c:v>
                </c:pt>
                <c:pt idx="829">
                  <c:v>42436</c:v>
                </c:pt>
                <c:pt idx="830">
                  <c:v>42437</c:v>
                </c:pt>
                <c:pt idx="831">
                  <c:v>42438</c:v>
                </c:pt>
                <c:pt idx="832">
                  <c:v>42439</c:v>
                </c:pt>
                <c:pt idx="833">
                  <c:v>42440</c:v>
                </c:pt>
                <c:pt idx="834">
                  <c:v>42443</c:v>
                </c:pt>
                <c:pt idx="835">
                  <c:v>42444</c:v>
                </c:pt>
                <c:pt idx="836">
                  <c:v>42445</c:v>
                </c:pt>
                <c:pt idx="837">
                  <c:v>42446</c:v>
                </c:pt>
                <c:pt idx="838">
                  <c:v>42447</c:v>
                </c:pt>
                <c:pt idx="839">
                  <c:v>42450</c:v>
                </c:pt>
                <c:pt idx="840">
                  <c:v>42451</c:v>
                </c:pt>
                <c:pt idx="841">
                  <c:v>42452</c:v>
                </c:pt>
                <c:pt idx="842">
                  <c:v>42453</c:v>
                </c:pt>
                <c:pt idx="843">
                  <c:v>42454</c:v>
                </c:pt>
                <c:pt idx="844">
                  <c:v>42457</c:v>
                </c:pt>
                <c:pt idx="845">
                  <c:v>42458</c:v>
                </c:pt>
                <c:pt idx="846">
                  <c:v>42459</c:v>
                </c:pt>
                <c:pt idx="847">
                  <c:v>42460</c:v>
                </c:pt>
                <c:pt idx="848">
                  <c:v>42461</c:v>
                </c:pt>
                <c:pt idx="849">
                  <c:v>42464</c:v>
                </c:pt>
                <c:pt idx="850">
                  <c:v>42465</c:v>
                </c:pt>
                <c:pt idx="851">
                  <c:v>42466</c:v>
                </c:pt>
                <c:pt idx="852">
                  <c:v>42467</c:v>
                </c:pt>
                <c:pt idx="853">
                  <c:v>42468</c:v>
                </c:pt>
                <c:pt idx="854">
                  <c:v>42471</c:v>
                </c:pt>
                <c:pt idx="855">
                  <c:v>42472</c:v>
                </c:pt>
                <c:pt idx="856">
                  <c:v>42473</c:v>
                </c:pt>
                <c:pt idx="857">
                  <c:v>42474</c:v>
                </c:pt>
                <c:pt idx="858">
                  <c:v>42475</c:v>
                </c:pt>
                <c:pt idx="859">
                  <c:v>42478</c:v>
                </c:pt>
                <c:pt idx="860">
                  <c:v>42479</c:v>
                </c:pt>
                <c:pt idx="861">
                  <c:v>42480</c:v>
                </c:pt>
                <c:pt idx="862">
                  <c:v>42481</c:v>
                </c:pt>
                <c:pt idx="863">
                  <c:v>42482</c:v>
                </c:pt>
                <c:pt idx="864">
                  <c:v>42485</c:v>
                </c:pt>
                <c:pt idx="865">
                  <c:v>42486</c:v>
                </c:pt>
                <c:pt idx="866">
                  <c:v>42487</c:v>
                </c:pt>
                <c:pt idx="867">
                  <c:v>42488</c:v>
                </c:pt>
                <c:pt idx="868">
                  <c:v>42489</c:v>
                </c:pt>
                <c:pt idx="869">
                  <c:v>42492</c:v>
                </c:pt>
                <c:pt idx="870">
                  <c:v>42493</c:v>
                </c:pt>
                <c:pt idx="871">
                  <c:v>42494</c:v>
                </c:pt>
                <c:pt idx="872">
                  <c:v>42495</c:v>
                </c:pt>
                <c:pt idx="873">
                  <c:v>42496</c:v>
                </c:pt>
                <c:pt idx="874">
                  <c:v>42499</c:v>
                </c:pt>
                <c:pt idx="875">
                  <c:v>42500</c:v>
                </c:pt>
                <c:pt idx="876">
                  <c:v>42501</c:v>
                </c:pt>
                <c:pt idx="877">
                  <c:v>42502</c:v>
                </c:pt>
                <c:pt idx="878">
                  <c:v>42503</c:v>
                </c:pt>
                <c:pt idx="879">
                  <c:v>42506</c:v>
                </c:pt>
                <c:pt idx="880">
                  <c:v>42507</c:v>
                </c:pt>
                <c:pt idx="881">
                  <c:v>42508</c:v>
                </c:pt>
                <c:pt idx="882">
                  <c:v>42509</c:v>
                </c:pt>
                <c:pt idx="883">
                  <c:v>42510</c:v>
                </c:pt>
                <c:pt idx="884">
                  <c:v>42513</c:v>
                </c:pt>
                <c:pt idx="885">
                  <c:v>42514</c:v>
                </c:pt>
                <c:pt idx="886">
                  <c:v>42515</c:v>
                </c:pt>
                <c:pt idx="887">
                  <c:v>42516</c:v>
                </c:pt>
                <c:pt idx="888">
                  <c:v>42517</c:v>
                </c:pt>
                <c:pt idx="889">
                  <c:v>42520</c:v>
                </c:pt>
                <c:pt idx="890">
                  <c:v>42521</c:v>
                </c:pt>
                <c:pt idx="891">
                  <c:v>42522</c:v>
                </c:pt>
                <c:pt idx="892">
                  <c:v>42523</c:v>
                </c:pt>
                <c:pt idx="893">
                  <c:v>42524</c:v>
                </c:pt>
                <c:pt idx="894">
                  <c:v>42527</c:v>
                </c:pt>
                <c:pt idx="895">
                  <c:v>42528</c:v>
                </c:pt>
                <c:pt idx="896">
                  <c:v>42529</c:v>
                </c:pt>
                <c:pt idx="897">
                  <c:v>42530</c:v>
                </c:pt>
                <c:pt idx="898">
                  <c:v>42531</c:v>
                </c:pt>
                <c:pt idx="899">
                  <c:v>42534</c:v>
                </c:pt>
                <c:pt idx="900">
                  <c:v>42535</c:v>
                </c:pt>
                <c:pt idx="901">
                  <c:v>42536</c:v>
                </c:pt>
                <c:pt idx="902">
                  <c:v>42537</c:v>
                </c:pt>
                <c:pt idx="903">
                  <c:v>42538</c:v>
                </c:pt>
                <c:pt idx="904">
                  <c:v>42541</c:v>
                </c:pt>
                <c:pt idx="905">
                  <c:v>42542</c:v>
                </c:pt>
                <c:pt idx="906">
                  <c:v>42543</c:v>
                </c:pt>
                <c:pt idx="907">
                  <c:v>42544</c:v>
                </c:pt>
                <c:pt idx="908">
                  <c:v>42545</c:v>
                </c:pt>
                <c:pt idx="909">
                  <c:v>42548</c:v>
                </c:pt>
                <c:pt idx="910">
                  <c:v>42549</c:v>
                </c:pt>
                <c:pt idx="911">
                  <c:v>42550</c:v>
                </c:pt>
                <c:pt idx="912">
                  <c:v>42551</c:v>
                </c:pt>
                <c:pt idx="913">
                  <c:v>42552</c:v>
                </c:pt>
                <c:pt idx="914">
                  <c:v>42555</c:v>
                </c:pt>
                <c:pt idx="915">
                  <c:v>42556</c:v>
                </c:pt>
                <c:pt idx="916">
                  <c:v>42557</c:v>
                </c:pt>
                <c:pt idx="917">
                  <c:v>42558</c:v>
                </c:pt>
                <c:pt idx="918">
                  <c:v>42559</c:v>
                </c:pt>
                <c:pt idx="919">
                  <c:v>42562</c:v>
                </c:pt>
                <c:pt idx="920">
                  <c:v>42563</c:v>
                </c:pt>
                <c:pt idx="921">
                  <c:v>42564</c:v>
                </c:pt>
                <c:pt idx="922">
                  <c:v>42565</c:v>
                </c:pt>
                <c:pt idx="923">
                  <c:v>42566</c:v>
                </c:pt>
                <c:pt idx="924">
                  <c:v>42569</c:v>
                </c:pt>
                <c:pt idx="925">
                  <c:v>42570</c:v>
                </c:pt>
                <c:pt idx="926">
                  <c:v>42571</c:v>
                </c:pt>
                <c:pt idx="927">
                  <c:v>42572</c:v>
                </c:pt>
                <c:pt idx="928">
                  <c:v>42573</c:v>
                </c:pt>
                <c:pt idx="929">
                  <c:v>42576</c:v>
                </c:pt>
                <c:pt idx="930">
                  <c:v>42577</c:v>
                </c:pt>
                <c:pt idx="931">
                  <c:v>42578</c:v>
                </c:pt>
                <c:pt idx="932">
                  <c:v>42579</c:v>
                </c:pt>
                <c:pt idx="933">
                  <c:v>42580</c:v>
                </c:pt>
                <c:pt idx="934">
                  <c:v>42583</c:v>
                </c:pt>
                <c:pt idx="935">
                  <c:v>42584</c:v>
                </c:pt>
                <c:pt idx="936">
                  <c:v>42585</c:v>
                </c:pt>
                <c:pt idx="937">
                  <c:v>42586</c:v>
                </c:pt>
                <c:pt idx="938">
                  <c:v>42587</c:v>
                </c:pt>
                <c:pt idx="939">
                  <c:v>42590</c:v>
                </c:pt>
                <c:pt idx="940">
                  <c:v>42591</c:v>
                </c:pt>
              </c:numCache>
            </c:numRef>
          </c:cat>
          <c:val>
            <c:numRef>
              <c:f>[0]!longExoRange</c:f>
              <c:numCache>
                <c:formatCode>General</c:formatCode>
                <c:ptCount val="941"/>
                <c:pt idx="0">
                  <c:v>0</c:v>
                </c:pt>
                <c:pt idx="1">
                  <c:v>0</c:v>
                </c:pt>
                <c:pt idx="2">
                  <c:v>4488.4999999999991</c:v>
                </c:pt>
                <c:pt idx="3">
                  <c:v>7689.2000000000007</c:v>
                </c:pt>
                <c:pt idx="4">
                  <c:v>10734.8</c:v>
                </c:pt>
                <c:pt idx="5">
                  <c:v>14579.4</c:v>
                </c:pt>
                <c:pt idx="6">
                  <c:v>19575.5</c:v>
                </c:pt>
                <c:pt idx="7">
                  <c:v>20003.2</c:v>
                </c:pt>
                <c:pt idx="8">
                  <c:v>21605.9</c:v>
                </c:pt>
                <c:pt idx="9">
                  <c:v>22724.5</c:v>
                </c:pt>
                <c:pt idx="10">
                  <c:v>24115.699999999997</c:v>
                </c:pt>
                <c:pt idx="11">
                  <c:v>26677.199999999997</c:v>
                </c:pt>
                <c:pt idx="12">
                  <c:v>26677.199999999997</c:v>
                </c:pt>
                <c:pt idx="13">
                  <c:v>27212.999999999996</c:v>
                </c:pt>
                <c:pt idx="14">
                  <c:v>27212.999999999996</c:v>
                </c:pt>
                <c:pt idx="15">
                  <c:v>26799.399999999998</c:v>
                </c:pt>
                <c:pt idx="16">
                  <c:v>28171.8</c:v>
                </c:pt>
                <c:pt idx="17">
                  <c:v>18438.099999999999</c:v>
                </c:pt>
                <c:pt idx="18">
                  <c:v>18574.400000000001</c:v>
                </c:pt>
                <c:pt idx="19">
                  <c:v>20228.800000000003</c:v>
                </c:pt>
                <c:pt idx="20">
                  <c:v>18381.700000000004</c:v>
                </c:pt>
                <c:pt idx="21">
                  <c:v>29121.200000000004</c:v>
                </c:pt>
                <c:pt idx="22">
                  <c:v>26606.700000000004</c:v>
                </c:pt>
                <c:pt idx="23">
                  <c:v>42180</c:v>
                </c:pt>
                <c:pt idx="24">
                  <c:v>39388.199999999997</c:v>
                </c:pt>
                <c:pt idx="25">
                  <c:v>38330.699999999997</c:v>
                </c:pt>
                <c:pt idx="26">
                  <c:v>38330.699999999997</c:v>
                </c:pt>
                <c:pt idx="27">
                  <c:v>37390.699999999997</c:v>
                </c:pt>
                <c:pt idx="28">
                  <c:v>36511.799999999996</c:v>
                </c:pt>
                <c:pt idx="29">
                  <c:v>34866.799999999996</c:v>
                </c:pt>
                <c:pt idx="30">
                  <c:v>31811.799999999996</c:v>
                </c:pt>
                <c:pt idx="31">
                  <c:v>25466.799999999996</c:v>
                </c:pt>
                <c:pt idx="32">
                  <c:v>18355.699999999997</c:v>
                </c:pt>
                <c:pt idx="33">
                  <c:v>16593.199999999997</c:v>
                </c:pt>
                <c:pt idx="34">
                  <c:v>16593.199999999997</c:v>
                </c:pt>
                <c:pt idx="35">
                  <c:v>15653.199999999997</c:v>
                </c:pt>
                <c:pt idx="36">
                  <c:v>15451.099999999997</c:v>
                </c:pt>
                <c:pt idx="37">
                  <c:v>16508.599999999999</c:v>
                </c:pt>
                <c:pt idx="38">
                  <c:v>18858.599999999999</c:v>
                </c:pt>
                <c:pt idx="39">
                  <c:v>18858.599999999999</c:v>
                </c:pt>
                <c:pt idx="40">
                  <c:v>19563.599999999999</c:v>
                </c:pt>
                <c:pt idx="41">
                  <c:v>19563.599999999999</c:v>
                </c:pt>
                <c:pt idx="42">
                  <c:v>19474.299999999996</c:v>
                </c:pt>
                <c:pt idx="43">
                  <c:v>9747.4999999999964</c:v>
                </c:pt>
                <c:pt idx="44">
                  <c:v>13662.599999999999</c:v>
                </c:pt>
                <c:pt idx="45">
                  <c:v>9413.7999999999975</c:v>
                </c:pt>
                <c:pt idx="46">
                  <c:v>4375.399999999996</c:v>
                </c:pt>
                <c:pt idx="47">
                  <c:v>-381.00000000000728</c:v>
                </c:pt>
                <c:pt idx="48">
                  <c:v>-1720.5000000000055</c:v>
                </c:pt>
                <c:pt idx="49">
                  <c:v>-5081.0000000000073</c:v>
                </c:pt>
                <c:pt idx="50">
                  <c:v>-8606.0000000000073</c:v>
                </c:pt>
                <c:pt idx="51">
                  <c:v>-9696.4000000000069</c:v>
                </c:pt>
                <c:pt idx="52">
                  <c:v>-7346.4000000000069</c:v>
                </c:pt>
                <c:pt idx="53">
                  <c:v>-3962.4000000000015</c:v>
                </c:pt>
                <c:pt idx="54">
                  <c:v>-3962.4000000000015</c:v>
                </c:pt>
                <c:pt idx="55">
                  <c:v>-3962.4000000000015</c:v>
                </c:pt>
                <c:pt idx="56">
                  <c:v>-7990.3000000000011</c:v>
                </c:pt>
                <c:pt idx="57">
                  <c:v>-7595.5000000000055</c:v>
                </c:pt>
                <c:pt idx="58">
                  <c:v>-9108.9000000000069</c:v>
                </c:pt>
                <c:pt idx="59">
                  <c:v>-8690.6000000000076</c:v>
                </c:pt>
                <c:pt idx="60">
                  <c:v>-8577.8000000000011</c:v>
                </c:pt>
                <c:pt idx="61">
                  <c:v>-9499</c:v>
                </c:pt>
                <c:pt idx="62">
                  <c:v>-9442.6000000000058</c:v>
                </c:pt>
                <c:pt idx="63">
                  <c:v>-23740.000000000004</c:v>
                </c:pt>
                <c:pt idx="64">
                  <c:v>-28560.000000000004</c:v>
                </c:pt>
                <c:pt idx="65">
                  <c:v>-20922.500000000004</c:v>
                </c:pt>
                <c:pt idx="66">
                  <c:v>-20922.500000000004</c:v>
                </c:pt>
                <c:pt idx="67">
                  <c:v>-29735.000000000004</c:v>
                </c:pt>
                <c:pt idx="68">
                  <c:v>-27920.800000000003</c:v>
                </c:pt>
                <c:pt idx="69">
                  <c:v>-35638.199999999997</c:v>
                </c:pt>
                <c:pt idx="70">
                  <c:v>-33072</c:v>
                </c:pt>
                <c:pt idx="71">
                  <c:v>-37076.400000000009</c:v>
                </c:pt>
                <c:pt idx="72">
                  <c:v>-35210.500000000007</c:v>
                </c:pt>
                <c:pt idx="73">
                  <c:v>-35210.500000000007</c:v>
                </c:pt>
                <c:pt idx="74">
                  <c:v>-35210.500000000007</c:v>
                </c:pt>
                <c:pt idx="75">
                  <c:v>-41673</c:v>
                </c:pt>
                <c:pt idx="76">
                  <c:v>-37663.900000000009</c:v>
                </c:pt>
                <c:pt idx="77">
                  <c:v>-38627.4</c:v>
                </c:pt>
                <c:pt idx="78">
                  <c:v>-38627.4</c:v>
                </c:pt>
                <c:pt idx="79">
                  <c:v>-37692.100000000006</c:v>
                </c:pt>
                <c:pt idx="80">
                  <c:v>-37052.900000000009</c:v>
                </c:pt>
                <c:pt idx="81">
                  <c:v>-37052.900000000009</c:v>
                </c:pt>
                <c:pt idx="82">
                  <c:v>-36517.100000000006</c:v>
                </c:pt>
                <c:pt idx="83">
                  <c:v>-36197.500000000007</c:v>
                </c:pt>
                <c:pt idx="84">
                  <c:v>-36197.500000000007</c:v>
                </c:pt>
                <c:pt idx="85">
                  <c:v>-36225.700000000004</c:v>
                </c:pt>
                <c:pt idx="86">
                  <c:v>-35142.500000000007</c:v>
                </c:pt>
                <c:pt idx="87">
                  <c:v>-32331.9</c:v>
                </c:pt>
                <c:pt idx="88">
                  <c:v>-32331.9</c:v>
                </c:pt>
                <c:pt idx="89">
                  <c:v>-32331.9</c:v>
                </c:pt>
                <c:pt idx="90">
                  <c:v>-31363.700000000004</c:v>
                </c:pt>
                <c:pt idx="91">
                  <c:v>-29521.300000000007</c:v>
                </c:pt>
                <c:pt idx="92">
                  <c:v>-29521.300000000007</c:v>
                </c:pt>
                <c:pt idx="93">
                  <c:v>-29521.300000000007</c:v>
                </c:pt>
                <c:pt idx="94">
                  <c:v>-29521.300000000007</c:v>
                </c:pt>
                <c:pt idx="95">
                  <c:v>-26663.700000000004</c:v>
                </c:pt>
                <c:pt idx="96">
                  <c:v>-26663.700000000004</c:v>
                </c:pt>
                <c:pt idx="97">
                  <c:v>-30339.100000000006</c:v>
                </c:pt>
                <c:pt idx="98">
                  <c:v>-30339.100000000006</c:v>
                </c:pt>
                <c:pt idx="99">
                  <c:v>-30339.100000000006</c:v>
                </c:pt>
                <c:pt idx="100">
                  <c:v>-30339.100000000006</c:v>
                </c:pt>
                <c:pt idx="101">
                  <c:v>-29521.30000000001</c:v>
                </c:pt>
                <c:pt idx="102">
                  <c:v>-29521.30000000001</c:v>
                </c:pt>
                <c:pt idx="103">
                  <c:v>-30442.500000000007</c:v>
                </c:pt>
                <c:pt idx="104">
                  <c:v>-30442.500000000007</c:v>
                </c:pt>
                <c:pt idx="105">
                  <c:v>-30442.500000000007</c:v>
                </c:pt>
                <c:pt idx="106">
                  <c:v>-29676.400000000009</c:v>
                </c:pt>
                <c:pt idx="107">
                  <c:v>-29370.900000000009</c:v>
                </c:pt>
                <c:pt idx="108">
                  <c:v>-29187.600000000009</c:v>
                </c:pt>
                <c:pt idx="109">
                  <c:v>-21750.000000000007</c:v>
                </c:pt>
                <c:pt idx="110">
                  <c:v>-16166.400000000011</c:v>
                </c:pt>
                <c:pt idx="111">
                  <c:v>-18812.500000000007</c:v>
                </c:pt>
                <c:pt idx="112">
                  <c:v>-18812.500000000007</c:v>
                </c:pt>
                <c:pt idx="113">
                  <c:v>-17402.500000000007</c:v>
                </c:pt>
                <c:pt idx="114">
                  <c:v>-20485.700000000004</c:v>
                </c:pt>
                <c:pt idx="115">
                  <c:v>-20076.80000000001</c:v>
                </c:pt>
                <c:pt idx="116">
                  <c:v>-20076.80000000001</c:v>
                </c:pt>
                <c:pt idx="117">
                  <c:v>-20076.80000000001</c:v>
                </c:pt>
                <c:pt idx="118">
                  <c:v>-19103.900000000009</c:v>
                </c:pt>
                <c:pt idx="119">
                  <c:v>-19103.900000000009</c:v>
                </c:pt>
                <c:pt idx="120">
                  <c:v>-17520.000000000007</c:v>
                </c:pt>
                <c:pt idx="121">
                  <c:v>-17285.000000000007</c:v>
                </c:pt>
                <c:pt idx="122">
                  <c:v>-17285.000000000007</c:v>
                </c:pt>
                <c:pt idx="123">
                  <c:v>-18516.400000000009</c:v>
                </c:pt>
                <c:pt idx="124">
                  <c:v>-19691.400000000009</c:v>
                </c:pt>
                <c:pt idx="125">
                  <c:v>-19573.900000000009</c:v>
                </c:pt>
                <c:pt idx="126">
                  <c:v>-19047.500000000007</c:v>
                </c:pt>
                <c:pt idx="127">
                  <c:v>-19047.500000000007</c:v>
                </c:pt>
                <c:pt idx="128">
                  <c:v>-19165.000000000007</c:v>
                </c:pt>
                <c:pt idx="129">
                  <c:v>-20695.000000000007</c:v>
                </c:pt>
                <c:pt idx="130">
                  <c:v>-20695.000000000007</c:v>
                </c:pt>
                <c:pt idx="131">
                  <c:v>-20695.000000000007</c:v>
                </c:pt>
                <c:pt idx="132">
                  <c:v>-20695.000000000007</c:v>
                </c:pt>
                <c:pt idx="133">
                  <c:v>-22217.800000000003</c:v>
                </c:pt>
                <c:pt idx="134">
                  <c:v>-20774.900000000001</c:v>
                </c:pt>
                <c:pt idx="135">
                  <c:v>-18504.8</c:v>
                </c:pt>
                <c:pt idx="136">
                  <c:v>-18504.8</c:v>
                </c:pt>
                <c:pt idx="137">
                  <c:v>-18504.8</c:v>
                </c:pt>
                <c:pt idx="138">
                  <c:v>-18880.800000000003</c:v>
                </c:pt>
                <c:pt idx="139">
                  <c:v>-22349.4</c:v>
                </c:pt>
                <c:pt idx="140">
                  <c:v>-22029.800000000003</c:v>
                </c:pt>
                <c:pt idx="141">
                  <c:v>-21738.400000000009</c:v>
                </c:pt>
                <c:pt idx="142">
                  <c:v>-21738.400000000009</c:v>
                </c:pt>
                <c:pt idx="143">
                  <c:v>-19064.100000000006</c:v>
                </c:pt>
                <c:pt idx="144">
                  <c:v>-19491.80000000001</c:v>
                </c:pt>
                <c:pt idx="145">
                  <c:v>-17625.900000000009</c:v>
                </c:pt>
                <c:pt idx="146">
                  <c:v>-16982.000000000007</c:v>
                </c:pt>
                <c:pt idx="147">
                  <c:v>-16450.900000000009</c:v>
                </c:pt>
                <c:pt idx="148">
                  <c:v>-16450.900000000009</c:v>
                </c:pt>
                <c:pt idx="149">
                  <c:v>-16450.900000000009</c:v>
                </c:pt>
                <c:pt idx="150">
                  <c:v>-16342.800000000005</c:v>
                </c:pt>
                <c:pt idx="151">
                  <c:v>-16234.70000000001</c:v>
                </c:pt>
                <c:pt idx="152">
                  <c:v>-6127.5000000000073</c:v>
                </c:pt>
                <c:pt idx="153">
                  <c:v>-3321.6000000000058</c:v>
                </c:pt>
                <c:pt idx="154">
                  <c:v>-3321.6000000000058</c:v>
                </c:pt>
                <c:pt idx="155">
                  <c:v>-3321.6000000000058</c:v>
                </c:pt>
                <c:pt idx="156">
                  <c:v>-3321.6000000000058</c:v>
                </c:pt>
                <c:pt idx="157">
                  <c:v>306.79999999999563</c:v>
                </c:pt>
                <c:pt idx="158">
                  <c:v>2872.9999999999945</c:v>
                </c:pt>
                <c:pt idx="159">
                  <c:v>3671.9999999999909</c:v>
                </c:pt>
                <c:pt idx="160">
                  <c:v>3671.9999999999909</c:v>
                </c:pt>
                <c:pt idx="161">
                  <c:v>1937.6999999999925</c:v>
                </c:pt>
                <c:pt idx="162">
                  <c:v>3671.9999999999909</c:v>
                </c:pt>
                <c:pt idx="163">
                  <c:v>3540.3999999999924</c:v>
                </c:pt>
                <c:pt idx="164">
                  <c:v>3540.3999999999924</c:v>
                </c:pt>
                <c:pt idx="165">
                  <c:v>2097.4999999999927</c:v>
                </c:pt>
                <c:pt idx="166">
                  <c:v>2097.4999999999927</c:v>
                </c:pt>
                <c:pt idx="167">
                  <c:v>1721.4999999999891</c:v>
                </c:pt>
                <c:pt idx="168">
                  <c:v>2045.799999999992</c:v>
                </c:pt>
                <c:pt idx="169">
                  <c:v>2045.799999999992</c:v>
                </c:pt>
                <c:pt idx="170">
                  <c:v>1829.5999999999931</c:v>
                </c:pt>
                <c:pt idx="171">
                  <c:v>1829.5999999999931</c:v>
                </c:pt>
                <c:pt idx="172">
                  <c:v>2045.799999999992</c:v>
                </c:pt>
                <c:pt idx="173">
                  <c:v>2045.799999999992</c:v>
                </c:pt>
                <c:pt idx="174">
                  <c:v>3739.9999999999927</c:v>
                </c:pt>
                <c:pt idx="175">
                  <c:v>-11365.800000000007</c:v>
                </c:pt>
                <c:pt idx="176">
                  <c:v>948.19999999998981</c:v>
                </c:pt>
                <c:pt idx="177">
                  <c:v>948.19999999998981</c:v>
                </c:pt>
                <c:pt idx="178">
                  <c:v>-5044.3000000000102</c:v>
                </c:pt>
                <c:pt idx="179">
                  <c:v>-8804.3000000000102</c:v>
                </c:pt>
                <c:pt idx="180">
                  <c:v>-7920.7000000000044</c:v>
                </c:pt>
                <c:pt idx="181">
                  <c:v>-3399.3000000000102</c:v>
                </c:pt>
                <c:pt idx="182">
                  <c:v>-3399.3000000000102</c:v>
                </c:pt>
                <c:pt idx="183">
                  <c:v>-1989.3000000000102</c:v>
                </c:pt>
                <c:pt idx="184">
                  <c:v>-1989.3000000000102</c:v>
                </c:pt>
                <c:pt idx="185">
                  <c:v>-1989.3000000000102</c:v>
                </c:pt>
                <c:pt idx="186">
                  <c:v>-1458.2000000000044</c:v>
                </c:pt>
                <c:pt idx="187">
                  <c:v>-1458.2000000000044</c:v>
                </c:pt>
                <c:pt idx="188">
                  <c:v>-2694.3000000000102</c:v>
                </c:pt>
                <c:pt idx="189">
                  <c:v>-3046.8000000000102</c:v>
                </c:pt>
                <c:pt idx="190">
                  <c:v>-3046.8000000000102</c:v>
                </c:pt>
                <c:pt idx="191">
                  <c:v>-3046.8000000000102</c:v>
                </c:pt>
                <c:pt idx="192">
                  <c:v>-3046.8000000000102</c:v>
                </c:pt>
                <c:pt idx="193">
                  <c:v>-3281.8000000000102</c:v>
                </c:pt>
                <c:pt idx="194">
                  <c:v>-3310.0000000000073</c:v>
                </c:pt>
                <c:pt idx="195">
                  <c:v>-8717.5000000000073</c:v>
                </c:pt>
                <c:pt idx="196">
                  <c:v>-8153.5000000000109</c:v>
                </c:pt>
                <c:pt idx="197">
                  <c:v>-12985.100000000009</c:v>
                </c:pt>
                <c:pt idx="198">
                  <c:v>-14005.000000000007</c:v>
                </c:pt>
                <c:pt idx="199">
                  <c:v>-16919.000000000004</c:v>
                </c:pt>
                <c:pt idx="200">
                  <c:v>-21055.000000000007</c:v>
                </c:pt>
                <c:pt idx="201">
                  <c:v>-21055.000000000007</c:v>
                </c:pt>
                <c:pt idx="202">
                  <c:v>-20646.100000000006</c:v>
                </c:pt>
                <c:pt idx="203">
                  <c:v>-21797.600000000013</c:v>
                </c:pt>
                <c:pt idx="204">
                  <c:v>-21797.600000000013</c:v>
                </c:pt>
                <c:pt idx="205">
                  <c:v>-21797.600000000013</c:v>
                </c:pt>
                <c:pt idx="206">
                  <c:v>-20265.400000000009</c:v>
                </c:pt>
                <c:pt idx="207">
                  <c:v>-19701.400000000012</c:v>
                </c:pt>
                <c:pt idx="208">
                  <c:v>-18423.000000000011</c:v>
                </c:pt>
                <c:pt idx="209">
                  <c:v>-15894.400000000005</c:v>
                </c:pt>
                <c:pt idx="210">
                  <c:v>-15076.600000000008</c:v>
                </c:pt>
                <c:pt idx="211">
                  <c:v>-15433.80000000001</c:v>
                </c:pt>
                <c:pt idx="212">
                  <c:v>-17276.200000000008</c:v>
                </c:pt>
                <c:pt idx="213">
                  <c:v>-17017.700000000012</c:v>
                </c:pt>
                <c:pt idx="214">
                  <c:v>-18549.900000000005</c:v>
                </c:pt>
                <c:pt idx="215">
                  <c:v>-16712.200000000012</c:v>
                </c:pt>
                <c:pt idx="216">
                  <c:v>-16510.100000000013</c:v>
                </c:pt>
                <c:pt idx="217">
                  <c:v>-16585.30000000001</c:v>
                </c:pt>
                <c:pt idx="218">
                  <c:v>-12950.000000000013</c:v>
                </c:pt>
                <c:pt idx="219">
                  <c:v>-12950.000000000013</c:v>
                </c:pt>
                <c:pt idx="220">
                  <c:v>-12950.000000000013</c:v>
                </c:pt>
                <c:pt idx="221">
                  <c:v>-11441.300000000014</c:v>
                </c:pt>
                <c:pt idx="222">
                  <c:v>-10012.500000000013</c:v>
                </c:pt>
                <c:pt idx="223">
                  <c:v>-10012.500000000013</c:v>
                </c:pt>
                <c:pt idx="224">
                  <c:v>-10012.500000000013</c:v>
                </c:pt>
                <c:pt idx="225">
                  <c:v>-10012.500000000013</c:v>
                </c:pt>
                <c:pt idx="226">
                  <c:v>-9650.6000000000167</c:v>
                </c:pt>
                <c:pt idx="227">
                  <c:v>-10990.100000000015</c:v>
                </c:pt>
                <c:pt idx="228">
                  <c:v>-11300.30000000001</c:v>
                </c:pt>
                <c:pt idx="229">
                  <c:v>-9899.7000000000153</c:v>
                </c:pt>
                <c:pt idx="230">
                  <c:v>-8893.900000000016</c:v>
                </c:pt>
                <c:pt idx="231">
                  <c:v>-9566.0000000000164</c:v>
                </c:pt>
                <c:pt idx="232">
                  <c:v>-7996.2000000000116</c:v>
                </c:pt>
                <c:pt idx="233">
                  <c:v>-7996.2000000000116</c:v>
                </c:pt>
                <c:pt idx="234">
                  <c:v>-5759.0000000000091</c:v>
                </c:pt>
                <c:pt idx="235">
                  <c:v>-5759.0000000000091</c:v>
                </c:pt>
                <c:pt idx="236">
                  <c:v>-5759.0000000000091</c:v>
                </c:pt>
                <c:pt idx="237">
                  <c:v>-5759.0000000000091</c:v>
                </c:pt>
                <c:pt idx="238">
                  <c:v>-9660.0000000000127</c:v>
                </c:pt>
                <c:pt idx="239">
                  <c:v>5729.9999999999873</c:v>
                </c:pt>
                <c:pt idx="240">
                  <c:v>6289.2999999999856</c:v>
                </c:pt>
                <c:pt idx="241">
                  <c:v>9480.5999999999876</c:v>
                </c:pt>
                <c:pt idx="242">
                  <c:v>16022.999999999989</c:v>
                </c:pt>
                <c:pt idx="243">
                  <c:v>18880.599999999988</c:v>
                </c:pt>
                <c:pt idx="244">
                  <c:v>29620.099999999988</c:v>
                </c:pt>
                <c:pt idx="245">
                  <c:v>25845.999999999985</c:v>
                </c:pt>
                <c:pt idx="246">
                  <c:v>25845.999999999985</c:v>
                </c:pt>
                <c:pt idx="247">
                  <c:v>26574.499999999985</c:v>
                </c:pt>
                <c:pt idx="248">
                  <c:v>26574.499999999985</c:v>
                </c:pt>
                <c:pt idx="249">
                  <c:v>28111.399999999987</c:v>
                </c:pt>
                <c:pt idx="250">
                  <c:v>28111.399999999987</c:v>
                </c:pt>
                <c:pt idx="251">
                  <c:v>28111.399999999987</c:v>
                </c:pt>
                <c:pt idx="252">
                  <c:v>29004.399999999987</c:v>
                </c:pt>
                <c:pt idx="253">
                  <c:v>28811.699999999986</c:v>
                </c:pt>
                <c:pt idx="254">
                  <c:v>29483.799999999988</c:v>
                </c:pt>
                <c:pt idx="255">
                  <c:v>29201.799999999988</c:v>
                </c:pt>
                <c:pt idx="256">
                  <c:v>29201.799999999988</c:v>
                </c:pt>
                <c:pt idx="257">
                  <c:v>14876.199999999986</c:v>
                </c:pt>
                <c:pt idx="258">
                  <c:v>29201.799999999988</c:v>
                </c:pt>
                <c:pt idx="259">
                  <c:v>28976.199999999986</c:v>
                </c:pt>
                <c:pt idx="260">
                  <c:v>28976.199999999986</c:v>
                </c:pt>
                <c:pt idx="261">
                  <c:v>32047.499999999985</c:v>
                </c:pt>
                <c:pt idx="262">
                  <c:v>32047.499999999985</c:v>
                </c:pt>
                <c:pt idx="263">
                  <c:v>32047.499999999985</c:v>
                </c:pt>
                <c:pt idx="264">
                  <c:v>27239.399999999987</c:v>
                </c:pt>
                <c:pt idx="265">
                  <c:v>23234.999999999985</c:v>
                </c:pt>
                <c:pt idx="266">
                  <c:v>24184.399999999987</c:v>
                </c:pt>
                <c:pt idx="267">
                  <c:v>24184.399999999987</c:v>
                </c:pt>
                <c:pt idx="268">
                  <c:v>24184.399999999987</c:v>
                </c:pt>
                <c:pt idx="269">
                  <c:v>24184.399999999987</c:v>
                </c:pt>
                <c:pt idx="270">
                  <c:v>24912.899999999987</c:v>
                </c:pt>
                <c:pt idx="271">
                  <c:v>24912.899999999987</c:v>
                </c:pt>
                <c:pt idx="272">
                  <c:v>25528.599999999988</c:v>
                </c:pt>
                <c:pt idx="273">
                  <c:v>25528.599999999988</c:v>
                </c:pt>
                <c:pt idx="274">
                  <c:v>25528.599999999988</c:v>
                </c:pt>
                <c:pt idx="275">
                  <c:v>-4180.1000000000095</c:v>
                </c:pt>
                <c:pt idx="276">
                  <c:v>24771.899999999994</c:v>
                </c:pt>
                <c:pt idx="277">
                  <c:v>25166.699999999993</c:v>
                </c:pt>
                <c:pt idx="278">
                  <c:v>25669.599999999991</c:v>
                </c:pt>
                <c:pt idx="279">
                  <c:v>25528.599999999991</c:v>
                </c:pt>
                <c:pt idx="280">
                  <c:v>24856.499999999993</c:v>
                </c:pt>
                <c:pt idx="281">
                  <c:v>24771.899999999994</c:v>
                </c:pt>
                <c:pt idx="282">
                  <c:v>24828.299999999992</c:v>
                </c:pt>
                <c:pt idx="283">
                  <c:v>24550.999999999993</c:v>
                </c:pt>
                <c:pt idx="284">
                  <c:v>7839.9999999999927</c:v>
                </c:pt>
                <c:pt idx="285">
                  <c:v>7839.9999999999927</c:v>
                </c:pt>
                <c:pt idx="286">
                  <c:v>7839.9999999999927</c:v>
                </c:pt>
                <c:pt idx="287">
                  <c:v>18476.099999999995</c:v>
                </c:pt>
                <c:pt idx="288">
                  <c:v>16619.599999999995</c:v>
                </c:pt>
                <c:pt idx="289">
                  <c:v>16619.599999999995</c:v>
                </c:pt>
                <c:pt idx="290">
                  <c:v>14612.699999999993</c:v>
                </c:pt>
                <c:pt idx="291">
                  <c:v>13870.099999999995</c:v>
                </c:pt>
                <c:pt idx="292">
                  <c:v>13870.099999999995</c:v>
                </c:pt>
                <c:pt idx="293">
                  <c:v>12507.099999999993</c:v>
                </c:pt>
                <c:pt idx="294">
                  <c:v>12507.099999999993</c:v>
                </c:pt>
                <c:pt idx="295">
                  <c:v>11087.699999999993</c:v>
                </c:pt>
                <c:pt idx="296">
                  <c:v>11581.199999999993</c:v>
                </c:pt>
                <c:pt idx="297">
                  <c:v>10932.599999999997</c:v>
                </c:pt>
                <c:pt idx="298">
                  <c:v>10932.599999999997</c:v>
                </c:pt>
                <c:pt idx="299">
                  <c:v>10622.399999999992</c:v>
                </c:pt>
                <c:pt idx="300">
                  <c:v>10373.299999999994</c:v>
                </c:pt>
                <c:pt idx="301">
                  <c:v>10373.299999999994</c:v>
                </c:pt>
                <c:pt idx="302">
                  <c:v>10561.299999999996</c:v>
                </c:pt>
                <c:pt idx="303">
                  <c:v>10561.299999999996</c:v>
                </c:pt>
                <c:pt idx="304">
                  <c:v>11832.499999999995</c:v>
                </c:pt>
                <c:pt idx="305">
                  <c:v>11832.499999999995</c:v>
                </c:pt>
                <c:pt idx="306">
                  <c:v>11832.499999999995</c:v>
                </c:pt>
                <c:pt idx="307">
                  <c:v>11832.499999999995</c:v>
                </c:pt>
                <c:pt idx="308">
                  <c:v>11832.499999999995</c:v>
                </c:pt>
                <c:pt idx="309">
                  <c:v>11832.499999999995</c:v>
                </c:pt>
                <c:pt idx="310">
                  <c:v>12701.999999999993</c:v>
                </c:pt>
                <c:pt idx="311">
                  <c:v>13092.099999999995</c:v>
                </c:pt>
                <c:pt idx="312">
                  <c:v>13092.099999999995</c:v>
                </c:pt>
                <c:pt idx="313">
                  <c:v>13092.099999999995</c:v>
                </c:pt>
                <c:pt idx="314">
                  <c:v>10013.599999999995</c:v>
                </c:pt>
                <c:pt idx="315">
                  <c:v>9736.2999999999956</c:v>
                </c:pt>
                <c:pt idx="316">
                  <c:v>9736.2999999999956</c:v>
                </c:pt>
                <c:pt idx="317">
                  <c:v>8838.5999999999949</c:v>
                </c:pt>
                <c:pt idx="318">
                  <c:v>8838.5999999999949</c:v>
                </c:pt>
                <c:pt idx="319">
                  <c:v>9341.4999999999945</c:v>
                </c:pt>
                <c:pt idx="320">
                  <c:v>10041.799999999992</c:v>
                </c:pt>
                <c:pt idx="321">
                  <c:v>10041.799999999992</c:v>
                </c:pt>
                <c:pt idx="322">
                  <c:v>9787.9999999999964</c:v>
                </c:pt>
                <c:pt idx="323">
                  <c:v>9787.9999999999964</c:v>
                </c:pt>
                <c:pt idx="324">
                  <c:v>9787.9999999999964</c:v>
                </c:pt>
                <c:pt idx="325">
                  <c:v>6424.9999999999945</c:v>
                </c:pt>
                <c:pt idx="326">
                  <c:v>5249.9999999999945</c:v>
                </c:pt>
                <c:pt idx="327">
                  <c:v>7599.9999999999945</c:v>
                </c:pt>
                <c:pt idx="328">
                  <c:v>6424.9999999999945</c:v>
                </c:pt>
                <c:pt idx="329">
                  <c:v>5249.9999999999945</c:v>
                </c:pt>
                <c:pt idx="330">
                  <c:v>5461.4999999999955</c:v>
                </c:pt>
                <c:pt idx="331">
                  <c:v>5461.4999999999955</c:v>
                </c:pt>
                <c:pt idx="332">
                  <c:v>5461.4999999999955</c:v>
                </c:pt>
                <c:pt idx="333">
                  <c:v>5461.4999999999955</c:v>
                </c:pt>
                <c:pt idx="334">
                  <c:v>5461.4999999999955</c:v>
                </c:pt>
                <c:pt idx="335">
                  <c:v>6424.9999999999945</c:v>
                </c:pt>
                <c:pt idx="336">
                  <c:v>6721.0999999999958</c:v>
                </c:pt>
                <c:pt idx="337">
                  <c:v>6453.1999999999962</c:v>
                </c:pt>
                <c:pt idx="338">
                  <c:v>6453.1999999999962</c:v>
                </c:pt>
                <c:pt idx="339">
                  <c:v>6453.1999999999962</c:v>
                </c:pt>
                <c:pt idx="340">
                  <c:v>6636.4999999999955</c:v>
                </c:pt>
                <c:pt idx="341">
                  <c:v>6636.4999999999955</c:v>
                </c:pt>
                <c:pt idx="342">
                  <c:v>7040.6999999999962</c:v>
                </c:pt>
                <c:pt idx="343">
                  <c:v>6721.0999999999958</c:v>
                </c:pt>
                <c:pt idx="344">
                  <c:v>6556.5999999999931</c:v>
                </c:pt>
                <c:pt idx="345">
                  <c:v>6453.1999999999962</c:v>
                </c:pt>
                <c:pt idx="346">
                  <c:v>6424.9999999999945</c:v>
                </c:pt>
                <c:pt idx="347">
                  <c:v>3367.4999999999945</c:v>
                </c:pt>
                <c:pt idx="348">
                  <c:v>3367.4999999999945</c:v>
                </c:pt>
                <c:pt idx="349">
                  <c:v>2300.599999999994</c:v>
                </c:pt>
                <c:pt idx="350">
                  <c:v>2300.599999999994</c:v>
                </c:pt>
                <c:pt idx="351">
                  <c:v>1792.9999999999964</c:v>
                </c:pt>
                <c:pt idx="352">
                  <c:v>1337.0999999999949</c:v>
                </c:pt>
                <c:pt idx="353">
                  <c:v>2620.1999999999944</c:v>
                </c:pt>
                <c:pt idx="354">
                  <c:v>2620.1999999999944</c:v>
                </c:pt>
                <c:pt idx="355">
                  <c:v>2620.1999999999944</c:v>
                </c:pt>
                <c:pt idx="356">
                  <c:v>885.899999999996</c:v>
                </c:pt>
                <c:pt idx="357">
                  <c:v>885.899999999996</c:v>
                </c:pt>
                <c:pt idx="358">
                  <c:v>857.69999999999891</c:v>
                </c:pt>
                <c:pt idx="359">
                  <c:v>321.89999999999054</c:v>
                </c:pt>
                <c:pt idx="360">
                  <c:v>321.89999999999054</c:v>
                </c:pt>
                <c:pt idx="361">
                  <c:v>321.89999999999054</c:v>
                </c:pt>
                <c:pt idx="362">
                  <c:v>-745.00000000000546</c:v>
                </c:pt>
                <c:pt idx="363">
                  <c:v>-745.00000000000546</c:v>
                </c:pt>
                <c:pt idx="364">
                  <c:v>-745.00000000000546</c:v>
                </c:pt>
                <c:pt idx="365">
                  <c:v>-745.00000000000546</c:v>
                </c:pt>
                <c:pt idx="366">
                  <c:v>-745.00000000000546</c:v>
                </c:pt>
                <c:pt idx="367">
                  <c:v>-970.60000000000946</c:v>
                </c:pt>
                <c:pt idx="368">
                  <c:v>-970.60000000000946</c:v>
                </c:pt>
                <c:pt idx="369">
                  <c:v>-7915.0000000000055</c:v>
                </c:pt>
                <c:pt idx="370">
                  <c:v>-9592.9000000000051</c:v>
                </c:pt>
                <c:pt idx="371">
                  <c:v>-9592.9000000000051</c:v>
                </c:pt>
                <c:pt idx="372">
                  <c:v>-9592.9000000000051</c:v>
                </c:pt>
                <c:pt idx="373">
                  <c:v>-9592.9000000000051</c:v>
                </c:pt>
                <c:pt idx="374">
                  <c:v>-10937.100000000006</c:v>
                </c:pt>
                <c:pt idx="375">
                  <c:v>-10937.100000000006</c:v>
                </c:pt>
                <c:pt idx="376">
                  <c:v>-12897.000000000004</c:v>
                </c:pt>
                <c:pt idx="377">
                  <c:v>-12897.000000000004</c:v>
                </c:pt>
                <c:pt idx="378">
                  <c:v>-12558.600000000002</c:v>
                </c:pt>
                <c:pt idx="379">
                  <c:v>-12868.800000000007</c:v>
                </c:pt>
                <c:pt idx="380">
                  <c:v>-13705.400000000005</c:v>
                </c:pt>
                <c:pt idx="381">
                  <c:v>-13705.400000000005</c:v>
                </c:pt>
                <c:pt idx="382">
                  <c:v>-13705.400000000005</c:v>
                </c:pt>
                <c:pt idx="383">
                  <c:v>-13705.400000000005</c:v>
                </c:pt>
                <c:pt idx="384">
                  <c:v>-13536.200000000004</c:v>
                </c:pt>
                <c:pt idx="385">
                  <c:v>-12840.600000000009</c:v>
                </c:pt>
                <c:pt idx="386">
                  <c:v>-12281.300000000007</c:v>
                </c:pt>
                <c:pt idx="387">
                  <c:v>-12281.300000000007</c:v>
                </c:pt>
                <c:pt idx="388">
                  <c:v>-12224.900000000003</c:v>
                </c:pt>
                <c:pt idx="389">
                  <c:v>-12224.900000000003</c:v>
                </c:pt>
                <c:pt idx="390">
                  <c:v>-9210.0000000000055</c:v>
                </c:pt>
                <c:pt idx="391">
                  <c:v>-8646.0000000000091</c:v>
                </c:pt>
                <c:pt idx="392">
                  <c:v>-7038.6000000000022</c:v>
                </c:pt>
                <c:pt idx="393">
                  <c:v>-7038.6000000000022</c:v>
                </c:pt>
                <c:pt idx="394">
                  <c:v>-5017.6000000000076</c:v>
                </c:pt>
                <c:pt idx="395">
                  <c:v>-5017.6000000000076</c:v>
                </c:pt>
                <c:pt idx="396">
                  <c:v>-4561.7000000000062</c:v>
                </c:pt>
                <c:pt idx="397">
                  <c:v>-4134.0000000000018</c:v>
                </c:pt>
                <c:pt idx="398">
                  <c:v>-4134.0000000000018</c:v>
                </c:pt>
                <c:pt idx="399">
                  <c:v>-1144.8000000000011</c:v>
                </c:pt>
                <c:pt idx="400">
                  <c:v>-449.20000000000618</c:v>
                </c:pt>
                <c:pt idx="401">
                  <c:v>-449.20000000000618</c:v>
                </c:pt>
                <c:pt idx="402">
                  <c:v>829.19999999999527</c:v>
                </c:pt>
                <c:pt idx="403">
                  <c:v>2887.7999999999965</c:v>
                </c:pt>
                <c:pt idx="404">
                  <c:v>2887.7999999999965</c:v>
                </c:pt>
                <c:pt idx="405">
                  <c:v>2887.7999999999965</c:v>
                </c:pt>
                <c:pt idx="406">
                  <c:v>5101.4999999999955</c:v>
                </c:pt>
                <c:pt idx="407">
                  <c:v>2225.0999999999967</c:v>
                </c:pt>
                <c:pt idx="408">
                  <c:v>1961.8999999999951</c:v>
                </c:pt>
                <c:pt idx="409">
                  <c:v>2356.6999999999953</c:v>
                </c:pt>
                <c:pt idx="410">
                  <c:v>4598.5999999999958</c:v>
                </c:pt>
                <c:pt idx="411">
                  <c:v>4861.7999999999929</c:v>
                </c:pt>
                <c:pt idx="412">
                  <c:v>4302.4999999999945</c:v>
                </c:pt>
                <c:pt idx="413">
                  <c:v>21219.999999999993</c:v>
                </c:pt>
                <c:pt idx="414">
                  <c:v>21219.999999999993</c:v>
                </c:pt>
                <c:pt idx="415">
                  <c:v>14870.299999999996</c:v>
                </c:pt>
                <c:pt idx="416">
                  <c:v>15636.399999999992</c:v>
                </c:pt>
                <c:pt idx="417">
                  <c:v>16139.299999999992</c:v>
                </c:pt>
                <c:pt idx="418">
                  <c:v>16313.199999999995</c:v>
                </c:pt>
                <c:pt idx="419">
                  <c:v>16440.099999999995</c:v>
                </c:pt>
                <c:pt idx="420">
                  <c:v>16421.299999999996</c:v>
                </c:pt>
                <c:pt idx="421">
                  <c:v>13051.399999999994</c:v>
                </c:pt>
                <c:pt idx="422">
                  <c:v>11707.199999999993</c:v>
                </c:pt>
                <c:pt idx="423">
                  <c:v>11707.199999999993</c:v>
                </c:pt>
                <c:pt idx="424">
                  <c:v>13667.099999999995</c:v>
                </c:pt>
                <c:pt idx="425">
                  <c:v>13667.099999999995</c:v>
                </c:pt>
                <c:pt idx="426">
                  <c:v>13699.999999999995</c:v>
                </c:pt>
                <c:pt idx="427">
                  <c:v>13887.999999999996</c:v>
                </c:pt>
                <c:pt idx="428">
                  <c:v>13887.999999999996</c:v>
                </c:pt>
                <c:pt idx="429">
                  <c:v>13887.999999999996</c:v>
                </c:pt>
                <c:pt idx="430">
                  <c:v>14226.399999999994</c:v>
                </c:pt>
                <c:pt idx="431">
                  <c:v>14395.599999999995</c:v>
                </c:pt>
                <c:pt idx="432">
                  <c:v>14395.599999999995</c:v>
                </c:pt>
                <c:pt idx="433">
                  <c:v>14395.599999999995</c:v>
                </c:pt>
                <c:pt idx="434">
                  <c:v>16987.499999999996</c:v>
                </c:pt>
                <c:pt idx="435">
                  <c:v>16987.499999999996</c:v>
                </c:pt>
                <c:pt idx="436">
                  <c:v>16987.499999999996</c:v>
                </c:pt>
                <c:pt idx="437">
                  <c:v>15422.399999999994</c:v>
                </c:pt>
                <c:pt idx="438">
                  <c:v>15422.399999999994</c:v>
                </c:pt>
                <c:pt idx="439">
                  <c:v>14468.299999999996</c:v>
                </c:pt>
                <c:pt idx="440">
                  <c:v>14919.499999999995</c:v>
                </c:pt>
                <c:pt idx="441">
                  <c:v>12818.599999999999</c:v>
                </c:pt>
                <c:pt idx="442">
                  <c:v>13565.899999999998</c:v>
                </c:pt>
                <c:pt idx="443">
                  <c:v>12870.3</c:v>
                </c:pt>
                <c:pt idx="444">
                  <c:v>12870.3</c:v>
                </c:pt>
                <c:pt idx="445">
                  <c:v>13485.999999999996</c:v>
                </c:pt>
                <c:pt idx="446">
                  <c:v>17767.699999999997</c:v>
                </c:pt>
                <c:pt idx="447">
                  <c:v>19530.199999999997</c:v>
                </c:pt>
                <c:pt idx="448">
                  <c:v>22885.999999999996</c:v>
                </c:pt>
                <c:pt idx="449">
                  <c:v>22885.999999999996</c:v>
                </c:pt>
                <c:pt idx="450">
                  <c:v>23783.699999999997</c:v>
                </c:pt>
                <c:pt idx="451">
                  <c:v>23783.699999999997</c:v>
                </c:pt>
                <c:pt idx="452">
                  <c:v>23783.699999999997</c:v>
                </c:pt>
                <c:pt idx="453">
                  <c:v>23783.699999999997</c:v>
                </c:pt>
                <c:pt idx="454">
                  <c:v>24455.799999999996</c:v>
                </c:pt>
                <c:pt idx="455">
                  <c:v>24286.6</c:v>
                </c:pt>
                <c:pt idx="456">
                  <c:v>44480</c:v>
                </c:pt>
                <c:pt idx="457">
                  <c:v>36052.9</c:v>
                </c:pt>
                <c:pt idx="458">
                  <c:v>33369.200000000004</c:v>
                </c:pt>
                <c:pt idx="459">
                  <c:v>37453.500000000007</c:v>
                </c:pt>
                <c:pt idx="460">
                  <c:v>33571.30000000001</c:v>
                </c:pt>
                <c:pt idx="461">
                  <c:v>33571.30000000001</c:v>
                </c:pt>
                <c:pt idx="462">
                  <c:v>33571.30000000001</c:v>
                </c:pt>
                <c:pt idx="463">
                  <c:v>31940.400000000009</c:v>
                </c:pt>
                <c:pt idx="464">
                  <c:v>30022.80000000001</c:v>
                </c:pt>
                <c:pt idx="465">
                  <c:v>30022.80000000001</c:v>
                </c:pt>
                <c:pt idx="466">
                  <c:v>31019.200000000012</c:v>
                </c:pt>
                <c:pt idx="467">
                  <c:v>29792.500000000011</c:v>
                </c:pt>
                <c:pt idx="468">
                  <c:v>29510.500000000011</c:v>
                </c:pt>
                <c:pt idx="469">
                  <c:v>29769.000000000011</c:v>
                </c:pt>
                <c:pt idx="470">
                  <c:v>29769.000000000011</c:v>
                </c:pt>
                <c:pt idx="471">
                  <c:v>29769.000000000011</c:v>
                </c:pt>
                <c:pt idx="472">
                  <c:v>29769.000000000011</c:v>
                </c:pt>
                <c:pt idx="473">
                  <c:v>29613.900000000012</c:v>
                </c:pt>
                <c:pt idx="474">
                  <c:v>28462.400000000012</c:v>
                </c:pt>
                <c:pt idx="475">
                  <c:v>28462.400000000012</c:v>
                </c:pt>
                <c:pt idx="476">
                  <c:v>28462.400000000012</c:v>
                </c:pt>
                <c:pt idx="477">
                  <c:v>28462.400000000012</c:v>
                </c:pt>
                <c:pt idx="478">
                  <c:v>28312.000000000015</c:v>
                </c:pt>
                <c:pt idx="479">
                  <c:v>9110.0000000000146</c:v>
                </c:pt>
                <c:pt idx="480">
                  <c:v>12635.000000000015</c:v>
                </c:pt>
                <c:pt idx="481">
                  <c:v>9293.3000000000138</c:v>
                </c:pt>
                <c:pt idx="482">
                  <c:v>3855.4000000000142</c:v>
                </c:pt>
                <c:pt idx="483">
                  <c:v>4316.0000000000136</c:v>
                </c:pt>
                <c:pt idx="484">
                  <c:v>3451.2000000000135</c:v>
                </c:pt>
                <c:pt idx="485">
                  <c:v>1439.6000000000149</c:v>
                </c:pt>
                <c:pt idx="486">
                  <c:v>1068.3000000000138</c:v>
                </c:pt>
                <c:pt idx="487">
                  <c:v>-2329.7999999999811</c:v>
                </c:pt>
                <c:pt idx="488">
                  <c:v>-2329.7999999999811</c:v>
                </c:pt>
                <c:pt idx="489">
                  <c:v>-2329.7999999999811</c:v>
                </c:pt>
                <c:pt idx="490">
                  <c:v>-2329.7999999999811</c:v>
                </c:pt>
                <c:pt idx="491">
                  <c:v>-2978.3999999999869</c:v>
                </c:pt>
                <c:pt idx="492">
                  <c:v>-4651.599999999984</c:v>
                </c:pt>
                <c:pt idx="493">
                  <c:v>-4341.3999999999887</c:v>
                </c:pt>
                <c:pt idx="494">
                  <c:v>-3847.8999999999851</c:v>
                </c:pt>
                <c:pt idx="495">
                  <c:v>-4585.7999999999847</c:v>
                </c:pt>
                <c:pt idx="496">
                  <c:v>-5022.8999999999851</c:v>
                </c:pt>
                <c:pt idx="497">
                  <c:v>-5022.8999999999851</c:v>
                </c:pt>
                <c:pt idx="498">
                  <c:v>-5022.8999999999851</c:v>
                </c:pt>
                <c:pt idx="499">
                  <c:v>-23909.999999999985</c:v>
                </c:pt>
                <c:pt idx="500">
                  <c:v>-27834.499999999985</c:v>
                </c:pt>
                <c:pt idx="501">
                  <c:v>-27834.499999999985</c:v>
                </c:pt>
                <c:pt idx="502">
                  <c:v>-27834.499999999985</c:v>
                </c:pt>
                <c:pt idx="503">
                  <c:v>-32402.899999999987</c:v>
                </c:pt>
                <c:pt idx="504">
                  <c:v>-32402.899999999987</c:v>
                </c:pt>
                <c:pt idx="505">
                  <c:v>-38705.599999999991</c:v>
                </c:pt>
                <c:pt idx="506">
                  <c:v>-41910.999999999993</c:v>
                </c:pt>
                <c:pt idx="507">
                  <c:v>-41910.999999999993</c:v>
                </c:pt>
                <c:pt idx="508">
                  <c:v>-48852.899999999994</c:v>
                </c:pt>
                <c:pt idx="509">
                  <c:v>-55258.999999999985</c:v>
                </c:pt>
                <c:pt idx="510">
                  <c:v>-55846.499999999985</c:v>
                </c:pt>
                <c:pt idx="511">
                  <c:v>-53176.899999999994</c:v>
                </c:pt>
                <c:pt idx="512">
                  <c:v>-51978.399999999994</c:v>
                </c:pt>
                <c:pt idx="513">
                  <c:v>-54328.399999999994</c:v>
                </c:pt>
                <c:pt idx="514">
                  <c:v>-53393.099999999991</c:v>
                </c:pt>
                <c:pt idx="515">
                  <c:v>-53393.099999999991</c:v>
                </c:pt>
                <c:pt idx="516">
                  <c:v>-53393.099999999991</c:v>
                </c:pt>
                <c:pt idx="517">
                  <c:v>-53393.099999999991</c:v>
                </c:pt>
                <c:pt idx="518">
                  <c:v>-53393.099999999991</c:v>
                </c:pt>
                <c:pt idx="519">
                  <c:v>-53393.099999999991</c:v>
                </c:pt>
                <c:pt idx="520">
                  <c:v>-53496.499999999993</c:v>
                </c:pt>
                <c:pt idx="521">
                  <c:v>-53496.499999999993</c:v>
                </c:pt>
                <c:pt idx="522">
                  <c:v>-69855</c:v>
                </c:pt>
                <c:pt idx="523">
                  <c:v>-69855</c:v>
                </c:pt>
                <c:pt idx="524">
                  <c:v>-70968.899999999994</c:v>
                </c:pt>
                <c:pt idx="525">
                  <c:v>-70968.899999999994</c:v>
                </c:pt>
                <c:pt idx="526">
                  <c:v>-91413.9</c:v>
                </c:pt>
                <c:pt idx="527">
                  <c:v>-91413.9</c:v>
                </c:pt>
                <c:pt idx="528">
                  <c:v>-91296.4</c:v>
                </c:pt>
                <c:pt idx="529">
                  <c:v>-91296.4</c:v>
                </c:pt>
                <c:pt idx="530">
                  <c:v>-91296.4</c:v>
                </c:pt>
                <c:pt idx="531">
                  <c:v>-93411.4</c:v>
                </c:pt>
                <c:pt idx="532">
                  <c:v>-92443.199999999997</c:v>
                </c:pt>
                <c:pt idx="533">
                  <c:v>-92151.8</c:v>
                </c:pt>
                <c:pt idx="534">
                  <c:v>-92151.8</c:v>
                </c:pt>
                <c:pt idx="535">
                  <c:v>-92678.2</c:v>
                </c:pt>
                <c:pt idx="536">
                  <c:v>-91738.2</c:v>
                </c:pt>
                <c:pt idx="537">
                  <c:v>-90506.8</c:v>
                </c:pt>
                <c:pt idx="538">
                  <c:v>-90154.3</c:v>
                </c:pt>
                <c:pt idx="539">
                  <c:v>-90300</c:v>
                </c:pt>
                <c:pt idx="540">
                  <c:v>-90887.5</c:v>
                </c:pt>
                <c:pt idx="541">
                  <c:v>-91061.4</c:v>
                </c:pt>
                <c:pt idx="542">
                  <c:v>-90887.5</c:v>
                </c:pt>
                <c:pt idx="543">
                  <c:v>-90680.7</c:v>
                </c:pt>
                <c:pt idx="544">
                  <c:v>-89362.5</c:v>
                </c:pt>
                <c:pt idx="545">
                  <c:v>-85466.200000000012</c:v>
                </c:pt>
                <c:pt idx="546">
                  <c:v>-85466.200000000012</c:v>
                </c:pt>
                <c:pt idx="547">
                  <c:v>-82994</c:v>
                </c:pt>
                <c:pt idx="548">
                  <c:v>-87167.6</c:v>
                </c:pt>
                <c:pt idx="549">
                  <c:v>-86302.800000000017</c:v>
                </c:pt>
                <c:pt idx="550">
                  <c:v>-84291.200000000012</c:v>
                </c:pt>
                <c:pt idx="551">
                  <c:v>-85405.1</c:v>
                </c:pt>
                <c:pt idx="552">
                  <c:v>-86763.400000000009</c:v>
                </c:pt>
                <c:pt idx="553">
                  <c:v>-84601.4</c:v>
                </c:pt>
                <c:pt idx="554">
                  <c:v>-84601.4</c:v>
                </c:pt>
                <c:pt idx="555">
                  <c:v>-87383.799999999988</c:v>
                </c:pt>
                <c:pt idx="556">
                  <c:v>-85654.2</c:v>
                </c:pt>
                <c:pt idx="557">
                  <c:v>-85870.400000000009</c:v>
                </c:pt>
                <c:pt idx="558">
                  <c:v>-85499.1</c:v>
                </c:pt>
                <c:pt idx="559">
                  <c:v>-85188.9</c:v>
                </c:pt>
                <c:pt idx="560">
                  <c:v>-85433.3</c:v>
                </c:pt>
                <c:pt idx="561">
                  <c:v>-85898.6</c:v>
                </c:pt>
                <c:pt idx="562">
                  <c:v>-86331</c:v>
                </c:pt>
                <c:pt idx="563">
                  <c:v>-86519</c:v>
                </c:pt>
                <c:pt idx="564">
                  <c:v>-98295</c:v>
                </c:pt>
                <c:pt idx="565">
                  <c:v>-98295</c:v>
                </c:pt>
                <c:pt idx="566">
                  <c:v>-95597.2</c:v>
                </c:pt>
                <c:pt idx="567">
                  <c:v>-97627.6</c:v>
                </c:pt>
                <c:pt idx="568">
                  <c:v>-100513.40000000001</c:v>
                </c:pt>
                <c:pt idx="569">
                  <c:v>-100057.5</c:v>
                </c:pt>
                <c:pt idx="570">
                  <c:v>-100057.5</c:v>
                </c:pt>
                <c:pt idx="571">
                  <c:v>-100057.5</c:v>
                </c:pt>
                <c:pt idx="572">
                  <c:v>-100057.5</c:v>
                </c:pt>
                <c:pt idx="573">
                  <c:v>-101444</c:v>
                </c:pt>
                <c:pt idx="574">
                  <c:v>-101768.3</c:v>
                </c:pt>
                <c:pt idx="575">
                  <c:v>-99709.7</c:v>
                </c:pt>
                <c:pt idx="576">
                  <c:v>-100245.5</c:v>
                </c:pt>
                <c:pt idx="577">
                  <c:v>-101928.1</c:v>
                </c:pt>
                <c:pt idx="578">
                  <c:v>-101711.90000000002</c:v>
                </c:pt>
                <c:pt idx="579">
                  <c:v>-101711.90000000002</c:v>
                </c:pt>
                <c:pt idx="580">
                  <c:v>-102355.80000000002</c:v>
                </c:pt>
                <c:pt idx="581">
                  <c:v>-102355.80000000002</c:v>
                </c:pt>
                <c:pt idx="582">
                  <c:v>-102355.80000000002</c:v>
                </c:pt>
                <c:pt idx="583">
                  <c:v>-102595.50000000001</c:v>
                </c:pt>
                <c:pt idx="584">
                  <c:v>-102807.00000000003</c:v>
                </c:pt>
                <c:pt idx="585">
                  <c:v>-102807.00000000003</c:v>
                </c:pt>
                <c:pt idx="586">
                  <c:v>-114865.00000000003</c:v>
                </c:pt>
                <c:pt idx="587">
                  <c:v>-114865.00000000003</c:v>
                </c:pt>
                <c:pt idx="588">
                  <c:v>-114865.00000000003</c:v>
                </c:pt>
                <c:pt idx="589">
                  <c:v>-114865.00000000003</c:v>
                </c:pt>
                <c:pt idx="590">
                  <c:v>-115870.80000000003</c:v>
                </c:pt>
                <c:pt idx="591">
                  <c:v>-122056.00000000001</c:v>
                </c:pt>
                <c:pt idx="592">
                  <c:v>-123395.50000000003</c:v>
                </c:pt>
                <c:pt idx="593">
                  <c:v>-125078.10000000005</c:v>
                </c:pt>
                <c:pt idx="594">
                  <c:v>-126643.20000000004</c:v>
                </c:pt>
                <c:pt idx="595">
                  <c:v>-129552.50000000004</c:v>
                </c:pt>
                <c:pt idx="596">
                  <c:v>-129552.50000000004</c:v>
                </c:pt>
                <c:pt idx="597">
                  <c:v>-129552.50000000004</c:v>
                </c:pt>
                <c:pt idx="598">
                  <c:v>-129552.50000000004</c:v>
                </c:pt>
                <c:pt idx="599">
                  <c:v>-130558.30000000006</c:v>
                </c:pt>
                <c:pt idx="600">
                  <c:v>-129886.20000000004</c:v>
                </c:pt>
                <c:pt idx="601">
                  <c:v>-129886.20000000004</c:v>
                </c:pt>
                <c:pt idx="602">
                  <c:v>-128208.30000000008</c:v>
                </c:pt>
                <c:pt idx="603">
                  <c:v>-128208.30000000008</c:v>
                </c:pt>
                <c:pt idx="604">
                  <c:v>-128208.30000000008</c:v>
                </c:pt>
                <c:pt idx="605">
                  <c:v>-128123.70000000004</c:v>
                </c:pt>
                <c:pt idx="606">
                  <c:v>-128015.60000000006</c:v>
                </c:pt>
                <c:pt idx="607">
                  <c:v>-128015.60000000006</c:v>
                </c:pt>
                <c:pt idx="608">
                  <c:v>-132022.50000000006</c:v>
                </c:pt>
                <c:pt idx="609">
                  <c:v>-129230.70000000006</c:v>
                </c:pt>
                <c:pt idx="610">
                  <c:v>-129230.70000000006</c:v>
                </c:pt>
                <c:pt idx="611">
                  <c:v>-128732.50000000006</c:v>
                </c:pt>
                <c:pt idx="612">
                  <c:v>-128732.50000000006</c:v>
                </c:pt>
                <c:pt idx="613">
                  <c:v>-128290.70000000006</c:v>
                </c:pt>
                <c:pt idx="614">
                  <c:v>-127059.30000000006</c:v>
                </c:pt>
                <c:pt idx="615">
                  <c:v>-127059.30000000006</c:v>
                </c:pt>
                <c:pt idx="616">
                  <c:v>-127059.30000000006</c:v>
                </c:pt>
                <c:pt idx="617">
                  <c:v>-127059.30000000006</c:v>
                </c:pt>
                <c:pt idx="618">
                  <c:v>-127059.30000000006</c:v>
                </c:pt>
                <c:pt idx="619">
                  <c:v>-127059.30000000006</c:v>
                </c:pt>
                <c:pt idx="620">
                  <c:v>-126824.30000000006</c:v>
                </c:pt>
                <c:pt idx="621">
                  <c:v>-128262.50000000006</c:v>
                </c:pt>
                <c:pt idx="622">
                  <c:v>-129672.50000000006</c:v>
                </c:pt>
                <c:pt idx="623">
                  <c:v>-131138.90000000005</c:v>
                </c:pt>
                <c:pt idx="624">
                  <c:v>-131138.90000000005</c:v>
                </c:pt>
                <c:pt idx="625">
                  <c:v>-130668.90000000005</c:v>
                </c:pt>
                <c:pt idx="626">
                  <c:v>-129879.30000000006</c:v>
                </c:pt>
                <c:pt idx="627">
                  <c:v>-129996.80000000006</c:v>
                </c:pt>
                <c:pt idx="628">
                  <c:v>-129996.80000000006</c:v>
                </c:pt>
                <c:pt idx="629">
                  <c:v>-133905.00000000006</c:v>
                </c:pt>
                <c:pt idx="630">
                  <c:v>-137270.20000000007</c:v>
                </c:pt>
                <c:pt idx="631">
                  <c:v>-139404.00000000009</c:v>
                </c:pt>
                <c:pt idx="632">
                  <c:v>-138896.40000000008</c:v>
                </c:pt>
                <c:pt idx="633">
                  <c:v>-141302.80000000008</c:v>
                </c:pt>
                <c:pt idx="634">
                  <c:v>-140846.90000000008</c:v>
                </c:pt>
                <c:pt idx="635">
                  <c:v>-140419.20000000007</c:v>
                </c:pt>
                <c:pt idx="636">
                  <c:v>-141222.90000000008</c:v>
                </c:pt>
                <c:pt idx="637">
                  <c:v>-142341.50000000009</c:v>
                </c:pt>
                <c:pt idx="638">
                  <c:v>-142341.50000000009</c:v>
                </c:pt>
                <c:pt idx="639">
                  <c:v>-142341.50000000009</c:v>
                </c:pt>
                <c:pt idx="640">
                  <c:v>-141754.00000000009</c:v>
                </c:pt>
                <c:pt idx="641">
                  <c:v>-140955.00000000006</c:v>
                </c:pt>
                <c:pt idx="642">
                  <c:v>-140955.00000000006</c:v>
                </c:pt>
                <c:pt idx="643">
                  <c:v>-140315.80000000008</c:v>
                </c:pt>
                <c:pt idx="644">
                  <c:v>-140687.10000000003</c:v>
                </c:pt>
                <c:pt idx="645">
                  <c:v>-141006.70000000001</c:v>
                </c:pt>
                <c:pt idx="646">
                  <c:v>-141274.60000000003</c:v>
                </c:pt>
                <c:pt idx="647">
                  <c:v>-141918.50000000003</c:v>
                </c:pt>
                <c:pt idx="648">
                  <c:v>-142078.30000000005</c:v>
                </c:pt>
                <c:pt idx="649">
                  <c:v>-142181.70000000001</c:v>
                </c:pt>
                <c:pt idx="650">
                  <c:v>-142238.10000000003</c:v>
                </c:pt>
                <c:pt idx="651">
                  <c:v>-152825.00000000003</c:v>
                </c:pt>
                <c:pt idx="652">
                  <c:v>-153948.30000000005</c:v>
                </c:pt>
                <c:pt idx="653">
                  <c:v>-153948.30000000005</c:v>
                </c:pt>
                <c:pt idx="654">
                  <c:v>-157149.00000000006</c:v>
                </c:pt>
                <c:pt idx="655">
                  <c:v>-157149.00000000006</c:v>
                </c:pt>
                <c:pt idx="656">
                  <c:v>-157633.10000000006</c:v>
                </c:pt>
                <c:pt idx="657">
                  <c:v>-157177.20000000007</c:v>
                </c:pt>
                <c:pt idx="658">
                  <c:v>-157177.20000000007</c:v>
                </c:pt>
                <c:pt idx="659">
                  <c:v>-157576.70000000004</c:v>
                </c:pt>
                <c:pt idx="660">
                  <c:v>-157576.70000000004</c:v>
                </c:pt>
                <c:pt idx="661">
                  <c:v>-157576.70000000004</c:v>
                </c:pt>
                <c:pt idx="662">
                  <c:v>-157576.70000000004</c:v>
                </c:pt>
                <c:pt idx="663">
                  <c:v>-157872.80000000005</c:v>
                </c:pt>
                <c:pt idx="664">
                  <c:v>-157872.80000000005</c:v>
                </c:pt>
                <c:pt idx="665">
                  <c:v>-157872.80000000005</c:v>
                </c:pt>
                <c:pt idx="666">
                  <c:v>-157872.80000000005</c:v>
                </c:pt>
                <c:pt idx="667">
                  <c:v>-158432.10000000003</c:v>
                </c:pt>
                <c:pt idx="668">
                  <c:v>-158591.90000000002</c:v>
                </c:pt>
                <c:pt idx="669">
                  <c:v>-158859.80000000005</c:v>
                </c:pt>
                <c:pt idx="670">
                  <c:v>-158859.80000000005</c:v>
                </c:pt>
                <c:pt idx="671">
                  <c:v>-158859.80000000005</c:v>
                </c:pt>
                <c:pt idx="672">
                  <c:v>-158859.80000000005</c:v>
                </c:pt>
                <c:pt idx="673">
                  <c:v>-158888.00000000006</c:v>
                </c:pt>
                <c:pt idx="674">
                  <c:v>-165282.50000000006</c:v>
                </c:pt>
                <c:pt idx="675">
                  <c:v>-169756.90000000005</c:v>
                </c:pt>
                <c:pt idx="676">
                  <c:v>-171886.00000000006</c:v>
                </c:pt>
                <c:pt idx="677">
                  <c:v>-174908.10000000009</c:v>
                </c:pt>
                <c:pt idx="678">
                  <c:v>-175857.50000000009</c:v>
                </c:pt>
                <c:pt idx="679">
                  <c:v>-175857.50000000009</c:v>
                </c:pt>
                <c:pt idx="680">
                  <c:v>-175857.50000000009</c:v>
                </c:pt>
                <c:pt idx="681">
                  <c:v>-175857.50000000009</c:v>
                </c:pt>
                <c:pt idx="682">
                  <c:v>-177314.50000000009</c:v>
                </c:pt>
                <c:pt idx="683">
                  <c:v>-178320.30000000008</c:v>
                </c:pt>
                <c:pt idx="684">
                  <c:v>-178320.30000000008</c:v>
                </c:pt>
                <c:pt idx="685">
                  <c:v>-178320.30000000008</c:v>
                </c:pt>
                <c:pt idx="686">
                  <c:v>-178823.20000000007</c:v>
                </c:pt>
                <c:pt idx="687">
                  <c:v>-179048.80000000008</c:v>
                </c:pt>
                <c:pt idx="688">
                  <c:v>-180026.40000000005</c:v>
                </c:pt>
                <c:pt idx="689">
                  <c:v>-182038.00000000006</c:v>
                </c:pt>
                <c:pt idx="690">
                  <c:v>-182038.00000000006</c:v>
                </c:pt>
                <c:pt idx="691">
                  <c:v>-182038.00000000006</c:v>
                </c:pt>
                <c:pt idx="692">
                  <c:v>-182038.00000000006</c:v>
                </c:pt>
                <c:pt idx="693">
                  <c:v>-182038.00000000006</c:v>
                </c:pt>
                <c:pt idx="694">
                  <c:v>-182038.00000000006</c:v>
                </c:pt>
                <c:pt idx="695">
                  <c:v>-193015.00000000006</c:v>
                </c:pt>
                <c:pt idx="696">
                  <c:v>-193015.00000000006</c:v>
                </c:pt>
                <c:pt idx="697">
                  <c:v>-193015.00000000006</c:v>
                </c:pt>
                <c:pt idx="698">
                  <c:v>-193517.90000000008</c:v>
                </c:pt>
                <c:pt idx="699">
                  <c:v>-193517.90000000008</c:v>
                </c:pt>
                <c:pt idx="700">
                  <c:v>-194472.00000000009</c:v>
                </c:pt>
                <c:pt idx="701">
                  <c:v>-194472.00000000009</c:v>
                </c:pt>
                <c:pt idx="702">
                  <c:v>-194472.00000000009</c:v>
                </c:pt>
                <c:pt idx="703">
                  <c:v>-192122.00000000009</c:v>
                </c:pt>
                <c:pt idx="704">
                  <c:v>-190665.00000000009</c:v>
                </c:pt>
                <c:pt idx="705">
                  <c:v>-190331.3000000001</c:v>
                </c:pt>
                <c:pt idx="706">
                  <c:v>-191252.50000000009</c:v>
                </c:pt>
                <c:pt idx="707">
                  <c:v>-191811.8000000001</c:v>
                </c:pt>
                <c:pt idx="708">
                  <c:v>-191811.8000000001</c:v>
                </c:pt>
                <c:pt idx="709">
                  <c:v>-192037.40000000011</c:v>
                </c:pt>
                <c:pt idx="710">
                  <c:v>-192037.40000000011</c:v>
                </c:pt>
                <c:pt idx="711">
                  <c:v>-192371.10000000009</c:v>
                </c:pt>
                <c:pt idx="712">
                  <c:v>-191952.80000000008</c:v>
                </c:pt>
                <c:pt idx="713">
                  <c:v>-191614.40000000008</c:v>
                </c:pt>
                <c:pt idx="714">
                  <c:v>-191614.40000000008</c:v>
                </c:pt>
                <c:pt idx="715">
                  <c:v>-191614.40000000008</c:v>
                </c:pt>
                <c:pt idx="716">
                  <c:v>-191478.10000000009</c:v>
                </c:pt>
                <c:pt idx="717">
                  <c:v>-184910.00000000009</c:v>
                </c:pt>
                <c:pt idx="718">
                  <c:v>-184350.70000000007</c:v>
                </c:pt>
                <c:pt idx="719">
                  <c:v>-185953.40000000008</c:v>
                </c:pt>
                <c:pt idx="720">
                  <c:v>-185445.8000000001</c:v>
                </c:pt>
                <c:pt idx="721">
                  <c:v>-185445.8000000001</c:v>
                </c:pt>
                <c:pt idx="722">
                  <c:v>-183626.90000000008</c:v>
                </c:pt>
                <c:pt idx="723">
                  <c:v>-182771.50000000012</c:v>
                </c:pt>
                <c:pt idx="724">
                  <c:v>-181173.50000000009</c:v>
                </c:pt>
                <c:pt idx="725">
                  <c:v>-181920.8000000001</c:v>
                </c:pt>
                <c:pt idx="726">
                  <c:v>-181573.00000000009</c:v>
                </c:pt>
                <c:pt idx="727">
                  <c:v>-181681.10000000009</c:v>
                </c:pt>
                <c:pt idx="728">
                  <c:v>-182607.00000000009</c:v>
                </c:pt>
                <c:pt idx="729">
                  <c:v>-183899.50000000009</c:v>
                </c:pt>
                <c:pt idx="730">
                  <c:v>-183937.10000000006</c:v>
                </c:pt>
                <c:pt idx="731">
                  <c:v>-184045.20000000007</c:v>
                </c:pt>
                <c:pt idx="732">
                  <c:v>-184139.20000000004</c:v>
                </c:pt>
                <c:pt idx="733">
                  <c:v>-184059.30000000005</c:v>
                </c:pt>
                <c:pt idx="734">
                  <c:v>-184073.40000000005</c:v>
                </c:pt>
                <c:pt idx="735">
                  <c:v>-183659.80000000005</c:v>
                </c:pt>
                <c:pt idx="736">
                  <c:v>-183631.60000000003</c:v>
                </c:pt>
                <c:pt idx="737">
                  <c:v>-183283.80000000005</c:v>
                </c:pt>
                <c:pt idx="738">
                  <c:v>-183307.30000000005</c:v>
                </c:pt>
                <c:pt idx="739">
                  <c:v>-179155.00000000006</c:v>
                </c:pt>
                <c:pt idx="740">
                  <c:v>-180268.90000000005</c:v>
                </c:pt>
                <c:pt idx="741">
                  <c:v>-180268.90000000005</c:v>
                </c:pt>
                <c:pt idx="742">
                  <c:v>-180268.90000000005</c:v>
                </c:pt>
                <c:pt idx="743">
                  <c:v>-178858.90000000005</c:v>
                </c:pt>
                <c:pt idx="744">
                  <c:v>-178858.90000000005</c:v>
                </c:pt>
                <c:pt idx="745">
                  <c:v>-178858.90000000005</c:v>
                </c:pt>
                <c:pt idx="746">
                  <c:v>-178858.90000000005</c:v>
                </c:pt>
                <c:pt idx="747">
                  <c:v>-180268.90000000005</c:v>
                </c:pt>
                <c:pt idx="748">
                  <c:v>-179949.30000000005</c:v>
                </c:pt>
                <c:pt idx="749">
                  <c:v>-179949.30000000005</c:v>
                </c:pt>
                <c:pt idx="750">
                  <c:v>-178891.80000000005</c:v>
                </c:pt>
                <c:pt idx="751">
                  <c:v>-178656.80000000005</c:v>
                </c:pt>
                <c:pt idx="752">
                  <c:v>-179681.40000000002</c:v>
                </c:pt>
                <c:pt idx="753">
                  <c:v>-178802.50000000003</c:v>
                </c:pt>
                <c:pt idx="754">
                  <c:v>-179093.90000000002</c:v>
                </c:pt>
                <c:pt idx="755">
                  <c:v>-178858.90000000002</c:v>
                </c:pt>
                <c:pt idx="756">
                  <c:v>-178774.30000000005</c:v>
                </c:pt>
                <c:pt idx="757">
                  <c:v>-178774.30000000005</c:v>
                </c:pt>
                <c:pt idx="758">
                  <c:v>-178774.30000000005</c:v>
                </c:pt>
                <c:pt idx="759">
                  <c:v>-178741.40000000002</c:v>
                </c:pt>
                <c:pt idx="760">
                  <c:v>-177512.50000000003</c:v>
                </c:pt>
                <c:pt idx="761">
                  <c:v>-177512.50000000003</c:v>
                </c:pt>
                <c:pt idx="762">
                  <c:v>-177512.50000000003</c:v>
                </c:pt>
                <c:pt idx="763">
                  <c:v>-178020.1</c:v>
                </c:pt>
                <c:pt idx="764">
                  <c:v>-179942.40000000002</c:v>
                </c:pt>
                <c:pt idx="765">
                  <c:v>-178579.4</c:v>
                </c:pt>
                <c:pt idx="766">
                  <c:v>-178579.4</c:v>
                </c:pt>
                <c:pt idx="767">
                  <c:v>-178179.90000000002</c:v>
                </c:pt>
                <c:pt idx="768">
                  <c:v>-178555.90000000002</c:v>
                </c:pt>
                <c:pt idx="769">
                  <c:v>-178899.00000000003</c:v>
                </c:pt>
                <c:pt idx="770">
                  <c:v>-178899.00000000003</c:v>
                </c:pt>
                <c:pt idx="771">
                  <c:v>-178899.00000000003</c:v>
                </c:pt>
                <c:pt idx="772">
                  <c:v>-178635.80000000005</c:v>
                </c:pt>
                <c:pt idx="773">
                  <c:v>-178635.80000000005</c:v>
                </c:pt>
                <c:pt idx="774">
                  <c:v>-178635.80000000005</c:v>
                </c:pt>
                <c:pt idx="775">
                  <c:v>-178447.80000000002</c:v>
                </c:pt>
                <c:pt idx="776">
                  <c:v>-178447.80000000002</c:v>
                </c:pt>
                <c:pt idx="777">
                  <c:v>-178447.80000000002</c:v>
                </c:pt>
                <c:pt idx="778">
                  <c:v>-178447.80000000002</c:v>
                </c:pt>
                <c:pt idx="779">
                  <c:v>-178339.70000000004</c:v>
                </c:pt>
                <c:pt idx="780">
                  <c:v>-178499.50000000003</c:v>
                </c:pt>
                <c:pt idx="781">
                  <c:v>-178607.6</c:v>
                </c:pt>
                <c:pt idx="782">
                  <c:v>-178659.30000000002</c:v>
                </c:pt>
                <c:pt idx="783">
                  <c:v>-178807.5</c:v>
                </c:pt>
                <c:pt idx="784">
                  <c:v>-178807.5</c:v>
                </c:pt>
                <c:pt idx="785">
                  <c:v>-178807.5</c:v>
                </c:pt>
                <c:pt idx="786">
                  <c:v>-178807.5</c:v>
                </c:pt>
                <c:pt idx="787">
                  <c:v>-178807.5</c:v>
                </c:pt>
                <c:pt idx="788">
                  <c:v>-178807.5</c:v>
                </c:pt>
                <c:pt idx="789">
                  <c:v>-179239.90000000002</c:v>
                </c:pt>
                <c:pt idx="790">
                  <c:v>-178840.40000000002</c:v>
                </c:pt>
                <c:pt idx="791">
                  <c:v>-178840.40000000002</c:v>
                </c:pt>
                <c:pt idx="792">
                  <c:v>-178497.30000000002</c:v>
                </c:pt>
                <c:pt idx="793">
                  <c:v>-178497.30000000002</c:v>
                </c:pt>
                <c:pt idx="794">
                  <c:v>-178497.30000000002</c:v>
                </c:pt>
                <c:pt idx="795">
                  <c:v>-178497.30000000002</c:v>
                </c:pt>
                <c:pt idx="796">
                  <c:v>-179982.50000000003</c:v>
                </c:pt>
                <c:pt idx="797">
                  <c:v>-180414.90000000005</c:v>
                </c:pt>
                <c:pt idx="798">
                  <c:v>-180602.90000000005</c:v>
                </c:pt>
                <c:pt idx="799">
                  <c:v>-181063.50000000003</c:v>
                </c:pt>
                <c:pt idx="800">
                  <c:v>-181063.50000000003</c:v>
                </c:pt>
                <c:pt idx="801">
                  <c:v>-181063.50000000003</c:v>
                </c:pt>
                <c:pt idx="802">
                  <c:v>-181063.50000000003</c:v>
                </c:pt>
                <c:pt idx="803">
                  <c:v>-181063.50000000003</c:v>
                </c:pt>
                <c:pt idx="804">
                  <c:v>-186565.00000000006</c:v>
                </c:pt>
                <c:pt idx="805">
                  <c:v>-186565.00000000006</c:v>
                </c:pt>
                <c:pt idx="806">
                  <c:v>-186565.00000000006</c:v>
                </c:pt>
                <c:pt idx="807">
                  <c:v>-186565.00000000006</c:v>
                </c:pt>
                <c:pt idx="808">
                  <c:v>-186565.00000000006</c:v>
                </c:pt>
                <c:pt idx="809">
                  <c:v>-186565.00000000006</c:v>
                </c:pt>
                <c:pt idx="810">
                  <c:v>-186565.00000000006</c:v>
                </c:pt>
                <c:pt idx="811">
                  <c:v>-186565.00000000006</c:v>
                </c:pt>
                <c:pt idx="812">
                  <c:v>-188769.30000000005</c:v>
                </c:pt>
                <c:pt idx="813">
                  <c:v>-188769.30000000005</c:v>
                </c:pt>
                <c:pt idx="814">
                  <c:v>-188769.30000000005</c:v>
                </c:pt>
                <c:pt idx="815">
                  <c:v>-188769.30000000005</c:v>
                </c:pt>
                <c:pt idx="816">
                  <c:v>-188769.30000000005</c:v>
                </c:pt>
                <c:pt idx="817">
                  <c:v>-189004.30000000005</c:v>
                </c:pt>
                <c:pt idx="818">
                  <c:v>-188797.50000000006</c:v>
                </c:pt>
                <c:pt idx="819">
                  <c:v>-188797.50000000006</c:v>
                </c:pt>
                <c:pt idx="820">
                  <c:v>-188797.50000000006</c:v>
                </c:pt>
                <c:pt idx="821">
                  <c:v>-188327.50000000006</c:v>
                </c:pt>
                <c:pt idx="822">
                  <c:v>-188327.50000000006</c:v>
                </c:pt>
                <c:pt idx="823">
                  <c:v>-187857.50000000006</c:v>
                </c:pt>
                <c:pt idx="824">
                  <c:v>-187857.50000000006</c:v>
                </c:pt>
                <c:pt idx="825">
                  <c:v>-183160.00000000006</c:v>
                </c:pt>
                <c:pt idx="826">
                  <c:v>-183160.00000000006</c:v>
                </c:pt>
                <c:pt idx="827">
                  <c:v>-181021.50000000006</c:v>
                </c:pt>
                <c:pt idx="828">
                  <c:v>-181021.50000000006</c:v>
                </c:pt>
                <c:pt idx="829">
                  <c:v>-178619.80000000005</c:v>
                </c:pt>
                <c:pt idx="830">
                  <c:v>-178619.80000000005</c:v>
                </c:pt>
                <c:pt idx="831">
                  <c:v>-177764.40000000002</c:v>
                </c:pt>
                <c:pt idx="832">
                  <c:v>-176965.40000000005</c:v>
                </c:pt>
                <c:pt idx="833">
                  <c:v>-176965.40000000005</c:v>
                </c:pt>
                <c:pt idx="834">
                  <c:v>-176965.40000000005</c:v>
                </c:pt>
                <c:pt idx="835">
                  <c:v>-176645.80000000005</c:v>
                </c:pt>
                <c:pt idx="836">
                  <c:v>-176645.80000000005</c:v>
                </c:pt>
                <c:pt idx="837">
                  <c:v>-175574.2</c:v>
                </c:pt>
                <c:pt idx="838">
                  <c:v>-175574.2</c:v>
                </c:pt>
                <c:pt idx="839">
                  <c:v>-175574.2</c:v>
                </c:pt>
                <c:pt idx="840">
                  <c:v>-175574.2</c:v>
                </c:pt>
                <c:pt idx="841">
                  <c:v>-175574.2</c:v>
                </c:pt>
                <c:pt idx="842">
                  <c:v>-175574.2</c:v>
                </c:pt>
                <c:pt idx="843">
                  <c:v>-175574.2</c:v>
                </c:pt>
                <c:pt idx="844">
                  <c:v>-175574.2</c:v>
                </c:pt>
                <c:pt idx="845">
                  <c:v>-175574.2</c:v>
                </c:pt>
                <c:pt idx="846">
                  <c:v>-175574.2</c:v>
                </c:pt>
                <c:pt idx="847">
                  <c:v>-175842.10000000003</c:v>
                </c:pt>
                <c:pt idx="848">
                  <c:v>-175642.50000000006</c:v>
                </c:pt>
                <c:pt idx="849">
                  <c:v>-175642.50000000006</c:v>
                </c:pt>
                <c:pt idx="850">
                  <c:v>-177235.80000000008</c:v>
                </c:pt>
                <c:pt idx="851">
                  <c:v>-177235.80000000008</c:v>
                </c:pt>
                <c:pt idx="852">
                  <c:v>-176761.10000000006</c:v>
                </c:pt>
                <c:pt idx="853">
                  <c:v>-177658.80000000008</c:v>
                </c:pt>
                <c:pt idx="854">
                  <c:v>-177658.80000000008</c:v>
                </c:pt>
                <c:pt idx="855">
                  <c:v>-177658.80000000008</c:v>
                </c:pt>
                <c:pt idx="856">
                  <c:v>-177292.20000000007</c:v>
                </c:pt>
                <c:pt idx="857">
                  <c:v>-177292.20000000007</c:v>
                </c:pt>
                <c:pt idx="858">
                  <c:v>-177602.40000000008</c:v>
                </c:pt>
                <c:pt idx="859">
                  <c:v>-177602.40000000008</c:v>
                </c:pt>
                <c:pt idx="860">
                  <c:v>-176591.90000000005</c:v>
                </c:pt>
                <c:pt idx="861">
                  <c:v>-175698.90000000005</c:v>
                </c:pt>
                <c:pt idx="862">
                  <c:v>-175698.90000000005</c:v>
                </c:pt>
                <c:pt idx="863">
                  <c:v>-175698.90000000005</c:v>
                </c:pt>
                <c:pt idx="864">
                  <c:v>-175698.90000000005</c:v>
                </c:pt>
                <c:pt idx="865">
                  <c:v>-175698.90000000005</c:v>
                </c:pt>
                <c:pt idx="866">
                  <c:v>-175698.90000000005</c:v>
                </c:pt>
                <c:pt idx="867">
                  <c:v>-175698.90000000005</c:v>
                </c:pt>
                <c:pt idx="868">
                  <c:v>-175698.90000000005</c:v>
                </c:pt>
                <c:pt idx="869">
                  <c:v>-174000.00000000006</c:v>
                </c:pt>
                <c:pt idx="870">
                  <c:v>-174000.00000000006</c:v>
                </c:pt>
                <c:pt idx="871">
                  <c:v>-174000.00000000006</c:v>
                </c:pt>
                <c:pt idx="872">
                  <c:v>-174000.00000000006</c:v>
                </c:pt>
                <c:pt idx="873">
                  <c:v>-175903.50000000006</c:v>
                </c:pt>
                <c:pt idx="874">
                  <c:v>-174112.80000000005</c:v>
                </c:pt>
                <c:pt idx="875">
                  <c:v>-174531.10000000006</c:v>
                </c:pt>
                <c:pt idx="876">
                  <c:v>-175706.10000000006</c:v>
                </c:pt>
                <c:pt idx="877">
                  <c:v>-175706.10000000006</c:v>
                </c:pt>
                <c:pt idx="878">
                  <c:v>-175706.10000000006</c:v>
                </c:pt>
                <c:pt idx="879">
                  <c:v>-175706.10000000006</c:v>
                </c:pt>
                <c:pt idx="880">
                  <c:v>-175706.10000000006</c:v>
                </c:pt>
                <c:pt idx="881">
                  <c:v>-175706.10000000006</c:v>
                </c:pt>
                <c:pt idx="882">
                  <c:v>-175706.10000000006</c:v>
                </c:pt>
                <c:pt idx="883">
                  <c:v>-175706.10000000006</c:v>
                </c:pt>
                <c:pt idx="884">
                  <c:v>-175706.10000000006</c:v>
                </c:pt>
                <c:pt idx="885">
                  <c:v>-175287.80000000005</c:v>
                </c:pt>
                <c:pt idx="886">
                  <c:v>-175287.80000000005</c:v>
                </c:pt>
                <c:pt idx="887">
                  <c:v>-175287.80000000005</c:v>
                </c:pt>
                <c:pt idx="888">
                  <c:v>-175287.80000000005</c:v>
                </c:pt>
                <c:pt idx="889">
                  <c:v>-175287.80000000005</c:v>
                </c:pt>
                <c:pt idx="890">
                  <c:v>-175259.60000000003</c:v>
                </c:pt>
                <c:pt idx="891">
                  <c:v>-174120.00000000006</c:v>
                </c:pt>
                <c:pt idx="892">
                  <c:v>-174120.00000000006</c:v>
                </c:pt>
                <c:pt idx="893">
                  <c:v>-174120.00000000006</c:v>
                </c:pt>
                <c:pt idx="894">
                  <c:v>-174120.00000000006</c:v>
                </c:pt>
                <c:pt idx="895">
                  <c:v>-174120.00000000006</c:v>
                </c:pt>
                <c:pt idx="896">
                  <c:v>-175027.10000000003</c:v>
                </c:pt>
                <c:pt idx="897">
                  <c:v>-174599.40000000002</c:v>
                </c:pt>
                <c:pt idx="898">
                  <c:v>-174998.90000000002</c:v>
                </c:pt>
                <c:pt idx="899">
                  <c:v>-174627.6</c:v>
                </c:pt>
                <c:pt idx="900">
                  <c:v>-174279.80000000002</c:v>
                </c:pt>
                <c:pt idx="901">
                  <c:v>-173321</c:v>
                </c:pt>
                <c:pt idx="902">
                  <c:v>-173321</c:v>
                </c:pt>
                <c:pt idx="903">
                  <c:v>-173321</c:v>
                </c:pt>
                <c:pt idx="904">
                  <c:v>-173321</c:v>
                </c:pt>
                <c:pt idx="905">
                  <c:v>-173321</c:v>
                </c:pt>
                <c:pt idx="906">
                  <c:v>-173321</c:v>
                </c:pt>
                <c:pt idx="907">
                  <c:v>-173321</c:v>
                </c:pt>
                <c:pt idx="908">
                  <c:v>-173584.2</c:v>
                </c:pt>
                <c:pt idx="909">
                  <c:v>-173692.30000000002</c:v>
                </c:pt>
                <c:pt idx="910">
                  <c:v>-173612.40000000002</c:v>
                </c:pt>
                <c:pt idx="911">
                  <c:v>-173664.1</c:v>
                </c:pt>
                <c:pt idx="912">
                  <c:v>-173612.40000000002</c:v>
                </c:pt>
                <c:pt idx="913">
                  <c:v>-173065</c:v>
                </c:pt>
                <c:pt idx="914">
                  <c:v>-173065</c:v>
                </c:pt>
                <c:pt idx="915">
                  <c:v>-173065</c:v>
                </c:pt>
                <c:pt idx="916">
                  <c:v>-173065</c:v>
                </c:pt>
                <c:pt idx="917">
                  <c:v>-174564.3</c:v>
                </c:pt>
                <c:pt idx="918">
                  <c:v>-174564.3</c:v>
                </c:pt>
                <c:pt idx="919">
                  <c:v>-174564.3</c:v>
                </c:pt>
                <c:pt idx="920">
                  <c:v>-173328.19999999998</c:v>
                </c:pt>
                <c:pt idx="921">
                  <c:v>-173328.19999999998</c:v>
                </c:pt>
                <c:pt idx="922">
                  <c:v>-173328.19999999998</c:v>
                </c:pt>
                <c:pt idx="923">
                  <c:v>-173328.19999999998</c:v>
                </c:pt>
                <c:pt idx="924">
                  <c:v>-173328.19999999998</c:v>
                </c:pt>
                <c:pt idx="925">
                  <c:v>-172270.69999999998</c:v>
                </c:pt>
                <c:pt idx="926">
                  <c:v>-171800.69999999998</c:v>
                </c:pt>
                <c:pt idx="927">
                  <c:v>-171800.69999999998</c:v>
                </c:pt>
                <c:pt idx="928">
                  <c:v>-171800.69999999998</c:v>
                </c:pt>
                <c:pt idx="929">
                  <c:v>-171509.3</c:v>
                </c:pt>
                <c:pt idx="930">
                  <c:v>-171391.8</c:v>
                </c:pt>
                <c:pt idx="931">
                  <c:v>-170597.5</c:v>
                </c:pt>
                <c:pt idx="932">
                  <c:v>-170362.5</c:v>
                </c:pt>
                <c:pt idx="933">
                  <c:v>-170362.5</c:v>
                </c:pt>
                <c:pt idx="934">
                  <c:v>-160260</c:v>
                </c:pt>
                <c:pt idx="935">
                  <c:v>-160260</c:v>
                </c:pt>
                <c:pt idx="936">
                  <c:v>-159188.4</c:v>
                </c:pt>
                <c:pt idx="937">
                  <c:v>-154079.5</c:v>
                </c:pt>
                <c:pt idx="938">
                  <c:v>-154079.5</c:v>
                </c:pt>
                <c:pt idx="939">
                  <c:v>-154079.5</c:v>
                </c:pt>
                <c:pt idx="940">
                  <c:v>-151470.99999999997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307-48B7-B774-75E1495063A0}"/>
            </c:ext>
          </c:extLst>
        </c:ser>
        <c:ser>
          <c:idx val="2"/>
          <c:order val="2"/>
          <c:tx>
            <c:strRef>
              <c:f>Data!$K$11</c:f>
              <c:strCache>
                <c:ptCount val="1"/>
                <c:pt idx="0">
                  <c:v>Short Polypropylene Futures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941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41281</c:v>
                </c:pt>
                <c:pt idx="5">
                  <c:v>41282</c:v>
                </c:pt>
                <c:pt idx="6">
                  <c:v>41283</c:v>
                </c:pt>
                <c:pt idx="7">
                  <c:v>41284</c:v>
                </c:pt>
                <c:pt idx="8">
                  <c:v>41285</c:v>
                </c:pt>
                <c:pt idx="9">
                  <c:v>41288</c:v>
                </c:pt>
                <c:pt idx="10">
                  <c:v>41289</c:v>
                </c:pt>
                <c:pt idx="11">
                  <c:v>41290</c:v>
                </c:pt>
                <c:pt idx="12">
                  <c:v>41291</c:v>
                </c:pt>
                <c:pt idx="13">
                  <c:v>41292</c:v>
                </c:pt>
                <c:pt idx="14">
                  <c:v>41295</c:v>
                </c:pt>
                <c:pt idx="15">
                  <c:v>41296</c:v>
                </c:pt>
                <c:pt idx="16">
                  <c:v>41297</c:v>
                </c:pt>
                <c:pt idx="17">
                  <c:v>41298</c:v>
                </c:pt>
                <c:pt idx="18">
                  <c:v>41299</c:v>
                </c:pt>
                <c:pt idx="19">
                  <c:v>41302</c:v>
                </c:pt>
                <c:pt idx="20">
                  <c:v>41303</c:v>
                </c:pt>
                <c:pt idx="21">
                  <c:v>41304</c:v>
                </c:pt>
                <c:pt idx="22">
                  <c:v>41305</c:v>
                </c:pt>
                <c:pt idx="23">
                  <c:v>41306</c:v>
                </c:pt>
                <c:pt idx="24">
                  <c:v>41309</c:v>
                </c:pt>
                <c:pt idx="25">
                  <c:v>41310</c:v>
                </c:pt>
                <c:pt idx="26">
                  <c:v>41311</c:v>
                </c:pt>
                <c:pt idx="27">
                  <c:v>41312</c:v>
                </c:pt>
                <c:pt idx="28">
                  <c:v>41313</c:v>
                </c:pt>
                <c:pt idx="29">
                  <c:v>41316</c:v>
                </c:pt>
                <c:pt idx="30">
                  <c:v>41317</c:v>
                </c:pt>
                <c:pt idx="31">
                  <c:v>41318</c:v>
                </c:pt>
                <c:pt idx="32">
                  <c:v>41319</c:v>
                </c:pt>
                <c:pt idx="33">
                  <c:v>41320</c:v>
                </c:pt>
                <c:pt idx="34">
                  <c:v>41323</c:v>
                </c:pt>
                <c:pt idx="35">
                  <c:v>41324</c:v>
                </c:pt>
                <c:pt idx="36">
                  <c:v>41325</c:v>
                </c:pt>
                <c:pt idx="37">
                  <c:v>41326</c:v>
                </c:pt>
                <c:pt idx="38">
                  <c:v>41327</c:v>
                </c:pt>
                <c:pt idx="39">
                  <c:v>41330</c:v>
                </c:pt>
                <c:pt idx="40">
                  <c:v>41331</c:v>
                </c:pt>
                <c:pt idx="41">
                  <c:v>41332</c:v>
                </c:pt>
                <c:pt idx="42">
                  <c:v>41333</c:v>
                </c:pt>
                <c:pt idx="43">
                  <c:v>41334</c:v>
                </c:pt>
                <c:pt idx="44">
                  <c:v>41337</c:v>
                </c:pt>
                <c:pt idx="45">
                  <c:v>41338</c:v>
                </c:pt>
                <c:pt idx="46">
                  <c:v>41339</c:v>
                </c:pt>
                <c:pt idx="47">
                  <c:v>41340</c:v>
                </c:pt>
                <c:pt idx="48">
                  <c:v>41341</c:v>
                </c:pt>
                <c:pt idx="49">
                  <c:v>41344</c:v>
                </c:pt>
                <c:pt idx="50">
                  <c:v>41345</c:v>
                </c:pt>
                <c:pt idx="51">
                  <c:v>41346</c:v>
                </c:pt>
                <c:pt idx="52">
                  <c:v>41347</c:v>
                </c:pt>
                <c:pt idx="53">
                  <c:v>41348</c:v>
                </c:pt>
                <c:pt idx="54">
                  <c:v>41351</c:v>
                </c:pt>
                <c:pt idx="55">
                  <c:v>41352</c:v>
                </c:pt>
                <c:pt idx="56">
                  <c:v>41353</c:v>
                </c:pt>
                <c:pt idx="57">
                  <c:v>41354</c:v>
                </c:pt>
                <c:pt idx="58">
                  <c:v>41355</c:v>
                </c:pt>
                <c:pt idx="59">
                  <c:v>41358</c:v>
                </c:pt>
                <c:pt idx="60">
                  <c:v>41359</c:v>
                </c:pt>
                <c:pt idx="61">
                  <c:v>41360</c:v>
                </c:pt>
                <c:pt idx="62">
                  <c:v>41361</c:v>
                </c:pt>
                <c:pt idx="63">
                  <c:v>41362</c:v>
                </c:pt>
                <c:pt idx="64">
                  <c:v>41365</c:v>
                </c:pt>
                <c:pt idx="65">
                  <c:v>41366</c:v>
                </c:pt>
                <c:pt idx="66">
                  <c:v>41367</c:v>
                </c:pt>
                <c:pt idx="67">
                  <c:v>41368</c:v>
                </c:pt>
                <c:pt idx="68">
                  <c:v>41369</c:v>
                </c:pt>
                <c:pt idx="69">
                  <c:v>41372</c:v>
                </c:pt>
                <c:pt idx="70">
                  <c:v>41373</c:v>
                </c:pt>
                <c:pt idx="71">
                  <c:v>41374</c:v>
                </c:pt>
                <c:pt idx="72">
                  <c:v>41375</c:v>
                </c:pt>
                <c:pt idx="73">
                  <c:v>41376</c:v>
                </c:pt>
                <c:pt idx="74">
                  <c:v>41379</c:v>
                </c:pt>
                <c:pt idx="75">
                  <c:v>41380</c:v>
                </c:pt>
                <c:pt idx="76">
                  <c:v>41381</c:v>
                </c:pt>
                <c:pt idx="77">
                  <c:v>41382</c:v>
                </c:pt>
                <c:pt idx="78">
                  <c:v>41383</c:v>
                </c:pt>
                <c:pt idx="79">
                  <c:v>41386</c:v>
                </c:pt>
                <c:pt idx="80">
                  <c:v>41387</c:v>
                </c:pt>
                <c:pt idx="81">
                  <c:v>41388</c:v>
                </c:pt>
                <c:pt idx="82">
                  <c:v>41389</c:v>
                </c:pt>
                <c:pt idx="83">
                  <c:v>41390</c:v>
                </c:pt>
                <c:pt idx="84">
                  <c:v>41393</c:v>
                </c:pt>
                <c:pt idx="85">
                  <c:v>41394</c:v>
                </c:pt>
                <c:pt idx="86">
                  <c:v>41395</c:v>
                </c:pt>
                <c:pt idx="87">
                  <c:v>41396</c:v>
                </c:pt>
                <c:pt idx="88">
                  <c:v>41397</c:v>
                </c:pt>
                <c:pt idx="89">
                  <c:v>41400</c:v>
                </c:pt>
                <c:pt idx="90">
                  <c:v>41401</c:v>
                </c:pt>
                <c:pt idx="91">
                  <c:v>41402</c:v>
                </c:pt>
                <c:pt idx="92">
                  <c:v>41403</c:v>
                </c:pt>
                <c:pt idx="93">
                  <c:v>41404</c:v>
                </c:pt>
                <c:pt idx="94">
                  <c:v>41407</c:v>
                </c:pt>
                <c:pt idx="95">
                  <c:v>41408</c:v>
                </c:pt>
                <c:pt idx="96">
                  <c:v>41409</c:v>
                </c:pt>
                <c:pt idx="97">
                  <c:v>41410</c:v>
                </c:pt>
                <c:pt idx="98">
                  <c:v>41411</c:v>
                </c:pt>
                <c:pt idx="99">
                  <c:v>41414</c:v>
                </c:pt>
                <c:pt idx="100">
                  <c:v>41415</c:v>
                </c:pt>
                <c:pt idx="101">
                  <c:v>41416</c:v>
                </c:pt>
                <c:pt idx="102">
                  <c:v>41417</c:v>
                </c:pt>
                <c:pt idx="103">
                  <c:v>41418</c:v>
                </c:pt>
                <c:pt idx="104">
                  <c:v>41421</c:v>
                </c:pt>
                <c:pt idx="105">
                  <c:v>41422</c:v>
                </c:pt>
                <c:pt idx="106">
                  <c:v>41423</c:v>
                </c:pt>
                <c:pt idx="107">
                  <c:v>41424</c:v>
                </c:pt>
                <c:pt idx="108">
                  <c:v>41425</c:v>
                </c:pt>
                <c:pt idx="109">
                  <c:v>41428</c:v>
                </c:pt>
                <c:pt idx="110">
                  <c:v>41429</c:v>
                </c:pt>
                <c:pt idx="111">
                  <c:v>41430</c:v>
                </c:pt>
                <c:pt idx="112">
                  <c:v>41431</c:v>
                </c:pt>
                <c:pt idx="113">
                  <c:v>41432</c:v>
                </c:pt>
                <c:pt idx="114">
                  <c:v>41435</c:v>
                </c:pt>
                <c:pt idx="115">
                  <c:v>41436</c:v>
                </c:pt>
                <c:pt idx="116">
                  <c:v>41437</c:v>
                </c:pt>
                <c:pt idx="117">
                  <c:v>41438</c:v>
                </c:pt>
                <c:pt idx="118">
                  <c:v>41439</c:v>
                </c:pt>
                <c:pt idx="119">
                  <c:v>41442</c:v>
                </c:pt>
                <c:pt idx="120">
                  <c:v>41443</c:v>
                </c:pt>
                <c:pt idx="121">
                  <c:v>41444</c:v>
                </c:pt>
                <c:pt idx="122">
                  <c:v>41445</c:v>
                </c:pt>
                <c:pt idx="123">
                  <c:v>41446</c:v>
                </c:pt>
                <c:pt idx="124">
                  <c:v>41449</c:v>
                </c:pt>
                <c:pt idx="125">
                  <c:v>41450</c:v>
                </c:pt>
                <c:pt idx="126">
                  <c:v>41451</c:v>
                </c:pt>
                <c:pt idx="127">
                  <c:v>41452</c:v>
                </c:pt>
                <c:pt idx="128">
                  <c:v>41453</c:v>
                </c:pt>
                <c:pt idx="129">
                  <c:v>41456</c:v>
                </c:pt>
                <c:pt idx="130">
                  <c:v>41457</c:v>
                </c:pt>
                <c:pt idx="131">
                  <c:v>41458</c:v>
                </c:pt>
                <c:pt idx="132">
                  <c:v>41459</c:v>
                </c:pt>
                <c:pt idx="133">
                  <c:v>41460</c:v>
                </c:pt>
                <c:pt idx="134">
                  <c:v>41463</c:v>
                </c:pt>
                <c:pt idx="135">
                  <c:v>41464</c:v>
                </c:pt>
                <c:pt idx="136">
                  <c:v>41465</c:v>
                </c:pt>
                <c:pt idx="137">
                  <c:v>41466</c:v>
                </c:pt>
                <c:pt idx="138">
                  <c:v>41467</c:v>
                </c:pt>
                <c:pt idx="139">
                  <c:v>41470</c:v>
                </c:pt>
                <c:pt idx="140">
                  <c:v>41471</c:v>
                </c:pt>
                <c:pt idx="141">
                  <c:v>41472</c:v>
                </c:pt>
                <c:pt idx="142">
                  <c:v>41473</c:v>
                </c:pt>
                <c:pt idx="143">
                  <c:v>41474</c:v>
                </c:pt>
                <c:pt idx="144">
                  <c:v>41477</c:v>
                </c:pt>
                <c:pt idx="145">
                  <c:v>41478</c:v>
                </c:pt>
                <c:pt idx="146">
                  <c:v>41479</c:v>
                </c:pt>
                <c:pt idx="147">
                  <c:v>41480</c:v>
                </c:pt>
                <c:pt idx="148">
                  <c:v>41481</c:v>
                </c:pt>
                <c:pt idx="149">
                  <c:v>41484</c:v>
                </c:pt>
                <c:pt idx="150">
                  <c:v>41485</c:v>
                </c:pt>
                <c:pt idx="151">
                  <c:v>41486</c:v>
                </c:pt>
                <c:pt idx="152">
                  <c:v>41487</c:v>
                </c:pt>
                <c:pt idx="153">
                  <c:v>41488</c:v>
                </c:pt>
                <c:pt idx="154">
                  <c:v>41491</c:v>
                </c:pt>
                <c:pt idx="155">
                  <c:v>41492</c:v>
                </c:pt>
                <c:pt idx="156">
                  <c:v>41493</c:v>
                </c:pt>
                <c:pt idx="157">
                  <c:v>41494</c:v>
                </c:pt>
                <c:pt idx="158">
                  <c:v>41495</c:v>
                </c:pt>
                <c:pt idx="159">
                  <c:v>41498</c:v>
                </c:pt>
                <c:pt idx="160">
                  <c:v>41499</c:v>
                </c:pt>
                <c:pt idx="161">
                  <c:v>41500</c:v>
                </c:pt>
                <c:pt idx="162">
                  <c:v>41501</c:v>
                </c:pt>
                <c:pt idx="163">
                  <c:v>41502</c:v>
                </c:pt>
                <c:pt idx="164">
                  <c:v>41505</c:v>
                </c:pt>
                <c:pt idx="165">
                  <c:v>41506</c:v>
                </c:pt>
                <c:pt idx="166">
                  <c:v>41507</c:v>
                </c:pt>
                <c:pt idx="167">
                  <c:v>41508</c:v>
                </c:pt>
                <c:pt idx="168">
                  <c:v>41509</c:v>
                </c:pt>
                <c:pt idx="169">
                  <c:v>41512</c:v>
                </c:pt>
                <c:pt idx="170">
                  <c:v>41513</c:v>
                </c:pt>
                <c:pt idx="171">
                  <c:v>41514</c:v>
                </c:pt>
                <c:pt idx="172">
                  <c:v>41515</c:v>
                </c:pt>
                <c:pt idx="173">
                  <c:v>41516</c:v>
                </c:pt>
                <c:pt idx="174">
                  <c:v>41519</c:v>
                </c:pt>
                <c:pt idx="175">
                  <c:v>41520</c:v>
                </c:pt>
                <c:pt idx="176">
                  <c:v>41521</c:v>
                </c:pt>
                <c:pt idx="177">
                  <c:v>41522</c:v>
                </c:pt>
                <c:pt idx="178">
                  <c:v>41523</c:v>
                </c:pt>
                <c:pt idx="179">
                  <c:v>41526</c:v>
                </c:pt>
                <c:pt idx="180">
                  <c:v>41527</c:v>
                </c:pt>
                <c:pt idx="181">
                  <c:v>41528</c:v>
                </c:pt>
                <c:pt idx="182">
                  <c:v>41529</c:v>
                </c:pt>
                <c:pt idx="183">
                  <c:v>41530</c:v>
                </c:pt>
                <c:pt idx="184">
                  <c:v>41533</c:v>
                </c:pt>
                <c:pt idx="185">
                  <c:v>41534</c:v>
                </c:pt>
                <c:pt idx="186">
                  <c:v>41535</c:v>
                </c:pt>
                <c:pt idx="187">
                  <c:v>41536</c:v>
                </c:pt>
                <c:pt idx="188">
                  <c:v>41537</c:v>
                </c:pt>
                <c:pt idx="189">
                  <c:v>41540</c:v>
                </c:pt>
                <c:pt idx="190">
                  <c:v>41541</c:v>
                </c:pt>
                <c:pt idx="191">
                  <c:v>41542</c:v>
                </c:pt>
                <c:pt idx="192">
                  <c:v>41543</c:v>
                </c:pt>
                <c:pt idx="193">
                  <c:v>41544</c:v>
                </c:pt>
                <c:pt idx="194">
                  <c:v>41547</c:v>
                </c:pt>
                <c:pt idx="195">
                  <c:v>41548</c:v>
                </c:pt>
                <c:pt idx="196">
                  <c:v>41549</c:v>
                </c:pt>
                <c:pt idx="197">
                  <c:v>41550</c:v>
                </c:pt>
                <c:pt idx="198">
                  <c:v>41551</c:v>
                </c:pt>
                <c:pt idx="199">
                  <c:v>41554</c:v>
                </c:pt>
                <c:pt idx="200">
                  <c:v>41555</c:v>
                </c:pt>
                <c:pt idx="201">
                  <c:v>41556</c:v>
                </c:pt>
                <c:pt idx="202">
                  <c:v>41557</c:v>
                </c:pt>
                <c:pt idx="203">
                  <c:v>41558</c:v>
                </c:pt>
                <c:pt idx="204">
                  <c:v>41561</c:v>
                </c:pt>
                <c:pt idx="205">
                  <c:v>41562</c:v>
                </c:pt>
                <c:pt idx="206">
                  <c:v>41563</c:v>
                </c:pt>
                <c:pt idx="207">
                  <c:v>41564</c:v>
                </c:pt>
                <c:pt idx="208">
                  <c:v>41565</c:v>
                </c:pt>
                <c:pt idx="209">
                  <c:v>41568</c:v>
                </c:pt>
                <c:pt idx="210">
                  <c:v>41569</c:v>
                </c:pt>
                <c:pt idx="211">
                  <c:v>41570</c:v>
                </c:pt>
                <c:pt idx="212">
                  <c:v>41571</c:v>
                </c:pt>
                <c:pt idx="213">
                  <c:v>41572</c:v>
                </c:pt>
                <c:pt idx="214">
                  <c:v>41575</c:v>
                </c:pt>
                <c:pt idx="215">
                  <c:v>41576</c:v>
                </c:pt>
                <c:pt idx="216">
                  <c:v>41577</c:v>
                </c:pt>
                <c:pt idx="217">
                  <c:v>41578</c:v>
                </c:pt>
                <c:pt idx="218">
                  <c:v>41579</c:v>
                </c:pt>
                <c:pt idx="219">
                  <c:v>41582</c:v>
                </c:pt>
                <c:pt idx="220">
                  <c:v>41583</c:v>
                </c:pt>
                <c:pt idx="221">
                  <c:v>41584</c:v>
                </c:pt>
                <c:pt idx="222">
                  <c:v>41585</c:v>
                </c:pt>
                <c:pt idx="223">
                  <c:v>41586</c:v>
                </c:pt>
                <c:pt idx="224">
                  <c:v>41589</c:v>
                </c:pt>
                <c:pt idx="225">
                  <c:v>41590</c:v>
                </c:pt>
                <c:pt idx="226">
                  <c:v>41591</c:v>
                </c:pt>
                <c:pt idx="227">
                  <c:v>41592</c:v>
                </c:pt>
                <c:pt idx="228">
                  <c:v>41593</c:v>
                </c:pt>
                <c:pt idx="229">
                  <c:v>41596</c:v>
                </c:pt>
                <c:pt idx="230">
                  <c:v>41597</c:v>
                </c:pt>
                <c:pt idx="231">
                  <c:v>41598</c:v>
                </c:pt>
                <c:pt idx="232">
                  <c:v>41599</c:v>
                </c:pt>
                <c:pt idx="233">
                  <c:v>41600</c:v>
                </c:pt>
                <c:pt idx="234">
                  <c:v>41603</c:v>
                </c:pt>
                <c:pt idx="235">
                  <c:v>41604</c:v>
                </c:pt>
                <c:pt idx="236">
                  <c:v>41605</c:v>
                </c:pt>
                <c:pt idx="237">
                  <c:v>41606</c:v>
                </c:pt>
                <c:pt idx="238">
                  <c:v>41607</c:v>
                </c:pt>
                <c:pt idx="239">
                  <c:v>41610</c:v>
                </c:pt>
                <c:pt idx="240">
                  <c:v>41611</c:v>
                </c:pt>
                <c:pt idx="241">
                  <c:v>41612</c:v>
                </c:pt>
                <c:pt idx="242">
                  <c:v>41613</c:v>
                </c:pt>
                <c:pt idx="243">
                  <c:v>41614</c:v>
                </c:pt>
                <c:pt idx="244">
                  <c:v>41617</c:v>
                </c:pt>
                <c:pt idx="245">
                  <c:v>41618</c:v>
                </c:pt>
                <c:pt idx="246">
                  <c:v>41619</c:v>
                </c:pt>
                <c:pt idx="247">
                  <c:v>41620</c:v>
                </c:pt>
                <c:pt idx="248">
                  <c:v>41621</c:v>
                </c:pt>
                <c:pt idx="249">
                  <c:v>41624</c:v>
                </c:pt>
                <c:pt idx="250">
                  <c:v>41625</c:v>
                </c:pt>
                <c:pt idx="251">
                  <c:v>41626</c:v>
                </c:pt>
                <c:pt idx="252">
                  <c:v>41627</c:v>
                </c:pt>
                <c:pt idx="253">
                  <c:v>41628</c:v>
                </c:pt>
                <c:pt idx="254">
                  <c:v>41631</c:v>
                </c:pt>
                <c:pt idx="255">
                  <c:v>41632</c:v>
                </c:pt>
                <c:pt idx="256">
                  <c:v>41633</c:v>
                </c:pt>
                <c:pt idx="257">
                  <c:v>41634</c:v>
                </c:pt>
                <c:pt idx="258">
                  <c:v>41635</c:v>
                </c:pt>
                <c:pt idx="259">
                  <c:v>41638</c:v>
                </c:pt>
                <c:pt idx="260">
                  <c:v>41639</c:v>
                </c:pt>
                <c:pt idx="261">
                  <c:v>41640</c:v>
                </c:pt>
                <c:pt idx="262">
                  <c:v>41641</c:v>
                </c:pt>
                <c:pt idx="263">
                  <c:v>41642</c:v>
                </c:pt>
                <c:pt idx="264">
                  <c:v>41645</c:v>
                </c:pt>
                <c:pt idx="265">
                  <c:v>41646</c:v>
                </c:pt>
                <c:pt idx="266">
                  <c:v>41647</c:v>
                </c:pt>
                <c:pt idx="267">
                  <c:v>41648</c:v>
                </c:pt>
                <c:pt idx="268">
                  <c:v>41649</c:v>
                </c:pt>
                <c:pt idx="269">
                  <c:v>41652</c:v>
                </c:pt>
                <c:pt idx="270">
                  <c:v>41653</c:v>
                </c:pt>
                <c:pt idx="271">
                  <c:v>41654</c:v>
                </c:pt>
                <c:pt idx="272">
                  <c:v>41655</c:v>
                </c:pt>
                <c:pt idx="273">
                  <c:v>41656</c:v>
                </c:pt>
                <c:pt idx="274">
                  <c:v>41659</c:v>
                </c:pt>
                <c:pt idx="275">
                  <c:v>41660</c:v>
                </c:pt>
                <c:pt idx="276">
                  <c:v>41661</c:v>
                </c:pt>
                <c:pt idx="277">
                  <c:v>41662</c:v>
                </c:pt>
                <c:pt idx="278">
                  <c:v>41663</c:v>
                </c:pt>
                <c:pt idx="279">
                  <c:v>41666</c:v>
                </c:pt>
                <c:pt idx="280">
                  <c:v>41667</c:v>
                </c:pt>
                <c:pt idx="281">
                  <c:v>41668</c:v>
                </c:pt>
                <c:pt idx="282">
                  <c:v>41669</c:v>
                </c:pt>
                <c:pt idx="283">
                  <c:v>41670</c:v>
                </c:pt>
                <c:pt idx="284">
                  <c:v>41673</c:v>
                </c:pt>
                <c:pt idx="285">
                  <c:v>41674</c:v>
                </c:pt>
                <c:pt idx="286">
                  <c:v>41675</c:v>
                </c:pt>
                <c:pt idx="287">
                  <c:v>41676</c:v>
                </c:pt>
                <c:pt idx="288">
                  <c:v>41677</c:v>
                </c:pt>
                <c:pt idx="289">
                  <c:v>41680</c:v>
                </c:pt>
                <c:pt idx="290">
                  <c:v>41681</c:v>
                </c:pt>
                <c:pt idx="291">
                  <c:v>41682</c:v>
                </c:pt>
                <c:pt idx="292">
                  <c:v>41683</c:v>
                </c:pt>
                <c:pt idx="293">
                  <c:v>41684</c:v>
                </c:pt>
                <c:pt idx="294">
                  <c:v>41687</c:v>
                </c:pt>
                <c:pt idx="295">
                  <c:v>41688</c:v>
                </c:pt>
                <c:pt idx="296">
                  <c:v>41689</c:v>
                </c:pt>
                <c:pt idx="297">
                  <c:v>41690</c:v>
                </c:pt>
                <c:pt idx="298">
                  <c:v>41691</c:v>
                </c:pt>
                <c:pt idx="299">
                  <c:v>41694</c:v>
                </c:pt>
                <c:pt idx="300">
                  <c:v>41695</c:v>
                </c:pt>
                <c:pt idx="301">
                  <c:v>41696</c:v>
                </c:pt>
                <c:pt idx="302">
                  <c:v>41697</c:v>
                </c:pt>
                <c:pt idx="303">
                  <c:v>41698</c:v>
                </c:pt>
                <c:pt idx="304">
                  <c:v>41701</c:v>
                </c:pt>
                <c:pt idx="305">
                  <c:v>41702</c:v>
                </c:pt>
                <c:pt idx="306">
                  <c:v>41703</c:v>
                </c:pt>
                <c:pt idx="307">
                  <c:v>41704</c:v>
                </c:pt>
                <c:pt idx="308">
                  <c:v>41705</c:v>
                </c:pt>
                <c:pt idx="309">
                  <c:v>41708</c:v>
                </c:pt>
                <c:pt idx="310">
                  <c:v>41709</c:v>
                </c:pt>
                <c:pt idx="311">
                  <c:v>41710</c:v>
                </c:pt>
                <c:pt idx="312">
                  <c:v>41711</c:v>
                </c:pt>
                <c:pt idx="313">
                  <c:v>41712</c:v>
                </c:pt>
                <c:pt idx="314">
                  <c:v>41715</c:v>
                </c:pt>
                <c:pt idx="315">
                  <c:v>41716</c:v>
                </c:pt>
                <c:pt idx="316">
                  <c:v>41717</c:v>
                </c:pt>
                <c:pt idx="317">
                  <c:v>41718</c:v>
                </c:pt>
                <c:pt idx="318">
                  <c:v>41719</c:v>
                </c:pt>
                <c:pt idx="319">
                  <c:v>41722</c:v>
                </c:pt>
                <c:pt idx="320">
                  <c:v>41723</c:v>
                </c:pt>
                <c:pt idx="321">
                  <c:v>41724</c:v>
                </c:pt>
                <c:pt idx="322">
                  <c:v>41725</c:v>
                </c:pt>
                <c:pt idx="323">
                  <c:v>41726</c:v>
                </c:pt>
                <c:pt idx="324">
                  <c:v>41729</c:v>
                </c:pt>
                <c:pt idx="325">
                  <c:v>41730</c:v>
                </c:pt>
                <c:pt idx="326">
                  <c:v>41731</c:v>
                </c:pt>
                <c:pt idx="327">
                  <c:v>41732</c:v>
                </c:pt>
                <c:pt idx="328">
                  <c:v>41733</c:v>
                </c:pt>
                <c:pt idx="329">
                  <c:v>41736</c:v>
                </c:pt>
                <c:pt idx="330">
                  <c:v>41737</c:v>
                </c:pt>
                <c:pt idx="331">
                  <c:v>41738</c:v>
                </c:pt>
                <c:pt idx="332">
                  <c:v>41739</c:v>
                </c:pt>
                <c:pt idx="333">
                  <c:v>41740</c:v>
                </c:pt>
                <c:pt idx="334">
                  <c:v>41743</c:v>
                </c:pt>
                <c:pt idx="335">
                  <c:v>41744</c:v>
                </c:pt>
                <c:pt idx="336">
                  <c:v>41745</c:v>
                </c:pt>
                <c:pt idx="337">
                  <c:v>41746</c:v>
                </c:pt>
                <c:pt idx="338">
                  <c:v>41747</c:v>
                </c:pt>
                <c:pt idx="339">
                  <c:v>41750</c:v>
                </c:pt>
                <c:pt idx="340">
                  <c:v>41751</c:v>
                </c:pt>
                <c:pt idx="341">
                  <c:v>41752</c:v>
                </c:pt>
                <c:pt idx="342">
                  <c:v>41753</c:v>
                </c:pt>
                <c:pt idx="343">
                  <c:v>41754</c:v>
                </c:pt>
                <c:pt idx="344">
                  <c:v>41757</c:v>
                </c:pt>
                <c:pt idx="345">
                  <c:v>41758</c:v>
                </c:pt>
                <c:pt idx="346">
                  <c:v>41759</c:v>
                </c:pt>
                <c:pt idx="347">
                  <c:v>41760</c:v>
                </c:pt>
                <c:pt idx="348">
                  <c:v>41761</c:v>
                </c:pt>
                <c:pt idx="349">
                  <c:v>41764</c:v>
                </c:pt>
                <c:pt idx="350">
                  <c:v>41765</c:v>
                </c:pt>
                <c:pt idx="351">
                  <c:v>41766</c:v>
                </c:pt>
                <c:pt idx="352">
                  <c:v>41767</c:v>
                </c:pt>
                <c:pt idx="353">
                  <c:v>41768</c:v>
                </c:pt>
                <c:pt idx="354">
                  <c:v>41771</c:v>
                </c:pt>
                <c:pt idx="355">
                  <c:v>41772</c:v>
                </c:pt>
                <c:pt idx="356">
                  <c:v>41773</c:v>
                </c:pt>
                <c:pt idx="357">
                  <c:v>41774</c:v>
                </c:pt>
                <c:pt idx="358">
                  <c:v>41775</c:v>
                </c:pt>
                <c:pt idx="359">
                  <c:v>41778</c:v>
                </c:pt>
                <c:pt idx="360">
                  <c:v>41779</c:v>
                </c:pt>
                <c:pt idx="361">
                  <c:v>41780</c:v>
                </c:pt>
                <c:pt idx="362">
                  <c:v>41781</c:v>
                </c:pt>
                <c:pt idx="363">
                  <c:v>41782</c:v>
                </c:pt>
                <c:pt idx="364">
                  <c:v>41785</c:v>
                </c:pt>
                <c:pt idx="365">
                  <c:v>41786</c:v>
                </c:pt>
                <c:pt idx="366">
                  <c:v>41787</c:v>
                </c:pt>
                <c:pt idx="367">
                  <c:v>41788</c:v>
                </c:pt>
                <c:pt idx="368">
                  <c:v>41789</c:v>
                </c:pt>
                <c:pt idx="369">
                  <c:v>41792</c:v>
                </c:pt>
                <c:pt idx="370">
                  <c:v>41793</c:v>
                </c:pt>
                <c:pt idx="371">
                  <c:v>41794</c:v>
                </c:pt>
                <c:pt idx="372">
                  <c:v>41795</c:v>
                </c:pt>
                <c:pt idx="373">
                  <c:v>41796</c:v>
                </c:pt>
                <c:pt idx="374">
                  <c:v>41799</c:v>
                </c:pt>
                <c:pt idx="375">
                  <c:v>41800</c:v>
                </c:pt>
                <c:pt idx="376">
                  <c:v>41801</c:v>
                </c:pt>
                <c:pt idx="377">
                  <c:v>41802</c:v>
                </c:pt>
                <c:pt idx="378">
                  <c:v>41803</c:v>
                </c:pt>
                <c:pt idx="379">
                  <c:v>41806</c:v>
                </c:pt>
                <c:pt idx="380">
                  <c:v>41807</c:v>
                </c:pt>
                <c:pt idx="381">
                  <c:v>41808</c:v>
                </c:pt>
                <c:pt idx="382">
                  <c:v>41809</c:v>
                </c:pt>
                <c:pt idx="383">
                  <c:v>41810</c:v>
                </c:pt>
                <c:pt idx="384">
                  <c:v>41813</c:v>
                </c:pt>
                <c:pt idx="385">
                  <c:v>41814</c:v>
                </c:pt>
                <c:pt idx="386">
                  <c:v>41815</c:v>
                </c:pt>
                <c:pt idx="387">
                  <c:v>41816</c:v>
                </c:pt>
                <c:pt idx="388">
                  <c:v>41817</c:v>
                </c:pt>
                <c:pt idx="389">
                  <c:v>41820</c:v>
                </c:pt>
                <c:pt idx="390">
                  <c:v>41821</c:v>
                </c:pt>
                <c:pt idx="391">
                  <c:v>41822</c:v>
                </c:pt>
                <c:pt idx="392">
                  <c:v>41823</c:v>
                </c:pt>
                <c:pt idx="393">
                  <c:v>41824</c:v>
                </c:pt>
                <c:pt idx="394">
                  <c:v>41827</c:v>
                </c:pt>
                <c:pt idx="395">
                  <c:v>41828</c:v>
                </c:pt>
                <c:pt idx="396">
                  <c:v>41829</c:v>
                </c:pt>
                <c:pt idx="397">
                  <c:v>41830</c:v>
                </c:pt>
                <c:pt idx="398">
                  <c:v>41831</c:v>
                </c:pt>
                <c:pt idx="399">
                  <c:v>41834</c:v>
                </c:pt>
                <c:pt idx="400">
                  <c:v>41835</c:v>
                </c:pt>
                <c:pt idx="401">
                  <c:v>41836</c:v>
                </c:pt>
                <c:pt idx="402">
                  <c:v>41837</c:v>
                </c:pt>
                <c:pt idx="403">
                  <c:v>41838</c:v>
                </c:pt>
                <c:pt idx="404">
                  <c:v>41841</c:v>
                </c:pt>
                <c:pt idx="405">
                  <c:v>41842</c:v>
                </c:pt>
                <c:pt idx="406">
                  <c:v>41843</c:v>
                </c:pt>
                <c:pt idx="407">
                  <c:v>41844</c:v>
                </c:pt>
                <c:pt idx="408">
                  <c:v>41845</c:v>
                </c:pt>
                <c:pt idx="409">
                  <c:v>41848</c:v>
                </c:pt>
                <c:pt idx="410">
                  <c:v>41849</c:v>
                </c:pt>
                <c:pt idx="411">
                  <c:v>41850</c:v>
                </c:pt>
                <c:pt idx="412">
                  <c:v>41851</c:v>
                </c:pt>
                <c:pt idx="413">
                  <c:v>41852</c:v>
                </c:pt>
                <c:pt idx="414">
                  <c:v>41855</c:v>
                </c:pt>
                <c:pt idx="415">
                  <c:v>41856</c:v>
                </c:pt>
                <c:pt idx="416">
                  <c:v>41857</c:v>
                </c:pt>
                <c:pt idx="417">
                  <c:v>41858</c:v>
                </c:pt>
                <c:pt idx="418">
                  <c:v>41859</c:v>
                </c:pt>
                <c:pt idx="419">
                  <c:v>41862</c:v>
                </c:pt>
                <c:pt idx="420">
                  <c:v>41863</c:v>
                </c:pt>
                <c:pt idx="421">
                  <c:v>41864</c:v>
                </c:pt>
                <c:pt idx="422">
                  <c:v>41865</c:v>
                </c:pt>
                <c:pt idx="423">
                  <c:v>41866</c:v>
                </c:pt>
                <c:pt idx="424">
                  <c:v>41869</c:v>
                </c:pt>
                <c:pt idx="425">
                  <c:v>41870</c:v>
                </c:pt>
                <c:pt idx="426">
                  <c:v>41871</c:v>
                </c:pt>
                <c:pt idx="427">
                  <c:v>41872</c:v>
                </c:pt>
                <c:pt idx="428">
                  <c:v>41873</c:v>
                </c:pt>
                <c:pt idx="429">
                  <c:v>41876</c:v>
                </c:pt>
                <c:pt idx="430">
                  <c:v>41877</c:v>
                </c:pt>
                <c:pt idx="431">
                  <c:v>41878</c:v>
                </c:pt>
                <c:pt idx="432">
                  <c:v>41879</c:v>
                </c:pt>
                <c:pt idx="433">
                  <c:v>41880</c:v>
                </c:pt>
                <c:pt idx="434">
                  <c:v>41883</c:v>
                </c:pt>
                <c:pt idx="435">
                  <c:v>41884</c:v>
                </c:pt>
                <c:pt idx="436">
                  <c:v>41885</c:v>
                </c:pt>
                <c:pt idx="437">
                  <c:v>41886</c:v>
                </c:pt>
                <c:pt idx="438">
                  <c:v>41887</c:v>
                </c:pt>
                <c:pt idx="439">
                  <c:v>41890</c:v>
                </c:pt>
                <c:pt idx="440">
                  <c:v>41891</c:v>
                </c:pt>
                <c:pt idx="441">
                  <c:v>41892</c:v>
                </c:pt>
                <c:pt idx="442">
                  <c:v>41893</c:v>
                </c:pt>
                <c:pt idx="443">
                  <c:v>41894</c:v>
                </c:pt>
                <c:pt idx="444">
                  <c:v>41897</c:v>
                </c:pt>
                <c:pt idx="445">
                  <c:v>41898</c:v>
                </c:pt>
                <c:pt idx="446">
                  <c:v>41899</c:v>
                </c:pt>
                <c:pt idx="447">
                  <c:v>41900</c:v>
                </c:pt>
                <c:pt idx="448">
                  <c:v>41901</c:v>
                </c:pt>
                <c:pt idx="449">
                  <c:v>41904</c:v>
                </c:pt>
                <c:pt idx="450">
                  <c:v>41905</c:v>
                </c:pt>
                <c:pt idx="451">
                  <c:v>41906</c:v>
                </c:pt>
                <c:pt idx="452">
                  <c:v>41907</c:v>
                </c:pt>
                <c:pt idx="453">
                  <c:v>41908</c:v>
                </c:pt>
                <c:pt idx="454">
                  <c:v>41911</c:v>
                </c:pt>
                <c:pt idx="455">
                  <c:v>41912</c:v>
                </c:pt>
                <c:pt idx="456">
                  <c:v>41913</c:v>
                </c:pt>
                <c:pt idx="457">
                  <c:v>41914</c:v>
                </c:pt>
                <c:pt idx="458">
                  <c:v>41915</c:v>
                </c:pt>
                <c:pt idx="459">
                  <c:v>41918</c:v>
                </c:pt>
                <c:pt idx="460">
                  <c:v>41919</c:v>
                </c:pt>
                <c:pt idx="461">
                  <c:v>41920</c:v>
                </c:pt>
                <c:pt idx="462">
                  <c:v>41921</c:v>
                </c:pt>
                <c:pt idx="463">
                  <c:v>41922</c:v>
                </c:pt>
                <c:pt idx="464">
                  <c:v>41925</c:v>
                </c:pt>
                <c:pt idx="465">
                  <c:v>41926</c:v>
                </c:pt>
                <c:pt idx="466">
                  <c:v>41927</c:v>
                </c:pt>
                <c:pt idx="467">
                  <c:v>41928</c:v>
                </c:pt>
                <c:pt idx="468">
                  <c:v>41929</c:v>
                </c:pt>
                <c:pt idx="469">
                  <c:v>41932</c:v>
                </c:pt>
                <c:pt idx="470">
                  <c:v>41933</c:v>
                </c:pt>
                <c:pt idx="471">
                  <c:v>41934</c:v>
                </c:pt>
                <c:pt idx="472">
                  <c:v>41935</c:v>
                </c:pt>
                <c:pt idx="473">
                  <c:v>41936</c:v>
                </c:pt>
                <c:pt idx="474">
                  <c:v>41939</c:v>
                </c:pt>
                <c:pt idx="475">
                  <c:v>41940</c:v>
                </c:pt>
                <c:pt idx="476">
                  <c:v>41941</c:v>
                </c:pt>
                <c:pt idx="477">
                  <c:v>41942</c:v>
                </c:pt>
                <c:pt idx="478">
                  <c:v>41943</c:v>
                </c:pt>
                <c:pt idx="479">
                  <c:v>41946</c:v>
                </c:pt>
                <c:pt idx="480">
                  <c:v>41947</c:v>
                </c:pt>
                <c:pt idx="481">
                  <c:v>41948</c:v>
                </c:pt>
                <c:pt idx="482">
                  <c:v>41949</c:v>
                </c:pt>
                <c:pt idx="483">
                  <c:v>41950</c:v>
                </c:pt>
                <c:pt idx="484">
                  <c:v>41953</c:v>
                </c:pt>
                <c:pt idx="485">
                  <c:v>41954</c:v>
                </c:pt>
                <c:pt idx="486">
                  <c:v>41955</c:v>
                </c:pt>
                <c:pt idx="487">
                  <c:v>41956</c:v>
                </c:pt>
                <c:pt idx="488">
                  <c:v>41957</c:v>
                </c:pt>
                <c:pt idx="489">
                  <c:v>41960</c:v>
                </c:pt>
                <c:pt idx="490">
                  <c:v>41961</c:v>
                </c:pt>
                <c:pt idx="491">
                  <c:v>41962</c:v>
                </c:pt>
                <c:pt idx="492">
                  <c:v>41963</c:v>
                </c:pt>
                <c:pt idx="493">
                  <c:v>41964</c:v>
                </c:pt>
                <c:pt idx="494">
                  <c:v>41967</c:v>
                </c:pt>
                <c:pt idx="495">
                  <c:v>41968</c:v>
                </c:pt>
                <c:pt idx="496">
                  <c:v>41969</c:v>
                </c:pt>
                <c:pt idx="497">
                  <c:v>41970</c:v>
                </c:pt>
                <c:pt idx="498">
                  <c:v>41971</c:v>
                </c:pt>
                <c:pt idx="499">
                  <c:v>41974</c:v>
                </c:pt>
                <c:pt idx="500">
                  <c:v>41975</c:v>
                </c:pt>
                <c:pt idx="501">
                  <c:v>41976</c:v>
                </c:pt>
                <c:pt idx="502">
                  <c:v>41977</c:v>
                </c:pt>
                <c:pt idx="503">
                  <c:v>41978</c:v>
                </c:pt>
                <c:pt idx="504">
                  <c:v>41981</c:v>
                </c:pt>
                <c:pt idx="505">
                  <c:v>41982</c:v>
                </c:pt>
                <c:pt idx="506">
                  <c:v>41983</c:v>
                </c:pt>
                <c:pt idx="507">
                  <c:v>41984</c:v>
                </c:pt>
                <c:pt idx="508">
                  <c:v>41985</c:v>
                </c:pt>
                <c:pt idx="509">
                  <c:v>41988</c:v>
                </c:pt>
                <c:pt idx="510">
                  <c:v>41989</c:v>
                </c:pt>
                <c:pt idx="511">
                  <c:v>41990</c:v>
                </c:pt>
                <c:pt idx="512">
                  <c:v>41991</c:v>
                </c:pt>
                <c:pt idx="513">
                  <c:v>41992</c:v>
                </c:pt>
                <c:pt idx="514">
                  <c:v>41995</c:v>
                </c:pt>
                <c:pt idx="515">
                  <c:v>41996</c:v>
                </c:pt>
                <c:pt idx="516">
                  <c:v>41997</c:v>
                </c:pt>
                <c:pt idx="517">
                  <c:v>41998</c:v>
                </c:pt>
                <c:pt idx="518">
                  <c:v>41999</c:v>
                </c:pt>
                <c:pt idx="519">
                  <c:v>42002</c:v>
                </c:pt>
                <c:pt idx="520">
                  <c:v>42003</c:v>
                </c:pt>
                <c:pt idx="521">
                  <c:v>42004</c:v>
                </c:pt>
                <c:pt idx="522">
                  <c:v>42005</c:v>
                </c:pt>
                <c:pt idx="523">
                  <c:v>42006</c:v>
                </c:pt>
                <c:pt idx="524">
                  <c:v>42009</c:v>
                </c:pt>
                <c:pt idx="525">
                  <c:v>42010</c:v>
                </c:pt>
                <c:pt idx="526">
                  <c:v>42011</c:v>
                </c:pt>
                <c:pt idx="527">
                  <c:v>42012</c:v>
                </c:pt>
                <c:pt idx="528">
                  <c:v>42013</c:v>
                </c:pt>
                <c:pt idx="529">
                  <c:v>42016</c:v>
                </c:pt>
                <c:pt idx="530">
                  <c:v>42017</c:v>
                </c:pt>
                <c:pt idx="531">
                  <c:v>42018</c:v>
                </c:pt>
                <c:pt idx="532">
                  <c:v>42019</c:v>
                </c:pt>
                <c:pt idx="533">
                  <c:v>42020</c:v>
                </c:pt>
                <c:pt idx="534">
                  <c:v>42023</c:v>
                </c:pt>
                <c:pt idx="535">
                  <c:v>42024</c:v>
                </c:pt>
                <c:pt idx="536">
                  <c:v>42025</c:v>
                </c:pt>
                <c:pt idx="537">
                  <c:v>42026</c:v>
                </c:pt>
                <c:pt idx="538">
                  <c:v>42027</c:v>
                </c:pt>
                <c:pt idx="539">
                  <c:v>42030</c:v>
                </c:pt>
                <c:pt idx="540">
                  <c:v>42031</c:v>
                </c:pt>
                <c:pt idx="541">
                  <c:v>42032</c:v>
                </c:pt>
                <c:pt idx="542">
                  <c:v>42033</c:v>
                </c:pt>
                <c:pt idx="543">
                  <c:v>42034</c:v>
                </c:pt>
                <c:pt idx="544">
                  <c:v>42037</c:v>
                </c:pt>
                <c:pt idx="545">
                  <c:v>42038</c:v>
                </c:pt>
                <c:pt idx="546">
                  <c:v>42039</c:v>
                </c:pt>
                <c:pt idx="547">
                  <c:v>42040</c:v>
                </c:pt>
                <c:pt idx="548">
                  <c:v>42041</c:v>
                </c:pt>
                <c:pt idx="549">
                  <c:v>42044</c:v>
                </c:pt>
                <c:pt idx="550">
                  <c:v>42045</c:v>
                </c:pt>
                <c:pt idx="551">
                  <c:v>42046</c:v>
                </c:pt>
                <c:pt idx="552">
                  <c:v>42047</c:v>
                </c:pt>
                <c:pt idx="553">
                  <c:v>42048</c:v>
                </c:pt>
                <c:pt idx="554">
                  <c:v>42051</c:v>
                </c:pt>
                <c:pt idx="555">
                  <c:v>42052</c:v>
                </c:pt>
                <c:pt idx="556">
                  <c:v>42053</c:v>
                </c:pt>
                <c:pt idx="557">
                  <c:v>42054</c:v>
                </c:pt>
                <c:pt idx="558">
                  <c:v>42055</c:v>
                </c:pt>
                <c:pt idx="559">
                  <c:v>42058</c:v>
                </c:pt>
                <c:pt idx="560">
                  <c:v>42059</c:v>
                </c:pt>
                <c:pt idx="561">
                  <c:v>42060</c:v>
                </c:pt>
                <c:pt idx="562">
                  <c:v>42061</c:v>
                </c:pt>
                <c:pt idx="563">
                  <c:v>42062</c:v>
                </c:pt>
                <c:pt idx="564">
                  <c:v>42065</c:v>
                </c:pt>
                <c:pt idx="565">
                  <c:v>42066</c:v>
                </c:pt>
                <c:pt idx="566">
                  <c:v>42067</c:v>
                </c:pt>
                <c:pt idx="567">
                  <c:v>42068</c:v>
                </c:pt>
                <c:pt idx="568">
                  <c:v>42069</c:v>
                </c:pt>
                <c:pt idx="569">
                  <c:v>42072</c:v>
                </c:pt>
                <c:pt idx="570">
                  <c:v>42073</c:v>
                </c:pt>
                <c:pt idx="571">
                  <c:v>42074</c:v>
                </c:pt>
                <c:pt idx="572">
                  <c:v>42075</c:v>
                </c:pt>
                <c:pt idx="573">
                  <c:v>42076</c:v>
                </c:pt>
                <c:pt idx="574">
                  <c:v>42079</c:v>
                </c:pt>
                <c:pt idx="575">
                  <c:v>42080</c:v>
                </c:pt>
                <c:pt idx="576">
                  <c:v>42081</c:v>
                </c:pt>
                <c:pt idx="577">
                  <c:v>42082</c:v>
                </c:pt>
                <c:pt idx="578">
                  <c:v>42083</c:v>
                </c:pt>
                <c:pt idx="579">
                  <c:v>42086</c:v>
                </c:pt>
                <c:pt idx="580">
                  <c:v>42087</c:v>
                </c:pt>
                <c:pt idx="581">
                  <c:v>42088</c:v>
                </c:pt>
                <c:pt idx="582">
                  <c:v>42089</c:v>
                </c:pt>
                <c:pt idx="583">
                  <c:v>42090</c:v>
                </c:pt>
                <c:pt idx="584">
                  <c:v>42093</c:v>
                </c:pt>
                <c:pt idx="585">
                  <c:v>42094</c:v>
                </c:pt>
                <c:pt idx="586">
                  <c:v>42095</c:v>
                </c:pt>
                <c:pt idx="587">
                  <c:v>42096</c:v>
                </c:pt>
                <c:pt idx="588">
                  <c:v>42097</c:v>
                </c:pt>
                <c:pt idx="589">
                  <c:v>42100</c:v>
                </c:pt>
                <c:pt idx="590">
                  <c:v>42101</c:v>
                </c:pt>
                <c:pt idx="591">
                  <c:v>42102</c:v>
                </c:pt>
                <c:pt idx="592">
                  <c:v>42103</c:v>
                </c:pt>
                <c:pt idx="593">
                  <c:v>42104</c:v>
                </c:pt>
                <c:pt idx="594">
                  <c:v>42107</c:v>
                </c:pt>
                <c:pt idx="595">
                  <c:v>42108</c:v>
                </c:pt>
                <c:pt idx="596">
                  <c:v>42109</c:v>
                </c:pt>
                <c:pt idx="597">
                  <c:v>42110</c:v>
                </c:pt>
                <c:pt idx="598">
                  <c:v>42111</c:v>
                </c:pt>
                <c:pt idx="599">
                  <c:v>42114</c:v>
                </c:pt>
                <c:pt idx="600">
                  <c:v>42115</c:v>
                </c:pt>
                <c:pt idx="601">
                  <c:v>42116</c:v>
                </c:pt>
                <c:pt idx="602">
                  <c:v>42117</c:v>
                </c:pt>
                <c:pt idx="603">
                  <c:v>42118</c:v>
                </c:pt>
                <c:pt idx="604">
                  <c:v>42121</c:v>
                </c:pt>
                <c:pt idx="605">
                  <c:v>42122</c:v>
                </c:pt>
                <c:pt idx="606">
                  <c:v>42123</c:v>
                </c:pt>
                <c:pt idx="607">
                  <c:v>42124</c:v>
                </c:pt>
                <c:pt idx="608">
                  <c:v>42125</c:v>
                </c:pt>
                <c:pt idx="609">
                  <c:v>42128</c:v>
                </c:pt>
                <c:pt idx="610">
                  <c:v>42129</c:v>
                </c:pt>
                <c:pt idx="611">
                  <c:v>42130</c:v>
                </c:pt>
                <c:pt idx="612">
                  <c:v>42131</c:v>
                </c:pt>
                <c:pt idx="613">
                  <c:v>42132</c:v>
                </c:pt>
                <c:pt idx="614">
                  <c:v>42135</c:v>
                </c:pt>
                <c:pt idx="615">
                  <c:v>42136</c:v>
                </c:pt>
                <c:pt idx="616">
                  <c:v>42137</c:v>
                </c:pt>
                <c:pt idx="617">
                  <c:v>42138</c:v>
                </c:pt>
                <c:pt idx="618">
                  <c:v>42139</c:v>
                </c:pt>
                <c:pt idx="619">
                  <c:v>42142</c:v>
                </c:pt>
                <c:pt idx="620">
                  <c:v>42143</c:v>
                </c:pt>
                <c:pt idx="621">
                  <c:v>42144</c:v>
                </c:pt>
                <c:pt idx="622">
                  <c:v>42145</c:v>
                </c:pt>
                <c:pt idx="623">
                  <c:v>42146</c:v>
                </c:pt>
                <c:pt idx="624">
                  <c:v>42149</c:v>
                </c:pt>
                <c:pt idx="625">
                  <c:v>42150</c:v>
                </c:pt>
                <c:pt idx="626">
                  <c:v>42151</c:v>
                </c:pt>
                <c:pt idx="627">
                  <c:v>42152</c:v>
                </c:pt>
                <c:pt idx="628">
                  <c:v>42153</c:v>
                </c:pt>
                <c:pt idx="629">
                  <c:v>42156</c:v>
                </c:pt>
                <c:pt idx="630">
                  <c:v>42157</c:v>
                </c:pt>
                <c:pt idx="631">
                  <c:v>42158</c:v>
                </c:pt>
                <c:pt idx="632">
                  <c:v>42159</c:v>
                </c:pt>
                <c:pt idx="633">
                  <c:v>42160</c:v>
                </c:pt>
                <c:pt idx="634">
                  <c:v>42163</c:v>
                </c:pt>
                <c:pt idx="635">
                  <c:v>42164</c:v>
                </c:pt>
                <c:pt idx="636">
                  <c:v>42165</c:v>
                </c:pt>
                <c:pt idx="637">
                  <c:v>42166</c:v>
                </c:pt>
                <c:pt idx="638">
                  <c:v>42167</c:v>
                </c:pt>
                <c:pt idx="639">
                  <c:v>42170</c:v>
                </c:pt>
                <c:pt idx="640">
                  <c:v>42171</c:v>
                </c:pt>
                <c:pt idx="641">
                  <c:v>42172</c:v>
                </c:pt>
                <c:pt idx="642">
                  <c:v>42173</c:v>
                </c:pt>
                <c:pt idx="643">
                  <c:v>42174</c:v>
                </c:pt>
                <c:pt idx="644">
                  <c:v>42177</c:v>
                </c:pt>
                <c:pt idx="645">
                  <c:v>42178</c:v>
                </c:pt>
                <c:pt idx="646">
                  <c:v>42179</c:v>
                </c:pt>
                <c:pt idx="647">
                  <c:v>42180</c:v>
                </c:pt>
                <c:pt idx="648">
                  <c:v>42181</c:v>
                </c:pt>
                <c:pt idx="649">
                  <c:v>42184</c:v>
                </c:pt>
                <c:pt idx="650">
                  <c:v>42185</c:v>
                </c:pt>
                <c:pt idx="651">
                  <c:v>42186</c:v>
                </c:pt>
                <c:pt idx="652">
                  <c:v>42187</c:v>
                </c:pt>
                <c:pt idx="653">
                  <c:v>42188</c:v>
                </c:pt>
                <c:pt idx="654">
                  <c:v>42191</c:v>
                </c:pt>
                <c:pt idx="655">
                  <c:v>42192</c:v>
                </c:pt>
                <c:pt idx="656">
                  <c:v>42193</c:v>
                </c:pt>
                <c:pt idx="657">
                  <c:v>42194</c:v>
                </c:pt>
                <c:pt idx="658">
                  <c:v>42195</c:v>
                </c:pt>
                <c:pt idx="659">
                  <c:v>42198</c:v>
                </c:pt>
                <c:pt idx="660">
                  <c:v>42199</c:v>
                </c:pt>
                <c:pt idx="661">
                  <c:v>42200</c:v>
                </c:pt>
                <c:pt idx="662">
                  <c:v>42201</c:v>
                </c:pt>
                <c:pt idx="663">
                  <c:v>42202</c:v>
                </c:pt>
                <c:pt idx="664">
                  <c:v>42205</c:v>
                </c:pt>
                <c:pt idx="665">
                  <c:v>42206</c:v>
                </c:pt>
                <c:pt idx="666">
                  <c:v>42207</c:v>
                </c:pt>
                <c:pt idx="667">
                  <c:v>42208</c:v>
                </c:pt>
                <c:pt idx="668">
                  <c:v>42209</c:v>
                </c:pt>
                <c:pt idx="669">
                  <c:v>42212</c:v>
                </c:pt>
                <c:pt idx="670">
                  <c:v>42213</c:v>
                </c:pt>
                <c:pt idx="671">
                  <c:v>42214</c:v>
                </c:pt>
                <c:pt idx="672">
                  <c:v>42215</c:v>
                </c:pt>
                <c:pt idx="673">
                  <c:v>42216</c:v>
                </c:pt>
                <c:pt idx="674">
                  <c:v>42219</c:v>
                </c:pt>
                <c:pt idx="675">
                  <c:v>42220</c:v>
                </c:pt>
                <c:pt idx="676">
                  <c:v>42221</c:v>
                </c:pt>
                <c:pt idx="677">
                  <c:v>42222</c:v>
                </c:pt>
                <c:pt idx="678">
                  <c:v>42223</c:v>
                </c:pt>
                <c:pt idx="679">
                  <c:v>42226</c:v>
                </c:pt>
                <c:pt idx="680">
                  <c:v>42227</c:v>
                </c:pt>
                <c:pt idx="681">
                  <c:v>42228</c:v>
                </c:pt>
                <c:pt idx="682">
                  <c:v>42229</c:v>
                </c:pt>
                <c:pt idx="683">
                  <c:v>42230</c:v>
                </c:pt>
                <c:pt idx="684">
                  <c:v>42233</c:v>
                </c:pt>
                <c:pt idx="685">
                  <c:v>42234</c:v>
                </c:pt>
                <c:pt idx="686">
                  <c:v>42235</c:v>
                </c:pt>
                <c:pt idx="687">
                  <c:v>42236</c:v>
                </c:pt>
                <c:pt idx="688">
                  <c:v>42237</c:v>
                </c:pt>
                <c:pt idx="689">
                  <c:v>42240</c:v>
                </c:pt>
                <c:pt idx="690">
                  <c:v>42241</c:v>
                </c:pt>
                <c:pt idx="691">
                  <c:v>42242</c:v>
                </c:pt>
                <c:pt idx="692">
                  <c:v>42243</c:v>
                </c:pt>
                <c:pt idx="693">
                  <c:v>42244</c:v>
                </c:pt>
                <c:pt idx="694">
                  <c:v>42247</c:v>
                </c:pt>
                <c:pt idx="695">
                  <c:v>42248</c:v>
                </c:pt>
                <c:pt idx="696">
                  <c:v>42249</c:v>
                </c:pt>
                <c:pt idx="697">
                  <c:v>42250</c:v>
                </c:pt>
                <c:pt idx="698">
                  <c:v>42251</c:v>
                </c:pt>
                <c:pt idx="699">
                  <c:v>42254</c:v>
                </c:pt>
                <c:pt idx="700">
                  <c:v>42255</c:v>
                </c:pt>
                <c:pt idx="701">
                  <c:v>42256</c:v>
                </c:pt>
                <c:pt idx="702">
                  <c:v>42257</c:v>
                </c:pt>
                <c:pt idx="703">
                  <c:v>42258</c:v>
                </c:pt>
                <c:pt idx="704">
                  <c:v>42261</c:v>
                </c:pt>
                <c:pt idx="705">
                  <c:v>42262</c:v>
                </c:pt>
                <c:pt idx="706">
                  <c:v>42263</c:v>
                </c:pt>
                <c:pt idx="707">
                  <c:v>42264</c:v>
                </c:pt>
                <c:pt idx="708">
                  <c:v>42265</c:v>
                </c:pt>
                <c:pt idx="709">
                  <c:v>42268</c:v>
                </c:pt>
                <c:pt idx="710">
                  <c:v>42269</c:v>
                </c:pt>
                <c:pt idx="711">
                  <c:v>42270</c:v>
                </c:pt>
                <c:pt idx="712">
                  <c:v>42271</c:v>
                </c:pt>
                <c:pt idx="713">
                  <c:v>42272</c:v>
                </c:pt>
                <c:pt idx="714">
                  <c:v>42275</c:v>
                </c:pt>
                <c:pt idx="715">
                  <c:v>42276</c:v>
                </c:pt>
                <c:pt idx="716">
                  <c:v>42277</c:v>
                </c:pt>
                <c:pt idx="717">
                  <c:v>42278</c:v>
                </c:pt>
                <c:pt idx="718">
                  <c:v>42279</c:v>
                </c:pt>
                <c:pt idx="719">
                  <c:v>42282</c:v>
                </c:pt>
                <c:pt idx="720">
                  <c:v>42283</c:v>
                </c:pt>
                <c:pt idx="721">
                  <c:v>42284</c:v>
                </c:pt>
                <c:pt idx="722">
                  <c:v>42285</c:v>
                </c:pt>
                <c:pt idx="723">
                  <c:v>42286</c:v>
                </c:pt>
                <c:pt idx="724">
                  <c:v>42289</c:v>
                </c:pt>
                <c:pt idx="725">
                  <c:v>42290</c:v>
                </c:pt>
                <c:pt idx="726">
                  <c:v>42291</c:v>
                </c:pt>
                <c:pt idx="727">
                  <c:v>42292</c:v>
                </c:pt>
                <c:pt idx="728">
                  <c:v>42293</c:v>
                </c:pt>
                <c:pt idx="729">
                  <c:v>42296</c:v>
                </c:pt>
                <c:pt idx="730">
                  <c:v>42297</c:v>
                </c:pt>
                <c:pt idx="731">
                  <c:v>42298</c:v>
                </c:pt>
                <c:pt idx="732">
                  <c:v>42299</c:v>
                </c:pt>
                <c:pt idx="733">
                  <c:v>42300</c:v>
                </c:pt>
                <c:pt idx="734">
                  <c:v>42303</c:v>
                </c:pt>
                <c:pt idx="735">
                  <c:v>42304</c:v>
                </c:pt>
                <c:pt idx="736">
                  <c:v>42305</c:v>
                </c:pt>
                <c:pt idx="737">
                  <c:v>42306</c:v>
                </c:pt>
                <c:pt idx="738">
                  <c:v>42307</c:v>
                </c:pt>
                <c:pt idx="739">
                  <c:v>42310</c:v>
                </c:pt>
                <c:pt idx="740">
                  <c:v>42311</c:v>
                </c:pt>
                <c:pt idx="741">
                  <c:v>42312</c:v>
                </c:pt>
                <c:pt idx="742">
                  <c:v>42313</c:v>
                </c:pt>
                <c:pt idx="743">
                  <c:v>42314</c:v>
                </c:pt>
                <c:pt idx="744">
                  <c:v>42317</c:v>
                </c:pt>
                <c:pt idx="745">
                  <c:v>42318</c:v>
                </c:pt>
                <c:pt idx="746">
                  <c:v>42319</c:v>
                </c:pt>
                <c:pt idx="747">
                  <c:v>42320</c:v>
                </c:pt>
                <c:pt idx="748">
                  <c:v>42321</c:v>
                </c:pt>
                <c:pt idx="749">
                  <c:v>42324</c:v>
                </c:pt>
                <c:pt idx="750">
                  <c:v>42325</c:v>
                </c:pt>
                <c:pt idx="751">
                  <c:v>42326</c:v>
                </c:pt>
                <c:pt idx="752">
                  <c:v>42327</c:v>
                </c:pt>
                <c:pt idx="753">
                  <c:v>42328</c:v>
                </c:pt>
                <c:pt idx="754">
                  <c:v>42331</c:v>
                </c:pt>
                <c:pt idx="755">
                  <c:v>42332</c:v>
                </c:pt>
                <c:pt idx="756">
                  <c:v>42333</c:v>
                </c:pt>
                <c:pt idx="757">
                  <c:v>42334</c:v>
                </c:pt>
                <c:pt idx="758">
                  <c:v>42335</c:v>
                </c:pt>
                <c:pt idx="759">
                  <c:v>42338</c:v>
                </c:pt>
                <c:pt idx="760">
                  <c:v>42339</c:v>
                </c:pt>
                <c:pt idx="761">
                  <c:v>42340</c:v>
                </c:pt>
                <c:pt idx="762">
                  <c:v>42341</c:v>
                </c:pt>
                <c:pt idx="763">
                  <c:v>42342</c:v>
                </c:pt>
                <c:pt idx="764">
                  <c:v>42345</c:v>
                </c:pt>
                <c:pt idx="765">
                  <c:v>42346</c:v>
                </c:pt>
                <c:pt idx="766">
                  <c:v>42347</c:v>
                </c:pt>
                <c:pt idx="767">
                  <c:v>42348</c:v>
                </c:pt>
                <c:pt idx="768">
                  <c:v>42349</c:v>
                </c:pt>
                <c:pt idx="769">
                  <c:v>42352</c:v>
                </c:pt>
                <c:pt idx="770">
                  <c:v>42353</c:v>
                </c:pt>
                <c:pt idx="771">
                  <c:v>42354</c:v>
                </c:pt>
                <c:pt idx="772">
                  <c:v>42355</c:v>
                </c:pt>
                <c:pt idx="773">
                  <c:v>42356</c:v>
                </c:pt>
                <c:pt idx="774">
                  <c:v>42359</c:v>
                </c:pt>
                <c:pt idx="775">
                  <c:v>42360</c:v>
                </c:pt>
                <c:pt idx="776">
                  <c:v>42361</c:v>
                </c:pt>
                <c:pt idx="777">
                  <c:v>42362</c:v>
                </c:pt>
                <c:pt idx="778">
                  <c:v>42363</c:v>
                </c:pt>
                <c:pt idx="779">
                  <c:v>42366</c:v>
                </c:pt>
                <c:pt idx="780">
                  <c:v>42367</c:v>
                </c:pt>
                <c:pt idx="781">
                  <c:v>42368</c:v>
                </c:pt>
                <c:pt idx="782">
                  <c:v>42369</c:v>
                </c:pt>
                <c:pt idx="783">
                  <c:v>42370</c:v>
                </c:pt>
                <c:pt idx="784">
                  <c:v>42373</c:v>
                </c:pt>
                <c:pt idx="785">
                  <c:v>42374</c:v>
                </c:pt>
                <c:pt idx="786">
                  <c:v>42375</c:v>
                </c:pt>
                <c:pt idx="787">
                  <c:v>42376</c:v>
                </c:pt>
                <c:pt idx="788">
                  <c:v>42377</c:v>
                </c:pt>
                <c:pt idx="789">
                  <c:v>42380</c:v>
                </c:pt>
                <c:pt idx="790">
                  <c:v>42381</c:v>
                </c:pt>
                <c:pt idx="791">
                  <c:v>42382</c:v>
                </c:pt>
                <c:pt idx="792">
                  <c:v>42383</c:v>
                </c:pt>
                <c:pt idx="793">
                  <c:v>42384</c:v>
                </c:pt>
                <c:pt idx="794">
                  <c:v>42387</c:v>
                </c:pt>
                <c:pt idx="795">
                  <c:v>42388</c:v>
                </c:pt>
                <c:pt idx="796">
                  <c:v>42389</c:v>
                </c:pt>
                <c:pt idx="797">
                  <c:v>42390</c:v>
                </c:pt>
                <c:pt idx="798">
                  <c:v>42391</c:v>
                </c:pt>
                <c:pt idx="799">
                  <c:v>42394</c:v>
                </c:pt>
                <c:pt idx="800">
                  <c:v>42395</c:v>
                </c:pt>
                <c:pt idx="801">
                  <c:v>42396</c:v>
                </c:pt>
                <c:pt idx="802">
                  <c:v>42397</c:v>
                </c:pt>
                <c:pt idx="803">
                  <c:v>42398</c:v>
                </c:pt>
                <c:pt idx="804">
                  <c:v>42401</c:v>
                </c:pt>
                <c:pt idx="805">
                  <c:v>42402</c:v>
                </c:pt>
                <c:pt idx="806">
                  <c:v>42403</c:v>
                </c:pt>
                <c:pt idx="807">
                  <c:v>42404</c:v>
                </c:pt>
                <c:pt idx="808">
                  <c:v>42405</c:v>
                </c:pt>
                <c:pt idx="809">
                  <c:v>42408</c:v>
                </c:pt>
                <c:pt idx="810">
                  <c:v>42409</c:v>
                </c:pt>
                <c:pt idx="811">
                  <c:v>42410</c:v>
                </c:pt>
                <c:pt idx="812">
                  <c:v>42411</c:v>
                </c:pt>
                <c:pt idx="813">
                  <c:v>42412</c:v>
                </c:pt>
                <c:pt idx="814">
                  <c:v>42415</c:v>
                </c:pt>
                <c:pt idx="815">
                  <c:v>42416</c:v>
                </c:pt>
                <c:pt idx="816">
                  <c:v>42417</c:v>
                </c:pt>
                <c:pt idx="817">
                  <c:v>42418</c:v>
                </c:pt>
                <c:pt idx="818">
                  <c:v>42419</c:v>
                </c:pt>
                <c:pt idx="819">
                  <c:v>42422</c:v>
                </c:pt>
                <c:pt idx="820">
                  <c:v>42423</c:v>
                </c:pt>
                <c:pt idx="821">
                  <c:v>42424</c:v>
                </c:pt>
                <c:pt idx="822">
                  <c:v>42425</c:v>
                </c:pt>
                <c:pt idx="823">
                  <c:v>42426</c:v>
                </c:pt>
                <c:pt idx="824">
                  <c:v>42429</c:v>
                </c:pt>
                <c:pt idx="825">
                  <c:v>42430</c:v>
                </c:pt>
                <c:pt idx="826">
                  <c:v>42431</c:v>
                </c:pt>
                <c:pt idx="827">
                  <c:v>42432</c:v>
                </c:pt>
                <c:pt idx="828">
                  <c:v>42433</c:v>
                </c:pt>
                <c:pt idx="829">
                  <c:v>42436</c:v>
                </c:pt>
                <c:pt idx="830">
                  <c:v>42437</c:v>
                </c:pt>
                <c:pt idx="831">
                  <c:v>42438</c:v>
                </c:pt>
                <c:pt idx="832">
                  <c:v>42439</c:v>
                </c:pt>
                <c:pt idx="833">
                  <c:v>42440</c:v>
                </c:pt>
                <c:pt idx="834">
                  <c:v>42443</c:v>
                </c:pt>
                <c:pt idx="835">
                  <c:v>42444</c:v>
                </c:pt>
                <c:pt idx="836">
                  <c:v>42445</c:v>
                </c:pt>
                <c:pt idx="837">
                  <c:v>42446</c:v>
                </c:pt>
                <c:pt idx="838">
                  <c:v>42447</c:v>
                </c:pt>
                <c:pt idx="839">
                  <c:v>42450</c:v>
                </c:pt>
                <c:pt idx="840">
                  <c:v>42451</c:v>
                </c:pt>
                <c:pt idx="841">
                  <c:v>42452</c:v>
                </c:pt>
                <c:pt idx="842">
                  <c:v>42453</c:v>
                </c:pt>
                <c:pt idx="843">
                  <c:v>42454</c:v>
                </c:pt>
                <c:pt idx="844">
                  <c:v>42457</c:v>
                </c:pt>
                <c:pt idx="845">
                  <c:v>42458</c:v>
                </c:pt>
                <c:pt idx="846">
                  <c:v>42459</c:v>
                </c:pt>
                <c:pt idx="847">
                  <c:v>42460</c:v>
                </c:pt>
                <c:pt idx="848">
                  <c:v>42461</c:v>
                </c:pt>
                <c:pt idx="849">
                  <c:v>42464</c:v>
                </c:pt>
                <c:pt idx="850">
                  <c:v>42465</c:v>
                </c:pt>
                <c:pt idx="851">
                  <c:v>42466</c:v>
                </c:pt>
                <c:pt idx="852">
                  <c:v>42467</c:v>
                </c:pt>
                <c:pt idx="853">
                  <c:v>42468</c:v>
                </c:pt>
                <c:pt idx="854">
                  <c:v>42471</c:v>
                </c:pt>
                <c:pt idx="855">
                  <c:v>42472</c:v>
                </c:pt>
                <c:pt idx="856">
                  <c:v>42473</c:v>
                </c:pt>
                <c:pt idx="857">
                  <c:v>42474</c:v>
                </c:pt>
                <c:pt idx="858">
                  <c:v>42475</c:v>
                </c:pt>
                <c:pt idx="859">
                  <c:v>42478</c:v>
                </c:pt>
                <c:pt idx="860">
                  <c:v>42479</c:v>
                </c:pt>
                <c:pt idx="861">
                  <c:v>42480</c:v>
                </c:pt>
                <c:pt idx="862">
                  <c:v>42481</c:v>
                </c:pt>
                <c:pt idx="863">
                  <c:v>42482</c:v>
                </c:pt>
                <c:pt idx="864">
                  <c:v>42485</c:v>
                </c:pt>
                <c:pt idx="865">
                  <c:v>42486</c:v>
                </c:pt>
                <c:pt idx="866">
                  <c:v>42487</c:v>
                </c:pt>
                <c:pt idx="867">
                  <c:v>42488</c:v>
                </c:pt>
                <c:pt idx="868">
                  <c:v>42489</c:v>
                </c:pt>
                <c:pt idx="869">
                  <c:v>42492</c:v>
                </c:pt>
                <c:pt idx="870">
                  <c:v>42493</c:v>
                </c:pt>
                <c:pt idx="871">
                  <c:v>42494</c:v>
                </c:pt>
                <c:pt idx="872">
                  <c:v>42495</c:v>
                </c:pt>
                <c:pt idx="873">
                  <c:v>42496</c:v>
                </c:pt>
                <c:pt idx="874">
                  <c:v>42499</c:v>
                </c:pt>
                <c:pt idx="875">
                  <c:v>42500</c:v>
                </c:pt>
                <c:pt idx="876">
                  <c:v>42501</c:v>
                </c:pt>
                <c:pt idx="877">
                  <c:v>42502</c:v>
                </c:pt>
                <c:pt idx="878">
                  <c:v>42503</c:v>
                </c:pt>
                <c:pt idx="879">
                  <c:v>42506</c:v>
                </c:pt>
                <c:pt idx="880">
                  <c:v>42507</c:v>
                </c:pt>
                <c:pt idx="881">
                  <c:v>42508</c:v>
                </c:pt>
                <c:pt idx="882">
                  <c:v>42509</c:v>
                </c:pt>
                <c:pt idx="883">
                  <c:v>42510</c:v>
                </c:pt>
                <c:pt idx="884">
                  <c:v>42513</c:v>
                </c:pt>
                <c:pt idx="885">
                  <c:v>42514</c:v>
                </c:pt>
                <c:pt idx="886">
                  <c:v>42515</c:v>
                </c:pt>
                <c:pt idx="887">
                  <c:v>42516</c:v>
                </c:pt>
                <c:pt idx="888">
                  <c:v>42517</c:v>
                </c:pt>
                <c:pt idx="889">
                  <c:v>42520</c:v>
                </c:pt>
                <c:pt idx="890">
                  <c:v>42521</c:v>
                </c:pt>
                <c:pt idx="891">
                  <c:v>42522</c:v>
                </c:pt>
                <c:pt idx="892">
                  <c:v>42523</c:v>
                </c:pt>
                <c:pt idx="893">
                  <c:v>42524</c:v>
                </c:pt>
                <c:pt idx="894">
                  <c:v>42527</c:v>
                </c:pt>
                <c:pt idx="895">
                  <c:v>42528</c:v>
                </c:pt>
                <c:pt idx="896">
                  <c:v>42529</c:v>
                </c:pt>
                <c:pt idx="897">
                  <c:v>42530</c:v>
                </c:pt>
                <c:pt idx="898">
                  <c:v>42531</c:v>
                </c:pt>
                <c:pt idx="899">
                  <c:v>42534</c:v>
                </c:pt>
                <c:pt idx="900">
                  <c:v>42535</c:v>
                </c:pt>
                <c:pt idx="901">
                  <c:v>42536</c:v>
                </c:pt>
                <c:pt idx="902">
                  <c:v>42537</c:v>
                </c:pt>
                <c:pt idx="903">
                  <c:v>42538</c:v>
                </c:pt>
                <c:pt idx="904">
                  <c:v>42541</c:v>
                </c:pt>
                <c:pt idx="905">
                  <c:v>42542</c:v>
                </c:pt>
                <c:pt idx="906">
                  <c:v>42543</c:v>
                </c:pt>
                <c:pt idx="907">
                  <c:v>42544</c:v>
                </c:pt>
                <c:pt idx="908">
                  <c:v>42545</c:v>
                </c:pt>
                <c:pt idx="909">
                  <c:v>42548</c:v>
                </c:pt>
                <c:pt idx="910">
                  <c:v>42549</c:v>
                </c:pt>
                <c:pt idx="911">
                  <c:v>42550</c:v>
                </c:pt>
                <c:pt idx="912">
                  <c:v>42551</c:v>
                </c:pt>
                <c:pt idx="913">
                  <c:v>42552</c:v>
                </c:pt>
                <c:pt idx="914">
                  <c:v>42555</c:v>
                </c:pt>
                <c:pt idx="915">
                  <c:v>42556</c:v>
                </c:pt>
                <c:pt idx="916">
                  <c:v>42557</c:v>
                </c:pt>
                <c:pt idx="917">
                  <c:v>42558</c:v>
                </c:pt>
                <c:pt idx="918">
                  <c:v>42559</c:v>
                </c:pt>
                <c:pt idx="919">
                  <c:v>42562</c:v>
                </c:pt>
                <c:pt idx="920">
                  <c:v>42563</c:v>
                </c:pt>
                <c:pt idx="921">
                  <c:v>42564</c:v>
                </c:pt>
                <c:pt idx="922">
                  <c:v>42565</c:v>
                </c:pt>
                <c:pt idx="923">
                  <c:v>42566</c:v>
                </c:pt>
                <c:pt idx="924">
                  <c:v>42569</c:v>
                </c:pt>
                <c:pt idx="925">
                  <c:v>42570</c:v>
                </c:pt>
                <c:pt idx="926">
                  <c:v>42571</c:v>
                </c:pt>
                <c:pt idx="927">
                  <c:v>42572</c:v>
                </c:pt>
                <c:pt idx="928">
                  <c:v>42573</c:v>
                </c:pt>
                <c:pt idx="929">
                  <c:v>42576</c:v>
                </c:pt>
                <c:pt idx="930">
                  <c:v>42577</c:v>
                </c:pt>
                <c:pt idx="931">
                  <c:v>42578</c:v>
                </c:pt>
                <c:pt idx="932">
                  <c:v>42579</c:v>
                </c:pt>
                <c:pt idx="933">
                  <c:v>42580</c:v>
                </c:pt>
                <c:pt idx="934">
                  <c:v>42583</c:v>
                </c:pt>
                <c:pt idx="935">
                  <c:v>42584</c:v>
                </c:pt>
                <c:pt idx="936">
                  <c:v>42585</c:v>
                </c:pt>
                <c:pt idx="937">
                  <c:v>42586</c:v>
                </c:pt>
                <c:pt idx="938">
                  <c:v>42587</c:v>
                </c:pt>
                <c:pt idx="939">
                  <c:v>42590</c:v>
                </c:pt>
                <c:pt idx="940">
                  <c:v>42591</c:v>
                </c:pt>
              </c:numCache>
            </c:numRef>
          </c:cat>
          <c:val>
            <c:numRef>
              <c:f>[0]!shortExoRange</c:f>
              <c:numCache>
                <c:formatCode>General</c:formatCode>
                <c:ptCount val="941"/>
                <c:pt idx="0">
                  <c:v>0</c:v>
                </c:pt>
                <c:pt idx="1">
                  <c:v>0</c:v>
                </c:pt>
                <c:pt idx="2">
                  <c:v>-4488.4999999999991</c:v>
                </c:pt>
                <c:pt idx="3">
                  <c:v>-7689.2000000000007</c:v>
                </c:pt>
                <c:pt idx="4">
                  <c:v>-10734.8</c:v>
                </c:pt>
                <c:pt idx="5">
                  <c:v>-14579.4</c:v>
                </c:pt>
                <c:pt idx="6">
                  <c:v>-19575.5</c:v>
                </c:pt>
                <c:pt idx="7">
                  <c:v>-20003.2</c:v>
                </c:pt>
                <c:pt idx="8">
                  <c:v>-21605.9</c:v>
                </c:pt>
                <c:pt idx="9">
                  <c:v>-22724.5</c:v>
                </c:pt>
                <c:pt idx="10">
                  <c:v>-24115.699999999997</c:v>
                </c:pt>
                <c:pt idx="11">
                  <c:v>-26677.199999999997</c:v>
                </c:pt>
                <c:pt idx="12">
                  <c:v>-26677.199999999997</c:v>
                </c:pt>
                <c:pt idx="13">
                  <c:v>-27212.999999999996</c:v>
                </c:pt>
                <c:pt idx="14">
                  <c:v>-27212.999999999996</c:v>
                </c:pt>
                <c:pt idx="15">
                  <c:v>-26799.399999999998</c:v>
                </c:pt>
                <c:pt idx="16">
                  <c:v>-28171.8</c:v>
                </c:pt>
                <c:pt idx="17">
                  <c:v>-18438.099999999999</c:v>
                </c:pt>
                <c:pt idx="18">
                  <c:v>-18574.400000000001</c:v>
                </c:pt>
                <c:pt idx="19">
                  <c:v>-20228.800000000003</c:v>
                </c:pt>
                <c:pt idx="20">
                  <c:v>-18381.700000000004</c:v>
                </c:pt>
                <c:pt idx="21">
                  <c:v>-29121.200000000004</c:v>
                </c:pt>
                <c:pt idx="22">
                  <c:v>-26606.700000000004</c:v>
                </c:pt>
                <c:pt idx="23">
                  <c:v>-42180</c:v>
                </c:pt>
                <c:pt idx="24">
                  <c:v>-39388.199999999997</c:v>
                </c:pt>
                <c:pt idx="25">
                  <c:v>-38330.699999999997</c:v>
                </c:pt>
                <c:pt idx="26">
                  <c:v>-38330.699999999997</c:v>
                </c:pt>
                <c:pt idx="27">
                  <c:v>-37390.699999999997</c:v>
                </c:pt>
                <c:pt idx="28">
                  <c:v>-36511.799999999996</c:v>
                </c:pt>
                <c:pt idx="29">
                  <c:v>-34866.799999999996</c:v>
                </c:pt>
                <c:pt idx="30">
                  <c:v>-31811.799999999996</c:v>
                </c:pt>
                <c:pt idx="31">
                  <c:v>-25466.799999999996</c:v>
                </c:pt>
                <c:pt idx="32">
                  <c:v>-18355.699999999997</c:v>
                </c:pt>
                <c:pt idx="33">
                  <c:v>-16593.199999999997</c:v>
                </c:pt>
                <c:pt idx="34">
                  <c:v>-16593.199999999997</c:v>
                </c:pt>
                <c:pt idx="35">
                  <c:v>-15653.199999999997</c:v>
                </c:pt>
                <c:pt idx="36">
                  <c:v>-15451.099999999997</c:v>
                </c:pt>
                <c:pt idx="37">
                  <c:v>-16508.599999999999</c:v>
                </c:pt>
                <c:pt idx="38">
                  <c:v>-18858.599999999999</c:v>
                </c:pt>
                <c:pt idx="39">
                  <c:v>-18858.599999999999</c:v>
                </c:pt>
                <c:pt idx="40">
                  <c:v>-19563.599999999999</c:v>
                </c:pt>
                <c:pt idx="41">
                  <c:v>-19563.599999999999</c:v>
                </c:pt>
                <c:pt idx="42">
                  <c:v>-19474.299999999996</c:v>
                </c:pt>
                <c:pt idx="43">
                  <c:v>-9747.4999999999964</c:v>
                </c:pt>
                <c:pt idx="44">
                  <c:v>-13662.599999999999</c:v>
                </c:pt>
                <c:pt idx="45">
                  <c:v>-9413.7999999999975</c:v>
                </c:pt>
                <c:pt idx="46">
                  <c:v>-4375.399999999996</c:v>
                </c:pt>
                <c:pt idx="47">
                  <c:v>381.00000000000728</c:v>
                </c:pt>
                <c:pt idx="48">
                  <c:v>1720.5000000000055</c:v>
                </c:pt>
                <c:pt idx="49">
                  <c:v>5081.0000000000073</c:v>
                </c:pt>
                <c:pt idx="50">
                  <c:v>8606.0000000000073</c:v>
                </c:pt>
                <c:pt idx="51">
                  <c:v>9696.4000000000069</c:v>
                </c:pt>
                <c:pt idx="52">
                  <c:v>7346.4000000000069</c:v>
                </c:pt>
                <c:pt idx="53">
                  <c:v>3962.4000000000015</c:v>
                </c:pt>
                <c:pt idx="54">
                  <c:v>3962.4000000000015</c:v>
                </c:pt>
                <c:pt idx="55">
                  <c:v>3962.4000000000015</c:v>
                </c:pt>
                <c:pt idx="56">
                  <c:v>7990.3000000000011</c:v>
                </c:pt>
                <c:pt idx="57">
                  <c:v>7595.5000000000055</c:v>
                </c:pt>
                <c:pt idx="58">
                  <c:v>9108.9000000000069</c:v>
                </c:pt>
                <c:pt idx="59">
                  <c:v>8690.6000000000076</c:v>
                </c:pt>
                <c:pt idx="60">
                  <c:v>8577.8000000000011</c:v>
                </c:pt>
                <c:pt idx="61">
                  <c:v>9499</c:v>
                </c:pt>
                <c:pt idx="62">
                  <c:v>9442.6000000000058</c:v>
                </c:pt>
                <c:pt idx="63">
                  <c:v>23740.000000000004</c:v>
                </c:pt>
                <c:pt idx="64">
                  <c:v>28560.000000000004</c:v>
                </c:pt>
                <c:pt idx="65">
                  <c:v>20922.500000000004</c:v>
                </c:pt>
                <c:pt idx="66">
                  <c:v>20922.500000000004</c:v>
                </c:pt>
                <c:pt idx="67">
                  <c:v>29735.000000000004</c:v>
                </c:pt>
                <c:pt idx="68">
                  <c:v>27920.800000000003</c:v>
                </c:pt>
                <c:pt idx="69">
                  <c:v>35638.199999999997</c:v>
                </c:pt>
                <c:pt idx="70">
                  <c:v>33072</c:v>
                </c:pt>
                <c:pt idx="71">
                  <c:v>37076.400000000009</c:v>
                </c:pt>
                <c:pt idx="72">
                  <c:v>35210.500000000007</c:v>
                </c:pt>
                <c:pt idx="73">
                  <c:v>35210.500000000007</c:v>
                </c:pt>
                <c:pt idx="74">
                  <c:v>35210.500000000007</c:v>
                </c:pt>
                <c:pt idx="75">
                  <c:v>41673</c:v>
                </c:pt>
                <c:pt idx="76">
                  <c:v>37663.900000000009</c:v>
                </c:pt>
                <c:pt idx="77">
                  <c:v>38627.4</c:v>
                </c:pt>
                <c:pt idx="78">
                  <c:v>38627.4</c:v>
                </c:pt>
                <c:pt idx="79">
                  <c:v>37692.100000000006</c:v>
                </c:pt>
                <c:pt idx="80">
                  <c:v>37052.900000000009</c:v>
                </c:pt>
                <c:pt idx="81">
                  <c:v>37052.900000000009</c:v>
                </c:pt>
                <c:pt idx="82">
                  <c:v>36517.100000000006</c:v>
                </c:pt>
                <c:pt idx="83">
                  <c:v>36197.500000000007</c:v>
                </c:pt>
                <c:pt idx="84">
                  <c:v>36197.500000000007</c:v>
                </c:pt>
                <c:pt idx="85">
                  <c:v>36225.700000000004</c:v>
                </c:pt>
                <c:pt idx="86">
                  <c:v>35142.500000000007</c:v>
                </c:pt>
                <c:pt idx="87">
                  <c:v>32331.9</c:v>
                </c:pt>
                <c:pt idx="88">
                  <c:v>32331.9</c:v>
                </c:pt>
                <c:pt idx="89">
                  <c:v>32331.9</c:v>
                </c:pt>
                <c:pt idx="90">
                  <c:v>31363.700000000004</c:v>
                </c:pt>
                <c:pt idx="91">
                  <c:v>29521.300000000007</c:v>
                </c:pt>
                <c:pt idx="92">
                  <c:v>29521.300000000007</c:v>
                </c:pt>
                <c:pt idx="93">
                  <c:v>29521.300000000007</c:v>
                </c:pt>
                <c:pt idx="94">
                  <c:v>29521.300000000007</c:v>
                </c:pt>
                <c:pt idx="95">
                  <c:v>26663.700000000004</c:v>
                </c:pt>
                <c:pt idx="96">
                  <c:v>26663.700000000004</c:v>
                </c:pt>
                <c:pt idx="97">
                  <c:v>30339.100000000006</c:v>
                </c:pt>
                <c:pt idx="98">
                  <c:v>30339.100000000006</c:v>
                </c:pt>
                <c:pt idx="99">
                  <c:v>30339.100000000006</c:v>
                </c:pt>
                <c:pt idx="100">
                  <c:v>30339.100000000006</c:v>
                </c:pt>
                <c:pt idx="101">
                  <c:v>29521.30000000001</c:v>
                </c:pt>
                <c:pt idx="102">
                  <c:v>29521.30000000001</c:v>
                </c:pt>
                <c:pt idx="103">
                  <c:v>30442.500000000007</c:v>
                </c:pt>
                <c:pt idx="104">
                  <c:v>30442.500000000007</c:v>
                </c:pt>
                <c:pt idx="105">
                  <c:v>30442.500000000007</c:v>
                </c:pt>
                <c:pt idx="106">
                  <c:v>29676.400000000009</c:v>
                </c:pt>
                <c:pt idx="107">
                  <c:v>29370.900000000009</c:v>
                </c:pt>
                <c:pt idx="108">
                  <c:v>29187.600000000009</c:v>
                </c:pt>
                <c:pt idx="109">
                  <c:v>21750.000000000007</c:v>
                </c:pt>
                <c:pt idx="110">
                  <c:v>16166.400000000011</c:v>
                </c:pt>
                <c:pt idx="111">
                  <c:v>18812.500000000007</c:v>
                </c:pt>
                <c:pt idx="112">
                  <c:v>18812.500000000007</c:v>
                </c:pt>
                <c:pt idx="113">
                  <c:v>17402.500000000007</c:v>
                </c:pt>
                <c:pt idx="114">
                  <c:v>20485.700000000004</c:v>
                </c:pt>
                <c:pt idx="115">
                  <c:v>20076.80000000001</c:v>
                </c:pt>
                <c:pt idx="116">
                  <c:v>20076.80000000001</c:v>
                </c:pt>
                <c:pt idx="117">
                  <c:v>20076.80000000001</c:v>
                </c:pt>
                <c:pt idx="118">
                  <c:v>19103.900000000009</c:v>
                </c:pt>
                <c:pt idx="119">
                  <c:v>19103.900000000009</c:v>
                </c:pt>
                <c:pt idx="120">
                  <c:v>17520.000000000007</c:v>
                </c:pt>
                <c:pt idx="121">
                  <c:v>17285.000000000007</c:v>
                </c:pt>
                <c:pt idx="122">
                  <c:v>17285.000000000007</c:v>
                </c:pt>
                <c:pt idx="123">
                  <c:v>18516.400000000009</c:v>
                </c:pt>
                <c:pt idx="124">
                  <c:v>19691.400000000009</c:v>
                </c:pt>
                <c:pt idx="125">
                  <c:v>19573.900000000009</c:v>
                </c:pt>
                <c:pt idx="126">
                  <c:v>19047.500000000007</c:v>
                </c:pt>
                <c:pt idx="127">
                  <c:v>19047.500000000007</c:v>
                </c:pt>
                <c:pt idx="128">
                  <c:v>19165.000000000007</c:v>
                </c:pt>
                <c:pt idx="129">
                  <c:v>20695.000000000007</c:v>
                </c:pt>
                <c:pt idx="130">
                  <c:v>20695.000000000007</c:v>
                </c:pt>
                <c:pt idx="131">
                  <c:v>20695.000000000007</c:v>
                </c:pt>
                <c:pt idx="132">
                  <c:v>20695.000000000007</c:v>
                </c:pt>
                <c:pt idx="133">
                  <c:v>22217.800000000003</c:v>
                </c:pt>
                <c:pt idx="134">
                  <c:v>20774.900000000001</c:v>
                </c:pt>
                <c:pt idx="135">
                  <c:v>18504.8</c:v>
                </c:pt>
                <c:pt idx="136">
                  <c:v>18504.8</c:v>
                </c:pt>
                <c:pt idx="137">
                  <c:v>18504.8</c:v>
                </c:pt>
                <c:pt idx="138">
                  <c:v>18880.800000000003</c:v>
                </c:pt>
                <c:pt idx="139">
                  <c:v>22349.4</c:v>
                </c:pt>
                <c:pt idx="140">
                  <c:v>22029.800000000003</c:v>
                </c:pt>
                <c:pt idx="141">
                  <c:v>21738.400000000009</c:v>
                </c:pt>
                <c:pt idx="142">
                  <c:v>21738.400000000009</c:v>
                </c:pt>
                <c:pt idx="143">
                  <c:v>19064.100000000006</c:v>
                </c:pt>
                <c:pt idx="144">
                  <c:v>19491.80000000001</c:v>
                </c:pt>
                <c:pt idx="145">
                  <c:v>17625.900000000009</c:v>
                </c:pt>
                <c:pt idx="146">
                  <c:v>16982.000000000007</c:v>
                </c:pt>
                <c:pt idx="147">
                  <c:v>16450.900000000009</c:v>
                </c:pt>
                <c:pt idx="148">
                  <c:v>16450.900000000009</c:v>
                </c:pt>
                <c:pt idx="149">
                  <c:v>16450.900000000009</c:v>
                </c:pt>
                <c:pt idx="150">
                  <c:v>16342.800000000005</c:v>
                </c:pt>
                <c:pt idx="151">
                  <c:v>16234.70000000001</c:v>
                </c:pt>
                <c:pt idx="152">
                  <c:v>6127.5000000000073</c:v>
                </c:pt>
                <c:pt idx="153">
                  <c:v>3321.6000000000058</c:v>
                </c:pt>
                <c:pt idx="154">
                  <c:v>3321.6000000000058</c:v>
                </c:pt>
                <c:pt idx="155">
                  <c:v>3321.6000000000058</c:v>
                </c:pt>
                <c:pt idx="156">
                  <c:v>3321.6000000000058</c:v>
                </c:pt>
                <c:pt idx="157">
                  <c:v>-306.79999999999563</c:v>
                </c:pt>
                <c:pt idx="158">
                  <c:v>-2872.9999999999945</c:v>
                </c:pt>
                <c:pt idx="159">
                  <c:v>-3671.9999999999909</c:v>
                </c:pt>
                <c:pt idx="160">
                  <c:v>-3671.9999999999909</c:v>
                </c:pt>
                <c:pt idx="161">
                  <c:v>-1937.6999999999925</c:v>
                </c:pt>
                <c:pt idx="162">
                  <c:v>-3671.9999999999909</c:v>
                </c:pt>
                <c:pt idx="163">
                  <c:v>-3540.3999999999924</c:v>
                </c:pt>
                <c:pt idx="164">
                  <c:v>-3540.3999999999924</c:v>
                </c:pt>
                <c:pt idx="165">
                  <c:v>-2097.4999999999927</c:v>
                </c:pt>
                <c:pt idx="166">
                  <c:v>-2097.4999999999927</c:v>
                </c:pt>
                <c:pt idx="167">
                  <c:v>-1721.4999999999891</c:v>
                </c:pt>
                <c:pt idx="168">
                  <c:v>-2045.799999999992</c:v>
                </c:pt>
                <c:pt idx="169">
                  <c:v>-2045.799999999992</c:v>
                </c:pt>
                <c:pt idx="170">
                  <c:v>-1829.5999999999931</c:v>
                </c:pt>
                <c:pt idx="171">
                  <c:v>-1829.5999999999931</c:v>
                </c:pt>
                <c:pt idx="172">
                  <c:v>-2045.799999999992</c:v>
                </c:pt>
                <c:pt idx="173">
                  <c:v>-2045.799999999992</c:v>
                </c:pt>
                <c:pt idx="174">
                  <c:v>-3739.9999999999927</c:v>
                </c:pt>
                <c:pt idx="175">
                  <c:v>11365.800000000007</c:v>
                </c:pt>
                <c:pt idx="176">
                  <c:v>-948.19999999998981</c:v>
                </c:pt>
                <c:pt idx="177">
                  <c:v>-948.19999999998981</c:v>
                </c:pt>
                <c:pt idx="178">
                  <c:v>5044.3000000000102</c:v>
                </c:pt>
                <c:pt idx="179">
                  <c:v>8804.3000000000102</c:v>
                </c:pt>
                <c:pt idx="180">
                  <c:v>7920.7000000000044</c:v>
                </c:pt>
                <c:pt idx="181">
                  <c:v>3399.3000000000102</c:v>
                </c:pt>
                <c:pt idx="182">
                  <c:v>3399.3000000000102</c:v>
                </c:pt>
                <c:pt idx="183">
                  <c:v>1989.3000000000102</c:v>
                </c:pt>
                <c:pt idx="184">
                  <c:v>1989.3000000000102</c:v>
                </c:pt>
                <c:pt idx="185">
                  <c:v>1989.3000000000102</c:v>
                </c:pt>
                <c:pt idx="186">
                  <c:v>1458.2000000000044</c:v>
                </c:pt>
                <c:pt idx="187">
                  <c:v>1458.2000000000044</c:v>
                </c:pt>
                <c:pt idx="188">
                  <c:v>2694.3000000000102</c:v>
                </c:pt>
                <c:pt idx="189">
                  <c:v>3046.8000000000102</c:v>
                </c:pt>
                <c:pt idx="190">
                  <c:v>3046.8000000000102</c:v>
                </c:pt>
                <c:pt idx="191">
                  <c:v>3046.8000000000102</c:v>
                </c:pt>
                <c:pt idx="192">
                  <c:v>3046.8000000000102</c:v>
                </c:pt>
                <c:pt idx="193">
                  <c:v>3281.8000000000102</c:v>
                </c:pt>
                <c:pt idx="194">
                  <c:v>3310.0000000000073</c:v>
                </c:pt>
                <c:pt idx="195">
                  <c:v>8717.5000000000073</c:v>
                </c:pt>
                <c:pt idx="196">
                  <c:v>8153.5000000000109</c:v>
                </c:pt>
                <c:pt idx="197">
                  <c:v>12985.100000000009</c:v>
                </c:pt>
                <c:pt idx="198">
                  <c:v>14005.000000000007</c:v>
                </c:pt>
                <c:pt idx="199">
                  <c:v>16919.000000000004</c:v>
                </c:pt>
                <c:pt idx="200">
                  <c:v>21055.000000000007</c:v>
                </c:pt>
                <c:pt idx="201">
                  <c:v>21055.000000000007</c:v>
                </c:pt>
                <c:pt idx="202">
                  <c:v>20646.100000000006</c:v>
                </c:pt>
                <c:pt idx="203">
                  <c:v>21797.600000000013</c:v>
                </c:pt>
                <c:pt idx="204">
                  <c:v>21797.600000000013</c:v>
                </c:pt>
                <c:pt idx="205">
                  <c:v>21797.600000000013</c:v>
                </c:pt>
                <c:pt idx="206">
                  <c:v>20265.400000000009</c:v>
                </c:pt>
                <c:pt idx="207">
                  <c:v>19701.400000000012</c:v>
                </c:pt>
                <c:pt idx="208">
                  <c:v>18423.000000000011</c:v>
                </c:pt>
                <c:pt idx="209">
                  <c:v>15894.400000000005</c:v>
                </c:pt>
                <c:pt idx="210">
                  <c:v>15076.600000000008</c:v>
                </c:pt>
                <c:pt idx="211">
                  <c:v>15433.80000000001</c:v>
                </c:pt>
                <c:pt idx="212">
                  <c:v>17276.200000000008</c:v>
                </c:pt>
                <c:pt idx="213">
                  <c:v>17017.700000000012</c:v>
                </c:pt>
                <c:pt idx="214">
                  <c:v>18549.900000000005</c:v>
                </c:pt>
                <c:pt idx="215">
                  <c:v>16712.200000000012</c:v>
                </c:pt>
                <c:pt idx="216">
                  <c:v>16510.100000000013</c:v>
                </c:pt>
                <c:pt idx="217">
                  <c:v>16585.30000000001</c:v>
                </c:pt>
                <c:pt idx="218">
                  <c:v>12950.000000000013</c:v>
                </c:pt>
                <c:pt idx="219">
                  <c:v>12950.000000000013</c:v>
                </c:pt>
                <c:pt idx="220">
                  <c:v>12950.000000000013</c:v>
                </c:pt>
                <c:pt idx="221">
                  <c:v>11441.300000000014</c:v>
                </c:pt>
                <c:pt idx="222">
                  <c:v>10012.500000000013</c:v>
                </c:pt>
                <c:pt idx="223">
                  <c:v>10012.500000000013</c:v>
                </c:pt>
                <c:pt idx="224">
                  <c:v>10012.500000000013</c:v>
                </c:pt>
                <c:pt idx="225">
                  <c:v>10012.500000000013</c:v>
                </c:pt>
                <c:pt idx="226">
                  <c:v>9650.6000000000167</c:v>
                </c:pt>
                <c:pt idx="227">
                  <c:v>10990.100000000015</c:v>
                </c:pt>
                <c:pt idx="228">
                  <c:v>11300.30000000001</c:v>
                </c:pt>
                <c:pt idx="229">
                  <c:v>9899.7000000000153</c:v>
                </c:pt>
                <c:pt idx="230">
                  <c:v>8893.900000000016</c:v>
                </c:pt>
                <c:pt idx="231">
                  <c:v>9566.0000000000164</c:v>
                </c:pt>
                <c:pt idx="232">
                  <c:v>7996.2000000000116</c:v>
                </c:pt>
                <c:pt idx="233">
                  <c:v>7996.2000000000116</c:v>
                </c:pt>
                <c:pt idx="234">
                  <c:v>5759.0000000000091</c:v>
                </c:pt>
                <c:pt idx="235">
                  <c:v>5759.0000000000091</c:v>
                </c:pt>
                <c:pt idx="236">
                  <c:v>5759.0000000000091</c:v>
                </c:pt>
                <c:pt idx="237">
                  <c:v>5759.0000000000091</c:v>
                </c:pt>
                <c:pt idx="238">
                  <c:v>9660.0000000000127</c:v>
                </c:pt>
                <c:pt idx="239">
                  <c:v>-5729.9999999999873</c:v>
                </c:pt>
                <c:pt idx="240">
                  <c:v>-6289.2999999999856</c:v>
                </c:pt>
                <c:pt idx="241">
                  <c:v>-9480.5999999999876</c:v>
                </c:pt>
                <c:pt idx="242">
                  <c:v>-16022.999999999989</c:v>
                </c:pt>
                <c:pt idx="243">
                  <c:v>-18880.599999999988</c:v>
                </c:pt>
                <c:pt idx="244">
                  <c:v>-29620.099999999988</c:v>
                </c:pt>
                <c:pt idx="245">
                  <c:v>-25845.999999999985</c:v>
                </c:pt>
                <c:pt idx="246">
                  <c:v>-25845.999999999985</c:v>
                </c:pt>
                <c:pt idx="247">
                  <c:v>-26574.499999999985</c:v>
                </c:pt>
                <c:pt idx="248">
                  <c:v>-26574.499999999985</c:v>
                </c:pt>
                <c:pt idx="249">
                  <c:v>-28111.399999999987</c:v>
                </c:pt>
                <c:pt idx="250">
                  <c:v>-28111.399999999987</c:v>
                </c:pt>
                <c:pt idx="251">
                  <c:v>-28111.399999999987</c:v>
                </c:pt>
                <c:pt idx="252">
                  <c:v>-29004.399999999987</c:v>
                </c:pt>
                <c:pt idx="253">
                  <c:v>-28811.699999999986</c:v>
                </c:pt>
                <c:pt idx="254">
                  <c:v>-29483.799999999988</c:v>
                </c:pt>
                <c:pt idx="255">
                  <c:v>-29201.799999999988</c:v>
                </c:pt>
                <c:pt idx="256">
                  <c:v>-29201.799999999988</c:v>
                </c:pt>
                <c:pt idx="257">
                  <c:v>-14876.199999999986</c:v>
                </c:pt>
                <c:pt idx="258">
                  <c:v>-29201.799999999988</c:v>
                </c:pt>
                <c:pt idx="259">
                  <c:v>-28976.199999999986</c:v>
                </c:pt>
                <c:pt idx="260">
                  <c:v>-28976.199999999986</c:v>
                </c:pt>
                <c:pt idx="261">
                  <c:v>-32047.499999999985</c:v>
                </c:pt>
                <c:pt idx="262">
                  <c:v>-32047.499999999985</c:v>
                </c:pt>
                <c:pt idx="263">
                  <c:v>-32047.499999999985</c:v>
                </c:pt>
                <c:pt idx="264">
                  <c:v>-27239.399999999987</c:v>
                </c:pt>
                <c:pt idx="265">
                  <c:v>-23234.999999999985</c:v>
                </c:pt>
                <c:pt idx="266">
                  <c:v>-24184.399999999987</c:v>
                </c:pt>
                <c:pt idx="267">
                  <c:v>-24184.399999999987</c:v>
                </c:pt>
                <c:pt idx="268">
                  <c:v>-24184.399999999987</c:v>
                </c:pt>
                <c:pt idx="269">
                  <c:v>-24184.399999999987</c:v>
                </c:pt>
                <c:pt idx="270">
                  <c:v>-24912.899999999987</c:v>
                </c:pt>
                <c:pt idx="271">
                  <c:v>-24912.899999999987</c:v>
                </c:pt>
                <c:pt idx="272">
                  <c:v>-25528.599999999988</c:v>
                </c:pt>
                <c:pt idx="273">
                  <c:v>-25528.599999999988</c:v>
                </c:pt>
                <c:pt idx="274">
                  <c:v>-25528.599999999988</c:v>
                </c:pt>
                <c:pt idx="275">
                  <c:v>4180.1000000000095</c:v>
                </c:pt>
                <c:pt idx="276">
                  <c:v>-24771.899999999994</c:v>
                </c:pt>
                <c:pt idx="277">
                  <c:v>-25166.699999999993</c:v>
                </c:pt>
                <c:pt idx="278">
                  <c:v>-25669.599999999991</c:v>
                </c:pt>
                <c:pt idx="279">
                  <c:v>-25528.599999999991</c:v>
                </c:pt>
                <c:pt idx="280">
                  <c:v>-24856.499999999993</c:v>
                </c:pt>
                <c:pt idx="281">
                  <c:v>-24771.899999999994</c:v>
                </c:pt>
                <c:pt idx="282">
                  <c:v>-24828.299999999992</c:v>
                </c:pt>
                <c:pt idx="283">
                  <c:v>-24550.999999999993</c:v>
                </c:pt>
                <c:pt idx="284">
                  <c:v>-7839.9999999999927</c:v>
                </c:pt>
                <c:pt idx="285">
                  <c:v>-7839.9999999999927</c:v>
                </c:pt>
                <c:pt idx="286">
                  <c:v>-7839.9999999999927</c:v>
                </c:pt>
                <c:pt idx="287">
                  <c:v>-18476.099999999995</c:v>
                </c:pt>
                <c:pt idx="288">
                  <c:v>-16619.599999999995</c:v>
                </c:pt>
                <c:pt idx="289">
                  <c:v>-16619.599999999995</c:v>
                </c:pt>
                <c:pt idx="290">
                  <c:v>-14612.699999999993</c:v>
                </c:pt>
                <c:pt idx="291">
                  <c:v>-13870.099999999995</c:v>
                </c:pt>
                <c:pt idx="292">
                  <c:v>-13870.099999999995</c:v>
                </c:pt>
                <c:pt idx="293">
                  <c:v>-12507.099999999993</c:v>
                </c:pt>
                <c:pt idx="294">
                  <c:v>-12507.099999999993</c:v>
                </c:pt>
                <c:pt idx="295">
                  <c:v>-11087.699999999993</c:v>
                </c:pt>
                <c:pt idx="296">
                  <c:v>-11581.199999999993</c:v>
                </c:pt>
                <c:pt idx="297">
                  <c:v>-10932.599999999997</c:v>
                </c:pt>
                <c:pt idx="298">
                  <c:v>-10932.599999999997</c:v>
                </c:pt>
                <c:pt idx="299">
                  <c:v>-10622.399999999992</c:v>
                </c:pt>
                <c:pt idx="300">
                  <c:v>-10373.299999999994</c:v>
                </c:pt>
                <c:pt idx="301">
                  <c:v>-10373.299999999994</c:v>
                </c:pt>
                <c:pt idx="302">
                  <c:v>-10561.299999999996</c:v>
                </c:pt>
                <c:pt idx="303">
                  <c:v>-10561.299999999996</c:v>
                </c:pt>
                <c:pt idx="304">
                  <c:v>-11832.499999999995</c:v>
                </c:pt>
                <c:pt idx="305">
                  <c:v>-11832.499999999995</c:v>
                </c:pt>
                <c:pt idx="306">
                  <c:v>-11832.499999999995</c:v>
                </c:pt>
                <c:pt idx="307">
                  <c:v>-11832.499999999995</c:v>
                </c:pt>
                <c:pt idx="308">
                  <c:v>-11832.499999999995</c:v>
                </c:pt>
                <c:pt idx="309">
                  <c:v>-11832.499999999995</c:v>
                </c:pt>
                <c:pt idx="310">
                  <c:v>-12701.999999999993</c:v>
                </c:pt>
                <c:pt idx="311">
                  <c:v>-13092.099999999995</c:v>
                </c:pt>
                <c:pt idx="312">
                  <c:v>-13092.099999999995</c:v>
                </c:pt>
                <c:pt idx="313">
                  <c:v>-13092.099999999995</c:v>
                </c:pt>
                <c:pt idx="314">
                  <c:v>-10013.599999999995</c:v>
                </c:pt>
                <c:pt idx="315">
                  <c:v>-9736.2999999999956</c:v>
                </c:pt>
                <c:pt idx="316">
                  <c:v>-9736.2999999999956</c:v>
                </c:pt>
                <c:pt idx="317">
                  <c:v>-8838.5999999999949</c:v>
                </c:pt>
                <c:pt idx="318">
                  <c:v>-8838.5999999999949</c:v>
                </c:pt>
                <c:pt idx="319">
                  <c:v>-9341.4999999999945</c:v>
                </c:pt>
                <c:pt idx="320">
                  <c:v>-10041.799999999992</c:v>
                </c:pt>
                <c:pt idx="321">
                  <c:v>-10041.799999999992</c:v>
                </c:pt>
                <c:pt idx="322">
                  <c:v>-9787.9999999999964</c:v>
                </c:pt>
                <c:pt idx="323">
                  <c:v>-9787.9999999999964</c:v>
                </c:pt>
                <c:pt idx="324">
                  <c:v>-9787.9999999999964</c:v>
                </c:pt>
                <c:pt idx="325">
                  <c:v>-6424.9999999999945</c:v>
                </c:pt>
                <c:pt idx="326">
                  <c:v>-5249.9999999999945</c:v>
                </c:pt>
                <c:pt idx="327">
                  <c:v>-7599.9999999999945</c:v>
                </c:pt>
                <c:pt idx="328">
                  <c:v>-6424.9999999999945</c:v>
                </c:pt>
                <c:pt idx="329">
                  <c:v>-5249.9999999999945</c:v>
                </c:pt>
                <c:pt idx="330">
                  <c:v>-5461.4999999999955</c:v>
                </c:pt>
                <c:pt idx="331">
                  <c:v>-5461.4999999999955</c:v>
                </c:pt>
                <c:pt idx="332">
                  <c:v>-5461.4999999999955</c:v>
                </c:pt>
                <c:pt idx="333">
                  <c:v>-5461.4999999999955</c:v>
                </c:pt>
                <c:pt idx="334">
                  <c:v>-5461.4999999999955</c:v>
                </c:pt>
                <c:pt idx="335">
                  <c:v>-6424.9999999999945</c:v>
                </c:pt>
                <c:pt idx="336">
                  <c:v>-6721.0999999999958</c:v>
                </c:pt>
                <c:pt idx="337">
                  <c:v>-6453.1999999999962</c:v>
                </c:pt>
                <c:pt idx="338">
                  <c:v>-6453.1999999999962</c:v>
                </c:pt>
                <c:pt idx="339">
                  <c:v>-6453.1999999999962</c:v>
                </c:pt>
                <c:pt idx="340">
                  <c:v>-6636.4999999999955</c:v>
                </c:pt>
                <c:pt idx="341">
                  <c:v>-6636.4999999999955</c:v>
                </c:pt>
                <c:pt idx="342">
                  <c:v>-7040.6999999999962</c:v>
                </c:pt>
                <c:pt idx="343">
                  <c:v>-6721.0999999999958</c:v>
                </c:pt>
                <c:pt idx="344">
                  <c:v>-6556.5999999999931</c:v>
                </c:pt>
                <c:pt idx="345">
                  <c:v>-6453.1999999999962</c:v>
                </c:pt>
                <c:pt idx="346">
                  <c:v>-6424.9999999999945</c:v>
                </c:pt>
                <c:pt idx="347">
                  <c:v>-3367.4999999999945</c:v>
                </c:pt>
                <c:pt idx="348">
                  <c:v>-3367.4999999999945</c:v>
                </c:pt>
                <c:pt idx="349">
                  <c:v>-2300.599999999994</c:v>
                </c:pt>
                <c:pt idx="350">
                  <c:v>-2300.599999999994</c:v>
                </c:pt>
                <c:pt idx="351">
                  <c:v>-1792.9999999999964</c:v>
                </c:pt>
                <c:pt idx="352">
                  <c:v>-1337.0999999999949</c:v>
                </c:pt>
                <c:pt idx="353">
                  <c:v>-2620.1999999999944</c:v>
                </c:pt>
                <c:pt idx="354">
                  <c:v>-2620.1999999999944</c:v>
                </c:pt>
                <c:pt idx="355">
                  <c:v>-2620.1999999999944</c:v>
                </c:pt>
                <c:pt idx="356">
                  <c:v>-885.899999999996</c:v>
                </c:pt>
                <c:pt idx="357">
                  <c:v>-885.899999999996</c:v>
                </c:pt>
                <c:pt idx="358">
                  <c:v>-857.69999999999891</c:v>
                </c:pt>
                <c:pt idx="359">
                  <c:v>-321.89999999999054</c:v>
                </c:pt>
                <c:pt idx="360">
                  <c:v>-321.89999999999054</c:v>
                </c:pt>
                <c:pt idx="361">
                  <c:v>-321.89999999999054</c:v>
                </c:pt>
                <c:pt idx="362">
                  <c:v>745.00000000000546</c:v>
                </c:pt>
                <c:pt idx="363">
                  <c:v>745.00000000000546</c:v>
                </c:pt>
                <c:pt idx="364">
                  <c:v>745.00000000000546</c:v>
                </c:pt>
                <c:pt idx="365">
                  <c:v>745.00000000000546</c:v>
                </c:pt>
                <c:pt idx="366">
                  <c:v>745.00000000000546</c:v>
                </c:pt>
                <c:pt idx="367">
                  <c:v>970.60000000000946</c:v>
                </c:pt>
                <c:pt idx="368">
                  <c:v>970.60000000000946</c:v>
                </c:pt>
                <c:pt idx="369">
                  <c:v>7915.0000000000055</c:v>
                </c:pt>
                <c:pt idx="370">
                  <c:v>9592.9000000000051</c:v>
                </c:pt>
                <c:pt idx="371">
                  <c:v>9592.9000000000051</c:v>
                </c:pt>
                <c:pt idx="372">
                  <c:v>9592.9000000000051</c:v>
                </c:pt>
                <c:pt idx="373">
                  <c:v>9592.9000000000051</c:v>
                </c:pt>
                <c:pt idx="374">
                  <c:v>10937.100000000006</c:v>
                </c:pt>
                <c:pt idx="375">
                  <c:v>10937.100000000006</c:v>
                </c:pt>
                <c:pt idx="376">
                  <c:v>12897.000000000004</c:v>
                </c:pt>
                <c:pt idx="377">
                  <c:v>12897.000000000004</c:v>
                </c:pt>
                <c:pt idx="378">
                  <c:v>12558.600000000002</c:v>
                </c:pt>
                <c:pt idx="379">
                  <c:v>12868.800000000007</c:v>
                </c:pt>
                <c:pt idx="380">
                  <c:v>13705.400000000005</c:v>
                </c:pt>
                <c:pt idx="381">
                  <c:v>13705.400000000005</c:v>
                </c:pt>
                <c:pt idx="382">
                  <c:v>13705.400000000005</c:v>
                </c:pt>
                <c:pt idx="383">
                  <c:v>13705.400000000005</c:v>
                </c:pt>
                <c:pt idx="384">
                  <c:v>13536.200000000004</c:v>
                </c:pt>
                <c:pt idx="385">
                  <c:v>12840.600000000009</c:v>
                </c:pt>
                <c:pt idx="386">
                  <c:v>12281.300000000007</c:v>
                </c:pt>
                <c:pt idx="387">
                  <c:v>12281.300000000007</c:v>
                </c:pt>
                <c:pt idx="388">
                  <c:v>12224.900000000003</c:v>
                </c:pt>
                <c:pt idx="389">
                  <c:v>12224.900000000003</c:v>
                </c:pt>
                <c:pt idx="390">
                  <c:v>9210.0000000000055</c:v>
                </c:pt>
                <c:pt idx="391">
                  <c:v>8646.0000000000091</c:v>
                </c:pt>
                <c:pt idx="392">
                  <c:v>7038.6000000000022</c:v>
                </c:pt>
                <c:pt idx="393">
                  <c:v>7038.6000000000022</c:v>
                </c:pt>
                <c:pt idx="394">
                  <c:v>5017.6000000000076</c:v>
                </c:pt>
                <c:pt idx="395">
                  <c:v>5017.6000000000076</c:v>
                </c:pt>
                <c:pt idx="396">
                  <c:v>4561.7000000000062</c:v>
                </c:pt>
                <c:pt idx="397">
                  <c:v>4134.0000000000018</c:v>
                </c:pt>
                <c:pt idx="398">
                  <c:v>4134.0000000000018</c:v>
                </c:pt>
                <c:pt idx="399">
                  <c:v>1144.8000000000011</c:v>
                </c:pt>
                <c:pt idx="400">
                  <c:v>449.20000000000618</c:v>
                </c:pt>
                <c:pt idx="401">
                  <c:v>449.20000000000618</c:v>
                </c:pt>
                <c:pt idx="402">
                  <c:v>-829.19999999999527</c:v>
                </c:pt>
                <c:pt idx="403">
                  <c:v>-2887.7999999999965</c:v>
                </c:pt>
                <c:pt idx="404">
                  <c:v>-2887.7999999999965</c:v>
                </c:pt>
                <c:pt idx="405">
                  <c:v>-2887.7999999999965</c:v>
                </c:pt>
                <c:pt idx="406">
                  <c:v>-5101.4999999999955</c:v>
                </c:pt>
                <c:pt idx="407">
                  <c:v>-2225.0999999999967</c:v>
                </c:pt>
                <c:pt idx="408">
                  <c:v>-1961.8999999999951</c:v>
                </c:pt>
                <c:pt idx="409">
                  <c:v>-2356.6999999999953</c:v>
                </c:pt>
                <c:pt idx="410">
                  <c:v>-4598.5999999999958</c:v>
                </c:pt>
                <c:pt idx="411">
                  <c:v>-4861.7999999999929</c:v>
                </c:pt>
                <c:pt idx="412">
                  <c:v>-4302.4999999999945</c:v>
                </c:pt>
                <c:pt idx="413">
                  <c:v>-21219.999999999993</c:v>
                </c:pt>
                <c:pt idx="414">
                  <c:v>-21219.999999999993</c:v>
                </c:pt>
                <c:pt idx="415">
                  <c:v>-14870.299999999996</c:v>
                </c:pt>
                <c:pt idx="416">
                  <c:v>-15636.399999999992</c:v>
                </c:pt>
                <c:pt idx="417">
                  <c:v>-16139.299999999992</c:v>
                </c:pt>
                <c:pt idx="418">
                  <c:v>-16313.199999999995</c:v>
                </c:pt>
                <c:pt idx="419">
                  <c:v>-16440.099999999995</c:v>
                </c:pt>
                <c:pt idx="420">
                  <c:v>-16421.299999999996</c:v>
                </c:pt>
                <c:pt idx="421">
                  <c:v>-13051.399999999994</c:v>
                </c:pt>
                <c:pt idx="422">
                  <c:v>-11707.199999999993</c:v>
                </c:pt>
                <c:pt idx="423">
                  <c:v>-11707.199999999993</c:v>
                </c:pt>
                <c:pt idx="424">
                  <c:v>-13667.099999999995</c:v>
                </c:pt>
                <c:pt idx="425">
                  <c:v>-13667.099999999995</c:v>
                </c:pt>
                <c:pt idx="426">
                  <c:v>-13699.999999999995</c:v>
                </c:pt>
                <c:pt idx="427">
                  <c:v>-13887.999999999996</c:v>
                </c:pt>
                <c:pt idx="428">
                  <c:v>-13887.999999999996</c:v>
                </c:pt>
                <c:pt idx="429">
                  <c:v>-13887.999999999996</c:v>
                </c:pt>
                <c:pt idx="430">
                  <c:v>-14226.399999999994</c:v>
                </c:pt>
                <c:pt idx="431">
                  <c:v>-14395.599999999995</c:v>
                </c:pt>
                <c:pt idx="432">
                  <c:v>-14395.599999999995</c:v>
                </c:pt>
                <c:pt idx="433">
                  <c:v>-14395.599999999995</c:v>
                </c:pt>
                <c:pt idx="434">
                  <c:v>-16987.499999999996</c:v>
                </c:pt>
                <c:pt idx="435">
                  <c:v>-16987.499999999996</c:v>
                </c:pt>
                <c:pt idx="436">
                  <c:v>-16987.499999999996</c:v>
                </c:pt>
                <c:pt idx="437">
                  <c:v>-15422.399999999994</c:v>
                </c:pt>
                <c:pt idx="438">
                  <c:v>-15422.399999999994</c:v>
                </c:pt>
                <c:pt idx="439">
                  <c:v>-14468.299999999996</c:v>
                </c:pt>
                <c:pt idx="440">
                  <c:v>-14919.499999999995</c:v>
                </c:pt>
                <c:pt idx="441">
                  <c:v>-12818.599999999999</c:v>
                </c:pt>
                <c:pt idx="442">
                  <c:v>-13565.899999999998</c:v>
                </c:pt>
                <c:pt idx="443">
                  <c:v>-12870.3</c:v>
                </c:pt>
                <c:pt idx="444">
                  <c:v>-12870.3</c:v>
                </c:pt>
                <c:pt idx="445">
                  <c:v>-13485.999999999996</c:v>
                </c:pt>
                <c:pt idx="446">
                  <c:v>-17767.699999999997</c:v>
                </c:pt>
                <c:pt idx="447">
                  <c:v>-19530.199999999997</c:v>
                </c:pt>
                <c:pt idx="448">
                  <c:v>-22885.999999999996</c:v>
                </c:pt>
                <c:pt idx="449">
                  <c:v>-22885.999999999996</c:v>
                </c:pt>
                <c:pt idx="450">
                  <c:v>-23783.699999999997</c:v>
                </c:pt>
                <c:pt idx="451">
                  <c:v>-23783.699999999997</c:v>
                </c:pt>
                <c:pt idx="452">
                  <c:v>-23783.699999999997</c:v>
                </c:pt>
                <c:pt idx="453">
                  <c:v>-23783.699999999997</c:v>
                </c:pt>
                <c:pt idx="454">
                  <c:v>-24455.799999999996</c:v>
                </c:pt>
                <c:pt idx="455">
                  <c:v>-24286.6</c:v>
                </c:pt>
                <c:pt idx="456">
                  <c:v>-44480</c:v>
                </c:pt>
                <c:pt idx="457">
                  <c:v>-36052.9</c:v>
                </c:pt>
                <c:pt idx="458">
                  <c:v>-33369.200000000004</c:v>
                </c:pt>
                <c:pt idx="459">
                  <c:v>-37453.500000000007</c:v>
                </c:pt>
                <c:pt idx="460">
                  <c:v>-33571.30000000001</c:v>
                </c:pt>
                <c:pt idx="461">
                  <c:v>-33571.30000000001</c:v>
                </c:pt>
                <c:pt idx="462">
                  <c:v>-33571.30000000001</c:v>
                </c:pt>
                <c:pt idx="463">
                  <c:v>-31940.400000000009</c:v>
                </c:pt>
                <c:pt idx="464">
                  <c:v>-30022.80000000001</c:v>
                </c:pt>
                <c:pt idx="465">
                  <c:v>-30022.80000000001</c:v>
                </c:pt>
                <c:pt idx="466">
                  <c:v>-31019.200000000012</c:v>
                </c:pt>
                <c:pt idx="467">
                  <c:v>-29792.500000000011</c:v>
                </c:pt>
                <c:pt idx="468">
                  <c:v>-29510.500000000011</c:v>
                </c:pt>
                <c:pt idx="469">
                  <c:v>-29769.000000000011</c:v>
                </c:pt>
                <c:pt idx="470">
                  <c:v>-29769.000000000011</c:v>
                </c:pt>
                <c:pt idx="471">
                  <c:v>-29769.000000000011</c:v>
                </c:pt>
                <c:pt idx="472">
                  <c:v>-29769.000000000011</c:v>
                </c:pt>
                <c:pt idx="473">
                  <c:v>-29613.900000000012</c:v>
                </c:pt>
                <c:pt idx="474">
                  <c:v>-28462.400000000012</c:v>
                </c:pt>
                <c:pt idx="475">
                  <c:v>-28462.400000000012</c:v>
                </c:pt>
                <c:pt idx="476">
                  <c:v>-28462.400000000012</c:v>
                </c:pt>
                <c:pt idx="477">
                  <c:v>-28462.400000000012</c:v>
                </c:pt>
                <c:pt idx="478">
                  <c:v>-28312.000000000015</c:v>
                </c:pt>
                <c:pt idx="479">
                  <c:v>-9110.0000000000146</c:v>
                </c:pt>
                <c:pt idx="480">
                  <c:v>-12635.000000000015</c:v>
                </c:pt>
                <c:pt idx="481">
                  <c:v>-9293.3000000000138</c:v>
                </c:pt>
                <c:pt idx="482">
                  <c:v>-3855.4000000000142</c:v>
                </c:pt>
                <c:pt idx="483">
                  <c:v>-4316.0000000000136</c:v>
                </c:pt>
                <c:pt idx="484">
                  <c:v>-3451.2000000000135</c:v>
                </c:pt>
                <c:pt idx="485">
                  <c:v>-1439.6000000000149</c:v>
                </c:pt>
                <c:pt idx="486">
                  <c:v>-1068.3000000000138</c:v>
                </c:pt>
                <c:pt idx="487">
                  <c:v>2329.7999999999811</c:v>
                </c:pt>
                <c:pt idx="488">
                  <c:v>2329.7999999999811</c:v>
                </c:pt>
                <c:pt idx="489">
                  <c:v>2329.7999999999811</c:v>
                </c:pt>
                <c:pt idx="490">
                  <c:v>2329.7999999999811</c:v>
                </c:pt>
                <c:pt idx="491">
                  <c:v>2978.3999999999869</c:v>
                </c:pt>
                <c:pt idx="492">
                  <c:v>4651.599999999984</c:v>
                </c:pt>
                <c:pt idx="493">
                  <c:v>4341.3999999999887</c:v>
                </c:pt>
                <c:pt idx="494">
                  <c:v>3847.8999999999851</c:v>
                </c:pt>
                <c:pt idx="495">
                  <c:v>4585.7999999999847</c:v>
                </c:pt>
                <c:pt idx="496">
                  <c:v>5022.8999999999851</c:v>
                </c:pt>
                <c:pt idx="497">
                  <c:v>5022.8999999999851</c:v>
                </c:pt>
                <c:pt idx="498">
                  <c:v>5022.8999999999851</c:v>
                </c:pt>
                <c:pt idx="499">
                  <c:v>23909.999999999985</c:v>
                </c:pt>
                <c:pt idx="500">
                  <c:v>27834.499999999985</c:v>
                </c:pt>
                <c:pt idx="501">
                  <c:v>27834.499999999985</c:v>
                </c:pt>
                <c:pt idx="502">
                  <c:v>27834.499999999985</c:v>
                </c:pt>
                <c:pt idx="503">
                  <c:v>32402.899999999987</c:v>
                </c:pt>
                <c:pt idx="504">
                  <c:v>32402.899999999987</c:v>
                </c:pt>
                <c:pt idx="505">
                  <c:v>38705.599999999991</c:v>
                </c:pt>
                <c:pt idx="506">
                  <c:v>41910.999999999993</c:v>
                </c:pt>
                <c:pt idx="507">
                  <c:v>41910.999999999993</c:v>
                </c:pt>
                <c:pt idx="508">
                  <c:v>48852.899999999994</c:v>
                </c:pt>
                <c:pt idx="509">
                  <c:v>55258.999999999985</c:v>
                </c:pt>
                <c:pt idx="510">
                  <c:v>55846.499999999985</c:v>
                </c:pt>
                <c:pt idx="511">
                  <c:v>53176.899999999994</c:v>
                </c:pt>
                <c:pt idx="512">
                  <c:v>51978.399999999994</c:v>
                </c:pt>
                <c:pt idx="513">
                  <c:v>54328.399999999994</c:v>
                </c:pt>
                <c:pt idx="514">
                  <c:v>53393.099999999991</c:v>
                </c:pt>
                <c:pt idx="515">
                  <c:v>53393.099999999991</c:v>
                </c:pt>
                <c:pt idx="516">
                  <c:v>53393.099999999991</c:v>
                </c:pt>
                <c:pt idx="517">
                  <c:v>53393.099999999991</c:v>
                </c:pt>
                <c:pt idx="518">
                  <c:v>53393.099999999991</c:v>
                </c:pt>
                <c:pt idx="519">
                  <c:v>53393.099999999991</c:v>
                </c:pt>
                <c:pt idx="520">
                  <c:v>53496.499999999993</c:v>
                </c:pt>
                <c:pt idx="521">
                  <c:v>53496.499999999993</c:v>
                </c:pt>
                <c:pt idx="522">
                  <c:v>69855</c:v>
                </c:pt>
                <c:pt idx="523">
                  <c:v>69855</c:v>
                </c:pt>
                <c:pt idx="524">
                  <c:v>70968.899999999994</c:v>
                </c:pt>
                <c:pt idx="525">
                  <c:v>70968.899999999994</c:v>
                </c:pt>
                <c:pt idx="526">
                  <c:v>91413.9</c:v>
                </c:pt>
                <c:pt idx="527">
                  <c:v>91413.9</c:v>
                </c:pt>
                <c:pt idx="528">
                  <c:v>91296.4</c:v>
                </c:pt>
                <c:pt idx="529">
                  <c:v>91296.4</c:v>
                </c:pt>
                <c:pt idx="530">
                  <c:v>91296.4</c:v>
                </c:pt>
                <c:pt idx="531">
                  <c:v>93411.4</c:v>
                </c:pt>
                <c:pt idx="532">
                  <c:v>92443.199999999997</c:v>
                </c:pt>
                <c:pt idx="533">
                  <c:v>92151.8</c:v>
                </c:pt>
                <c:pt idx="534">
                  <c:v>92151.8</c:v>
                </c:pt>
                <c:pt idx="535">
                  <c:v>92678.2</c:v>
                </c:pt>
                <c:pt idx="536">
                  <c:v>91738.2</c:v>
                </c:pt>
                <c:pt idx="537">
                  <c:v>90506.8</c:v>
                </c:pt>
                <c:pt idx="538">
                  <c:v>90154.3</c:v>
                </c:pt>
                <c:pt idx="539">
                  <c:v>90300</c:v>
                </c:pt>
                <c:pt idx="540">
                  <c:v>90887.5</c:v>
                </c:pt>
                <c:pt idx="541">
                  <c:v>91061.4</c:v>
                </c:pt>
                <c:pt idx="542">
                  <c:v>90887.5</c:v>
                </c:pt>
                <c:pt idx="543">
                  <c:v>90680.7</c:v>
                </c:pt>
                <c:pt idx="544">
                  <c:v>89362.5</c:v>
                </c:pt>
                <c:pt idx="545">
                  <c:v>85466.200000000012</c:v>
                </c:pt>
                <c:pt idx="546">
                  <c:v>85466.200000000012</c:v>
                </c:pt>
                <c:pt idx="547">
                  <c:v>82994</c:v>
                </c:pt>
                <c:pt idx="548">
                  <c:v>87167.6</c:v>
                </c:pt>
                <c:pt idx="549">
                  <c:v>86302.800000000017</c:v>
                </c:pt>
                <c:pt idx="550">
                  <c:v>84291.200000000012</c:v>
                </c:pt>
                <c:pt idx="551">
                  <c:v>85405.1</c:v>
                </c:pt>
                <c:pt idx="552">
                  <c:v>86763.400000000009</c:v>
                </c:pt>
                <c:pt idx="553">
                  <c:v>84601.4</c:v>
                </c:pt>
                <c:pt idx="554">
                  <c:v>84601.4</c:v>
                </c:pt>
                <c:pt idx="555">
                  <c:v>87383.799999999988</c:v>
                </c:pt>
                <c:pt idx="556">
                  <c:v>85654.2</c:v>
                </c:pt>
                <c:pt idx="557">
                  <c:v>85870.400000000009</c:v>
                </c:pt>
                <c:pt idx="558">
                  <c:v>85499.1</c:v>
                </c:pt>
                <c:pt idx="559">
                  <c:v>85188.9</c:v>
                </c:pt>
                <c:pt idx="560">
                  <c:v>85433.3</c:v>
                </c:pt>
                <c:pt idx="561">
                  <c:v>85898.6</c:v>
                </c:pt>
                <c:pt idx="562">
                  <c:v>86331</c:v>
                </c:pt>
                <c:pt idx="563">
                  <c:v>86519</c:v>
                </c:pt>
                <c:pt idx="564">
                  <c:v>98295</c:v>
                </c:pt>
                <c:pt idx="565">
                  <c:v>98295</c:v>
                </c:pt>
                <c:pt idx="566">
                  <c:v>95597.2</c:v>
                </c:pt>
                <c:pt idx="567">
                  <c:v>97627.6</c:v>
                </c:pt>
                <c:pt idx="568">
                  <c:v>100513.40000000001</c:v>
                </c:pt>
                <c:pt idx="569">
                  <c:v>100057.5</c:v>
                </c:pt>
                <c:pt idx="570">
                  <c:v>100057.5</c:v>
                </c:pt>
                <c:pt idx="571">
                  <c:v>100057.5</c:v>
                </c:pt>
                <c:pt idx="572">
                  <c:v>100057.5</c:v>
                </c:pt>
                <c:pt idx="573">
                  <c:v>101444</c:v>
                </c:pt>
                <c:pt idx="574">
                  <c:v>101768.3</c:v>
                </c:pt>
                <c:pt idx="575">
                  <c:v>99709.7</c:v>
                </c:pt>
                <c:pt idx="576">
                  <c:v>100245.5</c:v>
                </c:pt>
                <c:pt idx="577">
                  <c:v>101928.1</c:v>
                </c:pt>
                <c:pt idx="578">
                  <c:v>101711.90000000002</c:v>
                </c:pt>
                <c:pt idx="579">
                  <c:v>101711.90000000002</c:v>
                </c:pt>
                <c:pt idx="580">
                  <c:v>102355.80000000002</c:v>
                </c:pt>
                <c:pt idx="581">
                  <c:v>102355.80000000002</c:v>
                </c:pt>
                <c:pt idx="582">
                  <c:v>102355.80000000002</c:v>
                </c:pt>
                <c:pt idx="583">
                  <c:v>102595.50000000001</c:v>
                </c:pt>
                <c:pt idx="584">
                  <c:v>102807.00000000003</c:v>
                </c:pt>
                <c:pt idx="585">
                  <c:v>102807.00000000003</c:v>
                </c:pt>
                <c:pt idx="586">
                  <c:v>114865.00000000003</c:v>
                </c:pt>
                <c:pt idx="587">
                  <c:v>114865.00000000003</c:v>
                </c:pt>
                <c:pt idx="588">
                  <c:v>114865.00000000003</c:v>
                </c:pt>
                <c:pt idx="589">
                  <c:v>114865.00000000003</c:v>
                </c:pt>
                <c:pt idx="590">
                  <c:v>115870.80000000003</c:v>
                </c:pt>
                <c:pt idx="591">
                  <c:v>122056.00000000001</c:v>
                </c:pt>
                <c:pt idx="592">
                  <c:v>123395.50000000003</c:v>
                </c:pt>
                <c:pt idx="593">
                  <c:v>125078.10000000005</c:v>
                </c:pt>
                <c:pt idx="594">
                  <c:v>126643.20000000004</c:v>
                </c:pt>
                <c:pt idx="595">
                  <c:v>129552.50000000004</c:v>
                </c:pt>
                <c:pt idx="596">
                  <c:v>129552.50000000004</c:v>
                </c:pt>
                <c:pt idx="597">
                  <c:v>129552.50000000004</c:v>
                </c:pt>
                <c:pt idx="598">
                  <c:v>129552.50000000004</c:v>
                </c:pt>
                <c:pt idx="599">
                  <c:v>130558.30000000006</c:v>
                </c:pt>
                <c:pt idx="600">
                  <c:v>129886.20000000004</c:v>
                </c:pt>
                <c:pt idx="601">
                  <c:v>129886.20000000004</c:v>
                </c:pt>
                <c:pt idx="602">
                  <c:v>128208.30000000008</c:v>
                </c:pt>
                <c:pt idx="603">
                  <c:v>128208.30000000008</c:v>
                </c:pt>
                <c:pt idx="604">
                  <c:v>128208.30000000008</c:v>
                </c:pt>
                <c:pt idx="605">
                  <c:v>128123.70000000004</c:v>
                </c:pt>
                <c:pt idx="606">
                  <c:v>128015.60000000006</c:v>
                </c:pt>
                <c:pt idx="607">
                  <c:v>128015.60000000006</c:v>
                </c:pt>
                <c:pt idx="608">
                  <c:v>132022.50000000006</c:v>
                </c:pt>
                <c:pt idx="609">
                  <c:v>129230.70000000006</c:v>
                </c:pt>
                <c:pt idx="610">
                  <c:v>129230.70000000006</c:v>
                </c:pt>
                <c:pt idx="611">
                  <c:v>128732.50000000006</c:v>
                </c:pt>
                <c:pt idx="612">
                  <c:v>128732.50000000006</c:v>
                </c:pt>
                <c:pt idx="613">
                  <c:v>128290.70000000006</c:v>
                </c:pt>
                <c:pt idx="614">
                  <c:v>127059.30000000006</c:v>
                </c:pt>
                <c:pt idx="615">
                  <c:v>127059.30000000006</c:v>
                </c:pt>
                <c:pt idx="616">
                  <c:v>127059.30000000006</c:v>
                </c:pt>
                <c:pt idx="617">
                  <c:v>127059.30000000006</c:v>
                </c:pt>
                <c:pt idx="618">
                  <c:v>127059.30000000006</c:v>
                </c:pt>
                <c:pt idx="619">
                  <c:v>127059.30000000006</c:v>
                </c:pt>
                <c:pt idx="620">
                  <c:v>126824.30000000006</c:v>
                </c:pt>
                <c:pt idx="621">
                  <c:v>128262.50000000006</c:v>
                </c:pt>
                <c:pt idx="622">
                  <c:v>129672.50000000006</c:v>
                </c:pt>
                <c:pt idx="623">
                  <c:v>131138.90000000005</c:v>
                </c:pt>
                <c:pt idx="624">
                  <c:v>131138.90000000005</c:v>
                </c:pt>
                <c:pt idx="625">
                  <c:v>130668.90000000005</c:v>
                </c:pt>
                <c:pt idx="626">
                  <c:v>129879.30000000006</c:v>
                </c:pt>
                <c:pt idx="627">
                  <c:v>129996.80000000006</c:v>
                </c:pt>
                <c:pt idx="628">
                  <c:v>129996.80000000006</c:v>
                </c:pt>
                <c:pt idx="629">
                  <c:v>133905.00000000006</c:v>
                </c:pt>
                <c:pt idx="630">
                  <c:v>137270.20000000007</c:v>
                </c:pt>
                <c:pt idx="631">
                  <c:v>139404.00000000009</c:v>
                </c:pt>
                <c:pt idx="632">
                  <c:v>138896.40000000008</c:v>
                </c:pt>
                <c:pt idx="633">
                  <c:v>141302.80000000008</c:v>
                </c:pt>
                <c:pt idx="634">
                  <c:v>140846.90000000008</c:v>
                </c:pt>
                <c:pt idx="635">
                  <c:v>140419.20000000007</c:v>
                </c:pt>
                <c:pt idx="636">
                  <c:v>141222.90000000008</c:v>
                </c:pt>
                <c:pt idx="637">
                  <c:v>142341.50000000009</c:v>
                </c:pt>
                <c:pt idx="638">
                  <c:v>142341.50000000009</c:v>
                </c:pt>
                <c:pt idx="639">
                  <c:v>142341.50000000009</c:v>
                </c:pt>
                <c:pt idx="640">
                  <c:v>141754.00000000009</c:v>
                </c:pt>
                <c:pt idx="641">
                  <c:v>140955.00000000006</c:v>
                </c:pt>
                <c:pt idx="642">
                  <c:v>140955.00000000006</c:v>
                </c:pt>
                <c:pt idx="643">
                  <c:v>140315.80000000008</c:v>
                </c:pt>
                <c:pt idx="644">
                  <c:v>140687.10000000003</c:v>
                </c:pt>
                <c:pt idx="645">
                  <c:v>141006.70000000001</c:v>
                </c:pt>
                <c:pt idx="646">
                  <c:v>141274.60000000003</c:v>
                </c:pt>
                <c:pt idx="647">
                  <c:v>141918.50000000003</c:v>
                </c:pt>
                <c:pt idx="648">
                  <c:v>142078.30000000005</c:v>
                </c:pt>
                <c:pt idx="649">
                  <c:v>142181.70000000001</c:v>
                </c:pt>
                <c:pt idx="650">
                  <c:v>142238.10000000003</c:v>
                </c:pt>
                <c:pt idx="651">
                  <c:v>152825.00000000003</c:v>
                </c:pt>
                <c:pt idx="652">
                  <c:v>153948.30000000005</c:v>
                </c:pt>
                <c:pt idx="653">
                  <c:v>153948.30000000005</c:v>
                </c:pt>
                <c:pt idx="654">
                  <c:v>157149.00000000006</c:v>
                </c:pt>
                <c:pt idx="655">
                  <c:v>157149.00000000006</c:v>
                </c:pt>
                <c:pt idx="656">
                  <c:v>157633.10000000006</c:v>
                </c:pt>
                <c:pt idx="657">
                  <c:v>157177.20000000007</c:v>
                </c:pt>
                <c:pt idx="658">
                  <c:v>157177.20000000007</c:v>
                </c:pt>
                <c:pt idx="659">
                  <c:v>157576.70000000004</c:v>
                </c:pt>
                <c:pt idx="660">
                  <c:v>157576.70000000004</c:v>
                </c:pt>
                <c:pt idx="661">
                  <c:v>157576.70000000004</c:v>
                </c:pt>
                <c:pt idx="662">
                  <c:v>157576.70000000004</c:v>
                </c:pt>
                <c:pt idx="663">
                  <c:v>157872.80000000005</c:v>
                </c:pt>
                <c:pt idx="664">
                  <c:v>157872.80000000005</c:v>
                </c:pt>
                <c:pt idx="665">
                  <c:v>157872.80000000005</c:v>
                </c:pt>
                <c:pt idx="666">
                  <c:v>157872.80000000005</c:v>
                </c:pt>
                <c:pt idx="667">
                  <c:v>158432.10000000003</c:v>
                </c:pt>
                <c:pt idx="668">
                  <c:v>158591.90000000002</c:v>
                </c:pt>
                <c:pt idx="669">
                  <c:v>158859.80000000005</c:v>
                </c:pt>
                <c:pt idx="670">
                  <c:v>158859.80000000005</c:v>
                </c:pt>
                <c:pt idx="671">
                  <c:v>158859.80000000005</c:v>
                </c:pt>
                <c:pt idx="672">
                  <c:v>158859.80000000005</c:v>
                </c:pt>
                <c:pt idx="673">
                  <c:v>158888.00000000006</c:v>
                </c:pt>
                <c:pt idx="674">
                  <c:v>165282.50000000006</c:v>
                </c:pt>
                <c:pt idx="675">
                  <c:v>169756.90000000005</c:v>
                </c:pt>
                <c:pt idx="676">
                  <c:v>171886.00000000006</c:v>
                </c:pt>
                <c:pt idx="677">
                  <c:v>174908.10000000009</c:v>
                </c:pt>
                <c:pt idx="678">
                  <c:v>175857.50000000009</c:v>
                </c:pt>
                <c:pt idx="679">
                  <c:v>175857.50000000009</c:v>
                </c:pt>
                <c:pt idx="680">
                  <c:v>175857.50000000009</c:v>
                </c:pt>
                <c:pt idx="681">
                  <c:v>175857.50000000009</c:v>
                </c:pt>
                <c:pt idx="682">
                  <c:v>177314.50000000009</c:v>
                </c:pt>
                <c:pt idx="683">
                  <c:v>178320.30000000008</c:v>
                </c:pt>
                <c:pt idx="684">
                  <c:v>178320.30000000008</c:v>
                </c:pt>
                <c:pt idx="685">
                  <c:v>178320.30000000008</c:v>
                </c:pt>
                <c:pt idx="686">
                  <c:v>178823.20000000007</c:v>
                </c:pt>
                <c:pt idx="687">
                  <c:v>179048.80000000008</c:v>
                </c:pt>
                <c:pt idx="688">
                  <c:v>180026.40000000005</c:v>
                </c:pt>
                <c:pt idx="689">
                  <c:v>182038.00000000006</c:v>
                </c:pt>
                <c:pt idx="690">
                  <c:v>182038.00000000006</c:v>
                </c:pt>
                <c:pt idx="691">
                  <c:v>182038.00000000006</c:v>
                </c:pt>
                <c:pt idx="692">
                  <c:v>182038.00000000006</c:v>
                </c:pt>
                <c:pt idx="693">
                  <c:v>182038.00000000006</c:v>
                </c:pt>
                <c:pt idx="694">
                  <c:v>182038.00000000006</c:v>
                </c:pt>
                <c:pt idx="695">
                  <c:v>193015.00000000006</c:v>
                </c:pt>
                <c:pt idx="696">
                  <c:v>193015.00000000006</c:v>
                </c:pt>
                <c:pt idx="697">
                  <c:v>193015.00000000006</c:v>
                </c:pt>
                <c:pt idx="698">
                  <c:v>193517.90000000008</c:v>
                </c:pt>
                <c:pt idx="699">
                  <c:v>193517.90000000008</c:v>
                </c:pt>
                <c:pt idx="700">
                  <c:v>194472.00000000009</c:v>
                </c:pt>
                <c:pt idx="701">
                  <c:v>194472.00000000009</c:v>
                </c:pt>
                <c:pt idx="702">
                  <c:v>194472.00000000009</c:v>
                </c:pt>
                <c:pt idx="703">
                  <c:v>192122.00000000009</c:v>
                </c:pt>
                <c:pt idx="704">
                  <c:v>190665.00000000009</c:v>
                </c:pt>
                <c:pt idx="705">
                  <c:v>190331.3000000001</c:v>
                </c:pt>
                <c:pt idx="706">
                  <c:v>191252.50000000009</c:v>
                </c:pt>
                <c:pt idx="707">
                  <c:v>191811.8000000001</c:v>
                </c:pt>
                <c:pt idx="708">
                  <c:v>191811.8000000001</c:v>
                </c:pt>
                <c:pt idx="709">
                  <c:v>192037.40000000011</c:v>
                </c:pt>
                <c:pt idx="710">
                  <c:v>192037.40000000011</c:v>
                </c:pt>
                <c:pt idx="711">
                  <c:v>192371.10000000009</c:v>
                </c:pt>
                <c:pt idx="712">
                  <c:v>191952.80000000008</c:v>
                </c:pt>
                <c:pt idx="713">
                  <c:v>191614.40000000008</c:v>
                </c:pt>
                <c:pt idx="714">
                  <c:v>191614.40000000008</c:v>
                </c:pt>
                <c:pt idx="715">
                  <c:v>191614.40000000008</c:v>
                </c:pt>
                <c:pt idx="716">
                  <c:v>191478.10000000009</c:v>
                </c:pt>
                <c:pt idx="717">
                  <c:v>184910.00000000009</c:v>
                </c:pt>
                <c:pt idx="718">
                  <c:v>184350.70000000007</c:v>
                </c:pt>
                <c:pt idx="719">
                  <c:v>185953.40000000008</c:v>
                </c:pt>
                <c:pt idx="720">
                  <c:v>185445.8000000001</c:v>
                </c:pt>
                <c:pt idx="721">
                  <c:v>185445.8000000001</c:v>
                </c:pt>
                <c:pt idx="722">
                  <c:v>183626.90000000008</c:v>
                </c:pt>
                <c:pt idx="723">
                  <c:v>182771.50000000012</c:v>
                </c:pt>
                <c:pt idx="724">
                  <c:v>181173.50000000009</c:v>
                </c:pt>
                <c:pt idx="725">
                  <c:v>181920.8000000001</c:v>
                </c:pt>
                <c:pt idx="726">
                  <c:v>181573.00000000009</c:v>
                </c:pt>
                <c:pt idx="727">
                  <c:v>181681.10000000009</c:v>
                </c:pt>
                <c:pt idx="728">
                  <c:v>182607.00000000009</c:v>
                </c:pt>
                <c:pt idx="729">
                  <c:v>183899.50000000009</c:v>
                </c:pt>
                <c:pt idx="730">
                  <c:v>183937.10000000006</c:v>
                </c:pt>
                <c:pt idx="731">
                  <c:v>184045.20000000007</c:v>
                </c:pt>
                <c:pt idx="732">
                  <c:v>184139.20000000004</c:v>
                </c:pt>
                <c:pt idx="733">
                  <c:v>184059.30000000005</c:v>
                </c:pt>
                <c:pt idx="734">
                  <c:v>184073.40000000005</c:v>
                </c:pt>
                <c:pt idx="735">
                  <c:v>183659.80000000005</c:v>
                </c:pt>
                <c:pt idx="736">
                  <c:v>183631.60000000003</c:v>
                </c:pt>
                <c:pt idx="737">
                  <c:v>183283.80000000005</c:v>
                </c:pt>
                <c:pt idx="738">
                  <c:v>183307.30000000005</c:v>
                </c:pt>
                <c:pt idx="739">
                  <c:v>179155.00000000006</c:v>
                </c:pt>
                <c:pt idx="740">
                  <c:v>180268.90000000005</c:v>
                </c:pt>
                <c:pt idx="741">
                  <c:v>180268.90000000005</c:v>
                </c:pt>
                <c:pt idx="742">
                  <c:v>180268.90000000005</c:v>
                </c:pt>
                <c:pt idx="743">
                  <c:v>178858.90000000005</c:v>
                </c:pt>
                <c:pt idx="744">
                  <c:v>178858.90000000005</c:v>
                </c:pt>
                <c:pt idx="745">
                  <c:v>178858.90000000005</c:v>
                </c:pt>
                <c:pt idx="746">
                  <c:v>178858.90000000005</c:v>
                </c:pt>
                <c:pt idx="747">
                  <c:v>180268.90000000005</c:v>
                </c:pt>
                <c:pt idx="748">
                  <c:v>179949.30000000005</c:v>
                </c:pt>
                <c:pt idx="749">
                  <c:v>179949.30000000005</c:v>
                </c:pt>
                <c:pt idx="750">
                  <c:v>178891.80000000005</c:v>
                </c:pt>
                <c:pt idx="751">
                  <c:v>178656.80000000005</c:v>
                </c:pt>
                <c:pt idx="752">
                  <c:v>179681.40000000002</c:v>
                </c:pt>
                <c:pt idx="753">
                  <c:v>178802.50000000003</c:v>
                </c:pt>
                <c:pt idx="754">
                  <c:v>179093.90000000002</c:v>
                </c:pt>
                <c:pt idx="755">
                  <c:v>178858.90000000002</c:v>
                </c:pt>
                <c:pt idx="756">
                  <c:v>178774.30000000005</c:v>
                </c:pt>
                <c:pt idx="757">
                  <c:v>178774.30000000005</c:v>
                </c:pt>
                <c:pt idx="758">
                  <c:v>178774.30000000005</c:v>
                </c:pt>
                <c:pt idx="759">
                  <c:v>178741.40000000002</c:v>
                </c:pt>
                <c:pt idx="760">
                  <c:v>177512.50000000003</c:v>
                </c:pt>
                <c:pt idx="761">
                  <c:v>177512.50000000003</c:v>
                </c:pt>
                <c:pt idx="762">
                  <c:v>177512.50000000003</c:v>
                </c:pt>
                <c:pt idx="763">
                  <c:v>178020.1</c:v>
                </c:pt>
                <c:pt idx="764">
                  <c:v>179942.40000000002</c:v>
                </c:pt>
                <c:pt idx="765">
                  <c:v>178579.4</c:v>
                </c:pt>
                <c:pt idx="766">
                  <c:v>178579.4</c:v>
                </c:pt>
                <c:pt idx="767">
                  <c:v>178179.90000000002</c:v>
                </c:pt>
                <c:pt idx="768">
                  <c:v>178555.90000000002</c:v>
                </c:pt>
                <c:pt idx="769">
                  <c:v>178899.00000000003</c:v>
                </c:pt>
                <c:pt idx="770">
                  <c:v>178899.00000000003</c:v>
                </c:pt>
                <c:pt idx="771">
                  <c:v>178899.00000000003</c:v>
                </c:pt>
                <c:pt idx="772">
                  <c:v>178635.80000000005</c:v>
                </c:pt>
                <c:pt idx="773">
                  <c:v>178635.80000000005</c:v>
                </c:pt>
                <c:pt idx="774">
                  <c:v>178635.80000000005</c:v>
                </c:pt>
                <c:pt idx="775">
                  <c:v>178447.80000000002</c:v>
                </c:pt>
                <c:pt idx="776">
                  <c:v>178447.80000000002</c:v>
                </c:pt>
                <c:pt idx="777">
                  <c:v>178447.80000000002</c:v>
                </c:pt>
                <c:pt idx="778">
                  <c:v>178447.80000000002</c:v>
                </c:pt>
                <c:pt idx="779">
                  <c:v>178339.70000000004</c:v>
                </c:pt>
                <c:pt idx="780">
                  <c:v>178499.50000000003</c:v>
                </c:pt>
                <c:pt idx="781">
                  <c:v>178607.6</c:v>
                </c:pt>
                <c:pt idx="782">
                  <c:v>178659.30000000002</c:v>
                </c:pt>
                <c:pt idx="783">
                  <c:v>178807.5</c:v>
                </c:pt>
                <c:pt idx="784">
                  <c:v>178807.5</c:v>
                </c:pt>
                <c:pt idx="785">
                  <c:v>178807.5</c:v>
                </c:pt>
                <c:pt idx="786">
                  <c:v>178807.5</c:v>
                </c:pt>
                <c:pt idx="787">
                  <c:v>178807.5</c:v>
                </c:pt>
                <c:pt idx="788">
                  <c:v>178807.5</c:v>
                </c:pt>
                <c:pt idx="789">
                  <c:v>179239.90000000002</c:v>
                </c:pt>
                <c:pt idx="790">
                  <c:v>178840.40000000002</c:v>
                </c:pt>
                <c:pt idx="791">
                  <c:v>178840.40000000002</c:v>
                </c:pt>
                <c:pt idx="792">
                  <c:v>178497.30000000002</c:v>
                </c:pt>
                <c:pt idx="793">
                  <c:v>178497.30000000002</c:v>
                </c:pt>
                <c:pt idx="794">
                  <c:v>178497.30000000002</c:v>
                </c:pt>
                <c:pt idx="795">
                  <c:v>178497.30000000002</c:v>
                </c:pt>
                <c:pt idx="796">
                  <c:v>179982.50000000003</c:v>
                </c:pt>
                <c:pt idx="797">
                  <c:v>180414.90000000005</c:v>
                </c:pt>
                <c:pt idx="798">
                  <c:v>180602.90000000005</c:v>
                </c:pt>
                <c:pt idx="799">
                  <c:v>181063.50000000003</c:v>
                </c:pt>
                <c:pt idx="800">
                  <c:v>181063.50000000003</c:v>
                </c:pt>
                <c:pt idx="801">
                  <c:v>181063.50000000003</c:v>
                </c:pt>
                <c:pt idx="802">
                  <c:v>181063.50000000003</c:v>
                </c:pt>
                <c:pt idx="803">
                  <c:v>181063.50000000003</c:v>
                </c:pt>
                <c:pt idx="804">
                  <c:v>186565.00000000006</c:v>
                </c:pt>
                <c:pt idx="805">
                  <c:v>186565.00000000006</c:v>
                </c:pt>
                <c:pt idx="806">
                  <c:v>186565.00000000006</c:v>
                </c:pt>
                <c:pt idx="807">
                  <c:v>186565.00000000006</c:v>
                </c:pt>
                <c:pt idx="808">
                  <c:v>186565.00000000006</c:v>
                </c:pt>
                <c:pt idx="809">
                  <c:v>186565.00000000006</c:v>
                </c:pt>
                <c:pt idx="810">
                  <c:v>186565.00000000006</c:v>
                </c:pt>
                <c:pt idx="811">
                  <c:v>186565.00000000006</c:v>
                </c:pt>
                <c:pt idx="812">
                  <c:v>188769.30000000005</c:v>
                </c:pt>
                <c:pt idx="813">
                  <c:v>188769.30000000005</c:v>
                </c:pt>
                <c:pt idx="814">
                  <c:v>188769.30000000005</c:v>
                </c:pt>
                <c:pt idx="815">
                  <c:v>188769.30000000005</c:v>
                </c:pt>
                <c:pt idx="816">
                  <c:v>188769.30000000005</c:v>
                </c:pt>
                <c:pt idx="817">
                  <c:v>189004.30000000005</c:v>
                </c:pt>
                <c:pt idx="818">
                  <c:v>188797.50000000006</c:v>
                </c:pt>
                <c:pt idx="819">
                  <c:v>188797.50000000006</c:v>
                </c:pt>
                <c:pt idx="820">
                  <c:v>188797.50000000006</c:v>
                </c:pt>
                <c:pt idx="821">
                  <c:v>188327.50000000006</c:v>
                </c:pt>
                <c:pt idx="822">
                  <c:v>188327.50000000006</c:v>
                </c:pt>
                <c:pt idx="823">
                  <c:v>187857.50000000006</c:v>
                </c:pt>
                <c:pt idx="824">
                  <c:v>187857.50000000006</c:v>
                </c:pt>
                <c:pt idx="825">
                  <c:v>183160.00000000006</c:v>
                </c:pt>
                <c:pt idx="826">
                  <c:v>183160.00000000006</c:v>
                </c:pt>
                <c:pt idx="827">
                  <c:v>181021.50000000006</c:v>
                </c:pt>
                <c:pt idx="828">
                  <c:v>181021.50000000006</c:v>
                </c:pt>
                <c:pt idx="829">
                  <c:v>178619.80000000005</c:v>
                </c:pt>
                <c:pt idx="830">
                  <c:v>178619.80000000005</c:v>
                </c:pt>
                <c:pt idx="831">
                  <c:v>177764.40000000002</c:v>
                </c:pt>
                <c:pt idx="832">
                  <c:v>176965.40000000005</c:v>
                </c:pt>
                <c:pt idx="833">
                  <c:v>176965.40000000005</c:v>
                </c:pt>
                <c:pt idx="834">
                  <c:v>176965.40000000005</c:v>
                </c:pt>
                <c:pt idx="835">
                  <c:v>176645.80000000005</c:v>
                </c:pt>
                <c:pt idx="836">
                  <c:v>176645.80000000005</c:v>
                </c:pt>
                <c:pt idx="837">
                  <c:v>175574.2</c:v>
                </c:pt>
                <c:pt idx="838">
                  <c:v>175574.2</c:v>
                </c:pt>
                <c:pt idx="839">
                  <c:v>175574.2</c:v>
                </c:pt>
                <c:pt idx="840">
                  <c:v>175574.2</c:v>
                </c:pt>
                <c:pt idx="841">
                  <c:v>175574.2</c:v>
                </c:pt>
                <c:pt idx="842">
                  <c:v>175574.2</c:v>
                </c:pt>
                <c:pt idx="843">
                  <c:v>175574.2</c:v>
                </c:pt>
                <c:pt idx="844">
                  <c:v>175574.2</c:v>
                </c:pt>
                <c:pt idx="845">
                  <c:v>175574.2</c:v>
                </c:pt>
                <c:pt idx="846">
                  <c:v>175574.2</c:v>
                </c:pt>
                <c:pt idx="847">
                  <c:v>175842.10000000003</c:v>
                </c:pt>
                <c:pt idx="848">
                  <c:v>175642.50000000006</c:v>
                </c:pt>
                <c:pt idx="849">
                  <c:v>175642.50000000006</c:v>
                </c:pt>
                <c:pt idx="850">
                  <c:v>177235.80000000008</c:v>
                </c:pt>
                <c:pt idx="851">
                  <c:v>177235.80000000008</c:v>
                </c:pt>
                <c:pt idx="852">
                  <c:v>176761.10000000006</c:v>
                </c:pt>
                <c:pt idx="853">
                  <c:v>177658.80000000008</c:v>
                </c:pt>
                <c:pt idx="854">
                  <c:v>177658.80000000008</c:v>
                </c:pt>
                <c:pt idx="855">
                  <c:v>177658.80000000008</c:v>
                </c:pt>
                <c:pt idx="856">
                  <c:v>177292.20000000007</c:v>
                </c:pt>
                <c:pt idx="857">
                  <c:v>177292.20000000007</c:v>
                </c:pt>
                <c:pt idx="858">
                  <c:v>177602.40000000008</c:v>
                </c:pt>
                <c:pt idx="859">
                  <c:v>177602.40000000008</c:v>
                </c:pt>
                <c:pt idx="860">
                  <c:v>176591.90000000005</c:v>
                </c:pt>
                <c:pt idx="861">
                  <c:v>175698.90000000005</c:v>
                </c:pt>
                <c:pt idx="862">
                  <c:v>175698.90000000005</c:v>
                </c:pt>
                <c:pt idx="863">
                  <c:v>175698.90000000005</c:v>
                </c:pt>
                <c:pt idx="864">
                  <c:v>175698.90000000005</c:v>
                </c:pt>
                <c:pt idx="865">
                  <c:v>175698.90000000005</c:v>
                </c:pt>
                <c:pt idx="866">
                  <c:v>175698.90000000005</c:v>
                </c:pt>
                <c:pt idx="867">
                  <c:v>175698.90000000005</c:v>
                </c:pt>
                <c:pt idx="868">
                  <c:v>175698.90000000005</c:v>
                </c:pt>
                <c:pt idx="869">
                  <c:v>174000.00000000006</c:v>
                </c:pt>
                <c:pt idx="870">
                  <c:v>174000.00000000006</c:v>
                </c:pt>
                <c:pt idx="871">
                  <c:v>174000.00000000006</c:v>
                </c:pt>
                <c:pt idx="872">
                  <c:v>174000.00000000006</c:v>
                </c:pt>
                <c:pt idx="873">
                  <c:v>175903.50000000006</c:v>
                </c:pt>
                <c:pt idx="874">
                  <c:v>174112.80000000005</c:v>
                </c:pt>
                <c:pt idx="875">
                  <c:v>174531.10000000006</c:v>
                </c:pt>
                <c:pt idx="876">
                  <c:v>175706.10000000006</c:v>
                </c:pt>
                <c:pt idx="877">
                  <c:v>175706.10000000006</c:v>
                </c:pt>
                <c:pt idx="878">
                  <c:v>175706.10000000006</c:v>
                </c:pt>
                <c:pt idx="879">
                  <c:v>175706.10000000006</c:v>
                </c:pt>
                <c:pt idx="880">
                  <c:v>175706.10000000006</c:v>
                </c:pt>
                <c:pt idx="881">
                  <c:v>175706.10000000006</c:v>
                </c:pt>
                <c:pt idx="882">
                  <c:v>175706.10000000006</c:v>
                </c:pt>
                <c:pt idx="883">
                  <c:v>175706.10000000006</c:v>
                </c:pt>
                <c:pt idx="884">
                  <c:v>175706.10000000006</c:v>
                </c:pt>
                <c:pt idx="885">
                  <c:v>175287.80000000005</c:v>
                </c:pt>
                <c:pt idx="886">
                  <c:v>175287.80000000005</c:v>
                </c:pt>
                <c:pt idx="887">
                  <c:v>175287.80000000005</c:v>
                </c:pt>
                <c:pt idx="888">
                  <c:v>175287.80000000005</c:v>
                </c:pt>
                <c:pt idx="889">
                  <c:v>175287.80000000005</c:v>
                </c:pt>
                <c:pt idx="890">
                  <c:v>175259.60000000003</c:v>
                </c:pt>
                <c:pt idx="891">
                  <c:v>174120.00000000006</c:v>
                </c:pt>
                <c:pt idx="892">
                  <c:v>174120.00000000006</c:v>
                </c:pt>
                <c:pt idx="893">
                  <c:v>174120.00000000006</c:v>
                </c:pt>
                <c:pt idx="894">
                  <c:v>174120.00000000006</c:v>
                </c:pt>
                <c:pt idx="895">
                  <c:v>174120.00000000006</c:v>
                </c:pt>
                <c:pt idx="896">
                  <c:v>175027.10000000003</c:v>
                </c:pt>
                <c:pt idx="897">
                  <c:v>174599.40000000002</c:v>
                </c:pt>
                <c:pt idx="898">
                  <c:v>174998.90000000002</c:v>
                </c:pt>
                <c:pt idx="899">
                  <c:v>174627.6</c:v>
                </c:pt>
                <c:pt idx="900">
                  <c:v>174279.80000000002</c:v>
                </c:pt>
                <c:pt idx="901">
                  <c:v>173321</c:v>
                </c:pt>
                <c:pt idx="902">
                  <c:v>173321</c:v>
                </c:pt>
                <c:pt idx="903">
                  <c:v>173321</c:v>
                </c:pt>
                <c:pt idx="904">
                  <c:v>173321</c:v>
                </c:pt>
                <c:pt idx="905">
                  <c:v>173321</c:v>
                </c:pt>
                <c:pt idx="906">
                  <c:v>173321</c:v>
                </c:pt>
                <c:pt idx="907">
                  <c:v>173321</c:v>
                </c:pt>
                <c:pt idx="908">
                  <c:v>173584.2</c:v>
                </c:pt>
                <c:pt idx="909">
                  <c:v>173692.30000000002</c:v>
                </c:pt>
                <c:pt idx="910">
                  <c:v>173612.40000000002</c:v>
                </c:pt>
                <c:pt idx="911">
                  <c:v>173664.1</c:v>
                </c:pt>
                <c:pt idx="912">
                  <c:v>173612.40000000002</c:v>
                </c:pt>
                <c:pt idx="913">
                  <c:v>173065</c:v>
                </c:pt>
                <c:pt idx="914">
                  <c:v>173065</c:v>
                </c:pt>
                <c:pt idx="915">
                  <c:v>173065</c:v>
                </c:pt>
                <c:pt idx="916">
                  <c:v>173065</c:v>
                </c:pt>
                <c:pt idx="917">
                  <c:v>174564.3</c:v>
                </c:pt>
                <c:pt idx="918">
                  <c:v>174564.3</c:v>
                </c:pt>
                <c:pt idx="919">
                  <c:v>174564.3</c:v>
                </c:pt>
                <c:pt idx="920">
                  <c:v>173328.19999999998</c:v>
                </c:pt>
                <c:pt idx="921">
                  <c:v>173328.19999999998</c:v>
                </c:pt>
                <c:pt idx="922">
                  <c:v>173328.19999999998</c:v>
                </c:pt>
                <c:pt idx="923">
                  <c:v>173328.19999999998</c:v>
                </c:pt>
                <c:pt idx="924">
                  <c:v>173328.19999999998</c:v>
                </c:pt>
                <c:pt idx="925">
                  <c:v>172270.69999999998</c:v>
                </c:pt>
                <c:pt idx="926">
                  <c:v>171800.69999999998</c:v>
                </c:pt>
                <c:pt idx="927">
                  <c:v>171800.69999999998</c:v>
                </c:pt>
                <c:pt idx="928">
                  <c:v>171800.69999999998</c:v>
                </c:pt>
                <c:pt idx="929">
                  <c:v>171509.3</c:v>
                </c:pt>
                <c:pt idx="930">
                  <c:v>171391.8</c:v>
                </c:pt>
                <c:pt idx="931">
                  <c:v>170597.5</c:v>
                </c:pt>
                <c:pt idx="932">
                  <c:v>170362.5</c:v>
                </c:pt>
                <c:pt idx="933">
                  <c:v>170362.5</c:v>
                </c:pt>
                <c:pt idx="934">
                  <c:v>160260</c:v>
                </c:pt>
                <c:pt idx="935">
                  <c:v>160260</c:v>
                </c:pt>
                <c:pt idx="936">
                  <c:v>159188.4</c:v>
                </c:pt>
                <c:pt idx="937">
                  <c:v>154079.5</c:v>
                </c:pt>
                <c:pt idx="938">
                  <c:v>154079.5</c:v>
                </c:pt>
                <c:pt idx="939">
                  <c:v>154079.5</c:v>
                </c:pt>
                <c:pt idx="940">
                  <c:v>151470.99999999997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307-48B7-B774-75E1495063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232992"/>
        <c:axId val="530234952"/>
      </c:lineChart>
      <c:dateAx>
        <c:axId val="5302329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4952"/>
        <c:crosses val="autoZero"/>
        <c:auto val="1"/>
        <c:lblOffset val="100"/>
        <c:baseTimeUnit val="days"/>
      </c:dateAx>
      <c:valAx>
        <c:axId val="530234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2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DHP</a:t>
            </a:r>
            <a:r>
              <a:rPr lang="en-US" baseline="0"/>
              <a:t> and Futures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Data!$I$11</c:f>
              <c:strCache>
                <c:ptCount val="1"/>
                <c:pt idx="0">
                  <c:v>Resin DHP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941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41281</c:v>
                </c:pt>
                <c:pt idx="5">
                  <c:v>41282</c:v>
                </c:pt>
                <c:pt idx="6">
                  <c:v>41283</c:v>
                </c:pt>
                <c:pt idx="7">
                  <c:v>41284</c:v>
                </c:pt>
                <c:pt idx="8">
                  <c:v>41285</c:v>
                </c:pt>
                <c:pt idx="9">
                  <c:v>41288</c:v>
                </c:pt>
                <c:pt idx="10">
                  <c:v>41289</c:v>
                </c:pt>
                <c:pt idx="11">
                  <c:v>41290</c:v>
                </c:pt>
                <c:pt idx="12">
                  <c:v>41291</c:v>
                </c:pt>
                <c:pt idx="13">
                  <c:v>41292</c:v>
                </c:pt>
                <c:pt idx="14">
                  <c:v>41295</c:v>
                </c:pt>
                <c:pt idx="15">
                  <c:v>41296</c:v>
                </c:pt>
                <c:pt idx="16">
                  <c:v>41297</c:v>
                </c:pt>
                <c:pt idx="17">
                  <c:v>41298</c:v>
                </c:pt>
                <c:pt idx="18">
                  <c:v>41299</c:v>
                </c:pt>
                <c:pt idx="19">
                  <c:v>41302</c:v>
                </c:pt>
                <c:pt idx="20">
                  <c:v>41303</c:v>
                </c:pt>
                <c:pt idx="21">
                  <c:v>41304</c:v>
                </c:pt>
                <c:pt idx="22">
                  <c:v>41305</c:v>
                </c:pt>
                <c:pt idx="23">
                  <c:v>41306</c:v>
                </c:pt>
                <c:pt idx="24">
                  <c:v>41309</c:v>
                </c:pt>
                <c:pt idx="25">
                  <c:v>41310</c:v>
                </c:pt>
                <c:pt idx="26">
                  <c:v>41311</c:v>
                </c:pt>
                <c:pt idx="27">
                  <c:v>41312</c:v>
                </c:pt>
                <c:pt idx="28">
                  <c:v>41313</c:v>
                </c:pt>
                <c:pt idx="29">
                  <c:v>41316</c:v>
                </c:pt>
                <c:pt idx="30">
                  <c:v>41317</c:v>
                </c:pt>
                <c:pt idx="31">
                  <c:v>41318</c:v>
                </c:pt>
                <c:pt idx="32">
                  <c:v>41319</c:v>
                </c:pt>
                <c:pt idx="33">
                  <c:v>41320</c:v>
                </c:pt>
                <c:pt idx="34">
                  <c:v>41323</c:v>
                </c:pt>
                <c:pt idx="35">
                  <c:v>41324</c:v>
                </c:pt>
                <c:pt idx="36">
                  <c:v>41325</c:v>
                </c:pt>
                <c:pt idx="37">
                  <c:v>41326</c:v>
                </c:pt>
                <c:pt idx="38">
                  <c:v>41327</c:v>
                </c:pt>
                <c:pt idx="39">
                  <c:v>41330</c:v>
                </c:pt>
                <c:pt idx="40">
                  <c:v>41331</c:v>
                </c:pt>
                <c:pt idx="41">
                  <c:v>41332</c:v>
                </c:pt>
                <c:pt idx="42">
                  <c:v>41333</c:v>
                </c:pt>
                <c:pt idx="43">
                  <c:v>41334</c:v>
                </c:pt>
                <c:pt idx="44">
                  <c:v>41337</c:v>
                </c:pt>
                <c:pt idx="45">
                  <c:v>41338</c:v>
                </c:pt>
                <c:pt idx="46">
                  <c:v>41339</c:v>
                </c:pt>
                <c:pt idx="47">
                  <c:v>41340</c:v>
                </c:pt>
                <c:pt idx="48">
                  <c:v>41341</c:v>
                </c:pt>
                <c:pt idx="49">
                  <c:v>41344</c:v>
                </c:pt>
                <c:pt idx="50">
                  <c:v>41345</c:v>
                </c:pt>
                <c:pt idx="51">
                  <c:v>41346</c:v>
                </c:pt>
                <c:pt idx="52">
                  <c:v>41347</c:v>
                </c:pt>
                <c:pt idx="53">
                  <c:v>41348</c:v>
                </c:pt>
                <c:pt idx="54">
                  <c:v>41351</c:v>
                </c:pt>
                <c:pt idx="55">
                  <c:v>41352</c:v>
                </c:pt>
                <c:pt idx="56">
                  <c:v>41353</c:v>
                </c:pt>
                <c:pt idx="57">
                  <c:v>41354</c:v>
                </c:pt>
                <c:pt idx="58">
                  <c:v>41355</c:v>
                </c:pt>
                <c:pt idx="59">
                  <c:v>41358</c:v>
                </c:pt>
                <c:pt idx="60">
                  <c:v>41359</c:v>
                </c:pt>
                <c:pt idx="61">
                  <c:v>41360</c:v>
                </c:pt>
                <c:pt idx="62">
                  <c:v>41361</c:v>
                </c:pt>
                <c:pt idx="63">
                  <c:v>41362</c:v>
                </c:pt>
                <c:pt idx="64">
                  <c:v>41365</c:v>
                </c:pt>
                <c:pt idx="65">
                  <c:v>41366</c:v>
                </c:pt>
                <c:pt idx="66">
                  <c:v>41367</c:v>
                </c:pt>
                <c:pt idx="67">
                  <c:v>41368</c:v>
                </c:pt>
                <c:pt idx="68">
                  <c:v>41369</c:v>
                </c:pt>
                <c:pt idx="69">
                  <c:v>41372</c:v>
                </c:pt>
                <c:pt idx="70">
                  <c:v>41373</c:v>
                </c:pt>
                <c:pt idx="71">
                  <c:v>41374</c:v>
                </c:pt>
                <c:pt idx="72">
                  <c:v>41375</c:v>
                </c:pt>
                <c:pt idx="73">
                  <c:v>41376</c:v>
                </c:pt>
                <c:pt idx="74">
                  <c:v>41379</c:v>
                </c:pt>
                <c:pt idx="75">
                  <c:v>41380</c:v>
                </c:pt>
                <c:pt idx="76">
                  <c:v>41381</c:v>
                </c:pt>
                <c:pt idx="77">
                  <c:v>41382</c:v>
                </c:pt>
                <c:pt idx="78">
                  <c:v>41383</c:v>
                </c:pt>
                <c:pt idx="79">
                  <c:v>41386</c:v>
                </c:pt>
                <c:pt idx="80">
                  <c:v>41387</c:v>
                </c:pt>
                <c:pt idx="81">
                  <c:v>41388</c:v>
                </c:pt>
                <c:pt idx="82">
                  <c:v>41389</c:v>
                </c:pt>
                <c:pt idx="83">
                  <c:v>41390</c:v>
                </c:pt>
                <c:pt idx="84">
                  <c:v>41393</c:v>
                </c:pt>
                <c:pt idx="85">
                  <c:v>41394</c:v>
                </c:pt>
                <c:pt idx="86">
                  <c:v>41395</c:v>
                </c:pt>
                <c:pt idx="87">
                  <c:v>41396</c:v>
                </c:pt>
                <c:pt idx="88">
                  <c:v>41397</c:v>
                </c:pt>
                <c:pt idx="89">
                  <c:v>41400</c:v>
                </c:pt>
                <c:pt idx="90">
                  <c:v>41401</c:v>
                </c:pt>
                <c:pt idx="91">
                  <c:v>41402</c:v>
                </c:pt>
                <c:pt idx="92">
                  <c:v>41403</c:v>
                </c:pt>
                <c:pt idx="93">
                  <c:v>41404</c:v>
                </c:pt>
                <c:pt idx="94">
                  <c:v>41407</c:v>
                </c:pt>
                <c:pt idx="95">
                  <c:v>41408</c:v>
                </c:pt>
                <c:pt idx="96">
                  <c:v>41409</c:v>
                </c:pt>
                <c:pt idx="97">
                  <c:v>41410</c:v>
                </c:pt>
                <c:pt idx="98">
                  <c:v>41411</c:v>
                </c:pt>
                <c:pt idx="99">
                  <c:v>41414</c:v>
                </c:pt>
                <c:pt idx="100">
                  <c:v>41415</c:v>
                </c:pt>
                <c:pt idx="101">
                  <c:v>41416</c:v>
                </c:pt>
                <c:pt idx="102">
                  <c:v>41417</c:v>
                </c:pt>
                <c:pt idx="103">
                  <c:v>41418</c:v>
                </c:pt>
                <c:pt idx="104">
                  <c:v>41421</c:v>
                </c:pt>
                <c:pt idx="105">
                  <c:v>41422</c:v>
                </c:pt>
                <c:pt idx="106">
                  <c:v>41423</c:v>
                </c:pt>
                <c:pt idx="107">
                  <c:v>41424</c:v>
                </c:pt>
                <c:pt idx="108">
                  <c:v>41425</c:v>
                </c:pt>
                <c:pt idx="109">
                  <c:v>41428</c:v>
                </c:pt>
                <c:pt idx="110">
                  <c:v>41429</c:v>
                </c:pt>
                <c:pt idx="111">
                  <c:v>41430</c:v>
                </c:pt>
                <c:pt idx="112">
                  <c:v>41431</c:v>
                </c:pt>
                <c:pt idx="113">
                  <c:v>41432</c:v>
                </c:pt>
                <c:pt idx="114">
                  <c:v>41435</c:v>
                </c:pt>
                <c:pt idx="115">
                  <c:v>41436</c:v>
                </c:pt>
                <c:pt idx="116">
                  <c:v>41437</c:v>
                </c:pt>
                <c:pt idx="117">
                  <c:v>41438</c:v>
                </c:pt>
                <c:pt idx="118">
                  <c:v>41439</c:v>
                </c:pt>
                <c:pt idx="119">
                  <c:v>41442</c:v>
                </c:pt>
                <c:pt idx="120">
                  <c:v>41443</c:v>
                </c:pt>
                <c:pt idx="121">
                  <c:v>41444</c:v>
                </c:pt>
                <c:pt idx="122">
                  <c:v>41445</c:v>
                </c:pt>
                <c:pt idx="123">
                  <c:v>41446</c:v>
                </c:pt>
                <c:pt idx="124">
                  <c:v>41449</c:v>
                </c:pt>
                <c:pt idx="125">
                  <c:v>41450</c:v>
                </c:pt>
                <c:pt idx="126">
                  <c:v>41451</c:v>
                </c:pt>
                <c:pt idx="127">
                  <c:v>41452</c:v>
                </c:pt>
                <c:pt idx="128">
                  <c:v>41453</c:v>
                </c:pt>
                <c:pt idx="129">
                  <c:v>41456</c:v>
                </c:pt>
                <c:pt idx="130">
                  <c:v>41457</c:v>
                </c:pt>
                <c:pt idx="131">
                  <c:v>41458</c:v>
                </c:pt>
                <c:pt idx="132">
                  <c:v>41459</c:v>
                </c:pt>
                <c:pt idx="133">
                  <c:v>41460</c:v>
                </c:pt>
                <c:pt idx="134">
                  <c:v>41463</c:v>
                </c:pt>
                <c:pt idx="135">
                  <c:v>41464</c:v>
                </c:pt>
                <c:pt idx="136">
                  <c:v>41465</c:v>
                </c:pt>
                <c:pt idx="137">
                  <c:v>41466</c:v>
                </c:pt>
                <c:pt idx="138">
                  <c:v>41467</c:v>
                </c:pt>
                <c:pt idx="139">
                  <c:v>41470</c:v>
                </c:pt>
                <c:pt idx="140">
                  <c:v>41471</c:v>
                </c:pt>
                <c:pt idx="141">
                  <c:v>41472</c:v>
                </c:pt>
                <c:pt idx="142">
                  <c:v>41473</c:v>
                </c:pt>
                <c:pt idx="143">
                  <c:v>41474</c:v>
                </c:pt>
                <c:pt idx="144">
                  <c:v>41477</c:v>
                </c:pt>
                <c:pt idx="145">
                  <c:v>41478</c:v>
                </c:pt>
                <c:pt idx="146">
                  <c:v>41479</c:v>
                </c:pt>
                <c:pt idx="147">
                  <c:v>41480</c:v>
                </c:pt>
                <c:pt idx="148">
                  <c:v>41481</c:v>
                </c:pt>
                <c:pt idx="149">
                  <c:v>41484</c:v>
                </c:pt>
                <c:pt idx="150">
                  <c:v>41485</c:v>
                </c:pt>
                <c:pt idx="151">
                  <c:v>41486</c:v>
                </c:pt>
                <c:pt idx="152">
                  <c:v>41487</c:v>
                </c:pt>
                <c:pt idx="153">
                  <c:v>41488</c:v>
                </c:pt>
                <c:pt idx="154">
                  <c:v>41491</c:v>
                </c:pt>
                <c:pt idx="155">
                  <c:v>41492</c:v>
                </c:pt>
                <c:pt idx="156">
                  <c:v>41493</c:v>
                </c:pt>
                <c:pt idx="157">
                  <c:v>41494</c:v>
                </c:pt>
                <c:pt idx="158">
                  <c:v>41495</c:v>
                </c:pt>
                <c:pt idx="159">
                  <c:v>41498</c:v>
                </c:pt>
                <c:pt idx="160">
                  <c:v>41499</c:v>
                </c:pt>
                <c:pt idx="161">
                  <c:v>41500</c:v>
                </c:pt>
                <c:pt idx="162">
                  <c:v>41501</c:v>
                </c:pt>
                <c:pt idx="163">
                  <c:v>41502</c:v>
                </c:pt>
                <c:pt idx="164">
                  <c:v>41505</c:v>
                </c:pt>
                <c:pt idx="165">
                  <c:v>41506</c:v>
                </c:pt>
                <c:pt idx="166">
                  <c:v>41507</c:v>
                </c:pt>
                <c:pt idx="167">
                  <c:v>41508</c:v>
                </c:pt>
                <c:pt idx="168">
                  <c:v>41509</c:v>
                </c:pt>
                <c:pt idx="169">
                  <c:v>41512</c:v>
                </c:pt>
                <c:pt idx="170">
                  <c:v>41513</c:v>
                </c:pt>
                <c:pt idx="171">
                  <c:v>41514</c:v>
                </c:pt>
                <c:pt idx="172">
                  <c:v>41515</c:v>
                </c:pt>
                <c:pt idx="173">
                  <c:v>41516</c:v>
                </c:pt>
                <c:pt idx="174">
                  <c:v>41519</c:v>
                </c:pt>
                <c:pt idx="175">
                  <c:v>41520</c:v>
                </c:pt>
                <c:pt idx="176">
                  <c:v>41521</c:v>
                </c:pt>
                <c:pt idx="177">
                  <c:v>41522</c:v>
                </c:pt>
                <c:pt idx="178">
                  <c:v>41523</c:v>
                </c:pt>
                <c:pt idx="179">
                  <c:v>41526</c:v>
                </c:pt>
                <c:pt idx="180">
                  <c:v>41527</c:v>
                </c:pt>
                <c:pt idx="181">
                  <c:v>41528</c:v>
                </c:pt>
                <c:pt idx="182">
                  <c:v>41529</c:v>
                </c:pt>
                <c:pt idx="183">
                  <c:v>41530</c:v>
                </c:pt>
                <c:pt idx="184">
                  <c:v>41533</c:v>
                </c:pt>
                <c:pt idx="185">
                  <c:v>41534</c:v>
                </c:pt>
                <c:pt idx="186">
                  <c:v>41535</c:v>
                </c:pt>
                <c:pt idx="187">
                  <c:v>41536</c:v>
                </c:pt>
                <c:pt idx="188">
                  <c:v>41537</c:v>
                </c:pt>
                <c:pt idx="189">
                  <c:v>41540</c:v>
                </c:pt>
                <c:pt idx="190">
                  <c:v>41541</c:v>
                </c:pt>
                <c:pt idx="191">
                  <c:v>41542</c:v>
                </c:pt>
                <c:pt idx="192">
                  <c:v>41543</c:v>
                </c:pt>
                <c:pt idx="193">
                  <c:v>41544</c:v>
                </c:pt>
                <c:pt idx="194">
                  <c:v>41547</c:v>
                </c:pt>
                <c:pt idx="195">
                  <c:v>41548</c:v>
                </c:pt>
                <c:pt idx="196">
                  <c:v>41549</c:v>
                </c:pt>
                <c:pt idx="197">
                  <c:v>41550</c:v>
                </c:pt>
                <c:pt idx="198">
                  <c:v>41551</c:v>
                </c:pt>
                <c:pt idx="199">
                  <c:v>41554</c:v>
                </c:pt>
                <c:pt idx="200">
                  <c:v>41555</c:v>
                </c:pt>
                <c:pt idx="201">
                  <c:v>41556</c:v>
                </c:pt>
                <c:pt idx="202">
                  <c:v>41557</c:v>
                </c:pt>
                <c:pt idx="203">
                  <c:v>41558</c:v>
                </c:pt>
                <c:pt idx="204">
                  <c:v>41561</c:v>
                </c:pt>
                <c:pt idx="205">
                  <c:v>41562</c:v>
                </c:pt>
                <c:pt idx="206">
                  <c:v>41563</c:v>
                </c:pt>
                <c:pt idx="207">
                  <c:v>41564</c:v>
                </c:pt>
                <c:pt idx="208">
                  <c:v>41565</c:v>
                </c:pt>
                <c:pt idx="209">
                  <c:v>41568</c:v>
                </c:pt>
                <c:pt idx="210">
                  <c:v>41569</c:v>
                </c:pt>
                <c:pt idx="211">
                  <c:v>41570</c:v>
                </c:pt>
                <c:pt idx="212">
                  <c:v>41571</c:v>
                </c:pt>
                <c:pt idx="213">
                  <c:v>41572</c:v>
                </c:pt>
                <c:pt idx="214">
                  <c:v>41575</c:v>
                </c:pt>
                <c:pt idx="215">
                  <c:v>41576</c:v>
                </c:pt>
                <c:pt idx="216">
                  <c:v>41577</c:v>
                </c:pt>
                <c:pt idx="217">
                  <c:v>41578</c:v>
                </c:pt>
                <c:pt idx="218">
                  <c:v>41579</c:v>
                </c:pt>
                <c:pt idx="219">
                  <c:v>41582</c:v>
                </c:pt>
                <c:pt idx="220">
                  <c:v>41583</c:v>
                </c:pt>
                <c:pt idx="221">
                  <c:v>41584</c:v>
                </c:pt>
                <c:pt idx="222">
                  <c:v>41585</c:v>
                </c:pt>
                <c:pt idx="223">
                  <c:v>41586</c:v>
                </c:pt>
                <c:pt idx="224">
                  <c:v>41589</c:v>
                </c:pt>
                <c:pt idx="225">
                  <c:v>41590</c:v>
                </c:pt>
                <c:pt idx="226">
                  <c:v>41591</c:v>
                </c:pt>
                <c:pt idx="227">
                  <c:v>41592</c:v>
                </c:pt>
                <c:pt idx="228">
                  <c:v>41593</c:v>
                </c:pt>
                <c:pt idx="229">
                  <c:v>41596</c:v>
                </c:pt>
                <c:pt idx="230">
                  <c:v>41597</c:v>
                </c:pt>
                <c:pt idx="231">
                  <c:v>41598</c:v>
                </c:pt>
                <c:pt idx="232">
                  <c:v>41599</c:v>
                </c:pt>
                <c:pt idx="233">
                  <c:v>41600</c:v>
                </c:pt>
                <c:pt idx="234">
                  <c:v>41603</c:v>
                </c:pt>
                <c:pt idx="235">
                  <c:v>41604</c:v>
                </c:pt>
                <c:pt idx="236">
                  <c:v>41605</c:v>
                </c:pt>
                <c:pt idx="237">
                  <c:v>41606</c:v>
                </c:pt>
                <c:pt idx="238">
                  <c:v>41607</c:v>
                </c:pt>
                <c:pt idx="239">
                  <c:v>41610</c:v>
                </c:pt>
                <c:pt idx="240">
                  <c:v>41611</c:v>
                </c:pt>
                <c:pt idx="241">
                  <c:v>41612</c:v>
                </c:pt>
                <c:pt idx="242">
                  <c:v>41613</c:v>
                </c:pt>
                <c:pt idx="243">
                  <c:v>41614</c:v>
                </c:pt>
                <c:pt idx="244">
                  <c:v>41617</c:v>
                </c:pt>
                <c:pt idx="245">
                  <c:v>41618</c:v>
                </c:pt>
                <c:pt idx="246">
                  <c:v>41619</c:v>
                </c:pt>
                <c:pt idx="247">
                  <c:v>41620</c:v>
                </c:pt>
                <c:pt idx="248">
                  <c:v>41621</c:v>
                </c:pt>
                <c:pt idx="249">
                  <c:v>41624</c:v>
                </c:pt>
                <c:pt idx="250">
                  <c:v>41625</c:v>
                </c:pt>
                <c:pt idx="251">
                  <c:v>41626</c:v>
                </c:pt>
                <c:pt idx="252">
                  <c:v>41627</c:v>
                </c:pt>
                <c:pt idx="253">
                  <c:v>41628</c:v>
                </c:pt>
                <c:pt idx="254">
                  <c:v>41631</c:v>
                </c:pt>
                <c:pt idx="255">
                  <c:v>41632</c:v>
                </c:pt>
                <c:pt idx="256">
                  <c:v>41633</c:v>
                </c:pt>
                <c:pt idx="257">
                  <c:v>41634</c:v>
                </c:pt>
                <c:pt idx="258">
                  <c:v>41635</c:v>
                </c:pt>
                <c:pt idx="259">
                  <c:v>41638</c:v>
                </c:pt>
                <c:pt idx="260">
                  <c:v>41639</c:v>
                </c:pt>
                <c:pt idx="261">
                  <c:v>41640</c:v>
                </c:pt>
                <c:pt idx="262">
                  <c:v>41641</c:v>
                </c:pt>
                <c:pt idx="263">
                  <c:v>41642</c:v>
                </c:pt>
                <c:pt idx="264">
                  <c:v>41645</c:v>
                </c:pt>
                <c:pt idx="265">
                  <c:v>41646</c:v>
                </c:pt>
                <c:pt idx="266">
                  <c:v>41647</c:v>
                </c:pt>
                <c:pt idx="267">
                  <c:v>41648</c:v>
                </c:pt>
                <c:pt idx="268">
                  <c:v>41649</c:v>
                </c:pt>
                <c:pt idx="269">
                  <c:v>41652</c:v>
                </c:pt>
                <c:pt idx="270">
                  <c:v>41653</c:v>
                </c:pt>
                <c:pt idx="271">
                  <c:v>41654</c:v>
                </c:pt>
                <c:pt idx="272">
                  <c:v>41655</c:v>
                </c:pt>
                <c:pt idx="273">
                  <c:v>41656</c:v>
                </c:pt>
                <c:pt idx="274">
                  <c:v>41659</c:v>
                </c:pt>
                <c:pt idx="275">
                  <c:v>41660</c:v>
                </c:pt>
                <c:pt idx="276">
                  <c:v>41661</c:v>
                </c:pt>
                <c:pt idx="277">
                  <c:v>41662</c:v>
                </c:pt>
                <c:pt idx="278">
                  <c:v>41663</c:v>
                </c:pt>
                <c:pt idx="279">
                  <c:v>41666</c:v>
                </c:pt>
                <c:pt idx="280">
                  <c:v>41667</c:v>
                </c:pt>
                <c:pt idx="281">
                  <c:v>41668</c:v>
                </c:pt>
                <c:pt idx="282">
                  <c:v>41669</c:v>
                </c:pt>
                <c:pt idx="283">
                  <c:v>41670</c:v>
                </c:pt>
                <c:pt idx="284">
                  <c:v>41673</c:v>
                </c:pt>
                <c:pt idx="285">
                  <c:v>41674</c:v>
                </c:pt>
                <c:pt idx="286">
                  <c:v>41675</c:v>
                </c:pt>
                <c:pt idx="287">
                  <c:v>41676</c:v>
                </c:pt>
                <c:pt idx="288">
                  <c:v>41677</c:v>
                </c:pt>
                <c:pt idx="289">
                  <c:v>41680</c:v>
                </c:pt>
                <c:pt idx="290">
                  <c:v>41681</c:v>
                </c:pt>
                <c:pt idx="291">
                  <c:v>41682</c:v>
                </c:pt>
                <c:pt idx="292">
                  <c:v>41683</c:v>
                </c:pt>
                <c:pt idx="293">
                  <c:v>41684</c:v>
                </c:pt>
                <c:pt idx="294">
                  <c:v>41687</c:v>
                </c:pt>
                <c:pt idx="295">
                  <c:v>41688</c:v>
                </c:pt>
                <c:pt idx="296">
                  <c:v>41689</c:v>
                </c:pt>
                <c:pt idx="297">
                  <c:v>41690</c:v>
                </c:pt>
                <c:pt idx="298">
                  <c:v>41691</c:v>
                </c:pt>
                <c:pt idx="299">
                  <c:v>41694</c:v>
                </c:pt>
                <c:pt idx="300">
                  <c:v>41695</c:v>
                </c:pt>
                <c:pt idx="301">
                  <c:v>41696</c:v>
                </c:pt>
                <c:pt idx="302">
                  <c:v>41697</c:v>
                </c:pt>
                <c:pt idx="303">
                  <c:v>41698</c:v>
                </c:pt>
                <c:pt idx="304">
                  <c:v>41701</c:v>
                </c:pt>
                <c:pt idx="305">
                  <c:v>41702</c:v>
                </c:pt>
                <c:pt idx="306">
                  <c:v>41703</c:v>
                </c:pt>
                <c:pt idx="307">
                  <c:v>41704</c:v>
                </c:pt>
                <c:pt idx="308">
                  <c:v>41705</c:v>
                </c:pt>
                <c:pt idx="309">
                  <c:v>41708</c:v>
                </c:pt>
                <c:pt idx="310">
                  <c:v>41709</c:v>
                </c:pt>
                <c:pt idx="311">
                  <c:v>41710</c:v>
                </c:pt>
                <c:pt idx="312">
                  <c:v>41711</c:v>
                </c:pt>
                <c:pt idx="313">
                  <c:v>41712</c:v>
                </c:pt>
                <c:pt idx="314">
                  <c:v>41715</c:v>
                </c:pt>
                <c:pt idx="315">
                  <c:v>41716</c:v>
                </c:pt>
                <c:pt idx="316">
                  <c:v>41717</c:v>
                </c:pt>
                <c:pt idx="317">
                  <c:v>41718</c:v>
                </c:pt>
                <c:pt idx="318">
                  <c:v>41719</c:v>
                </c:pt>
                <c:pt idx="319">
                  <c:v>41722</c:v>
                </c:pt>
                <c:pt idx="320">
                  <c:v>41723</c:v>
                </c:pt>
                <c:pt idx="321">
                  <c:v>41724</c:v>
                </c:pt>
                <c:pt idx="322">
                  <c:v>41725</c:v>
                </c:pt>
                <c:pt idx="323">
                  <c:v>41726</c:v>
                </c:pt>
                <c:pt idx="324">
                  <c:v>41729</c:v>
                </c:pt>
                <c:pt idx="325">
                  <c:v>41730</c:v>
                </c:pt>
                <c:pt idx="326">
                  <c:v>41731</c:v>
                </c:pt>
                <c:pt idx="327">
                  <c:v>41732</c:v>
                </c:pt>
                <c:pt idx="328">
                  <c:v>41733</c:v>
                </c:pt>
                <c:pt idx="329">
                  <c:v>41736</c:v>
                </c:pt>
                <c:pt idx="330">
                  <c:v>41737</c:v>
                </c:pt>
                <c:pt idx="331">
                  <c:v>41738</c:v>
                </c:pt>
                <c:pt idx="332">
                  <c:v>41739</c:v>
                </c:pt>
                <c:pt idx="333">
                  <c:v>41740</c:v>
                </c:pt>
                <c:pt idx="334">
                  <c:v>41743</c:v>
                </c:pt>
                <c:pt idx="335">
                  <c:v>41744</c:v>
                </c:pt>
                <c:pt idx="336">
                  <c:v>41745</c:v>
                </c:pt>
                <c:pt idx="337">
                  <c:v>41746</c:v>
                </c:pt>
                <c:pt idx="338">
                  <c:v>41747</c:v>
                </c:pt>
                <c:pt idx="339">
                  <c:v>41750</c:v>
                </c:pt>
                <c:pt idx="340">
                  <c:v>41751</c:v>
                </c:pt>
                <c:pt idx="341">
                  <c:v>41752</c:v>
                </c:pt>
                <c:pt idx="342">
                  <c:v>41753</c:v>
                </c:pt>
                <c:pt idx="343">
                  <c:v>41754</c:v>
                </c:pt>
                <c:pt idx="344">
                  <c:v>41757</c:v>
                </c:pt>
                <c:pt idx="345">
                  <c:v>41758</c:v>
                </c:pt>
                <c:pt idx="346">
                  <c:v>41759</c:v>
                </c:pt>
                <c:pt idx="347">
                  <c:v>41760</c:v>
                </c:pt>
                <c:pt idx="348">
                  <c:v>41761</c:v>
                </c:pt>
                <c:pt idx="349">
                  <c:v>41764</c:v>
                </c:pt>
                <c:pt idx="350">
                  <c:v>41765</c:v>
                </c:pt>
                <c:pt idx="351">
                  <c:v>41766</c:v>
                </c:pt>
                <c:pt idx="352">
                  <c:v>41767</c:v>
                </c:pt>
                <c:pt idx="353">
                  <c:v>41768</c:v>
                </c:pt>
                <c:pt idx="354">
                  <c:v>41771</c:v>
                </c:pt>
                <c:pt idx="355">
                  <c:v>41772</c:v>
                </c:pt>
                <c:pt idx="356">
                  <c:v>41773</c:v>
                </c:pt>
                <c:pt idx="357">
                  <c:v>41774</c:v>
                </c:pt>
                <c:pt idx="358">
                  <c:v>41775</c:v>
                </c:pt>
                <c:pt idx="359">
                  <c:v>41778</c:v>
                </c:pt>
                <c:pt idx="360">
                  <c:v>41779</c:v>
                </c:pt>
                <c:pt idx="361">
                  <c:v>41780</c:v>
                </c:pt>
                <c:pt idx="362">
                  <c:v>41781</c:v>
                </c:pt>
                <c:pt idx="363">
                  <c:v>41782</c:v>
                </c:pt>
                <c:pt idx="364">
                  <c:v>41785</c:v>
                </c:pt>
                <c:pt idx="365">
                  <c:v>41786</c:v>
                </c:pt>
                <c:pt idx="366">
                  <c:v>41787</c:v>
                </c:pt>
                <c:pt idx="367">
                  <c:v>41788</c:v>
                </c:pt>
                <c:pt idx="368">
                  <c:v>41789</c:v>
                </c:pt>
                <c:pt idx="369">
                  <c:v>41792</c:v>
                </c:pt>
                <c:pt idx="370">
                  <c:v>41793</c:v>
                </c:pt>
                <c:pt idx="371">
                  <c:v>41794</c:v>
                </c:pt>
                <c:pt idx="372">
                  <c:v>41795</c:v>
                </c:pt>
                <c:pt idx="373">
                  <c:v>41796</c:v>
                </c:pt>
                <c:pt idx="374">
                  <c:v>41799</c:v>
                </c:pt>
                <c:pt idx="375">
                  <c:v>41800</c:v>
                </c:pt>
                <c:pt idx="376">
                  <c:v>41801</c:v>
                </c:pt>
                <c:pt idx="377">
                  <c:v>41802</c:v>
                </c:pt>
                <c:pt idx="378">
                  <c:v>41803</c:v>
                </c:pt>
                <c:pt idx="379">
                  <c:v>41806</c:v>
                </c:pt>
                <c:pt idx="380">
                  <c:v>41807</c:v>
                </c:pt>
                <c:pt idx="381">
                  <c:v>41808</c:v>
                </c:pt>
                <c:pt idx="382">
                  <c:v>41809</c:v>
                </c:pt>
                <c:pt idx="383">
                  <c:v>41810</c:v>
                </c:pt>
                <c:pt idx="384">
                  <c:v>41813</c:v>
                </c:pt>
                <c:pt idx="385">
                  <c:v>41814</c:v>
                </c:pt>
                <c:pt idx="386">
                  <c:v>41815</c:v>
                </c:pt>
                <c:pt idx="387">
                  <c:v>41816</c:v>
                </c:pt>
                <c:pt idx="388">
                  <c:v>41817</c:v>
                </c:pt>
                <c:pt idx="389">
                  <c:v>41820</c:v>
                </c:pt>
                <c:pt idx="390">
                  <c:v>41821</c:v>
                </c:pt>
                <c:pt idx="391">
                  <c:v>41822</c:v>
                </c:pt>
                <c:pt idx="392">
                  <c:v>41823</c:v>
                </c:pt>
                <c:pt idx="393">
                  <c:v>41824</c:v>
                </c:pt>
                <c:pt idx="394">
                  <c:v>41827</c:v>
                </c:pt>
                <c:pt idx="395">
                  <c:v>41828</c:v>
                </c:pt>
                <c:pt idx="396">
                  <c:v>41829</c:v>
                </c:pt>
                <c:pt idx="397">
                  <c:v>41830</c:v>
                </c:pt>
                <c:pt idx="398">
                  <c:v>41831</c:v>
                </c:pt>
                <c:pt idx="399">
                  <c:v>41834</c:v>
                </c:pt>
                <c:pt idx="400">
                  <c:v>41835</c:v>
                </c:pt>
                <c:pt idx="401">
                  <c:v>41836</c:v>
                </c:pt>
                <c:pt idx="402">
                  <c:v>41837</c:v>
                </c:pt>
                <c:pt idx="403">
                  <c:v>41838</c:v>
                </c:pt>
                <c:pt idx="404">
                  <c:v>41841</c:v>
                </c:pt>
                <c:pt idx="405">
                  <c:v>41842</c:v>
                </c:pt>
                <c:pt idx="406">
                  <c:v>41843</c:v>
                </c:pt>
                <c:pt idx="407">
                  <c:v>41844</c:v>
                </c:pt>
                <c:pt idx="408">
                  <c:v>41845</c:v>
                </c:pt>
                <c:pt idx="409">
                  <c:v>41848</c:v>
                </c:pt>
                <c:pt idx="410">
                  <c:v>41849</c:v>
                </c:pt>
                <c:pt idx="411">
                  <c:v>41850</c:v>
                </c:pt>
                <c:pt idx="412">
                  <c:v>41851</c:v>
                </c:pt>
                <c:pt idx="413">
                  <c:v>41852</c:v>
                </c:pt>
                <c:pt idx="414">
                  <c:v>41855</c:v>
                </c:pt>
                <c:pt idx="415">
                  <c:v>41856</c:v>
                </c:pt>
                <c:pt idx="416">
                  <c:v>41857</c:v>
                </c:pt>
                <c:pt idx="417">
                  <c:v>41858</c:v>
                </c:pt>
                <c:pt idx="418">
                  <c:v>41859</c:v>
                </c:pt>
                <c:pt idx="419">
                  <c:v>41862</c:v>
                </c:pt>
                <c:pt idx="420">
                  <c:v>41863</c:v>
                </c:pt>
                <c:pt idx="421">
                  <c:v>41864</c:v>
                </c:pt>
                <c:pt idx="422">
                  <c:v>41865</c:v>
                </c:pt>
                <c:pt idx="423">
                  <c:v>41866</c:v>
                </c:pt>
                <c:pt idx="424">
                  <c:v>41869</c:v>
                </c:pt>
                <c:pt idx="425">
                  <c:v>41870</c:v>
                </c:pt>
                <c:pt idx="426">
                  <c:v>41871</c:v>
                </c:pt>
                <c:pt idx="427">
                  <c:v>41872</c:v>
                </c:pt>
                <c:pt idx="428">
                  <c:v>41873</c:v>
                </c:pt>
                <c:pt idx="429">
                  <c:v>41876</c:v>
                </c:pt>
                <c:pt idx="430">
                  <c:v>41877</c:v>
                </c:pt>
                <c:pt idx="431">
                  <c:v>41878</c:v>
                </c:pt>
                <c:pt idx="432">
                  <c:v>41879</c:v>
                </c:pt>
                <c:pt idx="433">
                  <c:v>41880</c:v>
                </c:pt>
                <c:pt idx="434">
                  <c:v>41883</c:v>
                </c:pt>
                <c:pt idx="435">
                  <c:v>41884</c:v>
                </c:pt>
                <c:pt idx="436">
                  <c:v>41885</c:v>
                </c:pt>
                <c:pt idx="437">
                  <c:v>41886</c:v>
                </c:pt>
                <c:pt idx="438">
                  <c:v>41887</c:v>
                </c:pt>
                <c:pt idx="439">
                  <c:v>41890</c:v>
                </c:pt>
                <c:pt idx="440">
                  <c:v>41891</c:v>
                </c:pt>
                <c:pt idx="441">
                  <c:v>41892</c:v>
                </c:pt>
                <c:pt idx="442">
                  <c:v>41893</c:v>
                </c:pt>
                <c:pt idx="443">
                  <c:v>41894</c:v>
                </c:pt>
                <c:pt idx="444">
                  <c:v>41897</c:v>
                </c:pt>
                <c:pt idx="445">
                  <c:v>41898</c:v>
                </c:pt>
                <c:pt idx="446">
                  <c:v>41899</c:v>
                </c:pt>
                <c:pt idx="447">
                  <c:v>41900</c:v>
                </c:pt>
                <c:pt idx="448">
                  <c:v>41901</c:v>
                </c:pt>
                <c:pt idx="449">
                  <c:v>41904</c:v>
                </c:pt>
                <c:pt idx="450">
                  <c:v>41905</c:v>
                </c:pt>
                <c:pt idx="451">
                  <c:v>41906</c:v>
                </c:pt>
                <c:pt idx="452">
                  <c:v>41907</c:v>
                </c:pt>
                <c:pt idx="453">
                  <c:v>41908</c:v>
                </c:pt>
                <c:pt idx="454">
                  <c:v>41911</c:v>
                </c:pt>
                <c:pt idx="455">
                  <c:v>41912</c:v>
                </c:pt>
                <c:pt idx="456">
                  <c:v>41913</c:v>
                </c:pt>
                <c:pt idx="457">
                  <c:v>41914</c:v>
                </c:pt>
                <c:pt idx="458">
                  <c:v>41915</c:v>
                </c:pt>
                <c:pt idx="459">
                  <c:v>41918</c:v>
                </c:pt>
                <c:pt idx="460">
                  <c:v>41919</c:v>
                </c:pt>
                <c:pt idx="461">
                  <c:v>41920</c:v>
                </c:pt>
                <c:pt idx="462">
                  <c:v>41921</c:v>
                </c:pt>
                <c:pt idx="463">
                  <c:v>41922</c:v>
                </c:pt>
                <c:pt idx="464">
                  <c:v>41925</c:v>
                </c:pt>
                <c:pt idx="465">
                  <c:v>41926</c:v>
                </c:pt>
                <c:pt idx="466">
                  <c:v>41927</c:v>
                </c:pt>
                <c:pt idx="467">
                  <c:v>41928</c:v>
                </c:pt>
                <c:pt idx="468">
                  <c:v>41929</c:v>
                </c:pt>
                <c:pt idx="469">
                  <c:v>41932</c:v>
                </c:pt>
                <c:pt idx="470">
                  <c:v>41933</c:v>
                </c:pt>
                <c:pt idx="471">
                  <c:v>41934</c:v>
                </c:pt>
                <c:pt idx="472">
                  <c:v>41935</c:v>
                </c:pt>
                <c:pt idx="473">
                  <c:v>41936</c:v>
                </c:pt>
                <c:pt idx="474">
                  <c:v>41939</c:v>
                </c:pt>
                <c:pt idx="475">
                  <c:v>41940</c:v>
                </c:pt>
                <c:pt idx="476">
                  <c:v>41941</c:v>
                </c:pt>
                <c:pt idx="477">
                  <c:v>41942</c:v>
                </c:pt>
                <c:pt idx="478">
                  <c:v>41943</c:v>
                </c:pt>
                <c:pt idx="479">
                  <c:v>41946</c:v>
                </c:pt>
                <c:pt idx="480">
                  <c:v>41947</c:v>
                </c:pt>
                <c:pt idx="481">
                  <c:v>41948</c:v>
                </c:pt>
                <c:pt idx="482">
                  <c:v>41949</c:v>
                </c:pt>
                <c:pt idx="483">
                  <c:v>41950</c:v>
                </c:pt>
                <c:pt idx="484">
                  <c:v>41953</c:v>
                </c:pt>
                <c:pt idx="485">
                  <c:v>41954</c:v>
                </c:pt>
                <c:pt idx="486">
                  <c:v>41955</c:v>
                </c:pt>
                <c:pt idx="487">
                  <c:v>41956</c:v>
                </c:pt>
                <c:pt idx="488">
                  <c:v>41957</c:v>
                </c:pt>
                <c:pt idx="489">
                  <c:v>41960</c:v>
                </c:pt>
                <c:pt idx="490">
                  <c:v>41961</c:v>
                </c:pt>
                <c:pt idx="491">
                  <c:v>41962</c:v>
                </c:pt>
                <c:pt idx="492">
                  <c:v>41963</c:v>
                </c:pt>
                <c:pt idx="493">
                  <c:v>41964</c:v>
                </c:pt>
                <c:pt idx="494">
                  <c:v>41967</c:v>
                </c:pt>
                <c:pt idx="495">
                  <c:v>41968</c:v>
                </c:pt>
                <c:pt idx="496">
                  <c:v>41969</c:v>
                </c:pt>
                <c:pt idx="497">
                  <c:v>41970</c:v>
                </c:pt>
                <c:pt idx="498">
                  <c:v>41971</c:v>
                </c:pt>
                <c:pt idx="499">
                  <c:v>41974</c:v>
                </c:pt>
                <c:pt idx="500">
                  <c:v>41975</c:v>
                </c:pt>
                <c:pt idx="501">
                  <c:v>41976</c:v>
                </c:pt>
                <c:pt idx="502">
                  <c:v>41977</c:v>
                </c:pt>
                <c:pt idx="503">
                  <c:v>41978</c:v>
                </c:pt>
                <c:pt idx="504">
                  <c:v>41981</c:v>
                </c:pt>
                <c:pt idx="505">
                  <c:v>41982</c:v>
                </c:pt>
                <c:pt idx="506">
                  <c:v>41983</c:v>
                </c:pt>
                <c:pt idx="507">
                  <c:v>41984</c:v>
                </c:pt>
                <c:pt idx="508">
                  <c:v>41985</c:v>
                </c:pt>
                <c:pt idx="509">
                  <c:v>41988</c:v>
                </c:pt>
                <c:pt idx="510">
                  <c:v>41989</c:v>
                </c:pt>
                <c:pt idx="511">
                  <c:v>41990</c:v>
                </c:pt>
                <c:pt idx="512">
                  <c:v>41991</c:v>
                </c:pt>
                <c:pt idx="513">
                  <c:v>41992</c:v>
                </c:pt>
                <c:pt idx="514">
                  <c:v>41995</c:v>
                </c:pt>
                <c:pt idx="515">
                  <c:v>41996</c:v>
                </c:pt>
                <c:pt idx="516">
                  <c:v>41997</c:v>
                </c:pt>
                <c:pt idx="517">
                  <c:v>41998</c:v>
                </c:pt>
                <c:pt idx="518">
                  <c:v>41999</c:v>
                </c:pt>
                <c:pt idx="519">
                  <c:v>42002</c:v>
                </c:pt>
                <c:pt idx="520">
                  <c:v>42003</c:v>
                </c:pt>
                <c:pt idx="521">
                  <c:v>42004</c:v>
                </c:pt>
                <c:pt idx="522">
                  <c:v>42005</c:v>
                </c:pt>
                <c:pt idx="523">
                  <c:v>42006</c:v>
                </c:pt>
                <c:pt idx="524">
                  <c:v>42009</c:v>
                </c:pt>
                <c:pt idx="525">
                  <c:v>42010</c:v>
                </c:pt>
                <c:pt idx="526">
                  <c:v>42011</c:v>
                </c:pt>
                <c:pt idx="527">
                  <c:v>42012</c:v>
                </c:pt>
                <c:pt idx="528">
                  <c:v>42013</c:v>
                </c:pt>
                <c:pt idx="529">
                  <c:v>42016</c:v>
                </c:pt>
                <c:pt idx="530">
                  <c:v>42017</c:v>
                </c:pt>
                <c:pt idx="531">
                  <c:v>42018</c:v>
                </c:pt>
                <c:pt idx="532">
                  <c:v>42019</c:v>
                </c:pt>
                <c:pt idx="533">
                  <c:v>42020</c:v>
                </c:pt>
                <c:pt idx="534">
                  <c:v>42023</c:v>
                </c:pt>
                <c:pt idx="535">
                  <c:v>42024</c:v>
                </c:pt>
                <c:pt idx="536">
                  <c:v>42025</c:v>
                </c:pt>
                <c:pt idx="537">
                  <c:v>42026</c:v>
                </c:pt>
                <c:pt idx="538">
                  <c:v>42027</c:v>
                </c:pt>
                <c:pt idx="539">
                  <c:v>42030</c:v>
                </c:pt>
                <c:pt idx="540">
                  <c:v>42031</c:v>
                </c:pt>
                <c:pt idx="541">
                  <c:v>42032</c:v>
                </c:pt>
                <c:pt idx="542">
                  <c:v>42033</c:v>
                </c:pt>
                <c:pt idx="543">
                  <c:v>42034</c:v>
                </c:pt>
                <c:pt idx="544">
                  <c:v>42037</c:v>
                </c:pt>
                <c:pt idx="545">
                  <c:v>42038</c:v>
                </c:pt>
                <c:pt idx="546">
                  <c:v>42039</c:v>
                </c:pt>
                <c:pt idx="547">
                  <c:v>42040</c:v>
                </c:pt>
                <c:pt idx="548">
                  <c:v>42041</c:v>
                </c:pt>
                <c:pt idx="549">
                  <c:v>42044</c:v>
                </c:pt>
                <c:pt idx="550">
                  <c:v>42045</c:v>
                </c:pt>
                <c:pt idx="551">
                  <c:v>42046</c:v>
                </c:pt>
                <c:pt idx="552">
                  <c:v>42047</c:v>
                </c:pt>
                <c:pt idx="553">
                  <c:v>42048</c:v>
                </c:pt>
                <c:pt idx="554">
                  <c:v>42051</c:v>
                </c:pt>
                <c:pt idx="555">
                  <c:v>42052</c:v>
                </c:pt>
                <c:pt idx="556">
                  <c:v>42053</c:v>
                </c:pt>
                <c:pt idx="557">
                  <c:v>42054</c:v>
                </c:pt>
                <c:pt idx="558">
                  <c:v>42055</c:v>
                </c:pt>
                <c:pt idx="559">
                  <c:v>42058</c:v>
                </c:pt>
                <c:pt idx="560">
                  <c:v>42059</c:v>
                </c:pt>
                <c:pt idx="561">
                  <c:v>42060</c:v>
                </c:pt>
                <c:pt idx="562">
                  <c:v>42061</c:v>
                </c:pt>
                <c:pt idx="563">
                  <c:v>42062</c:v>
                </c:pt>
                <c:pt idx="564">
                  <c:v>42065</c:v>
                </c:pt>
                <c:pt idx="565">
                  <c:v>42066</c:v>
                </c:pt>
                <c:pt idx="566">
                  <c:v>42067</c:v>
                </c:pt>
                <c:pt idx="567">
                  <c:v>42068</c:v>
                </c:pt>
                <c:pt idx="568">
                  <c:v>42069</c:v>
                </c:pt>
                <c:pt idx="569">
                  <c:v>42072</c:v>
                </c:pt>
                <c:pt idx="570">
                  <c:v>42073</c:v>
                </c:pt>
                <c:pt idx="571">
                  <c:v>42074</c:v>
                </c:pt>
                <c:pt idx="572">
                  <c:v>42075</c:v>
                </c:pt>
                <c:pt idx="573">
                  <c:v>42076</c:v>
                </c:pt>
                <c:pt idx="574">
                  <c:v>42079</c:v>
                </c:pt>
                <c:pt idx="575">
                  <c:v>42080</c:v>
                </c:pt>
                <c:pt idx="576">
                  <c:v>42081</c:v>
                </c:pt>
                <c:pt idx="577">
                  <c:v>42082</c:v>
                </c:pt>
                <c:pt idx="578">
                  <c:v>42083</c:v>
                </c:pt>
                <c:pt idx="579">
                  <c:v>42086</c:v>
                </c:pt>
                <c:pt idx="580">
                  <c:v>42087</c:v>
                </c:pt>
                <c:pt idx="581">
                  <c:v>42088</c:v>
                </c:pt>
                <c:pt idx="582">
                  <c:v>42089</c:v>
                </c:pt>
                <c:pt idx="583">
                  <c:v>42090</c:v>
                </c:pt>
                <c:pt idx="584">
                  <c:v>42093</c:v>
                </c:pt>
                <c:pt idx="585">
                  <c:v>42094</c:v>
                </c:pt>
                <c:pt idx="586">
                  <c:v>42095</c:v>
                </c:pt>
                <c:pt idx="587">
                  <c:v>42096</c:v>
                </c:pt>
                <c:pt idx="588">
                  <c:v>42097</c:v>
                </c:pt>
                <c:pt idx="589">
                  <c:v>42100</c:v>
                </c:pt>
                <c:pt idx="590">
                  <c:v>42101</c:v>
                </c:pt>
                <c:pt idx="591">
                  <c:v>42102</c:v>
                </c:pt>
                <c:pt idx="592">
                  <c:v>42103</c:v>
                </c:pt>
                <c:pt idx="593">
                  <c:v>42104</c:v>
                </c:pt>
                <c:pt idx="594">
                  <c:v>42107</c:v>
                </c:pt>
                <c:pt idx="595">
                  <c:v>42108</c:v>
                </c:pt>
                <c:pt idx="596">
                  <c:v>42109</c:v>
                </c:pt>
                <c:pt idx="597">
                  <c:v>42110</c:v>
                </c:pt>
                <c:pt idx="598">
                  <c:v>42111</c:v>
                </c:pt>
                <c:pt idx="599">
                  <c:v>42114</c:v>
                </c:pt>
                <c:pt idx="600">
                  <c:v>42115</c:v>
                </c:pt>
                <c:pt idx="601">
                  <c:v>42116</c:v>
                </c:pt>
                <c:pt idx="602">
                  <c:v>42117</c:v>
                </c:pt>
                <c:pt idx="603">
                  <c:v>42118</c:v>
                </c:pt>
                <c:pt idx="604">
                  <c:v>42121</c:v>
                </c:pt>
                <c:pt idx="605">
                  <c:v>42122</c:v>
                </c:pt>
                <c:pt idx="606">
                  <c:v>42123</c:v>
                </c:pt>
                <c:pt idx="607">
                  <c:v>42124</c:v>
                </c:pt>
                <c:pt idx="608">
                  <c:v>42125</c:v>
                </c:pt>
                <c:pt idx="609">
                  <c:v>42128</c:v>
                </c:pt>
                <c:pt idx="610">
                  <c:v>42129</c:v>
                </c:pt>
                <c:pt idx="611">
                  <c:v>42130</c:v>
                </c:pt>
                <c:pt idx="612">
                  <c:v>42131</c:v>
                </c:pt>
                <c:pt idx="613">
                  <c:v>42132</c:v>
                </c:pt>
                <c:pt idx="614">
                  <c:v>42135</c:v>
                </c:pt>
                <c:pt idx="615">
                  <c:v>42136</c:v>
                </c:pt>
                <c:pt idx="616">
                  <c:v>42137</c:v>
                </c:pt>
                <c:pt idx="617">
                  <c:v>42138</c:v>
                </c:pt>
                <c:pt idx="618">
                  <c:v>42139</c:v>
                </c:pt>
                <c:pt idx="619">
                  <c:v>42142</c:v>
                </c:pt>
                <c:pt idx="620">
                  <c:v>42143</c:v>
                </c:pt>
                <c:pt idx="621">
                  <c:v>42144</c:v>
                </c:pt>
                <c:pt idx="622">
                  <c:v>42145</c:v>
                </c:pt>
                <c:pt idx="623">
                  <c:v>42146</c:v>
                </c:pt>
                <c:pt idx="624">
                  <c:v>42149</c:v>
                </c:pt>
                <c:pt idx="625">
                  <c:v>42150</c:v>
                </c:pt>
                <c:pt idx="626">
                  <c:v>42151</c:v>
                </c:pt>
                <c:pt idx="627">
                  <c:v>42152</c:v>
                </c:pt>
                <c:pt idx="628">
                  <c:v>42153</c:v>
                </c:pt>
                <c:pt idx="629">
                  <c:v>42156</c:v>
                </c:pt>
                <c:pt idx="630">
                  <c:v>42157</c:v>
                </c:pt>
                <c:pt idx="631">
                  <c:v>42158</c:v>
                </c:pt>
                <c:pt idx="632">
                  <c:v>42159</c:v>
                </c:pt>
                <c:pt idx="633">
                  <c:v>42160</c:v>
                </c:pt>
                <c:pt idx="634">
                  <c:v>42163</c:v>
                </c:pt>
                <c:pt idx="635">
                  <c:v>42164</c:v>
                </c:pt>
                <c:pt idx="636">
                  <c:v>42165</c:v>
                </c:pt>
                <c:pt idx="637">
                  <c:v>42166</c:v>
                </c:pt>
                <c:pt idx="638">
                  <c:v>42167</c:v>
                </c:pt>
                <c:pt idx="639">
                  <c:v>42170</c:v>
                </c:pt>
                <c:pt idx="640">
                  <c:v>42171</c:v>
                </c:pt>
                <c:pt idx="641">
                  <c:v>42172</c:v>
                </c:pt>
                <c:pt idx="642">
                  <c:v>42173</c:v>
                </c:pt>
                <c:pt idx="643">
                  <c:v>42174</c:v>
                </c:pt>
                <c:pt idx="644">
                  <c:v>42177</c:v>
                </c:pt>
                <c:pt idx="645">
                  <c:v>42178</c:v>
                </c:pt>
                <c:pt idx="646">
                  <c:v>42179</c:v>
                </c:pt>
                <c:pt idx="647">
                  <c:v>42180</c:v>
                </c:pt>
                <c:pt idx="648">
                  <c:v>42181</c:v>
                </c:pt>
                <c:pt idx="649">
                  <c:v>42184</c:v>
                </c:pt>
                <c:pt idx="650">
                  <c:v>42185</c:v>
                </c:pt>
                <c:pt idx="651">
                  <c:v>42186</c:v>
                </c:pt>
                <c:pt idx="652">
                  <c:v>42187</c:v>
                </c:pt>
                <c:pt idx="653">
                  <c:v>42188</c:v>
                </c:pt>
                <c:pt idx="654">
                  <c:v>42191</c:v>
                </c:pt>
                <c:pt idx="655">
                  <c:v>42192</c:v>
                </c:pt>
                <c:pt idx="656">
                  <c:v>42193</c:v>
                </c:pt>
                <c:pt idx="657">
                  <c:v>42194</c:v>
                </c:pt>
                <c:pt idx="658">
                  <c:v>42195</c:v>
                </c:pt>
                <c:pt idx="659">
                  <c:v>42198</c:v>
                </c:pt>
                <c:pt idx="660">
                  <c:v>42199</c:v>
                </c:pt>
                <c:pt idx="661">
                  <c:v>42200</c:v>
                </c:pt>
                <c:pt idx="662">
                  <c:v>42201</c:v>
                </c:pt>
                <c:pt idx="663">
                  <c:v>42202</c:v>
                </c:pt>
                <c:pt idx="664">
                  <c:v>42205</c:v>
                </c:pt>
                <c:pt idx="665">
                  <c:v>42206</c:v>
                </c:pt>
                <c:pt idx="666">
                  <c:v>42207</c:v>
                </c:pt>
                <c:pt idx="667">
                  <c:v>42208</c:v>
                </c:pt>
                <c:pt idx="668">
                  <c:v>42209</c:v>
                </c:pt>
                <c:pt idx="669">
                  <c:v>42212</c:v>
                </c:pt>
                <c:pt idx="670">
                  <c:v>42213</c:v>
                </c:pt>
                <c:pt idx="671">
                  <c:v>42214</c:v>
                </c:pt>
                <c:pt idx="672">
                  <c:v>42215</c:v>
                </c:pt>
                <c:pt idx="673">
                  <c:v>42216</c:v>
                </c:pt>
                <c:pt idx="674">
                  <c:v>42219</c:v>
                </c:pt>
                <c:pt idx="675">
                  <c:v>42220</c:v>
                </c:pt>
                <c:pt idx="676">
                  <c:v>42221</c:v>
                </c:pt>
                <c:pt idx="677">
                  <c:v>42222</c:v>
                </c:pt>
                <c:pt idx="678">
                  <c:v>42223</c:v>
                </c:pt>
                <c:pt idx="679">
                  <c:v>42226</c:v>
                </c:pt>
                <c:pt idx="680">
                  <c:v>42227</c:v>
                </c:pt>
                <c:pt idx="681">
                  <c:v>42228</c:v>
                </c:pt>
                <c:pt idx="682">
                  <c:v>42229</c:v>
                </c:pt>
                <c:pt idx="683">
                  <c:v>42230</c:v>
                </c:pt>
                <c:pt idx="684">
                  <c:v>42233</c:v>
                </c:pt>
                <c:pt idx="685">
                  <c:v>42234</c:v>
                </c:pt>
                <c:pt idx="686">
                  <c:v>42235</c:v>
                </c:pt>
                <c:pt idx="687">
                  <c:v>42236</c:v>
                </c:pt>
                <c:pt idx="688">
                  <c:v>42237</c:v>
                </c:pt>
                <c:pt idx="689">
                  <c:v>42240</c:v>
                </c:pt>
                <c:pt idx="690">
                  <c:v>42241</c:v>
                </c:pt>
                <c:pt idx="691">
                  <c:v>42242</c:v>
                </c:pt>
                <c:pt idx="692">
                  <c:v>42243</c:v>
                </c:pt>
                <c:pt idx="693">
                  <c:v>42244</c:v>
                </c:pt>
                <c:pt idx="694">
                  <c:v>42247</c:v>
                </c:pt>
                <c:pt idx="695">
                  <c:v>42248</c:v>
                </c:pt>
                <c:pt idx="696">
                  <c:v>42249</c:v>
                </c:pt>
                <c:pt idx="697">
                  <c:v>42250</c:v>
                </c:pt>
                <c:pt idx="698">
                  <c:v>42251</c:v>
                </c:pt>
                <c:pt idx="699">
                  <c:v>42254</c:v>
                </c:pt>
                <c:pt idx="700">
                  <c:v>42255</c:v>
                </c:pt>
                <c:pt idx="701">
                  <c:v>42256</c:v>
                </c:pt>
                <c:pt idx="702">
                  <c:v>42257</c:v>
                </c:pt>
                <c:pt idx="703">
                  <c:v>42258</c:v>
                </c:pt>
                <c:pt idx="704">
                  <c:v>42261</c:v>
                </c:pt>
                <c:pt idx="705">
                  <c:v>42262</c:v>
                </c:pt>
                <c:pt idx="706">
                  <c:v>42263</c:v>
                </c:pt>
                <c:pt idx="707">
                  <c:v>42264</c:v>
                </c:pt>
                <c:pt idx="708">
                  <c:v>42265</c:v>
                </c:pt>
                <c:pt idx="709">
                  <c:v>42268</c:v>
                </c:pt>
                <c:pt idx="710">
                  <c:v>42269</c:v>
                </c:pt>
                <c:pt idx="711">
                  <c:v>42270</c:v>
                </c:pt>
                <c:pt idx="712">
                  <c:v>42271</c:v>
                </c:pt>
                <c:pt idx="713">
                  <c:v>42272</c:v>
                </c:pt>
                <c:pt idx="714">
                  <c:v>42275</c:v>
                </c:pt>
                <c:pt idx="715">
                  <c:v>42276</c:v>
                </c:pt>
                <c:pt idx="716">
                  <c:v>42277</c:v>
                </c:pt>
                <c:pt idx="717">
                  <c:v>42278</c:v>
                </c:pt>
                <c:pt idx="718">
                  <c:v>42279</c:v>
                </c:pt>
                <c:pt idx="719">
                  <c:v>42282</c:v>
                </c:pt>
                <c:pt idx="720">
                  <c:v>42283</c:v>
                </c:pt>
                <c:pt idx="721">
                  <c:v>42284</c:v>
                </c:pt>
                <c:pt idx="722">
                  <c:v>42285</c:v>
                </c:pt>
                <c:pt idx="723">
                  <c:v>42286</c:v>
                </c:pt>
                <c:pt idx="724">
                  <c:v>42289</c:v>
                </c:pt>
                <c:pt idx="725">
                  <c:v>42290</c:v>
                </c:pt>
                <c:pt idx="726">
                  <c:v>42291</c:v>
                </c:pt>
                <c:pt idx="727">
                  <c:v>42292</c:v>
                </c:pt>
                <c:pt idx="728">
                  <c:v>42293</c:v>
                </c:pt>
                <c:pt idx="729">
                  <c:v>42296</c:v>
                </c:pt>
                <c:pt idx="730">
                  <c:v>42297</c:v>
                </c:pt>
                <c:pt idx="731">
                  <c:v>42298</c:v>
                </c:pt>
                <c:pt idx="732">
                  <c:v>42299</c:v>
                </c:pt>
                <c:pt idx="733">
                  <c:v>42300</c:v>
                </c:pt>
                <c:pt idx="734">
                  <c:v>42303</c:v>
                </c:pt>
                <c:pt idx="735">
                  <c:v>42304</c:v>
                </c:pt>
                <c:pt idx="736">
                  <c:v>42305</c:v>
                </c:pt>
                <c:pt idx="737">
                  <c:v>42306</c:v>
                </c:pt>
                <c:pt idx="738">
                  <c:v>42307</c:v>
                </c:pt>
                <c:pt idx="739">
                  <c:v>42310</c:v>
                </c:pt>
                <c:pt idx="740">
                  <c:v>42311</c:v>
                </c:pt>
                <c:pt idx="741">
                  <c:v>42312</c:v>
                </c:pt>
                <c:pt idx="742">
                  <c:v>42313</c:v>
                </c:pt>
                <c:pt idx="743">
                  <c:v>42314</c:v>
                </c:pt>
                <c:pt idx="744">
                  <c:v>42317</c:v>
                </c:pt>
                <c:pt idx="745">
                  <c:v>42318</c:v>
                </c:pt>
                <c:pt idx="746">
                  <c:v>42319</c:v>
                </c:pt>
                <c:pt idx="747">
                  <c:v>42320</c:v>
                </c:pt>
                <c:pt idx="748">
                  <c:v>42321</c:v>
                </c:pt>
                <c:pt idx="749">
                  <c:v>42324</c:v>
                </c:pt>
                <c:pt idx="750">
                  <c:v>42325</c:v>
                </c:pt>
                <c:pt idx="751">
                  <c:v>42326</c:v>
                </c:pt>
                <c:pt idx="752">
                  <c:v>42327</c:v>
                </c:pt>
                <c:pt idx="753">
                  <c:v>42328</c:v>
                </c:pt>
                <c:pt idx="754">
                  <c:v>42331</c:v>
                </c:pt>
                <c:pt idx="755">
                  <c:v>42332</c:v>
                </c:pt>
                <c:pt idx="756">
                  <c:v>42333</c:v>
                </c:pt>
                <c:pt idx="757">
                  <c:v>42334</c:v>
                </c:pt>
                <c:pt idx="758">
                  <c:v>42335</c:v>
                </c:pt>
                <c:pt idx="759">
                  <c:v>42338</c:v>
                </c:pt>
                <c:pt idx="760">
                  <c:v>42339</c:v>
                </c:pt>
                <c:pt idx="761">
                  <c:v>42340</c:v>
                </c:pt>
                <c:pt idx="762">
                  <c:v>42341</c:v>
                </c:pt>
                <c:pt idx="763">
                  <c:v>42342</c:v>
                </c:pt>
                <c:pt idx="764">
                  <c:v>42345</c:v>
                </c:pt>
                <c:pt idx="765">
                  <c:v>42346</c:v>
                </c:pt>
                <c:pt idx="766">
                  <c:v>42347</c:v>
                </c:pt>
                <c:pt idx="767">
                  <c:v>42348</c:v>
                </c:pt>
                <c:pt idx="768">
                  <c:v>42349</c:v>
                </c:pt>
                <c:pt idx="769">
                  <c:v>42352</c:v>
                </c:pt>
                <c:pt idx="770">
                  <c:v>42353</c:v>
                </c:pt>
                <c:pt idx="771">
                  <c:v>42354</c:v>
                </c:pt>
                <c:pt idx="772">
                  <c:v>42355</c:v>
                </c:pt>
                <c:pt idx="773">
                  <c:v>42356</c:v>
                </c:pt>
                <c:pt idx="774">
                  <c:v>42359</c:v>
                </c:pt>
                <c:pt idx="775">
                  <c:v>42360</c:v>
                </c:pt>
                <c:pt idx="776">
                  <c:v>42361</c:v>
                </c:pt>
                <c:pt idx="777">
                  <c:v>42362</c:v>
                </c:pt>
                <c:pt idx="778">
                  <c:v>42363</c:v>
                </c:pt>
                <c:pt idx="779">
                  <c:v>42366</c:v>
                </c:pt>
                <c:pt idx="780">
                  <c:v>42367</c:v>
                </c:pt>
                <c:pt idx="781">
                  <c:v>42368</c:v>
                </c:pt>
                <c:pt idx="782">
                  <c:v>42369</c:v>
                </c:pt>
                <c:pt idx="783">
                  <c:v>42370</c:v>
                </c:pt>
                <c:pt idx="784">
                  <c:v>42373</c:v>
                </c:pt>
                <c:pt idx="785">
                  <c:v>42374</c:v>
                </c:pt>
                <c:pt idx="786">
                  <c:v>42375</c:v>
                </c:pt>
                <c:pt idx="787">
                  <c:v>42376</c:v>
                </c:pt>
                <c:pt idx="788">
                  <c:v>42377</c:v>
                </c:pt>
                <c:pt idx="789">
                  <c:v>42380</c:v>
                </c:pt>
                <c:pt idx="790">
                  <c:v>42381</c:v>
                </c:pt>
                <c:pt idx="791">
                  <c:v>42382</c:v>
                </c:pt>
                <c:pt idx="792">
                  <c:v>42383</c:v>
                </c:pt>
                <c:pt idx="793">
                  <c:v>42384</c:v>
                </c:pt>
                <c:pt idx="794">
                  <c:v>42387</c:v>
                </c:pt>
                <c:pt idx="795">
                  <c:v>42388</c:v>
                </c:pt>
                <c:pt idx="796">
                  <c:v>42389</c:v>
                </c:pt>
                <c:pt idx="797">
                  <c:v>42390</c:v>
                </c:pt>
                <c:pt idx="798">
                  <c:v>42391</c:v>
                </c:pt>
                <c:pt idx="799">
                  <c:v>42394</c:v>
                </c:pt>
                <c:pt idx="800">
                  <c:v>42395</c:v>
                </c:pt>
                <c:pt idx="801">
                  <c:v>42396</c:v>
                </c:pt>
                <c:pt idx="802">
                  <c:v>42397</c:v>
                </c:pt>
                <c:pt idx="803">
                  <c:v>42398</c:v>
                </c:pt>
                <c:pt idx="804">
                  <c:v>42401</c:v>
                </c:pt>
                <c:pt idx="805">
                  <c:v>42402</c:v>
                </c:pt>
                <c:pt idx="806">
                  <c:v>42403</c:v>
                </c:pt>
                <c:pt idx="807">
                  <c:v>42404</c:v>
                </c:pt>
                <c:pt idx="808">
                  <c:v>42405</c:v>
                </c:pt>
                <c:pt idx="809">
                  <c:v>42408</c:v>
                </c:pt>
                <c:pt idx="810">
                  <c:v>42409</c:v>
                </c:pt>
                <c:pt idx="811">
                  <c:v>42410</c:v>
                </c:pt>
                <c:pt idx="812">
                  <c:v>42411</c:v>
                </c:pt>
                <c:pt idx="813">
                  <c:v>42412</c:v>
                </c:pt>
                <c:pt idx="814">
                  <c:v>42415</c:v>
                </c:pt>
                <c:pt idx="815">
                  <c:v>42416</c:v>
                </c:pt>
                <c:pt idx="816">
                  <c:v>42417</c:v>
                </c:pt>
                <c:pt idx="817">
                  <c:v>42418</c:v>
                </c:pt>
                <c:pt idx="818">
                  <c:v>42419</c:v>
                </c:pt>
                <c:pt idx="819">
                  <c:v>42422</c:v>
                </c:pt>
                <c:pt idx="820">
                  <c:v>42423</c:v>
                </c:pt>
                <c:pt idx="821">
                  <c:v>42424</c:v>
                </c:pt>
                <c:pt idx="822">
                  <c:v>42425</c:v>
                </c:pt>
                <c:pt idx="823">
                  <c:v>42426</c:v>
                </c:pt>
                <c:pt idx="824">
                  <c:v>42429</c:v>
                </c:pt>
                <c:pt idx="825">
                  <c:v>42430</c:v>
                </c:pt>
                <c:pt idx="826">
                  <c:v>42431</c:v>
                </c:pt>
                <c:pt idx="827">
                  <c:v>42432</c:v>
                </c:pt>
                <c:pt idx="828">
                  <c:v>42433</c:v>
                </c:pt>
                <c:pt idx="829">
                  <c:v>42436</c:v>
                </c:pt>
                <c:pt idx="830">
                  <c:v>42437</c:v>
                </c:pt>
                <c:pt idx="831">
                  <c:v>42438</c:v>
                </c:pt>
                <c:pt idx="832">
                  <c:v>42439</c:v>
                </c:pt>
                <c:pt idx="833">
                  <c:v>42440</c:v>
                </c:pt>
                <c:pt idx="834">
                  <c:v>42443</c:v>
                </c:pt>
                <c:pt idx="835">
                  <c:v>42444</c:v>
                </c:pt>
                <c:pt idx="836">
                  <c:v>42445</c:v>
                </c:pt>
                <c:pt idx="837">
                  <c:v>42446</c:v>
                </c:pt>
                <c:pt idx="838">
                  <c:v>42447</c:v>
                </c:pt>
                <c:pt idx="839">
                  <c:v>42450</c:v>
                </c:pt>
                <c:pt idx="840">
                  <c:v>42451</c:v>
                </c:pt>
                <c:pt idx="841">
                  <c:v>42452</c:v>
                </c:pt>
                <c:pt idx="842">
                  <c:v>42453</c:v>
                </c:pt>
                <c:pt idx="843">
                  <c:v>42454</c:v>
                </c:pt>
                <c:pt idx="844">
                  <c:v>42457</c:v>
                </c:pt>
                <c:pt idx="845">
                  <c:v>42458</c:v>
                </c:pt>
                <c:pt idx="846">
                  <c:v>42459</c:v>
                </c:pt>
                <c:pt idx="847">
                  <c:v>42460</c:v>
                </c:pt>
                <c:pt idx="848">
                  <c:v>42461</c:v>
                </c:pt>
                <c:pt idx="849">
                  <c:v>42464</c:v>
                </c:pt>
                <c:pt idx="850">
                  <c:v>42465</c:v>
                </c:pt>
                <c:pt idx="851">
                  <c:v>42466</c:v>
                </c:pt>
                <c:pt idx="852">
                  <c:v>42467</c:v>
                </c:pt>
                <c:pt idx="853">
                  <c:v>42468</c:v>
                </c:pt>
                <c:pt idx="854">
                  <c:v>42471</c:v>
                </c:pt>
                <c:pt idx="855">
                  <c:v>42472</c:v>
                </c:pt>
                <c:pt idx="856">
                  <c:v>42473</c:v>
                </c:pt>
                <c:pt idx="857">
                  <c:v>42474</c:v>
                </c:pt>
                <c:pt idx="858">
                  <c:v>42475</c:v>
                </c:pt>
                <c:pt idx="859">
                  <c:v>42478</c:v>
                </c:pt>
                <c:pt idx="860">
                  <c:v>42479</c:v>
                </c:pt>
                <c:pt idx="861">
                  <c:v>42480</c:v>
                </c:pt>
                <c:pt idx="862">
                  <c:v>42481</c:v>
                </c:pt>
                <c:pt idx="863">
                  <c:v>42482</c:v>
                </c:pt>
                <c:pt idx="864">
                  <c:v>42485</c:v>
                </c:pt>
                <c:pt idx="865">
                  <c:v>42486</c:v>
                </c:pt>
                <c:pt idx="866">
                  <c:v>42487</c:v>
                </c:pt>
                <c:pt idx="867">
                  <c:v>42488</c:v>
                </c:pt>
                <c:pt idx="868">
                  <c:v>42489</c:v>
                </c:pt>
                <c:pt idx="869">
                  <c:v>42492</c:v>
                </c:pt>
                <c:pt idx="870">
                  <c:v>42493</c:v>
                </c:pt>
                <c:pt idx="871">
                  <c:v>42494</c:v>
                </c:pt>
                <c:pt idx="872">
                  <c:v>42495</c:v>
                </c:pt>
                <c:pt idx="873">
                  <c:v>42496</c:v>
                </c:pt>
                <c:pt idx="874">
                  <c:v>42499</c:v>
                </c:pt>
                <c:pt idx="875">
                  <c:v>42500</c:v>
                </c:pt>
                <c:pt idx="876">
                  <c:v>42501</c:v>
                </c:pt>
                <c:pt idx="877">
                  <c:v>42502</c:v>
                </c:pt>
                <c:pt idx="878">
                  <c:v>42503</c:v>
                </c:pt>
                <c:pt idx="879">
                  <c:v>42506</c:v>
                </c:pt>
                <c:pt idx="880">
                  <c:v>42507</c:v>
                </c:pt>
                <c:pt idx="881">
                  <c:v>42508</c:v>
                </c:pt>
                <c:pt idx="882">
                  <c:v>42509</c:v>
                </c:pt>
                <c:pt idx="883">
                  <c:v>42510</c:v>
                </c:pt>
                <c:pt idx="884">
                  <c:v>42513</c:v>
                </c:pt>
                <c:pt idx="885">
                  <c:v>42514</c:v>
                </c:pt>
                <c:pt idx="886">
                  <c:v>42515</c:v>
                </c:pt>
                <c:pt idx="887">
                  <c:v>42516</c:v>
                </c:pt>
                <c:pt idx="888">
                  <c:v>42517</c:v>
                </c:pt>
                <c:pt idx="889">
                  <c:v>42520</c:v>
                </c:pt>
                <c:pt idx="890">
                  <c:v>42521</c:v>
                </c:pt>
                <c:pt idx="891">
                  <c:v>42522</c:v>
                </c:pt>
                <c:pt idx="892">
                  <c:v>42523</c:v>
                </c:pt>
                <c:pt idx="893">
                  <c:v>42524</c:v>
                </c:pt>
                <c:pt idx="894">
                  <c:v>42527</c:v>
                </c:pt>
                <c:pt idx="895">
                  <c:v>42528</c:v>
                </c:pt>
                <c:pt idx="896">
                  <c:v>42529</c:v>
                </c:pt>
                <c:pt idx="897">
                  <c:v>42530</c:v>
                </c:pt>
                <c:pt idx="898">
                  <c:v>42531</c:v>
                </c:pt>
                <c:pt idx="899">
                  <c:v>42534</c:v>
                </c:pt>
                <c:pt idx="900">
                  <c:v>42535</c:v>
                </c:pt>
                <c:pt idx="901">
                  <c:v>42536</c:v>
                </c:pt>
                <c:pt idx="902">
                  <c:v>42537</c:v>
                </c:pt>
                <c:pt idx="903">
                  <c:v>42538</c:v>
                </c:pt>
                <c:pt idx="904">
                  <c:v>42541</c:v>
                </c:pt>
                <c:pt idx="905">
                  <c:v>42542</c:v>
                </c:pt>
                <c:pt idx="906">
                  <c:v>42543</c:v>
                </c:pt>
                <c:pt idx="907">
                  <c:v>42544</c:v>
                </c:pt>
                <c:pt idx="908">
                  <c:v>42545</c:v>
                </c:pt>
                <c:pt idx="909">
                  <c:v>42548</c:v>
                </c:pt>
                <c:pt idx="910">
                  <c:v>42549</c:v>
                </c:pt>
                <c:pt idx="911">
                  <c:v>42550</c:v>
                </c:pt>
                <c:pt idx="912">
                  <c:v>42551</c:v>
                </c:pt>
                <c:pt idx="913">
                  <c:v>42552</c:v>
                </c:pt>
                <c:pt idx="914">
                  <c:v>42555</c:v>
                </c:pt>
                <c:pt idx="915">
                  <c:v>42556</c:v>
                </c:pt>
                <c:pt idx="916">
                  <c:v>42557</c:v>
                </c:pt>
                <c:pt idx="917">
                  <c:v>42558</c:v>
                </c:pt>
                <c:pt idx="918">
                  <c:v>42559</c:v>
                </c:pt>
                <c:pt idx="919">
                  <c:v>42562</c:v>
                </c:pt>
                <c:pt idx="920">
                  <c:v>42563</c:v>
                </c:pt>
                <c:pt idx="921">
                  <c:v>42564</c:v>
                </c:pt>
                <c:pt idx="922">
                  <c:v>42565</c:v>
                </c:pt>
                <c:pt idx="923">
                  <c:v>42566</c:v>
                </c:pt>
                <c:pt idx="924">
                  <c:v>42569</c:v>
                </c:pt>
                <c:pt idx="925">
                  <c:v>42570</c:v>
                </c:pt>
                <c:pt idx="926">
                  <c:v>42571</c:v>
                </c:pt>
                <c:pt idx="927">
                  <c:v>42572</c:v>
                </c:pt>
                <c:pt idx="928">
                  <c:v>42573</c:v>
                </c:pt>
                <c:pt idx="929">
                  <c:v>42576</c:v>
                </c:pt>
                <c:pt idx="930">
                  <c:v>42577</c:v>
                </c:pt>
                <c:pt idx="931">
                  <c:v>42578</c:v>
                </c:pt>
                <c:pt idx="932">
                  <c:v>42579</c:v>
                </c:pt>
                <c:pt idx="933">
                  <c:v>42580</c:v>
                </c:pt>
                <c:pt idx="934">
                  <c:v>42583</c:v>
                </c:pt>
                <c:pt idx="935">
                  <c:v>42584</c:v>
                </c:pt>
                <c:pt idx="936">
                  <c:v>42585</c:v>
                </c:pt>
                <c:pt idx="937">
                  <c:v>42586</c:v>
                </c:pt>
                <c:pt idx="938">
                  <c:v>42587</c:v>
                </c:pt>
                <c:pt idx="939">
                  <c:v>42590</c:v>
                </c:pt>
                <c:pt idx="940">
                  <c:v>42591</c:v>
                </c:pt>
              </c:numCache>
            </c:numRef>
          </c:cat>
          <c:val>
            <c:numRef>
              <c:f>[0]!dhpRange</c:f>
              <c:numCache>
                <c:formatCode>General</c:formatCode>
                <c:ptCount val="9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-920</c:v>
                </c:pt>
                <c:pt idx="4">
                  <c:v>-4060</c:v>
                </c:pt>
                <c:pt idx="5">
                  <c:v>-5860</c:v>
                </c:pt>
                <c:pt idx="6">
                  <c:v>-8660</c:v>
                </c:pt>
                <c:pt idx="7">
                  <c:v>-460</c:v>
                </c:pt>
                <c:pt idx="8">
                  <c:v>-10460</c:v>
                </c:pt>
                <c:pt idx="9">
                  <c:v>-17580</c:v>
                </c:pt>
                <c:pt idx="10">
                  <c:v>-10260</c:v>
                </c:pt>
                <c:pt idx="11">
                  <c:v>-1940</c:v>
                </c:pt>
                <c:pt idx="12">
                  <c:v>35040</c:v>
                </c:pt>
                <c:pt idx="13">
                  <c:v>28400</c:v>
                </c:pt>
                <c:pt idx="14">
                  <c:v>27100</c:v>
                </c:pt>
                <c:pt idx="15">
                  <c:v>44600</c:v>
                </c:pt>
                <c:pt idx="16">
                  <c:v>12580</c:v>
                </c:pt>
                <c:pt idx="17">
                  <c:v>27640</c:v>
                </c:pt>
                <c:pt idx="18">
                  <c:v>24940</c:v>
                </c:pt>
                <c:pt idx="19">
                  <c:v>28540</c:v>
                </c:pt>
                <c:pt idx="20">
                  <c:v>43240</c:v>
                </c:pt>
                <c:pt idx="21">
                  <c:v>47140</c:v>
                </c:pt>
                <c:pt idx="22">
                  <c:v>39340</c:v>
                </c:pt>
                <c:pt idx="23">
                  <c:v>44740</c:v>
                </c:pt>
                <c:pt idx="24">
                  <c:v>30340</c:v>
                </c:pt>
                <c:pt idx="25">
                  <c:v>35140</c:v>
                </c:pt>
                <c:pt idx="26">
                  <c:v>32140</c:v>
                </c:pt>
                <c:pt idx="27">
                  <c:v>27940</c:v>
                </c:pt>
                <c:pt idx="28">
                  <c:v>27520</c:v>
                </c:pt>
                <c:pt idx="29">
                  <c:v>27760</c:v>
                </c:pt>
                <c:pt idx="30">
                  <c:v>29720</c:v>
                </c:pt>
                <c:pt idx="31">
                  <c:v>24920</c:v>
                </c:pt>
                <c:pt idx="32">
                  <c:v>29120</c:v>
                </c:pt>
                <c:pt idx="33">
                  <c:v>8600</c:v>
                </c:pt>
                <c:pt idx="34">
                  <c:v>6960</c:v>
                </c:pt>
                <c:pt idx="35">
                  <c:v>10760</c:v>
                </c:pt>
                <c:pt idx="36">
                  <c:v>340</c:v>
                </c:pt>
                <c:pt idx="37">
                  <c:v>7380</c:v>
                </c:pt>
                <c:pt idx="38">
                  <c:v>12040</c:v>
                </c:pt>
                <c:pt idx="39">
                  <c:v>13100</c:v>
                </c:pt>
                <c:pt idx="40">
                  <c:v>17000</c:v>
                </c:pt>
                <c:pt idx="41">
                  <c:v>19760</c:v>
                </c:pt>
                <c:pt idx="42">
                  <c:v>28220</c:v>
                </c:pt>
                <c:pt idx="43">
                  <c:v>48240</c:v>
                </c:pt>
                <c:pt idx="44">
                  <c:v>48240</c:v>
                </c:pt>
                <c:pt idx="45">
                  <c:v>51440</c:v>
                </c:pt>
                <c:pt idx="46">
                  <c:v>49320</c:v>
                </c:pt>
                <c:pt idx="47">
                  <c:v>51080</c:v>
                </c:pt>
                <c:pt idx="48">
                  <c:v>49680</c:v>
                </c:pt>
                <c:pt idx="49">
                  <c:v>46180</c:v>
                </c:pt>
                <c:pt idx="50">
                  <c:v>44080</c:v>
                </c:pt>
                <c:pt idx="51">
                  <c:v>50880</c:v>
                </c:pt>
                <c:pt idx="52">
                  <c:v>41820</c:v>
                </c:pt>
                <c:pt idx="53">
                  <c:v>27160</c:v>
                </c:pt>
                <c:pt idx="54">
                  <c:v>30480</c:v>
                </c:pt>
                <c:pt idx="55">
                  <c:v>20080</c:v>
                </c:pt>
                <c:pt idx="56">
                  <c:v>22280</c:v>
                </c:pt>
                <c:pt idx="57">
                  <c:v>12520</c:v>
                </c:pt>
                <c:pt idx="58">
                  <c:v>10540</c:v>
                </c:pt>
                <c:pt idx="59">
                  <c:v>21660</c:v>
                </c:pt>
                <c:pt idx="60">
                  <c:v>36400</c:v>
                </c:pt>
                <c:pt idx="61">
                  <c:v>46600</c:v>
                </c:pt>
                <c:pt idx="62">
                  <c:v>50960</c:v>
                </c:pt>
                <c:pt idx="63">
                  <c:v>53060</c:v>
                </c:pt>
                <c:pt idx="64">
                  <c:v>59560</c:v>
                </c:pt>
                <c:pt idx="65">
                  <c:v>56360</c:v>
                </c:pt>
                <c:pt idx="66">
                  <c:v>86140</c:v>
                </c:pt>
                <c:pt idx="67">
                  <c:v>109880</c:v>
                </c:pt>
                <c:pt idx="68">
                  <c:v>116040</c:v>
                </c:pt>
                <c:pt idx="69">
                  <c:v>99140</c:v>
                </c:pt>
                <c:pt idx="70">
                  <c:v>80840</c:v>
                </c:pt>
                <c:pt idx="71">
                  <c:v>70440</c:v>
                </c:pt>
                <c:pt idx="72">
                  <c:v>97340</c:v>
                </c:pt>
                <c:pt idx="73">
                  <c:v>133940</c:v>
                </c:pt>
                <c:pt idx="74">
                  <c:v>200180</c:v>
                </c:pt>
                <c:pt idx="75">
                  <c:v>192240</c:v>
                </c:pt>
                <c:pt idx="76">
                  <c:v>218500</c:v>
                </c:pt>
                <c:pt idx="77">
                  <c:v>211900</c:v>
                </c:pt>
                <c:pt idx="78">
                  <c:v>199000</c:v>
                </c:pt>
                <c:pt idx="79">
                  <c:v>194700</c:v>
                </c:pt>
                <c:pt idx="80">
                  <c:v>192920</c:v>
                </c:pt>
                <c:pt idx="81">
                  <c:v>185580</c:v>
                </c:pt>
                <c:pt idx="82">
                  <c:v>162420</c:v>
                </c:pt>
                <c:pt idx="83">
                  <c:v>160200</c:v>
                </c:pt>
                <c:pt idx="84">
                  <c:v>174960</c:v>
                </c:pt>
                <c:pt idx="85">
                  <c:v>160760</c:v>
                </c:pt>
                <c:pt idx="86">
                  <c:v>137560</c:v>
                </c:pt>
                <c:pt idx="87">
                  <c:v>158560</c:v>
                </c:pt>
                <c:pt idx="88">
                  <c:v>182160</c:v>
                </c:pt>
                <c:pt idx="89">
                  <c:v>189960</c:v>
                </c:pt>
                <c:pt idx="90">
                  <c:v>180960</c:v>
                </c:pt>
                <c:pt idx="91">
                  <c:v>195360</c:v>
                </c:pt>
                <c:pt idx="92">
                  <c:v>183760</c:v>
                </c:pt>
                <c:pt idx="93">
                  <c:v>175560</c:v>
                </c:pt>
                <c:pt idx="94">
                  <c:v>168360</c:v>
                </c:pt>
                <c:pt idx="95">
                  <c:v>158360</c:v>
                </c:pt>
                <c:pt idx="96">
                  <c:v>157160</c:v>
                </c:pt>
                <c:pt idx="97">
                  <c:v>168760</c:v>
                </c:pt>
                <c:pt idx="98">
                  <c:v>174560</c:v>
                </c:pt>
                <c:pt idx="99">
                  <c:v>181160</c:v>
                </c:pt>
                <c:pt idx="100">
                  <c:v>175760</c:v>
                </c:pt>
                <c:pt idx="101">
                  <c:v>156560</c:v>
                </c:pt>
                <c:pt idx="102">
                  <c:v>150560</c:v>
                </c:pt>
                <c:pt idx="103">
                  <c:v>153160</c:v>
                </c:pt>
                <c:pt idx="104">
                  <c:v>148560</c:v>
                </c:pt>
                <c:pt idx="105">
                  <c:v>162160</c:v>
                </c:pt>
                <c:pt idx="106">
                  <c:v>144560</c:v>
                </c:pt>
                <c:pt idx="107">
                  <c:v>147160</c:v>
                </c:pt>
                <c:pt idx="108">
                  <c:v>135760</c:v>
                </c:pt>
                <c:pt idx="109">
                  <c:v>146560</c:v>
                </c:pt>
                <c:pt idx="110">
                  <c:v>146560</c:v>
                </c:pt>
                <c:pt idx="111">
                  <c:v>146560</c:v>
                </c:pt>
                <c:pt idx="112">
                  <c:v>146560</c:v>
                </c:pt>
                <c:pt idx="113">
                  <c:v>146080</c:v>
                </c:pt>
                <c:pt idx="114">
                  <c:v>145600</c:v>
                </c:pt>
                <c:pt idx="115">
                  <c:v>146080</c:v>
                </c:pt>
                <c:pt idx="116">
                  <c:v>144400</c:v>
                </c:pt>
                <c:pt idx="117">
                  <c:v>139620</c:v>
                </c:pt>
                <c:pt idx="118">
                  <c:v>126540</c:v>
                </c:pt>
                <c:pt idx="119">
                  <c:v>124960</c:v>
                </c:pt>
                <c:pt idx="120">
                  <c:v>120460</c:v>
                </c:pt>
                <c:pt idx="121">
                  <c:v>121060</c:v>
                </c:pt>
                <c:pt idx="122">
                  <c:v>121340</c:v>
                </c:pt>
                <c:pt idx="123">
                  <c:v>127060</c:v>
                </c:pt>
                <c:pt idx="124">
                  <c:v>121580</c:v>
                </c:pt>
                <c:pt idx="125">
                  <c:v>122680</c:v>
                </c:pt>
                <c:pt idx="126">
                  <c:v>123980</c:v>
                </c:pt>
                <c:pt idx="127">
                  <c:v>113380</c:v>
                </c:pt>
                <c:pt idx="128">
                  <c:v>117680</c:v>
                </c:pt>
                <c:pt idx="129">
                  <c:v>118860</c:v>
                </c:pt>
                <c:pt idx="130">
                  <c:v>125360</c:v>
                </c:pt>
                <c:pt idx="131">
                  <c:v>139140</c:v>
                </c:pt>
                <c:pt idx="132">
                  <c:v>140220</c:v>
                </c:pt>
                <c:pt idx="133">
                  <c:v>154680</c:v>
                </c:pt>
                <c:pt idx="134">
                  <c:v>152600</c:v>
                </c:pt>
                <c:pt idx="135">
                  <c:v>154740</c:v>
                </c:pt>
                <c:pt idx="136">
                  <c:v>175740</c:v>
                </c:pt>
                <c:pt idx="137">
                  <c:v>165520</c:v>
                </c:pt>
                <c:pt idx="138">
                  <c:v>172880</c:v>
                </c:pt>
                <c:pt idx="139">
                  <c:v>173080</c:v>
                </c:pt>
                <c:pt idx="140">
                  <c:v>172180</c:v>
                </c:pt>
                <c:pt idx="141">
                  <c:v>178580</c:v>
                </c:pt>
                <c:pt idx="142">
                  <c:v>198580</c:v>
                </c:pt>
                <c:pt idx="143">
                  <c:v>193380</c:v>
                </c:pt>
                <c:pt idx="144">
                  <c:v>190960</c:v>
                </c:pt>
                <c:pt idx="145">
                  <c:v>192620</c:v>
                </c:pt>
                <c:pt idx="146">
                  <c:v>188160</c:v>
                </c:pt>
                <c:pt idx="147">
                  <c:v>185740</c:v>
                </c:pt>
                <c:pt idx="148">
                  <c:v>191340</c:v>
                </c:pt>
                <c:pt idx="149">
                  <c:v>191340</c:v>
                </c:pt>
                <c:pt idx="150">
                  <c:v>189660</c:v>
                </c:pt>
                <c:pt idx="151">
                  <c:v>182420</c:v>
                </c:pt>
                <c:pt idx="152">
                  <c:v>177980</c:v>
                </c:pt>
                <c:pt idx="153">
                  <c:v>194420</c:v>
                </c:pt>
                <c:pt idx="154">
                  <c:v>195180</c:v>
                </c:pt>
                <c:pt idx="155">
                  <c:v>235100</c:v>
                </c:pt>
                <c:pt idx="156">
                  <c:v>261880</c:v>
                </c:pt>
                <c:pt idx="157">
                  <c:v>313620</c:v>
                </c:pt>
                <c:pt idx="158">
                  <c:v>189880</c:v>
                </c:pt>
                <c:pt idx="159">
                  <c:v>201980</c:v>
                </c:pt>
                <c:pt idx="160">
                  <c:v>149260</c:v>
                </c:pt>
                <c:pt idx="161">
                  <c:v>151680</c:v>
                </c:pt>
                <c:pt idx="162">
                  <c:v>151320</c:v>
                </c:pt>
                <c:pt idx="163">
                  <c:v>151320</c:v>
                </c:pt>
                <c:pt idx="164">
                  <c:v>151320</c:v>
                </c:pt>
                <c:pt idx="165">
                  <c:v>150240</c:v>
                </c:pt>
                <c:pt idx="166">
                  <c:v>150240</c:v>
                </c:pt>
                <c:pt idx="167">
                  <c:v>149640</c:v>
                </c:pt>
                <c:pt idx="168">
                  <c:v>149640</c:v>
                </c:pt>
                <c:pt idx="169">
                  <c:v>149640</c:v>
                </c:pt>
                <c:pt idx="170">
                  <c:v>154480</c:v>
                </c:pt>
                <c:pt idx="171">
                  <c:v>162860</c:v>
                </c:pt>
                <c:pt idx="172">
                  <c:v>164960</c:v>
                </c:pt>
                <c:pt idx="173">
                  <c:v>152360</c:v>
                </c:pt>
                <c:pt idx="174">
                  <c:v>142260</c:v>
                </c:pt>
                <c:pt idx="175">
                  <c:v>164860</c:v>
                </c:pt>
                <c:pt idx="176">
                  <c:v>146160</c:v>
                </c:pt>
                <c:pt idx="177">
                  <c:v>165060</c:v>
                </c:pt>
                <c:pt idx="178">
                  <c:v>189840</c:v>
                </c:pt>
                <c:pt idx="179">
                  <c:v>184780</c:v>
                </c:pt>
                <c:pt idx="180">
                  <c:v>156240</c:v>
                </c:pt>
                <c:pt idx="181">
                  <c:v>170740</c:v>
                </c:pt>
                <c:pt idx="182">
                  <c:v>184040</c:v>
                </c:pt>
                <c:pt idx="183">
                  <c:v>180540</c:v>
                </c:pt>
                <c:pt idx="184">
                  <c:v>179740</c:v>
                </c:pt>
                <c:pt idx="185">
                  <c:v>174840</c:v>
                </c:pt>
                <c:pt idx="186">
                  <c:v>181840</c:v>
                </c:pt>
                <c:pt idx="187">
                  <c:v>180140</c:v>
                </c:pt>
                <c:pt idx="188">
                  <c:v>175040</c:v>
                </c:pt>
                <c:pt idx="189">
                  <c:v>170960</c:v>
                </c:pt>
                <c:pt idx="190">
                  <c:v>173860</c:v>
                </c:pt>
                <c:pt idx="191">
                  <c:v>186280</c:v>
                </c:pt>
                <c:pt idx="192">
                  <c:v>190700</c:v>
                </c:pt>
                <c:pt idx="193">
                  <c:v>177940</c:v>
                </c:pt>
                <c:pt idx="194">
                  <c:v>200740</c:v>
                </c:pt>
                <c:pt idx="195">
                  <c:v>214340</c:v>
                </c:pt>
                <c:pt idx="196">
                  <c:v>161780</c:v>
                </c:pt>
                <c:pt idx="197">
                  <c:v>175340</c:v>
                </c:pt>
                <c:pt idx="198">
                  <c:v>172300</c:v>
                </c:pt>
                <c:pt idx="199">
                  <c:v>205640</c:v>
                </c:pt>
                <c:pt idx="200">
                  <c:v>168020</c:v>
                </c:pt>
                <c:pt idx="201">
                  <c:v>237740</c:v>
                </c:pt>
                <c:pt idx="202">
                  <c:v>189900</c:v>
                </c:pt>
                <c:pt idx="203">
                  <c:v>242960</c:v>
                </c:pt>
                <c:pt idx="204">
                  <c:v>227680</c:v>
                </c:pt>
                <c:pt idx="205">
                  <c:v>265540</c:v>
                </c:pt>
                <c:pt idx="206">
                  <c:v>224900</c:v>
                </c:pt>
                <c:pt idx="207">
                  <c:v>289340</c:v>
                </c:pt>
                <c:pt idx="208">
                  <c:v>291980</c:v>
                </c:pt>
                <c:pt idx="209">
                  <c:v>339180</c:v>
                </c:pt>
                <c:pt idx="210">
                  <c:v>382940</c:v>
                </c:pt>
                <c:pt idx="211">
                  <c:v>415140</c:v>
                </c:pt>
                <c:pt idx="212">
                  <c:v>419000</c:v>
                </c:pt>
                <c:pt idx="213">
                  <c:v>414380</c:v>
                </c:pt>
                <c:pt idx="214">
                  <c:v>401220</c:v>
                </c:pt>
                <c:pt idx="215">
                  <c:v>412580</c:v>
                </c:pt>
                <c:pt idx="216">
                  <c:v>437180</c:v>
                </c:pt>
                <c:pt idx="217">
                  <c:v>447140</c:v>
                </c:pt>
                <c:pt idx="218">
                  <c:v>454440</c:v>
                </c:pt>
                <c:pt idx="219">
                  <c:v>459000</c:v>
                </c:pt>
                <c:pt idx="220">
                  <c:v>467700</c:v>
                </c:pt>
                <c:pt idx="221">
                  <c:v>458420</c:v>
                </c:pt>
                <c:pt idx="222">
                  <c:v>462660</c:v>
                </c:pt>
                <c:pt idx="223">
                  <c:v>463260</c:v>
                </c:pt>
                <c:pt idx="224">
                  <c:v>466360</c:v>
                </c:pt>
                <c:pt idx="225">
                  <c:v>474260</c:v>
                </c:pt>
                <c:pt idx="226">
                  <c:v>472460</c:v>
                </c:pt>
                <c:pt idx="227">
                  <c:v>473560</c:v>
                </c:pt>
                <c:pt idx="228">
                  <c:v>471660</c:v>
                </c:pt>
                <c:pt idx="229">
                  <c:v>508960</c:v>
                </c:pt>
                <c:pt idx="230">
                  <c:v>491040</c:v>
                </c:pt>
                <c:pt idx="231">
                  <c:v>502300</c:v>
                </c:pt>
                <c:pt idx="232">
                  <c:v>437040</c:v>
                </c:pt>
                <c:pt idx="233">
                  <c:v>447980</c:v>
                </c:pt>
                <c:pt idx="234">
                  <c:v>468900</c:v>
                </c:pt>
                <c:pt idx="235">
                  <c:v>480900</c:v>
                </c:pt>
                <c:pt idx="236">
                  <c:v>534340</c:v>
                </c:pt>
                <c:pt idx="237">
                  <c:v>533200</c:v>
                </c:pt>
                <c:pt idx="238">
                  <c:v>521660</c:v>
                </c:pt>
                <c:pt idx="239">
                  <c:v>498660</c:v>
                </c:pt>
                <c:pt idx="240">
                  <c:v>446780</c:v>
                </c:pt>
                <c:pt idx="241">
                  <c:v>475900</c:v>
                </c:pt>
                <c:pt idx="242">
                  <c:v>488140</c:v>
                </c:pt>
                <c:pt idx="243">
                  <c:v>492220</c:v>
                </c:pt>
                <c:pt idx="244">
                  <c:v>497060</c:v>
                </c:pt>
                <c:pt idx="245">
                  <c:v>505860</c:v>
                </c:pt>
                <c:pt idx="246">
                  <c:v>501260</c:v>
                </c:pt>
                <c:pt idx="247">
                  <c:v>507060</c:v>
                </c:pt>
                <c:pt idx="248">
                  <c:v>486580</c:v>
                </c:pt>
                <c:pt idx="249">
                  <c:v>509960</c:v>
                </c:pt>
                <c:pt idx="250">
                  <c:v>500240</c:v>
                </c:pt>
                <c:pt idx="251">
                  <c:v>511240</c:v>
                </c:pt>
                <c:pt idx="252">
                  <c:v>556740</c:v>
                </c:pt>
                <c:pt idx="253">
                  <c:v>559540</c:v>
                </c:pt>
                <c:pt idx="254">
                  <c:v>553640</c:v>
                </c:pt>
                <c:pt idx="255">
                  <c:v>569640</c:v>
                </c:pt>
                <c:pt idx="256">
                  <c:v>569100</c:v>
                </c:pt>
                <c:pt idx="257">
                  <c:v>578820</c:v>
                </c:pt>
                <c:pt idx="258">
                  <c:v>596700</c:v>
                </c:pt>
                <c:pt idx="259">
                  <c:v>566040</c:v>
                </c:pt>
                <c:pt idx="260">
                  <c:v>545160</c:v>
                </c:pt>
                <c:pt idx="261">
                  <c:v>550080</c:v>
                </c:pt>
                <c:pt idx="262">
                  <c:v>499920</c:v>
                </c:pt>
                <c:pt idx="263">
                  <c:v>499000</c:v>
                </c:pt>
                <c:pt idx="264">
                  <c:v>496100</c:v>
                </c:pt>
                <c:pt idx="265">
                  <c:v>499380</c:v>
                </c:pt>
                <c:pt idx="266">
                  <c:v>498160</c:v>
                </c:pt>
                <c:pt idx="267">
                  <c:v>487200</c:v>
                </c:pt>
                <c:pt idx="268">
                  <c:v>497120</c:v>
                </c:pt>
                <c:pt idx="269">
                  <c:v>484960</c:v>
                </c:pt>
                <c:pt idx="270">
                  <c:v>481280</c:v>
                </c:pt>
                <c:pt idx="271">
                  <c:v>454980</c:v>
                </c:pt>
                <c:pt idx="272">
                  <c:v>455800</c:v>
                </c:pt>
                <c:pt idx="273">
                  <c:v>455800</c:v>
                </c:pt>
                <c:pt idx="274">
                  <c:v>455800</c:v>
                </c:pt>
                <c:pt idx="275">
                  <c:v>455080</c:v>
                </c:pt>
                <c:pt idx="276">
                  <c:v>454840</c:v>
                </c:pt>
                <c:pt idx="277">
                  <c:v>454840</c:v>
                </c:pt>
                <c:pt idx="278">
                  <c:v>454840</c:v>
                </c:pt>
                <c:pt idx="279">
                  <c:v>454840</c:v>
                </c:pt>
                <c:pt idx="280">
                  <c:v>454840</c:v>
                </c:pt>
                <c:pt idx="281">
                  <c:v>454840</c:v>
                </c:pt>
                <c:pt idx="282">
                  <c:v>454840</c:v>
                </c:pt>
                <c:pt idx="283">
                  <c:v>454840</c:v>
                </c:pt>
                <c:pt idx="284">
                  <c:v>446640</c:v>
                </c:pt>
                <c:pt idx="285">
                  <c:v>450140</c:v>
                </c:pt>
                <c:pt idx="286">
                  <c:v>450140</c:v>
                </c:pt>
                <c:pt idx="287">
                  <c:v>450140</c:v>
                </c:pt>
                <c:pt idx="288">
                  <c:v>449900</c:v>
                </c:pt>
                <c:pt idx="289">
                  <c:v>449900</c:v>
                </c:pt>
                <c:pt idx="290">
                  <c:v>449520</c:v>
                </c:pt>
                <c:pt idx="291">
                  <c:v>449760</c:v>
                </c:pt>
                <c:pt idx="292">
                  <c:v>452760</c:v>
                </c:pt>
                <c:pt idx="293">
                  <c:v>454760</c:v>
                </c:pt>
                <c:pt idx="294">
                  <c:v>454980</c:v>
                </c:pt>
                <c:pt idx="295">
                  <c:v>455120</c:v>
                </c:pt>
                <c:pt idx="296">
                  <c:v>452620</c:v>
                </c:pt>
                <c:pt idx="297">
                  <c:v>453740</c:v>
                </c:pt>
                <c:pt idx="298">
                  <c:v>455880</c:v>
                </c:pt>
                <c:pt idx="299">
                  <c:v>452680</c:v>
                </c:pt>
                <c:pt idx="300">
                  <c:v>457180</c:v>
                </c:pt>
                <c:pt idx="301">
                  <c:v>453080</c:v>
                </c:pt>
                <c:pt idx="302">
                  <c:v>455780</c:v>
                </c:pt>
                <c:pt idx="303">
                  <c:v>453080</c:v>
                </c:pt>
                <c:pt idx="304">
                  <c:v>444540</c:v>
                </c:pt>
                <c:pt idx="305">
                  <c:v>449540</c:v>
                </c:pt>
                <c:pt idx="306">
                  <c:v>449540</c:v>
                </c:pt>
                <c:pt idx="307">
                  <c:v>449180</c:v>
                </c:pt>
                <c:pt idx="308">
                  <c:v>428040</c:v>
                </c:pt>
                <c:pt idx="309">
                  <c:v>444840</c:v>
                </c:pt>
                <c:pt idx="310">
                  <c:v>444480</c:v>
                </c:pt>
                <c:pt idx="311">
                  <c:v>509640</c:v>
                </c:pt>
                <c:pt idx="312">
                  <c:v>511940</c:v>
                </c:pt>
                <c:pt idx="313">
                  <c:v>500280</c:v>
                </c:pt>
                <c:pt idx="314">
                  <c:v>510360</c:v>
                </c:pt>
                <c:pt idx="315">
                  <c:v>493960</c:v>
                </c:pt>
                <c:pt idx="316">
                  <c:v>493460</c:v>
                </c:pt>
                <c:pt idx="317">
                  <c:v>489560</c:v>
                </c:pt>
                <c:pt idx="318">
                  <c:v>476360</c:v>
                </c:pt>
                <c:pt idx="319">
                  <c:v>472480</c:v>
                </c:pt>
                <c:pt idx="320">
                  <c:v>472820</c:v>
                </c:pt>
                <c:pt idx="321">
                  <c:v>475620</c:v>
                </c:pt>
                <c:pt idx="322">
                  <c:v>482620</c:v>
                </c:pt>
                <c:pt idx="323">
                  <c:v>484320</c:v>
                </c:pt>
                <c:pt idx="324">
                  <c:v>483120</c:v>
                </c:pt>
                <c:pt idx="325">
                  <c:v>466920</c:v>
                </c:pt>
                <c:pt idx="326">
                  <c:v>466920</c:v>
                </c:pt>
                <c:pt idx="327">
                  <c:v>472720</c:v>
                </c:pt>
                <c:pt idx="328">
                  <c:v>484320</c:v>
                </c:pt>
                <c:pt idx="329">
                  <c:v>477520</c:v>
                </c:pt>
                <c:pt idx="330">
                  <c:v>494720</c:v>
                </c:pt>
                <c:pt idx="331">
                  <c:v>501320</c:v>
                </c:pt>
                <c:pt idx="332">
                  <c:v>502520</c:v>
                </c:pt>
                <c:pt idx="333">
                  <c:v>503520</c:v>
                </c:pt>
                <c:pt idx="334">
                  <c:v>507420</c:v>
                </c:pt>
                <c:pt idx="335">
                  <c:v>505720</c:v>
                </c:pt>
                <c:pt idx="336">
                  <c:v>504920</c:v>
                </c:pt>
                <c:pt idx="337">
                  <c:v>505920</c:v>
                </c:pt>
                <c:pt idx="338">
                  <c:v>506760</c:v>
                </c:pt>
                <c:pt idx="339">
                  <c:v>508240</c:v>
                </c:pt>
                <c:pt idx="340">
                  <c:v>504280</c:v>
                </c:pt>
                <c:pt idx="341">
                  <c:v>509960</c:v>
                </c:pt>
                <c:pt idx="342">
                  <c:v>506560</c:v>
                </c:pt>
                <c:pt idx="343">
                  <c:v>518880</c:v>
                </c:pt>
                <c:pt idx="344">
                  <c:v>522040</c:v>
                </c:pt>
                <c:pt idx="345">
                  <c:v>505400</c:v>
                </c:pt>
                <c:pt idx="346">
                  <c:v>560560</c:v>
                </c:pt>
                <c:pt idx="347">
                  <c:v>568300</c:v>
                </c:pt>
                <c:pt idx="348">
                  <c:v>555900</c:v>
                </c:pt>
                <c:pt idx="349">
                  <c:v>574080</c:v>
                </c:pt>
                <c:pt idx="350">
                  <c:v>561240</c:v>
                </c:pt>
                <c:pt idx="351">
                  <c:v>521340</c:v>
                </c:pt>
                <c:pt idx="352">
                  <c:v>552540</c:v>
                </c:pt>
                <c:pt idx="353">
                  <c:v>561840</c:v>
                </c:pt>
                <c:pt idx="354">
                  <c:v>554020</c:v>
                </c:pt>
                <c:pt idx="355">
                  <c:v>550200</c:v>
                </c:pt>
                <c:pt idx="356">
                  <c:v>561840</c:v>
                </c:pt>
                <c:pt idx="357">
                  <c:v>561140</c:v>
                </c:pt>
                <c:pt idx="358">
                  <c:v>564340</c:v>
                </c:pt>
                <c:pt idx="359">
                  <c:v>565660</c:v>
                </c:pt>
                <c:pt idx="360">
                  <c:v>565500</c:v>
                </c:pt>
                <c:pt idx="361">
                  <c:v>559140</c:v>
                </c:pt>
                <c:pt idx="362">
                  <c:v>557820</c:v>
                </c:pt>
                <c:pt idx="363">
                  <c:v>570020</c:v>
                </c:pt>
                <c:pt idx="364">
                  <c:v>568720</c:v>
                </c:pt>
                <c:pt idx="365">
                  <c:v>569320</c:v>
                </c:pt>
                <c:pt idx="366">
                  <c:v>559020</c:v>
                </c:pt>
                <c:pt idx="367">
                  <c:v>569720</c:v>
                </c:pt>
                <c:pt idx="368">
                  <c:v>554860</c:v>
                </c:pt>
                <c:pt idx="369">
                  <c:v>555640</c:v>
                </c:pt>
                <c:pt idx="370">
                  <c:v>560040</c:v>
                </c:pt>
                <c:pt idx="371">
                  <c:v>561240</c:v>
                </c:pt>
                <c:pt idx="372">
                  <c:v>560140</c:v>
                </c:pt>
                <c:pt idx="373">
                  <c:v>564140</c:v>
                </c:pt>
                <c:pt idx="374">
                  <c:v>563000</c:v>
                </c:pt>
                <c:pt idx="375">
                  <c:v>566720</c:v>
                </c:pt>
                <c:pt idx="376">
                  <c:v>566540</c:v>
                </c:pt>
                <c:pt idx="377">
                  <c:v>558860</c:v>
                </c:pt>
                <c:pt idx="378">
                  <c:v>554020</c:v>
                </c:pt>
                <c:pt idx="379">
                  <c:v>558220</c:v>
                </c:pt>
                <c:pt idx="380">
                  <c:v>559820</c:v>
                </c:pt>
                <c:pt idx="381">
                  <c:v>559020</c:v>
                </c:pt>
                <c:pt idx="382">
                  <c:v>559600</c:v>
                </c:pt>
                <c:pt idx="383">
                  <c:v>559360</c:v>
                </c:pt>
                <c:pt idx="384">
                  <c:v>561560</c:v>
                </c:pt>
                <c:pt idx="385">
                  <c:v>561960</c:v>
                </c:pt>
                <c:pt idx="386">
                  <c:v>562760</c:v>
                </c:pt>
                <c:pt idx="387">
                  <c:v>563160</c:v>
                </c:pt>
                <c:pt idx="388">
                  <c:v>564160</c:v>
                </c:pt>
                <c:pt idx="389">
                  <c:v>565560</c:v>
                </c:pt>
                <c:pt idx="390">
                  <c:v>562160</c:v>
                </c:pt>
                <c:pt idx="391">
                  <c:v>578180</c:v>
                </c:pt>
                <c:pt idx="392">
                  <c:v>596940</c:v>
                </c:pt>
                <c:pt idx="393">
                  <c:v>599680</c:v>
                </c:pt>
                <c:pt idx="394">
                  <c:v>615760</c:v>
                </c:pt>
                <c:pt idx="395">
                  <c:v>623700</c:v>
                </c:pt>
                <c:pt idx="396">
                  <c:v>644060</c:v>
                </c:pt>
                <c:pt idx="397">
                  <c:v>612460</c:v>
                </c:pt>
                <c:pt idx="398">
                  <c:v>707860</c:v>
                </c:pt>
                <c:pt idx="399">
                  <c:v>716380</c:v>
                </c:pt>
                <c:pt idx="400">
                  <c:v>734520</c:v>
                </c:pt>
                <c:pt idx="401">
                  <c:v>698120</c:v>
                </c:pt>
                <c:pt idx="402">
                  <c:v>649440</c:v>
                </c:pt>
                <c:pt idx="403">
                  <c:v>651680</c:v>
                </c:pt>
                <c:pt idx="404">
                  <c:v>630700</c:v>
                </c:pt>
                <c:pt idx="405">
                  <c:v>643440</c:v>
                </c:pt>
                <c:pt idx="406">
                  <c:v>622740</c:v>
                </c:pt>
                <c:pt idx="407">
                  <c:v>641520</c:v>
                </c:pt>
                <c:pt idx="408">
                  <c:v>647140</c:v>
                </c:pt>
                <c:pt idx="409">
                  <c:v>650060</c:v>
                </c:pt>
                <c:pt idx="410">
                  <c:v>682940</c:v>
                </c:pt>
                <c:pt idx="411">
                  <c:v>704500</c:v>
                </c:pt>
                <c:pt idx="412">
                  <c:v>764580</c:v>
                </c:pt>
                <c:pt idx="413">
                  <c:v>797740</c:v>
                </c:pt>
                <c:pt idx="414">
                  <c:v>780440</c:v>
                </c:pt>
                <c:pt idx="415">
                  <c:v>827820</c:v>
                </c:pt>
                <c:pt idx="416">
                  <c:v>838080</c:v>
                </c:pt>
                <c:pt idx="417">
                  <c:v>827760</c:v>
                </c:pt>
                <c:pt idx="418">
                  <c:v>819920</c:v>
                </c:pt>
                <c:pt idx="419">
                  <c:v>795420</c:v>
                </c:pt>
                <c:pt idx="420">
                  <c:v>825520</c:v>
                </c:pt>
                <c:pt idx="421">
                  <c:v>824120</c:v>
                </c:pt>
                <c:pt idx="422">
                  <c:v>910200</c:v>
                </c:pt>
                <c:pt idx="423">
                  <c:v>878820</c:v>
                </c:pt>
                <c:pt idx="424">
                  <c:v>901140</c:v>
                </c:pt>
                <c:pt idx="425">
                  <c:v>917740</c:v>
                </c:pt>
                <c:pt idx="426">
                  <c:v>912940</c:v>
                </c:pt>
                <c:pt idx="427">
                  <c:v>898940</c:v>
                </c:pt>
                <c:pt idx="428">
                  <c:v>911740</c:v>
                </c:pt>
                <c:pt idx="429">
                  <c:v>913720</c:v>
                </c:pt>
                <c:pt idx="430">
                  <c:v>903080</c:v>
                </c:pt>
                <c:pt idx="431">
                  <c:v>905080</c:v>
                </c:pt>
                <c:pt idx="432">
                  <c:v>892480</c:v>
                </c:pt>
                <c:pt idx="433">
                  <c:v>856920</c:v>
                </c:pt>
                <c:pt idx="434">
                  <c:v>856700</c:v>
                </c:pt>
                <c:pt idx="435">
                  <c:v>912600</c:v>
                </c:pt>
                <c:pt idx="436">
                  <c:v>865700</c:v>
                </c:pt>
                <c:pt idx="437">
                  <c:v>886100</c:v>
                </c:pt>
                <c:pt idx="438">
                  <c:v>910500</c:v>
                </c:pt>
                <c:pt idx="439">
                  <c:v>927200</c:v>
                </c:pt>
                <c:pt idx="440">
                  <c:v>919500</c:v>
                </c:pt>
                <c:pt idx="441">
                  <c:v>945500</c:v>
                </c:pt>
                <c:pt idx="442">
                  <c:v>927100</c:v>
                </c:pt>
                <c:pt idx="443">
                  <c:v>926800</c:v>
                </c:pt>
                <c:pt idx="444">
                  <c:v>922900</c:v>
                </c:pt>
                <c:pt idx="445">
                  <c:v>938420</c:v>
                </c:pt>
                <c:pt idx="446">
                  <c:v>930860</c:v>
                </c:pt>
                <c:pt idx="447">
                  <c:v>921780</c:v>
                </c:pt>
                <c:pt idx="448">
                  <c:v>916920</c:v>
                </c:pt>
                <c:pt idx="449">
                  <c:v>920620</c:v>
                </c:pt>
                <c:pt idx="450">
                  <c:v>917120</c:v>
                </c:pt>
                <c:pt idx="451">
                  <c:v>913120</c:v>
                </c:pt>
                <c:pt idx="452">
                  <c:v>913140</c:v>
                </c:pt>
                <c:pt idx="453">
                  <c:v>912180</c:v>
                </c:pt>
                <c:pt idx="454">
                  <c:v>907060</c:v>
                </c:pt>
                <c:pt idx="455">
                  <c:v>939140</c:v>
                </c:pt>
                <c:pt idx="456">
                  <c:v>949980</c:v>
                </c:pt>
                <c:pt idx="457">
                  <c:v>943840</c:v>
                </c:pt>
                <c:pt idx="458">
                  <c:v>988700</c:v>
                </c:pt>
                <c:pt idx="459">
                  <c:v>971460</c:v>
                </c:pt>
                <c:pt idx="460">
                  <c:v>1019420</c:v>
                </c:pt>
                <c:pt idx="461">
                  <c:v>1096120</c:v>
                </c:pt>
                <c:pt idx="462">
                  <c:v>1157420</c:v>
                </c:pt>
                <c:pt idx="463">
                  <c:v>1143920</c:v>
                </c:pt>
                <c:pt idx="464">
                  <c:v>1176920</c:v>
                </c:pt>
                <c:pt idx="465">
                  <c:v>1220820</c:v>
                </c:pt>
                <c:pt idx="466">
                  <c:v>1228500</c:v>
                </c:pt>
                <c:pt idx="467">
                  <c:v>1189160</c:v>
                </c:pt>
                <c:pt idx="468">
                  <c:v>1190560</c:v>
                </c:pt>
                <c:pt idx="469">
                  <c:v>1200260</c:v>
                </c:pt>
                <c:pt idx="470">
                  <c:v>1198460</c:v>
                </c:pt>
                <c:pt idx="471">
                  <c:v>1240960</c:v>
                </c:pt>
                <c:pt idx="472">
                  <c:v>1207660</c:v>
                </c:pt>
                <c:pt idx="473">
                  <c:v>1244720</c:v>
                </c:pt>
                <c:pt idx="474">
                  <c:v>1249640</c:v>
                </c:pt>
                <c:pt idx="475">
                  <c:v>1236340</c:v>
                </c:pt>
                <c:pt idx="476">
                  <c:v>1218520</c:v>
                </c:pt>
                <c:pt idx="477">
                  <c:v>1230960</c:v>
                </c:pt>
                <c:pt idx="478">
                  <c:v>1271720</c:v>
                </c:pt>
                <c:pt idx="479">
                  <c:v>1280300</c:v>
                </c:pt>
                <c:pt idx="480">
                  <c:v>1345860</c:v>
                </c:pt>
                <c:pt idx="481">
                  <c:v>1317660</c:v>
                </c:pt>
                <c:pt idx="482">
                  <c:v>1334560</c:v>
                </c:pt>
                <c:pt idx="483">
                  <c:v>1328460</c:v>
                </c:pt>
                <c:pt idx="484">
                  <c:v>1321160</c:v>
                </c:pt>
                <c:pt idx="485">
                  <c:v>1325660</c:v>
                </c:pt>
                <c:pt idx="486">
                  <c:v>1320460</c:v>
                </c:pt>
                <c:pt idx="487">
                  <c:v>1302560</c:v>
                </c:pt>
                <c:pt idx="488">
                  <c:v>1298760</c:v>
                </c:pt>
                <c:pt idx="489">
                  <c:v>1298760</c:v>
                </c:pt>
                <c:pt idx="490">
                  <c:v>1301360</c:v>
                </c:pt>
                <c:pt idx="491">
                  <c:v>1303060</c:v>
                </c:pt>
                <c:pt idx="492">
                  <c:v>1299860</c:v>
                </c:pt>
                <c:pt idx="493">
                  <c:v>1299060</c:v>
                </c:pt>
                <c:pt idx="494">
                  <c:v>1299660</c:v>
                </c:pt>
                <c:pt idx="495">
                  <c:v>1292960</c:v>
                </c:pt>
                <c:pt idx="496">
                  <c:v>1291560</c:v>
                </c:pt>
                <c:pt idx="497">
                  <c:v>1267560</c:v>
                </c:pt>
                <c:pt idx="498">
                  <c:v>1256360</c:v>
                </c:pt>
                <c:pt idx="499">
                  <c:v>1263960</c:v>
                </c:pt>
                <c:pt idx="500">
                  <c:v>1255460</c:v>
                </c:pt>
                <c:pt idx="501">
                  <c:v>1256160</c:v>
                </c:pt>
                <c:pt idx="502">
                  <c:v>1249260</c:v>
                </c:pt>
                <c:pt idx="503">
                  <c:v>1242760</c:v>
                </c:pt>
                <c:pt idx="504">
                  <c:v>1231860</c:v>
                </c:pt>
                <c:pt idx="505">
                  <c:v>1234760</c:v>
                </c:pt>
                <c:pt idx="506">
                  <c:v>1231560</c:v>
                </c:pt>
                <c:pt idx="507">
                  <c:v>1232160</c:v>
                </c:pt>
                <c:pt idx="508">
                  <c:v>1232060</c:v>
                </c:pt>
                <c:pt idx="509">
                  <c:v>1223060</c:v>
                </c:pt>
                <c:pt idx="510">
                  <c:v>1228860</c:v>
                </c:pt>
                <c:pt idx="511">
                  <c:v>1236060</c:v>
                </c:pt>
                <c:pt idx="512">
                  <c:v>1221860</c:v>
                </c:pt>
                <c:pt idx="513">
                  <c:v>1226960</c:v>
                </c:pt>
                <c:pt idx="514">
                  <c:v>1222960</c:v>
                </c:pt>
                <c:pt idx="515">
                  <c:v>1225360</c:v>
                </c:pt>
                <c:pt idx="516">
                  <c:v>1221160</c:v>
                </c:pt>
                <c:pt idx="517">
                  <c:v>1221460</c:v>
                </c:pt>
                <c:pt idx="518">
                  <c:v>1217360</c:v>
                </c:pt>
                <c:pt idx="519">
                  <c:v>1208660</c:v>
                </c:pt>
                <c:pt idx="520">
                  <c:v>1213940</c:v>
                </c:pt>
                <c:pt idx="521">
                  <c:v>1213940</c:v>
                </c:pt>
                <c:pt idx="522">
                  <c:v>1213580</c:v>
                </c:pt>
                <c:pt idx="523">
                  <c:v>1213580</c:v>
                </c:pt>
                <c:pt idx="524">
                  <c:v>1213580</c:v>
                </c:pt>
                <c:pt idx="525">
                  <c:v>1213580</c:v>
                </c:pt>
                <c:pt idx="526">
                  <c:v>1213580</c:v>
                </c:pt>
                <c:pt idx="527">
                  <c:v>1213580</c:v>
                </c:pt>
                <c:pt idx="528">
                  <c:v>1213580</c:v>
                </c:pt>
                <c:pt idx="529">
                  <c:v>1213580</c:v>
                </c:pt>
                <c:pt idx="530">
                  <c:v>1213580</c:v>
                </c:pt>
                <c:pt idx="531">
                  <c:v>1213220</c:v>
                </c:pt>
                <c:pt idx="532">
                  <c:v>1213220</c:v>
                </c:pt>
                <c:pt idx="533">
                  <c:v>1213220</c:v>
                </c:pt>
                <c:pt idx="534">
                  <c:v>1204820</c:v>
                </c:pt>
                <c:pt idx="535">
                  <c:v>1189520</c:v>
                </c:pt>
                <c:pt idx="536">
                  <c:v>1197020</c:v>
                </c:pt>
                <c:pt idx="537">
                  <c:v>1196660</c:v>
                </c:pt>
                <c:pt idx="538">
                  <c:v>1196660</c:v>
                </c:pt>
                <c:pt idx="539">
                  <c:v>1196660</c:v>
                </c:pt>
                <c:pt idx="540">
                  <c:v>1196660</c:v>
                </c:pt>
                <c:pt idx="541">
                  <c:v>1196660</c:v>
                </c:pt>
                <c:pt idx="542">
                  <c:v>1196660</c:v>
                </c:pt>
                <c:pt idx="543">
                  <c:v>1196660</c:v>
                </c:pt>
                <c:pt idx="544">
                  <c:v>1194740</c:v>
                </c:pt>
                <c:pt idx="545">
                  <c:v>1194020</c:v>
                </c:pt>
                <c:pt idx="546">
                  <c:v>1192940</c:v>
                </c:pt>
                <c:pt idx="547">
                  <c:v>1250120</c:v>
                </c:pt>
                <c:pt idx="548">
                  <c:v>1250120</c:v>
                </c:pt>
                <c:pt idx="549">
                  <c:v>1291620</c:v>
                </c:pt>
                <c:pt idx="550">
                  <c:v>1228400</c:v>
                </c:pt>
                <c:pt idx="551">
                  <c:v>1204360</c:v>
                </c:pt>
                <c:pt idx="552">
                  <c:v>1204360</c:v>
                </c:pt>
                <c:pt idx="553">
                  <c:v>1202440</c:v>
                </c:pt>
                <c:pt idx="554">
                  <c:v>1202440</c:v>
                </c:pt>
                <c:pt idx="555">
                  <c:v>1227460</c:v>
                </c:pt>
                <c:pt idx="556">
                  <c:v>1196800</c:v>
                </c:pt>
                <c:pt idx="557">
                  <c:v>1164800</c:v>
                </c:pt>
                <c:pt idx="558">
                  <c:v>1134540</c:v>
                </c:pt>
                <c:pt idx="559">
                  <c:v>1110000</c:v>
                </c:pt>
                <c:pt idx="560">
                  <c:v>1112960</c:v>
                </c:pt>
                <c:pt idx="561">
                  <c:v>1122360</c:v>
                </c:pt>
                <c:pt idx="562">
                  <c:v>1098120</c:v>
                </c:pt>
                <c:pt idx="563">
                  <c:v>1097440</c:v>
                </c:pt>
                <c:pt idx="564">
                  <c:v>1099900</c:v>
                </c:pt>
                <c:pt idx="565">
                  <c:v>1104020</c:v>
                </c:pt>
                <c:pt idx="566">
                  <c:v>1121620</c:v>
                </c:pt>
                <c:pt idx="567">
                  <c:v>1113000</c:v>
                </c:pt>
                <c:pt idx="568">
                  <c:v>1104460</c:v>
                </c:pt>
                <c:pt idx="569">
                  <c:v>1103260</c:v>
                </c:pt>
                <c:pt idx="570">
                  <c:v>1104960</c:v>
                </c:pt>
                <c:pt idx="571">
                  <c:v>1106560</c:v>
                </c:pt>
                <c:pt idx="572">
                  <c:v>1104380</c:v>
                </c:pt>
                <c:pt idx="573">
                  <c:v>1093640</c:v>
                </c:pt>
                <c:pt idx="574">
                  <c:v>1070300</c:v>
                </c:pt>
                <c:pt idx="575">
                  <c:v>1070300</c:v>
                </c:pt>
                <c:pt idx="576">
                  <c:v>1069940</c:v>
                </c:pt>
                <c:pt idx="577">
                  <c:v>1069580</c:v>
                </c:pt>
                <c:pt idx="578">
                  <c:v>1068020</c:v>
                </c:pt>
                <c:pt idx="579">
                  <c:v>1067300</c:v>
                </c:pt>
                <c:pt idx="580">
                  <c:v>1066340</c:v>
                </c:pt>
                <c:pt idx="581">
                  <c:v>1066340</c:v>
                </c:pt>
                <c:pt idx="582">
                  <c:v>1065140</c:v>
                </c:pt>
                <c:pt idx="583">
                  <c:v>1039920</c:v>
                </c:pt>
                <c:pt idx="584">
                  <c:v>1014780</c:v>
                </c:pt>
                <c:pt idx="585">
                  <c:v>1020280</c:v>
                </c:pt>
                <c:pt idx="586">
                  <c:v>1045180</c:v>
                </c:pt>
                <c:pt idx="587">
                  <c:v>1027480</c:v>
                </c:pt>
                <c:pt idx="588">
                  <c:v>1042560</c:v>
                </c:pt>
                <c:pt idx="589">
                  <c:v>1051220</c:v>
                </c:pt>
                <c:pt idx="590">
                  <c:v>1064000</c:v>
                </c:pt>
                <c:pt idx="591">
                  <c:v>1040260</c:v>
                </c:pt>
                <c:pt idx="592">
                  <c:v>1041960</c:v>
                </c:pt>
                <c:pt idx="593">
                  <c:v>1050660</c:v>
                </c:pt>
                <c:pt idx="594">
                  <c:v>1057560</c:v>
                </c:pt>
                <c:pt idx="595">
                  <c:v>1061760</c:v>
                </c:pt>
                <c:pt idx="596">
                  <c:v>1085140</c:v>
                </c:pt>
                <c:pt idx="597">
                  <c:v>1094580</c:v>
                </c:pt>
                <c:pt idx="598">
                  <c:v>1086740</c:v>
                </c:pt>
                <c:pt idx="599">
                  <c:v>1091940</c:v>
                </c:pt>
                <c:pt idx="600">
                  <c:v>1093240</c:v>
                </c:pt>
                <c:pt idx="601">
                  <c:v>1093440</c:v>
                </c:pt>
                <c:pt idx="602">
                  <c:v>1093740</c:v>
                </c:pt>
                <c:pt idx="603">
                  <c:v>1095520</c:v>
                </c:pt>
                <c:pt idx="604">
                  <c:v>1098280</c:v>
                </c:pt>
                <c:pt idx="605">
                  <c:v>1097380</c:v>
                </c:pt>
                <c:pt idx="606">
                  <c:v>1084400</c:v>
                </c:pt>
                <c:pt idx="607">
                  <c:v>1083040</c:v>
                </c:pt>
                <c:pt idx="608">
                  <c:v>1090940</c:v>
                </c:pt>
                <c:pt idx="609">
                  <c:v>1093660</c:v>
                </c:pt>
                <c:pt idx="610">
                  <c:v>1082000</c:v>
                </c:pt>
                <c:pt idx="611">
                  <c:v>1075800</c:v>
                </c:pt>
                <c:pt idx="612">
                  <c:v>1101400</c:v>
                </c:pt>
                <c:pt idx="613">
                  <c:v>1096920</c:v>
                </c:pt>
                <c:pt idx="614">
                  <c:v>1105660</c:v>
                </c:pt>
                <c:pt idx="615">
                  <c:v>1104760</c:v>
                </c:pt>
                <c:pt idx="616">
                  <c:v>1101160</c:v>
                </c:pt>
                <c:pt idx="617">
                  <c:v>1099280</c:v>
                </c:pt>
                <c:pt idx="618">
                  <c:v>1099420</c:v>
                </c:pt>
                <c:pt idx="619">
                  <c:v>1099680</c:v>
                </c:pt>
                <c:pt idx="620">
                  <c:v>1116000</c:v>
                </c:pt>
                <c:pt idx="621">
                  <c:v>1096920</c:v>
                </c:pt>
                <c:pt idx="622">
                  <c:v>1044100</c:v>
                </c:pt>
                <c:pt idx="623">
                  <c:v>1065580</c:v>
                </c:pt>
                <c:pt idx="624">
                  <c:v>1065220</c:v>
                </c:pt>
                <c:pt idx="625">
                  <c:v>1064980</c:v>
                </c:pt>
                <c:pt idx="626">
                  <c:v>1064740</c:v>
                </c:pt>
                <c:pt idx="627">
                  <c:v>1062700</c:v>
                </c:pt>
                <c:pt idx="628">
                  <c:v>1049800</c:v>
                </c:pt>
                <c:pt idx="629">
                  <c:v>1052520</c:v>
                </c:pt>
                <c:pt idx="630">
                  <c:v>1040520</c:v>
                </c:pt>
                <c:pt idx="631">
                  <c:v>1051280</c:v>
                </c:pt>
                <c:pt idx="632">
                  <c:v>1107000</c:v>
                </c:pt>
                <c:pt idx="633">
                  <c:v>1097200</c:v>
                </c:pt>
                <c:pt idx="634">
                  <c:v>1123640</c:v>
                </c:pt>
                <c:pt idx="635">
                  <c:v>1022500</c:v>
                </c:pt>
                <c:pt idx="636">
                  <c:v>983460</c:v>
                </c:pt>
                <c:pt idx="637">
                  <c:v>987740</c:v>
                </c:pt>
                <c:pt idx="638">
                  <c:v>1014500</c:v>
                </c:pt>
                <c:pt idx="639">
                  <c:v>1049000</c:v>
                </c:pt>
                <c:pt idx="640">
                  <c:v>1036460</c:v>
                </c:pt>
                <c:pt idx="641">
                  <c:v>1044960</c:v>
                </c:pt>
                <c:pt idx="642">
                  <c:v>1030720</c:v>
                </c:pt>
                <c:pt idx="643">
                  <c:v>1053220</c:v>
                </c:pt>
                <c:pt idx="644">
                  <c:v>1050520</c:v>
                </c:pt>
                <c:pt idx="645">
                  <c:v>1016920</c:v>
                </c:pt>
                <c:pt idx="646">
                  <c:v>1047520</c:v>
                </c:pt>
                <c:pt idx="647">
                  <c:v>1069320</c:v>
                </c:pt>
                <c:pt idx="648">
                  <c:v>1064620</c:v>
                </c:pt>
                <c:pt idx="649">
                  <c:v>1117980</c:v>
                </c:pt>
                <c:pt idx="650">
                  <c:v>1054820</c:v>
                </c:pt>
                <c:pt idx="651">
                  <c:v>1178500</c:v>
                </c:pt>
                <c:pt idx="652">
                  <c:v>1176460</c:v>
                </c:pt>
                <c:pt idx="653">
                  <c:v>1223120</c:v>
                </c:pt>
                <c:pt idx="654">
                  <c:v>1253820</c:v>
                </c:pt>
                <c:pt idx="655">
                  <c:v>1263700</c:v>
                </c:pt>
                <c:pt idx="656">
                  <c:v>1264460</c:v>
                </c:pt>
                <c:pt idx="657">
                  <c:v>1256460</c:v>
                </c:pt>
                <c:pt idx="658">
                  <c:v>1265160</c:v>
                </c:pt>
                <c:pt idx="659">
                  <c:v>1262360</c:v>
                </c:pt>
                <c:pt idx="660">
                  <c:v>1263960</c:v>
                </c:pt>
                <c:pt idx="661">
                  <c:v>1299660</c:v>
                </c:pt>
                <c:pt idx="662">
                  <c:v>1312960</c:v>
                </c:pt>
                <c:pt idx="663">
                  <c:v>1325140</c:v>
                </c:pt>
                <c:pt idx="664">
                  <c:v>1337200</c:v>
                </c:pt>
                <c:pt idx="665">
                  <c:v>1337580</c:v>
                </c:pt>
                <c:pt idx="666">
                  <c:v>1348940</c:v>
                </c:pt>
                <c:pt idx="667">
                  <c:v>1356920</c:v>
                </c:pt>
                <c:pt idx="668">
                  <c:v>1362660</c:v>
                </c:pt>
                <c:pt idx="669">
                  <c:v>1360120</c:v>
                </c:pt>
                <c:pt idx="670">
                  <c:v>1361420</c:v>
                </c:pt>
                <c:pt idx="671">
                  <c:v>1366620</c:v>
                </c:pt>
                <c:pt idx="672">
                  <c:v>1364020</c:v>
                </c:pt>
                <c:pt idx="673">
                  <c:v>1362720</c:v>
                </c:pt>
                <c:pt idx="674">
                  <c:v>1359520</c:v>
                </c:pt>
                <c:pt idx="675">
                  <c:v>1360920</c:v>
                </c:pt>
                <c:pt idx="676">
                  <c:v>1358520</c:v>
                </c:pt>
                <c:pt idx="677">
                  <c:v>1355920</c:v>
                </c:pt>
                <c:pt idx="678">
                  <c:v>1353000</c:v>
                </c:pt>
                <c:pt idx="679">
                  <c:v>1353000</c:v>
                </c:pt>
                <c:pt idx="680">
                  <c:v>1353000</c:v>
                </c:pt>
                <c:pt idx="681">
                  <c:v>1353000</c:v>
                </c:pt>
                <c:pt idx="682">
                  <c:v>1353000</c:v>
                </c:pt>
                <c:pt idx="683">
                  <c:v>1353000</c:v>
                </c:pt>
                <c:pt idx="684">
                  <c:v>1353000</c:v>
                </c:pt>
                <c:pt idx="685">
                  <c:v>1352640</c:v>
                </c:pt>
                <c:pt idx="686">
                  <c:v>1352640</c:v>
                </c:pt>
                <c:pt idx="687">
                  <c:v>1352640</c:v>
                </c:pt>
                <c:pt idx="688">
                  <c:v>1352640</c:v>
                </c:pt>
                <c:pt idx="689">
                  <c:v>1352640</c:v>
                </c:pt>
                <c:pt idx="690">
                  <c:v>1352640</c:v>
                </c:pt>
                <c:pt idx="691">
                  <c:v>1352640</c:v>
                </c:pt>
                <c:pt idx="692">
                  <c:v>1352640</c:v>
                </c:pt>
                <c:pt idx="693">
                  <c:v>1350120</c:v>
                </c:pt>
                <c:pt idx="694">
                  <c:v>1349760</c:v>
                </c:pt>
                <c:pt idx="695">
                  <c:v>1314120</c:v>
                </c:pt>
                <c:pt idx="696">
                  <c:v>1296120</c:v>
                </c:pt>
                <c:pt idx="697">
                  <c:v>1303020</c:v>
                </c:pt>
                <c:pt idx="698">
                  <c:v>1302780</c:v>
                </c:pt>
                <c:pt idx="699">
                  <c:v>1302780</c:v>
                </c:pt>
                <c:pt idx="700">
                  <c:v>1302420</c:v>
                </c:pt>
                <c:pt idx="701">
                  <c:v>1302420</c:v>
                </c:pt>
                <c:pt idx="702">
                  <c:v>1302420</c:v>
                </c:pt>
                <c:pt idx="703">
                  <c:v>1302420</c:v>
                </c:pt>
                <c:pt idx="704">
                  <c:v>1302180</c:v>
                </c:pt>
                <c:pt idx="705">
                  <c:v>1302180</c:v>
                </c:pt>
                <c:pt idx="706">
                  <c:v>1302180</c:v>
                </c:pt>
                <c:pt idx="707">
                  <c:v>1302180</c:v>
                </c:pt>
                <c:pt idx="708">
                  <c:v>1293280</c:v>
                </c:pt>
                <c:pt idx="709">
                  <c:v>1291080</c:v>
                </c:pt>
                <c:pt idx="710">
                  <c:v>1292080</c:v>
                </c:pt>
                <c:pt idx="711">
                  <c:v>1291680</c:v>
                </c:pt>
                <c:pt idx="712">
                  <c:v>1293880</c:v>
                </c:pt>
                <c:pt idx="713">
                  <c:v>1293180</c:v>
                </c:pt>
                <c:pt idx="714">
                  <c:v>1300460</c:v>
                </c:pt>
                <c:pt idx="715">
                  <c:v>1288800</c:v>
                </c:pt>
                <c:pt idx="716">
                  <c:v>1295860</c:v>
                </c:pt>
                <c:pt idx="717">
                  <c:v>1291960</c:v>
                </c:pt>
                <c:pt idx="718">
                  <c:v>1290880</c:v>
                </c:pt>
                <c:pt idx="719">
                  <c:v>1282520</c:v>
                </c:pt>
                <c:pt idx="720">
                  <c:v>1266680</c:v>
                </c:pt>
                <c:pt idx="721">
                  <c:v>1266680</c:v>
                </c:pt>
                <c:pt idx="722">
                  <c:v>1266320</c:v>
                </c:pt>
                <c:pt idx="723">
                  <c:v>1266320</c:v>
                </c:pt>
                <c:pt idx="724">
                  <c:v>1266320</c:v>
                </c:pt>
                <c:pt idx="725">
                  <c:v>1266320</c:v>
                </c:pt>
                <c:pt idx="726">
                  <c:v>1265600</c:v>
                </c:pt>
                <c:pt idx="727">
                  <c:v>1265240</c:v>
                </c:pt>
                <c:pt idx="728">
                  <c:v>1265240</c:v>
                </c:pt>
                <c:pt idx="729">
                  <c:v>1265240</c:v>
                </c:pt>
                <c:pt idx="730">
                  <c:v>1265240</c:v>
                </c:pt>
                <c:pt idx="731">
                  <c:v>1265240</c:v>
                </c:pt>
                <c:pt idx="732">
                  <c:v>1265240</c:v>
                </c:pt>
                <c:pt idx="733">
                  <c:v>1265240</c:v>
                </c:pt>
                <c:pt idx="734">
                  <c:v>1265240</c:v>
                </c:pt>
                <c:pt idx="735">
                  <c:v>1263680</c:v>
                </c:pt>
                <c:pt idx="736">
                  <c:v>1262360</c:v>
                </c:pt>
                <c:pt idx="737">
                  <c:v>1261280</c:v>
                </c:pt>
                <c:pt idx="738">
                  <c:v>1260680</c:v>
                </c:pt>
                <c:pt idx="739">
                  <c:v>1259600</c:v>
                </c:pt>
                <c:pt idx="740">
                  <c:v>1258520</c:v>
                </c:pt>
                <c:pt idx="741">
                  <c:v>1258160</c:v>
                </c:pt>
                <c:pt idx="742">
                  <c:v>1226140</c:v>
                </c:pt>
                <c:pt idx="743">
                  <c:v>1224820</c:v>
                </c:pt>
                <c:pt idx="744">
                  <c:v>1224820</c:v>
                </c:pt>
                <c:pt idx="745">
                  <c:v>1224460</c:v>
                </c:pt>
                <c:pt idx="746">
                  <c:v>1223980</c:v>
                </c:pt>
                <c:pt idx="747">
                  <c:v>1223380</c:v>
                </c:pt>
                <c:pt idx="748">
                  <c:v>1223380</c:v>
                </c:pt>
                <c:pt idx="749">
                  <c:v>1221100</c:v>
                </c:pt>
                <c:pt idx="750">
                  <c:v>1220380</c:v>
                </c:pt>
                <c:pt idx="751">
                  <c:v>1220380</c:v>
                </c:pt>
                <c:pt idx="752">
                  <c:v>1220380</c:v>
                </c:pt>
                <c:pt idx="753">
                  <c:v>1219540</c:v>
                </c:pt>
                <c:pt idx="754">
                  <c:v>1219540</c:v>
                </c:pt>
                <c:pt idx="755">
                  <c:v>1219540</c:v>
                </c:pt>
                <c:pt idx="756">
                  <c:v>1218820</c:v>
                </c:pt>
                <c:pt idx="757">
                  <c:v>1218820</c:v>
                </c:pt>
                <c:pt idx="758">
                  <c:v>1218820</c:v>
                </c:pt>
                <c:pt idx="759">
                  <c:v>1218820</c:v>
                </c:pt>
                <c:pt idx="760">
                  <c:v>1218220</c:v>
                </c:pt>
                <c:pt idx="761">
                  <c:v>1218220</c:v>
                </c:pt>
                <c:pt idx="762">
                  <c:v>1218220</c:v>
                </c:pt>
                <c:pt idx="763">
                  <c:v>1271220</c:v>
                </c:pt>
                <c:pt idx="764">
                  <c:v>1359700</c:v>
                </c:pt>
                <c:pt idx="765">
                  <c:v>1360860</c:v>
                </c:pt>
                <c:pt idx="766">
                  <c:v>1380860</c:v>
                </c:pt>
                <c:pt idx="767">
                  <c:v>1390740</c:v>
                </c:pt>
                <c:pt idx="768">
                  <c:v>1414300</c:v>
                </c:pt>
                <c:pt idx="769">
                  <c:v>1409200</c:v>
                </c:pt>
                <c:pt idx="770">
                  <c:v>1382800</c:v>
                </c:pt>
                <c:pt idx="771">
                  <c:v>1421600</c:v>
                </c:pt>
                <c:pt idx="772">
                  <c:v>1440900</c:v>
                </c:pt>
                <c:pt idx="773">
                  <c:v>1445100</c:v>
                </c:pt>
                <c:pt idx="774">
                  <c:v>1450000</c:v>
                </c:pt>
                <c:pt idx="775">
                  <c:v>1444400</c:v>
                </c:pt>
                <c:pt idx="776">
                  <c:v>1414900</c:v>
                </c:pt>
                <c:pt idx="777">
                  <c:v>1402100</c:v>
                </c:pt>
                <c:pt idx="778">
                  <c:v>1403200</c:v>
                </c:pt>
                <c:pt idx="779">
                  <c:v>1430300</c:v>
                </c:pt>
                <c:pt idx="780">
                  <c:v>1406400</c:v>
                </c:pt>
                <c:pt idx="781">
                  <c:v>1436920</c:v>
                </c:pt>
                <c:pt idx="782">
                  <c:v>1422060</c:v>
                </c:pt>
                <c:pt idx="783">
                  <c:v>1414760</c:v>
                </c:pt>
                <c:pt idx="784">
                  <c:v>1428560</c:v>
                </c:pt>
                <c:pt idx="785">
                  <c:v>1437040</c:v>
                </c:pt>
                <c:pt idx="786">
                  <c:v>1461100</c:v>
                </c:pt>
                <c:pt idx="787">
                  <c:v>1465600</c:v>
                </c:pt>
                <c:pt idx="788">
                  <c:v>1468480</c:v>
                </c:pt>
                <c:pt idx="789">
                  <c:v>1458340</c:v>
                </c:pt>
                <c:pt idx="790">
                  <c:v>1455440</c:v>
                </c:pt>
                <c:pt idx="791">
                  <c:v>1456140</c:v>
                </c:pt>
                <c:pt idx="792">
                  <c:v>1452240</c:v>
                </c:pt>
                <c:pt idx="793">
                  <c:v>1457040</c:v>
                </c:pt>
                <c:pt idx="794">
                  <c:v>1461040</c:v>
                </c:pt>
                <c:pt idx="795">
                  <c:v>1465640</c:v>
                </c:pt>
                <c:pt idx="796">
                  <c:v>1475240</c:v>
                </c:pt>
                <c:pt idx="797">
                  <c:v>1467040</c:v>
                </c:pt>
                <c:pt idx="798">
                  <c:v>1446640</c:v>
                </c:pt>
                <c:pt idx="799">
                  <c:v>1451740</c:v>
                </c:pt>
                <c:pt idx="800">
                  <c:v>1448140</c:v>
                </c:pt>
                <c:pt idx="801">
                  <c:v>1447040</c:v>
                </c:pt>
                <c:pt idx="802">
                  <c:v>1440220</c:v>
                </c:pt>
                <c:pt idx="803">
                  <c:v>1444580</c:v>
                </c:pt>
                <c:pt idx="804">
                  <c:v>1428200</c:v>
                </c:pt>
                <c:pt idx="805">
                  <c:v>1417980</c:v>
                </c:pt>
                <c:pt idx="806">
                  <c:v>1429780</c:v>
                </c:pt>
                <c:pt idx="807">
                  <c:v>1426020</c:v>
                </c:pt>
                <c:pt idx="808">
                  <c:v>1423920</c:v>
                </c:pt>
                <c:pt idx="809">
                  <c:v>1409800</c:v>
                </c:pt>
                <c:pt idx="810">
                  <c:v>1371860</c:v>
                </c:pt>
                <c:pt idx="811">
                  <c:v>1388180</c:v>
                </c:pt>
                <c:pt idx="812">
                  <c:v>1388180</c:v>
                </c:pt>
                <c:pt idx="813">
                  <c:v>1388180</c:v>
                </c:pt>
                <c:pt idx="814">
                  <c:v>1388180</c:v>
                </c:pt>
                <c:pt idx="815">
                  <c:v>1388180</c:v>
                </c:pt>
                <c:pt idx="816">
                  <c:v>1386140</c:v>
                </c:pt>
                <c:pt idx="817">
                  <c:v>1385780</c:v>
                </c:pt>
                <c:pt idx="818">
                  <c:v>1385780</c:v>
                </c:pt>
                <c:pt idx="819">
                  <c:v>1385420</c:v>
                </c:pt>
                <c:pt idx="820">
                  <c:v>1385420</c:v>
                </c:pt>
                <c:pt idx="821">
                  <c:v>1384220</c:v>
                </c:pt>
                <c:pt idx="822">
                  <c:v>1383620</c:v>
                </c:pt>
                <c:pt idx="823">
                  <c:v>1382660</c:v>
                </c:pt>
                <c:pt idx="824">
                  <c:v>1381820</c:v>
                </c:pt>
                <c:pt idx="825">
                  <c:v>1381100</c:v>
                </c:pt>
                <c:pt idx="826">
                  <c:v>1381100</c:v>
                </c:pt>
                <c:pt idx="827">
                  <c:v>1386600</c:v>
                </c:pt>
                <c:pt idx="828">
                  <c:v>1399520</c:v>
                </c:pt>
                <c:pt idx="829">
                  <c:v>1419140</c:v>
                </c:pt>
                <c:pt idx="830">
                  <c:v>1409660</c:v>
                </c:pt>
                <c:pt idx="831">
                  <c:v>1431380</c:v>
                </c:pt>
                <c:pt idx="832">
                  <c:v>1431480</c:v>
                </c:pt>
                <c:pt idx="833">
                  <c:v>1439580</c:v>
                </c:pt>
                <c:pt idx="834">
                  <c:v>1404300</c:v>
                </c:pt>
                <c:pt idx="835">
                  <c:v>1372860</c:v>
                </c:pt>
                <c:pt idx="836">
                  <c:v>1404480</c:v>
                </c:pt>
                <c:pt idx="837">
                  <c:v>1438900</c:v>
                </c:pt>
                <c:pt idx="838">
                  <c:v>1441820</c:v>
                </c:pt>
                <c:pt idx="839">
                  <c:v>1443020</c:v>
                </c:pt>
                <c:pt idx="840">
                  <c:v>1440620</c:v>
                </c:pt>
                <c:pt idx="841">
                  <c:v>1415420</c:v>
                </c:pt>
                <c:pt idx="842">
                  <c:v>1398220</c:v>
                </c:pt>
                <c:pt idx="843">
                  <c:v>1406120</c:v>
                </c:pt>
                <c:pt idx="844">
                  <c:v>1399520</c:v>
                </c:pt>
                <c:pt idx="845">
                  <c:v>1373720</c:v>
                </c:pt>
                <c:pt idx="846">
                  <c:v>1375700</c:v>
                </c:pt>
                <c:pt idx="847">
                  <c:v>1372540</c:v>
                </c:pt>
                <c:pt idx="848">
                  <c:v>1387280</c:v>
                </c:pt>
                <c:pt idx="849">
                  <c:v>1398440</c:v>
                </c:pt>
                <c:pt idx="850">
                  <c:v>1405020</c:v>
                </c:pt>
                <c:pt idx="851">
                  <c:v>1401600</c:v>
                </c:pt>
                <c:pt idx="852">
                  <c:v>1410240</c:v>
                </c:pt>
                <c:pt idx="853">
                  <c:v>1370440</c:v>
                </c:pt>
                <c:pt idx="854">
                  <c:v>1367380</c:v>
                </c:pt>
                <c:pt idx="855">
                  <c:v>1372340</c:v>
                </c:pt>
                <c:pt idx="856">
                  <c:v>1369300</c:v>
                </c:pt>
                <c:pt idx="857">
                  <c:v>1364960</c:v>
                </c:pt>
                <c:pt idx="858">
                  <c:v>1379980</c:v>
                </c:pt>
                <c:pt idx="859">
                  <c:v>1387400</c:v>
                </c:pt>
                <c:pt idx="860">
                  <c:v>1352540</c:v>
                </c:pt>
                <c:pt idx="861">
                  <c:v>1309140</c:v>
                </c:pt>
                <c:pt idx="862">
                  <c:v>1309140</c:v>
                </c:pt>
                <c:pt idx="863">
                  <c:v>1309140</c:v>
                </c:pt>
                <c:pt idx="864">
                  <c:v>1309140</c:v>
                </c:pt>
                <c:pt idx="865">
                  <c:v>1307100</c:v>
                </c:pt>
                <c:pt idx="866">
                  <c:v>1306740</c:v>
                </c:pt>
                <c:pt idx="867">
                  <c:v>1306740</c:v>
                </c:pt>
                <c:pt idx="868">
                  <c:v>1306740</c:v>
                </c:pt>
                <c:pt idx="869">
                  <c:v>1306740</c:v>
                </c:pt>
                <c:pt idx="870">
                  <c:v>1306740</c:v>
                </c:pt>
                <c:pt idx="871">
                  <c:v>1306500</c:v>
                </c:pt>
                <c:pt idx="872">
                  <c:v>1306500</c:v>
                </c:pt>
                <c:pt idx="873">
                  <c:v>1306500</c:v>
                </c:pt>
                <c:pt idx="874">
                  <c:v>1306500</c:v>
                </c:pt>
                <c:pt idx="875">
                  <c:v>1306500</c:v>
                </c:pt>
                <c:pt idx="876">
                  <c:v>1306500</c:v>
                </c:pt>
                <c:pt idx="877">
                  <c:v>1306500</c:v>
                </c:pt>
                <c:pt idx="878">
                  <c:v>1306260</c:v>
                </c:pt>
                <c:pt idx="879">
                  <c:v>1306020</c:v>
                </c:pt>
                <c:pt idx="880">
                  <c:v>1306020</c:v>
                </c:pt>
                <c:pt idx="881">
                  <c:v>1307520</c:v>
                </c:pt>
                <c:pt idx="882">
                  <c:v>1305420</c:v>
                </c:pt>
                <c:pt idx="883">
                  <c:v>1304220</c:v>
                </c:pt>
                <c:pt idx="884">
                  <c:v>1302120</c:v>
                </c:pt>
                <c:pt idx="885">
                  <c:v>1305420</c:v>
                </c:pt>
                <c:pt idx="886">
                  <c:v>1309120</c:v>
                </c:pt>
                <c:pt idx="887">
                  <c:v>1309820</c:v>
                </c:pt>
                <c:pt idx="888">
                  <c:v>1308620</c:v>
                </c:pt>
                <c:pt idx="889">
                  <c:v>1309920</c:v>
                </c:pt>
                <c:pt idx="890">
                  <c:v>1308720</c:v>
                </c:pt>
                <c:pt idx="891">
                  <c:v>1306820</c:v>
                </c:pt>
                <c:pt idx="892">
                  <c:v>1308720</c:v>
                </c:pt>
                <c:pt idx="893">
                  <c:v>1305920</c:v>
                </c:pt>
                <c:pt idx="894">
                  <c:v>1305920</c:v>
                </c:pt>
                <c:pt idx="895">
                  <c:v>1305920</c:v>
                </c:pt>
                <c:pt idx="896">
                  <c:v>1305920</c:v>
                </c:pt>
                <c:pt idx="897">
                  <c:v>1305920</c:v>
                </c:pt>
                <c:pt idx="898">
                  <c:v>1305920</c:v>
                </c:pt>
                <c:pt idx="899">
                  <c:v>1305520</c:v>
                </c:pt>
                <c:pt idx="900">
                  <c:v>1306020</c:v>
                </c:pt>
                <c:pt idx="901">
                  <c:v>1306520</c:v>
                </c:pt>
                <c:pt idx="902">
                  <c:v>1313200</c:v>
                </c:pt>
                <c:pt idx="903">
                  <c:v>1292760</c:v>
                </c:pt>
                <c:pt idx="904">
                  <c:v>1270480</c:v>
                </c:pt>
                <c:pt idx="905">
                  <c:v>1270480</c:v>
                </c:pt>
                <c:pt idx="906">
                  <c:v>1269280</c:v>
                </c:pt>
                <c:pt idx="907">
                  <c:v>1268680</c:v>
                </c:pt>
                <c:pt idx="908">
                  <c:v>1268320</c:v>
                </c:pt>
                <c:pt idx="909">
                  <c:v>1267240</c:v>
                </c:pt>
                <c:pt idx="910">
                  <c:v>1267000</c:v>
                </c:pt>
                <c:pt idx="911">
                  <c:v>1265680</c:v>
                </c:pt>
                <c:pt idx="912">
                  <c:v>1265320</c:v>
                </c:pt>
                <c:pt idx="913">
                  <c:v>1265320</c:v>
                </c:pt>
                <c:pt idx="914">
                  <c:v>1264960</c:v>
                </c:pt>
                <c:pt idx="915">
                  <c:v>1264720</c:v>
                </c:pt>
                <c:pt idx="916">
                  <c:v>1264360</c:v>
                </c:pt>
                <c:pt idx="917">
                  <c:v>1335580</c:v>
                </c:pt>
                <c:pt idx="918">
                  <c:v>1335580</c:v>
                </c:pt>
                <c:pt idx="919">
                  <c:v>1352180</c:v>
                </c:pt>
                <c:pt idx="920">
                  <c:v>1284700</c:v>
                </c:pt>
                <c:pt idx="921">
                  <c:v>1348660</c:v>
                </c:pt>
                <c:pt idx="922">
                  <c:v>1332400</c:v>
                </c:pt>
                <c:pt idx="923">
                  <c:v>1327400</c:v>
                </c:pt>
                <c:pt idx="924">
                  <c:v>1343100</c:v>
                </c:pt>
                <c:pt idx="925">
                  <c:v>1350500</c:v>
                </c:pt>
                <c:pt idx="926">
                  <c:v>1345000</c:v>
                </c:pt>
                <c:pt idx="927">
                  <c:v>1362400</c:v>
                </c:pt>
                <c:pt idx="928">
                  <c:v>1375820</c:v>
                </c:pt>
                <c:pt idx="929">
                  <c:v>1398920</c:v>
                </c:pt>
                <c:pt idx="930">
                  <c:v>1404240</c:v>
                </c:pt>
                <c:pt idx="931">
                  <c:v>1407900</c:v>
                </c:pt>
                <c:pt idx="932">
                  <c:v>1418120</c:v>
                </c:pt>
                <c:pt idx="933">
                  <c:v>1417020</c:v>
                </c:pt>
                <c:pt idx="934">
                  <c:v>1442640</c:v>
                </c:pt>
                <c:pt idx="935">
                  <c:v>1451580</c:v>
                </c:pt>
                <c:pt idx="936">
                  <c:v>1427280</c:v>
                </c:pt>
                <c:pt idx="937">
                  <c:v>1404380</c:v>
                </c:pt>
                <c:pt idx="938">
                  <c:v>1410680</c:v>
                </c:pt>
                <c:pt idx="939">
                  <c:v>1362240</c:v>
                </c:pt>
                <c:pt idx="940">
                  <c:v>1374560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62-4F87-94A9-1A58479DCB78}"/>
            </c:ext>
          </c:extLst>
        </c:ser>
        <c:ser>
          <c:idx val="1"/>
          <c:order val="1"/>
          <c:tx>
            <c:strRef>
              <c:f>Data!$J$11</c:f>
              <c:strCache>
                <c:ptCount val="1"/>
                <c:pt idx="0">
                  <c:v>Long Polypropylene Futures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941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41281</c:v>
                </c:pt>
                <c:pt idx="5">
                  <c:v>41282</c:v>
                </c:pt>
                <c:pt idx="6">
                  <c:v>41283</c:v>
                </c:pt>
                <c:pt idx="7">
                  <c:v>41284</c:v>
                </c:pt>
                <c:pt idx="8">
                  <c:v>41285</c:v>
                </c:pt>
                <c:pt idx="9">
                  <c:v>41288</c:v>
                </c:pt>
                <c:pt idx="10">
                  <c:v>41289</c:v>
                </c:pt>
                <c:pt idx="11">
                  <c:v>41290</c:v>
                </c:pt>
                <c:pt idx="12">
                  <c:v>41291</c:v>
                </c:pt>
                <c:pt idx="13">
                  <c:v>41292</c:v>
                </c:pt>
                <c:pt idx="14">
                  <c:v>41295</c:v>
                </c:pt>
                <c:pt idx="15">
                  <c:v>41296</c:v>
                </c:pt>
                <c:pt idx="16">
                  <c:v>41297</c:v>
                </c:pt>
                <c:pt idx="17">
                  <c:v>41298</c:v>
                </c:pt>
                <c:pt idx="18">
                  <c:v>41299</c:v>
                </c:pt>
                <c:pt idx="19">
                  <c:v>41302</c:v>
                </c:pt>
                <c:pt idx="20">
                  <c:v>41303</c:v>
                </c:pt>
                <c:pt idx="21">
                  <c:v>41304</c:v>
                </c:pt>
                <c:pt idx="22">
                  <c:v>41305</c:v>
                </c:pt>
                <c:pt idx="23">
                  <c:v>41306</c:v>
                </c:pt>
                <c:pt idx="24">
                  <c:v>41309</c:v>
                </c:pt>
                <c:pt idx="25">
                  <c:v>41310</c:v>
                </c:pt>
                <c:pt idx="26">
                  <c:v>41311</c:v>
                </c:pt>
                <c:pt idx="27">
                  <c:v>41312</c:v>
                </c:pt>
                <c:pt idx="28">
                  <c:v>41313</c:v>
                </c:pt>
                <c:pt idx="29">
                  <c:v>41316</c:v>
                </c:pt>
                <c:pt idx="30">
                  <c:v>41317</c:v>
                </c:pt>
                <c:pt idx="31">
                  <c:v>41318</c:v>
                </c:pt>
                <c:pt idx="32">
                  <c:v>41319</c:v>
                </c:pt>
                <c:pt idx="33">
                  <c:v>41320</c:v>
                </c:pt>
                <c:pt idx="34">
                  <c:v>41323</c:v>
                </c:pt>
                <c:pt idx="35">
                  <c:v>41324</c:v>
                </c:pt>
                <c:pt idx="36">
                  <c:v>41325</c:v>
                </c:pt>
                <c:pt idx="37">
                  <c:v>41326</c:v>
                </c:pt>
                <c:pt idx="38">
                  <c:v>41327</c:v>
                </c:pt>
                <c:pt idx="39">
                  <c:v>41330</c:v>
                </c:pt>
                <c:pt idx="40">
                  <c:v>41331</c:v>
                </c:pt>
                <c:pt idx="41">
                  <c:v>41332</c:v>
                </c:pt>
                <c:pt idx="42">
                  <c:v>41333</c:v>
                </c:pt>
                <c:pt idx="43">
                  <c:v>41334</c:v>
                </c:pt>
                <c:pt idx="44">
                  <c:v>41337</c:v>
                </c:pt>
                <c:pt idx="45">
                  <c:v>41338</c:v>
                </c:pt>
                <c:pt idx="46">
                  <c:v>41339</c:v>
                </c:pt>
                <c:pt idx="47">
                  <c:v>41340</c:v>
                </c:pt>
                <c:pt idx="48">
                  <c:v>41341</c:v>
                </c:pt>
                <c:pt idx="49">
                  <c:v>41344</c:v>
                </c:pt>
                <c:pt idx="50">
                  <c:v>41345</c:v>
                </c:pt>
                <c:pt idx="51">
                  <c:v>41346</c:v>
                </c:pt>
                <c:pt idx="52">
                  <c:v>41347</c:v>
                </c:pt>
                <c:pt idx="53">
                  <c:v>41348</c:v>
                </c:pt>
                <c:pt idx="54">
                  <c:v>41351</c:v>
                </c:pt>
                <c:pt idx="55">
                  <c:v>41352</c:v>
                </c:pt>
                <c:pt idx="56">
                  <c:v>41353</c:v>
                </c:pt>
                <c:pt idx="57">
                  <c:v>41354</c:v>
                </c:pt>
                <c:pt idx="58">
                  <c:v>41355</c:v>
                </c:pt>
                <c:pt idx="59">
                  <c:v>41358</c:v>
                </c:pt>
                <c:pt idx="60">
                  <c:v>41359</c:v>
                </c:pt>
                <c:pt idx="61">
                  <c:v>41360</c:v>
                </c:pt>
                <c:pt idx="62">
                  <c:v>41361</c:v>
                </c:pt>
                <c:pt idx="63">
                  <c:v>41362</c:v>
                </c:pt>
                <c:pt idx="64">
                  <c:v>41365</c:v>
                </c:pt>
                <c:pt idx="65">
                  <c:v>41366</c:v>
                </c:pt>
                <c:pt idx="66">
                  <c:v>41367</c:v>
                </c:pt>
                <c:pt idx="67">
                  <c:v>41368</c:v>
                </c:pt>
                <c:pt idx="68">
                  <c:v>41369</c:v>
                </c:pt>
                <c:pt idx="69">
                  <c:v>41372</c:v>
                </c:pt>
                <c:pt idx="70">
                  <c:v>41373</c:v>
                </c:pt>
                <c:pt idx="71">
                  <c:v>41374</c:v>
                </c:pt>
                <c:pt idx="72">
                  <c:v>41375</c:v>
                </c:pt>
                <c:pt idx="73">
                  <c:v>41376</c:v>
                </c:pt>
                <c:pt idx="74">
                  <c:v>41379</c:v>
                </c:pt>
                <c:pt idx="75">
                  <c:v>41380</c:v>
                </c:pt>
                <c:pt idx="76">
                  <c:v>41381</c:v>
                </c:pt>
                <c:pt idx="77">
                  <c:v>41382</c:v>
                </c:pt>
                <c:pt idx="78">
                  <c:v>41383</c:v>
                </c:pt>
                <c:pt idx="79">
                  <c:v>41386</c:v>
                </c:pt>
                <c:pt idx="80">
                  <c:v>41387</c:v>
                </c:pt>
                <c:pt idx="81">
                  <c:v>41388</c:v>
                </c:pt>
                <c:pt idx="82">
                  <c:v>41389</c:v>
                </c:pt>
                <c:pt idx="83">
                  <c:v>41390</c:v>
                </c:pt>
                <c:pt idx="84">
                  <c:v>41393</c:v>
                </c:pt>
                <c:pt idx="85">
                  <c:v>41394</c:v>
                </c:pt>
                <c:pt idx="86">
                  <c:v>41395</c:v>
                </c:pt>
                <c:pt idx="87">
                  <c:v>41396</c:v>
                </c:pt>
                <c:pt idx="88">
                  <c:v>41397</c:v>
                </c:pt>
                <c:pt idx="89">
                  <c:v>41400</c:v>
                </c:pt>
                <c:pt idx="90">
                  <c:v>41401</c:v>
                </c:pt>
                <c:pt idx="91">
                  <c:v>41402</c:v>
                </c:pt>
                <c:pt idx="92">
                  <c:v>41403</c:v>
                </c:pt>
                <c:pt idx="93">
                  <c:v>41404</c:v>
                </c:pt>
                <c:pt idx="94">
                  <c:v>41407</c:v>
                </c:pt>
                <c:pt idx="95">
                  <c:v>41408</c:v>
                </c:pt>
                <c:pt idx="96">
                  <c:v>41409</c:v>
                </c:pt>
                <c:pt idx="97">
                  <c:v>41410</c:v>
                </c:pt>
                <c:pt idx="98">
                  <c:v>41411</c:v>
                </c:pt>
                <c:pt idx="99">
                  <c:v>41414</c:v>
                </c:pt>
                <c:pt idx="100">
                  <c:v>41415</c:v>
                </c:pt>
                <c:pt idx="101">
                  <c:v>41416</c:v>
                </c:pt>
                <c:pt idx="102">
                  <c:v>41417</c:v>
                </c:pt>
                <c:pt idx="103">
                  <c:v>41418</c:v>
                </c:pt>
                <c:pt idx="104">
                  <c:v>41421</c:v>
                </c:pt>
                <c:pt idx="105">
                  <c:v>41422</c:v>
                </c:pt>
                <c:pt idx="106">
                  <c:v>41423</c:v>
                </c:pt>
                <c:pt idx="107">
                  <c:v>41424</c:v>
                </c:pt>
                <c:pt idx="108">
                  <c:v>41425</c:v>
                </c:pt>
                <c:pt idx="109">
                  <c:v>41428</c:v>
                </c:pt>
                <c:pt idx="110">
                  <c:v>41429</c:v>
                </c:pt>
                <c:pt idx="111">
                  <c:v>41430</c:v>
                </c:pt>
                <c:pt idx="112">
                  <c:v>41431</c:v>
                </c:pt>
                <c:pt idx="113">
                  <c:v>41432</c:v>
                </c:pt>
                <c:pt idx="114">
                  <c:v>41435</c:v>
                </c:pt>
                <c:pt idx="115">
                  <c:v>41436</c:v>
                </c:pt>
                <c:pt idx="116">
                  <c:v>41437</c:v>
                </c:pt>
                <c:pt idx="117">
                  <c:v>41438</c:v>
                </c:pt>
                <c:pt idx="118">
                  <c:v>41439</c:v>
                </c:pt>
                <c:pt idx="119">
                  <c:v>41442</c:v>
                </c:pt>
                <c:pt idx="120">
                  <c:v>41443</c:v>
                </c:pt>
                <c:pt idx="121">
                  <c:v>41444</c:v>
                </c:pt>
                <c:pt idx="122">
                  <c:v>41445</c:v>
                </c:pt>
                <c:pt idx="123">
                  <c:v>41446</c:v>
                </c:pt>
                <c:pt idx="124">
                  <c:v>41449</c:v>
                </c:pt>
                <c:pt idx="125">
                  <c:v>41450</c:v>
                </c:pt>
                <c:pt idx="126">
                  <c:v>41451</c:v>
                </c:pt>
                <c:pt idx="127">
                  <c:v>41452</c:v>
                </c:pt>
                <c:pt idx="128">
                  <c:v>41453</c:v>
                </c:pt>
                <c:pt idx="129">
                  <c:v>41456</c:v>
                </c:pt>
                <c:pt idx="130">
                  <c:v>41457</c:v>
                </c:pt>
                <c:pt idx="131">
                  <c:v>41458</c:v>
                </c:pt>
                <c:pt idx="132">
                  <c:v>41459</c:v>
                </c:pt>
                <c:pt idx="133">
                  <c:v>41460</c:v>
                </c:pt>
                <c:pt idx="134">
                  <c:v>41463</c:v>
                </c:pt>
                <c:pt idx="135">
                  <c:v>41464</c:v>
                </c:pt>
                <c:pt idx="136">
                  <c:v>41465</c:v>
                </c:pt>
                <c:pt idx="137">
                  <c:v>41466</c:v>
                </c:pt>
                <c:pt idx="138">
                  <c:v>41467</c:v>
                </c:pt>
                <c:pt idx="139">
                  <c:v>41470</c:v>
                </c:pt>
                <c:pt idx="140">
                  <c:v>41471</c:v>
                </c:pt>
                <c:pt idx="141">
                  <c:v>41472</c:v>
                </c:pt>
                <c:pt idx="142">
                  <c:v>41473</c:v>
                </c:pt>
                <c:pt idx="143">
                  <c:v>41474</c:v>
                </c:pt>
                <c:pt idx="144">
                  <c:v>41477</c:v>
                </c:pt>
                <c:pt idx="145">
                  <c:v>41478</c:v>
                </c:pt>
                <c:pt idx="146">
                  <c:v>41479</c:v>
                </c:pt>
                <c:pt idx="147">
                  <c:v>41480</c:v>
                </c:pt>
                <c:pt idx="148">
                  <c:v>41481</c:v>
                </c:pt>
                <c:pt idx="149">
                  <c:v>41484</c:v>
                </c:pt>
                <c:pt idx="150">
                  <c:v>41485</c:v>
                </c:pt>
                <c:pt idx="151">
                  <c:v>41486</c:v>
                </c:pt>
                <c:pt idx="152">
                  <c:v>41487</c:v>
                </c:pt>
                <c:pt idx="153">
                  <c:v>41488</c:v>
                </c:pt>
                <c:pt idx="154">
                  <c:v>41491</c:v>
                </c:pt>
                <c:pt idx="155">
                  <c:v>41492</c:v>
                </c:pt>
                <c:pt idx="156">
                  <c:v>41493</c:v>
                </c:pt>
                <c:pt idx="157">
                  <c:v>41494</c:v>
                </c:pt>
                <c:pt idx="158">
                  <c:v>41495</c:v>
                </c:pt>
                <c:pt idx="159">
                  <c:v>41498</c:v>
                </c:pt>
                <c:pt idx="160">
                  <c:v>41499</c:v>
                </c:pt>
                <c:pt idx="161">
                  <c:v>41500</c:v>
                </c:pt>
                <c:pt idx="162">
                  <c:v>41501</c:v>
                </c:pt>
                <c:pt idx="163">
                  <c:v>41502</c:v>
                </c:pt>
                <c:pt idx="164">
                  <c:v>41505</c:v>
                </c:pt>
                <c:pt idx="165">
                  <c:v>41506</c:v>
                </c:pt>
                <c:pt idx="166">
                  <c:v>41507</c:v>
                </c:pt>
                <c:pt idx="167">
                  <c:v>41508</c:v>
                </c:pt>
                <c:pt idx="168">
                  <c:v>41509</c:v>
                </c:pt>
                <c:pt idx="169">
                  <c:v>41512</c:v>
                </c:pt>
                <c:pt idx="170">
                  <c:v>41513</c:v>
                </c:pt>
                <c:pt idx="171">
                  <c:v>41514</c:v>
                </c:pt>
                <c:pt idx="172">
                  <c:v>41515</c:v>
                </c:pt>
                <c:pt idx="173">
                  <c:v>41516</c:v>
                </c:pt>
                <c:pt idx="174">
                  <c:v>41519</c:v>
                </c:pt>
                <c:pt idx="175">
                  <c:v>41520</c:v>
                </c:pt>
                <c:pt idx="176">
                  <c:v>41521</c:v>
                </c:pt>
                <c:pt idx="177">
                  <c:v>41522</c:v>
                </c:pt>
                <c:pt idx="178">
                  <c:v>41523</c:v>
                </c:pt>
                <c:pt idx="179">
                  <c:v>41526</c:v>
                </c:pt>
                <c:pt idx="180">
                  <c:v>41527</c:v>
                </c:pt>
                <c:pt idx="181">
                  <c:v>41528</c:v>
                </c:pt>
                <c:pt idx="182">
                  <c:v>41529</c:v>
                </c:pt>
                <c:pt idx="183">
                  <c:v>41530</c:v>
                </c:pt>
                <c:pt idx="184">
                  <c:v>41533</c:v>
                </c:pt>
                <c:pt idx="185">
                  <c:v>41534</c:v>
                </c:pt>
                <c:pt idx="186">
                  <c:v>41535</c:v>
                </c:pt>
                <c:pt idx="187">
                  <c:v>41536</c:v>
                </c:pt>
                <c:pt idx="188">
                  <c:v>41537</c:v>
                </c:pt>
                <c:pt idx="189">
                  <c:v>41540</c:v>
                </c:pt>
                <c:pt idx="190">
                  <c:v>41541</c:v>
                </c:pt>
                <c:pt idx="191">
                  <c:v>41542</c:v>
                </c:pt>
                <c:pt idx="192">
                  <c:v>41543</c:v>
                </c:pt>
                <c:pt idx="193">
                  <c:v>41544</c:v>
                </c:pt>
                <c:pt idx="194">
                  <c:v>41547</c:v>
                </c:pt>
                <c:pt idx="195">
                  <c:v>41548</c:v>
                </c:pt>
                <c:pt idx="196">
                  <c:v>41549</c:v>
                </c:pt>
                <c:pt idx="197">
                  <c:v>41550</c:v>
                </c:pt>
                <c:pt idx="198">
                  <c:v>41551</c:v>
                </c:pt>
                <c:pt idx="199">
                  <c:v>41554</c:v>
                </c:pt>
                <c:pt idx="200">
                  <c:v>41555</c:v>
                </c:pt>
                <c:pt idx="201">
                  <c:v>41556</c:v>
                </c:pt>
                <c:pt idx="202">
                  <c:v>41557</c:v>
                </c:pt>
                <c:pt idx="203">
                  <c:v>41558</c:v>
                </c:pt>
                <c:pt idx="204">
                  <c:v>41561</c:v>
                </c:pt>
                <c:pt idx="205">
                  <c:v>41562</c:v>
                </c:pt>
                <c:pt idx="206">
                  <c:v>41563</c:v>
                </c:pt>
                <c:pt idx="207">
                  <c:v>41564</c:v>
                </c:pt>
                <c:pt idx="208">
                  <c:v>41565</c:v>
                </c:pt>
                <c:pt idx="209">
                  <c:v>41568</c:v>
                </c:pt>
                <c:pt idx="210">
                  <c:v>41569</c:v>
                </c:pt>
                <c:pt idx="211">
                  <c:v>41570</c:v>
                </c:pt>
                <c:pt idx="212">
                  <c:v>41571</c:v>
                </c:pt>
                <c:pt idx="213">
                  <c:v>41572</c:v>
                </c:pt>
                <c:pt idx="214">
                  <c:v>41575</c:v>
                </c:pt>
                <c:pt idx="215">
                  <c:v>41576</c:v>
                </c:pt>
                <c:pt idx="216">
                  <c:v>41577</c:v>
                </c:pt>
                <c:pt idx="217">
                  <c:v>41578</c:v>
                </c:pt>
                <c:pt idx="218">
                  <c:v>41579</c:v>
                </c:pt>
                <c:pt idx="219">
                  <c:v>41582</c:v>
                </c:pt>
                <c:pt idx="220">
                  <c:v>41583</c:v>
                </c:pt>
                <c:pt idx="221">
                  <c:v>41584</c:v>
                </c:pt>
                <c:pt idx="222">
                  <c:v>41585</c:v>
                </c:pt>
                <c:pt idx="223">
                  <c:v>41586</c:v>
                </c:pt>
                <c:pt idx="224">
                  <c:v>41589</c:v>
                </c:pt>
                <c:pt idx="225">
                  <c:v>41590</c:v>
                </c:pt>
                <c:pt idx="226">
                  <c:v>41591</c:v>
                </c:pt>
                <c:pt idx="227">
                  <c:v>41592</c:v>
                </c:pt>
                <c:pt idx="228">
                  <c:v>41593</c:v>
                </c:pt>
                <c:pt idx="229">
                  <c:v>41596</c:v>
                </c:pt>
                <c:pt idx="230">
                  <c:v>41597</c:v>
                </c:pt>
                <c:pt idx="231">
                  <c:v>41598</c:v>
                </c:pt>
                <c:pt idx="232">
                  <c:v>41599</c:v>
                </c:pt>
                <c:pt idx="233">
                  <c:v>41600</c:v>
                </c:pt>
                <c:pt idx="234">
                  <c:v>41603</c:v>
                </c:pt>
                <c:pt idx="235">
                  <c:v>41604</c:v>
                </c:pt>
                <c:pt idx="236">
                  <c:v>41605</c:v>
                </c:pt>
                <c:pt idx="237">
                  <c:v>41606</c:v>
                </c:pt>
                <c:pt idx="238">
                  <c:v>41607</c:v>
                </c:pt>
                <c:pt idx="239">
                  <c:v>41610</c:v>
                </c:pt>
                <c:pt idx="240">
                  <c:v>41611</c:v>
                </c:pt>
                <c:pt idx="241">
                  <c:v>41612</c:v>
                </c:pt>
                <c:pt idx="242">
                  <c:v>41613</c:v>
                </c:pt>
                <c:pt idx="243">
                  <c:v>41614</c:v>
                </c:pt>
                <c:pt idx="244">
                  <c:v>41617</c:v>
                </c:pt>
                <c:pt idx="245">
                  <c:v>41618</c:v>
                </c:pt>
                <c:pt idx="246">
                  <c:v>41619</c:v>
                </c:pt>
                <c:pt idx="247">
                  <c:v>41620</c:v>
                </c:pt>
                <c:pt idx="248">
                  <c:v>41621</c:v>
                </c:pt>
                <c:pt idx="249">
                  <c:v>41624</c:v>
                </c:pt>
                <c:pt idx="250">
                  <c:v>41625</c:v>
                </c:pt>
                <c:pt idx="251">
                  <c:v>41626</c:v>
                </c:pt>
                <c:pt idx="252">
                  <c:v>41627</c:v>
                </c:pt>
                <c:pt idx="253">
                  <c:v>41628</c:v>
                </c:pt>
                <c:pt idx="254">
                  <c:v>41631</c:v>
                </c:pt>
                <c:pt idx="255">
                  <c:v>41632</c:v>
                </c:pt>
                <c:pt idx="256">
                  <c:v>41633</c:v>
                </c:pt>
                <c:pt idx="257">
                  <c:v>41634</c:v>
                </c:pt>
                <c:pt idx="258">
                  <c:v>41635</c:v>
                </c:pt>
                <c:pt idx="259">
                  <c:v>41638</c:v>
                </c:pt>
                <c:pt idx="260">
                  <c:v>41639</c:v>
                </c:pt>
                <c:pt idx="261">
                  <c:v>41640</c:v>
                </c:pt>
                <c:pt idx="262">
                  <c:v>41641</c:v>
                </c:pt>
                <c:pt idx="263">
                  <c:v>41642</c:v>
                </c:pt>
                <c:pt idx="264">
                  <c:v>41645</c:v>
                </c:pt>
                <c:pt idx="265">
                  <c:v>41646</c:v>
                </c:pt>
                <c:pt idx="266">
                  <c:v>41647</c:v>
                </c:pt>
                <c:pt idx="267">
                  <c:v>41648</c:v>
                </c:pt>
                <c:pt idx="268">
                  <c:v>41649</c:v>
                </c:pt>
                <c:pt idx="269">
                  <c:v>41652</c:v>
                </c:pt>
                <c:pt idx="270">
                  <c:v>41653</c:v>
                </c:pt>
                <c:pt idx="271">
                  <c:v>41654</c:v>
                </c:pt>
                <c:pt idx="272">
                  <c:v>41655</c:v>
                </c:pt>
                <c:pt idx="273">
                  <c:v>41656</c:v>
                </c:pt>
                <c:pt idx="274">
                  <c:v>41659</c:v>
                </c:pt>
                <c:pt idx="275">
                  <c:v>41660</c:v>
                </c:pt>
                <c:pt idx="276">
                  <c:v>41661</c:v>
                </c:pt>
                <c:pt idx="277">
                  <c:v>41662</c:v>
                </c:pt>
                <c:pt idx="278">
                  <c:v>41663</c:v>
                </c:pt>
                <c:pt idx="279">
                  <c:v>41666</c:v>
                </c:pt>
                <c:pt idx="280">
                  <c:v>41667</c:v>
                </c:pt>
                <c:pt idx="281">
                  <c:v>41668</c:v>
                </c:pt>
                <c:pt idx="282">
                  <c:v>41669</c:v>
                </c:pt>
                <c:pt idx="283">
                  <c:v>41670</c:v>
                </c:pt>
                <c:pt idx="284">
                  <c:v>41673</c:v>
                </c:pt>
                <c:pt idx="285">
                  <c:v>41674</c:v>
                </c:pt>
                <c:pt idx="286">
                  <c:v>41675</c:v>
                </c:pt>
                <c:pt idx="287">
                  <c:v>41676</c:v>
                </c:pt>
                <c:pt idx="288">
                  <c:v>41677</c:v>
                </c:pt>
                <c:pt idx="289">
                  <c:v>41680</c:v>
                </c:pt>
                <c:pt idx="290">
                  <c:v>41681</c:v>
                </c:pt>
                <c:pt idx="291">
                  <c:v>41682</c:v>
                </c:pt>
                <c:pt idx="292">
                  <c:v>41683</c:v>
                </c:pt>
                <c:pt idx="293">
                  <c:v>41684</c:v>
                </c:pt>
                <c:pt idx="294">
                  <c:v>41687</c:v>
                </c:pt>
                <c:pt idx="295">
                  <c:v>41688</c:v>
                </c:pt>
                <c:pt idx="296">
                  <c:v>41689</c:v>
                </c:pt>
                <c:pt idx="297">
                  <c:v>41690</c:v>
                </c:pt>
                <c:pt idx="298">
                  <c:v>41691</c:v>
                </c:pt>
                <c:pt idx="299">
                  <c:v>41694</c:v>
                </c:pt>
                <c:pt idx="300">
                  <c:v>41695</c:v>
                </c:pt>
                <c:pt idx="301">
                  <c:v>41696</c:v>
                </c:pt>
                <c:pt idx="302">
                  <c:v>41697</c:v>
                </c:pt>
                <c:pt idx="303">
                  <c:v>41698</c:v>
                </c:pt>
                <c:pt idx="304">
                  <c:v>41701</c:v>
                </c:pt>
                <c:pt idx="305">
                  <c:v>41702</c:v>
                </c:pt>
                <c:pt idx="306">
                  <c:v>41703</c:v>
                </c:pt>
                <c:pt idx="307">
                  <c:v>41704</c:v>
                </c:pt>
                <c:pt idx="308">
                  <c:v>41705</c:v>
                </c:pt>
                <c:pt idx="309">
                  <c:v>41708</c:v>
                </c:pt>
                <c:pt idx="310">
                  <c:v>41709</c:v>
                </c:pt>
                <c:pt idx="311">
                  <c:v>41710</c:v>
                </c:pt>
                <c:pt idx="312">
                  <c:v>41711</c:v>
                </c:pt>
                <c:pt idx="313">
                  <c:v>41712</c:v>
                </c:pt>
                <c:pt idx="314">
                  <c:v>41715</c:v>
                </c:pt>
                <c:pt idx="315">
                  <c:v>41716</c:v>
                </c:pt>
                <c:pt idx="316">
                  <c:v>41717</c:v>
                </c:pt>
                <c:pt idx="317">
                  <c:v>41718</c:v>
                </c:pt>
                <c:pt idx="318">
                  <c:v>41719</c:v>
                </c:pt>
                <c:pt idx="319">
                  <c:v>41722</c:v>
                </c:pt>
                <c:pt idx="320">
                  <c:v>41723</c:v>
                </c:pt>
                <c:pt idx="321">
                  <c:v>41724</c:v>
                </c:pt>
                <c:pt idx="322">
                  <c:v>41725</c:v>
                </c:pt>
                <c:pt idx="323">
                  <c:v>41726</c:v>
                </c:pt>
                <c:pt idx="324">
                  <c:v>41729</c:v>
                </c:pt>
                <c:pt idx="325">
                  <c:v>41730</c:v>
                </c:pt>
                <c:pt idx="326">
                  <c:v>41731</c:v>
                </c:pt>
                <c:pt idx="327">
                  <c:v>41732</c:v>
                </c:pt>
                <c:pt idx="328">
                  <c:v>41733</c:v>
                </c:pt>
                <c:pt idx="329">
                  <c:v>41736</c:v>
                </c:pt>
                <c:pt idx="330">
                  <c:v>41737</c:v>
                </c:pt>
                <c:pt idx="331">
                  <c:v>41738</c:v>
                </c:pt>
                <c:pt idx="332">
                  <c:v>41739</c:v>
                </c:pt>
                <c:pt idx="333">
                  <c:v>41740</c:v>
                </c:pt>
                <c:pt idx="334">
                  <c:v>41743</c:v>
                </c:pt>
                <c:pt idx="335">
                  <c:v>41744</c:v>
                </c:pt>
                <c:pt idx="336">
                  <c:v>41745</c:v>
                </c:pt>
                <c:pt idx="337">
                  <c:v>41746</c:v>
                </c:pt>
                <c:pt idx="338">
                  <c:v>41747</c:v>
                </c:pt>
                <c:pt idx="339">
                  <c:v>41750</c:v>
                </c:pt>
                <c:pt idx="340">
                  <c:v>41751</c:v>
                </c:pt>
                <c:pt idx="341">
                  <c:v>41752</c:v>
                </c:pt>
                <c:pt idx="342">
                  <c:v>41753</c:v>
                </c:pt>
                <c:pt idx="343">
                  <c:v>41754</c:v>
                </c:pt>
                <c:pt idx="344">
                  <c:v>41757</c:v>
                </c:pt>
                <c:pt idx="345">
                  <c:v>41758</c:v>
                </c:pt>
                <c:pt idx="346">
                  <c:v>41759</c:v>
                </c:pt>
                <c:pt idx="347">
                  <c:v>41760</c:v>
                </c:pt>
                <c:pt idx="348">
                  <c:v>41761</c:v>
                </c:pt>
                <c:pt idx="349">
                  <c:v>41764</c:v>
                </c:pt>
                <c:pt idx="350">
                  <c:v>41765</c:v>
                </c:pt>
                <c:pt idx="351">
                  <c:v>41766</c:v>
                </c:pt>
                <c:pt idx="352">
                  <c:v>41767</c:v>
                </c:pt>
                <c:pt idx="353">
                  <c:v>41768</c:v>
                </c:pt>
                <c:pt idx="354">
                  <c:v>41771</c:v>
                </c:pt>
                <c:pt idx="355">
                  <c:v>41772</c:v>
                </c:pt>
                <c:pt idx="356">
                  <c:v>41773</c:v>
                </c:pt>
                <c:pt idx="357">
                  <c:v>41774</c:v>
                </c:pt>
                <c:pt idx="358">
                  <c:v>41775</c:v>
                </c:pt>
                <c:pt idx="359">
                  <c:v>41778</c:v>
                </c:pt>
                <c:pt idx="360">
                  <c:v>41779</c:v>
                </c:pt>
                <c:pt idx="361">
                  <c:v>41780</c:v>
                </c:pt>
                <c:pt idx="362">
                  <c:v>41781</c:v>
                </c:pt>
                <c:pt idx="363">
                  <c:v>41782</c:v>
                </c:pt>
                <c:pt idx="364">
                  <c:v>41785</c:v>
                </c:pt>
                <c:pt idx="365">
                  <c:v>41786</c:v>
                </c:pt>
                <c:pt idx="366">
                  <c:v>41787</c:v>
                </c:pt>
                <c:pt idx="367">
                  <c:v>41788</c:v>
                </c:pt>
                <c:pt idx="368">
                  <c:v>41789</c:v>
                </c:pt>
                <c:pt idx="369">
                  <c:v>41792</c:v>
                </c:pt>
                <c:pt idx="370">
                  <c:v>41793</c:v>
                </c:pt>
                <c:pt idx="371">
                  <c:v>41794</c:v>
                </c:pt>
                <c:pt idx="372">
                  <c:v>41795</c:v>
                </c:pt>
                <c:pt idx="373">
                  <c:v>41796</c:v>
                </c:pt>
                <c:pt idx="374">
                  <c:v>41799</c:v>
                </c:pt>
                <c:pt idx="375">
                  <c:v>41800</c:v>
                </c:pt>
                <c:pt idx="376">
                  <c:v>41801</c:v>
                </c:pt>
                <c:pt idx="377">
                  <c:v>41802</c:v>
                </c:pt>
                <c:pt idx="378">
                  <c:v>41803</c:v>
                </c:pt>
                <c:pt idx="379">
                  <c:v>41806</c:v>
                </c:pt>
                <c:pt idx="380">
                  <c:v>41807</c:v>
                </c:pt>
                <c:pt idx="381">
                  <c:v>41808</c:v>
                </c:pt>
                <c:pt idx="382">
                  <c:v>41809</c:v>
                </c:pt>
                <c:pt idx="383">
                  <c:v>41810</c:v>
                </c:pt>
                <c:pt idx="384">
                  <c:v>41813</c:v>
                </c:pt>
                <c:pt idx="385">
                  <c:v>41814</c:v>
                </c:pt>
                <c:pt idx="386">
                  <c:v>41815</c:v>
                </c:pt>
                <c:pt idx="387">
                  <c:v>41816</c:v>
                </c:pt>
                <c:pt idx="388">
                  <c:v>41817</c:v>
                </c:pt>
                <c:pt idx="389">
                  <c:v>41820</c:v>
                </c:pt>
                <c:pt idx="390">
                  <c:v>41821</c:v>
                </c:pt>
                <c:pt idx="391">
                  <c:v>41822</c:v>
                </c:pt>
                <c:pt idx="392">
                  <c:v>41823</c:v>
                </c:pt>
                <c:pt idx="393">
                  <c:v>41824</c:v>
                </c:pt>
                <c:pt idx="394">
                  <c:v>41827</c:v>
                </c:pt>
                <c:pt idx="395">
                  <c:v>41828</c:v>
                </c:pt>
                <c:pt idx="396">
                  <c:v>41829</c:v>
                </c:pt>
                <c:pt idx="397">
                  <c:v>41830</c:v>
                </c:pt>
                <c:pt idx="398">
                  <c:v>41831</c:v>
                </c:pt>
                <c:pt idx="399">
                  <c:v>41834</c:v>
                </c:pt>
                <c:pt idx="400">
                  <c:v>41835</c:v>
                </c:pt>
                <c:pt idx="401">
                  <c:v>41836</c:v>
                </c:pt>
                <c:pt idx="402">
                  <c:v>41837</c:v>
                </c:pt>
                <c:pt idx="403">
                  <c:v>41838</c:v>
                </c:pt>
                <c:pt idx="404">
                  <c:v>41841</c:v>
                </c:pt>
                <c:pt idx="405">
                  <c:v>41842</c:v>
                </c:pt>
                <c:pt idx="406">
                  <c:v>41843</c:v>
                </c:pt>
                <c:pt idx="407">
                  <c:v>41844</c:v>
                </c:pt>
                <c:pt idx="408">
                  <c:v>41845</c:v>
                </c:pt>
                <c:pt idx="409">
                  <c:v>41848</c:v>
                </c:pt>
                <c:pt idx="410">
                  <c:v>41849</c:v>
                </c:pt>
                <c:pt idx="411">
                  <c:v>41850</c:v>
                </c:pt>
                <c:pt idx="412">
                  <c:v>41851</c:v>
                </c:pt>
                <c:pt idx="413">
                  <c:v>41852</c:v>
                </c:pt>
                <c:pt idx="414">
                  <c:v>41855</c:v>
                </c:pt>
                <c:pt idx="415">
                  <c:v>41856</c:v>
                </c:pt>
                <c:pt idx="416">
                  <c:v>41857</c:v>
                </c:pt>
                <c:pt idx="417">
                  <c:v>41858</c:v>
                </c:pt>
                <c:pt idx="418">
                  <c:v>41859</c:v>
                </c:pt>
                <c:pt idx="419">
                  <c:v>41862</c:v>
                </c:pt>
                <c:pt idx="420">
                  <c:v>41863</c:v>
                </c:pt>
                <c:pt idx="421">
                  <c:v>41864</c:v>
                </c:pt>
                <c:pt idx="422">
                  <c:v>41865</c:v>
                </c:pt>
                <c:pt idx="423">
                  <c:v>41866</c:v>
                </c:pt>
                <c:pt idx="424">
                  <c:v>41869</c:v>
                </c:pt>
                <c:pt idx="425">
                  <c:v>41870</c:v>
                </c:pt>
                <c:pt idx="426">
                  <c:v>41871</c:v>
                </c:pt>
                <c:pt idx="427">
                  <c:v>41872</c:v>
                </c:pt>
                <c:pt idx="428">
                  <c:v>41873</c:v>
                </c:pt>
                <c:pt idx="429">
                  <c:v>41876</c:v>
                </c:pt>
                <c:pt idx="430">
                  <c:v>41877</c:v>
                </c:pt>
                <c:pt idx="431">
                  <c:v>41878</c:v>
                </c:pt>
                <c:pt idx="432">
                  <c:v>41879</c:v>
                </c:pt>
                <c:pt idx="433">
                  <c:v>41880</c:v>
                </c:pt>
                <c:pt idx="434">
                  <c:v>41883</c:v>
                </c:pt>
                <c:pt idx="435">
                  <c:v>41884</c:v>
                </c:pt>
                <c:pt idx="436">
                  <c:v>41885</c:v>
                </c:pt>
                <c:pt idx="437">
                  <c:v>41886</c:v>
                </c:pt>
                <c:pt idx="438">
                  <c:v>41887</c:v>
                </c:pt>
                <c:pt idx="439">
                  <c:v>41890</c:v>
                </c:pt>
                <c:pt idx="440">
                  <c:v>41891</c:v>
                </c:pt>
                <c:pt idx="441">
                  <c:v>41892</c:v>
                </c:pt>
                <c:pt idx="442">
                  <c:v>41893</c:v>
                </c:pt>
                <c:pt idx="443">
                  <c:v>41894</c:v>
                </c:pt>
                <c:pt idx="444">
                  <c:v>41897</c:v>
                </c:pt>
                <c:pt idx="445">
                  <c:v>41898</c:v>
                </c:pt>
                <c:pt idx="446">
                  <c:v>41899</c:v>
                </c:pt>
                <c:pt idx="447">
                  <c:v>41900</c:v>
                </c:pt>
                <c:pt idx="448">
                  <c:v>41901</c:v>
                </c:pt>
                <c:pt idx="449">
                  <c:v>41904</c:v>
                </c:pt>
                <c:pt idx="450">
                  <c:v>41905</c:v>
                </c:pt>
                <c:pt idx="451">
                  <c:v>41906</c:v>
                </c:pt>
                <c:pt idx="452">
                  <c:v>41907</c:v>
                </c:pt>
                <c:pt idx="453">
                  <c:v>41908</c:v>
                </c:pt>
                <c:pt idx="454">
                  <c:v>41911</c:v>
                </c:pt>
                <c:pt idx="455">
                  <c:v>41912</c:v>
                </c:pt>
                <c:pt idx="456">
                  <c:v>41913</c:v>
                </c:pt>
                <c:pt idx="457">
                  <c:v>41914</c:v>
                </c:pt>
                <c:pt idx="458">
                  <c:v>41915</c:v>
                </c:pt>
                <c:pt idx="459">
                  <c:v>41918</c:v>
                </c:pt>
                <c:pt idx="460">
                  <c:v>41919</c:v>
                </c:pt>
                <c:pt idx="461">
                  <c:v>41920</c:v>
                </c:pt>
                <c:pt idx="462">
                  <c:v>41921</c:v>
                </c:pt>
                <c:pt idx="463">
                  <c:v>41922</c:v>
                </c:pt>
                <c:pt idx="464">
                  <c:v>41925</c:v>
                </c:pt>
                <c:pt idx="465">
                  <c:v>41926</c:v>
                </c:pt>
                <c:pt idx="466">
                  <c:v>41927</c:v>
                </c:pt>
                <c:pt idx="467">
                  <c:v>41928</c:v>
                </c:pt>
                <c:pt idx="468">
                  <c:v>41929</c:v>
                </c:pt>
                <c:pt idx="469">
                  <c:v>41932</c:v>
                </c:pt>
                <c:pt idx="470">
                  <c:v>41933</c:v>
                </c:pt>
                <c:pt idx="471">
                  <c:v>41934</c:v>
                </c:pt>
                <c:pt idx="472">
                  <c:v>41935</c:v>
                </c:pt>
                <c:pt idx="473">
                  <c:v>41936</c:v>
                </c:pt>
                <c:pt idx="474">
                  <c:v>41939</c:v>
                </c:pt>
                <c:pt idx="475">
                  <c:v>41940</c:v>
                </c:pt>
                <c:pt idx="476">
                  <c:v>41941</c:v>
                </c:pt>
                <c:pt idx="477">
                  <c:v>41942</c:v>
                </c:pt>
                <c:pt idx="478">
                  <c:v>41943</c:v>
                </c:pt>
                <c:pt idx="479">
                  <c:v>41946</c:v>
                </c:pt>
                <c:pt idx="480">
                  <c:v>41947</c:v>
                </c:pt>
                <c:pt idx="481">
                  <c:v>41948</c:v>
                </c:pt>
                <c:pt idx="482">
                  <c:v>41949</c:v>
                </c:pt>
                <c:pt idx="483">
                  <c:v>41950</c:v>
                </c:pt>
                <c:pt idx="484">
                  <c:v>41953</c:v>
                </c:pt>
                <c:pt idx="485">
                  <c:v>41954</c:v>
                </c:pt>
                <c:pt idx="486">
                  <c:v>41955</c:v>
                </c:pt>
                <c:pt idx="487">
                  <c:v>41956</c:v>
                </c:pt>
                <c:pt idx="488">
                  <c:v>41957</c:v>
                </c:pt>
                <c:pt idx="489">
                  <c:v>41960</c:v>
                </c:pt>
                <c:pt idx="490">
                  <c:v>41961</c:v>
                </c:pt>
                <c:pt idx="491">
                  <c:v>41962</c:v>
                </c:pt>
                <c:pt idx="492">
                  <c:v>41963</c:v>
                </c:pt>
                <c:pt idx="493">
                  <c:v>41964</c:v>
                </c:pt>
                <c:pt idx="494">
                  <c:v>41967</c:v>
                </c:pt>
                <c:pt idx="495">
                  <c:v>41968</c:v>
                </c:pt>
                <c:pt idx="496">
                  <c:v>41969</c:v>
                </c:pt>
                <c:pt idx="497">
                  <c:v>41970</c:v>
                </c:pt>
                <c:pt idx="498">
                  <c:v>41971</c:v>
                </c:pt>
                <c:pt idx="499">
                  <c:v>41974</c:v>
                </c:pt>
                <c:pt idx="500">
                  <c:v>41975</c:v>
                </c:pt>
                <c:pt idx="501">
                  <c:v>41976</c:v>
                </c:pt>
                <c:pt idx="502">
                  <c:v>41977</c:v>
                </c:pt>
                <c:pt idx="503">
                  <c:v>41978</c:v>
                </c:pt>
                <c:pt idx="504">
                  <c:v>41981</c:v>
                </c:pt>
                <c:pt idx="505">
                  <c:v>41982</c:v>
                </c:pt>
                <c:pt idx="506">
                  <c:v>41983</c:v>
                </c:pt>
                <c:pt idx="507">
                  <c:v>41984</c:v>
                </c:pt>
                <c:pt idx="508">
                  <c:v>41985</c:v>
                </c:pt>
                <c:pt idx="509">
                  <c:v>41988</c:v>
                </c:pt>
                <c:pt idx="510">
                  <c:v>41989</c:v>
                </c:pt>
                <c:pt idx="511">
                  <c:v>41990</c:v>
                </c:pt>
                <c:pt idx="512">
                  <c:v>41991</c:v>
                </c:pt>
                <c:pt idx="513">
                  <c:v>41992</c:v>
                </c:pt>
                <c:pt idx="514">
                  <c:v>41995</c:v>
                </c:pt>
                <c:pt idx="515">
                  <c:v>41996</c:v>
                </c:pt>
                <c:pt idx="516">
                  <c:v>41997</c:v>
                </c:pt>
                <c:pt idx="517">
                  <c:v>41998</c:v>
                </c:pt>
                <c:pt idx="518">
                  <c:v>41999</c:v>
                </c:pt>
                <c:pt idx="519">
                  <c:v>42002</c:v>
                </c:pt>
                <c:pt idx="520">
                  <c:v>42003</c:v>
                </c:pt>
                <c:pt idx="521">
                  <c:v>42004</c:v>
                </c:pt>
                <c:pt idx="522">
                  <c:v>42005</c:v>
                </c:pt>
                <c:pt idx="523">
                  <c:v>42006</c:v>
                </c:pt>
                <c:pt idx="524">
                  <c:v>42009</c:v>
                </c:pt>
                <c:pt idx="525">
                  <c:v>42010</c:v>
                </c:pt>
                <c:pt idx="526">
                  <c:v>42011</c:v>
                </c:pt>
                <c:pt idx="527">
                  <c:v>42012</c:v>
                </c:pt>
                <c:pt idx="528">
                  <c:v>42013</c:v>
                </c:pt>
                <c:pt idx="529">
                  <c:v>42016</c:v>
                </c:pt>
                <c:pt idx="530">
                  <c:v>42017</c:v>
                </c:pt>
                <c:pt idx="531">
                  <c:v>42018</c:v>
                </c:pt>
                <c:pt idx="532">
                  <c:v>42019</c:v>
                </c:pt>
                <c:pt idx="533">
                  <c:v>42020</c:v>
                </c:pt>
                <c:pt idx="534">
                  <c:v>42023</c:v>
                </c:pt>
                <c:pt idx="535">
                  <c:v>42024</c:v>
                </c:pt>
                <c:pt idx="536">
                  <c:v>42025</c:v>
                </c:pt>
                <c:pt idx="537">
                  <c:v>42026</c:v>
                </c:pt>
                <c:pt idx="538">
                  <c:v>42027</c:v>
                </c:pt>
                <c:pt idx="539">
                  <c:v>42030</c:v>
                </c:pt>
                <c:pt idx="540">
                  <c:v>42031</c:v>
                </c:pt>
                <c:pt idx="541">
                  <c:v>42032</c:v>
                </c:pt>
                <c:pt idx="542">
                  <c:v>42033</c:v>
                </c:pt>
                <c:pt idx="543">
                  <c:v>42034</c:v>
                </c:pt>
                <c:pt idx="544">
                  <c:v>42037</c:v>
                </c:pt>
                <c:pt idx="545">
                  <c:v>42038</c:v>
                </c:pt>
                <c:pt idx="546">
                  <c:v>42039</c:v>
                </c:pt>
                <c:pt idx="547">
                  <c:v>42040</c:v>
                </c:pt>
                <c:pt idx="548">
                  <c:v>42041</c:v>
                </c:pt>
                <c:pt idx="549">
                  <c:v>42044</c:v>
                </c:pt>
                <c:pt idx="550">
                  <c:v>42045</c:v>
                </c:pt>
                <c:pt idx="551">
                  <c:v>42046</c:v>
                </c:pt>
                <c:pt idx="552">
                  <c:v>42047</c:v>
                </c:pt>
                <c:pt idx="553">
                  <c:v>42048</c:v>
                </c:pt>
                <c:pt idx="554">
                  <c:v>42051</c:v>
                </c:pt>
                <c:pt idx="555">
                  <c:v>42052</c:v>
                </c:pt>
                <c:pt idx="556">
                  <c:v>42053</c:v>
                </c:pt>
                <c:pt idx="557">
                  <c:v>42054</c:v>
                </c:pt>
                <c:pt idx="558">
                  <c:v>42055</c:v>
                </c:pt>
                <c:pt idx="559">
                  <c:v>42058</c:v>
                </c:pt>
                <c:pt idx="560">
                  <c:v>42059</c:v>
                </c:pt>
                <c:pt idx="561">
                  <c:v>42060</c:v>
                </c:pt>
                <c:pt idx="562">
                  <c:v>42061</c:v>
                </c:pt>
                <c:pt idx="563">
                  <c:v>42062</c:v>
                </c:pt>
                <c:pt idx="564">
                  <c:v>42065</c:v>
                </c:pt>
                <c:pt idx="565">
                  <c:v>42066</c:v>
                </c:pt>
                <c:pt idx="566">
                  <c:v>42067</c:v>
                </c:pt>
                <c:pt idx="567">
                  <c:v>42068</c:v>
                </c:pt>
                <c:pt idx="568">
                  <c:v>42069</c:v>
                </c:pt>
                <c:pt idx="569">
                  <c:v>42072</c:v>
                </c:pt>
                <c:pt idx="570">
                  <c:v>42073</c:v>
                </c:pt>
                <c:pt idx="571">
                  <c:v>42074</c:v>
                </c:pt>
                <c:pt idx="572">
                  <c:v>42075</c:v>
                </c:pt>
                <c:pt idx="573">
                  <c:v>42076</c:v>
                </c:pt>
                <c:pt idx="574">
                  <c:v>42079</c:v>
                </c:pt>
                <c:pt idx="575">
                  <c:v>42080</c:v>
                </c:pt>
                <c:pt idx="576">
                  <c:v>42081</c:v>
                </c:pt>
                <c:pt idx="577">
                  <c:v>42082</c:v>
                </c:pt>
                <c:pt idx="578">
                  <c:v>42083</c:v>
                </c:pt>
                <c:pt idx="579">
                  <c:v>42086</c:v>
                </c:pt>
                <c:pt idx="580">
                  <c:v>42087</c:v>
                </c:pt>
                <c:pt idx="581">
                  <c:v>42088</c:v>
                </c:pt>
                <c:pt idx="582">
                  <c:v>42089</c:v>
                </c:pt>
                <c:pt idx="583">
                  <c:v>42090</c:v>
                </c:pt>
                <c:pt idx="584">
                  <c:v>42093</c:v>
                </c:pt>
                <c:pt idx="585">
                  <c:v>42094</c:v>
                </c:pt>
                <c:pt idx="586">
                  <c:v>42095</c:v>
                </c:pt>
                <c:pt idx="587">
                  <c:v>42096</c:v>
                </c:pt>
                <c:pt idx="588">
                  <c:v>42097</c:v>
                </c:pt>
                <c:pt idx="589">
                  <c:v>42100</c:v>
                </c:pt>
                <c:pt idx="590">
                  <c:v>42101</c:v>
                </c:pt>
                <c:pt idx="591">
                  <c:v>42102</c:v>
                </c:pt>
                <c:pt idx="592">
                  <c:v>42103</c:v>
                </c:pt>
                <c:pt idx="593">
                  <c:v>42104</c:v>
                </c:pt>
                <c:pt idx="594">
                  <c:v>42107</c:v>
                </c:pt>
                <c:pt idx="595">
                  <c:v>42108</c:v>
                </c:pt>
                <c:pt idx="596">
                  <c:v>42109</c:v>
                </c:pt>
                <c:pt idx="597">
                  <c:v>42110</c:v>
                </c:pt>
                <c:pt idx="598">
                  <c:v>42111</c:v>
                </c:pt>
                <c:pt idx="599">
                  <c:v>42114</c:v>
                </c:pt>
                <c:pt idx="600">
                  <c:v>42115</c:v>
                </c:pt>
                <c:pt idx="601">
                  <c:v>42116</c:v>
                </c:pt>
                <c:pt idx="602">
                  <c:v>42117</c:v>
                </c:pt>
                <c:pt idx="603">
                  <c:v>42118</c:v>
                </c:pt>
                <c:pt idx="604">
                  <c:v>42121</c:v>
                </c:pt>
                <c:pt idx="605">
                  <c:v>42122</c:v>
                </c:pt>
                <c:pt idx="606">
                  <c:v>42123</c:v>
                </c:pt>
                <c:pt idx="607">
                  <c:v>42124</c:v>
                </c:pt>
                <c:pt idx="608">
                  <c:v>42125</c:v>
                </c:pt>
                <c:pt idx="609">
                  <c:v>42128</c:v>
                </c:pt>
                <c:pt idx="610">
                  <c:v>42129</c:v>
                </c:pt>
                <c:pt idx="611">
                  <c:v>42130</c:v>
                </c:pt>
                <c:pt idx="612">
                  <c:v>42131</c:v>
                </c:pt>
                <c:pt idx="613">
                  <c:v>42132</c:v>
                </c:pt>
                <c:pt idx="614">
                  <c:v>42135</c:v>
                </c:pt>
                <c:pt idx="615">
                  <c:v>42136</c:v>
                </c:pt>
                <c:pt idx="616">
                  <c:v>42137</c:v>
                </c:pt>
                <c:pt idx="617">
                  <c:v>42138</c:v>
                </c:pt>
                <c:pt idx="618">
                  <c:v>42139</c:v>
                </c:pt>
                <c:pt idx="619">
                  <c:v>42142</c:v>
                </c:pt>
                <c:pt idx="620">
                  <c:v>42143</c:v>
                </c:pt>
                <c:pt idx="621">
                  <c:v>42144</c:v>
                </c:pt>
                <c:pt idx="622">
                  <c:v>42145</c:v>
                </c:pt>
                <c:pt idx="623">
                  <c:v>42146</c:v>
                </c:pt>
                <c:pt idx="624">
                  <c:v>42149</c:v>
                </c:pt>
                <c:pt idx="625">
                  <c:v>42150</c:v>
                </c:pt>
                <c:pt idx="626">
                  <c:v>42151</c:v>
                </c:pt>
                <c:pt idx="627">
                  <c:v>42152</c:v>
                </c:pt>
                <c:pt idx="628">
                  <c:v>42153</c:v>
                </c:pt>
                <c:pt idx="629">
                  <c:v>42156</c:v>
                </c:pt>
                <c:pt idx="630">
                  <c:v>42157</c:v>
                </c:pt>
                <c:pt idx="631">
                  <c:v>42158</c:v>
                </c:pt>
                <c:pt idx="632">
                  <c:v>42159</c:v>
                </c:pt>
                <c:pt idx="633">
                  <c:v>42160</c:v>
                </c:pt>
                <c:pt idx="634">
                  <c:v>42163</c:v>
                </c:pt>
                <c:pt idx="635">
                  <c:v>42164</c:v>
                </c:pt>
                <c:pt idx="636">
                  <c:v>42165</c:v>
                </c:pt>
                <c:pt idx="637">
                  <c:v>42166</c:v>
                </c:pt>
                <c:pt idx="638">
                  <c:v>42167</c:v>
                </c:pt>
                <c:pt idx="639">
                  <c:v>42170</c:v>
                </c:pt>
                <c:pt idx="640">
                  <c:v>42171</c:v>
                </c:pt>
                <c:pt idx="641">
                  <c:v>42172</c:v>
                </c:pt>
                <c:pt idx="642">
                  <c:v>42173</c:v>
                </c:pt>
                <c:pt idx="643">
                  <c:v>42174</c:v>
                </c:pt>
                <c:pt idx="644">
                  <c:v>42177</c:v>
                </c:pt>
                <c:pt idx="645">
                  <c:v>42178</c:v>
                </c:pt>
                <c:pt idx="646">
                  <c:v>42179</c:v>
                </c:pt>
                <c:pt idx="647">
                  <c:v>42180</c:v>
                </c:pt>
                <c:pt idx="648">
                  <c:v>42181</c:v>
                </c:pt>
                <c:pt idx="649">
                  <c:v>42184</c:v>
                </c:pt>
                <c:pt idx="650">
                  <c:v>42185</c:v>
                </c:pt>
                <c:pt idx="651">
                  <c:v>42186</c:v>
                </c:pt>
                <c:pt idx="652">
                  <c:v>42187</c:v>
                </c:pt>
                <c:pt idx="653">
                  <c:v>42188</c:v>
                </c:pt>
                <c:pt idx="654">
                  <c:v>42191</c:v>
                </c:pt>
                <c:pt idx="655">
                  <c:v>42192</c:v>
                </c:pt>
                <c:pt idx="656">
                  <c:v>42193</c:v>
                </c:pt>
                <c:pt idx="657">
                  <c:v>42194</c:v>
                </c:pt>
                <c:pt idx="658">
                  <c:v>42195</c:v>
                </c:pt>
                <c:pt idx="659">
                  <c:v>42198</c:v>
                </c:pt>
                <c:pt idx="660">
                  <c:v>42199</c:v>
                </c:pt>
                <c:pt idx="661">
                  <c:v>42200</c:v>
                </c:pt>
                <c:pt idx="662">
                  <c:v>42201</c:v>
                </c:pt>
                <c:pt idx="663">
                  <c:v>42202</c:v>
                </c:pt>
                <c:pt idx="664">
                  <c:v>42205</c:v>
                </c:pt>
                <c:pt idx="665">
                  <c:v>42206</c:v>
                </c:pt>
                <c:pt idx="666">
                  <c:v>42207</c:v>
                </c:pt>
                <c:pt idx="667">
                  <c:v>42208</c:v>
                </c:pt>
                <c:pt idx="668">
                  <c:v>42209</c:v>
                </c:pt>
                <c:pt idx="669">
                  <c:v>42212</c:v>
                </c:pt>
                <c:pt idx="670">
                  <c:v>42213</c:v>
                </c:pt>
                <c:pt idx="671">
                  <c:v>42214</c:v>
                </c:pt>
                <c:pt idx="672">
                  <c:v>42215</c:v>
                </c:pt>
                <c:pt idx="673">
                  <c:v>42216</c:v>
                </c:pt>
                <c:pt idx="674">
                  <c:v>42219</c:v>
                </c:pt>
                <c:pt idx="675">
                  <c:v>42220</c:v>
                </c:pt>
                <c:pt idx="676">
                  <c:v>42221</c:v>
                </c:pt>
                <c:pt idx="677">
                  <c:v>42222</c:v>
                </c:pt>
                <c:pt idx="678">
                  <c:v>42223</c:v>
                </c:pt>
                <c:pt idx="679">
                  <c:v>42226</c:v>
                </c:pt>
                <c:pt idx="680">
                  <c:v>42227</c:v>
                </c:pt>
                <c:pt idx="681">
                  <c:v>42228</c:v>
                </c:pt>
                <c:pt idx="682">
                  <c:v>42229</c:v>
                </c:pt>
                <c:pt idx="683">
                  <c:v>42230</c:v>
                </c:pt>
                <c:pt idx="684">
                  <c:v>42233</c:v>
                </c:pt>
                <c:pt idx="685">
                  <c:v>42234</c:v>
                </c:pt>
                <c:pt idx="686">
                  <c:v>42235</c:v>
                </c:pt>
                <c:pt idx="687">
                  <c:v>42236</c:v>
                </c:pt>
                <c:pt idx="688">
                  <c:v>42237</c:v>
                </c:pt>
                <c:pt idx="689">
                  <c:v>42240</c:v>
                </c:pt>
                <c:pt idx="690">
                  <c:v>42241</c:v>
                </c:pt>
                <c:pt idx="691">
                  <c:v>42242</c:v>
                </c:pt>
                <c:pt idx="692">
                  <c:v>42243</c:v>
                </c:pt>
                <c:pt idx="693">
                  <c:v>42244</c:v>
                </c:pt>
                <c:pt idx="694">
                  <c:v>42247</c:v>
                </c:pt>
                <c:pt idx="695">
                  <c:v>42248</c:v>
                </c:pt>
                <c:pt idx="696">
                  <c:v>42249</c:v>
                </c:pt>
                <c:pt idx="697">
                  <c:v>42250</c:v>
                </c:pt>
                <c:pt idx="698">
                  <c:v>42251</c:v>
                </c:pt>
                <c:pt idx="699">
                  <c:v>42254</c:v>
                </c:pt>
                <c:pt idx="700">
                  <c:v>42255</c:v>
                </c:pt>
                <c:pt idx="701">
                  <c:v>42256</c:v>
                </c:pt>
                <c:pt idx="702">
                  <c:v>42257</c:v>
                </c:pt>
                <c:pt idx="703">
                  <c:v>42258</c:v>
                </c:pt>
                <c:pt idx="704">
                  <c:v>42261</c:v>
                </c:pt>
                <c:pt idx="705">
                  <c:v>42262</c:v>
                </c:pt>
                <c:pt idx="706">
                  <c:v>42263</c:v>
                </c:pt>
                <c:pt idx="707">
                  <c:v>42264</c:v>
                </c:pt>
                <c:pt idx="708">
                  <c:v>42265</c:v>
                </c:pt>
                <c:pt idx="709">
                  <c:v>42268</c:v>
                </c:pt>
                <c:pt idx="710">
                  <c:v>42269</c:v>
                </c:pt>
                <c:pt idx="711">
                  <c:v>42270</c:v>
                </c:pt>
                <c:pt idx="712">
                  <c:v>42271</c:v>
                </c:pt>
                <c:pt idx="713">
                  <c:v>42272</c:v>
                </c:pt>
                <c:pt idx="714">
                  <c:v>42275</c:v>
                </c:pt>
                <c:pt idx="715">
                  <c:v>42276</c:v>
                </c:pt>
                <c:pt idx="716">
                  <c:v>42277</c:v>
                </c:pt>
                <c:pt idx="717">
                  <c:v>42278</c:v>
                </c:pt>
                <c:pt idx="718">
                  <c:v>42279</c:v>
                </c:pt>
                <c:pt idx="719">
                  <c:v>42282</c:v>
                </c:pt>
                <c:pt idx="720">
                  <c:v>42283</c:v>
                </c:pt>
                <c:pt idx="721">
                  <c:v>42284</c:v>
                </c:pt>
                <c:pt idx="722">
                  <c:v>42285</c:v>
                </c:pt>
                <c:pt idx="723">
                  <c:v>42286</c:v>
                </c:pt>
                <c:pt idx="724">
                  <c:v>42289</c:v>
                </c:pt>
                <c:pt idx="725">
                  <c:v>42290</c:v>
                </c:pt>
                <c:pt idx="726">
                  <c:v>42291</c:v>
                </c:pt>
                <c:pt idx="727">
                  <c:v>42292</c:v>
                </c:pt>
                <c:pt idx="728">
                  <c:v>42293</c:v>
                </c:pt>
                <c:pt idx="729">
                  <c:v>42296</c:v>
                </c:pt>
                <c:pt idx="730">
                  <c:v>42297</c:v>
                </c:pt>
                <c:pt idx="731">
                  <c:v>42298</c:v>
                </c:pt>
                <c:pt idx="732">
                  <c:v>42299</c:v>
                </c:pt>
                <c:pt idx="733">
                  <c:v>42300</c:v>
                </c:pt>
                <c:pt idx="734">
                  <c:v>42303</c:v>
                </c:pt>
                <c:pt idx="735">
                  <c:v>42304</c:v>
                </c:pt>
                <c:pt idx="736">
                  <c:v>42305</c:v>
                </c:pt>
                <c:pt idx="737">
                  <c:v>42306</c:v>
                </c:pt>
                <c:pt idx="738">
                  <c:v>42307</c:v>
                </c:pt>
                <c:pt idx="739">
                  <c:v>42310</c:v>
                </c:pt>
                <c:pt idx="740">
                  <c:v>42311</c:v>
                </c:pt>
                <c:pt idx="741">
                  <c:v>42312</c:v>
                </c:pt>
                <c:pt idx="742">
                  <c:v>42313</c:v>
                </c:pt>
                <c:pt idx="743">
                  <c:v>42314</c:v>
                </c:pt>
                <c:pt idx="744">
                  <c:v>42317</c:v>
                </c:pt>
                <c:pt idx="745">
                  <c:v>42318</c:v>
                </c:pt>
                <c:pt idx="746">
                  <c:v>42319</c:v>
                </c:pt>
                <c:pt idx="747">
                  <c:v>42320</c:v>
                </c:pt>
                <c:pt idx="748">
                  <c:v>42321</c:v>
                </c:pt>
                <c:pt idx="749">
                  <c:v>42324</c:v>
                </c:pt>
                <c:pt idx="750">
                  <c:v>42325</c:v>
                </c:pt>
                <c:pt idx="751">
                  <c:v>42326</c:v>
                </c:pt>
                <c:pt idx="752">
                  <c:v>42327</c:v>
                </c:pt>
                <c:pt idx="753">
                  <c:v>42328</c:v>
                </c:pt>
                <c:pt idx="754">
                  <c:v>42331</c:v>
                </c:pt>
                <c:pt idx="755">
                  <c:v>42332</c:v>
                </c:pt>
                <c:pt idx="756">
                  <c:v>42333</c:v>
                </c:pt>
                <c:pt idx="757">
                  <c:v>42334</c:v>
                </c:pt>
                <c:pt idx="758">
                  <c:v>42335</c:v>
                </c:pt>
                <c:pt idx="759">
                  <c:v>42338</c:v>
                </c:pt>
                <c:pt idx="760">
                  <c:v>42339</c:v>
                </c:pt>
                <c:pt idx="761">
                  <c:v>42340</c:v>
                </c:pt>
                <c:pt idx="762">
                  <c:v>42341</c:v>
                </c:pt>
                <c:pt idx="763">
                  <c:v>42342</c:v>
                </c:pt>
                <c:pt idx="764">
                  <c:v>42345</c:v>
                </c:pt>
                <c:pt idx="765">
                  <c:v>42346</c:v>
                </c:pt>
                <c:pt idx="766">
                  <c:v>42347</c:v>
                </c:pt>
                <c:pt idx="767">
                  <c:v>42348</c:v>
                </c:pt>
                <c:pt idx="768">
                  <c:v>42349</c:v>
                </c:pt>
                <c:pt idx="769">
                  <c:v>42352</c:v>
                </c:pt>
                <c:pt idx="770">
                  <c:v>42353</c:v>
                </c:pt>
                <c:pt idx="771">
                  <c:v>42354</c:v>
                </c:pt>
                <c:pt idx="772">
                  <c:v>42355</c:v>
                </c:pt>
                <c:pt idx="773">
                  <c:v>42356</c:v>
                </c:pt>
                <c:pt idx="774">
                  <c:v>42359</c:v>
                </c:pt>
                <c:pt idx="775">
                  <c:v>42360</c:v>
                </c:pt>
                <c:pt idx="776">
                  <c:v>42361</c:v>
                </c:pt>
                <c:pt idx="777">
                  <c:v>42362</c:v>
                </c:pt>
                <c:pt idx="778">
                  <c:v>42363</c:v>
                </c:pt>
                <c:pt idx="779">
                  <c:v>42366</c:v>
                </c:pt>
                <c:pt idx="780">
                  <c:v>42367</c:v>
                </c:pt>
                <c:pt idx="781">
                  <c:v>42368</c:v>
                </c:pt>
                <c:pt idx="782">
                  <c:v>42369</c:v>
                </c:pt>
                <c:pt idx="783">
                  <c:v>42370</c:v>
                </c:pt>
                <c:pt idx="784">
                  <c:v>42373</c:v>
                </c:pt>
                <c:pt idx="785">
                  <c:v>42374</c:v>
                </c:pt>
                <c:pt idx="786">
                  <c:v>42375</c:v>
                </c:pt>
                <c:pt idx="787">
                  <c:v>42376</c:v>
                </c:pt>
                <c:pt idx="788">
                  <c:v>42377</c:v>
                </c:pt>
                <c:pt idx="789">
                  <c:v>42380</c:v>
                </c:pt>
                <c:pt idx="790">
                  <c:v>42381</c:v>
                </c:pt>
                <c:pt idx="791">
                  <c:v>42382</c:v>
                </c:pt>
                <c:pt idx="792">
                  <c:v>42383</c:v>
                </c:pt>
                <c:pt idx="793">
                  <c:v>42384</c:v>
                </c:pt>
                <c:pt idx="794">
                  <c:v>42387</c:v>
                </c:pt>
                <c:pt idx="795">
                  <c:v>42388</c:v>
                </c:pt>
                <c:pt idx="796">
                  <c:v>42389</c:v>
                </c:pt>
                <c:pt idx="797">
                  <c:v>42390</c:v>
                </c:pt>
                <c:pt idx="798">
                  <c:v>42391</c:v>
                </c:pt>
                <c:pt idx="799">
                  <c:v>42394</c:v>
                </c:pt>
                <c:pt idx="800">
                  <c:v>42395</c:v>
                </c:pt>
                <c:pt idx="801">
                  <c:v>42396</c:v>
                </c:pt>
                <c:pt idx="802">
                  <c:v>42397</c:v>
                </c:pt>
                <c:pt idx="803">
                  <c:v>42398</c:v>
                </c:pt>
                <c:pt idx="804">
                  <c:v>42401</c:v>
                </c:pt>
                <c:pt idx="805">
                  <c:v>42402</c:v>
                </c:pt>
                <c:pt idx="806">
                  <c:v>42403</c:v>
                </c:pt>
                <c:pt idx="807">
                  <c:v>42404</c:v>
                </c:pt>
                <c:pt idx="808">
                  <c:v>42405</c:v>
                </c:pt>
                <c:pt idx="809">
                  <c:v>42408</c:v>
                </c:pt>
                <c:pt idx="810">
                  <c:v>42409</c:v>
                </c:pt>
                <c:pt idx="811">
                  <c:v>42410</c:v>
                </c:pt>
                <c:pt idx="812">
                  <c:v>42411</c:v>
                </c:pt>
                <c:pt idx="813">
                  <c:v>42412</c:v>
                </c:pt>
                <c:pt idx="814">
                  <c:v>42415</c:v>
                </c:pt>
                <c:pt idx="815">
                  <c:v>42416</c:v>
                </c:pt>
                <c:pt idx="816">
                  <c:v>42417</c:v>
                </c:pt>
                <c:pt idx="817">
                  <c:v>42418</c:v>
                </c:pt>
                <c:pt idx="818">
                  <c:v>42419</c:v>
                </c:pt>
                <c:pt idx="819">
                  <c:v>42422</c:v>
                </c:pt>
                <c:pt idx="820">
                  <c:v>42423</c:v>
                </c:pt>
                <c:pt idx="821">
                  <c:v>42424</c:v>
                </c:pt>
                <c:pt idx="822">
                  <c:v>42425</c:v>
                </c:pt>
                <c:pt idx="823">
                  <c:v>42426</c:v>
                </c:pt>
                <c:pt idx="824">
                  <c:v>42429</c:v>
                </c:pt>
                <c:pt idx="825">
                  <c:v>42430</c:v>
                </c:pt>
                <c:pt idx="826">
                  <c:v>42431</c:v>
                </c:pt>
                <c:pt idx="827">
                  <c:v>42432</c:v>
                </c:pt>
                <c:pt idx="828">
                  <c:v>42433</c:v>
                </c:pt>
                <c:pt idx="829">
                  <c:v>42436</c:v>
                </c:pt>
                <c:pt idx="830">
                  <c:v>42437</c:v>
                </c:pt>
                <c:pt idx="831">
                  <c:v>42438</c:v>
                </c:pt>
                <c:pt idx="832">
                  <c:v>42439</c:v>
                </c:pt>
                <c:pt idx="833">
                  <c:v>42440</c:v>
                </c:pt>
                <c:pt idx="834">
                  <c:v>42443</c:v>
                </c:pt>
                <c:pt idx="835">
                  <c:v>42444</c:v>
                </c:pt>
                <c:pt idx="836">
                  <c:v>42445</c:v>
                </c:pt>
                <c:pt idx="837">
                  <c:v>42446</c:v>
                </c:pt>
                <c:pt idx="838">
                  <c:v>42447</c:v>
                </c:pt>
                <c:pt idx="839">
                  <c:v>42450</c:v>
                </c:pt>
                <c:pt idx="840">
                  <c:v>42451</c:v>
                </c:pt>
                <c:pt idx="841">
                  <c:v>42452</c:v>
                </c:pt>
                <c:pt idx="842">
                  <c:v>42453</c:v>
                </c:pt>
                <c:pt idx="843">
                  <c:v>42454</c:v>
                </c:pt>
                <c:pt idx="844">
                  <c:v>42457</c:v>
                </c:pt>
                <c:pt idx="845">
                  <c:v>42458</c:v>
                </c:pt>
                <c:pt idx="846">
                  <c:v>42459</c:v>
                </c:pt>
                <c:pt idx="847">
                  <c:v>42460</c:v>
                </c:pt>
                <c:pt idx="848">
                  <c:v>42461</c:v>
                </c:pt>
                <c:pt idx="849">
                  <c:v>42464</c:v>
                </c:pt>
                <c:pt idx="850">
                  <c:v>42465</c:v>
                </c:pt>
                <c:pt idx="851">
                  <c:v>42466</c:v>
                </c:pt>
                <c:pt idx="852">
                  <c:v>42467</c:v>
                </c:pt>
                <c:pt idx="853">
                  <c:v>42468</c:v>
                </c:pt>
                <c:pt idx="854">
                  <c:v>42471</c:v>
                </c:pt>
                <c:pt idx="855">
                  <c:v>42472</c:v>
                </c:pt>
                <c:pt idx="856">
                  <c:v>42473</c:v>
                </c:pt>
                <c:pt idx="857">
                  <c:v>42474</c:v>
                </c:pt>
                <c:pt idx="858">
                  <c:v>42475</c:v>
                </c:pt>
                <c:pt idx="859">
                  <c:v>42478</c:v>
                </c:pt>
                <c:pt idx="860">
                  <c:v>42479</c:v>
                </c:pt>
                <c:pt idx="861">
                  <c:v>42480</c:v>
                </c:pt>
                <c:pt idx="862">
                  <c:v>42481</c:v>
                </c:pt>
                <c:pt idx="863">
                  <c:v>42482</c:v>
                </c:pt>
                <c:pt idx="864">
                  <c:v>42485</c:v>
                </c:pt>
                <c:pt idx="865">
                  <c:v>42486</c:v>
                </c:pt>
                <c:pt idx="866">
                  <c:v>42487</c:v>
                </c:pt>
                <c:pt idx="867">
                  <c:v>42488</c:v>
                </c:pt>
                <c:pt idx="868">
                  <c:v>42489</c:v>
                </c:pt>
                <c:pt idx="869">
                  <c:v>42492</c:v>
                </c:pt>
                <c:pt idx="870">
                  <c:v>42493</c:v>
                </c:pt>
                <c:pt idx="871">
                  <c:v>42494</c:v>
                </c:pt>
                <c:pt idx="872">
                  <c:v>42495</c:v>
                </c:pt>
                <c:pt idx="873">
                  <c:v>42496</c:v>
                </c:pt>
                <c:pt idx="874">
                  <c:v>42499</c:v>
                </c:pt>
                <c:pt idx="875">
                  <c:v>42500</c:v>
                </c:pt>
                <c:pt idx="876">
                  <c:v>42501</c:v>
                </c:pt>
                <c:pt idx="877">
                  <c:v>42502</c:v>
                </c:pt>
                <c:pt idx="878">
                  <c:v>42503</c:v>
                </c:pt>
                <c:pt idx="879">
                  <c:v>42506</c:v>
                </c:pt>
                <c:pt idx="880">
                  <c:v>42507</c:v>
                </c:pt>
                <c:pt idx="881">
                  <c:v>42508</c:v>
                </c:pt>
                <c:pt idx="882">
                  <c:v>42509</c:v>
                </c:pt>
                <c:pt idx="883">
                  <c:v>42510</c:v>
                </c:pt>
                <c:pt idx="884">
                  <c:v>42513</c:v>
                </c:pt>
                <c:pt idx="885">
                  <c:v>42514</c:v>
                </c:pt>
                <c:pt idx="886">
                  <c:v>42515</c:v>
                </c:pt>
                <c:pt idx="887">
                  <c:v>42516</c:v>
                </c:pt>
                <c:pt idx="888">
                  <c:v>42517</c:v>
                </c:pt>
                <c:pt idx="889">
                  <c:v>42520</c:v>
                </c:pt>
                <c:pt idx="890">
                  <c:v>42521</c:v>
                </c:pt>
                <c:pt idx="891">
                  <c:v>42522</c:v>
                </c:pt>
                <c:pt idx="892">
                  <c:v>42523</c:v>
                </c:pt>
                <c:pt idx="893">
                  <c:v>42524</c:v>
                </c:pt>
                <c:pt idx="894">
                  <c:v>42527</c:v>
                </c:pt>
                <c:pt idx="895">
                  <c:v>42528</c:v>
                </c:pt>
                <c:pt idx="896">
                  <c:v>42529</c:v>
                </c:pt>
                <c:pt idx="897">
                  <c:v>42530</c:v>
                </c:pt>
                <c:pt idx="898">
                  <c:v>42531</c:v>
                </c:pt>
                <c:pt idx="899">
                  <c:v>42534</c:v>
                </c:pt>
                <c:pt idx="900">
                  <c:v>42535</c:v>
                </c:pt>
                <c:pt idx="901">
                  <c:v>42536</c:v>
                </c:pt>
                <c:pt idx="902">
                  <c:v>42537</c:v>
                </c:pt>
                <c:pt idx="903">
                  <c:v>42538</c:v>
                </c:pt>
                <c:pt idx="904">
                  <c:v>42541</c:v>
                </c:pt>
                <c:pt idx="905">
                  <c:v>42542</c:v>
                </c:pt>
                <c:pt idx="906">
                  <c:v>42543</c:v>
                </c:pt>
                <c:pt idx="907">
                  <c:v>42544</c:v>
                </c:pt>
                <c:pt idx="908">
                  <c:v>42545</c:v>
                </c:pt>
                <c:pt idx="909">
                  <c:v>42548</c:v>
                </c:pt>
                <c:pt idx="910">
                  <c:v>42549</c:v>
                </c:pt>
                <c:pt idx="911">
                  <c:v>42550</c:v>
                </c:pt>
                <c:pt idx="912">
                  <c:v>42551</c:v>
                </c:pt>
                <c:pt idx="913">
                  <c:v>42552</c:v>
                </c:pt>
                <c:pt idx="914">
                  <c:v>42555</c:v>
                </c:pt>
                <c:pt idx="915">
                  <c:v>42556</c:v>
                </c:pt>
                <c:pt idx="916">
                  <c:v>42557</c:v>
                </c:pt>
                <c:pt idx="917">
                  <c:v>42558</c:v>
                </c:pt>
                <c:pt idx="918">
                  <c:v>42559</c:v>
                </c:pt>
                <c:pt idx="919">
                  <c:v>42562</c:v>
                </c:pt>
                <c:pt idx="920">
                  <c:v>42563</c:v>
                </c:pt>
                <c:pt idx="921">
                  <c:v>42564</c:v>
                </c:pt>
                <c:pt idx="922">
                  <c:v>42565</c:v>
                </c:pt>
                <c:pt idx="923">
                  <c:v>42566</c:v>
                </c:pt>
                <c:pt idx="924">
                  <c:v>42569</c:v>
                </c:pt>
                <c:pt idx="925">
                  <c:v>42570</c:v>
                </c:pt>
                <c:pt idx="926">
                  <c:v>42571</c:v>
                </c:pt>
                <c:pt idx="927">
                  <c:v>42572</c:v>
                </c:pt>
                <c:pt idx="928">
                  <c:v>42573</c:v>
                </c:pt>
                <c:pt idx="929">
                  <c:v>42576</c:v>
                </c:pt>
                <c:pt idx="930">
                  <c:v>42577</c:v>
                </c:pt>
                <c:pt idx="931">
                  <c:v>42578</c:v>
                </c:pt>
                <c:pt idx="932">
                  <c:v>42579</c:v>
                </c:pt>
                <c:pt idx="933">
                  <c:v>42580</c:v>
                </c:pt>
                <c:pt idx="934">
                  <c:v>42583</c:v>
                </c:pt>
                <c:pt idx="935">
                  <c:v>42584</c:v>
                </c:pt>
                <c:pt idx="936">
                  <c:v>42585</c:v>
                </c:pt>
                <c:pt idx="937">
                  <c:v>42586</c:v>
                </c:pt>
                <c:pt idx="938">
                  <c:v>42587</c:v>
                </c:pt>
                <c:pt idx="939">
                  <c:v>42590</c:v>
                </c:pt>
                <c:pt idx="940">
                  <c:v>42591</c:v>
                </c:pt>
              </c:numCache>
            </c:numRef>
          </c:cat>
          <c:val>
            <c:numRef>
              <c:f>[0]!longExoRange</c:f>
              <c:numCache>
                <c:formatCode>General</c:formatCode>
                <c:ptCount val="941"/>
                <c:pt idx="0">
                  <c:v>0</c:v>
                </c:pt>
                <c:pt idx="1">
                  <c:v>0</c:v>
                </c:pt>
                <c:pt idx="2">
                  <c:v>4488.4999999999991</c:v>
                </c:pt>
                <c:pt idx="3">
                  <c:v>7689.2000000000007</c:v>
                </c:pt>
                <c:pt idx="4">
                  <c:v>10734.8</c:v>
                </c:pt>
                <c:pt idx="5">
                  <c:v>14579.4</c:v>
                </c:pt>
                <c:pt idx="6">
                  <c:v>19575.5</c:v>
                </c:pt>
                <c:pt idx="7">
                  <c:v>20003.2</c:v>
                </c:pt>
                <c:pt idx="8">
                  <c:v>21605.9</c:v>
                </c:pt>
                <c:pt idx="9">
                  <c:v>22724.5</c:v>
                </c:pt>
                <c:pt idx="10">
                  <c:v>24115.699999999997</c:v>
                </c:pt>
                <c:pt idx="11">
                  <c:v>26677.199999999997</c:v>
                </c:pt>
                <c:pt idx="12">
                  <c:v>26677.199999999997</c:v>
                </c:pt>
                <c:pt idx="13">
                  <c:v>27212.999999999996</c:v>
                </c:pt>
                <c:pt idx="14">
                  <c:v>27212.999999999996</c:v>
                </c:pt>
                <c:pt idx="15">
                  <c:v>26799.399999999998</c:v>
                </c:pt>
                <c:pt idx="16">
                  <c:v>28171.8</c:v>
                </c:pt>
                <c:pt idx="17">
                  <c:v>18438.099999999999</c:v>
                </c:pt>
                <c:pt idx="18">
                  <c:v>18574.400000000001</c:v>
                </c:pt>
                <c:pt idx="19">
                  <c:v>20228.800000000003</c:v>
                </c:pt>
                <c:pt idx="20">
                  <c:v>18381.700000000004</c:v>
                </c:pt>
                <c:pt idx="21">
                  <c:v>29121.200000000004</c:v>
                </c:pt>
                <c:pt idx="22">
                  <c:v>26606.700000000004</c:v>
                </c:pt>
                <c:pt idx="23">
                  <c:v>42180</c:v>
                </c:pt>
                <c:pt idx="24">
                  <c:v>39388.199999999997</c:v>
                </c:pt>
                <c:pt idx="25">
                  <c:v>38330.699999999997</c:v>
                </c:pt>
                <c:pt idx="26">
                  <c:v>38330.699999999997</c:v>
                </c:pt>
                <c:pt idx="27">
                  <c:v>37390.699999999997</c:v>
                </c:pt>
                <c:pt idx="28">
                  <c:v>36511.799999999996</c:v>
                </c:pt>
                <c:pt idx="29">
                  <c:v>34866.799999999996</c:v>
                </c:pt>
                <c:pt idx="30">
                  <c:v>31811.799999999996</c:v>
                </c:pt>
                <c:pt idx="31">
                  <c:v>25466.799999999996</c:v>
                </c:pt>
                <c:pt idx="32">
                  <c:v>18355.699999999997</c:v>
                </c:pt>
                <c:pt idx="33">
                  <c:v>16593.199999999997</c:v>
                </c:pt>
                <c:pt idx="34">
                  <c:v>16593.199999999997</c:v>
                </c:pt>
                <c:pt idx="35">
                  <c:v>15653.199999999997</c:v>
                </c:pt>
                <c:pt idx="36">
                  <c:v>15451.099999999997</c:v>
                </c:pt>
                <c:pt idx="37">
                  <c:v>16508.599999999999</c:v>
                </c:pt>
                <c:pt idx="38">
                  <c:v>18858.599999999999</c:v>
                </c:pt>
                <c:pt idx="39">
                  <c:v>18858.599999999999</c:v>
                </c:pt>
                <c:pt idx="40">
                  <c:v>19563.599999999999</c:v>
                </c:pt>
                <c:pt idx="41">
                  <c:v>19563.599999999999</c:v>
                </c:pt>
                <c:pt idx="42">
                  <c:v>19474.299999999996</c:v>
                </c:pt>
                <c:pt idx="43">
                  <c:v>9747.4999999999964</c:v>
                </c:pt>
                <c:pt idx="44">
                  <c:v>13662.599999999999</c:v>
                </c:pt>
                <c:pt idx="45">
                  <c:v>9413.7999999999975</c:v>
                </c:pt>
                <c:pt idx="46">
                  <c:v>4375.399999999996</c:v>
                </c:pt>
                <c:pt idx="47">
                  <c:v>-381.00000000000728</c:v>
                </c:pt>
                <c:pt idx="48">
                  <c:v>-1720.5000000000055</c:v>
                </c:pt>
                <c:pt idx="49">
                  <c:v>-5081.0000000000073</c:v>
                </c:pt>
                <c:pt idx="50">
                  <c:v>-8606.0000000000073</c:v>
                </c:pt>
                <c:pt idx="51">
                  <c:v>-9696.4000000000069</c:v>
                </c:pt>
                <c:pt idx="52">
                  <c:v>-7346.4000000000069</c:v>
                </c:pt>
                <c:pt idx="53">
                  <c:v>-3962.4000000000015</c:v>
                </c:pt>
                <c:pt idx="54">
                  <c:v>-3962.4000000000015</c:v>
                </c:pt>
                <c:pt idx="55">
                  <c:v>-3962.4000000000015</c:v>
                </c:pt>
                <c:pt idx="56">
                  <c:v>-7990.3000000000011</c:v>
                </c:pt>
                <c:pt idx="57">
                  <c:v>-7595.5000000000055</c:v>
                </c:pt>
                <c:pt idx="58">
                  <c:v>-9108.9000000000069</c:v>
                </c:pt>
                <c:pt idx="59">
                  <c:v>-8690.6000000000076</c:v>
                </c:pt>
                <c:pt idx="60">
                  <c:v>-8577.8000000000011</c:v>
                </c:pt>
                <c:pt idx="61">
                  <c:v>-9499</c:v>
                </c:pt>
                <c:pt idx="62">
                  <c:v>-9442.6000000000058</c:v>
                </c:pt>
                <c:pt idx="63">
                  <c:v>-23740.000000000004</c:v>
                </c:pt>
                <c:pt idx="64">
                  <c:v>-28560.000000000004</c:v>
                </c:pt>
                <c:pt idx="65">
                  <c:v>-20922.500000000004</c:v>
                </c:pt>
                <c:pt idx="66">
                  <c:v>-20922.500000000004</c:v>
                </c:pt>
                <c:pt idx="67">
                  <c:v>-29735.000000000004</c:v>
                </c:pt>
                <c:pt idx="68">
                  <c:v>-27920.800000000003</c:v>
                </c:pt>
                <c:pt idx="69">
                  <c:v>-35638.199999999997</c:v>
                </c:pt>
                <c:pt idx="70">
                  <c:v>-33072</c:v>
                </c:pt>
                <c:pt idx="71">
                  <c:v>-37076.400000000009</c:v>
                </c:pt>
                <c:pt idx="72">
                  <c:v>-35210.500000000007</c:v>
                </c:pt>
                <c:pt idx="73">
                  <c:v>-35210.500000000007</c:v>
                </c:pt>
                <c:pt idx="74">
                  <c:v>-35210.500000000007</c:v>
                </c:pt>
                <c:pt idx="75">
                  <c:v>-41673</c:v>
                </c:pt>
                <c:pt idx="76">
                  <c:v>-37663.900000000009</c:v>
                </c:pt>
                <c:pt idx="77">
                  <c:v>-38627.4</c:v>
                </c:pt>
                <c:pt idx="78">
                  <c:v>-38627.4</c:v>
                </c:pt>
                <c:pt idx="79">
                  <c:v>-37692.100000000006</c:v>
                </c:pt>
                <c:pt idx="80">
                  <c:v>-37052.900000000009</c:v>
                </c:pt>
                <c:pt idx="81">
                  <c:v>-37052.900000000009</c:v>
                </c:pt>
                <c:pt idx="82">
                  <c:v>-36517.100000000006</c:v>
                </c:pt>
                <c:pt idx="83">
                  <c:v>-36197.500000000007</c:v>
                </c:pt>
                <c:pt idx="84">
                  <c:v>-36197.500000000007</c:v>
                </c:pt>
                <c:pt idx="85">
                  <c:v>-36225.700000000004</c:v>
                </c:pt>
                <c:pt idx="86">
                  <c:v>-35142.500000000007</c:v>
                </c:pt>
                <c:pt idx="87">
                  <c:v>-32331.9</c:v>
                </c:pt>
                <c:pt idx="88">
                  <c:v>-32331.9</c:v>
                </c:pt>
                <c:pt idx="89">
                  <c:v>-32331.9</c:v>
                </c:pt>
                <c:pt idx="90">
                  <c:v>-31363.700000000004</c:v>
                </c:pt>
                <c:pt idx="91">
                  <c:v>-29521.300000000007</c:v>
                </c:pt>
                <c:pt idx="92">
                  <c:v>-29521.300000000007</c:v>
                </c:pt>
                <c:pt idx="93">
                  <c:v>-29521.300000000007</c:v>
                </c:pt>
                <c:pt idx="94">
                  <c:v>-29521.300000000007</c:v>
                </c:pt>
                <c:pt idx="95">
                  <c:v>-26663.700000000004</c:v>
                </c:pt>
                <c:pt idx="96">
                  <c:v>-26663.700000000004</c:v>
                </c:pt>
                <c:pt idx="97">
                  <c:v>-30339.100000000006</c:v>
                </c:pt>
                <c:pt idx="98">
                  <c:v>-30339.100000000006</c:v>
                </c:pt>
                <c:pt idx="99">
                  <c:v>-30339.100000000006</c:v>
                </c:pt>
                <c:pt idx="100">
                  <c:v>-30339.100000000006</c:v>
                </c:pt>
                <c:pt idx="101">
                  <c:v>-29521.30000000001</c:v>
                </c:pt>
                <c:pt idx="102">
                  <c:v>-29521.30000000001</c:v>
                </c:pt>
                <c:pt idx="103">
                  <c:v>-30442.500000000007</c:v>
                </c:pt>
                <c:pt idx="104">
                  <c:v>-30442.500000000007</c:v>
                </c:pt>
                <c:pt idx="105">
                  <c:v>-30442.500000000007</c:v>
                </c:pt>
                <c:pt idx="106">
                  <c:v>-29676.400000000009</c:v>
                </c:pt>
                <c:pt idx="107">
                  <c:v>-29370.900000000009</c:v>
                </c:pt>
                <c:pt idx="108">
                  <c:v>-29187.600000000009</c:v>
                </c:pt>
                <c:pt idx="109">
                  <c:v>-21750.000000000007</c:v>
                </c:pt>
                <c:pt idx="110">
                  <c:v>-16166.400000000011</c:v>
                </c:pt>
                <c:pt idx="111">
                  <c:v>-18812.500000000007</c:v>
                </c:pt>
                <c:pt idx="112">
                  <c:v>-18812.500000000007</c:v>
                </c:pt>
                <c:pt idx="113">
                  <c:v>-17402.500000000007</c:v>
                </c:pt>
                <c:pt idx="114">
                  <c:v>-20485.700000000004</c:v>
                </c:pt>
                <c:pt idx="115">
                  <c:v>-20076.80000000001</c:v>
                </c:pt>
                <c:pt idx="116">
                  <c:v>-20076.80000000001</c:v>
                </c:pt>
                <c:pt idx="117">
                  <c:v>-20076.80000000001</c:v>
                </c:pt>
                <c:pt idx="118">
                  <c:v>-19103.900000000009</c:v>
                </c:pt>
                <c:pt idx="119">
                  <c:v>-19103.900000000009</c:v>
                </c:pt>
                <c:pt idx="120">
                  <c:v>-17520.000000000007</c:v>
                </c:pt>
                <c:pt idx="121">
                  <c:v>-17285.000000000007</c:v>
                </c:pt>
                <c:pt idx="122">
                  <c:v>-17285.000000000007</c:v>
                </c:pt>
                <c:pt idx="123">
                  <c:v>-18516.400000000009</c:v>
                </c:pt>
                <c:pt idx="124">
                  <c:v>-19691.400000000009</c:v>
                </c:pt>
                <c:pt idx="125">
                  <c:v>-19573.900000000009</c:v>
                </c:pt>
                <c:pt idx="126">
                  <c:v>-19047.500000000007</c:v>
                </c:pt>
                <c:pt idx="127">
                  <c:v>-19047.500000000007</c:v>
                </c:pt>
                <c:pt idx="128">
                  <c:v>-19165.000000000007</c:v>
                </c:pt>
                <c:pt idx="129">
                  <c:v>-20695.000000000007</c:v>
                </c:pt>
                <c:pt idx="130">
                  <c:v>-20695.000000000007</c:v>
                </c:pt>
                <c:pt idx="131">
                  <c:v>-20695.000000000007</c:v>
                </c:pt>
                <c:pt idx="132">
                  <c:v>-20695.000000000007</c:v>
                </c:pt>
                <c:pt idx="133">
                  <c:v>-22217.800000000003</c:v>
                </c:pt>
                <c:pt idx="134">
                  <c:v>-20774.900000000001</c:v>
                </c:pt>
                <c:pt idx="135">
                  <c:v>-18504.8</c:v>
                </c:pt>
                <c:pt idx="136">
                  <c:v>-18504.8</c:v>
                </c:pt>
                <c:pt idx="137">
                  <c:v>-18504.8</c:v>
                </c:pt>
                <c:pt idx="138">
                  <c:v>-18880.800000000003</c:v>
                </c:pt>
                <c:pt idx="139">
                  <c:v>-22349.4</c:v>
                </c:pt>
                <c:pt idx="140">
                  <c:v>-22029.800000000003</c:v>
                </c:pt>
                <c:pt idx="141">
                  <c:v>-21738.400000000009</c:v>
                </c:pt>
                <c:pt idx="142">
                  <c:v>-21738.400000000009</c:v>
                </c:pt>
                <c:pt idx="143">
                  <c:v>-19064.100000000006</c:v>
                </c:pt>
                <c:pt idx="144">
                  <c:v>-19491.80000000001</c:v>
                </c:pt>
                <c:pt idx="145">
                  <c:v>-17625.900000000009</c:v>
                </c:pt>
                <c:pt idx="146">
                  <c:v>-16982.000000000007</c:v>
                </c:pt>
                <c:pt idx="147">
                  <c:v>-16450.900000000009</c:v>
                </c:pt>
                <c:pt idx="148">
                  <c:v>-16450.900000000009</c:v>
                </c:pt>
                <c:pt idx="149">
                  <c:v>-16450.900000000009</c:v>
                </c:pt>
                <c:pt idx="150">
                  <c:v>-16342.800000000005</c:v>
                </c:pt>
                <c:pt idx="151">
                  <c:v>-16234.70000000001</c:v>
                </c:pt>
                <c:pt idx="152">
                  <c:v>-6127.5000000000073</c:v>
                </c:pt>
                <c:pt idx="153">
                  <c:v>-3321.6000000000058</c:v>
                </c:pt>
                <c:pt idx="154">
                  <c:v>-3321.6000000000058</c:v>
                </c:pt>
                <c:pt idx="155">
                  <c:v>-3321.6000000000058</c:v>
                </c:pt>
                <c:pt idx="156">
                  <c:v>-3321.6000000000058</c:v>
                </c:pt>
                <c:pt idx="157">
                  <c:v>306.79999999999563</c:v>
                </c:pt>
                <c:pt idx="158">
                  <c:v>2872.9999999999945</c:v>
                </c:pt>
                <c:pt idx="159">
                  <c:v>3671.9999999999909</c:v>
                </c:pt>
                <c:pt idx="160">
                  <c:v>3671.9999999999909</c:v>
                </c:pt>
                <c:pt idx="161">
                  <c:v>1937.6999999999925</c:v>
                </c:pt>
                <c:pt idx="162">
                  <c:v>3671.9999999999909</c:v>
                </c:pt>
                <c:pt idx="163">
                  <c:v>3540.3999999999924</c:v>
                </c:pt>
                <c:pt idx="164">
                  <c:v>3540.3999999999924</c:v>
                </c:pt>
                <c:pt idx="165">
                  <c:v>2097.4999999999927</c:v>
                </c:pt>
                <c:pt idx="166">
                  <c:v>2097.4999999999927</c:v>
                </c:pt>
                <c:pt idx="167">
                  <c:v>1721.4999999999891</c:v>
                </c:pt>
                <c:pt idx="168">
                  <c:v>2045.799999999992</c:v>
                </c:pt>
                <c:pt idx="169">
                  <c:v>2045.799999999992</c:v>
                </c:pt>
                <c:pt idx="170">
                  <c:v>1829.5999999999931</c:v>
                </c:pt>
                <c:pt idx="171">
                  <c:v>1829.5999999999931</c:v>
                </c:pt>
                <c:pt idx="172">
                  <c:v>2045.799999999992</c:v>
                </c:pt>
                <c:pt idx="173">
                  <c:v>2045.799999999992</c:v>
                </c:pt>
                <c:pt idx="174">
                  <c:v>3739.9999999999927</c:v>
                </c:pt>
                <c:pt idx="175">
                  <c:v>-11365.800000000007</c:v>
                </c:pt>
                <c:pt idx="176">
                  <c:v>948.19999999998981</c:v>
                </c:pt>
                <c:pt idx="177">
                  <c:v>948.19999999998981</c:v>
                </c:pt>
                <c:pt idx="178">
                  <c:v>-5044.3000000000102</c:v>
                </c:pt>
                <c:pt idx="179">
                  <c:v>-8804.3000000000102</c:v>
                </c:pt>
                <c:pt idx="180">
                  <c:v>-7920.7000000000044</c:v>
                </c:pt>
                <c:pt idx="181">
                  <c:v>-3399.3000000000102</c:v>
                </c:pt>
                <c:pt idx="182">
                  <c:v>-3399.3000000000102</c:v>
                </c:pt>
                <c:pt idx="183">
                  <c:v>-1989.3000000000102</c:v>
                </c:pt>
                <c:pt idx="184">
                  <c:v>-1989.3000000000102</c:v>
                </c:pt>
                <c:pt idx="185">
                  <c:v>-1989.3000000000102</c:v>
                </c:pt>
                <c:pt idx="186">
                  <c:v>-1458.2000000000044</c:v>
                </c:pt>
                <c:pt idx="187">
                  <c:v>-1458.2000000000044</c:v>
                </c:pt>
                <c:pt idx="188">
                  <c:v>-2694.3000000000102</c:v>
                </c:pt>
                <c:pt idx="189">
                  <c:v>-3046.8000000000102</c:v>
                </c:pt>
                <c:pt idx="190">
                  <c:v>-3046.8000000000102</c:v>
                </c:pt>
                <c:pt idx="191">
                  <c:v>-3046.8000000000102</c:v>
                </c:pt>
                <c:pt idx="192">
                  <c:v>-3046.8000000000102</c:v>
                </c:pt>
                <c:pt idx="193">
                  <c:v>-3281.8000000000102</c:v>
                </c:pt>
                <c:pt idx="194">
                  <c:v>-3310.0000000000073</c:v>
                </c:pt>
                <c:pt idx="195">
                  <c:v>-8717.5000000000073</c:v>
                </c:pt>
                <c:pt idx="196">
                  <c:v>-8153.5000000000109</c:v>
                </c:pt>
                <c:pt idx="197">
                  <c:v>-12985.100000000009</c:v>
                </c:pt>
                <c:pt idx="198">
                  <c:v>-14005.000000000007</c:v>
                </c:pt>
                <c:pt idx="199">
                  <c:v>-16919.000000000004</c:v>
                </c:pt>
                <c:pt idx="200">
                  <c:v>-21055.000000000007</c:v>
                </c:pt>
                <c:pt idx="201">
                  <c:v>-21055.000000000007</c:v>
                </c:pt>
                <c:pt idx="202">
                  <c:v>-20646.100000000006</c:v>
                </c:pt>
                <c:pt idx="203">
                  <c:v>-21797.600000000013</c:v>
                </c:pt>
                <c:pt idx="204">
                  <c:v>-21797.600000000013</c:v>
                </c:pt>
                <c:pt idx="205">
                  <c:v>-21797.600000000013</c:v>
                </c:pt>
                <c:pt idx="206">
                  <c:v>-20265.400000000009</c:v>
                </c:pt>
                <c:pt idx="207">
                  <c:v>-19701.400000000012</c:v>
                </c:pt>
                <c:pt idx="208">
                  <c:v>-18423.000000000011</c:v>
                </c:pt>
                <c:pt idx="209">
                  <c:v>-15894.400000000005</c:v>
                </c:pt>
                <c:pt idx="210">
                  <c:v>-15076.600000000008</c:v>
                </c:pt>
                <c:pt idx="211">
                  <c:v>-15433.80000000001</c:v>
                </c:pt>
                <c:pt idx="212">
                  <c:v>-17276.200000000008</c:v>
                </c:pt>
                <c:pt idx="213">
                  <c:v>-17017.700000000012</c:v>
                </c:pt>
                <c:pt idx="214">
                  <c:v>-18549.900000000005</c:v>
                </c:pt>
                <c:pt idx="215">
                  <c:v>-16712.200000000012</c:v>
                </c:pt>
                <c:pt idx="216">
                  <c:v>-16510.100000000013</c:v>
                </c:pt>
                <c:pt idx="217">
                  <c:v>-16585.30000000001</c:v>
                </c:pt>
                <c:pt idx="218">
                  <c:v>-12950.000000000013</c:v>
                </c:pt>
                <c:pt idx="219">
                  <c:v>-12950.000000000013</c:v>
                </c:pt>
                <c:pt idx="220">
                  <c:v>-12950.000000000013</c:v>
                </c:pt>
                <c:pt idx="221">
                  <c:v>-11441.300000000014</c:v>
                </c:pt>
                <c:pt idx="222">
                  <c:v>-10012.500000000013</c:v>
                </c:pt>
                <c:pt idx="223">
                  <c:v>-10012.500000000013</c:v>
                </c:pt>
                <c:pt idx="224">
                  <c:v>-10012.500000000013</c:v>
                </c:pt>
                <c:pt idx="225">
                  <c:v>-10012.500000000013</c:v>
                </c:pt>
                <c:pt idx="226">
                  <c:v>-9650.6000000000167</c:v>
                </c:pt>
                <c:pt idx="227">
                  <c:v>-10990.100000000015</c:v>
                </c:pt>
                <c:pt idx="228">
                  <c:v>-11300.30000000001</c:v>
                </c:pt>
                <c:pt idx="229">
                  <c:v>-9899.7000000000153</c:v>
                </c:pt>
                <c:pt idx="230">
                  <c:v>-8893.900000000016</c:v>
                </c:pt>
                <c:pt idx="231">
                  <c:v>-9566.0000000000164</c:v>
                </c:pt>
                <c:pt idx="232">
                  <c:v>-7996.2000000000116</c:v>
                </c:pt>
                <c:pt idx="233">
                  <c:v>-7996.2000000000116</c:v>
                </c:pt>
                <c:pt idx="234">
                  <c:v>-5759.0000000000091</c:v>
                </c:pt>
                <c:pt idx="235">
                  <c:v>-5759.0000000000091</c:v>
                </c:pt>
                <c:pt idx="236">
                  <c:v>-5759.0000000000091</c:v>
                </c:pt>
                <c:pt idx="237">
                  <c:v>-5759.0000000000091</c:v>
                </c:pt>
                <c:pt idx="238">
                  <c:v>-9660.0000000000127</c:v>
                </c:pt>
                <c:pt idx="239">
                  <c:v>5729.9999999999873</c:v>
                </c:pt>
                <c:pt idx="240">
                  <c:v>6289.2999999999856</c:v>
                </c:pt>
                <c:pt idx="241">
                  <c:v>9480.5999999999876</c:v>
                </c:pt>
                <c:pt idx="242">
                  <c:v>16022.999999999989</c:v>
                </c:pt>
                <c:pt idx="243">
                  <c:v>18880.599999999988</c:v>
                </c:pt>
                <c:pt idx="244">
                  <c:v>29620.099999999988</c:v>
                </c:pt>
                <c:pt idx="245">
                  <c:v>25845.999999999985</c:v>
                </c:pt>
                <c:pt idx="246">
                  <c:v>25845.999999999985</c:v>
                </c:pt>
                <c:pt idx="247">
                  <c:v>26574.499999999985</c:v>
                </c:pt>
                <c:pt idx="248">
                  <c:v>26574.499999999985</c:v>
                </c:pt>
                <c:pt idx="249">
                  <c:v>28111.399999999987</c:v>
                </c:pt>
                <c:pt idx="250">
                  <c:v>28111.399999999987</c:v>
                </c:pt>
                <c:pt idx="251">
                  <c:v>28111.399999999987</c:v>
                </c:pt>
                <c:pt idx="252">
                  <c:v>29004.399999999987</c:v>
                </c:pt>
                <c:pt idx="253">
                  <c:v>28811.699999999986</c:v>
                </c:pt>
                <c:pt idx="254">
                  <c:v>29483.799999999988</c:v>
                </c:pt>
                <c:pt idx="255">
                  <c:v>29201.799999999988</c:v>
                </c:pt>
                <c:pt idx="256">
                  <c:v>29201.799999999988</c:v>
                </c:pt>
                <c:pt idx="257">
                  <c:v>14876.199999999986</c:v>
                </c:pt>
                <c:pt idx="258">
                  <c:v>29201.799999999988</c:v>
                </c:pt>
                <c:pt idx="259">
                  <c:v>28976.199999999986</c:v>
                </c:pt>
                <c:pt idx="260">
                  <c:v>28976.199999999986</c:v>
                </c:pt>
                <c:pt idx="261">
                  <c:v>32047.499999999985</c:v>
                </c:pt>
                <c:pt idx="262">
                  <c:v>32047.499999999985</c:v>
                </c:pt>
                <c:pt idx="263">
                  <c:v>32047.499999999985</c:v>
                </c:pt>
                <c:pt idx="264">
                  <c:v>27239.399999999987</c:v>
                </c:pt>
                <c:pt idx="265">
                  <c:v>23234.999999999985</c:v>
                </c:pt>
                <c:pt idx="266">
                  <c:v>24184.399999999987</c:v>
                </c:pt>
                <c:pt idx="267">
                  <c:v>24184.399999999987</c:v>
                </c:pt>
                <c:pt idx="268">
                  <c:v>24184.399999999987</c:v>
                </c:pt>
                <c:pt idx="269">
                  <c:v>24184.399999999987</c:v>
                </c:pt>
                <c:pt idx="270">
                  <c:v>24912.899999999987</c:v>
                </c:pt>
                <c:pt idx="271">
                  <c:v>24912.899999999987</c:v>
                </c:pt>
                <c:pt idx="272">
                  <c:v>25528.599999999988</c:v>
                </c:pt>
                <c:pt idx="273">
                  <c:v>25528.599999999988</c:v>
                </c:pt>
                <c:pt idx="274">
                  <c:v>25528.599999999988</c:v>
                </c:pt>
                <c:pt idx="275">
                  <c:v>-4180.1000000000095</c:v>
                </c:pt>
                <c:pt idx="276">
                  <c:v>24771.899999999994</c:v>
                </c:pt>
                <c:pt idx="277">
                  <c:v>25166.699999999993</c:v>
                </c:pt>
                <c:pt idx="278">
                  <c:v>25669.599999999991</c:v>
                </c:pt>
                <c:pt idx="279">
                  <c:v>25528.599999999991</c:v>
                </c:pt>
                <c:pt idx="280">
                  <c:v>24856.499999999993</c:v>
                </c:pt>
                <c:pt idx="281">
                  <c:v>24771.899999999994</c:v>
                </c:pt>
                <c:pt idx="282">
                  <c:v>24828.299999999992</c:v>
                </c:pt>
                <c:pt idx="283">
                  <c:v>24550.999999999993</c:v>
                </c:pt>
                <c:pt idx="284">
                  <c:v>7839.9999999999927</c:v>
                </c:pt>
                <c:pt idx="285">
                  <c:v>7839.9999999999927</c:v>
                </c:pt>
                <c:pt idx="286">
                  <c:v>7839.9999999999927</c:v>
                </c:pt>
                <c:pt idx="287">
                  <c:v>18476.099999999995</c:v>
                </c:pt>
                <c:pt idx="288">
                  <c:v>16619.599999999995</c:v>
                </c:pt>
                <c:pt idx="289">
                  <c:v>16619.599999999995</c:v>
                </c:pt>
                <c:pt idx="290">
                  <c:v>14612.699999999993</c:v>
                </c:pt>
                <c:pt idx="291">
                  <c:v>13870.099999999995</c:v>
                </c:pt>
                <c:pt idx="292">
                  <c:v>13870.099999999995</c:v>
                </c:pt>
                <c:pt idx="293">
                  <c:v>12507.099999999993</c:v>
                </c:pt>
                <c:pt idx="294">
                  <c:v>12507.099999999993</c:v>
                </c:pt>
                <c:pt idx="295">
                  <c:v>11087.699999999993</c:v>
                </c:pt>
                <c:pt idx="296">
                  <c:v>11581.199999999993</c:v>
                </c:pt>
                <c:pt idx="297">
                  <c:v>10932.599999999997</c:v>
                </c:pt>
                <c:pt idx="298">
                  <c:v>10932.599999999997</c:v>
                </c:pt>
                <c:pt idx="299">
                  <c:v>10622.399999999992</c:v>
                </c:pt>
                <c:pt idx="300">
                  <c:v>10373.299999999994</c:v>
                </c:pt>
                <c:pt idx="301">
                  <c:v>10373.299999999994</c:v>
                </c:pt>
                <c:pt idx="302">
                  <c:v>10561.299999999996</c:v>
                </c:pt>
                <c:pt idx="303">
                  <c:v>10561.299999999996</c:v>
                </c:pt>
                <c:pt idx="304">
                  <c:v>11832.499999999995</c:v>
                </c:pt>
                <c:pt idx="305">
                  <c:v>11832.499999999995</c:v>
                </c:pt>
                <c:pt idx="306">
                  <c:v>11832.499999999995</c:v>
                </c:pt>
                <c:pt idx="307">
                  <c:v>11832.499999999995</c:v>
                </c:pt>
                <c:pt idx="308">
                  <c:v>11832.499999999995</c:v>
                </c:pt>
                <c:pt idx="309">
                  <c:v>11832.499999999995</c:v>
                </c:pt>
                <c:pt idx="310">
                  <c:v>12701.999999999993</c:v>
                </c:pt>
                <c:pt idx="311">
                  <c:v>13092.099999999995</c:v>
                </c:pt>
                <c:pt idx="312">
                  <c:v>13092.099999999995</c:v>
                </c:pt>
                <c:pt idx="313">
                  <c:v>13092.099999999995</c:v>
                </c:pt>
                <c:pt idx="314">
                  <c:v>10013.599999999995</c:v>
                </c:pt>
                <c:pt idx="315">
                  <c:v>9736.2999999999956</c:v>
                </c:pt>
                <c:pt idx="316">
                  <c:v>9736.2999999999956</c:v>
                </c:pt>
                <c:pt idx="317">
                  <c:v>8838.5999999999949</c:v>
                </c:pt>
                <c:pt idx="318">
                  <c:v>8838.5999999999949</c:v>
                </c:pt>
                <c:pt idx="319">
                  <c:v>9341.4999999999945</c:v>
                </c:pt>
                <c:pt idx="320">
                  <c:v>10041.799999999992</c:v>
                </c:pt>
                <c:pt idx="321">
                  <c:v>10041.799999999992</c:v>
                </c:pt>
                <c:pt idx="322">
                  <c:v>9787.9999999999964</c:v>
                </c:pt>
                <c:pt idx="323">
                  <c:v>9787.9999999999964</c:v>
                </c:pt>
                <c:pt idx="324">
                  <c:v>9787.9999999999964</c:v>
                </c:pt>
                <c:pt idx="325">
                  <c:v>6424.9999999999945</c:v>
                </c:pt>
                <c:pt idx="326">
                  <c:v>5249.9999999999945</c:v>
                </c:pt>
                <c:pt idx="327">
                  <c:v>7599.9999999999945</c:v>
                </c:pt>
                <c:pt idx="328">
                  <c:v>6424.9999999999945</c:v>
                </c:pt>
                <c:pt idx="329">
                  <c:v>5249.9999999999945</c:v>
                </c:pt>
                <c:pt idx="330">
                  <c:v>5461.4999999999955</c:v>
                </c:pt>
                <c:pt idx="331">
                  <c:v>5461.4999999999955</c:v>
                </c:pt>
                <c:pt idx="332">
                  <c:v>5461.4999999999955</c:v>
                </c:pt>
                <c:pt idx="333">
                  <c:v>5461.4999999999955</c:v>
                </c:pt>
                <c:pt idx="334">
                  <c:v>5461.4999999999955</c:v>
                </c:pt>
                <c:pt idx="335">
                  <c:v>6424.9999999999945</c:v>
                </c:pt>
                <c:pt idx="336">
                  <c:v>6721.0999999999958</c:v>
                </c:pt>
                <c:pt idx="337">
                  <c:v>6453.1999999999962</c:v>
                </c:pt>
                <c:pt idx="338">
                  <c:v>6453.1999999999962</c:v>
                </c:pt>
                <c:pt idx="339">
                  <c:v>6453.1999999999962</c:v>
                </c:pt>
                <c:pt idx="340">
                  <c:v>6636.4999999999955</c:v>
                </c:pt>
                <c:pt idx="341">
                  <c:v>6636.4999999999955</c:v>
                </c:pt>
                <c:pt idx="342">
                  <c:v>7040.6999999999962</c:v>
                </c:pt>
                <c:pt idx="343">
                  <c:v>6721.0999999999958</c:v>
                </c:pt>
                <c:pt idx="344">
                  <c:v>6556.5999999999931</c:v>
                </c:pt>
                <c:pt idx="345">
                  <c:v>6453.1999999999962</c:v>
                </c:pt>
                <c:pt idx="346">
                  <c:v>6424.9999999999945</c:v>
                </c:pt>
                <c:pt idx="347">
                  <c:v>3367.4999999999945</c:v>
                </c:pt>
                <c:pt idx="348">
                  <c:v>3367.4999999999945</c:v>
                </c:pt>
                <c:pt idx="349">
                  <c:v>2300.599999999994</c:v>
                </c:pt>
                <c:pt idx="350">
                  <c:v>2300.599999999994</c:v>
                </c:pt>
                <c:pt idx="351">
                  <c:v>1792.9999999999964</c:v>
                </c:pt>
                <c:pt idx="352">
                  <c:v>1337.0999999999949</c:v>
                </c:pt>
                <c:pt idx="353">
                  <c:v>2620.1999999999944</c:v>
                </c:pt>
                <c:pt idx="354">
                  <c:v>2620.1999999999944</c:v>
                </c:pt>
                <c:pt idx="355">
                  <c:v>2620.1999999999944</c:v>
                </c:pt>
                <c:pt idx="356">
                  <c:v>885.899999999996</c:v>
                </c:pt>
                <c:pt idx="357">
                  <c:v>885.899999999996</c:v>
                </c:pt>
                <c:pt idx="358">
                  <c:v>857.69999999999891</c:v>
                </c:pt>
                <c:pt idx="359">
                  <c:v>321.89999999999054</c:v>
                </c:pt>
                <c:pt idx="360">
                  <c:v>321.89999999999054</c:v>
                </c:pt>
                <c:pt idx="361">
                  <c:v>321.89999999999054</c:v>
                </c:pt>
                <c:pt idx="362">
                  <c:v>-745.00000000000546</c:v>
                </c:pt>
                <c:pt idx="363">
                  <c:v>-745.00000000000546</c:v>
                </c:pt>
                <c:pt idx="364">
                  <c:v>-745.00000000000546</c:v>
                </c:pt>
                <c:pt idx="365">
                  <c:v>-745.00000000000546</c:v>
                </c:pt>
                <c:pt idx="366">
                  <c:v>-745.00000000000546</c:v>
                </c:pt>
                <c:pt idx="367">
                  <c:v>-970.60000000000946</c:v>
                </c:pt>
                <c:pt idx="368">
                  <c:v>-970.60000000000946</c:v>
                </c:pt>
                <c:pt idx="369">
                  <c:v>-7915.0000000000055</c:v>
                </c:pt>
                <c:pt idx="370">
                  <c:v>-9592.9000000000051</c:v>
                </c:pt>
                <c:pt idx="371">
                  <c:v>-9592.9000000000051</c:v>
                </c:pt>
                <c:pt idx="372">
                  <c:v>-9592.9000000000051</c:v>
                </c:pt>
                <c:pt idx="373">
                  <c:v>-9592.9000000000051</c:v>
                </c:pt>
                <c:pt idx="374">
                  <c:v>-10937.100000000006</c:v>
                </c:pt>
                <c:pt idx="375">
                  <c:v>-10937.100000000006</c:v>
                </c:pt>
                <c:pt idx="376">
                  <c:v>-12897.000000000004</c:v>
                </c:pt>
                <c:pt idx="377">
                  <c:v>-12897.000000000004</c:v>
                </c:pt>
                <c:pt idx="378">
                  <c:v>-12558.600000000002</c:v>
                </c:pt>
                <c:pt idx="379">
                  <c:v>-12868.800000000007</c:v>
                </c:pt>
                <c:pt idx="380">
                  <c:v>-13705.400000000005</c:v>
                </c:pt>
                <c:pt idx="381">
                  <c:v>-13705.400000000005</c:v>
                </c:pt>
                <c:pt idx="382">
                  <c:v>-13705.400000000005</c:v>
                </c:pt>
                <c:pt idx="383">
                  <c:v>-13705.400000000005</c:v>
                </c:pt>
                <c:pt idx="384">
                  <c:v>-13536.200000000004</c:v>
                </c:pt>
                <c:pt idx="385">
                  <c:v>-12840.600000000009</c:v>
                </c:pt>
                <c:pt idx="386">
                  <c:v>-12281.300000000007</c:v>
                </c:pt>
                <c:pt idx="387">
                  <c:v>-12281.300000000007</c:v>
                </c:pt>
                <c:pt idx="388">
                  <c:v>-12224.900000000003</c:v>
                </c:pt>
                <c:pt idx="389">
                  <c:v>-12224.900000000003</c:v>
                </c:pt>
                <c:pt idx="390">
                  <c:v>-9210.0000000000055</c:v>
                </c:pt>
                <c:pt idx="391">
                  <c:v>-8646.0000000000091</c:v>
                </c:pt>
                <c:pt idx="392">
                  <c:v>-7038.6000000000022</c:v>
                </c:pt>
                <c:pt idx="393">
                  <c:v>-7038.6000000000022</c:v>
                </c:pt>
                <c:pt idx="394">
                  <c:v>-5017.6000000000076</c:v>
                </c:pt>
                <c:pt idx="395">
                  <c:v>-5017.6000000000076</c:v>
                </c:pt>
                <c:pt idx="396">
                  <c:v>-4561.7000000000062</c:v>
                </c:pt>
                <c:pt idx="397">
                  <c:v>-4134.0000000000018</c:v>
                </c:pt>
                <c:pt idx="398">
                  <c:v>-4134.0000000000018</c:v>
                </c:pt>
                <c:pt idx="399">
                  <c:v>-1144.8000000000011</c:v>
                </c:pt>
                <c:pt idx="400">
                  <c:v>-449.20000000000618</c:v>
                </c:pt>
                <c:pt idx="401">
                  <c:v>-449.20000000000618</c:v>
                </c:pt>
                <c:pt idx="402">
                  <c:v>829.19999999999527</c:v>
                </c:pt>
                <c:pt idx="403">
                  <c:v>2887.7999999999965</c:v>
                </c:pt>
                <c:pt idx="404">
                  <c:v>2887.7999999999965</c:v>
                </c:pt>
                <c:pt idx="405">
                  <c:v>2887.7999999999965</c:v>
                </c:pt>
                <c:pt idx="406">
                  <c:v>5101.4999999999955</c:v>
                </c:pt>
                <c:pt idx="407">
                  <c:v>2225.0999999999967</c:v>
                </c:pt>
                <c:pt idx="408">
                  <c:v>1961.8999999999951</c:v>
                </c:pt>
                <c:pt idx="409">
                  <c:v>2356.6999999999953</c:v>
                </c:pt>
                <c:pt idx="410">
                  <c:v>4598.5999999999958</c:v>
                </c:pt>
                <c:pt idx="411">
                  <c:v>4861.7999999999929</c:v>
                </c:pt>
                <c:pt idx="412">
                  <c:v>4302.4999999999945</c:v>
                </c:pt>
                <c:pt idx="413">
                  <c:v>21219.999999999993</c:v>
                </c:pt>
                <c:pt idx="414">
                  <c:v>21219.999999999993</c:v>
                </c:pt>
                <c:pt idx="415">
                  <c:v>14870.299999999996</c:v>
                </c:pt>
                <c:pt idx="416">
                  <c:v>15636.399999999992</c:v>
                </c:pt>
                <c:pt idx="417">
                  <c:v>16139.299999999992</c:v>
                </c:pt>
                <c:pt idx="418">
                  <c:v>16313.199999999995</c:v>
                </c:pt>
                <c:pt idx="419">
                  <c:v>16440.099999999995</c:v>
                </c:pt>
                <c:pt idx="420">
                  <c:v>16421.299999999996</c:v>
                </c:pt>
                <c:pt idx="421">
                  <c:v>13051.399999999994</c:v>
                </c:pt>
                <c:pt idx="422">
                  <c:v>11707.199999999993</c:v>
                </c:pt>
                <c:pt idx="423">
                  <c:v>11707.199999999993</c:v>
                </c:pt>
                <c:pt idx="424">
                  <c:v>13667.099999999995</c:v>
                </c:pt>
                <c:pt idx="425">
                  <c:v>13667.099999999995</c:v>
                </c:pt>
                <c:pt idx="426">
                  <c:v>13699.999999999995</c:v>
                </c:pt>
                <c:pt idx="427">
                  <c:v>13887.999999999996</c:v>
                </c:pt>
                <c:pt idx="428">
                  <c:v>13887.999999999996</c:v>
                </c:pt>
                <c:pt idx="429">
                  <c:v>13887.999999999996</c:v>
                </c:pt>
                <c:pt idx="430">
                  <c:v>14226.399999999994</c:v>
                </c:pt>
                <c:pt idx="431">
                  <c:v>14395.599999999995</c:v>
                </c:pt>
                <c:pt idx="432">
                  <c:v>14395.599999999995</c:v>
                </c:pt>
                <c:pt idx="433">
                  <c:v>14395.599999999995</c:v>
                </c:pt>
                <c:pt idx="434">
                  <c:v>16987.499999999996</c:v>
                </c:pt>
                <c:pt idx="435">
                  <c:v>16987.499999999996</c:v>
                </c:pt>
                <c:pt idx="436">
                  <c:v>16987.499999999996</c:v>
                </c:pt>
                <c:pt idx="437">
                  <c:v>15422.399999999994</c:v>
                </c:pt>
                <c:pt idx="438">
                  <c:v>15422.399999999994</c:v>
                </c:pt>
                <c:pt idx="439">
                  <c:v>14468.299999999996</c:v>
                </c:pt>
                <c:pt idx="440">
                  <c:v>14919.499999999995</c:v>
                </c:pt>
                <c:pt idx="441">
                  <c:v>12818.599999999999</c:v>
                </c:pt>
                <c:pt idx="442">
                  <c:v>13565.899999999998</c:v>
                </c:pt>
                <c:pt idx="443">
                  <c:v>12870.3</c:v>
                </c:pt>
                <c:pt idx="444">
                  <c:v>12870.3</c:v>
                </c:pt>
                <c:pt idx="445">
                  <c:v>13485.999999999996</c:v>
                </c:pt>
                <c:pt idx="446">
                  <c:v>17767.699999999997</c:v>
                </c:pt>
                <c:pt idx="447">
                  <c:v>19530.199999999997</c:v>
                </c:pt>
                <c:pt idx="448">
                  <c:v>22885.999999999996</c:v>
                </c:pt>
                <c:pt idx="449">
                  <c:v>22885.999999999996</c:v>
                </c:pt>
                <c:pt idx="450">
                  <c:v>23783.699999999997</c:v>
                </c:pt>
                <c:pt idx="451">
                  <c:v>23783.699999999997</c:v>
                </c:pt>
                <c:pt idx="452">
                  <c:v>23783.699999999997</c:v>
                </c:pt>
                <c:pt idx="453">
                  <c:v>23783.699999999997</c:v>
                </c:pt>
                <c:pt idx="454">
                  <c:v>24455.799999999996</c:v>
                </c:pt>
                <c:pt idx="455">
                  <c:v>24286.6</c:v>
                </c:pt>
                <c:pt idx="456">
                  <c:v>44480</c:v>
                </c:pt>
                <c:pt idx="457">
                  <c:v>36052.9</c:v>
                </c:pt>
                <c:pt idx="458">
                  <c:v>33369.200000000004</c:v>
                </c:pt>
                <c:pt idx="459">
                  <c:v>37453.500000000007</c:v>
                </c:pt>
                <c:pt idx="460">
                  <c:v>33571.30000000001</c:v>
                </c:pt>
                <c:pt idx="461">
                  <c:v>33571.30000000001</c:v>
                </c:pt>
                <c:pt idx="462">
                  <c:v>33571.30000000001</c:v>
                </c:pt>
                <c:pt idx="463">
                  <c:v>31940.400000000009</c:v>
                </c:pt>
                <c:pt idx="464">
                  <c:v>30022.80000000001</c:v>
                </c:pt>
                <c:pt idx="465">
                  <c:v>30022.80000000001</c:v>
                </c:pt>
                <c:pt idx="466">
                  <c:v>31019.200000000012</c:v>
                </c:pt>
                <c:pt idx="467">
                  <c:v>29792.500000000011</c:v>
                </c:pt>
                <c:pt idx="468">
                  <c:v>29510.500000000011</c:v>
                </c:pt>
                <c:pt idx="469">
                  <c:v>29769.000000000011</c:v>
                </c:pt>
                <c:pt idx="470">
                  <c:v>29769.000000000011</c:v>
                </c:pt>
                <c:pt idx="471">
                  <c:v>29769.000000000011</c:v>
                </c:pt>
                <c:pt idx="472">
                  <c:v>29769.000000000011</c:v>
                </c:pt>
                <c:pt idx="473">
                  <c:v>29613.900000000012</c:v>
                </c:pt>
                <c:pt idx="474">
                  <c:v>28462.400000000012</c:v>
                </c:pt>
                <c:pt idx="475">
                  <c:v>28462.400000000012</c:v>
                </c:pt>
                <c:pt idx="476">
                  <c:v>28462.400000000012</c:v>
                </c:pt>
                <c:pt idx="477">
                  <c:v>28462.400000000012</c:v>
                </c:pt>
                <c:pt idx="478">
                  <c:v>28312.000000000015</c:v>
                </c:pt>
                <c:pt idx="479">
                  <c:v>9110.0000000000146</c:v>
                </c:pt>
                <c:pt idx="480">
                  <c:v>12635.000000000015</c:v>
                </c:pt>
                <c:pt idx="481">
                  <c:v>9293.3000000000138</c:v>
                </c:pt>
                <c:pt idx="482">
                  <c:v>3855.4000000000142</c:v>
                </c:pt>
                <c:pt idx="483">
                  <c:v>4316.0000000000136</c:v>
                </c:pt>
                <c:pt idx="484">
                  <c:v>3451.2000000000135</c:v>
                </c:pt>
                <c:pt idx="485">
                  <c:v>1439.6000000000149</c:v>
                </c:pt>
                <c:pt idx="486">
                  <c:v>1068.3000000000138</c:v>
                </c:pt>
                <c:pt idx="487">
                  <c:v>-2329.7999999999811</c:v>
                </c:pt>
                <c:pt idx="488">
                  <c:v>-2329.7999999999811</c:v>
                </c:pt>
                <c:pt idx="489">
                  <c:v>-2329.7999999999811</c:v>
                </c:pt>
                <c:pt idx="490">
                  <c:v>-2329.7999999999811</c:v>
                </c:pt>
                <c:pt idx="491">
                  <c:v>-2978.3999999999869</c:v>
                </c:pt>
                <c:pt idx="492">
                  <c:v>-4651.599999999984</c:v>
                </c:pt>
                <c:pt idx="493">
                  <c:v>-4341.3999999999887</c:v>
                </c:pt>
                <c:pt idx="494">
                  <c:v>-3847.8999999999851</c:v>
                </c:pt>
                <c:pt idx="495">
                  <c:v>-4585.7999999999847</c:v>
                </c:pt>
                <c:pt idx="496">
                  <c:v>-5022.8999999999851</c:v>
                </c:pt>
                <c:pt idx="497">
                  <c:v>-5022.8999999999851</c:v>
                </c:pt>
                <c:pt idx="498">
                  <c:v>-5022.8999999999851</c:v>
                </c:pt>
                <c:pt idx="499">
                  <c:v>-23909.999999999985</c:v>
                </c:pt>
                <c:pt idx="500">
                  <c:v>-27834.499999999985</c:v>
                </c:pt>
                <c:pt idx="501">
                  <c:v>-27834.499999999985</c:v>
                </c:pt>
                <c:pt idx="502">
                  <c:v>-27834.499999999985</c:v>
                </c:pt>
                <c:pt idx="503">
                  <c:v>-32402.899999999987</c:v>
                </c:pt>
                <c:pt idx="504">
                  <c:v>-32402.899999999987</c:v>
                </c:pt>
                <c:pt idx="505">
                  <c:v>-38705.599999999991</c:v>
                </c:pt>
                <c:pt idx="506">
                  <c:v>-41910.999999999993</c:v>
                </c:pt>
                <c:pt idx="507">
                  <c:v>-41910.999999999993</c:v>
                </c:pt>
                <c:pt idx="508">
                  <c:v>-48852.899999999994</c:v>
                </c:pt>
                <c:pt idx="509">
                  <c:v>-55258.999999999985</c:v>
                </c:pt>
                <c:pt idx="510">
                  <c:v>-55846.499999999985</c:v>
                </c:pt>
                <c:pt idx="511">
                  <c:v>-53176.899999999994</c:v>
                </c:pt>
                <c:pt idx="512">
                  <c:v>-51978.399999999994</c:v>
                </c:pt>
                <c:pt idx="513">
                  <c:v>-54328.399999999994</c:v>
                </c:pt>
                <c:pt idx="514">
                  <c:v>-53393.099999999991</c:v>
                </c:pt>
                <c:pt idx="515">
                  <c:v>-53393.099999999991</c:v>
                </c:pt>
                <c:pt idx="516">
                  <c:v>-53393.099999999991</c:v>
                </c:pt>
                <c:pt idx="517">
                  <c:v>-53393.099999999991</c:v>
                </c:pt>
                <c:pt idx="518">
                  <c:v>-53393.099999999991</c:v>
                </c:pt>
                <c:pt idx="519">
                  <c:v>-53393.099999999991</c:v>
                </c:pt>
                <c:pt idx="520">
                  <c:v>-53496.499999999993</c:v>
                </c:pt>
                <c:pt idx="521">
                  <c:v>-53496.499999999993</c:v>
                </c:pt>
                <c:pt idx="522">
                  <c:v>-69855</c:v>
                </c:pt>
                <c:pt idx="523">
                  <c:v>-69855</c:v>
                </c:pt>
                <c:pt idx="524">
                  <c:v>-70968.899999999994</c:v>
                </c:pt>
                <c:pt idx="525">
                  <c:v>-70968.899999999994</c:v>
                </c:pt>
                <c:pt idx="526">
                  <c:v>-91413.9</c:v>
                </c:pt>
                <c:pt idx="527">
                  <c:v>-91413.9</c:v>
                </c:pt>
                <c:pt idx="528">
                  <c:v>-91296.4</c:v>
                </c:pt>
                <c:pt idx="529">
                  <c:v>-91296.4</c:v>
                </c:pt>
                <c:pt idx="530">
                  <c:v>-91296.4</c:v>
                </c:pt>
                <c:pt idx="531">
                  <c:v>-93411.4</c:v>
                </c:pt>
                <c:pt idx="532">
                  <c:v>-92443.199999999997</c:v>
                </c:pt>
                <c:pt idx="533">
                  <c:v>-92151.8</c:v>
                </c:pt>
                <c:pt idx="534">
                  <c:v>-92151.8</c:v>
                </c:pt>
                <c:pt idx="535">
                  <c:v>-92678.2</c:v>
                </c:pt>
                <c:pt idx="536">
                  <c:v>-91738.2</c:v>
                </c:pt>
                <c:pt idx="537">
                  <c:v>-90506.8</c:v>
                </c:pt>
                <c:pt idx="538">
                  <c:v>-90154.3</c:v>
                </c:pt>
                <c:pt idx="539">
                  <c:v>-90300</c:v>
                </c:pt>
                <c:pt idx="540">
                  <c:v>-90887.5</c:v>
                </c:pt>
                <c:pt idx="541">
                  <c:v>-91061.4</c:v>
                </c:pt>
                <c:pt idx="542">
                  <c:v>-90887.5</c:v>
                </c:pt>
                <c:pt idx="543">
                  <c:v>-90680.7</c:v>
                </c:pt>
                <c:pt idx="544">
                  <c:v>-89362.5</c:v>
                </c:pt>
                <c:pt idx="545">
                  <c:v>-85466.200000000012</c:v>
                </c:pt>
                <c:pt idx="546">
                  <c:v>-85466.200000000012</c:v>
                </c:pt>
                <c:pt idx="547">
                  <c:v>-82994</c:v>
                </c:pt>
                <c:pt idx="548">
                  <c:v>-87167.6</c:v>
                </c:pt>
                <c:pt idx="549">
                  <c:v>-86302.800000000017</c:v>
                </c:pt>
                <c:pt idx="550">
                  <c:v>-84291.200000000012</c:v>
                </c:pt>
                <c:pt idx="551">
                  <c:v>-85405.1</c:v>
                </c:pt>
                <c:pt idx="552">
                  <c:v>-86763.400000000009</c:v>
                </c:pt>
                <c:pt idx="553">
                  <c:v>-84601.4</c:v>
                </c:pt>
                <c:pt idx="554">
                  <c:v>-84601.4</c:v>
                </c:pt>
                <c:pt idx="555">
                  <c:v>-87383.799999999988</c:v>
                </c:pt>
                <c:pt idx="556">
                  <c:v>-85654.2</c:v>
                </c:pt>
                <c:pt idx="557">
                  <c:v>-85870.400000000009</c:v>
                </c:pt>
                <c:pt idx="558">
                  <c:v>-85499.1</c:v>
                </c:pt>
                <c:pt idx="559">
                  <c:v>-85188.9</c:v>
                </c:pt>
                <c:pt idx="560">
                  <c:v>-85433.3</c:v>
                </c:pt>
                <c:pt idx="561">
                  <c:v>-85898.6</c:v>
                </c:pt>
                <c:pt idx="562">
                  <c:v>-86331</c:v>
                </c:pt>
                <c:pt idx="563">
                  <c:v>-86519</c:v>
                </c:pt>
                <c:pt idx="564">
                  <c:v>-98295</c:v>
                </c:pt>
                <c:pt idx="565">
                  <c:v>-98295</c:v>
                </c:pt>
                <c:pt idx="566">
                  <c:v>-95597.2</c:v>
                </c:pt>
                <c:pt idx="567">
                  <c:v>-97627.6</c:v>
                </c:pt>
                <c:pt idx="568">
                  <c:v>-100513.40000000001</c:v>
                </c:pt>
                <c:pt idx="569">
                  <c:v>-100057.5</c:v>
                </c:pt>
                <c:pt idx="570">
                  <c:v>-100057.5</c:v>
                </c:pt>
                <c:pt idx="571">
                  <c:v>-100057.5</c:v>
                </c:pt>
                <c:pt idx="572">
                  <c:v>-100057.5</c:v>
                </c:pt>
                <c:pt idx="573">
                  <c:v>-101444</c:v>
                </c:pt>
                <c:pt idx="574">
                  <c:v>-101768.3</c:v>
                </c:pt>
                <c:pt idx="575">
                  <c:v>-99709.7</c:v>
                </c:pt>
                <c:pt idx="576">
                  <c:v>-100245.5</c:v>
                </c:pt>
                <c:pt idx="577">
                  <c:v>-101928.1</c:v>
                </c:pt>
                <c:pt idx="578">
                  <c:v>-101711.90000000002</c:v>
                </c:pt>
                <c:pt idx="579">
                  <c:v>-101711.90000000002</c:v>
                </c:pt>
                <c:pt idx="580">
                  <c:v>-102355.80000000002</c:v>
                </c:pt>
                <c:pt idx="581">
                  <c:v>-102355.80000000002</c:v>
                </c:pt>
                <c:pt idx="582">
                  <c:v>-102355.80000000002</c:v>
                </c:pt>
                <c:pt idx="583">
                  <c:v>-102595.50000000001</c:v>
                </c:pt>
                <c:pt idx="584">
                  <c:v>-102807.00000000003</c:v>
                </c:pt>
                <c:pt idx="585">
                  <c:v>-102807.00000000003</c:v>
                </c:pt>
                <c:pt idx="586">
                  <c:v>-114865.00000000003</c:v>
                </c:pt>
                <c:pt idx="587">
                  <c:v>-114865.00000000003</c:v>
                </c:pt>
                <c:pt idx="588">
                  <c:v>-114865.00000000003</c:v>
                </c:pt>
                <c:pt idx="589">
                  <c:v>-114865.00000000003</c:v>
                </c:pt>
                <c:pt idx="590">
                  <c:v>-115870.80000000003</c:v>
                </c:pt>
                <c:pt idx="591">
                  <c:v>-122056.00000000001</c:v>
                </c:pt>
                <c:pt idx="592">
                  <c:v>-123395.50000000003</c:v>
                </c:pt>
                <c:pt idx="593">
                  <c:v>-125078.10000000005</c:v>
                </c:pt>
                <c:pt idx="594">
                  <c:v>-126643.20000000004</c:v>
                </c:pt>
                <c:pt idx="595">
                  <c:v>-129552.50000000004</c:v>
                </c:pt>
                <c:pt idx="596">
                  <c:v>-129552.50000000004</c:v>
                </c:pt>
                <c:pt idx="597">
                  <c:v>-129552.50000000004</c:v>
                </c:pt>
                <c:pt idx="598">
                  <c:v>-129552.50000000004</c:v>
                </c:pt>
                <c:pt idx="599">
                  <c:v>-130558.30000000006</c:v>
                </c:pt>
                <c:pt idx="600">
                  <c:v>-129886.20000000004</c:v>
                </c:pt>
                <c:pt idx="601">
                  <c:v>-129886.20000000004</c:v>
                </c:pt>
                <c:pt idx="602">
                  <c:v>-128208.30000000008</c:v>
                </c:pt>
                <c:pt idx="603">
                  <c:v>-128208.30000000008</c:v>
                </c:pt>
                <c:pt idx="604">
                  <c:v>-128208.30000000008</c:v>
                </c:pt>
                <c:pt idx="605">
                  <c:v>-128123.70000000004</c:v>
                </c:pt>
                <c:pt idx="606">
                  <c:v>-128015.60000000006</c:v>
                </c:pt>
                <c:pt idx="607">
                  <c:v>-128015.60000000006</c:v>
                </c:pt>
                <c:pt idx="608">
                  <c:v>-132022.50000000006</c:v>
                </c:pt>
                <c:pt idx="609">
                  <c:v>-129230.70000000006</c:v>
                </c:pt>
                <c:pt idx="610">
                  <c:v>-129230.70000000006</c:v>
                </c:pt>
                <c:pt idx="611">
                  <c:v>-128732.50000000006</c:v>
                </c:pt>
                <c:pt idx="612">
                  <c:v>-128732.50000000006</c:v>
                </c:pt>
                <c:pt idx="613">
                  <c:v>-128290.70000000006</c:v>
                </c:pt>
                <c:pt idx="614">
                  <c:v>-127059.30000000006</c:v>
                </c:pt>
                <c:pt idx="615">
                  <c:v>-127059.30000000006</c:v>
                </c:pt>
                <c:pt idx="616">
                  <c:v>-127059.30000000006</c:v>
                </c:pt>
                <c:pt idx="617">
                  <c:v>-127059.30000000006</c:v>
                </c:pt>
                <c:pt idx="618">
                  <c:v>-127059.30000000006</c:v>
                </c:pt>
                <c:pt idx="619">
                  <c:v>-127059.30000000006</c:v>
                </c:pt>
                <c:pt idx="620">
                  <c:v>-126824.30000000006</c:v>
                </c:pt>
                <c:pt idx="621">
                  <c:v>-128262.50000000006</c:v>
                </c:pt>
                <c:pt idx="622">
                  <c:v>-129672.50000000006</c:v>
                </c:pt>
                <c:pt idx="623">
                  <c:v>-131138.90000000005</c:v>
                </c:pt>
                <c:pt idx="624">
                  <c:v>-131138.90000000005</c:v>
                </c:pt>
                <c:pt idx="625">
                  <c:v>-130668.90000000005</c:v>
                </c:pt>
                <c:pt idx="626">
                  <c:v>-129879.30000000006</c:v>
                </c:pt>
                <c:pt idx="627">
                  <c:v>-129996.80000000006</c:v>
                </c:pt>
                <c:pt idx="628">
                  <c:v>-129996.80000000006</c:v>
                </c:pt>
                <c:pt idx="629">
                  <c:v>-133905.00000000006</c:v>
                </c:pt>
                <c:pt idx="630">
                  <c:v>-137270.20000000007</c:v>
                </c:pt>
                <c:pt idx="631">
                  <c:v>-139404.00000000009</c:v>
                </c:pt>
                <c:pt idx="632">
                  <c:v>-138896.40000000008</c:v>
                </c:pt>
                <c:pt idx="633">
                  <c:v>-141302.80000000008</c:v>
                </c:pt>
                <c:pt idx="634">
                  <c:v>-140846.90000000008</c:v>
                </c:pt>
                <c:pt idx="635">
                  <c:v>-140419.20000000007</c:v>
                </c:pt>
                <c:pt idx="636">
                  <c:v>-141222.90000000008</c:v>
                </c:pt>
                <c:pt idx="637">
                  <c:v>-142341.50000000009</c:v>
                </c:pt>
                <c:pt idx="638">
                  <c:v>-142341.50000000009</c:v>
                </c:pt>
                <c:pt idx="639">
                  <c:v>-142341.50000000009</c:v>
                </c:pt>
                <c:pt idx="640">
                  <c:v>-141754.00000000009</c:v>
                </c:pt>
                <c:pt idx="641">
                  <c:v>-140955.00000000006</c:v>
                </c:pt>
                <c:pt idx="642">
                  <c:v>-140955.00000000006</c:v>
                </c:pt>
                <c:pt idx="643">
                  <c:v>-140315.80000000008</c:v>
                </c:pt>
                <c:pt idx="644">
                  <c:v>-140687.10000000003</c:v>
                </c:pt>
                <c:pt idx="645">
                  <c:v>-141006.70000000001</c:v>
                </c:pt>
                <c:pt idx="646">
                  <c:v>-141274.60000000003</c:v>
                </c:pt>
                <c:pt idx="647">
                  <c:v>-141918.50000000003</c:v>
                </c:pt>
                <c:pt idx="648">
                  <c:v>-142078.30000000005</c:v>
                </c:pt>
                <c:pt idx="649">
                  <c:v>-142181.70000000001</c:v>
                </c:pt>
                <c:pt idx="650">
                  <c:v>-142238.10000000003</c:v>
                </c:pt>
                <c:pt idx="651">
                  <c:v>-152825.00000000003</c:v>
                </c:pt>
                <c:pt idx="652">
                  <c:v>-153948.30000000005</c:v>
                </c:pt>
                <c:pt idx="653">
                  <c:v>-153948.30000000005</c:v>
                </c:pt>
                <c:pt idx="654">
                  <c:v>-157149.00000000006</c:v>
                </c:pt>
                <c:pt idx="655">
                  <c:v>-157149.00000000006</c:v>
                </c:pt>
                <c:pt idx="656">
                  <c:v>-157633.10000000006</c:v>
                </c:pt>
                <c:pt idx="657">
                  <c:v>-157177.20000000007</c:v>
                </c:pt>
                <c:pt idx="658">
                  <c:v>-157177.20000000007</c:v>
                </c:pt>
                <c:pt idx="659">
                  <c:v>-157576.70000000004</c:v>
                </c:pt>
                <c:pt idx="660">
                  <c:v>-157576.70000000004</c:v>
                </c:pt>
                <c:pt idx="661">
                  <c:v>-157576.70000000004</c:v>
                </c:pt>
                <c:pt idx="662">
                  <c:v>-157576.70000000004</c:v>
                </c:pt>
                <c:pt idx="663">
                  <c:v>-157872.80000000005</c:v>
                </c:pt>
                <c:pt idx="664">
                  <c:v>-157872.80000000005</c:v>
                </c:pt>
                <c:pt idx="665">
                  <c:v>-157872.80000000005</c:v>
                </c:pt>
                <c:pt idx="666">
                  <c:v>-157872.80000000005</c:v>
                </c:pt>
                <c:pt idx="667">
                  <c:v>-158432.10000000003</c:v>
                </c:pt>
                <c:pt idx="668">
                  <c:v>-158591.90000000002</c:v>
                </c:pt>
                <c:pt idx="669">
                  <c:v>-158859.80000000005</c:v>
                </c:pt>
                <c:pt idx="670">
                  <c:v>-158859.80000000005</c:v>
                </c:pt>
                <c:pt idx="671">
                  <c:v>-158859.80000000005</c:v>
                </c:pt>
                <c:pt idx="672">
                  <c:v>-158859.80000000005</c:v>
                </c:pt>
                <c:pt idx="673">
                  <c:v>-158888.00000000006</c:v>
                </c:pt>
                <c:pt idx="674">
                  <c:v>-165282.50000000006</c:v>
                </c:pt>
                <c:pt idx="675">
                  <c:v>-169756.90000000005</c:v>
                </c:pt>
                <c:pt idx="676">
                  <c:v>-171886.00000000006</c:v>
                </c:pt>
                <c:pt idx="677">
                  <c:v>-174908.10000000009</c:v>
                </c:pt>
                <c:pt idx="678">
                  <c:v>-175857.50000000009</c:v>
                </c:pt>
                <c:pt idx="679">
                  <c:v>-175857.50000000009</c:v>
                </c:pt>
                <c:pt idx="680">
                  <c:v>-175857.50000000009</c:v>
                </c:pt>
                <c:pt idx="681">
                  <c:v>-175857.50000000009</c:v>
                </c:pt>
                <c:pt idx="682">
                  <c:v>-177314.50000000009</c:v>
                </c:pt>
                <c:pt idx="683">
                  <c:v>-178320.30000000008</c:v>
                </c:pt>
                <c:pt idx="684">
                  <c:v>-178320.30000000008</c:v>
                </c:pt>
                <c:pt idx="685">
                  <c:v>-178320.30000000008</c:v>
                </c:pt>
                <c:pt idx="686">
                  <c:v>-178823.20000000007</c:v>
                </c:pt>
                <c:pt idx="687">
                  <c:v>-179048.80000000008</c:v>
                </c:pt>
                <c:pt idx="688">
                  <c:v>-180026.40000000005</c:v>
                </c:pt>
                <c:pt idx="689">
                  <c:v>-182038.00000000006</c:v>
                </c:pt>
                <c:pt idx="690">
                  <c:v>-182038.00000000006</c:v>
                </c:pt>
                <c:pt idx="691">
                  <c:v>-182038.00000000006</c:v>
                </c:pt>
                <c:pt idx="692">
                  <c:v>-182038.00000000006</c:v>
                </c:pt>
                <c:pt idx="693">
                  <c:v>-182038.00000000006</c:v>
                </c:pt>
                <c:pt idx="694">
                  <c:v>-182038.00000000006</c:v>
                </c:pt>
                <c:pt idx="695">
                  <c:v>-193015.00000000006</c:v>
                </c:pt>
                <c:pt idx="696">
                  <c:v>-193015.00000000006</c:v>
                </c:pt>
                <c:pt idx="697">
                  <c:v>-193015.00000000006</c:v>
                </c:pt>
                <c:pt idx="698">
                  <c:v>-193517.90000000008</c:v>
                </c:pt>
                <c:pt idx="699">
                  <c:v>-193517.90000000008</c:v>
                </c:pt>
                <c:pt idx="700">
                  <c:v>-194472.00000000009</c:v>
                </c:pt>
                <c:pt idx="701">
                  <c:v>-194472.00000000009</c:v>
                </c:pt>
                <c:pt idx="702">
                  <c:v>-194472.00000000009</c:v>
                </c:pt>
                <c:pt idx="703">
                  <c:v>-192122.00000000009</c:v>
                </c:pt>
                <c:pt idx="704">
                  <c:v>-190665.00000000009</c:v>
                </c:pt>
                <c:pt idx="705">
                  <c:v>-190331.3000000001</c:v>
                </c:pt>
                <c:pt idx="706">
                  <c:v>-191252.50000000009</c:v>
                </c:pt>
                <c:pt idx="707">
                  <c:v>-191811.8000000001</c:v>
                </c:pt>
                <c:pt idx="708">
                  <c:v>-191811.8000000001</c:v>
                </c:pt>
                <c:pt idx="709">
                  <c:v>-192037.40000000011</c:v>
                </c:pt>
                <c:pt idx="710">
                  <c:v>-192037.40000000011</c:v>
                </c:pt>
                <c:pt idx="711">
                  <c:v>-192371.10000000009</c:v>
                </c:pt>
                <c:pt idx="712">
                  <c:v>-191952.80000000008</c:v>
                </c:pt>
                <c:pt idx="713">
                  <c:v>-191614.40000000008</c:v>
                </c:pt>
                <c:pt idx="714">
                  <c:v>-191614.40000000008</c:v>
                </c:pt>
                <c:pt idx="715">
                  <c:v>-191614.40000000008</c:v>
                </c:pt>
                <c:pt idx="716">
                  <c:v>-191478.10000000009</c:v>
                </c:pt>
                <c:pt idx="717">
                  <c:v>-184910.00000000009</c:v>
                </c:pt>
                <c:pt idx="718">
                  <c:v>-184350.70000000007</c:v>
                </c:pt>
                <c:pt idx="719">
                  <c:v>-185953.40000000008</c:v>
                </c:pt>
                <c:pt idx="720">
                  <c:v>-185445.8000000001</c:v>
                </c:pt>
                <c:pt idx="721">
                  <c:v>-185445.8000000001</c:v>
                </c:pt>
                <c:pt idx="722">
                  <c:v>-183626.90000000008</c:v>
                </c:pt>
                <c:pt idx="723">
                  <c:v>-182771.50000000012</c:v>
                </c:pt>
                <c:pt idx="724">
                  <c:v>-181173.50000000009</c:v>
                </c:pt>
                <c:pt idx="725">
                  <c:v>-181920.8000000001</c:v>
                </c:pt>
                <c:pt idx="726">
                  <c:v>-181573.00000000009</c:v>
                </c:pt>
                <c:pt idx="727">
                  <c:v>-181681.10000000009</c:v>
                </c:pt>
                <c:pt idx="728">
                  <c:v>-182607.00000000009</c:v>
                </c:pt>
                <c:pt idx="729">
                  <c:v>-183899.50000000009</c:v>
                </c:pt>
                <c:pt idx="730">
                  <c:v>-183937.10000000006</c:v>
                </c:pt>
                <c:pt idx="731">
                  <c:v>-184045.20000000007</c:v>
                </c:pt>
                <c:pt idx="732">
                  <c:v>-184139.20000000004</c:v>
                </c:pt>
                <c:pt idx="733">
                  <c:v>-184059.30000000005</c:v>
                </c:pt>
                <c:pt idx="734">
                  <c:v>-184073.40000000005</c:v>
                </c:pt>
                <c:pt idx="735">
                  <c:v>-183659.80000000005</c:v>
                </c:pt>
                <c:pt idx="736">
                  <c:v>-183631.60000000003</c:v>
                </c:pt>
                <c:pt idx="737">
                  <c:v>-183283.80000000005</c:v>
                </c:pt>
                <c:pt idx="738">
                  <c:v>-183307.30000000005</c:v>
                </c:pt>
                <c:pt idx="739">
                  <c:v>-179155.00000000006</c:v>
                </c:pt>
                <c:pt idx="740">
                  <c:v>-180268.90000000005</c:v>
                </c:pt>
                <c:pt idx="741">
                  <c:v>-180268.90000000005</c:v>
                </c:pt>
                <c:pt idx="742">
                  <c:v>-180268.90000000005</c:v>
                </c:pt>
                <c:pt idx="743">
                  <c:v>-178858.90000000005</c:v>
                </c:pt>
                <c:pt idx="744">
                  <c:v>-178858.90000000005</c:v>
                </c:pt>
                <c:pt idx="745">
                  <c:v>-178858.90000000005</c:v>
                </c:pt>
                <c:pt idx="746">
                  <c:v>-178858.90000000005</c:v>
                </c:pt>
                <c:pt idx="747">
                  <c:v>-180268.90000000005</c:v>
                </c:pt>
                <c:pt idx="748">
                  <c:v>-179949.30000000005</c:v>
                </c:pt>
                <c:pt idx="749">
                  <c:v>-179949.30000000005</c:v>
                </c:pt>
                <c:pt idx="750">
                  <c:v>-178891.80000000005</c:v>
                </c:pt>
                <c:pt idx="751">
                  <c:v>-178656.80000000005</c:v>
                </c:pt>
                <c:pt idx="752">
                  <c:v>-179681.40000000002</c:v>
                </c:pt>
                <c:pt idx="753">
                  <c:v>-178802.50000000003</c:v>
                </c:pt>
                <c:pt idx="754">
                  <c:v>-179093.90000000002</c:v>
                </c:pt>
                <c:pt idx="755">
                  <c:v>-178858.90000000002</c:v>
                </c:pt>
                <c:pt idx="756">
                  <c:v>-178774.30000000005</c:v>
                </c:pt>
                <c:pt idx="757">
                  <c:v>-178774.30000000005</c:v>
                </c:pt>
                <c:pt idx="758">
                  <c:v>-178774.30000000005</c:v>
                </c:pt>
                <c:pt idx="759">
                  <c:v>-178741.40000000002</c:v>
                </c:pt>
                <c:pt idx="760">
                  <c:v>-177512.50000000003</c:v>
                </c:pt>
                <c:pt idx="761">
                  <c:v>-177512.50000000003</c:v>
                </c:pt>
                <c:pt idx="762">
                  <c:v>-177512.50000000003</c:v>
                </c:pt>
                <c:pt idx="763">
                  <c:v>-178020.1</c:v>
                </c:pt>
                <c:pt idx="764">
                  <c:v>-179942.40000000002</c:v>
                </c:pt>
                <c:pt idx="765">
                  <c:v>-178579.4</c:v>
                </c:pt>
                <c:pt idx="766">
                  <c:v>-178579.4</c:v>
                </c:pt>
                <c:pt idx="767">
                  <c:v>-178179.90000000002</c:v>
                </c:pt>
                <c:pt idx="768">
                  <c:v>-178555.90000000002</c:v>
                </c:pt>
                <c:pt idx="769">
                  <c:v>-178899.00000000003</c:v>
                </c:pt>
                <c:pt idx="770">
                  <c:v>-178899.00000000003</c:v>
                </c:pt>
                <c:pt idx="771">
                  <c:v>-178899.00000000003</c:v>
                </c:pt>
                <c:pt idx="772">
                  <c:v>-178635.80000000005</c:v>
                </c:pt>
                <c:pt idx="773">
                  <c:v>-178635.80000000005</c:v>
                </c:pt>
                <c:pt idx="774">
                  <c:v>-178635.80000000005</c:v>
                </c:pt>
                <c:pt idx="775">
                  <c:v>-178447.80000000002</c:v>
                </c:pt>
                <c:pt idx="776">
                  <c:v>-178447.80000000002</c:v>
                </c:pt>
                <c:pt idx="777">
                  <c:v>-178447.80000000002</c:v>
                </c:pt>
                <c:pt idx="778">
                  <c:v>-178447.80000000002</c:v>
                </c:pt>
                <c:pt idx="779">
                  <c:v>-178339.70000000004</c:v>
                </c:pt>
                <c:pt idx="780">
                  <c:v>-178499.50000000003</c:v>
                </c:pt>
                <c:pt idx="781">
                  <c:v>-178607.6</c:v>
                </c:pt>
                <c:pt idx="782">
                  <c:v>-178659.30000000002</c:v>
                </c:pt>
                <c:pt idx="783">
                  <c:v>-178807.5</c:v>
                </c:pt>
                <c:pt idx="784">
                  <c:v>-178807.5</c:v>
                </c:pt>
                <c:pt idx="785">
                  <c:v>-178807.5</c:v>
                </c:pt>
                <c:pt idx="786">
                  <c:v>-178807.5</c:v>
                </c:pt>
                <c:pt idx="787">
                  <c:v>-178807.5</c:v>
                </c:pt>
                <c:pt idx="788">
                  <c:v>-178807.5</c:v>
                </c:pt>
                <c:pt idx="789">
                  <c:v>-179239.90000000002</c:v>
                </c:pt>
                <c:pt idx="790">
                  <c:v>-178840.40000000002</c:v>
                </c:pt>
                <c:pt idx="791">
                  <c:v>-178840.40000000002</c:v>
                </c:pt>
                <c:pt idx="792">
                  <c:v>-178497.30000000002</c:v>
                </c:pt>
                <c:pt idx="793">
                  <c:v>-178497.30000000002</c:v>
                </c:pt>
                <c:pt idx="794">
                  <c:v>-178497.30000000002</c:v>
                </c:pt>
                <c:pt idx="795">
                  <c:v>-178497.30000000002</c:v>
                </c:pt>
                <c:pt idx="796">
                  <c:v>-179982.50000000003</c:v>
                </c:pt>
                <c:pt idx="797">
                  <c:v>-180414.90000000005</c:v>
                </c:pt>
                <c:pt idx="798">
                  <c:v>-180602.90000000005</c:v>
                </c:pt>
                <c:pt idx="799">
                  <c:v>-181063.50000000003</c:v>
                </c:pt>
                <c:pt idx="800">
                  <c:v>-181063.50000000003</c:v>
                </c:pt>
                <c:pt idx="801">
                  <c:v>-181063.50000000003</c:v>
                </c:pt>
                <c:pt idx="802">
                  <c:v>-181063.50000000003</c:v>
                </c:pt>
                <c:pt idx="803">
                  <c:v>-181063.50000000003</c:v>
                </c:pt>
                <c:pt idx="804">
                  <c:v>-186565.00000000006</c:v>
                </c:pt>
                <c:pt idx="805">
                  <c:v>-186565.00000000006</c:v>
                </c:pt>
                <c:pt idx="806">
                  <c:v>-186565.00000000006</c:v>
                </c:pt>
                <c:pt idx="807">
                  <c:v>-186565.00000000006</c:v>
                </c:pt>
                <c:pt idx="808">
                  <c:v>-186565.00000000006</c:v>
                </c:pt>
                <c:pt idx="809">
                  <c:v>-186565.00000000006</c:v>
                </c:pt>
                <c:pt idx="810">
                  <c:v>-186565.00000000006</c:v>
                </c:pt>
                <c:pt idx="811">
                  <c:v>-186565.00000000006</c:v>
                </c:pt>
                <c:pt idx="812">
                  <c:v>-188769.30000000005</c:v>
                </c:pt>
                <c:pt idx="813">
                  <c:v>-188769.30000000005</c:v>
                </c:pt>
                <c:pt idx="814">
                  <c:v>-188769.30000000005</c:v>
                </c:pt>
                <c:pt idx="815">
                  <c:v>-188769.30000000005</c:v>
                </c:pt>
                <c:pt idx="816">
                  <c:v>-188769.30000000005</c:v>
                </c:pt>
                <c:pt idx="817">
                  <c:v>-189004.30000000005</c:v>
                </c:pt>
                <c:pt idx="818">
                  <c:v>-188797.50000000006</c:v>
                </c:pt>
                <c:pt idx="819">
                  <c:v>-188797.50000000006</c:v>
                </c:pt>
                <c:pt idx="820">
                  <c:v>-188797.50000000006</c:v>
                </c:pt>
                <c:pt idx="821">
                  <c:v>-188327.50000000006</c:v>
                </c:pt>
                <c:pt idx="822">
                  <c:v>-188327.50000000006</c:v>
                </c:pt>
                <c:pt idx="823">
                  <c:v>-187857.50000000006</c:v>
                </c:pt>
                <c:pt idx="824">
                  <c:v>-187857.50000000006</c:v>
                </c:pt>
                <c:pt idx="825">
                  <c:v>-183160.00000000006</c:v>
                </c:pt>
                <c:pt idx="826">
                  <c:v>-183160.00000000006</c:v>
                </c:pt>
                <c:pt idx="827">
                  <c:v>-181021.50000000006</c:v>
                </c:pt>
                <c:pt idx="828">
                  <c:v>-181021.50000000006</c:v>
                </c:pt>
                <c:pt idx="829">
                  <c:v>-178619.80000000005</c:v>
                </c:pt>
                <c:pt idx="830">
                  <c:v>-178619.80000000005</c:v>
                </c:pt>
                <c:pt idx="831">
                  <c:v>-177764.40000000002</c:v>
                </c:pt>
                <c:pt idx="832">
                  <c:v>-176965.40000000005</c:v>
                </c:pt>
                <c:pt idx="833">
                  <c:v>-176965.40000000005</c:v>
                </c:pt>
                <c:pt idx="834">
                  <c:v>-176965.40000000005</c:v>
                </c:pt>
                <c:pt idx="835">
                  <c:v>-176645.80000000005</c:v>
                </c:pt>
                <c:pt idx="836">
                  <c:v>-176645.80000000005</c:v>
                </c:pt>
                <c:pt idx="837">
                  <c:v>-175574.2</c:v>
                </c:pt>
                <c:pt idx="838">
                  <c:v>-175574.2</c:v>
                </c:pt>
                <c:pt idx="839">
                  <c:v>-175574.2</c:v>
                </c:pt>
                <c:pt idx="840">
                  <c:v>-175574.2</c:v>
                </c:pt>
                <c:pt idx="841">
                  <c:v>-175574.2</c:v>
                </c:pt>
                <c:pt idx="842">
                  <c:v>-175574.2</c:v>
                </c:pt>
                <c:pt idx="843">
                  <c:v>-175574.2</c:v>
                </c:pt>
                <c:pt idx="844">
                  <c:v>-175574.2</c:v>
                </c:pt>
                <c:pt idx="845">
                  <c:v>-175574.2</c:v>
                </c:pt>
                <c:pt idx="846">
                  <c:v>-175574.2</c:v>
                </c:pt>
                <c:pt idx="847">
                  <c:v>-175842.10000000003</c:v>
                </c:pt>
                <c:pt idx="848">
                  <c:v>-175642.50000000006</c:v>
                </c:pt>
                <c:pt idx="849">
                  <c:v>-175642.50000000006</c:v>
                </c:pt>
                <c:pt idx="850">
                  <c:v>-177235.80000000008</c:v>
                </c:pt>
                <c:pt idx="851">
                  <c:v>-177235.80000000008</c:v>
                </c:pt>
                <c:pt idx="852">
                  <c:v>-176761.10000000006</c:v>
                </c:pt>
                <c:pt idx="853">
                  <c:v>-177658.80000000008</c:v>
                </c:pt>
                <c:pt idx="854">
                  <c:v>-177658.80000000008</c:v>
                </c:pt>
                <c:pt idx="855">
                  <c:v>-177658.80000000008</c:v>
                </c:pt>
                <c:pt idx="856">
                  <c:v>-177292.20000000007</c:v>
                </c:pt>
                <c:pt idx="857">
                  <c:v>-177292.20000000007</c:v>
                </c:pt>
                <c:pt idx="858">
                  <c:v>-177602.40000000008</c:v>
                </c:pt>
                <c:pt idx="859">
                  <c:v>-177602.40000000008</c:v>
                </c:pt>
                <c:pt idx="860">
                  <c:v>-176591.90000000005</c:v>
                </c:pt>
                <c:pt idx="861">
                  <c:v>-175698.90000000005</c:v>
                </c:pt>
                <c:pt idx="862">
                  <c:v>-175698.90000000005</c:v>
                </c:pt>
                <c:pt idx="863">
                  <c:v>-175698.90000000005</c:v>
                </c:pt>
                <c:pt idx="864">
                  <c:v>-175698.90000000005</c:v>
                </c:pt>
                <c:pt idx="865">
                  <c:v>-175698.90000000005</c:v>
                </c:pt>
                <c:pt idx="866">
                  <c:v>-175698.90000000005</c:v>
                </c:pt>
                <c:pt idx="867">
                  <c:v>-175698.90000000005</c:v>
                </c:pt>
                <c:pt idx="868">
                  <c:v>-175698.90000000005</c:v>
                </c:pt>
                <c:pt idx="869">
                  <c:v>-174000.00000000006</c:v>
                </c:pt>
                <c:pt idx="870">
                  <c:v>-174000.00000000006</c:v>
                </c:pt>
                <c:pt idx="871">
                  <c:v>-174000.00000000006</c:v>
                </c:pt>
                <c:pt idx="872">
                  <c:v>-174000.00000000006</c:v>
                </c:pt>
                <c:pt idx="873">
                  <c:v>-175903.50000000006</c:v>
                </c:pt>
                <c:pt idx="874">
                  <c:v>-174112.80000000005</c:v>
                </c:pt>
                <c:pt idx="875">
                  <c:v>-174531.10000000006</c:v>
                </c:pt>
                <c:pt idx="876">
                  <c:v>-175706.10000000006</c:v>
                </c:pt>
                <c:pt idx="877">
                  <c:v>-175706.10000000006</c:v>
                </c:pt>
                <c:pt idx="878">
                  <c:v>-175706.10000000006</c:v>
                </c:pt>
                <c:pt idx="879">
                  <c:v>-175706.10000000006</c:v>
                </c:pt>
                <c:pt idx="880">
                  <c:v>-175706.10000000006</c:v>
                </c:pt>
                <c:pt idx="881">
                  <c:v>-175706.10000000006</c:v>
                </c:pt>
                <c:pt idx="882">
                  <c:v>-175706.10000000006</c:v>
                </c:pt>
                <c:pt idx="883">
                  <c:v>-175706.10000000006</c:v>
                </c:pt>
                <c:pt idx="884">
                  <c:v>-175706.10000000006</c:v>
                </c:pt>
                <c:pt idx="885">
                  <c:v>-175287.80000000005</c:v>
                </c:pt>
                <c:pt idx="886">
                  <c:v>-175287.80000000005</c:v>
                </c:pt>
                <c:pt idx="887">
                  <c:v>-175287.80000000005</c:v>
                </c:pt>
                <c:pt idx="888">
                  <c:v>-175287.80000000005</c:v>
                </c:pt>
                <c:pt idx="889">
                  <c:v>-175287.80000000005</c:v>
                </c:pt>
                <c:pt idx="890">
                  <c:v>-175259.60000000003</c:v>
                </c:pt>
                <c:pt idx="891">
                  <c:v>-174120.00000000006</c:v>
                </c:pt>
                <c:pt idx="892">
                  <c:v>-174120.00000000006</c:v>
                </c:pt>
                <c:pt idx="893">
                  <c:v>-174120.00000000006</c:v>
                </c:pt>
                <c:pt idx="894">
                  <c:v>-174120.00000000006</c:v>
                </c:pt>
                <c:pt idx="895">
                  <c:v>-174120.00000000006</c:v>
                </c:pt>
                <c:pt idx="896">
                  <c:v>-175027.10000000003</c:v>
                </c:pt>
                <c:pt idx="897">
                  <c:v>-174599.40000000002</c:v>
                </c:pt>
                <c:pt idx="898">
                  <c:v>-174998.90000000002</c:v>
                </c:pt>
                <c:pt idx="899">
                  <c:v>-174627.6</c:v>
                </c:pt>
                <c:pt idx="900">
                  <c:v>-174279.80000000002</c:v>
                </c:pt>
                <c:pt idx="901">
                  <c:v>-173321</c:v>
                </c:pt>
                <c:pt idx="902">
                  <c:v>-173321</c:v>
                </c:pt>
                <c:pt idx="903">
                  <c:v>-173321</c:v>
                </c:pt>
                <c:pt idx="904">
                  <c:v>-173321</c:v>
                </c:pt>
                <c:pt idx="905">
                  <c:v>-173321</c:v>
                </c:pt>
                <c:pt idx="906">
                  <c:v>-173321</c:v>
                </c:pt>
                <c:pt idx="907">
                  <c:v>-173321</c:v>
                </c:pt>
                <c:pt idx="908">
                  <c:v>-173584.2</c:v>
                </c:pt>
                <c:pt idx="909">
                  <c:v>-173692.30000000002</c:v>
                </c:pt>
                <c:pt idx="910">
                  <c:v>-173612.40000000002</c:v>
                </c:pt>
                <c:pt idx="911">
                  <c:v>-173664.1</c:v>
                </c:pt>
                <c:pt idx="912">
                  <c:v>-173612.40000000002</c:v>
                </c:pt>
                <c:pt idx="913">
                  <c:v>-173065</c:v>
                </c:pt>
                <c:pt idx="914">
                  <c:v>-173065</c:v>
                </c:pt>
                <c:pt idx="915">
                  <c:v>-173065</c:v>
                </c:pt>
                <c:pt idx="916">
                  <c:v>-173065</c:v>
                </c:pt>
                <c:pt idx="917">
                  <c:v>-174564.3</c:v>
                </c:pt>
                <c:pt idx="918">
                  <c:v>-174564.3</c:v>
                </c:pt>
                <c:pt idx="919">
                  <c:v>-174564.3</c:v>
                </c:pt>
                <c:pt idx="920">
                  <c:v>-173328.19999999998</c:v>
                </c:pt>
                <c:pt idx="921">
                  <c:v>-173328.19999999998</c:v>
                </c:pt>
                <c:pt idx="922">
                  <c:v>-173328.19999999998</c:v>
                </c:pt>
                <c:pt idx="923">
                  <c:v>-173328.19999999998</c:v>
                </c:pt>
                <c:pt idx="924">
                  <c:v>-173328.19999999998</c:v>
                </c:pt>
                <c:pt idx="925">
                  <c:v>-172270.69999999998</c:v>
                </c:pt>
                <c:pt idx="926">
                  <c:v>-171800.69999999998</c:v>
                </c:pt>
                <c:pt idx="927">
                  <c:v>-171800.69999999998</c:v>
                </c:pt>
                <c:pt idx="928">
                  <c:v>-171800.69999999998</c:v>
                </c:pt>
                <c:pt idx="929">
                  <c:v>-171509.3</c:v>
                </c:pt>
                <c:pt idx="930">
                  <c:v>-171391.8</c:v>
                </c:pt>
                <c:pt idx="931">
                  <c:v>-170597.5</c:v>
                </c:pt>
                <c:pt idx="932">
                  <c:v>-170362.5</c:v>
                </c:pt>
                <c:pt idx="933">
                  <c:v>-170362.5</c:v>
                </c:pt>
                <c:pt idx="934">
                  <c:v>-160260</c:v>
                </c:pt>
                <c:pt idx="935">
                  <c:v>-160260</c:v>
                </c:pt>
                <c:pt idx="936">
                  <c:v>-159188.4</c:v>
                </c:pt>
                <c:pt idx="937">
                  <c:v>-154079.5</c:v>
                </c:pt>
                <c:pt idx="938">
                  <c:v>-154079.5</c:v>
                </c:pt>
                <c:pt idx="939">
                  <c:v>-154079.5</c:v>
                </c:pt>
                <c:pt idx="940">
                  <c:v>-151470.99999999997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62-4F87-94A9-1A58479DCB78}"/>
            </c:ext>
          </c:extLst>
        </c:ser>
        <c:ser>
          <c:idx val="2"/>
          <c:order val="2"/>
          <c:tx>
            <c:strRef>
              <c:f>Data!$K$11</c:f>
              <c:strCache>
                <c:ptCount val="1"/>
                <c:pt idx="0">
                  <c:v>Short Polypropylene Futures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941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41281</c:v>
                </c:pt>
                <c:pt idx="5">
                  <c:v>41282</c:v>
                </c:pt>
                <c:pt idx="6">
                  <c:v>41283</c:v>
                </c:pt>
                <c:pt idx="7">
                  <c:v>41284</c:v>
                </c:pt>
                <c:pt idx="8">
                  <c:v>41285</c:v>
                </c:pt>
                <c:pt idx="9">
                  <c:v>41288</c:v>
                </c:pt>
                <c:pt idx="10">
                  <c:v>41289</c:v>
                </c:pt>
                <c:pt idx="11">
                  <c:v>41290</c:v>
                </c:pt>
                <c:pt idx="12">
                  <c:v>41291</c:v>
                </c:pt>
                <c:pt idx="13">
                  <c:v>41292</c:v>
                </c:pt>
                <c:pt idx="14">
                  <c:v>41295</c:v>
                </c:pt>
                <c:pt idx="15">
                  <c:v>41296</c:v>
                </c:pt>
                <c:pt idx="16">
                  <c:v>41297</c:v>
                </c:pt>
                <c:pt idx="17">
                  <c:v>41298</c:v>
                </c:pt>
                <c:pt idx="18">
                  <c:v>41299</c:v>
                </c:pt>
                <c:pt idx="19">
                  <c:v>41302</c:v>
                </c:pt>
                <c:pt idx="20">
                  <c:v>41303</c:v>
                </c:pt>
                <c:pt idx="21">
                  <c:v>41304</c:v>
                </c:pt>
                <c:pt idx="22">
                  <c:v>41305</c:v>
                </c:pt>
                <c:pt idx="23">
                  <c:v>41306</c:v>
                </c:pt>
                <c:pt idx="24">
                  <c:v>41309</c:v>
                </c:pt>
                <c:pt idx="25">
                  <c:v>41310</c:v>
                </c:pt>
                <c:pt idx="26">
                  <c:v>41311</c:v>
                </c:pt>
                <c:pt idx="27">
                  <c:v>41312</c:v>
                </c:pt>
                <c:pt idx="28">
                  <c:v>41313</c:v>
                </c:pt>
                <c:pt idx="29">
                  <c:v>41316</c:v>
                </c:pt>
                <c:pt idx="30">
                  <c:v>41317</c:v>
                </c:pt>
                <c:pt idx="31">
                  <c:v>41318</c:v>
                </c:pt>
                <c:pt idx="32">
                  <c:v>41319</c:v>
                </c:pt>
                <c:pt idx="33">
                  <c:v>41320</c:v>
                </c:pt>
                <c:pt idx="34">
                  <c:v>41323</c:v>
                </c:pt>
                <c:pt idx="35">
                  <c:v>41324</c:v>
                </c:pt>
                <c:pt idx="36">
                  <c:v>41325</c:v>
                </c:pt>
                <c:pt idx="37">
                  <c:v>41326</c:v>
                </c:pt>
                <c:pt idx="38">
                  <c:v>41327</c:v>
                </c:pt>
                <c:pt idx="39">
                  <c:v>41330</c:v>
                </c:pt>
                <c:pt idx="40">
                  <c:v>41331</c:v>
                </c:pt>
                <c:pt idx="41">
                  <c:v>41332</c:v>
                </c:pt>
                <c:pt idx="42">
                  <c:v>41333</c:v>
                </c:pt>
                <c:pt idx="43">
                  <c:v>41334</c:v>
                </c:pt>
                <c:pt idx="44">
                  <c:v>41337</c:v>
                </c:pt>
                <c:pt idx="45">
                  <c:v>41338</c:v>
                </c:pt>
                <c:pt idx="46">
                  <c:v>41339</c:v>
                </c:pt>
                <c:pt idx="47">
                  <c:v>41340</c:v>
                </c:pt>
                <c:pt idx="48">
                  <c:v>41341</c:v>
                </c:pt>
                <c:pt idx="49">
                  <c:v>41344</c:v>
                </c:pt>
                <c:pt idx="50">
                  <c:v>41345</c:v>
                </c:pt>
                <c:pt idx="51">
                  <c:v>41346</c:v>
                </c:pt>
                <c:pt idx="52">
                  <c:v>41347</c:v>
                </c:pt>
                <c:pt idx="53">
                  <c:v>41348</c:v>
                </c:pt>
                <c:pt idx="54">
                  <c:v>41351</c:v>
                </c:pt>
                <c:pt idx="55">
                  <c:v>41352</c:v>
                </c:pt>
                <c:pt idx="56">
                  <c:v>41353</c:v>
                </c:pt>
                <c:pt idx="57">
                  <c:v>41354</c:v>
                </c:pt>
                <c:pt idx="58">
                  <c:v>41355</c:v>
                </c:pt>
                <c:pt idx="59">
                  <c:v>41358</c:v>
                </c:pt>
                <c:pt idx="60">
                  <c:v>41359</c:v>
                </c:pt>
                <c:pt idx="61">
                  <c:v>41360</c:v>
                </c:pt>
                <c:pt idx="62">
                  <c:v>41361</c:v>
                </c:pt>
                <c:pt idx="63">
                  <c:v>41362</c:v>
                </c:pt>
                <c:pt idx="64">
                  <c:v>41365</c:v>
                </c:pt>
                <c:pt idx="65">
                  <c:v>41366</c:v>
                </c:pt>
                <c:pt idx="66">
                  <c:v>41367</c:v>
                </c:pt>
                <c:pt idx="67">
                  <c:v>41368</c:v>
                </c:pt>
                <c:pt idx="68">
                  <c:v>41369</c:v>
                </c:pt>
                <c:pt idx="69">
                  <c:v>41372</c:v>
                </c:pt>
                <c:pt idx="70">
                  <c:v>41373</c:v>
                </c:pt>
                <c:pt idx="71">
                  <c:v>41374</c:v>
                </c:pt>
                <c:pt idx="72">
                  <c:v>41375</c:v>
                </c:pt>
                <c:pt idx="73">
                  <c:v>41376</c:v>
                </c:pt>
                <c:pt idx="74">
                  <c:v>41379</c:v>
                </c:pt>
                <c:pt idx="75">
                  <c:v>41380</c:v>
                </c:pt>
                <c:pt idx="76">
                  <c:v>41381</c:v>
                </c:pt>
                <c:pt idx="77">
                  <c:v>41382</c:v>
                </c:pt>
                <c:pt idx="78">
                  <c:v>41383</c:v>
                </c:pt>
                <c:pt idx="79">
                  <c:v>41386</c:v>
                </c:pt>
                <c:pt idx="80">
                  <c:v>41387</c:v>
                </c:pt>
                <c:pt idx="81">
                  <c:v>41388</c:v>
                </c:pt>
                <c:pt idx="82">
                  <c:v>41389</c:v>
                </c:pt>
                <c:pt idx="83">
                  <c:v>41390</c:v>
                </c:pt>
                <c:pt idx="84">
                  <c:v>41393</c:v>
                </c:pt>
                <c:pt idx="85">
                  <c:v>41394</c:v>
                </c:pt>
                <c:pt idx="86">
                  <c:v>41395</c:v>
                </c:pt>
                <c:pt idx="87">
                  <c:v>41396</c:v>
                </c:pt>
                <c:pt idx="88">
                  <c:v>41397</c:v>
                </c:pt>
                <c:pt idx="89">
                  <c:v>41400</c:v>
                </c:pt>
                <c:pt idx="90">
                  <c:v>41401</c:v>
                </c:pt>
                <c:pt idx="91">
                  <c:v>41402</c:v>
                </c:pt>
                <c:pt idx="92">
                  <c:v>41403</c:v>
                </c:pt>
                <c:pt idx="93">
                  <c:v>41404</c:v>
                </c:pt>
                <c:pt idx="94">
                  <c:v>41407</c:v>
                </c:pt>
                <c:pt idx="95">
                  <c:v>41408</c:v>
                </c:pt>
                <c:pt idx="96">
                  <c:v>41409</c:v>
                </c:pt>
                <c:pt idx="97">
                  <c:v>41410</c:v>
                </c:pt>
                <c:pt idx="98">
                  <c:v>41411</c:v>
                </c:pt>
                <c:pt idx="99">
                  <c:v>41414</c:v>
                </c:pt>
                <c:pt idx="100">
                  <c:v>41415</c:v>
                </c:pt>
                <c:pt idx="101">
                  <c:v>41416</c:v>
                </c:pt>
                <c:pt idx="102">
                  <c:v>41417</c:v>
                </c:pt>
                <c:pt idx="103">
                  <c:v>41418</c:v>
                </c:pt>
                <c:pt idx="104">
                  <c:v>41421</c:v>
                </c:pt>
                <c:pt idx="105">
                  <c:v>41422</c:v>
                </c:pt>
                <c:pt idx="106">
                  <c:v>41423</c:v>
                </c:pt>
                <c:pt idx="107">
                  <c:v>41424</c:v>
                </c:pt>
                <c:pt idx="108">
                  <c:v>41425</c:v>
                </c:pt>
                <c:pt idx="109">
                  <c:v>41428</c:v>
                </c:pt>
                <c:pt idx="110">
                  <c:v>41429</c:v>
                </c:pt>
                <c:pt idx="111">
                  <c:v>41430</c:v>
                </c:pt>
                <c:pt idx="112">
                  <c:v>41431</c:v>
                </c:pt>
                <c:pt idx="113">
                  <c:v>41432</c:v>
                </c:pt>
                <c:pt idx="114">
                  <c:v>41435</c:v>
                </c:pt>
                <c:pt idx="115">
                  <c:v>41436</c:v>
                </c:pt>
                <c:pt idx="116">
                  <c:v>41437</c:v>
                </c:pt>
                <c:pt idx="117">
                  <c:v>41438</c:v>
                </c:pt>
                <c:pt idx="118">
                  <c:v>41439</c:v>
                </c:pt>
                <c:pt idx="119">
                  <c:v>41442</c:v>
                </c:pt>
                <c:pt idx="120">
                  <c:v>41443</c:v>
                </c:pt>
                <c:pt idx="121">
                  <c:v>41444</c:v>
                </c:pt>
                <c:pt idx="122">
                  <c:v>41445</c:v>
                </c:pt>
                <c:pt idx="123">
                  <c:v>41446</c:v>
                </c:pt>
                <c:pt idx="124">
                  <c:v>41449</c:v>
                </c:pt>
                <c:pt idx="125">
                  <c:v>41450</c:v>
                </c:pt>
                <c:pt idx="126">
                  <c:v>41451</c:v>
                </c:pt>
                <c:pt idx="127">
                  <c:v>41452</c:v>
                </c:pt>
                <c:pt idx="128">
                  <c:v>41453</c:v>
                </c:pt>
                <c:pt idx="129">
                  <c:v>41456</c:v>
                </c:pt>
                <c:pt idx="130">
                  <c:v>41457</c:v>
                </c:pt>
                <c:pt idx="131">
                  <c:v>41458</c:v>
                </c:pt>
                <c:pt idx="132">
                  <c:v>41459</c:v>
                </c:pt>
                <c:pt idx="133">
                  <c:v>41460</c:v>
                </c:pt>
                <c:pt idx="134">
                  <c:v>41463</c:v>
                </c:pt>
                <c:pt idx="135">
                  <c:v>41464</c:v>
                </c:pt>
                <c:pt idx="136">
                  <c:v>41465</c:v>
                </c:pt>
                <c:pt idx="137">
                  <c:v>41466</c:v>
                </c:pt>
                <c:pt idx="138">
                  <c:v>41467</c:v>
                </c:pt>
                <c:pt idx="139">
                  <c:v>41470</c:v>
                </c:pt>
                <c:pt idx="140">
                  <c:v>41471</c:v>
                </c:pt>
                <c:pt idx="141">
                  <c:v>41472</c:v>
                </c:pt>
                <c:pt idx="142">
                  <c:v>41473</c:v>
                </c:pt>
                <c:pt idx="143">
                  <c:v>41474</c:v>
                </c:pt>
                <c:pt idx="144">
                  <c:v>41477</c:v>
                </c:pt>
                <c:pt idx="145">
                  <c:v>41478</c:v>
                </c:pt>
                <c:pt idx="146">
                  <c:v>41479</c:v>
                </c:pt>
                <c:pt idx="147">
                  <c:v>41480</c:v>
                </c:pt>
                <c:pt idx="148">
                  <c:v>41481</c:v>
                </c:pt>
                <c:pt idx="149">
                  <c:v>41484</c:v>
                </c:pt>
                <c:pt idx="150">
                  <c:v>41485</c:v>
                </c:pt>
                <c:pt idx="151">
                  <c:v>41486</c:v>
                </c:pt>
                <c:pt idx="152">
                  <c:v>41487</c:v>
                </c:pt>
                <c:pt idx="153">
                  <c:v>41488</c:v>
                </c:pt>
                <c:pt idx="154">
                  <c:v>41491</c:v>
                </c:pt>
                <c:pt idx="155">
                  <c:v>41492</c:v>
                </c:pt>
                <c:pt idx="156">
                  <c:v>41493</c:v>
                </c:pt>
                <c:pt idx="157">
                  <c:v>41494</c:v>
                </c:pt>
                <c:pt idx="158">
                  <c:v>41495</c:v>
                </c:pt>
                <c:pt idx="159">
                  <c:v>41498</c:v>
                </c:pt>
                <c:pt idx="160">
                  <c:v>41499</c:v>
                </c:pt>
                <c:pt idx="161">
                  <c:v>41500</c:v>
                </c:pt>
                <c:pt idx="162">
                  <c:v>41501</c:v>
                </c:pt>
                <c:pt idx="163">
                  <c:v>41502</c:v>
                </c:pt>
                <c:pt idx="164">
                  <c:v>41505</c:v>
                </c:pt>
                <c:pt idx="165">
                  <c:v>41506</c:v>
                </c:pt>
                <c:pt idx="166">
                  <c:v>41507</c:v>
                </c:pt>
                <c:pt idx="167">
                  <c:v>41508</c:v>
                </c:pt>
                <c:pt idx="168">
                  <c:v>41509</c:v>
                </c:pt>
                <c:pt idx="169">
                  <c:v>41512</c:v>
                </c:pt>
                <c:pt idx="170">
                  <c:v>41513</c:v>
                </c:pt>
                <c:pt idx="171">
                  <c:v>41514</c:v>
                </c:pt>
                <c:pt idx="172">
                  <c:v>41515</c:v>
                </c:pt>
                <c:pt idx="173">
                  <c:v>41516</c:v>
                </c:pt>
                <c:pt idx="174">
                  <c:v>41519</c:v>
                </c:pt>
                <c:pt idx="175">
                  <c:v>41520</c:v>
                </c:pt>
                <c:pt idx="176">
                  <c:v>41521</c:v>
                </c:pt>
                <c:pt idx="177">
                  <c:v>41522</c:v>
                </c:pt>
                <c:pt idx="178">
                  <c:v>41523</c:v>
                </c:pt>
                <c:pt idx="179">
                  <c:v>41526</c:v>
                </c:pt>
                <c:pt idx="180">
                  <c:v>41527</c:v>
                </c:pt>
                <c:pt idx="181">
                  <c:v>41528</c:v>
                </c:pt>
                <c:pt idx="182">
                  <c:v>41529</c:v>
                </c:pt>
                <c:pt idx="183">
                  <c:v>41530</c:v>
                </c:pt>
                <c:pt idx="184">
                  <c:v>41533</c:v>
                </c:pt>
                <c:pt idx="185">
                  <c:v>41534</c:v>
                </c:pt>
                <c:pt idx="186">
                  <c:v>41535</c:v>
                </c:pt>
                <c:pt idx="187">
                  <c:v>41536</c:v>
                </c:pt>
                <c:pt idx="188">
                  <c:v>41537</c:v>
                </c:pt>
                <c:pt idx="189">
                  <c:v>41540</c:v>
                </c:pt>
                <c:pt idx="190">
                  <c:v>41541</c:v>
                </c:pt>
                <c:pt idx="191">
                  <c:v>41542</c:v>
                </c:pt>
                <c:pt idx="192">
                  <c:v>41543</c:v>
                </c:pt>
                <c:pt idx="193">
                  <c:v>41544</c:v>
                </c:pt>
                <c:pt idx="194">
                  <c:v>41547</c:v>
                </c:pt>
                <c:pt idx="195">
                  <c:v>41548</c:v>
                </c:pt>
                <c:pt idx="196">
                  <c:v>41549</c:v>
                </c:pt>
                <c:pt idx="197">
                  <c:v>41550</c:v>
                </c:pt>
                <c:pt idx="198">
                  <c:v>41551</c:v>
                </c:pt>
                <c:pt idx="199">
                  <c:v>41554</c:v>
                </c:pt>
                <c:pt idx="200">
                  <c:v>41555</c:v>
                </c:pt>
                <c:pt idx="201">
                  <c:v>41556</c:v>
                </c:pt>
                <c:pt idx="202">
                  <c:v>41557</c:v>
                </c:pt>
                <c:pt idx="203">
                  <c:v>41558</c:v>
                </c:pt>
                <c:pt idx="204">
                  <c:v>41561</c:v>
                </c:pt>
                <c:pt idx="205">
                  <c:v>41562</c:v>
                </c:pt>
                <c:pt idx="206">
                  <c:v>41563</c:v>
                </c:pt>
                <c:pt idx="207">
                  <c:v>41564</c:v>
                </c:pt>
                <c:pt idx="208">
                  <c:v>41565</c:v>
                </c:pt>
                <c:pt idx="209">
                  <c:v>41568</c:v>
                </c:pt>
                <c:pt idx="210">
                  <c:v>41569</c:v>
                </c:pt>
                <c:pt idx="211">
                  <c:v>41570</c:v>
                </c:pt>
                <c:pt idx="212">
                  <c:v>41571</c:v>
                </c:pt>
                <c:pt idx="213">
                  <c:v>41572</c:v>
                </c:pt>
                <c:pt idx="214">
                  <c:v>41575</c:v>
                </c:pt>
                <c:pt idx="215">
                  <c:v>41576</c:v>
                </c:pt>
                <c:pt idx="216">
                  <c:v>41577</c:v>
                </c:pt>
                <c:pt idx="217">
                  <c:v>41578</c:v>
                </c:pt>
                <c:pt idx="218">
                  <c:v>41579</c:v>
                </c:pt>
                <c:pt idx="219">
                  <c:v>41582</c:v>
                </c:pt>
                <c:pt idx="220">
                  <c:v>41583</c:v>
                </c:pt>
                <c:pt idx="221">
                  <c:v>41584</c:v>
                </c:pt>
                <c:pt idx="222">
                  <c:v>41585</c:v>
                </c:pt>
                <c:pt idx="223">
                  <c:v>41586</c:v>
                </c:pt>
                <c:pt idx="224">
                  <c:v>41589</c:v>
                </c:pt>
                <c:pt idx="225">
                  <c:v>41590</c:v>
                </c:pt>
                <c:pt idx="226">
                  <c:v>41591</c:v>
                </c:pt>
                <c:pt idx="227">
                  <c:v>41592</c:v>
                </c:pt>
                <c:pt idx="228">
                  <c:v>41593</c:v>
                </c:pt>
                <c:pt idx="229">
                  <c:v>41596</c:v>
                </c:pt>
                <c:pt idx="230">
                  <c:v>41597</c:v>
                </c:pt>
                <c:pt idx="231">
                  <c:v>41598</c:v>
                </c:pt>
                <c:pt idx="232">
                  <c:v>41599</c:v>
                </c:pt>
                <c:pt idx="233">
                  <c:v>41600</c:v>
                </c:pt>
                <c:pt idx="234">
                  <c:v>41603</c:v>
                </c:pt>
                <c:pt idx="235">
                  <c:v>41604</c:v>
                </c:pt>
                <c:pt idx="236">
                  <c:v>41605</c:v>
                </c:pt>
                <c:pt idx="237">
                  <c:v>41606</c:v>
                </c:pt>
                <c:pt idx="238">
                  <c:v>41607</c:v>
                </c:pt>
                <c:pt idx="239">
                  <c:v>41610</c:v>
                </c:pt>
                <c:pt idx="240">
                  <c:v>41611</c:v>
                </c:pt>
                <c:pt idx="241">
                  <c:v>41612</c:v>
                </c:pt>
                <c:pt idx="242">
                  <c:v>41613</c:v>
                </c:pt>
                <c:pt idx="243">
                  <c:v>41614</c:v>
                </c:pt>
                <c:pt idx="244">
                  <c:v>41617</c:v>
                </c:pt>
                <c:pt idx="245">
                  <c:v>41618</c:v>
                </c:pt>
                <c:pt idx="246">
                  <c:v>41619</c:v>
                </c:pt>
                <c:pt idx="247">
                  <c:v>41620</c:v>
                </c:pt>
                <c:pt idx="248">
                  <c:v>41621</c:v>
                </c:pt>
                <c:pt idx="249">
                  <c:v>41624</c:v>
                </c:pt>
                <c:pt idx="250">
                  <c:v>41625</c:v>
                </c:pt>
                <c:pt idx="251">
                  <c:v>41626</c:v>
                </c:pt>
                <c:pt idx="252">
                  <c:v>41627</c:v>
                </c:pt>
                <c:pt idx="253">
                  <c:v>41628</c:v>
                </c:pt>
                <c:pt idx="254">
                  <c:v>41631</c:v>
                </c:pt>
                <c:pt idx="255">
                  <c:v>41632</c:v>
                </c:pt>
                <c:pt idx="256">
                  <c:v>41633</c:v>
                </c:pt>
                <c:pt idx="257">
                  <c:v>41634</c:v>
                </c:pt>
                <c:pt idx="258">
                  <c:v>41635</c:v>
                </c:pt>
                <c:pt idx="259">
                  <c:v>41638</c:v>
                </c:pt>
                <c:pt idx="260">
                  <c:v>41639</c:v>
                </c:pt>
                <c:pt idx="261">
                  <c:v>41640</c:v>
                </c:pt>
                <c:pt idx="262">
                  <c:v>41641</c:v>
                </c:pt>
                <c:pt idx="263">
                  <c:v>41642</c:v>
                </c:pt>
                <c:pt idx="264">
                  <c:v>41645</c:v>
                </c:pt>
                <c:pt idx="265">
                  <c:v>41646</c:v>
                </c:pt>
                <c:pt idx="266">
                  <c:v>41647</c:v>
                </c:pt>
                <c:pt idx="267">
                  <c:v>41648</c:v>
                </c:pt>
                <c:pt idx="268">
                  <c:v>41649</c:v>
                </c:pt>
                <c:pt idx="269">
                  <c:v>41652</c:v>
                </c:pt>
                <c:pt idx="270">
                  <c:v>41653</c:v>
                </c:pt>
                <c:pt idx="271">
                  <c:v>41654</c:v>
                </c:pt>
                <c:pt idx="272">
                  <c:v>41655</c:v>
                </c:pt>
                <c:pt idx="273">
                  <c:v>41656</c:v>
                </c:pt>
                <c:pt idx="274">
                  <c:v>41659</c:v>
                </c:pt>
                <c:pt idx="275">
                  <c:v>41660</c:v>
                </c:pt>
                <c:pt idx="276">
                  <c:v>41661</c:v>
                </c:pt>
                <c:pt idx="277">
                  <c:v>41662</c:v>
                </c:pt>
                <c:pt idx="278">
                  <c:v>41663</c:v>
                </c:pt>
                <c:pt idx="279">
                  <c:v>41666</c:v>
                </c:pt>
                <c:pt idx="280">
                  <c:v>41667</c:v>
                </c:pt>
                <c:pt idx="281">
                  <c:v>41668</c:v>
                </c:pt>
                <c:pt idx="282">
                  <c:v>41669</c:v>
                </c:pt>
                <c:pt idx="283">
                  <c:v>41670</c:v>
                </c:pt>
                <c:pt idx="284">
                  <c:v>41673</c:v>
                </c:pt>
                <c:pt idx="285">
                  <c:v>41674</c:v>
                </c:pt>
                <c:pt idx="286">
                  <c:v>41675</c:v>
                </c:pt>
                <c:pt idx="287">
                  <c:v>41676</c:v>
                </c:pt>
                <c:pt idx="288">
                  <c:v>41677</c:v>
                </c:pt>
                <c:pt idx="289">
                  <c:v>41680</c:v>
                </c:pt>
                <c:pt idx="290">
                  <c:v>41681</c:v>
                </c:pt>
                <c:pt idx="291">
                  <c:v>41682</c:v>
                </c:pt>
                <c:pt idx="292">
                  <c:v>41683</c:v>
                </c:pt>
                <c:pt idx="293">
                  <c:v>41684</c:v>
                </c:pt>
                <c:pt idx="294">
                  <c:v>41687</c:v>
                </c:pt>
                <c:pt idx="295">
                  <c:v>41688</c:v>
                </c:pt>
                <c:pt idx="296">
                  <c:v>41689</c:v>
                </c:pt>
                <c:pt idx="297">
                  <c:v>41690</c:v>
                </c:pt>
                <c:pt idx="298">
                  <c:v>41691</c:v>
                </c:pt>
                <c:pt idx="299">
                  <c:v>41694</c:v>
                </c:pt>
                <c:pt idx="300">
                  <c:v>41695</c:v>
                </c:pt>
                <c:pt idx="301">
                  <c:v>41696</c:v>
                </c:pt>
                <c:pt idx="302">
                  <c:v>41697</c:v>
                </c:pt>
                <c:pt idx="303">
                  <c:v>41698</c:v>
                </c:pt>
                <c:pt idx="304">
                  <c:v>41701</c:v>
                </c:pt>
                <c:pt idx="305">
                  <c:v>41702</c:v>
                </c:pt>
                <c:pt idx="306">
                  <c:v>41703</c:v>
                </c:pt>
                <c:pt idx="307">
                  <c:v>41704</c:v>
                </c:pt>
                <c:pt idx="308">
                  <c:v>41705</c:v>
                </c:pt>
                <c:pt idx="309">
                  <c:v>41708</c:v>
                </c:pt>
                <c:pt idx="310">
                  <c:v>41709</c:v>
                </c:pt>
                <c:pt idx="311">
                  <c:v>41710</c:v>
                </c:pt>
                <c:pt idx="312">
                  <c:v>41711</c:v>
                </c:pt>
                <c:pt idx="313">
                  <c:v>41712</c:v>
                </c:pt>
                <c:pt idx="314">
                  <c:v>41715</c:v>
                </c:pt>
                <c:pt idx="315">
                  <c:v>41716</c:v>
                </c:pt>
                <c:pt idx="316">
                  <c:v>41717</c:v>
                </c:pt>
                <c:pt idx="317">
                  <c:v>41718</c:v>
                </c:pt>
                <c:pt idx="318">
                  <c:v>41719</c:v>
                </c:pt>
                <c:pt idx="319">
                  <c:v>41722</c:v>
                </c:pt>
                <c:pt idx="320">
                  <c:v>41723</c:v>
                </c:pt>
                <c:pt idx="321">
                  <c:v>41724</c:v>
                </c:pt>
                <c:pt idx="322">
                  <c:v>41725</c:v>
                </c:pt>
                <c:pt idx="323">
                  <c:v>41726</c:v>
                </c:pt>
                <c:pt idx="324">
                  <c:v>41729</c:v>
                </c:pt>
                <c:pt idx="325">
                  <c:v>41730</c:v>
                </c:pt>
                <c:pt idx="326">
                  <c:v>41731</c:v>
                </c:pt>
                <c:pt idx="327">
                  <c:v>41732</c:v>
                </c:pt>
                <c:pt idx="328">
                  <c:v>41733</c:v>
                </c:pt>
                <c:pt idx="329">
                  <c:v>41736</c:v>
                </c:pt>
                <c:pt idx="330">
                  <c:v>41737</c:v>
                </c:pt>
                <c:pt idx="331">
                  <c:v>41738</c:v>
                </c:pt>
                <c:pt idx="332">
                  <c:v>41739</c:v>
                </c:pt>
                <c:pt idx="333">
                  <c:v>41740</c:v>
                </c:pt>
                <c:pt idx="334">
                  <c:v>41743</c:v>
                </c:pt>
                <c:pt idx="335">
                  <c:v>41744</c:v>
                </c:pt>
                <c:pt idx="336">
                  <c:v>41745</c:v>
                </c:pt>
                <c:pt idx="337">
                  <c:v>41746</c:v>
                </c:pt>
                <c:pt idx="338">
                  <c:v>41747</c:v>
                </c:pt>
                <c:pt idx="339">
                  <c:v>41750</c:v>
                </c:pt>
                <c:pt idx="340">
                  <c:v>41751</c:v>
                </c:pt>
                <c:pt idx="341">
                  <c:v>41752</c:v>
                </c:pt>
                <c:pt idx="342">
                  <c:v>41753</c:v>
                </c:pt>
                <c:pt idx="343">
                  <c:v>41754</c:v>
                </c:pt>
                <c:pt idx="344">
                  <c:v>41757</c:v>
                </c:pt>
                <c:pt idx="345">
                  <c:v>41758</c:v>
                </c:pt>
                <c:pt idx="346">
                  <c:v>41759</c:v>
                </c:pt>
                <c:pt idx="347">
                  <c:v>41760</c:v>
                </c:pt>
                <c:pt idx="348">
                  <c:v>41761</c:v>
                </c:pt>
                <c:pt idx="349">
                  <c:v>41764</c:v>
                </c:pt>
                <c:pt idx="350">
                  <c:v>41765</c:v>
                </c:pt>
                <c:pt idx="351">
                  <c:v>41766</c:v>
                </c:pt>
                <c:pt idx="352">
                  <c:v>41767</c:v>
                </c:pt>
                <c:pt idx="353">
                  <c:v>41768</c:v>
                </c:pt>
                <c:pt idx="354">
                  <c:v>41771</c:v>
                </c:pt>
                <c:pt idx="355">
                  <c:v>41772</c:v>
                </c:pt>
                <c:pt idx="356">
                  <c:v>41773</c:v>
                </c:pt>
                <c:pt idx="357">
                  <c:v>41774</c:v>
                </c:pt>
                <c:pt idx="358">
                  <c:v>41775</c:v>
                </c:pt>
                <c:pt idx="359">
                  <c:v>41778</c:v>
                </c:pt>
                <c:pt idx="360">
                  <c:v>41779</c:v>
                </c:pt>
                <c:pt idx="361">
                  <c:v>41780</c:v>
                </c:pt>
                <c:pt idx="362">
                  <c:v>41781</c:v>
                </c:pt>
                <c:pt idx="363">
                  <c:v>41782</c:v>
                </c:pt>
                <c:pt idx="364">
                  <c:v>41785</c:v>
                </c:pt>
                <c:pt idx="365">
                  <c:v>41786</c:v>
                </c:pt>
                <c:pt idx="366">
                  <c:v>41787</c:v>
                </c:pt>
                <c:pt idx="367">
                  <c:v>41788</c:v>
                </c:pt>
                <c:pt idx="368">
                  <c:v>41789</c:v>
                </c:pt>
                <c:pt idx="369">
                  <c:v>41792</c:v>
                </c:pt>
                <c:pt idx="370">
                  <c:v>41793</c:v>
                </c:pt>
                <c:pt idx="371">
                  <c:v>41794</c:v>
                </c:pt>
                <c:pt idx="372">
                  <c:v>41795</c:v>
                </c:pt>
                <c:pt idx="373">
                  <c:v>41796</c:v>
                </c:pt>
                <c:pt idx="374">
                  <c:v>41799</c:v>
                </c:pt>
                <c:pt idx="375">
                  <c:v>41800</c:v>
                </c:pt>
                <c:pt idx="376">
                  <c:v>41801</c:v>
                </c:pt>
                <c:pt idx="377">
                  <c:v>41802</c:v>
                </c:pt>
                <c:pt idx="378">
                  <c:v>41803</c:v>
                </c:pt>
                <c:pt idx="379">
                  <c:v>41806</c:v>
                </c:pt>
                <c:pt idx="380">
                  <c:v>41807</c:v>
                </c:pt>
                <c:pt idx="381">
                  <c:v>41808</c:v>
                </c:pt>
                <c:pt idx="382">
                  <c:v>41809</c:v>
                </c:pt>
                <c:pt idx="383">
                  <c:v>41810</c:v>
                </c:pt>
                <c:pt idx="384">
                  <c:v>41813</c:v>
                </c:pt>
                <c:pt idx="385">
                  <c:v>41814</c:v>
                </c:pt>
                <c:pt idx="386">
                  <c:v>41815</c:v>
                </c:pt>
                <c:pt idx="387">
                  <c:v>41816</c:v>
                </c:pt>
                <c:pt idx="388">
                  <c:v>41817</c:v>
                </c:pt>
                <c:pt idx="389">
                  <c:v>41820</c:v>
                </c:pt>
                <c:pt idx="390">
                  <c:v>41821</c:v>
                </c:pt>
                <c:pt idx="391">
                  <c:v>41822</c:v>
                </c:pt>
                <c:pt idx="392">
                  <c:v>41823</c:v>
                </c:pt>
                <c:pt idx="393">
                  <c:v>41824</c:v>
                </c:pt>
                <c:pt idx="394">
                  <c:v>41827</c:v>
                </c:pt>
                <c:pt idx="395">
                  <c:v>41828</c:v>
                </c:pt>
                <c:pt idx="396">
                  <c:v>41829</c:v>
                </c:pt>
                <c:pt idx="397">
                  <c:v>41830</c:v>
                </c:pt>
                <c:pt idx="398">
                  <c:v>41831</c:v>
                </c:pt>
                <c:pt idx="399">
                  <c:v>41834</c:v>
                </c:pt>
                <c:pt idx="400">
                  <c:v>41835</c:v>
                </c:pt>
                <c:pt idx="401">
                  <c:v>41836</c:v>
                </c:pt>
                <c:pt idx="402">
                  <c:v>41837</c:v>
                </c:pt>
                <c:pt idx="403">
                  <c:v>41838</c:v>
                </c:pt>
                <c:pt idx="404">
                  <c:v>41841</c:v>
                </c:pt>
                <c:pt idx="405">
                  <c:v>41842</c:v>
                </c:pt>
                <c:pt idx="406">
                  <c:v>41843</c:v>
                </c:pt>
                <c:pt idx="407">
                  <c:v>41844</c:v>
                </c:pt>
                <c:pt idx="408">
                  <c:v>41845</c:v>
                </c:pt>
                <c:pt idx="409">
                  <c:v>41848</c:v>
                </c:pt>
                <c:pt idx="410">
                  <c:v>41849</c:v>
                </c:pt>
                <c:pt idx="411">
                  <c:v>41850</c:v>
                </c:pt>
                <c:pt idx="412">
                  <c:v>41851</c:v>
                </c:pt>
                <c:pt idx="413">
                  <c:v>41852</c:v>
                </c:pt>
                <c:pt idx="414">
                  <c:v>41855</c:v>
                </c:pt>
                <c:pt idx="415">
                  <c:v>41856</c:v>
                </c:pt>
                <c:pt idx="416">
                  <c:v>41857</c:v>
                </c:pt>
                <c:pt idx="417">
                  <c:v>41858</c:v>
                </c:pt>
                <c:pt idx="418">
                  <c:v>41859</c:v>
                </c:pt>
                <c:pt idx="419">
                  <c:v>41862</c:v>
                </c:pt>
                <c:pt idx="420">
                  <c:v>41863</c:v>
                </c:pt>
                <c:pt idx="421">
                  <c:v>41864</c:v>
                </c:pt>
                <c:pt idx="422">
                  <c:v>41865</c:v>
                </c:pt>
                <c:pt idx="423">
                  <c:v>41866</c:v>
                </c:pt>
                <c:pt idx="424">
                  <c:v>41869</c:v>
                </c:pt>
                <c:pt idx="425">
                  <c:v>41870</c:v>
                </c:pt>
                <c:pt idx="426">
                  <c:v>41871</c:v>
                </c:pt>
                <c:pt idx="427">
                  <c:v>41872</c:v>
                </c:pt>
                <c:pt idx="428">
                  <c:v>41873</c:v>
                </c:pt>
                <c:pt idx="429">
                  <c:v>41876</c:v>
                </c:pt>
                <c:pt idx="430">
                  <c:v>41877</c:v>
                </c:pt>
                <c:pt idx="431">
                  <c:v>41878</c:v>
                </c:pt>
                <c:pt idx="432">
                  <c:v>41879</c:v>
                </c:pt>
                <c:pt idx="433">
                  <c:v>41880</c:v>
                </c:pt>
                <c:pt idx="434">
                  <c:v>41883</c:v>
                </c:pt>
                <c:pt idx="435">
                  <c:v>41884</c:v>
                </c:pt>
                <c:pt idx="436">
                  <c:v>41885</c:v>
                </c:pt>
                <c:pt idx="437">
                  <c:v>41886</c:v>
                </c:pt>
                <c:pt idx="438">
                  <c:v>41887</c:v>
                </c:pt>
                <c:pt idx="439">
                  <c:v>41890</c:v>
                </c:pt>
                <c:pt idx="440">
                  <c:v>41891</c:v>
                </c:pt>
                <c:pt idx="441">
                  <c:v>41892</c:v>
                </c:pt>
                <c:pt idx="442">
                  <c:v>41893</c:v>
                </c:pt>
                <c:pt idx="443">
                  <c:v>41894</c:v>
                </c:pt>
                <c:pt idx="444">
                  <c:v>41897</c:v>
                </c:pt>
                <c:pt idx="445">
                  <c:v>41898</c:v>
                </c:pt>
                <c:pt idx="446">
                  <c:v>41899</c:v>
                </c:pt>
                <c:pt idx="447">
                  <c:v>41900</c:v>
                </c:pt>
                <c:pt idx="448">
                  <c:v>41901</c:v>
                </c:pt>
                <c:pt idx="449">
                  <c:v>41904</c:v>
                </c:pt>
                <c:pt idx="450">
                  <c:v>41905</c:v>
                </c:pt>
                <c:pt idx="451">
                  <c:v>41906</c:v>
                </c:pt>
                <c:pt idx="452">
                  <c:v>41907</c:v>
                </c:pt>
                <c:pt idx="453">
                  <c:v>41908</c:v>
                </c:pt>
                <c:pt idx="454">
                  <c:v>41911</c:v>
                </c:pt>
                <c:pt idx="455">
                  <c:v>41912</c:v>
                </c:pt>
                <c:pt idx="456">
                  <c:v>41913</c:v>
                </c:pt>
                <c:pt idx="457">
                  <c:v>41914</c:v>
                </c:pt>
                <c:pt idx="458">
                  <c:v>41915</c:v>
                </c:pt>
                <c:pt idx="459">
                  <c:v>41918</c:v>
                </c:pt>
                <c:pt idx="460">
                  <c:v>41919</c:v>
                </c:pt>
                <c:pt idx="461">
                  <c:v>41920</c:v>
                </c:pt>
                <c:pt idx="462">
                  <c:v>41921</c:v>
                </c:pt>
                <c:pt idx="463">
                  <c:v>41922</c:v>
                </c:pt>
                <c:pt idx="464">
                  <c:v>41925</c:v>
                </c:pt>
                <c:pt idx="465">
                  <c:v>41926</c:v>
                </c:pt>
                <c:pt idx="466">
                  <c:v>41927</c:v>
                </c:pt>
                <c:pt idx="467">
                  <c:v>41928</c:v>
                </c:pt>
                <c:pt idx="468">
                  <c:v>41929</c:v>
                </c:pt>
                <c:pt idx="469">
                  <c:v>41932</c:v>
                </c:pt>
                <c:pt idx="470">
                  <c:v>41933</c:v>
                </c:pt>
                <c:pt idx="471">
                  <c:v>41934</c:v>
                </c:pt>
                <c:pt idx="472">
                  <c:v>41935</c:v>
                </c:pt>
                <c:pt idx="473">
                  <c:v>41936</c:v>
                </c:pt>
                <c:pt idx="474">
                  <c:v>41939</c:v>
                </c:pt>
                <c:pt idx="475">
                  <c:v>41940</c:v>
                </c:pt>
                <c:pt idx="476">
                  <c:v>41941</c:v>
                </c:pt>
                <c:pt idx="477">
                  <c:v>41942</c:v>
                </c:pt>
                <c:pt idx="478">
                  <c:v>41943</c:v>
                </c:pt>
                <c:pt idx="479">
                  <c:v>41946</c:v>
                </c:pt>
                <c:pt idx="480">
                  <c:v>41947</c:v>
                </c:pt>
                <c:pt idx="481">
                  <c:v>41948</c:v>
                </c:pt>
                <c:pt idx="482">
                  <c:v>41949</c:v>
                </c:pt>
                <c:pt idx="483">
                  <c:v>41950</c:v>
                </c:pt>
                <c:pt idx="484">
                  <c:v>41953</c:v>
                </c:pt>
                <c:pt idx="485">
                  <c:v>41954</c:v>
                </c:pt>
                <c:pt idx="486">
                  <c:v>41955</c:v>
                </c:pt>
                <c:pt idx="487">
                  <c:v>41956</c:v>
                </c:pt>
                <c:pt idx="488">
                  <c:v>41957</c:v>
                </c:pt>
                <c:pt idx="489">
                  <c:v>41960</c:v>
                </c:pt>
                <c:pt idx="490">
                  <c:v>41961</c:v>
                </c:pt>
                <c:pt idx="491">
                  <c:v>41962</c:v>
                </c:pt>
                <c:pt idx="492">
                  <c:v>41963</c:v>
                </c:pt>
                <c:pt idx="493">
                  <c:v>41964</c:v>
                </c:pt>
                <c:pt idx="494">
                  <c:v>41967</c:v>
                </c:pt>
                <c:pt idx="495">
                  <c:v>41968</c:v>
                </c:pt>
                <c:pt idx="496">
                  <c:v>41969</c:v>
                </c:pt>
                <c:pt idx="497">
                  <c:v>41970</c:v>
                </c:pt>
                <c:pt idx="498">
                  <c:v>41971</c:v>
                </c:pt>
                <c:pt idx="499">
                  <c:v>41974</c:v>
                </c:pt>
                <c:pt idx="500">
                  <c:v>41975</c:v>
                </c:pt>
                <c:pt idx="501">
                  <c:v>41976</c:v>
                </c:pt>
                <c:pt idx="502">
                  <c:v>41977</c:v>
                </c:pt>
                <c:pt idx="503">
                  <c:v>41978</c:v>
                </c:pt>
                <c:pt idx="504">
                  <c:v>41981</c:v>
                </c:pt>
                <c:pt idx="505">
                  <c:v>41982</c:v>
                </c:pt>
                <c:pt idx="506">
                  <c:v>41983</c:v>
                </c:pt>
                <c:pt idx="507">
                  <c:v>41984</c:v>
                </c:pt>
                <c:pt idx="508">
                  <c:v>41985</c:v>
                </c:pt>
                <c:pt idx="509">
                  <c:v>41988</c:v>
                </c:pt>
                <c:pt idx="510">
                  <c:v>41989</c:v>
                </c:pt>
                <c:pt idx="511">
                  <c:v>41990</c:v>
                </c:pt>
                <c:pt idx="512">
                  <c:v>41991</c:v>
                </c:pt>
                <c:pt idx="513">
                  <c:v>41992</c:v>
                </c:pt>
                <c:pt idx="514">
                  <c:v>41995</c:v>
                </c:pt>
                <c:pt idx="515">
                  <c:v>41996</c:v>
                </c:pt>
                <c:pt idx="516">
                  <c:v>41997</c:v>
                </c:pt>
                <c:pt idx="517">
                  <c:v>41998</c:v>
                </c:pt>
                <c:pt idx="518">
                  <c:v>41999</c:v>
                </c:pt>
                <c:pt idx="519">
                  <c:v>42002</c:v>
                </c:pt>
                <c:pt idx="520">
                  <c:v>42003</c:v>
                </c:pt>
                <c:pt idx="521">
                  <c:v>42004</c:v>
                </c:pt>
                <c:pt idx="522">
                  <c:v>42005</c:v>
                </c:pt>
                <c:pt idx="523">
                  <c:v>42006</c:v>
                </c:pt>
                <c:pt idx="524">
                  <c:v>42009</c:v>
                </c:pt>
                <c:pt idx="525">
                  <c:v>42010</c:v>
                </c:pt>
                <c:pt idx="526">
                  <c:v>42011</c:v>
                </c:pt>
                <c:pt idx="527">
                  <c:v>42012</c:v>
                </c:pt>
                <c:pt idx="528">
                  <c:v>42013</c:v>
                </c:pt>
                <c:pt idx="529">
                  <c:v>42016</c:v>
                </c:pt>
                <c:pt idx="530">
                  <c:v>42017</c:v>
                </c:pt>
                <c:pt idx="531">
                  <c:v>42018</c:v>
                </c:pt>
                <c:pt idx="532">
                  <c:v>42019</c:v>
                </c:pt>
                <c:pt idx="533">
                  <c:v>42020</c:v>
                </c:pt>
                <c:pt idx="534">
                  <c:v>42023</c:v>
                </c:pt>
                <c:pt idx="535">
                  <c:v>42024</c:v>
                </c:pt>
                <c:pt idx="536">
                  <c:v>42025</c:v>
                </c:pt>
                <c:pt idx="537">
                  <c:v>42026</c:v>
                </c:pt>
                <c:pt idx="538">
                  <c:v>42027</c:v>
                </c:pt>
                <c:pt idx="539">
                  <c:v>42030</c:v>
                </c:pt>
                <c:pt idx="540">
                  <c:v>42031</c:v>
                </c:pt>
                <c:pt idx="541">
                  <c:v>42032</c:v>
                </c:pt>
                <c:pt idx="542">
                  <c:v>42033</c:v>
                </c:pt>
                <c:pt idx="543">
                  <c:v>42034</c:v>
                </c:pt>
                <c:pt idx="544">
                  <c:v>42037</c:v>
                </c:pt>
                <c:pt idx="545">
                  <c:v>42038</c:v>
                </c:pt>
                <c:pt idx="546">
                  <c:v>42039</c:v>
                </c:pt>
                <c:pt idx="547">
                  <c:v>42040</c:v>
                </c:pt>
                <c:pt idx="548">
                  <c:v>42041</c:v>
                </c:pt>
                <c:pt idx="549">
                  <c:v>42044</c:v>
                </c:pt>
                <c:pt idx="550">
                  <c:v>42045</c:v>
                </c:pt>
                <c:pt idx="551">
                  <c:v>42046</c:v>
                </c:pt>
                <c:pt idx="552">
                  <c:v>42047</c:v>
                </c:pt>
                <c:pt idx="553">
                  <c:v>42048</c:v>
                </c:pt>
                <c:pt idx="554">
                  <c:v>42051</c:v>
                </c:pt>
                <c:pt idx="555">
                  <c:v>42052</c:v>
                </c:pt>
                <c:pt idx="556">
                  <c:v>42053</c:v>
                </c:pt>
                <c:pt idx="557">
                  <c:v>42054</c:v>
                </c:pt>
                <c:pt idx="558">
                  <c:v>42055</c:v>
                </c:pt>
                <c:pt idx="559">
                  <c:v>42058</c:v>
                </c:pt>
                <c:pt idx="560">
                  <c:v>42059</c:v>
                </c:pt>
                <c:pt idx="561">
                  <c:v>42060</c:v>
                </c:pt>
                <c:pt idx="562">
                  <c:v>42061</c:v>
                </c:pt>
                <c:pt idx="563">
                  <c:v>42062</c:v>
                </c:pt>
                <c:pt idx="564">
                  <c:v>42065</c:v>
                </c:pt>
                <c:pt idx="565">
                  <c:v>42066</c:v>
                </c:pt>
                <c:pt idx="566">
                  <c:v>42067</c:v>
                </c:pt>
                <c:pt idx="567">
                  <c:v>42068</c:v>
                </c:pt>
                <c:pt idx="568">
                  <c:v>42069</c:v>
                </c:pt>
                <c:pt idx="569">
                  <c:v>42072</c:v>
                </c:pt>
                <c:pt idx="570">
                  <c:v>42073</c:v>
                </c:pt>
                <c:pt idx="571">
                  <c:v>42074</c:v>
                </c:pt>
                <c:pt idx="572">
                  <c:v>42075</c:v>
                </c:pt>
                <c:pt idx="573">
                  <c:v>42076</c:v>
                </c:pt>
                <c:pt idx="574">
                  <c:v>42079</c:v>
                </c:pt>
                <c:pt idx="575">
                  <c:v>42080</c:v>
                </c:pt>
                <c:pt idx="576">
                  <c:v>42081</c:v>
                </c:pt>
                <c:pt idx="577">
                  <c:v>42082</c:v>
                </c:pt>
                <c:pt idx="578">
                  <c:v>42083</c:v>
                </c:pt>
                <c:pt idx="579">
                  <c:v>42086</c:v>
                </c:pt>
                <c:pt idx="580">
                  <c:v>42087</c:v>
                </c:pt>
                <c:pt idx="581">
                  <c:v>42088</c:v>
                </c:pt>
                <c:pt idx="582">
                  <c:v>42089</c:v>
                </c:pt>
                <c:pt idx="583">
                  <c:v>42090</c:v>
                </c:pt>
                <c:pt idx="584">
                  <c:v>42093</c:v>
                </c:pt>
                <c:pt idx="585">
                  <c:v>42094</c:v>
                </c:pt>
                <c:pt idx="586">
                  <c:v>42095</c:v>
                </c:pt>
                <c:pt idx="587">
                  <c:v>42096</c:v>
                </c:pt>
                <c:pt idx="588">
                  <c:v>42097</c:v>
                </c:pt>
                <c:pt idx="589">
                  <c:v>42100</c:v>
                </c:pt>
                <c:pt idx="590">
                  <c:v>42101</c:v>
                </c:pt>
                <c:pt idx="591">
                  <c:v>42102</c:v>
                </c:pt>
                <c:pt idx="592">
                  <c:v>42103</c:v>
                </c:pt>
                <c:pt idx="593">
                  <c:v>42104</c:v>
                </c:pt>
                <c:pt idx="594">
                  <c:v>42107</c:v>
                </c:pt>
                <c:pt idx="595">
                  <c:v>42108</c:v>
                </c:pt>
                <c:pt idx="596">
                  <c:v>42109</c:v>
                </c:pt>
                <c:pt idx="597">
                  <c:v>42110</c:v>
                </c:pt>
                <c:pt idx="598">
                  <c:v>42111</c:v>
                </c:pt>
                <c:pt idx="599">
                  <c:v>42114</c:v>
                </c:pt>
                <c:pt idx="600">
                  <c:v>42115</c:v>
                </c:pt>
                <c:pt idx="601">
                  <c:v>42116</c:v>
                </c:pt>
                <c:pt idx="602">
                  <c:v>42117</c:v>
                </c:pt>
                <c:pt idx="603">
                  <c:v>42118</c:v>
                </c:pt>
                <c:pt idx="604">
                  <c:v>42121</c:v>
                </c:pt>
                <c:pt idx="605">
                  <c:v>42122</c:v>
                </c:pt>
                <c:pt idx="606">
                  <c:v>42123</c:v>
                </c:pt>
                <c:pt idx="607">
                  <c:v>42124</c:v>
                </c:pt>
                <c:pt idx="608">
                  <c:v>42125</c:v>
                </c:pt>
                <c:pt idx="609">
                  <c:v>42128</c:v>
                </c:pt>
                <c:pt idx="610">
                  <c:v>42129</c:v>
                </c:pt>
                <c:pt idx="611">
                  <c:v>42130</c:v>
                </c:pt>
                <c:pt idx="612">
                  <c:v>42131</c:v>
                </c:pt>
                <c:pt idx="613">
                  <c:v>42132</c:v>
                </c:pt>
                <c:pt idx="614">
                  <c:v>42135</c:v>
                </c:pt>
                <c:pt idx="615">
                  <c:v>42136</c:v>
                </c:pt>
                <c:pt idx="616">
                  <c:v>42137</c:v>
                </c:pt>
                <c:pt idx="617">
                  <c:v>42138</c:v>
                </c:pt>
                <c:pt idx="618">
                  <c:v>42139</c:v>
                </c:pt>
                <c:pt idx="619">
                  <c:v>42142</c:v>
                </c:pt>
                <c:pt idx="620">
                  <c:v>42143</c:v>
                </c:pt>
                <c:pt idx="621">
                  <c:v>42144</c:v>
                </c:pt>
                <c:pt idx="622">
                  <c:v>42145</c:v>
                </c:pt>
                <c:pt idx="623">
                  <c:v>42146</c:v>
                </c:pt>
                <c:pt idx="624">
                  <c:v>42149</c:v>
                </c:pt>
                <c:pt idx="625">
                  <c:v>42150</c:v>
                </c:pt>
                <c:pt idx="626">
                  <c:v>42151</c:v>
                </c:pt>
                <c:pt idx="627">
                  <c:v>42152</c:v>
                </c:pt>
                <c:pt idx="628">
                  <c:v>42153</c:v>
                </c:pt>
                <c:pt idx="629">
                  <c:v>42156</c:v>
                </c:pt>
                <c:pt idx="630">
                  <c:v>42157</c:v>
                </c:pt>
                <c:pt idx="631">
                  <c:v>42158</c:v>
                </c:pt>
                <c:pt idx="632">
                  <c:v>42159</c:v>
                </c:pt>
                <c:pt idx="633">
                  <c:v>42160</c:v>
                </c:pt>
                <c:pt idx="634">
                  <c:v>42163</c:v>
                </c:pt>
                <c:pt idx="635">
                  <c:v>42164</c:v>
                </c:pt>
                <c:pt idx="636">
                  <c:v>42165</c:v>
                </c:pt>
                <c:pt idx="637">
                  <c:v>42166</c:v>
                </c:pt>
                <c:pt idx="638">
                  <c:v>42167</c:v>
                </c:pt>
                <c:pt idx="639">
                  <c:v>42170</c:v>
                </c:pt>
                <c:pt idx="640">
                  <c:v>42171</c:v>
                </c:pt>
                <c:pt idx="641">
                  <c:v>42172</c:v>
                </c:pt>
                <c:pt idx="642">
                  <c:v>42173</c:v>
                </c:pt>
                <c:pt idx="643">
                  <c:v>42174</c:v>
                </c:pt>
                <c:pt idx="644">
                  <c:v>42177</c:v>
                </c:pt>
                <c:pt idx="645">
                  <c:v>42178</c:v>
                </c:pt>
                <c:pt idx="646">
                  <c:v>42179</c:v>
                </c:pt>
                <c:pt idx="647">
                  <c:v>42180</c:v>
                </c:pt>
                <c:pt idx="648">
                  <c:v>42181</c:v>
                </c:pt>
                <c:pt idx="649">
                  <c:v>42184</c:v>
                </c:pt>
                <c:pt idx="650">
                  <c:v>42185</c:v>
                </c:pt>
                <c:pt idx="651">
                  <c:v>42186</c:v>
                </c:pt>
                <c:pt idx="652">
                  <c:v>42187</c:v>
                </c:pt>
                <c:pt idx="653">
                  <c:v>42188</c:v>
                </c:pt>
                <c:pt idx="654">
                  <c:v>42191</c:v>
                </c:pt>
                <c:pt idx="655">
                  <c:v>42192</c:v>
                </c:pt>
                <c:pt idx="656">
                  <c:v>42193</c:v>
                </c:pt>
                <c:pt idx="657">
                  <c:v>42194</c:v>
                </c:pt>
                <c:pt idx="658">
                  <c:v>42195</c:v>
                </c:pt>
                <c:pt idx="659">
                  <c:v>42198</c:v>
                </c:pt>
                <c:pt idx="660">
                  <c:v>42199</c:v>
                </c:pt>
                <c:pt idx="661">
                  <c:v>42200</c:v>
                </c:pt>
                <c:pt idx="662">
                  <c:v>42201</c:v>
                </c:pt>
                <c:pt idx="663">
                  <c:v>42202</c:v>
                </c:pt>
                <c:pt idx="664">
                  <c:v>42205</c:v>
                </c:pt>
                <c:pt idx="665">
                  <c:v>42206</c:v>
                </c:pt>
                <c:pt idx="666">
                  <c:v>42207</c:v>
                </c:pt>
                <c:pt idx="667">
                  <c:v>42208</c:v>
                </c:pt>
                <c:pt idx="668">
                  <c:v>42209</c:v>
                </c:pt>
                <c:pt idx="669">
                  <c:v>42212</c:v>
                </c:pt>
                <c:pt idx="670">
                  <c:v>42213</c:v>
                </c:pt>
                <c:pt idx="671">
                  <c:v>42214</c:v>
                </c:pt>
                <c:pt idx="672">
                  <c:v>42215</c:v>
                </c:pt>
                <c:pt idx="673">
                  <c:v>42216</c:v>
                </c:pt>
                <c:pt idx="674">
                  <c:v>42219</c:v>
                </c:pt>
                <c:pt idx="675">
                  <c:v>42220</c:v>
                </c:pt>
                <c:pt idx="676">
                  <c:v>42221</c:v>
                </c:pt>
                <c:pt idx="677">
                  <c:v>42222</c:v>
                </c:pt>
                <c:pt idx="678">
                  <c:v>42223</c:v>
                </c:pt>
                <c:pt idx="679">
                  <c:v>42226</c:v>
                </c:pt>
                <c:pt idx="680">
                  <c:v>42227</c:v>
                </c:pt>
                <c:pt idx="681">
                  <c:v>42228</c:v>
                </c:pt>
                <c:pt idx="682">
                  <c:v>42229</c:v>
                </c:pt>
                <c:pt idx="683">
                  <c:v>42230</c:v>
                </c:pt>
                <c:pt idx="684">
                  <c:v>42233</c:v>
                </c:pt>
                <c:pt idx="685">
                  <c:v>42234</c:v>
                </c:pt>
                <c:pt idx="686">
                  <c:v>42235</c:v>
                </c:pt>
                <c:pt idx="687">
                  <c:v>42236</c:v>
                </c:pt>
                <c:pt idx="688">
                  <c:v>42237</c:v>
                </c:pt>
                <c:pt idx="689">
                  <c:v>42240</c:v>
                </c:pt>
                <c:pt idx="690">
                  <c:v>42241</c:v>
                </c:pt>
                <c:pt idx="691">
                  <c:v>42242</c:v>
                </c:pt>
                <c:pt idx="692">
                  <c:v>42243</c:v>
                </c:pt>
                <c:pt idx="693">
                  <c:v>42244</c:v>
                </c:pt>
                <c:pt idx="694">
                  <c:v>42247</c:v>
                </c:pt>
                <c:pt idx="695">
                  <c:v>42248</c:v>
                </c:pt>
                <c:pt idx="696">
                  <c:v>42249</c:v>
                </c:pt>
                <c:pt idx="697">
                  <c:v>42250</c:v>
                </c:pt>
                <c:pt idx="698">
                  <c:v>42251</c:v>
                </c:pt>
                <c:pt idx="699">
                  <c:v>42254</c:v>
                </c:pt>
                <c:pt idx="700">
                  <c:v>42255</c:v>
                </c:pt>
                <c:pt idx="701">
                  <c:v>42256</c:v>
                </c:pt>
                <c:pt idx="702">
                  <c:v>42257</c:v>
                </c:pt>
                <c:pt idx="703">
                  <c:v>42258</c:v>
                </c:pt>
                <c:pt idx="704">
                  <c:v>42261</c:v>
                </c:pt>
                <c:pt idx="705">
                  <c:v>42262</c:v>
                </c:pt>
                <c:pt idx="706">
                  <c:v>42263</c:v>
                </c:pt>
                <c:pt idx="707">
                  <c:v>42264</c:v>
                </c:pt>
                <c:pt idx="708">
                  <c:v>42265</c:v>
                </c:pt>
                <c:pt idx="709">
                  <c:v>42268</c:v>
                </c:pt>
                <c:pt idx="710">
                  <c:v>42269</c:v>
                </c:pt>
                <c:pt idx="711">
                  <c:v>42270</c:v>
                </c:pt>
                <c:pt idx="712">
                  <c:v>42271</c:v>
                </c:pt>
                <c:pt idx="713">
                  <c:v>42272</c:v>
                </c:pt>
                <c:pt idx="714">
                  <c:v>42275</c:v>
                </c:pt>
                <c:pt idx="715">
                  <c:v>42276</c:v>
                </c:pt>
                <c:pt idx="716">
                  <c:v>42277</c:v>
                </c:pt>
                <c:pt idx="717">
                  <c:v>42278</c:v>
                </c:pt>
                <c:pt idx="718">
                  <c:v>42279</c:v>
                </c:pt>
                <c:pt idx="719">
                  <c:v>42282</c:v>
                </c:pt>
                <c:pt idx="720">
                  <c:v>42283</c:v>
                </c:pt>
                <c:pt idx="721">
                  <c:v>42284</c:v>
                </c:pt>
                <c:pt idx="722">
                  <c:v>42285</c:v>
                </c:pt>
                <c:pt idx="723">
                  <c:v>42286</c:v>
                </c:pt>
                <c:pt idx="724">
                  <c:v>42289</c:v>
                </c:pt>
                <c:pt idx="725">
                  <c:v>42290</c:v>
                </c:pt>
                <c:pt idx="726">
                  <c:v>42291</c:v>
                </c:pt>
                <c:pt idx="727">
                  <c:v>42292</c:v>
                </c:pt>
                <c:pt idx="728">
                  <c:v>42293</c:v>
                </c:pt>
                <c:pt idx="729">
                  <c:v>42296</c:v>
                </c:pt>
                <c:pt idx="730">
                  <c:v>42297</c:v>
                </c:pt>
                <c:pt idx="731">
                  <c:v>42298</c:v>
                </c:pt>
                <c:pt idx="732">
                  <c:v>42299</c:v>
                </c:pt>
                <c:pt idx="733">
                  <c:v>42300</c:v>
                </c:pt>
                <c:pt idx="734">
                  <c:v>42303</c:v>
                </c:pt>
                <c:pt idx="735">
                  <c:v>42304</c:v>
                </c:pt>
                <c:pt idx="736">
                  <c:v>42305</c:v>
                </c:pt>
                <c:pt idx="737">
                  <c:v>42306</c:v>
                </c:pt>
                <c:pt idx="738">
                  <c:v>42307</c:v>
                </c:pt>
                <c:pt idx="739">
                  <c:v>42310</c:v>
                </c:pt>
                <c:pt idx="740">
                  <c:v>42311</c:v>
                </c:pt>
                <c:pt idx="741">
                  <c:v>42312</c:v>
                </c:pt>
                <c:pt idx="742">
                  <c:v>42313</c:v>
                </c:pt>
                <c:pt idx="743">
                  <c:v>42314</c:v>
                </c:pt>
                <c:pt idx="744">
                  <c:v>42317</c:v>
                </c:pt>
                <c:pt idx="745">
                  <c:v>42318</c:v>
                </c:pt>
                <c:pt idx="746">
                  <c:v>42319</c:v>
                </c:pt>
                <c:pt idx="747">
                  <c:v>42320</c:v>
                </c:pt>
                <c:pt idx="748">
                  <c:v>42321</c:v>
                </c:pt>
                <c:pt idx="749">
                  <c:v>42324</c:v>
                </c:pt>
                <c:pt idx="750">
                  <c:v>42325</c:v>
                </c:pt>
                <c:pt idx="751">
                  <c:v>42326</c:v>
                </c:pt>
                <c:pt idx="752">
                  <c:v>42327</c:v>
                </c:pt>
                <c:pt idx="753">
                  <c:v>42328</c:v>
                </c:pt>
                <c:pt idx="754">
                  <c:v>42331</c:v>
                </c:pt>
                <c:pt idx="755">
                  <c:v>42332</c:v>
                </c:pt>
                <c:pt idx="756">
                  <c:v>42333</c:v>
                </c:pt>
                <c:pt idx="757">
                  <c:v>42334</c:v>
                </c:pt>
                <c:pt idx="758">
                  <c:v>42335</c:v>
                </c:pt>
                <c:pt idx="759">
                  <c:v>42338</c:v>
                </c:pt>
                <c:pt idx="760">
                  <c:v>42339</c:v>
                </c:pt>
                <c:pt idx="761">
                  <c:v>42340</c:v>
                </c:pt>
                <c:pt idx="762">
                  <c:v>42341</c:v>
                </c:pt>
                <c:pt idx="763">
                  <c:v>42342</c:v>
                </c:pt>
                <c:pt idx="764">
                  <c:v>42345</c:v>
                </c:pt>
                <c:pt idx="765">
                  <c:v>42346</c:v>
                </c:pt>
                <c:pt idx="766">
                  <c:v>42347</c:v>
                </c:pt>
                <c:pt idx="767">
                  <c:v>42348</c:v>
                </c:pt>
                <c:pt idx="768">
                  <c:v>42349</c:v>
                </c:pt>
                <c:pt idx="769">
                  <c:v>42352</c:v>
                </c:pt>
                <c:pt idx="770">
                  <c:v>42353</c:v>
                </c:pt>
                <c:pt idx="771">
                  <c:v>42354</c:v>
                </c:pt>
                <c:pt idx="772">
                  <c:v>42355</c:v>
                </c:pt>
                <c:pt idx="773">
                  <c:v>42356</c:v>
                </c:pt>
                <c:pt idx="774">
                  <c:v>42359</c:v>
                </c:pt>
                <c:pt idx="775">
                  <c:v>42360</c:v>
                </c:pt>
                <c:pt idx="776">
                  <c:v>42361</c:v>
                </c:pt>
                <c:pt idx="777">
                  <c:v>42362</c:v>
                </c:pt>
                <c:pt idx="778">
                  <c:v>42363</c:v>
                </c:pt>
                <c:pt idx="779">
                  <c:v>42366</c:v>
                </c:pt>
                <c:pt idx="780">
                  <c:v>42367</c:v>
                </c:pt>
                <c:pt idx="781">
                  <c:v>42368</c:v>
                </c:pt>
                <c:pt idx="782">
                  <c:v>42369</c:v>
                </c:pt>
                <c:pt idx="783">
                  <c:v>42370</c:v>
                </c:pt>
                <c:pt idx="784">
                  <c:v>42373</c:v>
                </c:pt>
                <c:pt idx="785">
                  <c:v>42374</c:v>
                </c:pt>
                <c:pt idx="786">
                  <c:v>42375</c:v>
                </c:pt>
                <c:pt idx="787">
                  <c:v>42376</c:v>
                </c:pt>
                <c:pt idx="788">
                  <c:v>42377</c:v>
                </c:pt>
                <c:pt idx="789">
                  <c:v>42380</c:v>
                </c:pt>
                <c:pt idx="790">
                  <c:v>42381</c:v>
                </c:pt>
                <c:pt idx="791">
                  <c:v>42382</c:v>
                </c:pt>
                <c:pt idx="792">
                  <c:v>42383</c:v>
                </c:pt>
                <c:pt idx="793">
                  <c:v>42384</c:v>
                </c:pt>
                <c:pt idx="794">
                  <c:v>42387</c:v>
                </c:pt>
                <c:pt idx="795">
                  <c:v>42388</c:v>
                </c:pt>
                <c:pt idx="796">
                  <c:v>42389</c:v>
                </c:pt>
                <c:pt idx="797">
                  <c:v>42390</c:v>
                </c:pt>
                <c:pt idx="798">
                  <c:v>42391</c:v>
                </c:pt>
                <c:pt idx="799">
                  <c:v>42394</c:v>
                </c:pt>
                <c:pt idx="800">
                  <c:v>42395</c:v>
                </c:pt>
                <c:pt idx="801">
                  <c:v>42396</c:v>
                </c:pt>
                <c:pt idx="802">
                  <c:v>42397</c:v>
                </c:pt>
                <c:pt idx="803">
                  <c:v>42398</c:v>
                </c:pt>
                <c:pt idx="804">
                  <c:v>42401</c:v>
                </c:pt>
                <c:pt idx="805">
                  <c:v>42402</c:v>
                </c:pt>
                <c:pt idx="806">
                  <c:v>42403</c:v>
                </c:pt>
                <c:pt idx="807">
                  <c:v>42404</c:v>
                </c:pt>
                <c:pt idx="808">
                  <c:v>42405</c:v>
                </c:pt>
                <c:pt idx="809">
                  <c:v>42408</c:v>
                </c:pt>
                <c:pt idx="810">
                  <c:v>42409</c:v>
                </c:pt>
                <c:pt idx="811">
                  <c:v>42410</c:v>
                </c:pt>
                <c:pt idx="812">
                  <c:v>42411</c:v>
                </c:pt>
                <c:pt idx="813">
                  <c:v>42412</c:v>
                </c:pt>
                <c:pt idx="814">
                  <c:v>42415</c:v>
                </c:pt>
                <c:pt idx="815">
                  <c:v>42416</c:v>
                </c:pt>
                <c:pt idx="816">
                  <c:v>42417</c:v>
                </c:pt>
                <c:pt idx="817">
                  <c:v>42418</c:v>
                </c:pt>
                <c:pt idx="818">
                  <c:v>42419</c:v>
                </c:pt>
                <c:pt idx="819">
                  <c:v>42422</c:v>
                </c:pt>
                <c:pt idx="820">
                  <c:v>42423</c:v>
                </c:pt>
                <c:pt idx="821">
                  <c:v>42424</c:v>
                </c:pt>
                <c:pt idx="822">
                  <c:v>42425</c:v>
                </c:pt>
                <c:pt idx="823">
                  <c:v>42426</c:v>
                </c:pt>
                <c:pt idx="824">
                  <c:v>42429</c:v>
                </c:pt>
                <c:pt idx="825">
                  <c:v>42430</c:v>
                </c:pt>
                <c:pt idx="826">
                  <c:v>42431</c:v>
                </c:pt>
                <c:pt idx="827">
                  <c:v>42432</c:v>
                </c:pt>
                <c:pt idx="828">
                  <c:v>42433</c:v>
                </c:pt>
                <c:pt idx="829">
                  <c:v>42436</c:v>
                </c:pt>
                <c:pt idx="830">
                  <c:v>42437</c:v>
                </c:pt>
                <c:pt idx="831">
                  <c:v>42438</c:v>
                </c:pt>
                <c:pt idx="832">
                  <c:v>42439</c:v>
                </c:pt>
                <c:pt idx="833">
                  <c:v>42440</c:v>
                </c:pt>
                <c:pt idx="834">
                  <c:v>42443</c:v>
                </c:pt>
                <c:pt idx="835">
                  <c:v>42444</c:v>
                </c:pt>
                <c:pt idx="836">
                  <c:v>42445</c:v>
                </c:pt>
                <c:pt idx="837">
                  <c:v>42446</c:v>
                </c:pt>
                <c:pt idx="838">
                  <c:v>42447</c:v>
                </c:pt>
                <c:pt idx="839">
                  <c:v>42450</c:v>
                </c:pt>
                <c:pt idx="840">
                  <c:v>42451</c:v>
                </c:pt>
                <c:pt idx="841">
                  <c:v>42452</c:v>
                </c:pt>
                <c:pt idx="842">
                  <c:v>42453</c:v>
                </c:pt>
                <c:pt idx="843">
                  <c:v>42454</c:v>
                </c:pt>
                <c:pt idx="844">
                  <c:v>42457</c:v>
                </c:pt>
                <c:pt idx="845">
                  <c:v>42458</c:v>
                </c:pt>
                <c:pt idx="846">
                  <c:v>42459</c:v>
                </c:pt>
                <c:pt idx="847">
                  <c:v>42460</c:v>
                </c:pt>
                <c:pt idx="848">
                  <c:v>42461</c:v>
                </c:pt>
                <c:pt idx="849">
                  <c:v>42464</c:v>
                </c:pt>
                <c:pt idx="850">
                  <c:v>42465</c:v>
                </c:pt>
                <c:pt idx="851">
                  <c:v>42466</c:v>
                </c:pt>
                <c:pt idx="852">
                  <c:v>42467</c:v>
                </c:pt>
                <c:pt idx="853">
                  <c:v>42468</c:v>
                </c:pt>
                <c:pt idx="854">
                  <c:v>42471</c:v>
                </c:pt>
                <c:pt idx="855">
                  <c:v>42472</c:v>
                </c:pt>
                <c:pt idx="856">
                  <c:v>42473</c:v>
                </c:pt>
                <c:pt idx="857">
                  <c:v>42474</c:v>
                </c:pt>
                <c:pt idx="858">
                  <c:v>42475</c:v>
                </c:pt>
                <c:pt idx="859">
                  <c:v>42478</c:v>
                </c:pt>
                <c:pt idx="860">
                  <c:v>42479</c:v>
                </c:pt>
                <c:pt idx="861">
                  <c:v>42480</c:v>
                </c:pt>
                <c:pt idx="862">
                  <c:v>42481</c:v>
                </c:pt>
                <c:pt idx="863">
                  <c:v>42482</c:v>
                </c:pt>
                <c:pt idx="864">
                  <c:v>42485</c:v>
                </c:pt>
                <c:pt idx="865">
                  <c:v>42486</c:v>
                </c:pt>
                <c:pt idx="866">
                  <c:v>42487</c:v>
                </c:pt>
                <c:pt idx="867">
                  <c:v>42488</c:v>
                </c:pt>
                <c:pt idx="868">
                  <c:v>42489</c:v>
                </c:pt>
                <c:pt idx="869">
                  <c:v>42492</c:v>
                </c:pt>
                <c:pt idx="870">
                  <c:v>42493</c:v>
                </c:pt>
                <c:pt idx="871">
                  <c:v>42494</c:v>
                </c:pt>
                <c:pt idx="872">
                  <c:v>42495</c:v>
                </c:pt>
                <c:pt idx="873">
                  <c:v>42496</c:v>
                </c:pt>
                <c:pt idx="874">
                  <c:v>42499</c:v>
                </c:pt>
                <c:pt idx="875">
                  <c:v>42500</c:v>
                </c:pt>
                <c:pt idx="876">
                  <c:v>42501</c:v>
                </c:pt>
                <c:pt idx="877">
                  <c:v>42502</c:v>
                </c:pt>
                <c:pt idx="878">
                  <c:v>42503</c:v>
                </c:pt>
                <c:pt idx="879">
                  <c:v>42506</c:v>
                </c:pt>
                <c:pt idx="880">
                  <c:v>42507</c:v>
                </c:pt>
                <c:pt idx="881">
                  <c:v>42508</c:v>
                </c:pt>
                <c:pt idx="882">
                  <c:v>42509</c:v>
                </c:pt>
                <c:pt idx="883">
                  <c:v>42510</c:v>
                </c:pt>
                <c:pt idx="884">
                  <c:v>42513</c:v>
                </c:pt>
                <c:pt idx="885">
                  <c:v>42514</c:v>
                </c:pt>
                <c:pt idx="886">
                  <c:v>42515</c:v>
                </c:pt>
                <c:pt idx="887">
                  <c:v>42516</c:v>
                </c:pt>
                <c:pt idx="888">
                  <c:v>42517</c:v>
                </c:pt>
                <c:pt idx="889">
                  <c:v>42520</c:v>
                </c:pt>
                <c:pt idx="890">
                  <c:v>42521</c:v>
                </c:pt>
                <c:pt idx="891">
                  <c:v>42522</c:v>
                </c:pt>
                <c:pt idx="892">
                  <c:v>42523</c:v>
                </c:pt>
                <c:pt idx="893">
                  <c:v>42524</c:v>
                </c:pt>
                <c:pt idx="894">
                  <c:v>42527</c:v>
                </c:pt>
                <c:pt idx="895">
                  <c:v>42528</c:v>
                </c:pt>
                <c:pt idx="896">
                  <c:v>42529</c:v>
                </c:pt>
                <c:pt idx="897">
                  <c:v>42530</c:v>
                </c:pt>
                <c:pt idx="898">
                  <c:v>42531</c:v>
                </c:pt>
                <c:pt idx="899">
                  <c:v>42534</c:v>
                </c:pt>
                <c:pt idx="900">
                  <c:v>42535</c:v>
                </c:pt>
                <c:pt idx="901">
                  <c:v>42536</c:v>
                </c:pt>
                <c:pt idx="902">
                  <c:v>42537</c:v>
                </c:pt>
                <c:pt idx="903">
                  <c:v>42538</c:v>
                </c:pt>
                <c:pt idx="904">
                  <c:v>42541</c:v>
                </c:pt>
                <c:pt idx="905">
                  <c:v>42542</c:v>
                </c:pt>
                <c:pt idx="906">
                  <c:v>42543</c:v>
                </c:pt>
                <c:pt idx="907">
                  <c:v>42544</c:v>
                </c:pt>
                <c:pt idx="908">
                  <c:v>42545</c:v>
                </c:pt>
                <c:pt idx="909">
                  <c:v>42548</c:v>
                </c:pt>
                <c:pt idx="910">
                  <c:v>42549</c:v>
                </c:pt>
                <c:pt idx="911">
                  <c:v>42550</c:v>
                </c:pt>
                <c:pt idx="912">
                  <c:v>42551</c:v>
                </c:pt>
                <c:pt idx="913">
                  <c:v>42552</c:v>
                </c:pt>
                <c:pt idx="914">
                  <c:v>42555</c:v>
                </c:pt>
                <c:pt idx="915">
                  <c:v>42556</c:v>
                </c:pt>
                <c:pt idx="916">
                  <c:v>42557</c:v>
                </c:pt>
                <c:pt idx="917">
                  <c:v>42558</c:v>
                </c:pt>
                <c:pt idx="918">
                  <c:v>42559</c:v>
                </c:pt>
                <c:pt idx="919">
                  <c:v>42562</c:v>
                </c:pt>
                <c:pt idx="920">
                  <c:v>42563</c:v>
                </c:pt>
                <c:pt idx="921">
                  <c:v>42564</c:v>
                </c:pt>
                <c:pt idx="922">
                  <c:v>42565</c:v>
                </c:pt>
                <c:pt idx="923">
                  <c:v>42566</c:v>
                </c:pt>
                <c:pt idx="924">
                  <c:v>42569</c:v>
                </c:pt>
                <c:pt idx="925">
                  <c:v>42570</c:v>
                </c:pt>
                <c:pt idx="926">
                  <c:v>42571</c:v>
                </c:pt>
                <c:pt idx="927">
                  <c:v>42572</c:v>
                </c:pt>
                <c:pt idx="928">
                  <c:v>42573</c:v>
                </c:pt>
                <c:pt idx="929">
                  <c:v>42576</c:v>
                </c:pt>
                <c:pt idx="930">
                  <c:v>42577</c:v>
                </c:pt>
                <c:pt idx="931">
                  <c:v>42578</c:v>
                </c:pt>
                <c:pt idx="932">
                  <c:v>42579</c:v>
                </c:pt>
                <c:pt idx="933">
                  <c:v>42580</c:v>
                </c:pt>
                <c:pt idx="934">
                  <c:v>42583</c:v>
                </c:pt>
                <c:pt idx="935">
                  <c:v>42584</c:v>
                </c:pt>
                <c:pt idx="936">
                  <c:v>42585</c:v>
                </c:pt>
                <c:pt idx="937">
                  <c:v>42586</c:v>
                </c:pt>
                <c:pt idx="938">
                  <c:v>42587</c:v>
                </c:pt>
                <c:pt idx="939">
                  <c:v>42590</c:v>
                </c:pt>
                <c:pt idx="940">
                  <c:v>42591</c:v>
                </c:pt>
              </c:numCache>
            </c:numRef>
          </c:cat>
          <c:val>
            <c:numRef>
              <c:f>[0]!shortExoRange</c:f>
              <c:numCache>
                <c:formatCode>General</c:formatCode>
                <c:ptCount val="941"/>
                <c:pt idx="0">
                  <c:v>0</c:v>
                </c:pt>
                <c:pt idx="1">
                  <c:v>0</c:v>
                </c:pt>
                <c:pt idx="2">
                  <c:v>-4488.4999999999991</c:v>
                </c:pt>
                <c:pt idx="3">
                  <c:v>-7689.2000000000007</c:v>
                </c:pt>
                <c:pt idx="4">
                  <c:v>-10734.8</c:v>
                </c:pt>
                <c:pt idx="5">
                  <c:v>-14579.4</c:v>
                </c:pt>
                <c:pt idx="6">
                  <c:v>-19575.5</c:v>
                </c:pt>
                <c:pt idx="7">
                  <c:v>-20003.2</c:v>
                </c:pt>
                <c:pt idx="8">
                  <c:v>-21605.9</c:v>
                </c:pt>
                <c:pt idx="9">
                  <c:v>-22724.5</c:v>
                </c:pt>
                <c:pt idx="10">
                  <c:v>-24115.699999999997</c:v>
                </c:pt>
                <c:pt idx="11">
                  <c:v>-26677.199999999997</c:v>
                </c:pt>
                <c:pt idx="12">
                  <c:v>-26677.199999999997</c:v>
                </c:pt>
                <c:pt idx="13">
                  <c:v>-27212.999999999996</c:v>
                </c:pt>
                <c:pt idx="14">
                  <c:v>-27212.999999999996</c:v>
                </c:pt>
                <c:pt idx="15">
                  <c:v>-26799.399999999998</c:v>
                </c:pt>
                <c:pt idx="16">
                  <c:v>-28171.8</c:v>
                </c:pt>
                <c:pt idx="17">
                  <c:v>-18438.099999999999</c:v>
                </c:pt>
                <c:pt idx="18">
                  <c:v>-18574.400000000001</c:v>
                </c:pt>
                <c:pt idx="19">
                  <c:v>-20228.800000000003</c:v>
                </c:pt>
                <c:pt idx="20">
                  <c:v>-18381.700000000004</c:v>
                </c:pt>
                <c:pt idx="21">
                  <c:v>-29121.200000000004</c:v>
                </c:pt>
                <c:pt idx="22">
                  <c:v>-26606.700000000004</c:v>
                </c:pt>
                <c:pt idx="23">
                  <c:v>-42180</c:v>
                </c:pt>
                <c:pt idx="24">
                  <c:v>-39388.199999999997</c:v>
                </c:pt>
                <c:pt idx="25">
                  <c:v>-38330.699999999997</c:v>
                </c:pt>
                <c:pt idx="26">
                  <c:v>-38330.699999999997</c:v>
                </c:pt>
                <c:pt idx="27">
                  <c:v>-37390.699999999997</c:v>
                </c:pt>
                <c:pt idx="28">
                  <c:v>-36511.799999999996</c:v>
                </c:pt>
                <c:pt idx="29">
                  <c:v>-34866.799999999996</c:v>
                </c:pt>
                <c:pt idx="30">
                  <c:v>-31811.799999999996</c:v>
                </c:pt>
                <c:pt idx="31">
                  <c:v>-25466.799999999996</c:v>
                </c:pt>
                <c:pt idx="32">
                  <c:v>-18355.699999999997</c:v>
                </c:pt>
                <c:pt idx="33">
                  <c:v>-16593.199999999997</c:v>
                </c:pt>
                <c:pt idx="34">
                  <c:v>-16593.199999999997</c:v>
                </c:pt>
                <c:pt idx="35">
                  <c:v>-15653.199999999997</c:v>
                </c:pt>
                <c:pt idx="36">
                  <c:v>-15451.099999999997</c:v>
                </c:pt>
                <c:pt idx="37">
                  <c:v>-16508.599999999999</c:v>
                </c:pt>
                <c:pt idx="38">
                  <c:v>-18858.599999999999</c:v>
                </c:pt>
                <c:pt idx="39">
                  <c:v>-18858.599999999999</c:v>
                </c:pt>
                <c:pt idx="40">
                  <c:v>-19563.599999999999</c:v>
                </c:pt>
                <c:pt idx="41">
                  <c:v>-19563.599999999999</c:v>
                </c:pt>
                <c:pt idx="42">
                  <c:v>-19474.299999999996</c:v>
                </c:pt>
                <c:pt idx="43">
                  <c:v>-9747.4999999999964</c:v>
                </c:pt>
                <c:pt idx="44">
                  <c:v>-13662.599999999999</c:v>
                </c:pt>
                <c:pt idx="45">
                  <c:v>-9413.7999999999975</c:v>
                </c:pt>
                <c:pt idx="46">
                  <c:v>-4375.399999999996</c:v>
                </c:pt>
                <c:pt idx="47">
                  <c:v>381.00000000000728</c:v>
                </c:pt>
                <c:pt idx="48">
                  <c:v>1720.5000000000055</c:v>
                </c:pt>
                <c:pt idx="49">
                  <c:v>5081.0000000000073</c:v>
                </c:pt>
                <c:pt idx="50">
                  <c:v>8606.0000000000073</c:v>
                </c:pt>
                <c:pt idx="51">
                  <c:v>9696.4000000000069</c:v>
                </c:pt>
                <c:pt idx="52">
                  <c:v>7346.4000000000069</c:v>
                </c:pt>
                <c:pt idx="53">
                  <c:v>3962.4000000000015</c:v>
                </c:pt>
                <c:pt idx="54">
                  <c:v>3962.4000000000015</c:v>
                </c:pt>
                <c:pt idx="55">
                  <c:v>3962.4000000000015</c:v>
                </c:pt>
                <c:pt idx="56">
                  <c:v>7990.3000000000011</c:v>
                </c:pt>
                <c:pt idx="57">
                  <c:v>7595.5000000000055</c:v>
                </c:pt>
                <c:pt idx="58">
                  <c:v>9108.9000000000069</c:v>
                </c:pt>
                <c:pt idx="59">
                  <c:v>8690.6000000000076</c:v>
                </c:pt>
                <c:pt idx="60">
                  <c:v>8577.8000000000011</c:v>
                </c:pt>
                <c:pt idx="61">
                  <c:v>9499</c:v>
                </c:pt>
                <c:pt idx="62">
                  <c:v>9442.6000000000058</c:v>
                </c:pt>
                <c:pt idx="63">
                  <c:v>23740.000000000004</c:v>
                </c:pt>
                <c:pt idx="64">
                  <c:v>28560.000000000004</c:v>
                </c:pt>
                <c:pt idx="65">
                  <c:v>20922.500000000004</c:v>
                </c:pt>
                <c:pt idx="66">
                  <c:v>20922.500000000004</c:v>
                </c:pt>
                <c:pt idx="67">
                  <c:v>29735.000000000004</c:v>
                </c:pt>
                <c:pt idx="68">
                  <c:v>27920.800000000003</c:v>
                </c:pt>
                <c:pt idx="69">
                  <c:v>35638.199999999997</c:v>
                </c:pt>
                <c:pt idx="70">
                  <c:v>33072</c:v>
                </c:pt>
                <c:pt idx="71">
                  <c:v>37076.400000000009</c:v>
                </c:pt>
                <c:pt idx="72">
                  <c:v>35210.500000000007</c:v>
                </c:pt>
                <c:pt idx="73">
                  <c:v>35210.500000000007</c:v>
                </c:pt>
                <c:pt idx="74">
                  <c:v>35210.500000000007</c:v>
                </c:pt>
                <c:pt idx="75">
                  <c:v>41673</c:v>
                </c:pt>
                <c:pt idx="76">
                  <c:v>37663.900000000009</c:v>
                </c:pt>
                <c:pt idx="77">
                  <c:v>38627.4</c:v>
                </c:pt>
                <c:pt idx="78">
                  <c:v>38627.4</c:v>
                </c:pt>
                <c:pt idx="79">
                  <c:v>37692.100000000006</c:v>
                </c:pt>
                <c:pt idx="80">
                  <c:v>37052.900000000009</c:v>
                </c:pt>
                <c:pt idx="81">
                  <c:v>37052.900000000009</c:v>
                </c:pt>
                <c:pt idx="82">
                  <c:v>36517.100000000006</c:v>
                </c:pt>
                <c:pt idx="83">
                  <c:v>36197.500000000007</c:v>
                </c:pt>
                <c:pt idx="84">
                  <c:v>36197.500000000007</c:v>
                </c:pt>
                <c:pt idx="85">
                  <c:v>36225.700000000004</c:v>
                </c:pt>
                <c:pt idx="86">
                  <c:v>35142.500000000007</c:v>
                </c:pt>
                <c:pt idx="87">
                  <c:v>32331.9</c:v>
                </c:pt>
                <c:pt idx="88">
                  <c:v>32331.9</c:v>
                </c:pt>
                <c:pt idx="89">
                  <c:v>32331.9</c:v>
                </c:pt>
                <c:pt idx="90">
                  <c:v>31363.700000000004</c:v>
                </c:pt>
                <c:pt idx="91">
                  <c:v>29521.300000000007</c:v>
                </c:pt>
                <c:pt idx="92">
                  <c:v>29521.300000000007</c:v>
                </c:pt>
                <c:pt idx="93">
                  <c:v>29521.300000000007</c:v>
                </c:pt>
                <c:pt idx="94">
                  <c:v>29521.300000000007</c:v>
                </c:pt>
                <c:pt idx="95">
                  <c:v>26663.700000000004</c:v>
                </c:pt>
                <c:pt idx="96">
                  <c:v>26663.700000000004</c:v>
                </c:pt>
                <c:pt idx="97">
                  <c:v>30339.100000000006</c:v>
                </c:pt>
                <c:pt idx="98">
                  <c:v>30339.100000000006</c:v>
                </c:pt>
                <c:pt idx="99">
                  <c:v>30339.100000000006</c:v>
                </c:pt>
                <c:pt idx="100">
                  <c:v>30339.100000000006</c:v>
                </c:pt>
                <c:pt idx="101">
                  <c:v>29521.30000000001</c:v>
                </c:pt>
                <c:pt idx="102">
                  <c:v>29521.30000000001</c:v>
                </c:pt>
                <c:pt idx="103">
                  <c:v>30442.500000000007</c:v>
                </c:pt>
                <c:pt idx="104">
                  <c:v>30442.500000000007</c:v>
                </c:pt>
                <c:pt idx="105">
                  <c:v>30442.500000000007</c:v>
                </c:pt>
                <c:pt idx="106">
                  <c:v>29676.400000000009</c:v>
                </c:pt>
                <c:pt idx="107">
                  <c:v>29370.900000000009</c:v>
                </c:pt>
                <c:pt idx="108">
                  <c:v>29187.600000000009</c:v>
                </c:pt>
                <c:pt idx="109">
                  <c:v>21750.000000000007</c:v>
                </c:pt>
                <c:pt idx="110">
                  <c:v>16166.400000000011</c:v>
                </c:pt>
                <c:pt idx="111">
                  <c:v>18812.500000000007</c:v>
                </c:pt>
                <c:pt idx="112">
                  <c:v>18812.500000000007</c:v>
                </c:pt>
                <c:pt idx="113">
                  <c:v>17402.500000000007</c:v>
                </c:pt>
                <c:pt idx="114">
                  <c:v>20485.700000000004</c:v>
                </c:pt>
                <c:pt idx="115">
                  <c:v>20076.80000000001</c:v>
                </c:pt>
                <c:pt idx="116">
                  <c:v>20076.80000000001</c:v>
                </c:pt>
                <c:pt idx="117">
                  <c:v>20076.80000000001</c:v>
                </c:pt>
                <c:pt idx="118">
                  <c:v>19103.900000000009</c:v>
                </c:pt>
                <c:pt idx="119">
                  <c:v>19103.900000000009</c:v>
                </c:pt>
                <c:pt idx="120">
                  <c:v>17520.000000000007</c:v>
                </c:pt>
                <c:pt idx="121">
                  <c:v>17285.000000000007</c:v>
                </c:pt>
                <c:pt idx="122">
                  <c:v>17285.000000000007</c:v>
                </c:pt>
                <c:pt idx="123">
                  <c:v>18516.400000000009</c:v>
                </c:pt>
                <c:pt idx="124">
                  <c:v>19691.400000000009</c:v>
                </c:pt>
                <c:pt idx="125">
                  <c:v>19573.900000000009</c:v>
                </c:pt>
                <c:pt idx="126">
                  <c:v>19047.500000000007</c:v>
                </c:pt>
                <c:pt idx="127">
                  <c:v>19047.500000000007</c:v>
                </c:pt>
                <c:pt idx="128">
                  <c:v>19165.000000000007</c:v>
                </c:pt>
                <c:pt idx="129">
                  <c:v>20695.000000000007</c:v>
                </c:pt>
                <c:pt idx="130">
                  <c:v>20695.000000000007</c:v>
                </c:pt>
                <c:pt idx="131">
                  <c:v>20695.000000000007</c:v>
                </c:pt>
                <c:pt idx="132">
                  <c:v>20695.000000000007</c:v>
                </c:pt>
                <c:pt idx="133">
                  <c:v>22217.800000000003</c:v>
                </c:pt>
                <c:pt idx="134">
                  <c:v>20774.900000000001</c:v>
                </c:pt>
                <c:pt idx="135">
                  <c:v>18504.8</c:v>
                </c:pt>
                <c:pt idx="136">
                  <c:v>18504.8</c:v>
                </c:pt>
                <c:pt idx="137">
                  <c:v>18504.8</c:v>
                </c:pt>
                <c:pt idx="138">
                  <c:v>18880.800000000003</c:v>
                </c:pt>
                <c:pt idx="139">
                  <c:v>22349.4</c:v>
                </c:pt>
                <c:pt idx="140">
                  <c:v>22029.800000000003</c:v>
                </c:pt>
                <c:pt idx="141">
                  <c:v>21738.400000000009</c:v>
                </c:pt>
                <c:pt idx="142">
                  <c:v>21738.400000000009</c:v>
                </c:pt>
                <c:pt idx="143">
                  <c:v>19064.100000000006</c:v>
                </c:pt>
                <c:pt idx="144">
                  <c:v>19491.80000000001</c:v>
                </c:pt>
                <c:pt idx="145">
                  <c:v>17625.900000000009</c:v>
                </c:pt>
                <c:pt idx="146">
                  <c:v>16982.000000000007</c:v>
                </c:pt>
                <c:pt idx="147">
                  <c:v>16450.900000000009</c:v>
                </c:pt>
                <c:pt idx="148">
                  <c:v>16450.900000000009</c:v>
                </c:pt>
                <c:pt idx="149">
                  <c:v>16450.900000000009</c:v>
                </c:pt>
                <c:pt idx="150">
                  <c:v>16342.800000000005</c:v>
                </c:pt>
                <c:pt idx="151">
                  <c:v>16234.70000000001</c:v>
                </c:pt>
                <c:pt idx="152">
                  <c:v>6127.5000000000073</c:v>
                </c:pt>
                <c:pt idx="153">
                  <c:v>3321.6000000000058</c:v>
                </c:pt>
                <c:pt idx="154">
                  <c:v>3321.6000000000058</c:v>
                </c:pt>
                <c:pt idx="155">
                  <c:v>3321.6000000000058</c:v>
                </c:pt>
                <c:pt idx="156">
                  <c:v>3321.6000000000058</c:v>
                </c:pt>
                <c:pt idx="157">
                  <c:v>-306.79999999999563</c:v>
                </c:pt>
                <c:pt idx="158">
                  <c:v>-2872.9999999999945</c:v>
                </c:pt>
                <c:pt idx="159">
                  <c:v>-3671.9999999999909</c:v>
                </c:pt>
                <c:pt idx="160">
                  <c:v>-3671.9999999999909</c:v>
                </c:pt>
                <c:pt idx="161">
                  <c:v>-1937.6999999999925</c:v>
                </c:pt>
                <c:pt idx="162">
                  <c:v>-3671.9999999999909</c:v>
                </c:pt>
                <c:pt idx="163">
                  <c:v>-3540.3999999999924</c:v>
                </c:pt>
                <c:pt idx="164">
                  <c:v>-3540.3999999999924</c:v>
                </c:pt>
                <c:pt idx="165">
                  <c:v>-2097.4999999999927</c:v>
                </c:pt>
                <c:pt idx="166">
                  <c:v>-2097.4999999999927</c:v>
                </c:pt>
                <c:pt idx="167">
                  <c:v>-1721.4999999999891</c:v>
                </c:pt>
                <c:pt idx="168">
                  <c:v>-2045.799999999992</c:v>
                </c:pt>
                <c:pt idx="169">
                  <c:v>-2045.799999999992</c:v>
                </c:pt>
                <c:pt idx="170">
                  <c:v>-1829.5999999999931</c:v>
                </c:pt>
                <c:pt idx="171">
                  <c:v>-1829.5999999999931</c:v>
                </c:pt>
                <c:pt idx="172">
                  <c:v>-2045.799999999992</c:v>
                </c:pt>
                <c:pt idx="173">
                  <c:v>-2045.799999999992</c:v>
                </c:pt>
                <c:pt idx="174">
                  <c:v>-3739.9999999999927</c:v>
                </c:pt>
                <c:pt idx="175">
                  <c:v>11365.800000000007</c:v>
                </c:pt>
                <c:pt idx="176">
                  <c:v>-948.19999999998981</c:v>
                </c:pt>
                <c:pt idx="177">
                  <c:v>-948.19999999998981</c:v>
                </c:pt>
                <c:pt idx="178">
                  <c:v>5044.3000000000102</c:v>
                </c:pt>
                <c:pt idx="179">
                  <c:v>8804.3000000000102</c:v>
                </c:pt>
                <c:pt idx="180">
                  <c:v>7920.7000000000044</c:v>
                </c:pt>
                <c:pt idx="181">
                  <c:v>3399.3000000000102</c:v>
                </c:pt>
                <c:pt idx="182">
                  <c:v>3399.3000000000102</c:v>
                </c:pt>
                <c:pt idx="183">
                  <c:v>1989.3000000000102</c:v>
                </c:pt>
                <c:pt idx="184">
                  <c:v>1989.3000000000102</c:v>
                </c:pt>
                <c:pt idx="185">
                  <c:v>1989.3000000000102</c:v>
                </c:pt>
                <c:pt idx="186">
                  <c:v>1458.2000000000044</c:v>
                </c:pt>
                <c:pt idx="187">
                  <c:v>1458.2000000000044</c:v>
                </c:pt>
                <c:pt idx="188">
                  <c:v>2694.3000000000102</c:v>
                </c:pt>
                <c:pt idx="189">
                  <c:v>3046.8000000000102</c:v>
                </c:pt>
                <c:pt idx="190">
                  <c:v>3046.8000000000102</c:v>
                </c:pt>
                <c:pt idx="191">
                  <c:v>3046.8000000000102</c:v>
                </c:pt>
                <c:pt idx="192">
                  <c:v>3046.8000000000102</c:v>
                </c:pt>
                <c:pt idx="193">
                  <c:v>3281.8000000000102</c:v>
                </c:pt>
                <c:pt idx="194">
                  <c:v>3310.0000000000073</c:v>
                </c:pt>
                <c:pt idx="195">
                  <c:v>8717.5000000000073</c:v>
                </c:pt>
                <c:pt idx="196">
                  <c:v>8153.5000000000109</c:v>
                </c:pt>
                <c:pt idx="197">
                  <c:v>12985.100000000009</c:v>
                </c:pt>
                <c:pt idx="198">
                  <c:v>14005.000000000007</c:v>
                </c:pt>
                <c:pt idx="199">
                  <c:v>16919.000000000004</c:v>
                </c:pt>
                <c:pt idx="200">
                  <c:v>21055.000000000007</c:v>
                </c:pt>
                <c:pt idx="201">
                  <c:v>21055.000000000007</c:v>
                </c:pt>
                <c:pt idx="202">
                  <c:v>20646.100000000006</c:v>
                </c:pt>
                <c:pt idx="203">
                  <c:v>21797.600000000013</c:v>
                </c:pt>
                <c:pt idx="204">
                  <c:v>21797.600000000013</c:v>
                </c:pt>
                <c:pt idx="205">
                  <c:v>21797.600000000013</c:v>
                </c:pt>
                <c:pt idx="206">
                  <c:v>20265.400000000009</c:v>
                </c:pt>
                <c:pt idx="207">
                  <c:v>19701.400000000012</c:v>
                </c:pt>
                <c:pt idx="208">
                  <c:v>18423.000000000011</c:v>
                </c:pt>
                <c:pt idx="209">
                  <c:v>15894.400000000005</c:v>
                </c:pt>
                <c:pt idx="210">
                  <c:v>15076.600000000008</c:v>
                </c:pt>
                <c:pt idx="211">
                  <c:v>15433.80000000001</c:v>
                </c:pt>
                <c:pt idx="212">
                  <c:v>17276.200000000008</c:v>
                </c:pt>
                <c:pt idx="213">
                  <c:v>17017.700000000012</c:v>
                </c:pt>
                <c:pt idx="214">
                  <c:v>18549.900000000005</c:v>
                </c:pt>
                <c:pt idx="215">
                  <c:v>16712.200000000012</c:v>
                </c:pt>
                <c:pt idx="216">
                  <c:v>16510.100000000013</c:v>
                </c:pt>
                <c:pt idx="217">
                  <c:v>16585.30000000001</c:v>
                </c:pt>
                <c:pt idx="218">
                  <c:v>12950.000000000013</c:v>
                </c:pt>
                <c:pt idx="219">
                  <c:v>12950.000000000013</c:v>
                </c:pt>
                <c:pt idx="220">
                  <c:v>12950.000000000013</c:v>
                </c:pt>
                <c:pt idx="221">
                  <c:v>11441.300000000014</c:v>
                </c:pt>
                <c:pt idx="222">
                  <c:v>10012.500000000013</c:v>
                </c:pt>
                <c:pt idx="223">
                  <c:v>10012.500000000013</c:v>
                </c:pt>
                <c:pt idx="224">
                  <c:v>10012.500000000013</c:v>
                </c:pt>
                <c:pt idx="225">
                  <c:v>10012.500000000013</c:v>
                </c:pt>
                <c:pt idx="226">
                  <c:v>9650.6000000000167</c:v>
                </c:pt>
                <c:pt idx="227">
                  <c:v>10990.100000000015</c:v>
                </c:pt>
                <c:pt idx="228">
                  <c:v>11300.30000000001</c:v>
                </c:pt>
                <c:pt idx="229">
                  <c:v>9899.7000000000153</c:v>
                </c:pt>
                <c:pt idx="230">
                  <c:v>8893.900000000016</c:v>
                </c:pt>
                <c:pt idx="231">
                  <c:v>9566.0000000000164</c:v>
                </c:pt>
                <c:pt idx="232">
                  <c:v>7996.2000000000116</c:v>
                </c:pt>
                <c:pt idx="233">
                  <c:v>7996.2000000000116</c:v>
                </c:pt>
                <c:pt idx="234">
                  <c:v>5759.0000000000091</c:v>
                </c:pt>
                <c:pt idx="235">
                  <c:v>5759.0000000000091</c:v>
                </c:pt>
                <c:pt idx="236">
                  <c:v>5759.0000000000091</c:v>
                </c:pt>
                <c:pt idx="237">
                  <c:v>5759.0000000000091</c:v>
                </c:pt>
                <c:pt idx="238">
                  <c:v>9660.0000000000127</c:v>
                </c:pt>
                <c:pt idx="239">
                  <c:v>-5729.9999999999873</c:v>
                </c:pt>
                <c:pt idx="240">
                  <c:v>-6289.2999999999856</c:v>
                </c:pt>
                <c:pt idx="241">
                  <c:v>-9480.5999999999876</c:v>
                </c:pt>
                <c:pt idx="242">
                  <c:v>-16022.999999999989</c:v>
                </c:pt>
                <c:pt idx="243">
                  <c:v>-18880.599999999988</c:v>
                </c:pt>
                <c:pt idx="244">
                  <c:v>-29620.099999999988</c:v>
                </c:pt>
                <c:pt idx="245">
                  <c:v>-25845.999999999985</c:v>
                </c:pt>
                <c:pt idx="246">
                  <c:v>-25845.999999999985</c:v>
                </c:pt>
                <c:pt idx="247">
                  <c:v>-26574.499999999985</c:v>
                </c:pt>
                <c:pt idx="248">
                  <c:v>-26574.499999999985</c:v>
                </c:pt>
                <c:pt idx="249">
                  <c:v>-28111.399999999987</c:v>
                </c:pt>
                <c:pt idx="250">
                  <c:v>-28111.399999999987</c:v>
                </c:pt>
                <c:pt idx="251">
                  <c:v>-28111.399999999987</c:v>
                </c:pt>
                <c:pt idx="252">
                  <c:v>-29004.399999999987</c:v>
                </c:pt>
                <c:pt idx="253">
                  <c:v>-28811.699999999986</c:v>
                </c:pt>
                <c:pt idx="254">
                  <c:v>-29483.799999999988</c:v>
                </c:pt>
                <c:pt idx="255">
                  <c:v>-29201.799999999988</c:v>
                </c:pt>
                <c:pt idx="256">
                  <c:v>-29201.799999999988</c:v>
                </c:pt>
                <c:pt idx="257">
                  <c:v>-14876.199999999986</c:v>
                </c:pt>
                <c:pt idx="258">
                  <c:v>-29201.799999999988</c:v>
                </c:pt>
                <c:pt idx="259">
                  <c:v>-28976.199999999986</c:v>
                </c:pt>
                <c:pt idx="260">
                  <c:v>-28976.199999999986</c:v>
                </c:pt>
                <c:pt idx="261">
                  <c:v>-32047.499999999985</c:v>
                </c:pt>
                <c:pt idx="262">
                  <c:v>-32047.499999999985</c:v>
                </c:pt>
                <c:pt idx="263">
                  <c:v>-32047.499999999985</c:v>
                </c:pt>
                <c:pt idx="264">
                  <c:v>-27239.399999999987</c:v>
                </c:pt>
                <c:pt idx="265">
                  <c:v>-23234.999999999985</c:v>
                </c:pt>
                <c:pt idx="266">
                  <c:v>-24184.399999999987</c:v>
                </c:pt>
                <c:pt idx="267">
                  <c:v>-24184.399999999987</c:v>
                </c:pt>
                <c:pt idx="268">
                  <c:v>-24184.399999999987</c:v>
                </c:pt>
                <c:pt idx="269">
                  <c:v>-24184.399999999987</c:v>
                </c:pt>
                <c:pt idx="270">
                  <c:v>-24912.899999999987</c:v>
                </c:pt>
                <c:pt idx="271">
                  <c:v>-24912.899999999987</c:v>
                </c:pt>
                <c:pt idx="272">
                  <c:v>-25528.599999999988</c:v>
                </c:pt>
                <c:pt idx="273">
                  <c:v>-25528.599999999988</c:v>
                </c:pt>
                <c:pt idx="274">
                  <c:v>-25528.599999999988</c:v>
                </c:pt>
                <c:pt idx="275">
                  <c:v>4180.1000000000095</c:v>
                </c:pt>
                <c:pt idx="276">
                  <c:v>-24771.899999999994</c:v>
                </c:pt>
                <c:pt idx="277">
                  <c:v>-25166.699999999993</c:v>
                </c:pt>
                <c:pt idx="278">
                  <c:v>-25669.599999999991</c:v>
                </c:pt>
                <c:pt idx="279">
                  <c:v>-25528.599999999991</c:v>
                </c:pt>
                <c:pt idx="280">
                  <c:v>-24856.499999999993</c:v>
                </c:pt>
                <c:pt idx="281">
                  <c:v>-24771.899999999994</c:v>
                </c:pt>
                <c:pt idx="282">
                  <c:v>-24828.299999999992</c:v>
                </c:pt>
                <c:pt idx="283">
                  <c:v>-24550.999999999993</c:v>
                </c:pt>
                <c:pt idx="284">
                  <c:v>-7839.9999999999927</c:v>
                </c:pt>
                <c:pt idx="285">
                  <c:v>-7839.9999999999927</c:v>
                </c:pt>
                <c:pt idx="286">
                  <c:v>-7839.9999999999927</c:v>
                </c:pt>
                <c:pt idx="287">
                  <c:v>-18476.099999999995</c:v>
                </c:pt>
                <c:pt idx="288">
                  <c:v>-16619.599999999995</c:v>
                </c:pt>
                <c:pt idx="289">
                  <c:v>-16619.599999999995</c:v>
                </c:pt>
                <c:pt idx="290">
                  <c:v>-14612.699999999993</c:v>
                </c:pt>
                <c:pt idx="291">
                  <c:v>-13870.099999999995</c:v>
                </c:pt>
                <c:pt idx="292">
                  <c:v>-13870.099999999995</c:v>
                </c:pt>
                <c:pt idx="293">
                  <c:v>-12507.099999999993</c:v>
                </c:pt>
                <c:pt idx="294">
                  <c:v>-12507.099999999993</c:v>
                </c:pt>
                <c:pt idx="295">
                  <c:v>-11087.699999999993</c:v>
                </c:pt>
                <c:pt idx="296">
                  <c:v>-11581.199999999993</c:v>
                </c:pt>
                <c:pt idx="297">
                  <c:v>-10932.599999999997</c:v>
                </c:pt>
                <c:pt idx="298">
                  <c:v>-10932.599999999997</c:v>
                </c:pt>
                <c:pt idx="299">
                  <c:v>-10622.399999999992</c:v>
                </c:pt>
                <c:pt idx="300">
                  <c:v>-10373.299999999994</c:v>
                </c:pt>
                <c:pt idx="301">
                  <c:v>-10373.299999999994</c:v>
                </c:pt>
                <c:pt idx="302">
                  <c:v>-10561.299999999996</c:v>
                </c:pt>
                <c:pt idx="303">
                  <c:v>-10561.299999999996</c:v>
                </c:pt>
                <c:pt idx="304">
                  <c:v>-11832.499999999995</c:v>
                </c:pt>
                <c:pt idx="305">
                  <c:v>-11832.499999999995</c:v>
                </c:pt>
                <c:pt idx="306">
                  <c:v>-11832.499999999995</c:v>
                </c:pt>
                <c:pt idx="307">
                  <c:v>-11832.499999999995</c:v>
                </c:pt>
                <c:pt idx="308">
                  <c:v>-11832.499999999995</c:v>
                </c:pt>
                <c:pt idx="309">
                  <c:v>-11832.499999999995</c:v>
                </c:pt>
                <c:pt idx="310">
                  <c:v>-12701.999999999993</c:v>
                </c:pt>
                <c:pt idx="311">
                  <c:v>-13092.099999999995</c:v>
                </c:pt>
                <c:pt idx="312">
                  <c:v>-13092.099999999995</c:v>
                </c:pt>
                <c:pt idx="313">
                  <c:v>-13092.099999999995</c:v>
                </c:pt>
                <c:pt idx="314">
                  <c:v>-10013.599999999995</c:v>
                </c:pt>
                <c:pt idx="315">
                  <c:v>-9736.2999999999956</c:v>
                </c:pt>
                <c:pt idx="316">
                  <c:v>-9736.2999999999956</c:v>
                </c:pt>
                <c:pt idx="317">
                  <c:v>-8838.5999999999949</c:v>
                </c:pt>
                <c:pt idx="318">
                  <c:v>-8838.5999999999949</c:v>
                </c:pt>
                <c:pt idx="319">
                  <c:v>-9341.4999999999945</c:v>
                </c:pt>
                <c:pt idx="320">
                  <c:v>-10041.799999999992</c:v>
                </c:pt>
                <c:pt idx="321">
                  <c:v>-10041.799999999992</c:v>
                </c:pt>
                <c:pt idx="322">
                  <c:v>-9787.9999999999964</c:v>
                </c:pt>
                <c:pt idx="323">
                  <c:v>-9787.9999999999964</c:v>
                </c:pt>
                <c:pt idx="324">
                  <c:v>-9787.9999999999964</c:v>
                </c:pt>
                <c:pt idx="325">
                  <c:v>-6424.9999999999945</c:v>
                </c:pt>
                <c:pt idx="326">
                  <c:v>-5249.9999999999945</c:v>
                </c:pt>
                <c:pt idx="327">
                  <c:v>-7599.9999999999945</c:v>
                </c:pt>
                <c:pt idx="328">
                  <c:v>-6424.9999999999945</c:v>
                </c:pt>
                <c:pt idx="329">
                  <c:v>-5249.9999999999945</c:v>
                </c:pt>
                <c:pt idx="330">
                  <c:v>-5461.4999999999955</c:v>
                </c:pt>
                <c:pt idx="331">
                  <c:v>-5461.4999999999955</c:v>
                </c:pt>
                <c:pt idx="332">
                  <c:v>-5461.4999999999955</c:v>
                </c:pt>
                <c:pt idx="333">
                  <c:v>-5461.4999999999955</c:v>
                </c:pt>
                <c:pt idx="334">
                  <c:v>-5461.4999999999955</c:v>
                </c:pt>
                <c:pt idx="335">
                  <c:v>-6424.9999999999945</c:v>
                </c:pt>
                <c:pt idx="336">
                  <c:v>-6721.0999999999958</c:v>
                </c:pt>
                <c:pt idx="337">
                  <c:v>-6453.1999999999962</c:v>
                </c:pt>
                <c:pt idx="338">
                  <c:v>-6453.1999999999962</c:v>
                </c:pt>
                <c:pt idx="339">
                  <c:v>-6453.1999999999962</c:v>
                </c:pt>
                <c:pt idx="340">
                  <c:v>-6636.4999999999955</c:v>
                </c:pt>
                <c:pt idx="341">
                  <c:v>-6636.4999999999955</c:v>
                </c:pt>
                <c:pt idx="342">
                  <c:v>-7040.6999999999962</c:v>
                </c:pt>
                <c:pt idx="343">
                  <c:v>-6721.0999999999958</c:v>
                </c:pt>
                <c:pt idx="344">
                  <c:v>-6556.5999999999931</c:v>
                </c:pt>
                <c:pt idx="345">
                  <c:v>-6453.1999999999962</c:v>
                </c:pt>
                <c:pt idx="346">
                  <c:v>-6424.9999999999945</c:v>
                </c:pt>
                <c:pt idx="347">
                  <c:v>-3367.4999999999945</c:v>
                </c:pt>
                <c:pt idx="348">
                  <c:v>-3367.4999999999945</c:v>
                </c:pt>
                <c:pt idx="349">
                  <c:v>-2300.599999999994</c:v>
                </c:pt>
                <c:pt idx="350">
                  <c:v>-2300.599999999994</c:v>
                </c:pt>
                <c:pt idx="351">
                  <c:v>-1792.9999999999964</c:v>
                </c:pt>
                <c:pt idx="352">
                  <c:v>-1337.0999999999949</c:v>
                </c:pt>
                <c:pt idx="353">
                  <c:v>-2620.1999999999944</c:v>
                </c:pt>
                <c:pt idx="354">
                  <c:v>-2620.1999999999944</c:v>
                </c:pt>
                <c:pt idx="355">
                  <c:v>-2620.1999999999944</c:v>
                </c:pt>
                <c:pt idx="356">
                  <c:v>-885.899999999996</c:v>
                </c:pt>
                <c:pt idx="357">
                  <c:v>-885.899999999996</c:v>
                </c:pt>
                <c:pt idx="358">
                  <c:v>-857.69999999999891</c:v>
                </c:pt>
                <c:pt idx="359">
                  <c:v>-321.89999999999054</c:v>
                </c:pt>
                <c:pt idx="360">
                  <c:v>-321.89999999999054</c:v>
                </c:pt>
                <c:pt idx="361">
                  <c:v>-321.89999999999054</c:v>
                </c:pt>
                <c:pt idx="362">
                  <c:v>745.00000000000546</c:v>
                </c:pt>
                <c:pt idx="363">
                  <c:v>745.00000000000546</c:v>
                </c:pt>
                <c:pt idx="364">
                  <c:v>745.00000000000546</c:v>
                </c:pt>
                <c:pt idx="365">
                  <c:v>745.00000000000546</c:v>
                </c:pt>
                <c:pt idx="366">
                  <c:v>745.00000000000546</c:v>
                </c:pt>
                <c:pt idx="367">
                  <c:v>970.60000000000946</c:v>
                </c:pt>
                <c:pt idx="368">
                  <c:v>970.60000000000946</c:v>
                </c:pt>
                <c:pt idx="369">
                  <c:v>7915.0000000000055</c:v>
                </c:pt>
                <c:pt idx="370">
                  <c:v>9592.9000000000051</c:v>
                </c:pt>
                <c:pt idx="371">
                  <c:v>9592.9000000000051</c:v>
                </c:pt>
                <c:pt idx="372">
                  <c:v>9592.9000000000051</c:v>
                </c:pt>
                <c:pt idx="373">
                  <c:v>9592.9000000000051</c:v>
                </c:pt>
                <c:pt idx="374">
                  <c:v>10937.100000000006</c:v>
                </c:pt>
                <c:pt idx="375">
                  <c:v>10937.100000000006</c:v>
                </c:pt>
                <c:pt idx="376">
                  <c:v>12897.000000000004</c:v>
                </c:pt>
                <c:pt idx="377">
                  <c:v>12897.000000000004</c:v>
                </c:pt>
                <c:pt idx="378">
                  <c:v>12558.600000000002</c:v>
                </c:pt>
                <c:pt idx="379">
                  <c:v>12868.800000000007</c:v>
                </c:pt>
                <c:pt idx="380">
                  <c:v>13705.400000000005</c:v>
                </c:pt>
                <c:pt idx="381">
                  <c:v>13705.400000000005</c:v>
                </c:pt>
                <c:pt idx="382">
                  <c:v>13705.400000000005</c:v>
                </c:pt>
                <c:pt idx="383">
                  <c:v>13705.400000000005</c:v>
                </c:pt>
                <c:pt idx="384">
                  <c:v>13536.200000000004</c:v>
                </c:pt>
                <c:pt idx="385">
                  <c:v>12840.600000000009</c:v>
                </c:pt>
                <c:pt idx="386">
                  <c:v>12281.300000000007</c:v>
                </c:pt>
                <c:pt idx="387">
                  <c:v>12281.300000000007</c:v>
                </c:pt>
                <c:pt idx="388">
                  <c:v>12224.900000000003</c:v>
                </c:pt>
                <c:pt idx="389">
                  <c:v>12224.900000000003</c:v>
                </c:pt>
                <c:pt idx="390">
                  <c:v>9210.0000000000055</c:v>
                </c:pt>
                <c:pt idx="391">
                  <c:v>8646.0000000000091</c:v>
                </c:pt>
                <c:pt idx="392">
                  <c:v>7038.6000000000022</c:v>
                </c:pt>
                <c:pt idx="393">
                  <c:v>7038.6000000000022</c:v>
                </c:pt>
                <c:pt idx="394">
                  <c:v>5017.6000000000076</c:v>
                </c:pt>
                <c:pt idx="395">
                  <c:v>5017.6000000000076</c:v>
                </c:pt>
                <c:pt idx="396">
                  <c:v>4561.7000000000062</c:v>
                </c:pt>
                <c:pt idx="397">
                  <c:v>4134.0000000000018</c:v>
                </c:pt>
                <c:pt idx="398">
                  <c:v>4134.0000000000018</c:v>
                </c:pt>
                <c:pt idx="399">
                  <c:v>1144.8000000000011</c:v>
                </c:pt>
                <c:pt idx="400">
                  <c:v>449.20000000000618</c:v>
                </c:pt>
                <c:pt idx="401">
                  <c:v>449.20000000000618</c:v>
                </c:pt>
                <c:pt idx="402">
                  <c:v>-829.19999999999527</c:v>
                </c:pt>
                <c:pt idx="403">
                  <c:v>-2887.7999999999965</c:v>
                </c:pt>
                <c:pt idx="404">
                  <c:v>-2887.7999999999965</c:v>
                </c:pt>
                <c:pt idx="405">
                  <c:v>-2887.7999999999965</c:v>
                </c:pt>
                <c:pt idx="406">
                  <c:v>-5101.4999999999955</c:v>
                </c:pt>
                <c:pt idx="407">
                  <c:v>-2225.0999999999967</c:v>
                </c:pt>
                <c:pt idx="408">
                  <c:v>-1961.8999999999951</c:v>
                </c:pt>
                <c:pt idx="409">
                  <c:v>-2356.6999999999953</c:v>
                </c:pt>
                <c:pt idx="410">
                  <c:v>-4598.5999999999958</c:v>
                </c:pt>
                <c:pt idx="411">
                  <c:v>-4861.7999999999929</c:v>
                </c:pt>
                <c:pt idx="412">
                  <c:v>-4302.4999999999945</c:v>
                </c:pt>
                <c:pt idx="413">
                  <c:v>-21219.999999999993</c:v>
                </c:pt>
                <c:pt idx="414">
                  <c:v>-21219.999999999993</c:v>
                </c:pt>
                <c:pt idx="415">
                  <c:v>-14870.299999999996</c:v>
                </c:pt>
                <c:pt idx="416">
                  <c:v>-15636.399999999992</c:v>
                </c:pt>
                <c:pt idx="417">
                  <c:v>-16139.299999999992</c:v>
                </c:pt>
                <c:pt idx="418">
                  <c:v>-16313.199999999995</c:v>
                </c:pt>
                <c:pt idx="419">
                  <c:v>-16440.099999999995</c:v>
                </c:pt>
                <c:pt idx="420">
                  <c:v>-16421.299999999996</c:v>
                </c:pt>
                <c:pt idx="421">
                  <c:v>-13051.399999999994</c:v>
                </c:pt>
                <c:pt idx="422">
                  <c:v>-11707.199999999993</c:v>
                </c:pt>
                <c:pt idx="423">
                  <c:v>-11707.199999999993</c:v>
                </c:pt>
                <c:pt idx="424">
                  <c:v>-13667.099999999995</c:v>
                </c:pt>
                <c:pt idx="425">
                  <c:v>-13667.099999999995</c:v>
                </c:pt>
                <c:pt idx="426">
                  <c:v>-13699.999999999995</c:v>
                </c:pt>
                <c:pt idx="427">
                  <c:v>-13887.999999999996</c:v>
                </c:pt>
                <c:pt idx="428">
                  <c:v>-13887.999999999996</c:v>
                </c:pt>
                <c:pt idx="429">
                  <c:v>-13887.999999999996</c:v>
                </c:pt>
                <c:pt idx="430">
                  <c:v>-14226.399999999994</c:v>
                </c:pt>
                <c:pt idx="431">
                  <c:v>-14395.599999999995</c:v>
                </c:pt>
                <c:pt idx="432">
                  <c:v>-14395.599999999995</c:v>
                </c:pt>
                <c:pt idx="433">
                  <c:v>-14395.599999999995</c:v>
                </c:pt>
                <c:pt idx="434">
                  <c:v>-16987.499999999996</c:v>
                </c:pt>
                <c:pt idx="435">
                  <c:v>-16987.499999999996</c:v>
                </c:pt>
                <c:pt idx="436">
                  <c:v>-16987.499999999996</c:v>
                </c:pt>
                <c:pt idx="437">
                  <c:v>-15422.399999999994</c:v>
                </c:pt>
                <c:pt idx="438">
                  <c:v>-15422.399999999994</c:v>
                </c:pt>
                <c:pt idx="439">
                  <c:v>-14468.299999999996</c:v>
                </c:pt>
                <c:pt idx="440">
                  <c:v>-14919.499999999995</c:v>
                </c:pt>
                <c:pt idx="441">
                  <c:v>-12818.599999999999</c:v>
                </c:pt>
                <c:pt idx="442">
                  <c:v>-13565.899999999998</c:v>
                </c:pt>
                <c:pt idx="443">
                  <c:v>-12870.3</c:v>
                </c:pt>
                <c:pt idx="444">
                  <c:v>-12870.3</c:v>
                </c:pt>
                <c:pt idx="445">
                  <c:v>-13485.999999999996</c:v>
                </c:pt>
                <c:pt idx="446">
                  <c:v>-17767.699999999997</c:v>
                </c:pt>
                <c:pt idx="447">
                  <c:v>-19530.199999999997</c:v>
                </c:pt>
                <c:pt idx="448">
                  <c:v>-22885.999999999996</c:v>
                </c:pt>
                <c:pt idx="449">
                  <c:v>-22885.999999999996</c:v>
                </c:pt>
                <c:pt idx="450">
                  <c:v>-23783.699999999997</c:v>
                </c:pt>
                <c:pt idx="451">
                  <c:v>-23783.699999999997</c:v>
                </c:pt>
                <c:pt idx="452">
                  <c:v>-23783.699999999997</c:v>
                </c:pt>
                <c:pt idx="453">
                  <c:v>-23783.699999999997</c:v>
                </c:pt>
                <c:pt idx="454">
                  <c:v>-24455.799999999996</c:v>
                </c:pt>
                <c:pt idx="455">
                  <c:v>-24286.6</c:v>
                </c:pt>
                <c:pt idx="456">
                  <c:v>-44480</c:v>
                </c:pt>
                <c:pt idx="457">
                  <c:v>-36052.9</c:v>
                </c:pt>
                <c:pt idx="458">
                  <c:v>-33369.200000000004</c:v>
                </c:pt>
                <c:pt idx="459">
                  <c:v>-37453.500000000007</c:v>
                </c:pt>
                <c:pt idx="460">
                  <c:v>-33571.30000000001</c:v>
                </c:pt>
                <c:pt idx="461">
                  <c:v>-33571.30000000001</c:v>
                </c:pt>
                <c:pt idx="462">
                  <c:v>-33571.30000000001</c:v>
                </c:pt>
                <c:pt idx="463">
                  <c:v>-31940.400000000009</c:v>
                </c:pt>
                <c:pt idx="464">
                  <c:v>-30022.80000000001</c:v>
                </c:pt>
                <c:pt idx="465">
                  <c:v>-30022.80000000001</c:v>
                </c:pt>
                <c:pt idx="466">
                  <c:v>-31019.200000000012</c:v>
                </c:pt>
                <c:pt idx="467">
                  <c:v>-29792.500000000011</c:v>
                </c:pt>
                <c:pt idx="468">
                  <c:v>-29510.500000000011</c:v>
                </c:pt>
                <c:pt idx="469">
                  <c:v>-29769.000000000011</c:v>
                </c:pt>
                <c:pt idx="470">
                  <c:v>-29769.000000000011</c:v>
                </c:pt>
                <c:pt idx="471">
                  <c:v>-29769.000000000011</c:v>
                </c:pt>
                <c:pt idx="472">
                  <c:v>-29769.000000000011</c:v>
                </c:pt>
                <c:pt idx="473">
                  <c:v>-29613.900000000012</c:v>
                </c:pt>
                <c:pt idx="474">
                  <c:v>-28462.400000000012</c:v>
                </c:pt>
                <c:pt idx="475">
                  <c:v>-28462.400000000012</c:v>
                </c:pt>
                <c:pt idx="476">
                  <c:v>-28462.400000000012</c:v>
                </c:pt>
                <c:pt idx="477">
                  <c:v>-28462.400000000012</c:v>
                </c:pt>
                <c:pt idx="478">
                  <c:v>-28312.000000000015</c:v>
                </c:pt>
                <c:pt idx="479">
                  <c:v>-9110.0000000000146</c:v>
                </c:pt>
                <c:pt idx="480">
                  <c:v>-12635.000000000015</c:v>
                </c:pt>
                <c:pt idx="481">
                  <c:v>-9293.3000000000138</c:v>
                </c:pt>
                <c:pt idx="482">
                  <c:v>-3855.4000000000142</c:v>
                </c:pt>
                <c:pt idx="483">
                  <c:v>-4316.0000000000136</c:v>
                </c:pt>
                <c:pt idx="484">
                  <c:v>-3451.2000000000135</c:v>
                </c:pt>
                <c:pt idx="485">
                  <c:v>-1439.6000000000149</c:v>
                </c:pt>
                <c:pt idx="486">
                  <c:v>-1068.3000000000138</c:v>
                </c:pt>
                <c:pt idx="487">
                  <c:v>2329.7999999999811</c:v>
                </c:pt>
                <c:pt idx="488">
                  <c:v>2329.7999999999811</c:v>
                </c:pt>
                <c:pt idx="489">
                  <c:v>2329.7999999999811</c:v>
                </c:pt>
                <c:pt idx="490">
                  <c:v>2329.7999999999811</c:v>
                </c:pt>
                <c:pt idx="491">
                  <c:v>2978.3999999999869</c:v>
                </c:pt>
                <c:pt idx="492">
                  <c:v>4651.599999999984</c:v>
                </c:pt>
                <c:pt idx="493">
                  <c:v>4341.3999999999887</c:v>
                </c:pt>
                <c:pt idx="494">
                  <c:v>3847.8999999999851</c:v>
                </c:pt>
                <c:pt idx="495">
                  <c:v>4585.7999999999847</c:v>
                </c:pt>
                <c:pt idx="496">
                  <c:v>5022.8999999999851</c:v>
                </c:pt>
                <c:pt idx="497">
                  <c:v>5022.8999999999851</c:v>
                </c:pt>
                <c:pt idx="498">
                  <c:v>5022.8999999999851</c:v>
                </c:pt>
                <c:pt idx="499">
                  <c:v>23909.999999999985</c:v>
                </c:pt>
                <c:pt idx="500">
                  <c:v>27834.499999999985</c:v>
                </c:pt>
                <c:pt idx="501">
                  <c:v>27834.499999999985</c:v>
                </c:pt>
                <c:pt idx="502">
                  <c:v>27834.499999999985</c:v>
                </c:pt>
                <c:pt idx="503">
                  <c:v>32402.899999999987</c:v>
                </c:pt>
                <c:pt idx="504">
                  <c:v>32402.899999999987</c:v>
                </c:pt>
                <c:pt idx="505">
                  <c:v>38705.599999999991</c:v>
                </c:pt>
                <c:pt idx="506">
                  <c:v>41910.999999999993</c:v>
                </c:pt>
                <c:pt idx="507">
                  <c:v>41910.999999999993</c:v>
                </c:pt>
                <c:pt idx="508">
                  <c:v>48852.899999999994</c:v>
                </c:pt>
                <c:pt idx="509">
                  <c:v>55258.999999999985</c:v>
                </c:pt>
                <c:pt idx="510">
                  <c:v>55846.499999999985</c:v>
                </c:pt>
                <c:pt idx="511">
                  <c:v>53176.899999999994</c:v>
                </c:pt>
                <c:pt idx="512">
                  <c:v>51978.399999999994</c:v>
                </c:pt>
                <c:pt idx="513">
                  <c:v>54328.399999999994</c:v>
                </c:pt>
                <c:pt idx="514">
                  <c:v>53393.099999999991</c:v>
                </c:pt>
                <c:pt idx="515">
                  <c:v>53393.099999999991</c:v>
                </c:pt>
                <c:pt idx="516">
                  <c:v>53393.099999999991</c:v>
                </c:pt>
                <c:pt idx="517">
                  <c:v>53393.099999999991</c:v>
                </c:pt>
                <c:pt idx="518">
                  <c:v>53393.099999999991</c:v>
                </c:pt>
                <c:pt idx="519">
                  <c:v>53393.099999999991</c:v>
                </c:pt>
                <c:pt idx="520">
                  <c:v>53496.499999999993</c:v>
                </c:pt>
                <c:pt idx="521">
                  <c:v>53496.499999999993</c:v>
                </c:pt>
                <c:pt idx="522">
                  <c:v>69855</c:v>
                </c:pt>
                <c:pt idx="523">
                  <c:v>69855</c:v>
                </c:pt>
                <c:pt idx="524">
                  <c:v>70968.899999999994</c:v>
                </c:pt>
                <c:pt idx="525">
                  <c:v>70968.899999999994</c:v>
                </c:pt>
                <c:pt idx="526">
                  <c:v>91413.9</c:v>
                </c:pt>
                <c:pt idx="527">
                  <c:v>91413.9</c:v>
                </c:pt>
                <c:pt idx="528">
                  <c:v>91296.4</c:v>
                </c:pt>
                <c:pt idx="529">
                  <c:v>91296.4</c:v>
                </c:pt>
                <c:pt idx="530">
                  <c:v>91296.4</c:v>
                </c:pt>
                <c:pt idx="531">
                  <c:v>93411.4</c:v>
                </c:pt>
                <c:pt idx="532">
                  <c:v>92443.199999999997</c:v>
                </c:pt>
                <c:pt idx="533">
                  <c:v>92151.8</c:v>
                </c:pt>
                <c:pt idx="534">
                  <c:v>92151.8</c:v>
                </c:pt>
                <c:pt idx="535">
                  <c:v>92678.2</c:v>
                </c:pt>
                <c:pt idx="536">
                  <c:v>91738.2</c:v>
                </c:pt>
                <c:pt idx="537">
                  <c:v>90506.8</c:v>
                </c:pt>
                <c:pt idx="538">
                  <c:v>90154.3</c:v>
                </c:pt>
                <c:pt idx="539">
                  <c:v>90300</c:v>
                </c:pt>
                <c:pt idx="540">
                  <c:v>90887.5</c:v>
                </c:pt>
                <c:pt idx="541">
                  <c:v>91061.4</c:v>
                </c:pt>
                <c:pt idx="542">
                  <c:v>90887.5</c:v>
                </c:pt>
                <c:pt idx="543">
                  <c:v>90680.7</c:v>
                </c:pt>
                <c:pt idx="544">
                  <c:v>89362.5</c:v>
                </c:pt>
                <c:pt idx="545">
                  <c:v>85466.200000000012</c:v>
                </c:pt>
                <c:pt idx="546">
                  <c:v>85466.200000000012</c:v>
                </c:pt>
                <c:pt idx="547">
                  <c:v>82994</c:v>
                </c:pt>
                <c:pt idx="548">
                  <c:v>87167.6</c:v>
                </c:pt>
                <c:pt idx="549">
                  <c:v>86302.800000000017</c:v>
                </c:pt>
                <c:pt idx="550">
                  <c:v>84291.200000000012</c:v>
                </c:pt>
                <c:pt idx="551">
                  <c:v>85405.1</c:v>
                </c:pt>
                <c:pt idx="552">
                  <c:v>86763.400000000009</c:v>
                </c:pt>
                <c:pt idx="553">
                  <c:v>84601.4</c:v>
                </c:pt>
                <c:pt idx="554">
                  <c:v>84601.4</c:v>
                </c:pt>
                <c:pt idx="555">
                  <c:v>87383.799999999988</c:v>
                </c:pt>
                <c:pt idx="556">
                  <c:v>85654.2</c:v>
                </c:pt>
                <c:pt idx="557">
                  <c:v>85870.400000000009</c:v>
                </c:pt>
                <c:pt idx="558">
                  <c:v>85499.1</c:v>
                </c:pt>
                <c:pt idx="559">
                  <c:v>85188.9</c:v>
                </c:pt>
                <c:pt idx="560">
                  <c:v>85433.3</c:v>
                </c:pt>
                <c:pt idx="561">
                  <c:v>85898.6</c:v>
                </c:pt>
                <c:pt idx="562">
                  <c:v>86331</c:v>
                </c:pt>
                <c:pt idx="563">
                  <c:v>86519</c:v>
                </c:pt>
                <c:pt idx="564">
                  <c:v>98295</c:v>
                </c:pt>
                <c:pt idx="565">
                  <c:v>98295</c:v>
                </c:pt>
                <c:pt idx="566">
                  <c:v>95597.2</c:v>
                </c:pt>
                <c:pt idx="567">
                  <c:v>97627.6</c:v>
                </c:pt>
                <c:pt idx="568">
                  <c:v>100513.40000000001</c:v>
                </c:pt>
                <c:pt idx="569">
                  <c:v>100057.5</c:v>
                </c:pt>
                <c:pt idx="570">
                  <c:v>100057.5</c:v>
                </c:pt>
                <c:pt idx="571">
                  <c:v>100057.5</c:v>
                </c:pt>
                <c:pt idx="572">
                  <c:v>100057.5</c:v>
                </c:pt>
                <c:pt idx="573">
                  <c:v>101444</c:v>
                </c:pt>
                <c:pt idx="574">
                  <c:v>101768.3</c:v>
                </c:pt>
                <c:pt idx="575">
                  <c:v>99709.7</c:v>
                </c:pt>
                <c:pt idx="576">
                  <c:v>100245.5</c:v>
                </c:pt>
                <c:pt idx="577">
                  <c:v>101928.1</c:v>
                </c:pt>
                <c:pt idx="578">
                  <c:v>101711.90000000002</c:v>
                </c:pt>
                <c:pt idx="579">
                  <c:v>101711.90000000002</c:v>
                </c:pt>
                <c:pt idx="580">
                  <c:v>102355.80000000002</c:v>
                </c:pt>
                <c:pt idx="581">
                  <c:v>102355.80000000002</c:v>
                </c:pt>
                <c:pt idx="582">
                  <c:v>102355.80000000002</c:v>
                </c:pt>
                <c:pt idx="583">
                  <c:v>102595.50000000001</c:v>
                </c:pt>
                <c:pt idx="584">
                  <c:v>102807.00000000003</c:v>
                </c:pt>
                <c:pt idx="585">
                  <c:v>102807.00000000003</c:v>
                </c:pt>
                <c:pt idx="586">
                  <c:v>114865.00000000003</c:v>
                </c:pt>
                <c:pt idx="587">
                  <c:v>114865.00000000003</c:v>
                </c:pt>
                <c:pt idx="588">
                  <c:v>114865.00000000003</c:v>
                </c:pt>
                <c:pt idx="589">
                  <c:v>114865.00000000003</c:v>
                </c:pt>
                <c:pt idx="590">
                  <c:v>115870.80000000003</c:v>
                </c:pt>
                <c:pt idx="591">
                  <c:v>122056.00000000001</c:v>
                </c:pt>
                <c:pt idx="592">
                  <c:v>123395.50000000003</c:v>
                </c:pt>
                <c:pt idx="593">
                  <c:v>125078.10000000005</c:v>
                </c:pt>
                <c:pt idx="594">
                  <c:v>126643.20000000004</c:v>
                </c:pt>
                <c:pt idx="595">
                  <c:v>129552.50000000004</c:v>
                </c:pt>
                <c:pt idx="596">
                  <c:v>129552.50000000004</c:v>
                </c:pt>
                <c:pt idx="597">
                  <c:v>129552.50000000004</c:v>
                </c:pt>
                <c:pt idx="598">
                  <c:v>129552.50000000004</c:v>
                </c:pt>
                <c:pt idx="599">
                  <c:v>130558.30000000006</c:v>
                </c:pt>
                <c:pt idx="600">
                  <c:v>129886.20000000004</c:v>
                </c:pt>
                <c:pt idx="601">
                  <c:v>129886.20000000004</c:v>
                </c:pt>
                <c:pt idx="602">
                  <c:v>128208.30000000008</c:v>
                </c:pt>
                <c:pt idx="603">
                  <c:v>128208.30000000008</c:v>
                </c:pt>
                <c:pt idx="604">
                  <c:v>128208.30000000008</c:v>
                </c:pt>
                <c:pt idx="605">
                  <c:v>128123.70000000004</c:v>
                </c:pt>
                <c:pt idx="606">
                  <c:v>128015.60000000006</c:v>
                </c:pt>
                <c:pt idx="607">
                  <c:v>128015.60000000006</c:v>
                </c:pt>
                <c:pt idx="608">
                  <c:v>132022.50000000006</c:v>
                </c:pt>
                <c:pt idx="609">
                  <c:v>129230.70000000006</c:v>
                </c:pt>
                <c:pt idx="610">
                  <c:v>129230.70000000006</c:v>
                </c:pt>
                <c:pt idx="611">
                  <c:v>128732.50000000006</c:v>
                </c:pt>
                <c:pt idx="612">
                  <c:v>128732.50000000006</c:v>
                </c:pt>
                <c:pt idx="613">
                  <c:v>128290.70000000006</c:v>
                </c:pt>
                <c:pt idx="614">
                  <c:v>127059.30000000006</c:v>
                </c:pt>
                <c:pt idx="615">
                  <c:v>127059.30000000006</c:v>
                </c:pt>
                <c:pt idx="616">
                  <c:v>127059.30000000006</c:v>
                </c:pt>
                <c:pt idx="617">
                  <c:v>127059.30000000006</c:v>
                </c:pt>
                <c:pt idx="618">
                  <c:v>127059.30000000006</c:v>
                </c:pt>
                <c:pt idx="619">
                  <c:v>127059.30000000006</c:v>
                </c:pt>
                <c:pt idx="620">
                  <c:v>126824.30000000006</c:v>
                </c:pt>
                <c:pt idx="621">
                  <c:v>128262.50000000006</c:v>
                </c:pt>
                <c:pt idx="622">
                  <c:v>129672.50000000006</c:v>
                </c:pt>
                <c:pt idx="623">
                  <c:v>131138.90000000005</c:v>
                </c:pt>
                <c:pt idx="624">
                  <c:v>131138.90000000005</c:v>
                </c:pt>
                <c:pt idx="625">
                  <c:v>130668.90000000005</c:v>
                </c:pt>
                <c:pt idx="626">
                  <c:v>129879.30000000006</c:v>
                </c:pt>
                <c:pt idx="627">
                  <c:v>129996.80000000006</c:v>
                </c:pt>
                <c:pt idx="628">
                  <c:v>129996.80000000006</c:v>
                </c:pt>
                <c:pt idx="629">
                  <c:v>133905.00000000006</c:v>
                </c:pt>
                <c:pt idx="630">
                  <c:v>137270.20000000007</c:v>
                </c:pt>
                <c:pt idx="631">
                  <c:v>139404.00000000009</c:v>
                </c:pt>
                <c:pt idx="632">
                  <c:v>138896.40000000008</c:v>
                </c:pt>
                <c:pt idx="633">
                  <c:v>141302.80000000008</c:v>
                </c:pt>
                <c:pt idx="634">
                  <c:v>140846.90000000008</c:v>
                </c:pt>
                <c:pt idx="635">
                  <c:v>140419.20000000007</c:v>
                </c:pt>
                <c:pt idx="636">
                  <c:v>141222.90000000008</c:v>
                </c:pt>
                <c:pt idx="637">
                  <c:v>142341.50000000009</c:v>
                </c:pt>
                <c:pt idx="638">
                  <c:v>142341.50000000009</c:v>
                </c:pt>
                <c:pt idx="639">
                  <c:v>142341.50000000009</c:v>
                </c:pt>
                <c:pt idx="640">
                  <c:v>141754.00000000009</c:v>
                </c:pt>
                <c:pt idx="641">
                  <c:v>140955.00000000006</c:v>
                </c:pt>
                <c:pt idx="642">
                  <c:v>140955.00000000006</c:v>
                </c:pt>
                <c:pt idx="643">
                  <c:v>140315.80000000008</c:v>
                </c:pt>
                <c:pt idx="644">
                  <c:v>140687.10000000003</c:v>
                </c:pt>
                <c:pt idx="645">
                  <c:v>141006.70000000001</c:v>
                </c:pt>
                <c:pt idx="646">
                  <c:v>141274.60000000003</c:v>
                </c:pt>
                <c:pt idx="647">
                  <c:v>141918.50000000003</c:v>
                </c:pt>
                <c:pt idx="648">
                  <c:v>142078.30000000005</c:v>
                </c:pt>
                <c:pt idx="649">
                  <c:v>142181.70000000001</c:v>
                </c:pt>
                <c:pt idx="650">
                  <c:v>142238.10000000003</c:v>
                </c:pt>
                <c:pt idx="651">
                  <c:v>152825.00000000003</c:v>
                </c:pt>
                <c:pt idx="652">
                  <c:v>153948.30000000005</c:v>
                </c:pt>
                <c:pt idx="653">
                  <c:v>153948.30000000005</c:v>
                </c:pt>
                <c:pt idx="654">
                  <c:v>157149.00000000006</c:v>
                </c:pt>
                <c:pt idx="655">
                  <c:v>157149.00000000006</c:v>
                </c:pt>
                <c:pt idx="656">
                  <c:v>157633.10000000006</c:v>
                </c:pt>
                <c:pt idx="657">
                  <c:v>157177.20000000007</c:v>
                </c:pt>
                <c:pt idx="658">
                  <c:v>157177.20000000007</c:v>
                </c:pt>
                <c:pt idx="659">
                  <c:v>157576.70000000004</c:v>
                </c:pt>
                <c:pt idx="660">
                  <c:v>157576.70000000004</c:v>
                </c:pt>
                <c:pt idx="661">
                  <c:v>157576.70000000004</c:v>
                </c:pt>
                <c:pt idx="662">
                  <c:v>157576.70000000004</c:v>
                </c:pt>
                <c:pt idx="663">
                  <c:v>157872.80000000005</c:v>
                </c:pt>
                <c:pt idx="664">
                  <c:v>157872.80000000005</c:v>
                </c:pt>
                <c:pt idx="665">
                  <c:v>157872.80000000005</c:v>
                </c:pt>
                <c:pt idx="666">
                  <c:v>157872.80000000005</c:v>
                </c:pt>
                <c:pt idx="667">
                  <c:v>158432.10000000003</c:v>
                </c:pt>
                <c:pt idx="668">
                  <c:v>158591.90000000002</c:v>
                </c:pt>
                <c:pt idx="669">
                  <c:v>158859.80000000005</c:v>
                </c:pt>
                <c:pt idx="670">
                  <c:v>158859.80000000005</c:v>
                </c:pt>
                <c:pt idx="671">
                  <c:v>158859.80000000005</c:v>
                </c:pt>
                <c:pt idx="672">
                  <c:v>158859.80000000005</c:v>
                </c:pt>
                <c:pt idx="673">
                  <c:v>158888.00000000006</c:v>
                </c:pt>
                <c:pt idx="674">
                  <c:v>165282.50000000006</c:v>
                </c:pt>
                <c:pt idx="675">
                  <c:v>169756.90000000005</c:v>
                </c:pt>
                <c:pt idx="676">
                  <c:v>171886.00000000006</c:v>
                </c:pt>
                <c:pt idx="677">
                  <c:v>174908.10000000009</c:v>
                </c:pt>
                <c:pt idx="678">
                  <c:v>175857.50000000009</c:v>
                </c:pt>
                <c:pt idx="679">
                  <c:v>175857.50000000009</c:v>
                </c:pt>
                <c:pt idx="680">
                  <c:v>175857.50000000009</c:v>
                </c:pt>
                <c:pt idx="681">
                  <c:v>175857.50000000009</c:v>
                </c:pt>
                <c:pt idx="682">
                  <c:v>177314.50000000009</c:v>
                </c:pt>
                <c:pt idx="683">
                  <c:v>178320.30000000008</c:v>
                </c:pt>
                <c:pt idx="684">
                  <c:v>178320.30000000008</c:v>
                </c:pt>
                <c:pt idx="685">
                  <c:v>178320.30000000008</c:v>
                </c:pt>
                <c:pt idx="686">
                  <c:v>178823.20000000007</c:v>
                </c:pt>
                <c:pt idx="687">
                  <c:v>179048.80000000008</c:v>
                </c:pt>
                <c:pt idx="688">
                  <c:v>180026.40000000005</c:v>
                </c:pt>
                <c:pt idx="689">
                  <c:v>182038.00000000006</c:v>
                </c:pt>
                <c:pt idx="690">
                  <c:v>182038.00000000006</c:v>
                </c:pt>
                <c:pt idx="691">
                  <c:v>182038.00000000006</c:v>
                </c:pt>
                <c:pt idx="692">
                  <c:v>182038.00000000006</c:v>
                </c:pt>
                <c:pt idx="693">
                  <c:v>182038.00000000006</c:v>
                </c:pt>
                <c:pt idx="694">
                  <c:v>182038.00000000006</c:v>
                </c:pt>
                <c:pt idx="695">
                  <c:v>193015.00000000006</c:v>
                </c:pt>
                <c:pt idx="696">
                  <c:v>193015.00000000006</c:v>
                </c:pt>
                <c:pt idx="697">
                  <c:v>193015.00000000006</c:v>
                </c:pt>
                <c:pt idx="698">
                  <c:v>193517.90000000008</c:v>
                </c:pt>
                <c:pt idx="699">
                  <c:v>193517.90000000008</c:v>
                </c:pt>
                <c:pt idx="700">
                  <c:v>194472.00000000009</c:v>
                </c:pt>
                <c:pt idx="701">
                  <c:v>194472.00000000009</c:v>
                </c:pt>
                <c:pt idx="702">
                  <c:v>194472.00000000009</c:v>
                </c:pt>
                <c:pt idx="703">
                  <c:v>192122.00000000009</c:v>
                </c:pt>
                <c:pt idx="704">
                  <c:v>190665.00000000009</c:v>
                </c:pt>
                <c:pt idx="705">
                  <c:v>190331.3000000001</c:v>
                </c:pt>
                <c:pt idx="706">
                  <c:v>191252.50000000009</c:v>
                </c:pt>
                <c:pt idx="707">
                  <c:v>191811.8000000001</c:v>
                </c:pt>
                <c:pt idx="708">
                  <c:v>191811.8000000001</c:v>
                </c:pt>
                <c:pt idx="709">
                  <c:v>192037.40000000011</c:v>
                </c:pt>
                <c:pt idx="710">
                  <c:v>192037.40000000011</c:v>
                </c:pt>
                <c:pt idx="711">
                  <c:v>192371.10000000009</c:v>
                </c:pt>
                <c:pt idx="712">
                  <c:v>191952.80000000008</c:v>
                </c:pt>
                <c:pt idx="713">
                  <c:v>191614.40000000008</c:v>
                </c:pt>
                <c:pt idx="714">
                  <c:v>191614.40000000008</c:v>
                </c:pt>
                <c:pt idx="715">
                  <c:v>191614.40000000008</c:v>
                </c:pt>
                <c:pt idx="716">
                  <c:v>191478.10000000009</c:v>
                </c:pt>
                <c:pt idx="717">
                  <c:v>184910.00000000009</c:v>
                </c:pt>
                <c:pt idx="718">
                  <c:v>184350.70000000007</c:v>
                </c:pt>
                <c:pt idx="719">
                  <c:v>185953.40000000008</c:v>
                </c:pt>
                <c:pt idx="720">
                  <c:v>185445.8000000001</c:v>
                </c:pt>
                <c:pt idx="721">
                  <c:v>185445.8000000001</c:v>
                </c:pt>
                <c:pt idx="722">
                  <c:v>183626.90000000008</c:v>
                </c:pt>
                <c:pt idx="723">
                  <c:v>182771.50000000012</c:v>
                </c:pt>
                <c:pt idx="724">
                  <c:v>181173.50000000009</c:v>
                </c:pt>
                <c:pt idx="725">
                  <c:v>181920.8000000001</c:v>
                </c:pt>
                <c:pt idx="726">
                  <c:v>181573.00000000009</c:v>
                </c:pt>
                <c:pt idx="727">
                  <c:v>181681.10000000009</c:v>
                </c:pt>
                <c:pt idx="728">
                  <c:v>182607.00000000009</c:v>
                </c:pt>
                <c:pt idx="729">
                  <c:v>183899.50000000009</c:v>
                </c:pt>
                <c:pt idx="730">
                  <c:v>183937.10000000006</c:v>
                </c:pt>
                <c:pt idx="731">
                  <c:v>184045.20000000007</c:v>
                </c:pt>
                <c:pt idx="732">
                  <c:v>184139.20000000004</c:v>
                </c:pt>
                <c:pt idx="733">
                  <c:v>184059.30000000005</c:v>
                </c:pt>
                <c:pt idx="734">
                  <c:v>184073.40000000005</c:v>
                </c:pt>
                <c:pt idx="735">
                  <c:v>183659.80000000005</c:v>
                </c:pt>
                <c:pt idx="736">
                  <c:v>183631.60000000003</c:v>
                </c:pt>
                <c:pt idx="737">
                  <c:v>183283.80000000005</c:v>
                </c:pt>
                <c:pt idx="738">
                  <c:v>183307.30000000005</c:v>
                </c:pt>
                <c:pt idx="739">
                  <c:v>179155.00000000006</c:v>
                </c:pt>
                <c:pt idx="740">
                  <c:v>180268.90000000005</c:v>
                </c:pt>
                <c:pt idx="741">
                  <c:v>180268.90000000005</c:v>
                </c:pt>
                <c:pt idx="742">
                  <c:v>180268.90000000005</c:v>
                </c:pt>
                <c:pt idx="743">
                  <c:v>178858.90000000005</c:v>
                </c:pt>
                <c:pt idx="744">
                  <c:v>178858.90000000005</c:v>
                </c:pt>
                <c:pt idx="745">
                  <c:v>178858.90000000005</c:v>
                </c:pt>
                <c:pt idx="746">
                  <c:v>178858.90000000005</c:v>
                </c:pt>
                <c:pt idx="747">
                  <c:v>180268.90000000005</c:v>
                </c:pt>
                <c:pt idx="748">
                  <c:v>179949.30000000005</c:v>
                </c:pt>
                <c:pt idx="749">
                  <c:v>179949.30000000005</c:v>
                </c:pt>
                <c:pt idx="750">
                  <c:v>178891.80000000005</c:v>
                </c:pt>
                <c:pt idx="751">
                  <c:v>178656.80000000005</c:v>
                </c:pt>
                <c:pt idx="752">
                  <c:v>179681.40000000002</c:v>
                </c:pt>
                <c:pt idx="753">
                  <c:v>178802.50000000003</c:v>
                </c:pt>
                <c:pt idx="754">
                  <c:v>179093.90000000002</c:v>
                </c:pt>
                <c:pt idx="755">
                  <c:v>178858.90000000002</c:v>
                </c:pt>
                <c:pt idx="756">
                  <c:v>178774.30000000005</c:v>
                </c:pt>
                <c:pt idx="757">
                  <c:v>178774.30000000005</c:v>
                </c:pt>
                <c:pt idx="758">
                  <c:v>178774.30000000005</c:v>
                </c:pt>
                <c:pt idx="759">
                  <c:v>178741.40000000002</c:v>
                </c:pt>
                <c:pt idx="760">
                  <c:v>177512.50000000003</c:v>
                </c:pt>
                <c:pt idx="761">
                  <c:v>177512.50000000003</c:v>
                </c:pt>
                <c:pt idx="762">
                  <c:v>177512.50000000003</c:v>
                </c:pt>
                <c:pt idx="763">
                  <c:v>178020.1</c:v>
                </c:pt>
                <c:pt idx="764">
                  <c:v>179942.40000000002</c:v>
                </c:pt>
                <c:pt idx="765">
                  <c:v>178579.4</c:v>
                </c:pt>
                <c:pt idx="766">
                  <c:v>178579.4</c:v>
                </c:pt>
                <c:pt idx="767">
                  <c:v>178179.90000000002</c:v>
                </c:pt>
                <c:pt idx="768">
                  <c:v>178555.90000000002</c:v>
                </c:pt>
                <c:pt idx="769">
                  <c:v>178899.00000000003</c:v>
                </c:pt>
                <c:pt idx="770">
                  <c:v>178899.00000000003</c:v>
                </c:pt>
                <c:pt idx="771">
                  <c:v>178899.00000000003</c:v>
                </c:pt>
                <c:pt idx="772">
                  <c:v>178635.80000000005</c:v>
                </c:pt>
                <c:pt idx="773">
                  <c:v>178635.80000000005</c:v>
                </c:pt>
                <c:pt idx="774">
                  <c:v>178635.80000000005</c:v>
                </c:pt>
                <c:pt idx="775">
                  <c:v>178447.80000000002</c:v>
                </c:pt>
                <c:pt idx="776">
                  <c:v>178447.80000000002</c:v>
                </c:pt>
                <c:pt idx="777">
                  <c:v>178447.80000000002</c:v>
                </c:pt>
                <c:pt idx="778">
                  <c:v>178447.80000000002</c:v>
                </c:pt>
                <c:pt idx="779">
                  <c:v>178339.70000000004</c:v>
                </c:pt>
                <c:pt idx="780">
                  <c:v>178499.50000000003</c:v>
                </c:pt>
                <c:pt idx="781">
                  <c:v>178607.6</c:v>
                </c:pt>
                <c:pt idx="782">
                  <c:v>178659.30000000002</c:v>
                </c:pt>
                <c:pt idx="783">
                  <c:v>178807.5</c:v>
                </c:pt>
                <c:pt idx="784">
                  <c:v>178807.5</c:v>
                </c:pt>
                <c:pt idx="785">
                  <c:v>178807.5</c:v>
                </c:pt>
                <c:pt idx="786">
                  <c:v>178807.5</c:v>
                </c:pt>
                <c:pt idx="787">
                  <c:v>178807.5</c:v>
                </c:pt>
                <c:pt idx="788">
                  <c:v>178807.5</c:v>
                </c:pt>
                <c:pt idx="789">
                  <c:v>179239.90000000002</c:v>
                </c:pt>
                <c:pt idx="790">
                  <c:v>178840.40000000002</c:v>
                </c:pt>
                <c:pt idx="791">
                  <c:v>178840.40000000002</c:v>
                </c:pt>
                <c:pt idx="792">
                  <c:v>178497.30000000002</c:v>
                </c:pt>
                <c:pt idx="793">
                  <c:v>178497.30000000002</c:v>
                </c:pt>
                <c:pt idx="794">
                  <c:v>178497.30000000002</c:v>
                </c:pt>
                <c:pt idx="795">
                  <c:v>178497.30000000002</c:v>
                </c:pt>
                <c:pt idx="796">
                  <c:v>179982.50000000003</c:v>
                </c:pt>
                <c:pt idx="797">
                  <c:v>180414.90000000005</c:v>
                </c:pt>
                <c:pt idx="798">
                  <c:v>180602.90000000005</c:v>
                </c:pt>
                <c:pt idx="799">
                  <c:v>181063.50000000003</c:v>
                </c:pt>
                <c:pt idx="800">
                  <c:v>181063.50000000003</c:v>
                </c:pt>
                <c:pt idx="801">
                  <c:v>181063.50000000003</c:v>
                </c:pt>
                <c:pt idx="802">
                  <c:v>181063.50000000003</c:v>
                </c:pt>
                <c:pt idx="803">
                  <c:v>181063.50000000003</c:v>
                </c:pt>
                <c:pt idx="804">
                  <c:v>186565.00000000006</c:v>
                </c:pt>
                <c:pt idx="805">
                  <c:v>186565.00000000006</c:v>
                </c:pt>
                <c:pt idx="806">
                  <c:v>186565.00000000006</c:v>
                </c:pt>
                <c:pt idx="807">
                  <c:v>186565.00000000006</c:v>
                </c:pt>
                <c:pt idx="808">
                  <c:v>186565.00000000006</c:v>
                </c:pt>
                <c:pt idx="809">
                  <c:v>186565.00000000006</c:v>
                </c:pt>
                <c:pt idx="810">
                  <c:v>186565.00000000006</c:v>
                </c:pt>
                <c:pt idx="811">
                  <c:v>186565.00000000006</c:v>
                </c:pt>
                <c:pt idx="812">
                  <c:v>188769.30000000005</c:v>
                </c:pt>
                <c:pt idx="813">
                  <c:v>188769.30000000005</c:v>
                </c:pt>
                <c:pt idx="814">
                  <c:v>188769.30000000005</c:v>
                </c:pt>
                <c:pt idx="815">
                  <c:v>188769.30000000005</c:v>
                </c:pt>
                <c:pt idx="816">
                  <c:v>188769.30000000005</c:v>
                </c:pt>
                <c:pt idx="817">
                  <c:v>189004.30000000005</c:v>
                </c:pt>
                <c:pt idx="818">
                  <c:v>188797.50000000006</c:v>
                </c:pt>
                <c:pt idx="819">
                  <c:v>188797.50000000006</c:v>
                </c:pt>
                <c:pt idx="820">
                  <c:v>188797.50000000006</c:v>
                </c:pt>
                <c:pt idx="821">
                  <c:v>188327.50000000006</c:v>
                </c:pt>
                <c:pt idx="822">
                  <c:v>188327.50000000006</c:v>
                </c:pt>
                <c:pt idx="823">
                  <c:v>187857.50000000006</c:v>
                </c:pt>
                <c:pt idx="824">
                  <c:v>187857.50000000006</c:v>
                </c:pt>
                <c:pt idx="825">
                  <c:v>183160.00000000006</c:v>
                </c:pt>
                <c:pt idx="826">
                  <c:v>183160.00000000006</c:v>
                </c:pt>
                <c:pt idx="827">
                  <c:v>181021.50000000006</c:v>
                </c:pt>
                <c:pt idx="828">
                  <c:v>181021.50000000006</c:v>
                </c:pt>
                <c:pt idx="829">
                  <c:v>178619.80000000005</c:v>
                </c:pt>
                <c:pt idx="830">
                  <c:v>178619.80000000005</c:v>
                </c:pt>
                <c:pt idx="831">
                  <c:v>177764.40000000002</c:v>
                </c:pt>
                <c:pt idx="832">
                  <c:v>176965.40000000005</c:v>
                </c:pt>
                <c:pt idx="833">
                  <c:v>176965.40000000005</c:v>
                </c:pt>
                <c:pt idx="834">
                  <c:v>176965.40000000005</c:v>
                </c:pt>
                <c:pt idx="835">
                  <c:v>176645.80000000005</c:v>
                </c:pt>
                <c:pt idx="836">
                  <c:v>176645.80000000005</c:v>
                </c:pt>
                <c:pt idx="837">
                  <c:v>175574.2</c:v>
                </c:pt>
                <c:pt idx="838">
                  <c:v>175574.2</c:v>
                </c:pt>
                <c:pt idx="839">
                  <c:v>175574.2</c:v>
                </c:pt>
                <c:pt idx="840">
                  <c:v>175574.2</c:v>
                </c:pt>
                <c:pt idx="841">
                  <c:v>175574.2</c:v>
                </c:pt>
                <c:pt idx="842">
                  <c:v>175574.2</c:v>
                </c:pt>
                <c:pt idx="843">
                  <c:v>175574.2</c:v>
                </c:pt>
                <c:pt idx="844">
                  <c:v>175574.2</c:v>
                </c:pt>
                <c:pt idx="845">
                  <c:v>175574.2</c:v>
                </c:pt>
                <c:pt idx="846">
                  <c:v>175574.2</c:v>
                </c:pt>
                <c:pt idx="847">
                  <c:v>175842.10000000003</c:v>
                </c:pt>
                <c:pt idx="848">
                  <c:v>175642.50000000006</c:v>
                </c:pt>
                <c:pt idx="849">
                  <c:v>175642.50000000006</c:v>
                </c:pt>
                <c:pt idx="850">
                  <c:v>177235.80000000008</c:v>
                </c:pt>
                <c:pt idx="851">
                  <c:v>177235.80000000008</c:v>
                </c:pt>
                <c:pt idx="852">
                  <c:v>176761.10000000006</c:v>
                </c:pt>
                <c:pt idx="853">
                  <c:v>177658.80000000008</c:v>
                </c:pt>
                <c:pt idx="854">
                  <c:v>177658.80000000008</c:v>
                </c:pt>
                <c:pt idx="855">
                  <c:v>177658.80000000008</c:v>
                </c:pt>
                <c:pt idx="856">
                  <c:v>177292.20000000007</c:v>
                </c:pt>
                <c:pt idx="857">
                  <c:v>177292.20000000007</c:v>
                </c:pt>
                <c:pt idx="858">
                  <c:v>177602.40000000008</c:v>
                </c:pt>
                <c:pt idx="859">
                  <c:v>177602.40000000008</c:v>
                </c:pt>
                <c:pt idx="860">
                  <c:v>176591.90000000005</c:v>
                </c:pt>
                <c:pt idx="861">
                  <c:v>175698.90000000005</c:v>
                </c:pt>
                <c:pt idx="862">
                  <c:v>175698.90000000005</c:v>
                </c:pt>
                <c:pt idx="863">
                  <c:v>175698.90000000005</c:v>
                </c:pt>
                <c:pt idx="864">
                  <c:v>175698.90000000005</c:v>
                </c:pt>
                <c:pt idx="865">
                  <c:v>175698.90000000005</c:v>
                </c:pt>
                <c:pt idx="866">
                  <c:v>175698.90000000005</c:v>
                </c:pt>
                <c:pt idx="867">
                  <c:v>175698.90000000005</c:v>
                </c:pt>
                <c:pt idx="868">
                  <c:v>175698.90000000005</c:v>
                </c:pt>
                <c:pt idx="869">
                  <c:v>174000.00000000006</c:v>
                </c:pt>
                <c:pt idx="870">
                  <c:v>174000.00000000006</c:v>
                </c:pt>
                <c:pt idx="871">
                  <c:v>174000.00000000006</c:v>
                </c:pt>
                <c:pt idx="872">
                  <c:v>174000.00000000006</c:v>
                </c:pt>
                <c:pt idx="873">
                  <c:v>175903.50000000006</c:v>
                </c:pt>
                <c:pt idx="874">
                  <c:v>174112.80000000005</c:v>
                </c:pt>
                <c:pt idx="875">
                  <c:v>174531.10000000006</c:v>
                </c:pt>
                <c:pt idx="876">
                  <c:v>175706.10000000006</c:v>
                </c:pt>
                <c:pt idx="877">
                  <c:v>175706.10000000006</c:v>
                </c:pt>
                <c:pt idx="878">
                  <c:v>175706.10000000006</c:v>
                </c:pt>
                <c:pt idx="879">
                  <c:v>175706.10000000006</c:v>
                </c:pt>
                <c:pt idx="880">
                  <c:v>175706.10000000006</c:v>
                </c:pt>
                <c:pt idx="881">
                  <c:v>175706.10000000006</c:v>
                </c:pt>
                <c:pt idx="882">
                  <c:v>175706.10000000006</c:v>
                </c:pt>
                <c:pt idx="883">
                  <c:v>175706.10000000006</c:v>
                </c:pt>
                <c:pt idx="884">
                  <c:v>175706.10000000006</c:v>
                </c:pt>
                <c:pt idx="885">
                  <c:v>175287.80000000005</c:v>
                </c:pt>
                <c:pt idx="886">
                  <c:v>175287.80000000005</c:v>
                </c:pt>
                <c:pt idx="887">
                  <c:v>175287.80000000005</c:v>
                </c:pt>
                <c:pt idx="888">
                  <c:v>175287.80000000005</c:v>
                </c:pt>
                <c:pt idx="889">
                  <c:v>175287.80000000005</c:v>
                </c:pt>
                <c:pt idx="890">
                  <c:v>175259.60000000003</c:v>
                </c:pt>
                <c:pt idx="891">
                  <c:v>174120.00000000006</c:v>
                </c:pt>
                <c:pt idx="892">
                  <c:v>174120.00000000006</c:v>
                </c:pt>
                <c:pt idx="893">
                  <c:v>174120.00000000006</c:v>
                </c:pt>
                <c:pt idx="894">
                  <c:v>174120.00000000006</c:v>
                </c:pt>
                <c:pt idx="895">
                  <c:v>174120.00000000006</c:v>
                </c:pt>
                <c:pt idx="896">
                  <c:v>175027.10000000003</c:v>
                </c:pt>
                <c:pt idx="897">
                  <c:v>174599.40000000002</c:v>
                </c:pt>
                <c:pt idx="898">
                  <c:v>174998.90000000002</c:v>
                </c:pt>
                <c:pt idx="899">
                  <c:v>174627.6</c:v>
                </c:pt>
                <c:pt idx="900">
                  <c:v>174279.80000000002</c:v>
                </c:pt>
                <c:pt idx="901">
                  <c:v>173321</c:v>
                </c:pt>
                <c:pt idx="902">
                  <c:v>173321</c:v>
                </c:pt>
                <c:pt idx="903">
                  <c:v>173321</c:v>
                </c:pt>
                <c:pt idx="904">
                  <c:v>173321</c:v>
                </c:pt>
                <c:pt idx="905">
                  <c:v>173321</c:v>
                </c:pt>
                <c:pt idx="906">
                  <c:v>173321</c:v>
                </c:pt>
                <c:pt idx="907">
                  <c:v>173321</c:v>
                </c:pt>
                <c:pt idx="908">
                  <c:v>173584.2</c:v>
                </c:pt>
                <c:pt idx="909">
                  <c:v>173692.30000000002</c:v>
                </c:pt>
                <c:pt idx="910">
                  <c:v>173612.40000000002</c:v>
                </c:pt>
                <c:pt idx="911">
                  <c:v>173664.1</c:v>
                </c:pt>
                <c:pt idx="912">
                  <c:v>173612.40000000002</c:v>
                </c:pt>
                <c:pt idx="913">
                  <c:v>173065</c:v>
                </c:pt>
                <c:pt idx="914">
                  <c:v>173065</c:v>
                </c:pt>
                <c:pt idx="915">
                  <c:v>173065</c:v>
                </c:pt>
                <c:pt idx="916">
                  <c:v>173065</c:v>
                </c:pt>
                <c:pt idx="917">
                  <c:v>174564.3</c:v>
                </c:pt>
                <c:pt idx="918">
                  <c:v>174564.3</c:v>
                </c:pt>
                <c:pt idx="919">
                  <c:v>174564.3</c:v>
                </c:pt>
                <c:pt idx="920">
                  <c:v>173328.19999999998</c:v>
                </c:pt>
                <c:pt idx="921">
                  <c:v>173328.19999999998</c:v>
                </c:pt>
                <c:pt idx="922">
                  <c:v>173328.19999999998</c:v>
                </c:pt>
                <c:pt idx="923">
                  <c:v>173328.19999999998</c:v>
                </c:pt>
                <c:pt idx="924">
                  <c:v>173328.19999999998</c:v>
                </c:pt>
                <c:pt idx="925">
                  <c:v>172270.69999999998</c:v>
                </c:pt>
                <c:pt idx="926">
                  <c:v>171800.69999999998</c:v>
                </c:pt>
                <c:pt idx="927">
                  <c:v>171800.69999999998</c:v>
                </c:pt>
                <c:pt idx="928">
                  <c:v>171800.69999999998</c:v>
                </c:pt>
                <c:pt idx="929">
                  <c:v>171509.3</c:v>
                </c:pt>
                <c:pt idx="930">
                  <c:v>171391.8</c:v>
                </c:pt>
                <c:pt idx="931">
                  <c:v>170597.5</c:v>
                </c:pt>
                <c:pt idx="932">
                  <c:v>170362.5</c:v>
                </c:pt>
                <c:pt idx="933">
                  <c:v>170362.5</c:v>
                </c:pt>
                <c:pt idx="934">
                  <c:v>160260</c:v>
                </c:pt>
                <c:pt idx="935">
                  <c:v>160260</c:v>
                </c:pt>
                <c:pt idx="936">
                  <c:v>159188.4</c:v>
                </c:pt>
                <c:pt idx="937">
                  <c:v>154079.5</c:v>
                </c:pt>
                <c:pt idx="938">
                  <c:v>154079.5</c:v>
                </c:pt>
                <c:pt idx="939">
                  <c:v>154079.5</c:v>
                </c:pt>
                <c:pt idx="940">
                  <c:v>151470.99999999997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A62-4F87-94A9-1A58479DCB78}"/>
            </c:ext>
          </c:extLst>
        </c:ser>
        <c:ser>
          <c:idx val="3"/>
          <c:order val="3"/>
          <c:tx>
            <c:strRef>
              <c:f>Data!$L$11</c:f>
              <c:strCache>
                <c:ptCount val="1"/>
                <c:pt idx="0">
                  <c:v>DHP + Long Futures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941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41281</c:v>
                </c:pt>
                <c:pt idx="5">
                  <c:v>41282</c:v>
                </c:pt>
                <c:pt idx="6">
                  <c:v>41283</c:v>
                </c:pt>
                <c:pt idx="7">
                  <c:v>41284</c:v>
                </c:pt>
                <c:pt idx="8">
                  <c:v>41285</c:v>
                </c:pt>
                <c:pt idx="9">
                  <c:v>41288</c:v>
                </c:pt>
                <c:pt idx="10">
                  <c:v>41289</c:v>
                </c:pt>
                <c:pt idx="11">
                  <c:v>41290</c:v>
                </c:pt>
                <c:pt idx="12">
                  <c:v>41291</c:v>
                </c:pt>
                <c:pt idx="13">
                  <c:v>41292</c:v>
                </c:pt>
                <c:pt idx="14">
                  <c:v>41295</c:v>
                </c:pt>
                <c:pt idx="15">
                  <c:v>41296</c:v>
                </c:pt>
                <c:pt idx="16">
                  <c:v>41297</c:v>
                </c:pt>
                <c:pt idx="17">
                  <c:v>41298</c:v>
                </c:pt>
                <c:pt idx="18">
                  <c:v>41299</c:v>
                </c:pt>
                <c:pt idx="19">
                  <c:v>41302</c:v>
                </c:pt>
                <c:pt idx="20">
                  <c:v>41303</c:v>
                </c:pt>
                <c:pt idx="21">
                  <c:v>41304</c:v>
                </c:pt>
                <c:pt idx="22">
                  <c:v>41305</c:v>
                </c:pt>
                <c:pt idx="23">
                  <c:v>41306</c:v>
                </c:pt>
                <c:pt idx="24">
                  <c:v>41309</c:v>
                </c:pt>
                <c:pt idx="25">
                  <c:v>41310</c:v>
                </c:pt>
                <c:pt idx="26">
                  <c:v>41311</c:v>
                </c:pt>
                <c:pt idx="27">
                  <c:v>41312</c:v>
                </c:pt>
                <c:pt idx="28">
                  <c:v>41313</c:v>
                </c:pt>
                <c:pt idx="29">
                  <c:v>41316</c:v>
                </c:pt>
                <c:pt idx="30">
                  <c:v>41317</c:v>
                </c:pt>
                <c:pt idx="31">
                  <c:v>41318</c:v>
                </c:pt>
                <c:pt idx="32">
                  <c:v>41319</c:v>
                </c:pt>
                <c:pt idx="33">
                  <c:v>41320</c:v>
                </c:pt>
                <c:pt idx="34">
                  <c:v>41323</c:v>
                </c:pt>
                <c:pt idx="35">
                  <c:v>41324</c:v>
                </c:pt>
                <c:pt idx="36">
                  <c:v>41325</c:v>
                </c:pt>
                <c:pt idx="37">
                  <c:v>41326</c:v>
                </c:pt>
                <c:pt idx="38">
                  <c:v>41327</c:v>
                </c:pt>
                <c:pt idx="39">
                  <c:v>41330</c:v>
                </c:pt>
                <c:pt idx="40">
                  <c:v>41331</c:v>
                </c:pt>
                <c:pt idx="41">
                  <c:v>41332</c:v>
                </c:pt>
                <c:pt idx="42">
                  <c:v>41333</c:v>
                </c:pt>
                <c:pt idx="43">
                  <c:v>41334</c:v>
                </c:pt>
                <c:pt idx="44">
                  <c:v>41337</c:v>
                </c:pt>
                <c:pt idx="45">
                  <c:v>41338</c:v>
                </c:pt>
                <c:pt idx="46">
                  <c:v>41339</c:v>
                </c:pt>
                <c:pt idx="47">
                  <c:v>41340</c:v>
                </c:pt>
                <c:pt idx="48">
                  <c:v>41341</c:v>
                </c:pt>
                <c:pt idx="49">
                  <c:v>41344</c:v>
                </c:pt>
                <c:pt idx="50">
                  <c:v>41345</c:v>
                </c:pt>
                <c:pt idx="51">
                  <c:v>41346</c:v>
                </c:pt>
                <c:pt idx="52">
                  <c:v>41347</c:v>
                </c:pt>
                <c:pt idx="53">
                  <c:v>41348</c:v>
                </c:pt>
                <c:pt idx="54">
                  <c:v>41351</c:v>
                </c:pt>
                <c:pt idx="55">
                  <c:v>41352</c:v>
                </c:pt>
                <c:pt idx="56">
                  <c:v>41353</c:v>
                </c:pt>
                <c:pt idx="57">
                  <c:v>41354</c:v>
                </c:pt>
                <c:pt idx="58">
                  <c:v>41355</c:v>
                </c:pt>
                <c:pt idx="59">
                  <c:v>41358</c:v>
                </c:pt>
                <c:pt idx="60">
                  <c:v>41359</c:v>
                </c:pt>
                <c:pt idx="61">
                  <c:v>41360</c:v>
                </c:pt>
                <c:pt idx="62">
                  <c:v>41361</c:v>
                </c:pt>
                <c:pt idx="63">
                  <c:v>41362</c:v>
                </c:pt>
                <c:pt idx="64">
                  <c:v>41365</c:v>
                </c:pt>
                <c:pt idx="65">
                  <c:v>41366</c:v>
                </c:pt>
                <c:pt idx="66">
                  <c:v>41367</c:v>
                </c:pt>
                <c:pt idx="67">
                  <c:v>41368</c:v>
                </c:pt>
                <c:pt idx="68">
                  <c:v>41369</c:v>
                </c:pt>
                <c:pt idx="69">
                  <c:v>41372</c:v>
                </c:pt>
                <c:pt idx="70">
                  <c:v>41373</c:v>
                </c:pt>
                <c:pt idx="71">
                  <c:v>41374</c:v>
                </c:pt>
                <c:pt idx="72">
                  <c:v>41375</c:v>
                </c:pt>
                <c:pt idx="73">
                  <c:v>41376</c:v>
                </c:pt>
                <c:pt idx="74">
                  <c:v>41379</c:v>
                </c:pt>
                <c:pt idx="75">
                  <c:v>41380</c:v>
                </c:pt>
                <c:pt idx="76">
                  <c:v>41381</c:v>
                </c:pt>
                <c:pt idx="77">
                  <c:v>41382</c:v>
                </c:pt>
                <c:pt idx="78">
                  <c:v>41383</c:v>
                </c:pt>
                <c:pt idx="79">
                  <c:v>41386</c:v>
                </c:pt>
                <c:pt idx="80">
                  <c:v>41387</c:v>
                </c:pt>
                <c:pt idx="81">
                  <c:v>41388</c:v>
                </c:pt>
                <c:pt idx="82">
                  <c:v>41389</c:v>
                </c:pt>
                <c:pt idx="83">
                  <c:v>41390</c:v>
                </c:pt>
                <c:pt idx="84">
                  <c:v>41393</c:v>
                </c:pt>
                <c:pt idx="85">
                  <c:v>41394</c:v>
                </c:pt>
                <c:pt idx="86">
                  <c:v>41395</c:v>
                </c:pt>
                <c:pt idx="87">
                  <c:v>41396</c:v>
                </c:pt>
                <c:pt idx="88">
                  <c:v>41397</c:v>
                </c:pt>
                <c:pt idx="89">
                  <c:v>41400</c:v>
                </c:pt>
                <c:pt idx="90">
                  <c:v>41401</c:v>
                </c:pt>
                <c:pt idx="91">
                  <c:v>41402</c:v>
                </c:pt>
                <c:pt idx="92">
                  <c:v>41403</c:v>
                </c:pt>
                <c:pt idx="93">
                  <c:v>41404</c:v>
                </c:pt>
                <c:pt idx="94">
                  <c:v>41407</c:v>
                </c:pt>
                <c:pt idx="95">
                  <c:v>41408</c:v>
                </c:pt>
                <c:pt idx="96">
                  <c:v>41409</c:v>
                </c:pt>
                <c:pt idx="97">
                  <c:v>41410</c:v>
                </c:pt>
                <c:pt idx="98">
                  <c:v>41411</c:v>
                </c:pt>
                <c:pt idx="99">
                  <c:v>41414</c:v>
                </c:pt>
                <c:pt idx="100">
                  <c:v>41415</c:v>
                </c:pt>
                <c:pt idx="101">
                  <c:v>41416</c:v>
                </c:pt>
                <c:pt idx="102">
                  <c:v>41417</c:v>
                </c:pt>
                <c:pt idx="103">
                  <c:v>41418</c:v>
                </c:pt>
                <c:pt idx="104">
                  <c:v>41421</c:v>
                </c:pt>
                <c:pt idx="105">
                  <c:v>41422</c:v>
                </c:pt>
                <c:pt idx="106">
                  <c:v>41423</c:v>
                </c:pt>
                <c:pt idx="107">
                  <c:v>41424</c:v>
                </c:pt>
                <c:pt idx="108">
                  <c:v>41425</c:v>
                </c:pt>
                <c:pt idx="109">
                  <c:v>41428</c:v>
                </c:pt>
                <c:pt idx="110">
                  <c:v>41429</c:v>
                </c:pt>
                <c:pt idx="111">
                  <c:v>41430</c:v>
                </c:pt>
                <c:pt idx="112">
                  <c:v>41431</c:v>
                </c:pt>
                <c:pt idx="113">
                  <c:v>41432</c:v>
                </c:pt>
                <c:pt idx="114">
                  <c:v>41435</c:v>
                </c:pt>
                <c:pt idx="115">
                  <c:v>41436</c:v>
                </c:pt>
                <c:pt idx="116">
                  <c:v>41437</c:v>
                </c:pt>
                <c:pt idx="117">
                  <c:v>41438</c:v>
                </c:pt>
                <c:pt idx="118">
                  <c:v>41439</c:v>
                </c:pt>
                <c:pt idx="119">
                  <c:v>41442</c:v>
                </c:pt>
                <c:pt idx="120">
                  <c:v>41443</c:v>
                </c:pt>
                <c:pt idx="121">
                  <c:v>41444</c:v>
                </c:pt>
                <c:pt idx="122">
                  <c:v>41445</c:v>
                </c:pt>
                <c:pt idx="123">
                  <c:v>41446</c:v>
                </c:pt>
                <c:pt idx="124">
                  <c:v>41449</c:v>
                </c:pt>
                <c:pt idx="125">
                  <c:v>41450</c:v>
                </c:pt>
                <c:pt idx="126">
                  <c:v>41451</c:v>
                </c:pt>
                <c:pt idx="127">
                  <c:v>41452</c:v>
                </c:pt>
                <c:pt idx="128">
                  <c:v>41453</c:v>
                </c:pt>
                <c:pt idx="129">
                  <c:v>41456</c:v>
                </c:pt>
                <c:pt idx="130">
                  <c:v>41457</c:v>
                </c:pt>
                <c:pt idx="131">
                  <c:v>41458</c:v>
                </c:pt>
                <c:pt idx="132">
                  <c:v>41459</c:v>
                </c:pt>
                <c:pt idx="133">
                  <c:v>41460</c:v>
                </c:pt>
                <c:pt idx="134">
                  <c:v>41463</c:v>
                </c:pt>
                <c:pt idx="135">
                  <c:v>41464</c:v>
                </c:pt>
                <c:pt idx="136">
                  <c:v>41465</c:v>
                </c:pt>
                <c:pt idx="137">
                  <c:v>41466</c:v>
                </c:pt>
                <c:pt idx="138">
                  <c:v>41467</c:v>
                </c:pt>
                <c:pt idx="139">
                  <c:v>41470</c:v>
                </c:pt>
                <c:pt idx="140">
                  <c:v>41471</c:v>
                </c:pt>
                <c:pt idx="141">
                  <c:v>41472</c:v>
                </c:pt>
                <c:pt idx="142">
                  <c:v>41473</c:v>
                </c:pt>
                <c:pt idx="143">
                  <c:v>41474</c:v>
                </c:pt>
                <c:pt idx="144">
                  <c:v>41477</c:v>
                </c:pt>
                <c:pt idx="145">
                  <c:v>41478</c:v>
                </c:pt>
                <c:pt idx="146">
                  <c:v>41479</c:v>
                </c:pt>
                <c:pt idx="147">
                  <c:v>41480</c:v>
                </c:pt>
                <c:pt idx="148">
                  <c:v>41481</c:v>
                </c:pt>
                <c:pt idx="149">
                  <c:v>41484</c:v>
                </c:pt>
                <c:pt idx="150">
                  <c:v>41485</c:v>
                </c:pt>
                <c:pt idx="151">
                  <c:v>41486</c:v>
                </c:pt>
                <c:pt idx="152">
                  <c:v>41487</c:v>
                </c:pt>
                <c:pt idx="153">
                  <c:v>41488</c:v>
                </c:pt>
                <c:pt idx="154">
                  <c:v>41491</c:v>
                </c:pt>
                <c:pt idx="155">
                  <c:v>41492</c:v>
                </c:pt>
                <c:pt idx="156">
                  <c:v>41493</c:v>
                </c:pt>
                <c:pt idx="157">
                  <c:v>41494</c:v>
                </c:pt>
                <c:pt idx="158">
                  <c:v>41495</c:v>
                </c:pt>
                <c:pt idx="159">
                  <c:v>41498</c:v>
                </c:pt>
                <c:pt idx="160">
                  <c:v>41499</c:v>
                </c:pt>
                <c:pt idx="161">
                  <c:v>41500</c:v>
                </c:pt>
                <c:pt idx="162">
                  <c:v>41501</c:v>
                </c:pt>
                <c:pt idx="163">
                  <c:v>41502</c:v>
                </c:pt>
                <c:pt idx="164">
                  <c:v>41505</c:v>
                </c:pt>
                <c:pt idx="165">
                  <c:v>41506</c:v>
                </c:pt>
                <c:pt idx="166">
                  <c:v>41507</c:v>
                </c:pt>
                <c:pt idx="167">
                  <c:v>41508</c:v>
                </c:pt>
                <c:pt idx="168">
                  <c:v>41509</c:v>
                </c:pt>
                <c:pt idx="169">
                  <c:v>41512</c:v>
                </c:pt>
                <c:pt idx="170">
                  <c:v>41513</c:v>
                </c:pt>
                <c:pt idx="171">
                  <c:v>41514</c:v>
                </c:pt>
                <c:pt idx="172">
                  <c:v>41515</c:v>
                </c:pt>
                <c:pt idx="173">
                  <c:v>41516</c:v>
                </c:pt>
                <c:pt idx="174">
                  <c:v>41519</c:v>
                </c:pt>
                <c:pt idx="175">
                  <c:v>41520</c:v>
                </c:pt>
                <c:pt idx="176">
                  <c:v>41521</c:v>
                </c:pt>
                <c:pt idx="177">
                  <c:v>41522</c:v>
                </c:pt>
                <c:pt idx="178">
                  <c:v>41523</c:v>
                </c:pt>
                <c:pt idx="179">
                  <c:v>41526</c:v>
                </c:pt>
                <c:pt idx="180">
                  <c:v>41527</c:v>
                </c:pt>
                <c:pt idx="181">
                  <c:v>41528</c:v>
                </c:pt>
                <c:pt idx="182">
                  <c:v>41529</c:v>
                </c:pt>
                <c:pt idx="183">
                  <c:v>41530</c:v>
                </c:pt>
                <c:pt idx="184">
                  <c:v>41533</c:v>
                </c:pt>
                <c:pt idx="185">
                  <c:v>41534</c:v>
                </c:pt>
                <c:pt idx="186">
                  <c:v>41535</c:v>
                </c:pt>
                <c:pt idx="187">
                  <c:v>41536</c:v>
                </c:pt>
                <c:pt idx="188">
                  <c:v>41537</c:v>
                </c:pt>
                <c:pt idx="189">
                  <c:v>41540</c:v>
                </c:pt>
                <c:pt idx="190">
                  <c:v>41541</c:v>
                </c:pt>
                <c:pt idx="191">
                  <c:v>41542</c:v>
                </c:pt>
                <c:pt idx="192">
                  <c:v>41543</c:v>
                </c:pt>
                <c:pt idx="193">
                  <c:v>41544</c:v>
                </c:pt>
                <c:pt idx="194">
                  <c:v>41547</c:v>
                </c:pt>
                <c:pt idx="195">
                  <c:v>41548</c:v>
                </c:pt>
                <c:pt idx="196">
                  <c:v>41549</c:v>
                </c:pt>
                <c:pt idx="197">
                  <c:v>41550</c:v>
                </c:pt>
                <c:pt idx="198">
                  <c:v>41551</c:v>
                </c:pt>
                <c:pt idx="199">
                  <c:v>41554</c:v>
                </c:pt>
                <c:pt idx="200">
                  <c:v>41555</c:v>
                </c:pt>
                <c:pt idx="201">
                  <c:v>41556</c:v>
                </c:pt>
                <c:pt idx="202">
                  <c:v>41557</c:v>
                </c:pt>
                <c:pt idx="203">
                  <c:v>41558</c:v>
                </c:pt>
                <c:pt idx="204">
                  <c:v>41561</c:v>
                </c:pt>
                <c:pt idx="205">
                  <c:v>41562</c:v>
                </c:pt>
                <c:pt idx="206">
                  <c:v>41563</c:v>
                </c:pt>
                <c:pt idx="207">
                  <c:v>41564</c:v>
                </c:pt>
                <c:pt idx="208">
                  <c:v>41565</c:v>
                </c:pt>
                <c:pt idx="209">
                  <c:v>41568</c:v>
                </c:pt>
                <c:pt idx="210">
                  <c:v>41569</c:v>
                </c:pt>
                <c:pt idx="211">
                  <c:v>41570</c:v>
                </c:pt>
                <c:pt idx="212">
                  <c:v>41571</c:v>
                </c:pt>
                <c:pt idx="213">
                  <c:v>41572</c:v>
                </c:pt>
                <c:pt idx="214">
                  <c:v>41575</c:v>
                </c:pt>
                <c:pt idx="215">
                  <c:v>41576</c:v>
                </c:pt>
                <c:pt idx="216">
                  <c:v>41577</c:v>
                </c:pt>
                <c:pt idx="217">
                  <c:v>41578</c:v>
                </c:pt>
                <c:pt idx="218">
                  <c:v>41579</c:v>
                </c:pt>
                <c:pt idx="219">
                  <c:v>41582</c:v>
                </c:pt>
                <c:pt idx="220">
                  <c:v>41583</c:v>
                </c:pt>
                <c:pt idx="221">
                  <c:v>41584</c:v>
                </c:pt>
                <c:pt idx="222">
                  <c:v>41585</c:v>
                </c:pt>
                <c:pt idx="223">
                  <c:v>41586</c:v>
                </c:pt>
                <c:pt idx="224">
                  <c:v>41589</c:v>
                </c:pt>
                <c:pt idx="225">
                  <c:v>41590</c:v>
                </c:pt>
                <c:pt idx="226">
                  <c:v>41591</c:v>
                </c:pt>
                <c:pt idx="227">
                  <c:v>41592</c:v>
                </c:pt>
                <c:pt idx="228">
                  <c:v>41593</c:v>
                </c:pt>
                <c:pt idx="229">
                  <c:v>41596</c:v>
                </c:pt>
                <c:pt idx="230">
                  <c:v>41597</c:v>
                </c:pt>
                <c:pt idx="231">
                  <c:v>41598</c:v>
                </c:pt>
                <c:pt idx="232">
                  <c:v>41599</c:v>
                </c:pt>
                <c:pt idx="233">
                  <c:v>41600</c:v>
                </c:pt>
                <c:pt idx="234">
                  <c:v>41603</c:v>
                </c:pt>
                <c:pt idx="235">
                  <c:v>41604</c:v>
                </c:pt>
                <c:pt idx="236">
                  <c:v>41605</c:v>
                </c:pt>
                <c:pt idx="237">
                  <c:v>41606</c:v>
                </c:pt>
                <c:pt idx="238">
                  <c:v>41607</c:v>
                </c:pt>
                <c:pt idx="239">
                  <c:v>41610</c:v>
                </c:pt>
                <c:pt idx="240">
                  <c:v>41611</c:v>
                </c:pt>
                <c:pt idx="241">
                  <c:v>41612</c:v>
                </c:pt>
                <c:pt idx="242">
                  <c:v>41613</c:v>
                </c:pt>
                <c:pt idx="243">
                  <c:v>41614</c:v>
                </c:pt>
                <c:pt idx="244">
                  <c:v>41617</c:v>
                </c:pt>
                <c:pt idx="245">
                  <c:v>41618</c:v>
                </c:pt>
                <c:pt idx="246">
                  <c:v>41619</c:v>
                </c:pt>
                <c:pt idx="247">
                  <c:v>41620</c:v>
                </c:pt>
                <c:pt idx="248">
                  <c:v>41621</c:v>
                </c:pt>
                <c:pt idx="249">
                  <c:v>41624</c:v>
                </c:pt>
                <c:pt idx="250">
                  <c:v>41625</c:v>
                </c:pt>
                <c:pt idx="251">
                  <c:v>41626</c:v>
                </c:pt>
                <c:pt idx="252">
                  <c:v>41627</c:v>
                </c:pt>
                <c:pt idx="253">
                  <c:v>41628</c:v>
                </c:pt>
                <c:pt idx="254">
                  <c:v>41631</c:v>
                </c:pt>
                <c:pt idx="255">
                  <c:v>41632</c:v>
                </c:pt>
                <c:pt idx="256">
                  <c:v>41633</c:v>
                </c:pt>
                <c:pt idx="257">
                  <c:v>41634</c:v>
                </c:pt>
                <c:pt idx="258">
                  <c:v>41635</c:v>
                </c:pt>
                <c:pt idx="259">
                  <c:v>41638</c:v>
                </c:pt>
                <c:pt idx="260">
                  <c:v>41639</c:v>
                </c:pt>
                <c:pt idx="261">
                  <c:v>41640</c:v>
                </c:pt>
                <c:pt idx="262">
                  <c:v>41641</c:v>
                </c:pt>
                <c:pt idx="263">
                  <c:v>41642</c:v>
                </c:pt>
                <c:pt idx="264">
                  <c:v>41645</c:v>
                </c:pt>
                <c:pt idx="265">
                  <c:v>41646</c:v>
                </c:pt>
                <c:pt idx="266">
                  <c:v>41647</c:v>
                </c:pt>
                <c:pt idx="267">
                  <c:v>41648</c:v>
                </c:pt>
                <c:pt idx="268">
                  <c:v>41649</c:v>
                </c:pt>
                <c:pt idx="269">
                  <c:v>41652</c:v>
                </c:pt>
                <c:pt idx="270">
                  <c:v>41653</c:v>
                </c:pt>
                <c:pt idx="271">
                  <c:v>41654</c:v>
                </c:pt>
                <c:pt idx="272">
                  <c:v>41655</c:v>
                </c:pt>
                <c:pt idx="273">
                  <c:v>41656</c:v>
                </c:pt>
                <c:pt idx="274">
                  <c:v>41659</c:v>
                </c:pt>
                <c:pt idx="275">
                  <c:v>41660</c:v>
                </c:pt>
                <c:pt idx="276">
                  <c:v>41661</c:v>
                </c:pt>
                <c:pt idx="277">
                  <c:v>41662</c:v>
                </c:pt>
                <c:pt idx="278">
                  <c:v>41663</c:v>
                </c:pt>
                <c:pt idx="279">
                  <c:v>41666</c:v>
                </c:pt>
                <c:pt idx="280">
                  <c:v>41667</c:v>
                </c:pt>
                <c:pt idx="281">
                  <c:v>41668</c:v>
                </c:pt>
                <c:pt idx="282">
                  <c:v>41669</c:v>
                </c:pt>
                <c:pt idx="283">
                  <c:v>41670</c:v>
                </c:pt>
                <c:pt idx="284">
                  <c:v>41673</c:v>
                </c:pt>
                <c:pt idx="285">
                  <c:v>41674</c:v>
                </c:pt>
                <c:pt idx="286">
                  <c:v>41675</c:v>
                </c:pt>
                <c:pt idx="287">
                  <c:v>41676</c:v>
                </c:pt>
                <c:pt idx="288">
                  <c:v>41677</c:v>
                </c:pt>
                <c:pt idx="289">
                  <c:v>41680</c:v>
                </c:pt>
                <c:pt idx="290">
                  <c:v>41681</c:v>
                </c:pt>
                <c:pt idx="291">
                  <c:v>41682</c:v>
                </c:pt>
                <c:pt idx="292">
                  <c:v>41683</c:v>
                </c:pt>
                <c:pt idx="293">
                  <c:v>41684</c:v>
                </c:pt>
                <c:pt idx="294">
                  <c:v>41687</c:v>
                </c:pt>
                <c:pt idx="295">
                  <c:v>41688</c:v>
                </c:pt>
                <c:pt idx="296">
                  <c:v>41689</c:v>
                </c:pt>
                <c:pt idx="297">
                  <c:v>41690</c:v>
                </c:pt>
                <c:pt idx="298">
                  <c:v>41691</c:v>
                </c:pt>
                <c:pt idx="299">
                  <c:v>41694</c:v>
                </c:pt>
                <c:pt idx="300">
                  <c:v>41695</c:v>
                </c:pt>
                <c:pt idx="301">
                  <c:v>41696</c:v>
                </c:pt>
                <c:pt idx="302">
                  <c:v>41697</c:v>
                </c:pt>
                <c:pt idx="303">
                  <c:v>41698</c:v>
                </c:pt>
                <c:pt idx="304">
                  <c:v>41701</c:v>
                </c:pt>
                <c:pt idx="305">
                  <c:v>41702</c:v>
                </c:pt>
                <c:pt idx="306">
                  <c:v>41703</c:v>
                </c:pt>
                <c:pt idx="307">
                  <c:v>41704</c:v>
                </c:pt>
                <c:pt idx="308">
                  <c:v>41705</c:v>
                </c:pt>
                <c:pt idx="309">
                  <c:v>41708</c:v>
                </c:pt>
                <c:pt idx="310">
                  <c:v>41709</c:v>
                </c:pt>
                <c:pt idx="311">
                  <c:v>41710</c:v>
                </c:pt>
                <c:pt idx="312">
                  <c:v>41711</c:v>
                </c:pt>
                <c:pt idx="313">
                  <c:v>41712</c:v>
                </c:pt>
                <c:pt idx="314">
                  <c:v>41715</c:v>
                </c:pt>
                <c:pt idx="315">
                  <c:v>41716</c:v>
                </c:pt>
                <c:pt idx="316">
                  <c:v>41717</c:v>
                </c:pt>
                <c:pt idx="317">
                  <c:v>41718</c:v>
                </c:pt>
                <c:pt idx="318">
                  <c:v>41719</c:v>
                </c:pt>
                <c:pt idx="319">
                  <c:v>41722</c:v>
                </c:pt>
                <c:pt idx="320">
                  <c:v>41723</c:v>
                </c:pt>
                <c:pt idx="321">
                  <c:v>41724</c:v>
                </c:pt>
                <c:pt idx="322">
                  <c:v>41725</c:v>
                </c:pt>
                <c:pt idx="323">
                  <c:v>41726</c:v>
                </c:pt>
                <c:pt idx="324">
                  <c:v>41729</c:v>
                </c:pt>
                <c:pt idx="325">
                  <c:v>41730</c:v>
                </c:pt>
                <c:pt idx="326">
                  <c:v>41731</c:v>
                </c:pt>
                <c:pt idx="327">
                  <c:v>41732</c:v>
                </c:pt>
                <c:pt idx="328">
                  <c:v>41733</c:v>
                </c:pt>
                <c:pt idx="329">
                  <c:v>41736</c:v>
                </c:pt>
                <c:pt idx="330">
                  <c:v>41737</c:v>
                </c:pt>
                <c:pt idx="331">
                  <c:v>41738</c:v>
                </c:pt>
                <c:pt idx="332">
                  <c:v>41739</c:v>
                </c:pt>
                <c:pt idx="333">
                  <c:v>41740</c:v>
                </c:pt>
                <c:pt idx="334">
                  <c:v>41743</c:v>
                </c:pt>
                <c:pt idx="335">
                  <c:v>41744</c:v>
                </c:pt>
                <c:pt idx="336">
                  <c:v>41745</c:v>
                </c:pt>
                <c:pt idx="337">
                  <c:v>41746</c:v>
                </c:pt>
                <c:pt idx="338">
                  <c:v>41747</c:v>
                </c:pt>
                <c:pt idx="339">
                  <c:v>41750</c:v>
                </c:pt>
                <c:pt idx="340">
                  <c:v>41751</c:v>
                </c:pt>
                <c:pt idx="341">
                  <c:v>41752</c:v>
                </c:pt>
                <c:pt idx="342">
                  <c:v>41753</c:v>
                </c:pt>
                <c:pt idx="343">
                  <c:v>41754</c:v>
                </c:pt>
                <c:pt idx="344">
                  <c:v>41757</c:v>
                </c:pt>
                <c:pt idx="345">
                  <c:v>41758</c:v>
                </c:pt>
                <c:pt idx="346">
                  <c:v>41759</c:v>
                </c:pt>
                <c:pt idx="347">
                  <c:v>41760</c:v>
                </c:pt>
                <c:pt idx="348">
                  <c:v>41761</c:v>
                </c:pt>
                <c:pt idx="349">
                  <c:v>41764</c:v>
                </c:pt>
                <c:pt idx="350">
                  <c:v>41765</c:v>
                </c:pt>
                <c:pt idx="351">
                  <c:v>41766</c:v>
                </c:pt>
                <c:pt idx="352">
                  <c:v>41767</c:v>
                </c:pt>
                <c:pt idx="353">
                  <c:v>41768</c:v>
                </c:pt>
                <c:pt idx="354">
                  <c:v>41771</c:v>
                </c:pt>
                <c:pt idx="355">
                  <c:v>41772</c:v>
                </c:pt>
                <c:pt idx="356">
                  <c:v>41773</c:v>
                </c:pt>
                <c:pt idx="357">
                  <c:v>41774</c:v>
                </c:pt>
                <c:pt idx="358">
                  <c:v>41775</c:v>
                </c:pt>
                <c:pt idx="359">
                  <c:v>41778</c:v>
                </c:pt>
                <c:pt idx="360">
                  <c:v>41779</c:v>
                </c:pt>
                <c:pt idx="361">
                  <c:v>41780</c:v>
                </c:pt>
                <c:pt idx="362">
                  <c:v>41781</c:v>
                </c:pt>
                <c:pt idx="363">
                  <c:v>41782</c:v>
                </c:pt>
                <c:pt idx="364">
                  <c:v>41785</c:v>
                </c:pt>
                <c:pt idx="365">
                  <c:v>41786</c:v>
                </c:pt>
                <c:pt idx="366">
                  <c:v>41787</c:v>
                </c:pt>
                <c:pt idx="367">
                  <c:v>41788</c:v>
                </c:pt>
                <c:pt idx="368">
                  <c:v>41789</c:v>
                </c:pt>
                <c:pt idx="369">
                  <c:v>41792</c:v>
                </c:pt>
                <c:pt idx="370">
                  <c:v>41793</c:v>
                </c:pt>
                <c:pt idx="371">
                  <c:v>41794</c:v>
                </c:pt>
                <c:pt idx="372">
                  <c:v>41795</c:v>
                </c:pt>
                <c:pt idx="373">
                  <c:v>41796</c:v>
                </c:pt>
                <c:pt idx="374">
                  <c:v>41799</c:v>
                </c:pt>
                <c:pt idx="375">
                  <c:v>41800</c:v>
                </c:pt>
                <c:pt idx="376">
                  <c:v>41801</c:v>
                </c:pt>
                <c:pt idx="377">
                  <c:v>41802</c:v>
                </c:pt>
                <c:pt idx="378">
                  <c:v>41803</c:v>
                </c:pt>
                <c:pt idx="379">
                  <c:v>41806</c:v>
                </c:pt>
                <c:pt idx="380">
                  <c:v>41807</c:v>
                </c:pt>
                <c:pt idx="381">
                  <c:v>41808</c:v>
                </c:pt>
                <c:pt idx="382">
                  <c:v>41809</c:v>
                </c:pt>
                <c:pt idx="383">
                  <c:v>41810</c:v>
                </c:pt>
                <c:pt idx="384">
                  <c:v>41813</c:v>
                </c:pt>
                <c:pt idx="385">
                  <c:v>41814</c:v>
                </c:pt>
                <c:pt idx="386">
                  <c:v>41815</c:v>
                </c:pt>
                <c:pt idx="387">
                  <c:v>41816</c:v>
                </c:pt>
                <c:pt idx="388">
                  <c:v>41817</c:v>
                </c:pt>
                <c:pt idx="389">
                  <c:v>41820</c:v>
                </c:pt>
                <c:pt idx="390">
                  <c:v>41821</c:v>
                </c:pt>
                <c:pt idx="391">
                  <c:v>41822</c:v>
                </c:pt>
                <c:pt idx="392">
                  <c:v>41823</c:v>
                </c:pt>
                <c:pt idx="393">
                  <c:v>41824</c:v>
                </c:pt>
                <c:pt idx="394">
                  <c:v>41827</c:v>
                </c:pt>
                <c:pt idx="395">
                  <c:v>41828</c:v>
                </c:pt>
                <c:pt idx="396">
                  <c:v>41829</c:v>
                </c:pt>
                <c:pt idx="397">
                  <c:v>41830</c:v>
                </c:pt>
                <c:pt idx="398">
                  <c:v>41831</c:v>
                </c:pt>
                <c:pt idx="399">
                  <c:v>41834</c:v>
                </c:pt>
                <c:pt idx="400">
                  <c:v>41835</c:v>
                </c:pt>
                <c:pt idx="401">
                  <c:v>41836</c:v>
                </c:pt>
                <c:pt idx="402">
                  <c:v>41837</c:v>
                </c:pt>
                <c:pt idx="403">
                  <c:v>41838</c:v>
                </c:pt>
                <c:pt idx="404">
                  <c:v>41841</c:v>
                </c:pt>
                <c:pt idx="405">
                  <c:v>41842</c:v>
                </c:pt>
                <c:pt idx="406">
                  <c:v>41843</c:v>
                </c:pt>
                <c:pt idx="407">
                  <c:v>41844</c:v>
                </c:pt>
                <c:pt idx="408">
                  <c:v>41845</c:v>
                </c:pt>
                <c:pt idx="409">
                  <c:v>41848</c:v>
                </c:pt>
                <c:pt idx="410">
                  <c:v>41849</c:v>
                </c:pt>
                <c:pt idx="411">
                  <c:v>41850</c:v>
                </c:pt>
                <c:pt idx="412">
                  <c:v>41851</c:v>
                </c:pt>
                <c:pt idx="413">
                  <c:v>41852</c:v>
                </c:pt>
                <c:pt idx="414">
                  <c:v>41855</c:v>
                </c:pt>
                <c:pt idx="415">
                  <c:v>41856</c:v>
                </c:pt>
                <c:pt idx="416">
                  <c:v>41857</c:v>
                </c:pt>
                <c:pt idx="417">
                  <c:v>41858</c:v>
                </c:pt>
                <c:pt idx="418">
                  <c:v>41859</c:v>
                </c:pt>
                <c:pt idx="419">
                  <c:v>41862</c:v>
                </c:pt>
                <c:pt idx="420">
                  <c:v>41863</c:v>
                </c:pt>
                <c:pt idx="421">
                  <c:v>41864</c:v>
                </c:pt>
                <c:pt idx="422">
                  <c:v>41865</c:v>
                </c:pt>
                <c:pt idx="423">
                  <c:v>41866</c:v>
                </c:pt>
                <c:pt idx="424">
                  <c:v>41869</c:v>
                </c:pt>
                <c:pt idx="425">
                  <c:v>41870</c:v>
                </c:pt>
                <c:pt idx="426">
                  <c:v>41871</c:v>
                </c:pt>
                <c:pt idx="427">
                  <c:v>41872</c:v>
                </c:pt>
                <c:pt idx="428">
                  <c:v>41873</c:v>
                </c:pt>
                <c:pt idx="429">
                  <c:v>41876</c:v>
                </c:pt>
                <c:pt idx="430">
                  <c:v>41877</c:v>
                </c:pt>
                <c:pt idx="431">
                  <c:v>41878</c:v>
                </c:pt>
                <c:pt idx="432">
                  <c:v>41879</c:v>
                </c:pt>
                <c:pt idx="433">
                  <c:v>41880</c:v>
                </c:pt>
                <c:pt idx="434">
                  <c:v>41883</c:v>
                </c:pt>
                <c:pt idx="435">
                  <c:v>41884</c:v>
                </c:pt>
                <c:pt idx="436">
                  <c:v>41885</c:v>
                </c:pt>
                <c:pt idx="437">
                  <c:v>41886</c:v>
                </c:pt>
                <c:pt idx="438">
                  <c:v>41887</c:v>
                </c:pt>
                <c:pt idx="439">
                  <c:v>41890</c:v>
                </c:pt>
                <c:pt idx="440">
                  <c:v>41891</c:v>
                </c:pt>
                <c:pt idx="441">
                  <c:v>41892</c:v>
                </c:pt>
                <c:pt idx="442">
                  <c:v>41893</c:v>
                </c:pt>
                <c:pt idx="443">
                  <c:v>41894</c:v>
                </c:pt>
                <c:pt idx="444">
                  <c:v>41897</c:v>
                </c:pt>
                <c:pt idx="445">
                  <c:v>41898</c:v>
                </c:pt>
                <c:pt idx="446">
                  <c:v>41899</c:v>
                </c:pt>
                <c:pt idx="447">
                  <c:v>41900</c:v>
                </c:pt>
                <c:pt idx="448">
                  <c:v>41901</c:v>
                </c:pt>
                <c:pt idx="449">
                  <c:v>41904</c:v>
                </c:pt>
                <c:pt idx="450">
                  <c:v>41905</c:v>
                </c:pt>
                <c:pt idx="451">
                  <c:v>41906</c:v>
                </c:pt>
                <c:pt idx="452">
                  <c:v>41907</c:v>
                </c:pt>
                <c:pt idx="453">
                  <c:v>41908</c:v>
                </c:pt>
                <c:pt idx="454">
                  <c:v>41911</c:v>
                </c:pt>
                <c:pt idx="455">
                  <c:v>41912</c:v>
                </c:pt>
                <c:pt idx="456">
                  <c:v>41913</c:v>
                </c:pt>
                <c:pt idx="457">
                  <c:v>41914</c:v>
                </c:pt>
                <c:pt idx="458">
                  <c:v>41915</c:v>
                </c:pt>
                <c:pt idx="459">
                  <c:v>41918</c:v>
                </c:pt>
                <c:pt idx="460">
                  <c:v>41919</c:v>
                </c:pt>
                <c:pt idx="461">
                  <c:v>41920</c:v>
                </c:pt>
                <c:pt idx="462">
                  <c:v>41921</c:v>
                </c:pt>
                <c:pt idx="463">
                  <c:v>41922</c:v>
                </c:pt>
                <c:pt idx="464">
                  <c:v>41925</c:v>
                </c:pt>
                <c:pt idx="465">
                  <c:v>41926</c:v>
                </c:pt>
                <c:pt idx="466">
                  <c:v>41927</c:v>
                </c:pt>
                <c:pt idx="467">
                  <c:v>41928</c:v>
                </c:pt>
                <c:pt idx="468">
                  <c:v>41929</c:v>
                </c:pt>
                <c:pt idx="469">
                  <c:v>41932</c:v>
                </c:pt>
                <c:pt idx="470">
                  <c:v>41933</c:v>
                </c:pt>
                <c:pt idx="471">
                  <c:v>41934</c:v>
                </c:pt>
                <c:pt idx="472">
                  <c:v>41935</c:v>
                </c:pt>
                <c:pt idx="473">
                  <c:v>41936</c:v>
                </c:pt>
                <c:pt idx="474">
                  <c:v>41939</c:v>
                </c:pt>
                <c:pt idx="475">
                  <c:v>41940</c:v>
                </c:pt>
                <c:pt idx="476">
                  <c:v>41941</c:v>
                </c:pt>
                <c:pt idx="477">
                  <c:v>41942</c:v>
                </c:pt>
                <c:pt idx="478">
                  <c:v>41943</c:v>
                </c:pt>
                <c:pt idx="479">
                  <c:v>41946</c:v>
                </c:pt>
                <c:pt idx="480">
                  <c:v>41947</c:v>
                </c:pt>
                <c:pt idx="481">
                  <c:v>41948</c:v>
                </c:pt>
                <c:pt idx="482">
                  <c:v>41949</c:v>
                </c:pt>
                <c:pt idx="483">
                  <c:v>41950</c:v>
                </c:pt>
                <c:pt idx="484">
                  <c:v>41953</c:v>
                </c:pt>
                <c:pt idx="485">
                  <c:v>41954</c:v>
                </c:pt>
                <c:pt idx="486">
                  <c:v>41955</c:v>
                </c:pt>
                <c:pt idx="487">
                  <c:v>41956</c:v>
                </c:pt>
                <c:pt idx="488">
                  <c:v>41957</c:v>
                </c:pt>
                <c:pt idx="489">
                  <c:v>41960</c:v>
                </c:pt>
                <c:pt idx="490">
                  <c:v>41961</c:v>
                </c:pt>
                <c:pt idx="491">
                  <c:v>41962</c:v>
                </c:pt>
                <c:pt idx="492">
                  <c:v>41963</c:v>
                </c:pt>
                <c:pt idx="493">
                  <c:v>41964</c:v>
                </c:pt>
                <c:pt idx="494">
                  <c:v>41967</c:v>
                </c:pt>
                <c:pt idx="495">
                  <c:v>41968</c:v>
                </c:pt>
                <c:pt idx="496">
                  <c:v>41969</c:v>
                </c:pt>
                <c:pt idx="497">
                  <c:v>41970</c:v>
                </c:pt>
                <c:pt idx="498">
                  <c:v>41971</c:v>
                </c:pt>
                <c:pt idx="499">
                  <c:v>41974</c:v>
                </c:pt>
                <c:pt idx="500">
                  <c:v>41975</c:v>
                </c:pt>
                <c:pt idx="501">
                  <c:v>41976</c:v>
                </c:pt>
                <c:pt idx="502">
                  <c:v>41977</c:v>
                </c:pt>
                <c:pt idx="503">
                  <c:v>41978</c:v>
                </c:pt>
                <c:pt idx="504">
                  <c:v>41981</c:v>
                </c:pt>
                <c:pt idx="505">
                  <c:v>41982</c:v>
                </c:pt>
                <c:pt idx="506">
                  <c:v>41983</c:v>
                </c:pt>
                <c:pt idx="507">
                  <c:v>41984</c:v>
                </c:pt>
                <c:pt idx="508">
                  <c:v>41985</c:v>
                </c:pt>
                <c:pt idx="509">
                  <c:v>41988</c:v>
                </c:pt>
                <c:pt idx="510">
                  <c:v>41989</c:v>
                </c:pt>
                <c:pt idx="511">
                  <c:v>41990</c:v>
                </c:pt>
                <c:pt idx="512">
                  <c:v>41991</c:v>
                </c:pt>
                <c:pt idx="513">
                  <c:v>41992</c:v>
                </c:pt>
                <c:pt idx="514">
                  <c:v>41995</c:v>
                </c:pt>
                <c:pt idx="515">
                  <c:v>41996</c:v>
                </c:pt>
                <c:pt idx="516">
                  <c:v>41997</c:v>
                </c:pt>
                <c:pt idx="517">
                  <c:v>41998</c:v>
                </c:pt>
                <c:pt idx="518">
                  <c:v>41999</c:v>
                </c:pt>
                <c:pt idx="519">
                  <c:v>42002</c:v>
                </c:pt>
                <c:pt idx="520">
                  <c:v>42003</c:v>
                </c:pt>
                <c:pt idx="521">
                  <c:v>42004</c:v>
                </c:pt>
                <c:pt idx="522">
                  <c:v>42005</c:v>
                </c:pt>
                <c:pt idx="523">
                  <c:v>42006</c:v>
                </c:pt>
                <c:pt idx="524">
                  <c:v>42009</c:v>
                </c:pt>
                <c:pt idx="525">
                  <c:v>42010</c:v>
                </c:pt>
                <c:pt idx="526">
                  <c:v>42011</c:v>
                </c:pt>
                <c:pt idx="527">
                  <c:v>42012</c:v>
                </c:pt>
                <c:pt idx="528">
                  <c:v>42013</c:v>
                </c:pt>
                <c:pt idx="529">
                  <c:v>42016</c:v>
                </c:pt>
                <c:pt idx="530">
                  <c:v>42017</c:v>
                </c:pt>
                <c:pt idx="531">
                  <c:v>42018</c:v>
                </c:pt>
                <c:pt idx="532">
                  <c:v>42019</c:v>
                </c:pt>
                <c:pt idx="533">
                  <c:v>42020</c:v>
                </c:pt>
                <c:pt idx="534">
                  <c:v>42023</c:v>
                </c:pt>
                <c:pt idx="535">
                  <c:v>42024</c:v>
                </c:pt>
                <c:pt idx="536">
                  <c:v>42025</c:v>
                </c:pt>
                <c:pt idx="537">
                  <c:v>42026</c:v>
                </c:pt>
                <c:pt idx="538">
                  <c:v>42027</c:v>
                </c:pt>
                <c:pt idx="539">
                  <c:v>42030</c:v>
                </c:pt>
                <c:pt idx="540">
                  <c:v>42031</c:v>
                </c:pt>
                <c:pt idx="541">
                  <c:v>42032</c:v>
                </c:pt>
                <c:pt idx="542">
                  <c:v>42033</c:v>
                </c:pt>
                <c:pt idx="543">
                  <c:v>42034</c:v>
                </c:pt>
                <c:pt idx="544">
                  <c:v>42037</c:v>
                </c:pt>
                <c:pt idx="545">
                  <c:v>42038</c:v>
                </c:pt>
                <c:pt idx="546">
                  <c:v>42039</c:v>
                </c:pt>
                <c:pt idx="547">
                  <c:v>42040</c:v>
                </c:pt>
                <c:pt idx="548">
                  <c:v>42041</c:v>
                </c:pt>
                <c:pt idx="549">
                  <c:v>42044</c:v>
                </c:pt>
                <c:pt idx="550">
                  <c:v>42045</c:v>
                </c:pt>
                <c:pt idx="551">
                  <c:v>42046</c:v>
                </c:pt>
                <c:pt idx="552">
                  <c:v>42047</c:v>
                </c:pt>
                <c:pt idx="553">
                  <c:v>42048</c:v>
                </c:pt>
                <c:pt idx="554">
                  <c:v>42051</c:v>
                </c:pt>
                <c:pt idx="555">
                  <c:v>42052</c:v>
                </c:pt>
                <c:pt idx="556">
                  <c:v>42053</c:v>
                </c:pt>
                <c:pt idx="557">
                  <c:v>42054</c:v>
                </c:pt>
                <c:pt idx="558">
                  <c:v>42055</c:v>
                </c:pt>
                <c:pt idx="559">
                  <c:v>42058</c:v>
                </c:pt>
                <c:pt idx="560">
                  <c:v>42059</c:v>
                </c:pt>
                <c:pt idx="561">
                  <c:v>42060</c:v>
                </c:pt>
                <c:pt idx="562">
                  <c:v>42061</c:v>
                </c:pt>
                <c:pt idx="563">
                  <c:v>42062</c:v>
                </c:pt>
                <c:pt idx="564">
                  <c:v>42065</c:v>
                </c:pt>
                <c:pt idx="565">
                  <c:v>42066</c:v>
                </c:pt>
                <c:pt idx="566">
                  <c:v>42067</c:v>
                </c:pt>
                <c:pt idx="567">
                  <c:v>42068</c:v>
                </c:pt>
                <c:pt idx="568">
                  <c:v>42069</c:v>
                </c:pt>
                <c:pt idx="569">
                  <c:v>42072</c:v>
                </c:pt>
                <c:pt idx="570">
                  <c:v>42073</c:v>
                </c:pt>
                <c:pt idx="571">
                  <c:v>42074</c:v>
                </c:pt>
                <c:pt idx="572">
                  <c:v>42075</c:v>
                </c:pt>
                <c:pt idx="573">
                  <c:v>42076</c:v>
                </c:pt>
                <c:pt idx="574">
                  <c:v>42079</c:v>
                </c:pt>
                <c:pt idx="575">
                  <c:v>42080</c:v>
                </c:pt>
                <c:pt idx="576">
                  <c:v>42081</c:v>
                </c:pt>
                <c:pt idx="577">
                  <c:v>42082</c:v>
                </c:pt>
                <c:pt idx="578">
                  <c:v>42083</c:v>
                </c:pt>
                <c:pt idx="579">
                  <c:v>42086</c:v>
                </c:pt>
                <c:pt idx="580">
                  <c:v>42087</c:v>
                </c:pt>
                <c:pt idx="581">
                  <c:v>42088</c:v>
                </c:pt>
                <c:pt idx="582">
                  <c:v>42089</c:v>
                </c:pt>
                <c:pt idx="583">
                  <c:v>42090</c:v>
                </c:pt>
                <c:pt idx="584">
                  <c:v>42093</c:v>
                </c:pt>
                <c:pt idx="585">
                  <c:v>42094</c:v>
                </c:pt>
                <c:pt idx="586">
                  <c:v>42095</c:v>
                </c:pt>
                <c:pt idx="587">
                  <c:v>42096</c:v>
                </c:pt>
                <c:pt idx="588">
                  <c:v>42097</c:v>
                </c:pt>
                <c:pt idx="589">
                  <c:v>42100</c:v>
                </c:pt>
                <c:pt idx="590">
                  <c:v>42101</c:v>
                </c:pt>
                <c:pt idx="591">
                  <c:v>42102</c:v>
                </c:pt>
                <c:pt idx="592">
                  <c:v>42103</c:v>
                </c:pt>
                <c:pt idx="593">
                  <c:v>42104</c:v>
                </c:pt>
                <c:pt idx="594">
                  <c:v>42107</c:v>
                </c:pt>
                <c:pt idx="595">
                  <c:v>42108</c:v>
                </c:pt>
                <c:pt idx="596">
                  <c:v>42109</c:v>
                </c:pt>
                <c:pt idx="597">
                  <c:v>42110</c:v>
                </c:pt>
                <c:pt idx="598">
                  <c:v>42111</c:v>
                </c:pt>
                <c:pt idx="599">
                  <c:v>42114</c:v>
                </c:pt>
                <c:pt idx="600">
                  <c:v>42115</c:v>
                </c:pt>
                <c:pt idx="601">
                  <c:v>42116</c:v>
                </c:pt>
                <c:pt idx="602">
                  <c:v>42117</c:v>
                </c:pt>
                <c:pt idx="603">
                  <c:v>42118</c:v>
                </c:pt>
                <c:pt idx="604">
                  <c:v>42121</c:v>
                </c:pt>
                <c:pt idx="605">
                  <c:v>42122</c:v>
                </c:pt>
                <c:pt idx="606">
                  <c:v>42123</c:v>
                </c:pt>
                <c:pt idx="607">
                  <c:v>42124</c:v>
                </c:pt>
                <c:pt idx="608">
                  <c:v>42125</c:v>
                </c:pt>
                <c:pt idx="609">
                  <c:v>42128</c:v>
                </c:pt>
                <c:pt idx="610">
                  <c:v>42129</c:v>
                </c:pt>
                <c:pt idx="611">
                  <c:v>42130</c:v>
                </c:pt>
                <c:pt idx="612">
                  <c:v>42131</c:v>
                </c:pt>
                <c:pt idx="613">
                  <c:v>42132</c:v>
                </c:pt>
                <c:pt idx="614">
                  <c:v>42135</c:v>
                </c:pt>
                <c:pt idx="615">
                  <c:v>42136</c:v>
                </c:pt>
                <c:pt idx="616">
                  <c:v>42137</c:v>
                </c:pt>
                <c:pt idx="617">
                  <c:v>42138</c:v>
                </c:pt>
                <c:pt idx="618">
                  <c:v>42139</c:v>
                </c:pt>
                <c:pt idx="619">
                  <c:v>42142</c:v>
                </c:pt>
                <c:pt idx="620">
                  <c:v>42143</c:v>
                </c:pt>
                <c:pt idx="621">
                  <c:v>42144</c:v>
                </c:pt>
                <c:pt idx="622">
                  <c:v>42145</c:v>
                </c:pt>
                <c:pt idx="623">
                  <c:v>42146</c:v>
                </c:pt>
                <c:pt idx="624">
                  <c:v>42149</c:v>
                </c:pt>
                <c:pt idx="625">
                  <c:v>42150</c:v>
                </c:pt>
                <c:pt idx="626">
                  <c:v>42151</c:v>
                </c:pt>
                <c:pt idx="627">
                  <c:v>42152</c:v>
                </c:pt>
                <c:pt idx="628">
                  <c:v>42153</c:v>
                </c:pt>
                <c:pt idx="629">
                  <c:v>42156</c:v>
                </c:pt>
                <c:pt idx="630">
                  <c:v>42157</c:v>
                </c:pt>
                <c:pt idx="631">
                  <c:v>42158</c:v>
                </c:pt>
                <c:pt idx="632">
                  <c:v>42159</c:v>
                </c:pt>
                <c:pt idx="633">
                  <c:v>42160</c:v>
                </c:pt>
                <c:pt idx="634">
                  <c:v>42163</c:v>
                </c:pt>
                <c:pt idx="635">
                  <c:v>42164</c:v>
                </c:pt>
                <c:pt idx="636">
                  <c:v>42165</c:v>
                </c:pt>
                <c:pt idx="637">
                  <c:v>42166</c:v>
                </c:pt>
                <c:pt idx="638">
                  <c:v>42167</c:v>
                </c:pt>
                <c:pt idx="639">
                  <c:v>42170</c:v>
                </c:pt>
                <c:pt idx="640">
                  <c:v>42171</c:v>
                </c:pt>
                <c:pt idx="641">
                  <c:v>42172</c:v>
                </c:pt>
                <c:pt idx="642">
                  <c:v>42173</c:v>
                </c:pt>
                <c:pt idx="643">
                  <c:v>42174</c:v>
                </c:pt>
                <c:pt idx="644">
                  <c:v>42177</c:v>
                </c:pt>
                <c:pt idx="645">
                  <c:v>42178</c:v>
                </c:pt>
                <c:pt idx="646">
                  <c:v>42179</c:v>
                </c:pt>
                <c:pt idx="647">
                  <c:v>42180</c:v>
                </c:pt>
                <c:pt idx="648">
                  <c:v>42181</c:v>
                </c:pt>
                <c:pt idx="649">
                  <c:v>42184</c:v>
                </c:pt>
                <c:pt idx="650">
                  <c:v>42185</c:v>
                </c:pt>
                <c:pt idx="651">
                  <c:v>42186</c:v>
                </c:pt>
                <c:pt idx="652">
                  <c:v>42187</c:v>
                </c:pt>
                <c:pt idx="653">
                  <c:v>42188</c:v>
                </c:pt>
                <c:pt idx="654">
                  <c:v>42191</c:v>
                </c:pt>
                <c:pt idx="655">
                  <c:v>42192</c:v>
                </c:pt>
                <c:pt idx="656">
                  <c:v>42193</c:v>
                </c:pt>
                <c:pt idx="657">
                  <c:v>42194</c:v>
                </c:pt>
                <c:pt idx="658">
                  <c:v>42195</c:v>
                </c:pt>
                <c:pt idx="659">
                  <c:v>42198</c:v>
                </c:pt>
                <c:pt idx="660">
                  <c:v>42199</c:v>
                </c:pt>
                <c:pt idx="661">
                  <c:v>42200</c:v>
                </c:pt>
                <c:pt idx="662">
                  <c:v>42201</c:v>
                </c:pt>
                <c:pt idx="663">
                  <c:v>42202</c:v>
                </c:pt>
                <c:pt idx="664">
                  <c:v>42205</c:v>
                </c:pt>
                <c:pt idx="665">
                  <c:v>42206</c:v>
                </c:pt>
                <c:pt idx="666">
                  <c:v>42207</c:v>
                </c:pt>
                <c:pt idx="667">
                  <c:v>42208</c:v>
                </c:pt>
                <c:pt idx="668">
                  <c:v>42209</c:v>
                </c:pt>
                <c:pt idx="669">
                  <c:v>42212</c:v>
                </c:pt>
                <c:pt idx="670">
                  <c:v>42213</c:v>
                </c:pt>
                <c:pt idx="671">
                  <c:v>42214</c:v>
                </c:pt>
                <c:pt idx="672">
                  <c:v>42215</c:v>
                </c:pt>
                <c:pt idx="673">
                  <c:v>42216</c:v>
                </c:pt>
                <c:pt idx="674">
                  <c:v>42219</c:v>
                </c:pt>
                <c:pt idx="675">
                  <c:v>42220</c:v>
                </c:pt>
                <c:pt idx="676">
                  <c:v>42221</c:v>
                </c:pt>
                <c:pt idx="677">
                  <c:v>42222</c:v>
                </c:pt>
                <c:pt idx="678">
                  <c:v>42223</c:v>
                </c:pt>
                <c:pt idx="679">
                  <c:v>42226</c:v>
                </c:pt>
                <c:pt idx="680">
                  <c:v>42227</c:v>
                </c:pt>
                <c:pt idx="681">
                  <c:v>42228</c:v>
                </c:pt>
                <c:pt idx="682">
                  <c:v>42229</c:v>
                </c:pt>
                <c:pt idx="683">
                  <c:v>42230</c:v>
                </c:pt>
                <c:pt idx="684">
                  <c:v>42233</c:v>
                </c:pt>
                <c:pt idx="685">
                  <c:v>42234</c:v>
                </c:pt>
                <c:pt idx="686">
                  <c:v>42235</c:v>
                </c:pt>
                <c:pt idx="687">
                  <c:v>42236</c:v>
                </c:pt>
                <c:pt idx="688">
                  <c:v>42237</c:v>
                </c:pt>
                <c:pt idx="689">
                  <c:v>42240</c:v>
                </c:pt>
                <c:pt idx="690">
                  <c:v>42241</c:v>
                </c:pt>
                <c:pt idx="691">
                  <c:v>42242</c:v>
                </c:pt>
                <c:pt idx="692">
                  <c:v>42243</c:v>
                </c:pt>
                <c:pt idx="693">
                  <c:v>42244</c:v>
                </c:pt>
                <c:pt idx="694">
                  <c:v>42247</c:v>
                </c:pt>
                <c:pt idx="695">
                  <c:v>42248</c:v>
                </c:pt>
                <c:pt idx="696">
                  <c:v>42249</c:v>
                </c:pt>
                <c:pt idx="697">
                  <c:v>42250</c:v>
                </c:pt>
                <c:pt idx="698">
                  <c:v>42251</c:v>
                </c:pt>
                <c:pt idx="699">
                  <c:v>42254</c:v>
                </c:pt>
                <c:pt idx="700">
                  <c:v>42255</c:v>
                </c:pt>
                <c:pt idx="701">
                  <c:v>42256</c:v>
                </c:pt>
                <c:pt idx="702">
                  <c:v>42257</c:v>
                </c:pt>
                <c:pt idx="703">
                  <c:v>42258</c:v>
                </c:pt>
                <c:pt idx="704">
                  <c:v>42261</c:v>
                </c:pt>
                <c:pt idx="705">
                  <c:v>42262</c:v>
                </c:pt>
                <c:pt idx="706">
                  <c:v>42263</c:v>
                </c:pt>
                <c:pt idx="707">
                  <c:v>42264</c:v>
                </c:pt>
                <c:pt idx="708">
                  <c:v>42265</c:v>
                </c:pt>
                <c:pt idx="709">
                  <c:v>42268</c:v>
                </c:pt>
                <c:pt idx="710">
                  <c:v>42269</c:v>
                </c:pt>
                <c:pt idx="711">
                  <c:v>42270</c:v>
                </c:pt>
                <c:pt idx="712">
                  <c:v>42271</c:v>
                </c:pt>
                <c:pt idx="713">
                  <c:v>42272</c:v>
                </c:pt>
                <c:pt idx="714">
                  <c:v>42275</c:v>
                </c:pt>
                <c:pt idx="715">
                  <c:v>42276</c:v>
                </c:pt>
                <c:pt idx="716">
                  <c:v>42277</c:v>
                </c:pt>
                <c:pt idx="717">
                  <c:v>42278</c:v>
                </c:pt>
                <c:pt idx="718">
                  <c:v>42279</c:v>
                </c:pt>
                <c:pt idx="719">
                  <c:v>42282</c:v>
                </c:pt>
                <c:pt idx="720">
                  <c:v>42283</c:v>
                </c:pt>
                <c:pt idx="721">
                  <c:v>42284</c:v>
                </c:pt>
                <c:pt idx="722">
                  <c:v>42285</c:v>
                </c:pt>
                <c:pt idx="723">
                  <c:v>42286</c:v>
                </c:pt>
                <c:pt idx="724">
                  <c:v>42289</c:v>
                </c:pt>
                <c:pt idx="725">
                  <c:v>42290</c:v>
                </c:pt>
                <c:pt idx="726">
                  <c:v>42291</c:v>
                </c:pt>
                <c:pt idx="727">
                  <c:v>42292</c:v>
                </c:pt>
                <c:pt idx="728">
                  <c:v>42293</c:v>
                </c:pt>
                <c:pt idx="729">
                  <c:v>42296</c:v>
                </c:pt>
                <c:pt idx="730">
                  <c:v>42297</c:v>
                </c:pt>
                <c:pt idx="731">
                  <c:v>42298</c:v>
                </c:pt>
                <c:pt idx="732">
                  <c:v>42299</c:v>
                </c:pt>
                <c:pt idx="733">
                  <c:v>42300</c:v>
                </c:pt>
                <c:pt idx="734">
                  <c:v>42303</c:v>
                </c:pt>
                <c:pt idx="735">
                  <c:v>42304</c:v>
                </c:pt>
                <c:pt idx="736">
                  <c:v>42305</c:v>
                </c:pt>
                <c:pt idx="737">
                  <c:v>42306</c:v>
                </c:pt>
                <c:pt idx="738">
                  <c:v>42307</c:v>
                </c:pt>
                <c:pt idx="739">
                  <c:v>42310</c:v>
                </c:pt>
                <c:pt idx="740">
                  <c:v>42311</c:v>
                </c:pt>
                <c:pt idx="741">
                  <c:v>42312</c:v>
                </c:pt>
                <c:pt idx="742">
                  <c:v>42313</c:v>
                </c:pt>
                <c:pt idx="743">
                  <c:v>42314</c:v>
                </c:pt>
                <c:pt idx="744">
                  <c:v>42317</c:v>
                </c:pt>
                <c:pt idx="745">
                  <c:v>42318</c:v>
                </c:pt>
                <c:pt idx="746">
                  <c:v>42319</c:v>
                </c:pt>
                <c:pt idx="747">
                  <c:v>42320</c:v>
                </c:pt>
                <c:pt idx="748">
                  <c:v>42321</c:v>
                </c:pt>
                <c:pt idx="749">
                  <c:v>42324</c:v>
                </c:pt>
                <c:pt idx="750">
                  <c:v>42325</c:v>
                </c:pt>
                <c:pt idx="751">
                  <c:v>42326</c:v>
                </c:pt>
                <c:pt idx="752">
                  <c:v>42327</c:v>
                </c:pt>
                <c:pt idx="753">
                  <c:v>42328</c:v>
                </c:pt>
                <c:pt idx="754">
                  <c:v>42331</c:v>
                </c:pt>
                <c:pt idx="755">
                  <c:v>42332</c:v>
                </c:pt>
                <c:pt idx="756">
                  <c:v>42333</c:v>
                </c:pt>
                <c:pt idx="757">
                  <c:v>42334</c:v>
                </c:pt>
                <c:pt idx="758">
                  <c:v>42335</c:v>
                </c:pt>
                <c:pt idx="759">
                  <c:v>42338</c:v>
                </c:pt>
                <c:pt idx="760">
                  <c:v>42339</c:v>
                </c:pt>
                <c:pt idx="761">
                  <c:v>42340</c:v>
                </c:pt>
                <c:pt idx="762">
                  <c:v>42341</c:v>
                </c:pt>
                <c:pt idx="763">
                  <c:v>42342</c:v>
                </c:pt>
                <c:pt idx="764">
                  <c:v>42345</c:v>
                </c:pt>
                <c:pt idx="765">
                  <c:v>42346</c:v>
                </c:pt>
                <c:pt idx="766">
                  <c:v>42347</c:v>
                </c:pt>
                <c:pt idx="767">
                  <c:v>42348</c:v>
                </c:pt>
                <c:pt idx="768">
                  <c:v>42349</c:v>
                </c:pt>
                <c:pt idx="769">
                  <c:v>42352</c:v>
                </c:pt>
                <c:pt idx="770">
                  <c:v>42353</c:v>
                </c:pt>
                <c:pt idx="771">
                  <c:v>42354</c:v>
                </c:pt>
                <c:pt idx="772">
                  <c:v>42355</c:v>
                </c:pt>
                <c:pt idx="773">
                  <c:v>42356</c:v>
                </c:pt>
                <c:pt idx="774">
                  <c:v>42359</c:v>
                </c:pt>
                <c:pt idx="775">
                  <c:v>42360</c:v>
                </c:pt>
                <c:pt idx="776">
                  <c:v>42361</c:v>
                </c:pt>
                <c:pt idx="777">
                  <c:v>42362</c:v>
                </c:pt>
                <c:pt idx="778">
                  <c:v>42363</c:v>
                </c:pt>
                <c:pt idx="779">
                  <c:v>42366</c:v>
                </c:pt>
                <c:pt idx="780">
                  <c:v>42367</c:v>
                </c:pt>
                <c:pt idx="781">
                  <c:v>42368</c:v>
                </c:pt>
                <c:pt idx="782">
                  <c:v>42369</c:v>
                </c:pt>
                <c:pt idx="783">
                  <c:v>42370</c:v>
                </c:pt>
                <c:pt idx="784">
                  <c:v>42373</c:v>
                </c:pt>
                <c:pt idx="785">
                  <c:v>42374</c:v>
                </c:pt>
                <c:pt idx="786">
                  <c:v>42375</c:v>
                </c:pt>
                <c:pt idx="787">
                  <c:v>42376</c:v>
                </c:pt>
                <c:pt idx="788">
                  <c:v>42377</c:v>
                </c:pt>
                <c:pt idx="789">
                  <c:v>42380</c:v>
                </c:pt>
                <c:pt idx="790">
                  <c:v>42381</c:v>
                </c:pt>
                <c:pt idx="791">
                  <c:v>42382</c:v>
                </c:pt>
                <c:pt idx="792">
                  <c:v>42383</c:v>
                </c:pt>
                <c:pt idx="793">
                  <c:v>42384</c:v>
                </c:pt>
                <c:pt idx="794">
                  <c:v>42387</c:v>
                </c:pt>
                <c:pt idx="795">
                  <c:v>42388</c:v>
                </c:pt>
                <c:pt idx="796">
                  <c:v>42389</c:v>
                </c:pt>
                <c:pt idx="797">
                  <c:v>42390</c:v>
                </c:pt>
                <c:pt idx="798">
                  <c:v>42391</c:v>
                </c:pt>
                <c:pt idx="799">
                  <c:v>42394</c:v>
                </c:pt>
                <c:pt idx="800">
                  <c:v>42395</c:v>
                </c:pt>
                <c:pt idx="801">
                  <c:v>42396</c:v>
                </c:pt>
                <c:pt idx="802">
                  <c:v>42397</c:v>
                </c:pt>
                <c:pt idx="803">
                  <c:v>42398</c:v>
                </c:pt>
                <c:pt idx="804">
                  <c:v>42401</c:v>
                </c:pt>
                <c:pt idx="805">
                  <c:v>42402</c:v>
                </c:pt>
                <c:pt idx="806">
                  <c:v>42403</c:v>
                </c:pt>
                <c:pt idx="807">
                  <c:v>42404</c:v>
                </c:pt>
                <c:pt idx="808">
                  <c:v>42405</c:v>
                </c:pt>
                <c:pt idx="809">
                  <c:v>42408</c:v>
                </c:pt>
                <c:pt idx="810">
                  <c:v>42409</c:v>
                </c:pt>
                <c:pt idx="811">
                  <c:v>42410</c:v>
                </c:pt>
                <c:pt idx="812">
                  <c:v>42411</c:v>
                </c:pt>
                <c:pt idx="813">
                  <c:v>42412</c:v>
                </c:pt>
                <c:pt idx="814">
                  <c:v>42415</c:v>
                </c:pt>
                <c:pt idx="815">
                  <c:v>42416</c:v>
                </c:pt>
                <c:pt idx="816">
                  <c:v>42417</c:v>
                </c:pt>
                <c:pt idx="817">
                  <c:v>42418</c:v>
                </c:pt>
                <c:pt idx="818">
                  <c:v>42419</c:v>
                </c:pt>
                <c:pt idx="819">
                  <c:v>42422</c:v>
                </c:pt>
                <c:pt idx="820">
                  <c:v>42423</c:v>
                </c:pt>
                <c:pt idx="821">
                  <c:v>42424</c:v>
                </c:pt>
                <c:pt idx="822">
                  <c:v>42425</c:v>
                </c:pt>
                <c:pt idx="823">
                  <c:v>42426</c:v>
                </c:pt>
                <c:pt idx="824">
                  <c:v>42429</c:v>
                </c:pt>
                <c:pt idx="825">
                  <c:v>42430</c:v>
                </c:pt>
                <c:pt idx="826">
                  <c:v>42431</c:v>
                </c:pt>
                <c:pt idx="827">
                  <c:v>42432</c:v>
                </c:pt>
                <c:pt idx="828">
                  <c:v>42433</c:v>
                </c:pt>
                <c:pt idx="829">
                  <c:v>42436</c:v>
                </c:pt>
                <c:pt idx="830">
                  <c:v>42437</c:v>
                </c:pt>
                <c:pt idx="831">
                  <c:v>42438</c:v>
                </c:pt>
                <c:pt idx="832">
                  <c:v>42439</c:v>
                </c:pt>
                <c:pt idx="833">
                  <c:v>42440</c:v>
                </c:pt>
                <c:pt idx="834">
                  <c:v>42443</c:v>
                </c:pt>
                <c:pt idx="835">
                  <c:v>42444</c:v>
                </c:pt>
                <c:pt idx="836">
                  <c:v>42445</c:v>
                </c:pt>
                <c:pt idx="837">
                  <c:v>42446</c:v>
                </c:pt>
                <c:pt idx="838">
                  <c:v>42447</c:v>
                </c:pt>
                <c:pt idx="839">
                  <c:v>42450</c:v>
                </c:pt>
                <c:pt idx="840">
                  <c:v>42451</c:v>
                </c:pt>
                <c:pt idx="841">
                  <c:v>42452</c:v>
                </c:pt>
                <c:pt idx="842">
                  <c:v>42453</c:v>
                </c:pt>
                <c:pt idx="843">
                  <c:v>42454</c:v>
                </c:pt>
                <c:pt idx="844">
                  <c:v>42457</c:v>
                </c:pt>
                <c:pt idx="845">
                  <c:v>42458</c:v>
                </c:pt>
                <c:pt idx="846">
                  <c:v>42459</c:v>
                </c:pt>
                <c:pt idx="847">
                  <c:v>42460</c:v>
                </c:pt>
                <c:pt idx="848">
                  <c:v>42461</c:v>
                </c:pt>
                <c:pt idx="849">
                  <c:v>42464</c:v>
                </c:pt>
                <c:pt idx="850">
                  <c:v>42465</c:v>
                </c:pt>
                <c:pt idx="851">
                  <c:v>42466</c:v>
                </c:pt>
                <c:pt idx="852">
                  <c:v>42467</c:v>
                </c:pt>
                <c:pt idx="853">
                  <c:v>42468</c:v>
                </c:pt>
                <c:pt idx="854">
                  <c:v>42471</c:v>
                </c:pt>
                <c:pt idx="855">
                  <c:v>42472</c:v>
                </c:pt>
                <c:pt idx="856">
                  <c:v>42473</c:v>
                </c:pt>
                <c:pt idx="857">
                  <c:v>42474</c:v>
                </c:pt>
                <c:pt idx="858">
                  <c:v>42475</c:v>
                </c:pt>
                <c:pt idx="859">
                  <c:v>42478</c:v>
                </c:pt>
                <c:pt idx="860">
                  <c:v>42479</c:v>
                </c:pt>
                <c:pt idx="861">
                  <c:v>42480</c:v>
                </c:pt>
                <c:pt idx="862">
                  <c:v>42481</c:v>
                </c:pt>
                <c:pt idx="863">
                  <c:v>42482</c:v>
                </c:pt>
                <c:pt idx="864">
                  <c:v>42485</c:v>
                </c:pt>
                <c:pt idx="865">
                  <c:v>42486</c:v>
                </c:pt>
                <c:pt idx="866">
                  <c:v>42487</c:v>
                </c:pt>
                <c:pt idx="867">
                  <c:v>42488</c:v>
                </c:pt>
                <c:pt idx="868">
                  <c:v>42489</c:v>
                </c:pt>
                <c:pt idx="869">
                  <c:v>42492</c:v>
                </c:pt>
                <c:pt idx="870">
                  <c:v>42493</c:v>
                </c:pt>
                <c:pt idx="871">
                  <c:v>42494</c:v>
                </c:pt>
                <c:pt idx="872">
                  <c:v>42495</c:v>
                </c:pt>
                <c:pt idx="873">
                  <c:v>42496</c:v>
                </c:pt>
                <c:pt idx="874">
                  <c:v>42499</c:v>
                </c:pt>
                <c:pt idx="875">
                  <c:v>42500</c:v>
                </c:pt>
                <c:pt idx="876">
                  <c:v>42501</c:v>
                </c:pt>
                <c:pt idx="877">
                  <c:v>42502</c:v>
                </c:pt>
                <c:pt idx="878">
                  <c:v>42503</c:v>
                </c:pt>
                <c:pt idx="879">
                  <c:v>42506</c:v>
                </c:pt>
                <c:pt idx="880">
                  <c:v>42507</c:v>
                </c:pt>
                <c:pt idx="881">
                  <c:v>42508</c:v>
                </c:pt>
                <c:pt idx="882">
                  <c:v>42509</c:v>
                </c:pt>
                <c:pt idx="883">
                  <c:v>42510</c:v>
                </c:pt>
                <c:pt idx="884">
                  <c:v>42513</c:v>
                </c:pt>
                <c:pt idx="885">
                  <c:v>42514</c:v>
                </c:pt>
                <c:pt idx="886">
                  <c:v>42515</c:v>
                </c:pt>
                <c:pt idx="887">
                  <c:v>42516</c:v>
                </c:pt>
                <c:pt idx="888">
                  <c:v>42517</c:v>
                </c:pt>
                <c:pt idx="889">
                  <c:v>42520</c:v>
                </c:pt>
                <c:pt idx="890">
                  <c:v>42521</c:v>
                </c:pt>
                <c:pt idx="891">
                  <c:v>42522</c:v>
                </c:pt>
                <c:pt idx="892">
                  <c:v>42523</c:v>
                </c:pt>
                <c:pt idx="893">
                  <c:v>42524</c:v>
                </c:pt>
                <c:pt idx="894">
                  <c:v>42527</c:v>
                </c:pt>
                <c:pt idx="895">
                  <c:v>42528</c:v>
                </c:pt>
                <c:pt idx="896">
                  <c:v>42529</c:v>
                </c:pt>
                <c:pt idx="897">
                  <c:v>42530</c:v>
                </c:pt>
                <c:pt idx="898">
                  <c:v>42531</c:v>
                </c:pt>
                <c:pt idx="899">
                  <c:v>42534</c:v>
                </c:pt>
                <c:pt idx="900">
                  <c:v>42535</c:v>
                </c:pt>
                <c:pt idx="901">
                  <c:v>42536</c:v>
                </c:pt>
                <c:pt idx="902">
                  <c:v>42537</c:v>
                </c:pt>
                <c:pt idx="903">
                  <c:v>42538</c:v>
                </c:pt>
                <c:pt idx="904">
                  <c:v>42541</c:v>
                </c:pt>
                <c:pt idx="905">
                  <c:v>42542</c:v>
                </c:pt>
                <c:pt idx="906">
                  <c:v>42543</c:v>
                </c:pt>
                <c:pt idx="907">
                  <c:v>42544</c:v>
                </c:pt>
                <c:pt idx="908">
                  <c:v>42545</c:v>
                </c:pt>
                <c:pt idx="909">
                  <c:v>42548</c:v>
                </c:pt>
                <c:pt idx="910">
                  <c:v>42549</c:v>
                </c:pt>
                <c:pt idx="911">
                  <c:v>42550</c:v>
                </c:pt>
                <c:pt idx="912">
                  <c:v>42551</c:v>
                </c:pt>
                <c:pt idx="913">
                  <c:v>42552</c:v>
                </c:pt>
                <c:pt idx="914">
                  <c:v>42555</c:v>
                </c:pt>
                <c:pt idx="915">
                  <c:v>42556</c:v>
                </c:pt>
                <c:pt idx="916">
                  <c:v>42557</c:v>
                </c:pt>
                <c:pt idx="917">
                  <c:v>42558</c:v>
                </c:pt>
                <c:pt idx="918">
                  <c:v>42559</c:v>
                </c:pt>
                <c:pt idx="919">
                  <c:v>42562</c:v>
                </c:pt>
                <c:pt idx="920">
                  <c:v>42563</c:v>
                </c:pt>
                <c:pt idx="921">
                  <c:v>42564</c:v>
                </c:pt>
                <c:pt idx="922">
                  <c:v>42565</c:v>
                </c:pt>
                <c:pt idx="923">
                  <c:v>42566</c:v>
                </c:pt>
                <c:pt idx="924">
                  <c:v>42569</c:v>
                </c:pt>
                <c:pt idx="925">
                  <c:v>42570</c:v>
                </c:pt>
                <c:pt idx="926">
                  <c:v>42571</c:v>
                </c:pt>
                <c:pt idx="927">
                  <c:v>42572</c:v>
                </c:pt>
                <c:pt idx="928">
                  <c:v>42573</c:v>
                </c:pt>
                <c:pt idx="929">
                  <c:v>42576</c:v>
                </c:pt>
                <c:pt idx="930">
                  <c:v>42577</c:v>
                </c:pt>
                <c:pt idx="931">
                  <c:v>42578</c:v>
                </c:pt>
                <c:pt idx="932">
                  <c:v>42579</c:v>
                </c:pt>
                <c:pt idx="933">
                  <c:v>42580</c:v>
                </c:pt>
                <c:pt idx="934">
                  <c:v>42583</c:v>
                </c:pt>
                <c:pt idx="935">
                  <c:v>42584</c:v>
                </c:pt>
                <c:pt idx="936">
                  <c:v>42585</c:v>
                </c:pt>
                <c:pt idx="937">
                  <c:v>42586</c:v>
                </c:pt>
                <c:pt idx="938">
                  <c:v>42587</c:v>
                </c:pt>
                <c:pt idx="939">
                  <c:v>42590</c:v>
                </c:pt>
                <c:pt idx="940">
                  <c:v>42591</c:v>
                </c:pt>
              </c:numCache>
            </c:numRef>
          </c:cat>
          <c:val>
            <c:numRef>
              <c:f>[0]!dhpLongFuturesExoRange</c:f>
              <c:numCache>
                <c:formatCode>General</c:formatCode>
                <c:ptCount val="941"/>
                <c:pt idx="0">
                  <c:v>0</c:v>
                </c:pt>
                <c:pt idx="1">
                  <c:v>0</c:v>
                </c:pt>
                <c:pt idx="2">
                  <c:v>4488.4999999999991</c:v>
                </c:pt>
                <c:pt idx="3">
                  <c:v>6769.2000000000007</c:v>
                </c:pt>
                <c:pt idx="4">
                  <c:v>6674.7999999999993</c:v>
                </c:pt>
                <c:pt idx="5">
                  <c:v>8719.4</c:v>
                </c:pt>
                <c:pt idx="6">
                  <c:v>10915.5</c:v>
                </c:pt>
                <c:pt idx="7">
                  <c:v>19543.2</c:v>
                </c:pt>
                <c:pt idx="8">
                  <c:v>11145.900000000001</c:v>
                </c:pt>
                <c:pt idx="9">
                  <c:v>5144.5</c:v>
                </c:pt>
                <c:pt idx="10">
                  <c:v>13855.699999999997</c:v>
                </c:pt>
                <c:pt idx="11">
                  <c:v>24737.199999999997</c:v>
                </c:pt>
                <c:pt idx="12">
                  <c:v>61717.2</c:v>
                </c:pt>
                <c:pt idx="13">
                  <c:v>55613</c:v>
                </c:pt>
                <c:pt idx="14">
                  <c:v>54313</c:v>
                </c:pt>
                <c:pt idx="15">
                  <c:v>71399.399999999994</c:v>
                </c:pt>
                <c:pt idx="16">
                  <c:v>40751.800000000003</c:v>
                </c:pt>
                <c:pt idx="17">
                  <c:v>46078.1</c:v>
                </c:pt>
                <c:pt idx="18">
                  <c:v>43514.400000000001</c:v>
                </c:pt>
                <c:pt idx="19">
                  <c:v>48768.800000000003</c:v>
                </c:pt>
                <c:pt idx="20">
                  <c:v>61621.700000000004</c:v>
                </c:pt>
                <c:pt idx="21">
                  <c:v>76261.200000000012</c:v>
                </c:pt>
                <c:pt idx="22">
                  <c:v>65946.700000000012</c:v>
                </c:pt>
                <c:pt idx="23">
                  <c:v>86920</c:v>
                </c:pt>
                <c:pt idx="24">
                  <c:v>69728.2</c:v>
                </c:pt>
                <c:pt idx="25">
                  <c:v>73470.7</c:v>
                </c:pt>
                <c:pt idx="26">
                  <c:v>70470.7</c:v>
                </c:pt>
                <c:pt idx="27">
                  <c:v>65330.7</c:v>
                </c:pt>
                <c:pt idx="28">
                  <c:v>64031.799999999996</c:v>
                </c:pt>
                <c:pt idx="29">
                  <c:v>62626.799999999996</c:v>
                </c:pt>
                <c:pt idx="30">
                  <c:v>61531.799999999996</c:v>
                </c:pt>
                <c:pt idx="31">
                  <c:v>50386.799999999996</c:v>
                </c:pt>
                <c:pt idx="32">
                  <c:v>47475.7</c:v>
                </c:pt>
                <c:pt idx="33">
                  <c:v>25193.199999999997</c:v>
                </c:pt>
                <c:pt idx="34">
                  <c:v>23553.199999999997</c:v>
                </c:pt>
                <c:pt idx="35">
                  <c:v>26413.199999999997</c:v>
                </c:pt>
                <c:pt idx="36">
                  <c:v>15791.099999999997</c:v>
                </c:pt>
                <c:pt idx="37">
                  <c:v>23888.6</c:v>
                </c:pt>
                <c:pt idx="38">
                  <c:v>30898.6</c:v>
                </c:pt>
                <c:pt idx="39">
                  <c:v>31958.6</c:v>
                </c:pt>
                <c:pt idx="40">
                  <c:v>36563.599999999999</c:v>
                </c:pt>
                <c:pt idx="41">
                  <c:v>39323.599999999999</c:v>
                </c:pt>
                <c:pt idx="42">
                  <c:v>47694.299999999996</c:v>
                </c:pt>
                <c:pt idx="43">
                  <c:v>57987.5</c:v>
                </c:pt>
                <c:pt idx="44">
                  <c:v>61902.6</c:v>
                </c:pt>
                <c:pt idx="45">
                  <c:v>60853.799999999996</c:v>
                </c:pt>
                <c:pt idx="46">
                  <c:v>53695.399999999994</c:v>
                </c:pt>
                <c:pt idx="47">
                  <c:v>50698.999999999993</c:v>
                </c:pt>
                <c:pt idx="48">
                  <c:v>47959.499999999993</c:v>
                </c:pt>
                <c:pt idx="49">
                  <c:v>41098.999999999993</c:v>
                </c:pt>
                <c:pt idx="50">
                  <c:v>35473.999999999993</c:v>
                </c:pt>
                <c:pt idx="51">
                  <c:v>41183.599999999991</c:v>
                </c:pt>
                <c:pt idx="52">
                  <c:v>34473.599999999991</c:v>
                </c:pt>
                <c:pt idx="53">
                  <c:v>23197.599999999999</c:v>
                </c:pt>
                <c:pt idx="54">
                  <c:v>26517.599999999999</c:v>
                </c:pt>
                <c:pt idx="55">
                  <c:v>16117.599999999999</c:v>
                </c:pt>
                <c:pt idx="56">
                  <c:v>14289.699999999999</c:v>
                </c:pt>
                <c:pt idx="57">
                  <c:v>4924.4999999999945</c:v>
                </c:pt>
                <c:pt idx="58">
                  <c:v>1431.0999999999931</c:v>
                </c:pt>
                <c:pt idx="59">
                  <c:v>12969.399999999992</c:v>
                </c:pt>
                <c:pt idx="60">
                  <c:v>27822.199999999997</c:v>
                </c:pt>
                <c:pt idx="61">
                  <c:v>37101</c:v>
                </c:pt>
                <c:pt idx="62">
                  <c:v>41517.399999999994</c:v>
                </c:pt>
                <c:pt idx="63">
                  <c:v>29319.999999999996</c:v>
                </c:pt>
                <c:pt idx="64">
                  <c:v>30999.999999999996</c:v>
                </c:pt>
                <c:pt idx="65">
                  <c:v>35437.5</c:v>
                </c:pt>
                <c:pt idx="66">
                  <c:v>65217.5</c:v>
                </c:pt>
                <c:pt idx="67">
                  <c:v>80145</c:v>
                </c:pt>
                <c:pt idx="68">
                  <c:v>88119.2</c:v>
                </c:pt>
                <c:pt idx="69">
                  <c:v>63501.8</c:v>
                </c:pt>
                <c:pt idx="70">
                  <c:v>47768</c:v>
                </c:pt>
                <c:pt idx="71">
                  <c:v>33363.599999999991</c:v>
                </c:pt>
                <c:pt idx="72">
                  <c:v>62129.499999999993</c:v>
                </c:pt>
                <c:pt idx="73">
                  <c:v>98729.5</c:v>
                </c:pt>
                <c:pt idx="74">
                  <c:v>164969.5</c:v>
                </c:pt>
                <c:pt idx="75">
                  <c:v>150567</c:v>
                </c:pt>
                <c:pt idx="76">
                  <c:v>180836.09999999998</c:v>
                </c:pt>
                <c:pt idx="77">
                  <c:v>173272.6</c:v>
                </c:pt>
                <c:pt idx="78">
                  <c:v>160372.6</c:v>
                </c:pt>
                <c:pt idx="79">
                  <c:v>157007.9</c:v>
                </c:pt>
                <c:pt idx="80">
                  <c:v>155867.09999999998</c:v>
                </c:pt>
                <c:pt idx="81">
                  <c:v>148527.09999999998</c:v>
                </c:pt>
                <c:pt idx="82">
                  <c:v>125902.9</c:v>
                </c:pt>
                <c:pt idx="83">
                  <c:v>124002.5</c:v>
                </c:pt>
                <c:pt idx="84">
                  <c:v>138762.5</c:v>
                </c:pt>
                <c:pt idx="85">
                  <c:v>124534.29999999999</c:v>
                </c:pt>
                <c:pt idx="86">
                  <c:v>102417.5</c:v>
                </c:pt>
                <c:pt idx="87">
                  <c:v>126228.1</c:v>
                </c:pt>
                <c:pt idx="88">
                  <c:v>149828.1</c:v>
                </c:pt>
                <c:pt idx="89">
                  <c:v>157628.1</c:v>
                </c:pt>
                <c:pt idx="90">
                  <c:v>149596.29999999999</c:v>
                </c:pt>
                <c:pt idx="91">
                  <c:v>165838.69999999998</c:v>
                </c:pt>
                <c:pt idx="92">
                  <c:v>154238.69999999998</c:v>
                </c:pt>
                <c:pt idx="93">
                  <c:v>146038.69999999998</c:v>
                </c:pt>
                <c:pt idx="94">
                  <c:v>138838.69999999998</c:v>
                </c:pt>
                <c:pt idx="95">
                  <c:v>131696.29999999999</c:v>
                </c:pt>
                <c:pt idx="96">
                  <c:v>130496.29999999999</c:v>
                </c:pt>
                <c:pt idx="97">
                  <c:v>138420.9</c:v>
                </c:pt>
                <c:pt idx="98">
                  <c:v>144220.9</c:v>
                </c:pt>
                <c:pt idx="99">
                  <c:v>150820.9</c:v>
                </c:pt>
                <c:pt idx="100">
                  <c:v>145420.9</c:v>
                </c:pt>
                <c:pt idx="101">
                  <c:v>127038.69999999998</c:v>
                </c:pt>
                <c:pt idx="102">
                  <c:v>121038.69999999998</c:v>
                </c:pt>
                <c:pt idx="103">
                  <c:v>122717.5</c:v>
                </c:pt>
                <c:pt idx="104">
                  <c:v>118117.5</c:v>
                </c:pt>
                <c:pt idx="105">
                  <c:v>131717.5</c:v>
                </c:pt>
                <c:pt idx="106">
                  <c:v>114883.59999999999</c:v>
                </c:pt>
                <c:pt idx="107">
                  <c:v>117789.09999999999</c:v>
                </c:pt>
                <c:pt idx="108">
                  <c:v>106572.4</c:v>
                </c:pt>
                <c:pt idx="109">
                  <c:v>124810</c:v>
                </c:pt>
                <c:pt idx="110">
                  <c:v>130393.59999999999</c:v>
                </c:pt>
                <c:pt idx="111">
                  <c:v>127747.5</c:v>
                </c:pt>
                <c:pt idx="112">
                  <c:v>127747.5</c:v>
                </c:pt>
                <c:pt idx="113">
                  <c:v>128677.5</c:v>
                </c:pt>
                <c:pt idx="114">
                  <c:v>125114.29999999999</c:v>
                </c:pt>
                <c:pt idx="115">
                  <c:v>126003.19999999998</c:v>
                </c:pt>
                <c:pt idx="116">
                  <c:v>124323.19999999998</c:v>
                </c:pt>
                <c:pt idx="117">
                  <c:v>119543.19999999998</c:v>
                </c:pt>
                <c:pt idx="118">
                  <c:v>107436.09999999999</c:v>
                </c:pt>
                <c:pt idx="119">
                  <c:v>105856.09999999999</c:v>
                </c:pt>
                <c:pt idx="120">
                  <c:v>102940</c:v>
                </c:pt>
                <c:pt idx="121">
                  <c:v>103775</c:v>
                </c:pt>
                <c:pt idx="122">
                  <c:v>104055</c:v>
                </c:pt>
                <c:pt idx="123">
                  <c:v>108543.59999999999</c:v>
                </c:pt>
                <c:pt idx="124">
                  <c:v>101888.59999999999</c:v>
                </c:pt>
                <c:pt idx="125">
                  <c:v>103106.09999999999</c:v>
                </c:pt>
                <c:pt idx="126">
                  <c:v>104932.5</c:v>
                </c:pt>
                <c:pt idx="127">
                  <c:v>94332.5</c:v>
                </c:pt>
                <c:pt idx="128">
                  <c:v>98515</c:v>
                </c:pt>
                <c:pt idx="129">
                  <c:v>98165</c:v>
                </c:pt>
                <c:pt idx="130">
                  <c:v>104665</c:v>
                </c:pt>
                <c:pt idx="131">
                  <c:v>118445</c:v>
                </c:pt>
                <c:pt idx="132">
                  <c:v>119525</c:v>
                </c:pt>
                <c:pt idx="133">
                  <c:v>132462.20000000001</c:v>
                </c:pt>
                <c:pt idx="134">
                  <c:v>131825.1</c:v>
                </c:pt>
                <c:pt idx="135">
                  <c:v>136235.20000000001</c:v>
                </c:pt>
                <c:pt idx="136">
                  <c:v>157235.20000000001</c:v>
                </c:pt>
                <c:pt idx="137">
                  <c:v>147015.20000000001</c:v>
                </c:pt>
                <c:pt idx="138">
                  <c:v>153999.20000000001</c:v>
                </c:pt>
                <c:pt idx="139">
                  <c:v>150730.6</c:v>
                </c:pt>
                <c:pt idx="140">
                  <c:v>150150.20000000001</c:v>
                </c:pt>
                <c:pt idx="141">
                  <c:v>156841.59999999998</c:v>
                </c:pt>
                <c:pt idx="142">
                  <c:v>176841.59999999998</c:v>
                </c:pt>
                <c:pt idx="143">
                  <c:v>174315.9</c:v>
                </c:pt>
                <c:pt idx="144">
                  <c:v>171468.19999999998</c:v>
                </c:pt>
                <c:pt idx="145">
                  <c:v>174994.09999999998</c:v>
                </c:pt>
                <c:pt idx="146">
                  <c:v>171178</c:v>
                </c:pt>
                <c:pt idx="147">
                  <c:v>169289.09999999998</c:v>
                </c:pt>
                <c:pt idx="148">
                  <c:v>174889.09999999998</c:v>
                </c:pt>
                <c:pt idx="149">
                  <c:v>174889.09999999998</c:v>
                </c:pt>
                <c:pt idx="150">
                  <c:v>173317.19999999998</c:v>
                </c:pt>
                <c:pt idx="151">
                  <c:v>166185.29999999999</c:v>
                </c:pt>
                <c:pt idx="152">
                  <c:v>171852.5</c:v>
                </c:pt>
                <c:pt idx="153">
                  <c:v>191098.4</c:v>
                </c:pt>
                <c:pt idx="154">
                  <c:v>191858.4</c:v>
                </c:pt>
                <c:pt idx="155">
                  <c:v>231778.4</c:v>
                </c:pt>
                <c:pt idx="156">
                  <c:v>258558.4</c:v>
                </c:pt>
                <c:pt idx="157">
                  <c:v>313926.8</c:v>
                </c:pt>
                <c:pt idx="158">
                  <c:v>192753</c:v>
                </c:pt>
                <c:pt idx="159">
                  <c:v>205652</c:v>
                </c:pt>
                <c:pt idx="160">
                  <c:v>152932</c:v>
                </c:pt>
                <c:pt idx="161">
                  <c:v>153617.69999999998</c:v>
                </c:pt>
                <c:pt idx="162">
                  <c:v>154992</c:v>
                </c:pt>
                <c:pt idx="163">
                  <c:v>154860.4</c:v>
                </c:pt>
                <c:pt idx="164">
                  <c:v>154860.4</c:v>
                </c:pt>
                <c:pt idx="165">
                  <c:v>152337.5</c:v>
                </c:pt>
                <c:pt idx="166">
                  <c:v>152337.5</c:v>
                </c:pt>
                <c:pt idx="167">
                  <c:v>151361.5</c:v>
                </c:pt>
                <c:pt idx="168">
                  <c:v>151685.79999999999</c:v>
                </c:pt>
                <c:pt idx="169">
                  <c:v>151685.79999999999</c:v>
                </c:pt>
                <c:pt idx="170">
                  <c:v>156309.6</c:v>
                </c:pt>
                <c:pt idx="171">
                  <c:v>164689.60000000001</c:v>
                </c:pt>
                <c:pt idx="172">
                  <c:v>167005.79999999999</c:v>
                </c:pt>
                <c:pt idx="173">
                  <c:v>154405.79999999999</c:v>
                </c:pt>
                <c:pt idx="174">
                  <c:v>146000</c:v>
                </c:pt>
                <c:pt idx="175">
                  <c:v>153494.19999999998</c:v>
                </c:pt>
                <c:pt idx="176">
                  <c:v>147108.19999999998</c:v>
                </c:pt>
                <c:pt idx="177">
                  <c:v>166008.19999999998</c:v>
                </c:pt>
                <c:pt idx="178">
                  <c:v>184795.69999999998</c:v>
                </c:pt>
                <c:pt idx="179">
                  <c:v>175975.69999999998</c:v>
                </c:pt>
                <c:pt idx="180">
                  <c:v>148319.29999999999</c:v>
                </c:pt>
                <c:pt idx="181">
                  <c:v>167340.69999999998</c:v>
                </c:pt>
                <c:pt idx="182">
                  <c:v>180640.69999999998</c:v>
                </c:pt>
                <c:pt idx="183">
                  <c:v>178550.69999999998</c:v>
                </c:pt>
                <c:pt idx="184">
                  <c:v>177750.69999999998</c:v>
                </c:pt>
                <c:pt idx="185">
                  <c:v>172850.69999999998</c:v>
                </c:pt>
                <c:pt idx="186">
                  <c:v>180381.8</c:v>
                </c:pt>
                <c:pt idx="187">
                  <c:v>178681.8</c:v>
                </c:pt>
                <c:pt idx="188">
                  <c:v>172345.69999999998</c:v>
                </c:pt>
                <c:pt idx="189">
                  <c:v>167913.19999999998</c:v>
                </c:pt>
                <c:pt idx="190">
                  <c:v>170813.19999999998</c:v>
                </c:pt>
                <c:pt idx="191">
                  <c:v>183233.19999999998</c:v>
                </c:pt>
                <c:pt idx="192">
                  <c:v>187653.19999999998</c:v>
                </c:pt>
                <c:pt idx="193">
                  <c:v>174658.19999999998</c:v>
                </c:pt>
                <c:pt idx="194">
                  <c:v>197430</c:v>
                </c:pt>
                <c:pt idx="195">
                  <c:v>205622.5</c:v>
                </c:pt>
                <c:pt idx="196">
                  <c:v>153626.5</c:v>
                </c:pt>
                <c:pt idx="197">
                  <c:v>162354.9</c:v>
                </c:pt>
                <c:pt idx="198">
                  <c:v>158295</c:v>
                </c:pt>
                <c:pt idx="199">
                  <c:v>188721</c:v>
                </c:pt>
                <c:pt idx="200">
                  <c:v>146965</c:v>
                </c:pt>
                <c:pt idx="201">
                  <c:v>216685</c:v>
                </c:pt>
                <c:pt idx="202">
                  <c:v>169253.9</c:v>
                </c:pt>
                <c:pt idx="203">
                  <c:v>221162.4</c:v>
                </c:pt>
                <c:pt idx="204">
                  <c:v>205882.4</c:v>
                </c:pt>
                <c:pt idx="205">
                  <c:v>243742.4</c:v>
                </c:pt>
                <c:pt idx="206">
                  <c:v>204634.59999999998</c:v>
                </c:pt>
                <c:pt idx="207">
                  <c:v>269638.59999999998</c:v>
                </c:pt>
                <c:pt idx="208">
                  <c:v>273557</c:v>
                </c:pt>
                <c:pt idx="209">
                  <c:v>323285.59999999998</c:v>
                </c:pt>
                <c:pt idx="210">
                  <c:v>367863.39999999997</c:v>
                </c:pt>
                <c:pt idx="211">
                  <c:v>399706.2</c:v>
                </c:pt>
                <c:pt idx="212">
                  <c:v>401723.8</c:v>
                </c:pt>
                <c:pt idx="213">
                  <c:v>397362.3</c:v>
                </c:pt>
                <c:pt idx="214">
                  <c:v>382670.1</c:v>
                </c:pt>
                <c:pt idx="215">
                  <c:v>395867.8</c:v>
                </c:pt>
                <c:pt idx="216">
                  <c:v>420669.89999999997</c:v>
                </c:pt>
                <c:pt idx="217">
                  <c:v>430554.7</c:v>
                </c:pt>
                <c:pt idx="218">
                  <c:v>441490</c:v>
                </c:pt>
                <c:pt idx="219">
                  <c:v>446050</c:v>
                </c:pt>
                <c:pt idx="220">
                  <c:v>454750</c:v>
                </c:pt>
                <c:pt idx="221">
                  <c:v>446978.7</c:v>
                </c:pt>
                <c:pt idx="222">
                  <c:v>452647.5</c:v>
                </c:pt>
                <c:pt idx="223">
                  <c:v>453247.5</c:v>
                </c:pt>
                <c:pt idx="224">
                  <c:v>456347.5</c:v>
                </c:pt>
                <c:pt idx="225">
                  <c:v>464247.5</c:v>
                </c:pt>
                <c:pt idx="226">
                  <c:v>462809.39999999997</c:v>
                </c:pt>
                <c:pt idx="227">
                  <c:v>462569.89999999997</c:v>
                </c:pt>
                <c:pt idx="228">
                  <c:v>460359.7</c:v>
                </c:pt>
                <c:pt idx="229">
                  <c:v>499060.3</c:v>
                </c:pt>
                <c:pt idx="230">
                  <c:v>482146.1</c:v>
                </c:pt>
                <c:pt idx="231">
                  <c:v>492734</c:v>
                </c:pt>
                <c:pt idx="232">
                  <c:v>429043.8</c:v>
                </c:pt>
                <c:pt idx="233">
                  <c:v>439983.8</c:v>
                </c:pt>
                <c:pt idx="234">
                  <c:v>463141</c:v>
                </c:pt>
                <c:pt idx="235">
                  <c:v>475141</c:v>
                </c:pt>
                <c:pt idx="236">
                  <c:v>528581</c:v>
                </c:pt>
                <c:pt idx="237">
                  <c:v>527441</c:v>
                </c:pt>
                <c:pt idx="238">
                  <c:v>512000</c:v>
                </c:pt>
                <c:pt idx="239">
                  <c:v>504390</c:v>
                </c:pt>
                <c:pt idx="240">
                  <c:v>453069.3</c:v>
                </c:pt>
                <c:pt idx="241">
                  <c:v>485380.6</c:v>
                </c:pt>
                <c:pt idx="242">
                  <c:v>504163</c:v>
                </c:pt>
                <c:pt idx="243">
                  <c:v>511100.6</c:v>
                </c:pt>
                <c:pt idx="244">
                  <c:v>526680.1</c:v>
                </c:pt>
                <c:pt idx="245">
                  <c:v>531706</c:v>
                </c:pt>
                <c:pt idx="246">
                  <c:v>527106</c:v>
                </c:pt>
                <c:pt idx="247">
                  <c:v>533634.5</c:v>
                </c:pt>
                <c:pt idx="248">
                  <c:v>513154.5</c:v>
                </c:pt>
                <c:pt idx="249">
                  <c:v>538071.4</c:v>
                </c:pt>
                <c:pt idx="250">
                  <c:v>528351.4</c:v>
                </c:pt>
                <c:pt idx="251">
                  <c:v>539351.4</c:v>
                </c:pt>
                <c:pt idx="252">
                  <c:v>585744.4</c:v>
                </c:pt>
                <c:pt idx="253">
                  <c:v>588351.69999999995</c:v>
                </c:pt>
                <c:pt idx="254">
                  <c:v>583123.80000000005</c:v>
                </c:pt>
                <c:pt idx="255">
                  <c:v>598841.80000000005</c:v>
                </c:pt>
                <c:pt idx="256">
                  <c:v>598301.80000000005</c:v>
                </c:pt>
                <c:pt idx="257">
                  <c:v>593696.19999999995</c:v>
                </c:pt>
                <c:pt idx="258">
                  <c:v>625901.80000000005</c:v>
                </c:pt>
                <c:pt idx="259">
                  <c:v>595016.19999999995</c:v>
                </c:pt>
                <c:pt idx="260">
                  <c:v>574136.19999999995</c:v>
                </c:pt>
                <c:pt idx="261">
                  <c:v>582127.5</c:v>
                </c:pt>
                <c:pt idx="262">
                  <c:v>531967.5</c:v>
                </c:pt>
                <c:pt idx="263">
                  <c:v>531047.5</c:v>
                </c:pt>
                <c:pt idx="264">
                  <c:v>523339.39999999997</c:v>
                </c:pt>
                <c:pt idx="265">
                  <c:v>522615</c:v>
                </c:pt>
                <c:pt idx="266">
                  <c:v>522344.39999999997</c:v>
                </c:pt>
                <c:pt idx="267">
                  <c:v>511384.39999999997</c:v>
                </c:pt>
                <c:pt idx="268">
                  <c:v>521304.39999999997</c:v>
                </c:pt>
                <c:pt idx="269">
                  <c:v>509144.39999999997</c:v>
                </c:pt>
                <c:pt idx="270">
                  <c:v>506192.89999999997</c:v>
                </c:pt>
                <c:pt idx="271">
                  <c:v>479892.89999999997</c:v>
                </c:pt>
                <c:pt idx="272">
                  <c:v>481328.6</c:v>
                </c:pt>
                <c:pt idx="273">
                  <c:v>481328.6</c:v>
                </c:pt>
                <c:pt idx="274">
                  <c:v>481328.6</c:v>
                </c:pt>
                <c:pt idx="275">
                  <c:v>450899.89999999997</c:v>
                </c:pt>
                <c:pt idx="276">
                  <c:v>479611.9</c:v>
                </c:pt>
                <c:pt idx="277">
                  <c:v>480006.7</c:v>
                </c:pt>
                <c:pt idx="278">
                  <c:v>480509.6</c:v>
                </c:pt>
                <c:pt idx="279">
                  <c:v>480368.6</c:v>
                </c:pt>
                <c:pt idx="280">
                  <c:v>479696.5</c:v>
                </c:pt>
                <c:pt idx="281">
                  <c:v>479611.9</c:v>
                </c:pt>
                <c:pt idx="282">
                  <c:v>479668.3</c:v>
                </c:pt>
                <c:pt idx="283">
                  <c:v>479391</c:v>
                </c:pt>
                <c:pt idx="284">
                  <c:v>454480</c:v>
                </c:pt>
                <c:pt idx="285">
                  <c:v>457980</c:v>
                </c:pt>
                <c:pt idx="286">
                  <c:v>457980</c:v>
                </c:pt>
                <c:pt idx="287">
                  <c:v>468616.1</c:v>
                </c:pt>
                <c:pt idx="288">
                  <c:v>466519.6</c:v>
                </c:pt>
                <c:pt idx="289">
                  <c:v>466519.6</c:v>
                </c:pt>
                <c:pt idx="290">
                  <c:v>464132.7</c:v>
                </c:pt>
                <c:pt idx="291">
                  <c:v>463630.1</c:v>
                </c:pt>
                <c:pt idx="292">
                  <c:v>466630.1</c:v>
                </c:pt>
                <c:pt idx="293">
                  <c:v>467267.1</c:v>
                </c:pt>
                <c:pt idx="294">
                  <c:v>467487.1</c:v>
                </c:pt>
                <c:pt idx="295">
                  <c:v>466207.7</c:v>
                </c:pt>
                <c:pt idx="296">
                  <c:v>464201.2</c:v>
                </c:pt>
                <c:pt idx="297">
                  <c:v>464672.6</c:v>
                </c:pt>
                <c:pt idx="298">
                  <c:v>466812.6</c:v>
                </c:pt>
                <c:pt idx="299">
                  <c:v>463302.39999999997</c:v>
                </c:pt>
                <c:pt idx="300">
                  <c:v>467553.3</c:v>
                </c:pt>
                <c:pt idx="301">
                  <c:v>463453.3</c:v>
                </c:pt>
                <c:pt idx="302">
                  <c:v>466341.3</c:v>
                </c:pt>
                <c:pt idx="303">
                  <c:v>463641.3</c:v>
                </c:pt>
                <c:pt idx="304">
                  <c:v>456372.5</c:v>
                </c:pt>
                <c:pt idx="305">
                  <c:v>461372.5</c:v>
                </c:pt>
                <c:pt idx="306">
                  <c:v>461372.5</c:v>
                </c:pt>
                <c:pt idx="307">
                  <c:v>461012.5</c:v>
                </c:pt>
                <c:pt idx="308">
                  <c:v>439872.5</c:v>
                </c:pt>
                <c:pt idx="309">
                  <c:v>456672.5</c:v>
                </c:pt>
                <c:pt idx="310">
                  <c:v>457182</c:v>
                </c:pt>
                <c:pt idx="311">
                  <c:v>522732.1</c:v>
                </c:pt>
                <c:pt idx="312">
                  <c:v>525032.1</c:v>
                </c:pt>
                <c:pt idx="313">
                  <c:v>513372.1</c:v>
                </c:pt>
                <c:pt idx="314">
                  <c:v>520373.6</c:v>
                </c:pt>
                <c:pt idx="315">
                  <c:v>503696.3</c:v>
                </c:pt>
                <c:pt idx="316">
                  <c:v>503196.3</c:v>
                </c:pt>
                <c:pt idx="317">
                  <c:v>498398.6</c:v>
                </c:pt>
                <c:pt idx="318">
                  <c:v>485198.6</c:v>
                </c:pt>
                <c:pt idx="319">
                  <c:v>481821.5</c:v>
                </c:pt>
                <c:pt idx="320">
                  <c:v>482861.8</c:v>
                </c:pt>
                <c:pt idx="321">
                  <c:v>485661.8</c:v>
                </c:pt>
                <c:pt idx="322">
                  <c:v>492408</c:v>
                </c:pt>
                <c:pt idx="323">
                  <c:v>494108</c:v>
                </c:pt>
                <c:pt idx="324">
                  <c:v>492908</c:v>
                </c:pt>
                <c:pt idx="325">
                  <c:v>473345</c:v>
                </c:pt>
                <c:pt idx="326">
                  <c:v>472170</c:v>
                </c:pt>
                <c:pt idx="327">
                  <c:v>480320</c:v>
                </c:pt>
                <c:pt idx="328">
                  <c:v>490745</c:v>
                </c:pt>
                <c:pt idx="329">
                  <c:v>482770</c:v>
                </c:pt>
                <c:pt idx="330">
                  <c:v>500181.5</c:v>
                </c:pt>
                <c:pt idx="331">
                  <c:v>506781.5</c:v>
                </c:pt>
                <c:pt idx="332">
                  <c:v>507981.5</c:v>
                </c:pt>
                <c:pt idx="333">
                  <c:v>508981.5</c:v>
                </c:pt>
                <c:pt idx="334">
                  <c:v>512881.5</c:v>
                </c:pt>
                <c:pt idx="335">
                  <c:v>512145</c:v>
                </c:pt>
                <c:pt idx="336">
                  <c:v>511641.1</c:v>
                </c:pt>
                <c:pt idx="337">
                  <c:v>512373.2</c:v>
                </c:pt>
                <c:pt idx="338">
                  <c:v>513213.2</c:v>
                </c:pt>
                <c:pt idx="339">
                  <c:v>514693.2</c:v>
                </c:pt>
                <c:pt idx="340">
                  <c:v>510916.5</c:v>
                </c:pt>
                <c:pt idx="341">
                  <c:v>516596.5</c:v>
                </c:pt>
                <c:pt idx="342">
                  <c:v>513600.7</c:v>
                </c:pt>
                <c:pt idx="343">
                  <c:v>525601.1</c:v>
                </c:pt>
                <c:pt idx="344">
                  <c:v>528596.6</c:v>
                </c:pt>
                <c:pt idx="345">
                  <c:v>511853.2</c:v>
                </c:pt>
                <c:pt idx="346">
                  <c:v>566985</c:v>
                </c:pt>
                <c:pt idx="347">
                  <c:v>571667.5</c:v>
                </c:pt>
                <c:pt idx="348">
                  <c:v>559267.5</c:v>
                </c:pt>
                <c:pt idx="349">
                  <c:v>576380.6</c:v>
                </c:pt>
                <c:pt idx="350">
                  <c:v>563540.6</c:v>
                </c:pt>
                <c:pt idx="351">
                  <c:v>523133</c:v>
                </c:pt>
                <c:pt idx="352">
                  <c:v>553877.1</c:v>
                </c:pt>
                <c:pt idx="353">
                  <c:v>564460.19999999995</c:v>
                </c:pt>
                <c:pt idx="354">
                  <c:v>556640.19999999995</c:v>
                </c:pt>
                <c:pt idx="355">
                  <c:v>552820.19999999995</c:v>
                </c:pt>
                <c:pt idx="356">
                  <c:v>562725.9</c:v>
                </c:pt>
                <c:pt idx="357">
                  <c:v>562025.9</c:v>
                </c:pt>
                <c:pt idx="358">
                  <c:v>565197.69999999995</c:v>
                </c:pt>
                <c:pt idx="359">
                  <c:v>565981.9</c:v>
                </c:pt>
                <c:pt idx="360">
                  <c:v>565821.9</c:v>
                </c:pt>
                <c:pt idx="361">
                  <c:v>559461.9</c:v>
                </c:pt>
                <c:pt idx="362">
                  <c:v>557075</c:v>
                </c:pt>
                <c:pt idx="363">
                  <c:v>569275</c:v>
                </c:pt>
                <c:pt idx="364">
                  <c:v>567975</c:v>
                </c:pt>
                <c:pt idx="365">
                  <c:v>568575</c:v>
                </c:pt>
                <c:pt idx="366">
                  <c:v>558275</c:v>
                </c:pt>
                <c:pt idx="367">
                  <c:v>568749.4</c:v>
                </c:pt>
                <c:pt idx="368">
                  <c:v>553889.4</c:v>
                </c:pt>
                <c:pt idx="369">
                  <c:v>547725</c:v>
                </c:pt>
                <c:pt idx="370">
                  <c:v>550447.1</c:v>
                </c:pt>
                <c:pt idx="371">
                  <c:v>551647.1</c:v>
                </c:pt>
                <c:pt idx="372">
                  <c:v>550547.1</c:v>
                </c:pt>
                <c:pt idx="373">
                  <c:v>554547.1</c:v>
                </c:pt>
                <c:pt idx="374">
                  <c:v>552062.9</c:v>
                </c:pt>
                <c:pt idx="375">
                  <c:v>555782.9</c:v>
                </c:pt>
                <c:pt idx="376">
                  <c:v>553643</c:v>
                </c:pt>
                <c:pt idx="377">
                  <c:v>545963</c:v>
                </c:pt>
                <c:pt idx="378">
                  <c:v>541461.4</c:v>
                </c:pt>
                <c:pt idx="379">
                  <c:v>545351.19999999995</c:v>
                </c:pt>
                <c:pt idx="380">
                  <c:v>546114.6</c:v>
                </c:pt>
                <c:pt idx="381">
                  <c:v>545314.6</c:v>
                </c:pt>
                <c:pt idx="382">
                  <c:v>545894.6</c:v>
                </c:pt>
                <c:pt idx="383">
                  <c:v>545654.6</c:v>
                </c:pt>
                <c:pt idx="384">
                  <c:v>548023.80000000005</c:v>
                </c:pt>
                <c:pt idx="385">
                  <c:v>549119.4</c:v>
                </c:pt>
                <c:pt idx="386">
                  <c:v>550478.69999999995</c:v>
                </c:pt>
                <c:pt idx="387">
                  <c:v>550878.69999999995</c:v>
                </c:pt>
                <c:pt idx="388">
                  <c:v>551935.1</c:v>
                </c:pt>
                <c:pt idx="389">
                  <c:v>553335.1</c:v>
                </c:pt>
                <c:pt idx="390">
                  <c:v>552950</c:v>
                </c:pt>
                <c:pt idx="391">
                  <c:v>569534</c:v>
                </c:pt>
                <c:pt idx="392">
                  <c:v>589901.4</c:v>
                </c:pt>
                <c:pt idx="393">
                  <c:v>592641.4</c:v>
                </c:pt>
                <c:pt idx="394">
                  <c:v>610742.4</c:v>
                </c:pt>
                <c:pt idx="395">
                  <c:v>618682.4</c:v>
                </c:pt>
                <c:pt idx="396">
                  <c:v>639498.30000000005</c:v>
                </c:pt>
                <c:pt idx="397">
                  <c:v>608326</c:v>
                </c:pt>
                <c:pt idx="398">
                  <c:v>703726</c:v>
                </c:pt>
                <c:pt idx="399">
                  <c:v>715235.2</c:v>
                </c:pt>
                <c:pt idx="400">
                  <c:v>734070.8</c:v>
                </c:pt>
                <c:pt idx="401">
                  <c:v>697670.8</c:v>
                </c:pt>
                <c:pt idx="402">
                  <c:v>650269.19999999995</c:v>
                </c:pt>
                <c:pt idx="403">
                  <c:v>654567.80000000005</c:v>
                </c:pt>
                <c:pt idx="404">
                  <c:v>633587.80000000005</c:v>
                </c:pt>
                <c:pt idx="405">
                  <c:v>646327.80000000005</c:v>
                </c:pt>
                <c:pt idx="406">
                  <c:v>627841.5</c:v>
                </c:pt>
                <c:pt idx="407">
                  <c:v>643745.1</c:v>
                </c:pt>
                <c:pt idx="408">
                  <c:v>649101.9</c:v>
                </c:pt>
                <c:pt idx="409">
                  <c:v>652416.69999999995</c:v>
                </c:pt>
                <c:pt idx="410">
                  <c:v>687538.6</c:v>
                </c:pt>
                <c:pt idx="411">
                  <c:v>709361.8</c:v>
                </c:pt>
                <c:pt idx="412">
                  <c:v>768882.5</c:v>
                </c:pt>
                <c:pt idx="413">
                  <c:v>818960</c:v>
                </c:pt>
                <c:pt idx="414">
                  <c:v>801660</c:v>
                </c:pt>
                <c:pt idx="415">
                  <c:v>842690.3</c:v>
                </c:pt>
                <c:pt idx="416">
                  <c:v>853716.4</c:v>
                </c:pt>
                <c:pt idx="417">
                  <c:v>843899.3</c:v>
                </c:pt>
                <c:pt idx="418">
                  <c:v>836233.2</c:v>
                </c:pt>
                <c:pt idx="419">
                  <c:v>811860.1</c:v>
                </c:pt>
                <c:pt idx="420">
                  <c:v>841941.3</c:v>
                </c:pt>
                <c:pt idx="421">
                  <c:v>837171.4</c:v>
                </c:pt>
                <c:pt idx="422">
                  <c:v>921907.19999999995</c:v>
                </c:pt>
                <c:pt idx="423">
                  <c:v>890527.2</c:v>
                </c:pt>
                <c:pt idx="424">
                  <c:v>914807.1</c:v>
                </c:pt>
                <c:pt idx="425">
                  <c:v>931407.1</c:v>
                </c:pt>
                <c:pt idx="426">
                  <c:v>926640</c:v>
                </c:pt>
                <c:pt idx="427">
                  <c:v>912828</c:v>
                </c:pt>
                <c:pt idx="428">
                  <c:v>925628</c:v>
                </c:pt>
                <c:pt idx="429">
                  <c:v>927608</c:v>
                </c:pt>
                <c:pt idx="430">
                  <c:v>917306.4</c:v>
                </c:pt>
                <c:pt idx="431">
                  <c:v>919475.6</c:v>
                </c:pt>
                <c:pt idx="432">
                  <c:v>906875.6</c:v>
                </c:pt>
                <c:pt idx="433">
                  <c:v>871315.6</c:v>
                </c:pt>
                <c:pt idx="434">
                  <c:v>873687.5</c:v>
                </c:pt>
                <c:pt idx="435">
                  <c:v>929587.5</c:v>
                </c:pt>
                <c:pt idx="436">
                  <c:v>882687.5</c:v>
                </c:pt>
                <c:pt idx="437">
                  <c:v>901522.4</c:v>
                </c:pt>
                <c:pt idx="438">
                  <c:v>925922.4</c:v>
                </c:pt>
                <c:pt idx="439">
                  <c:v>941668.3</c:v>
                </c:pt>
                <c:pt idx="440">
                  <c:v>934419.5</c:v>
                </c:pt>
                <c:pt idx="441">
                  <c:v>958318.6</c:v>
                </c:pt>
                <c:pt idx="442">
                  <c:v>940665.9</c:v>
                </c:pt>
                <c:pt idx="443">
                  <c:v>939670.3</c:v>
                </c:pt>
                <c:pt idx="444">
                  <c:v>935770.3</c:v>
                </c:pt>
                <c:pt idx="445">
                  <c:v>951906</c:v>
                </c:pt>
                <c:pt idx="446">
                  <c:v>948627.7</c:v>
                </c:pt>
                <c:pt idx="447">
                  <c:v>941310.2</c:v>
                </c:pt>
                <c:pt idx="448">
                  <c:v>939806</c:v>
                </c:pt>
                <c:pt idx="449">
                  <c:v>943506</c:v>
                </c:pt>
                <c:pt idx="450">
                  <c:v>940903.7</c:v>
                </c:pt>
                <c:pt idx="451">
                  <c:v>936903.7</c:v>
                </c:pt>
                <c:pt idx="452">
                  <c:v>936923.7</c:v>
                </c:pt>
                <c:pt idx="453">
                  <c:v>935963.7</c:v>
                </c:pt>
                <c:pt idx="454">
                  <c:v>931515.8</c:v>
                </c:pt>
                <c:pt idx="455">
                  <c:v>963426.6</c:v>
                </c:pt>
                <c:pt idx="456">
                  <c:v>994460</c:v>
                </c:pt>
                <c:pt idx="457">
                  <c:v>979892.9</c:v>
                </c:pt>
                <c:pt idx="458">
                  <c:v>1022069.2</c:v>
                </c:pt>
                <c:pt idx="459">
                  <c:v>1008913.5</c:v>
                </c:pt>
                <c:pt idx="460">
                  <c:v>1052991.3</c:v>
                </c:pt>
                <c:pt idx="461">
                  <c:v>1129691.3</c:v>
                </c:pt>
                <c:pt idx="462">
                  <c:v>1190991.3</c:v>
                </c:pt>
                <c:pt idx="463">
                  <c:v>1175860.3999999999</c:v>
                </c:pt>
                <c:pt idx="464">
                  <c:v>1206942.8</c:v>
                </c:pt>
                <c:pt idx="465">
                  <c:v>1250842.8</c:v>
                </c:pt>
                <c:pt idx="466">
                  <c:v>1259519.2</c:v>
                </c:pt>
                <c:pt idx="467">
                  <c:v>1218952.5</c:v>
                </c:pt>
                <c:pt idx="468">
                  <c:v>1220070.5</c:v>
                </c:pt>
                <c:pt idx="469">
                  <c:v>1230029</c:v>
                </c:pt>
                <c:pt idx="470">
                  <c:v>1228229</c:v>
                </c:pt>
                <c:pt idx="471">
                  <c:v>1270729</c:v>
                </c:pt>
                <c:pt idx="472">
                  <c:v>1237429</c:v>
                </c:pt>
                <c:pt idx="473">
                  <c:v>1274333.8999999999</c:v>
                </c:pt>
                <c:pt idx="474">
                  <c:v>1278102.3999999999</c:v>
                </c:pt>
                <c:pt idx="475">
                  <c:v>1264802.3999999999</c:v>
                </c:pt>
                <c:pt idx="476">
                  <c:v>1246982.3999999999</c:v>
                </c:pt>
                <c:pt idx="477">
                  <c:v>1259422.3999999999</c:v>
                </c:pt>
                <c:pt idx="478">
                  <c:v>1300032</c:v>
                </c:pt>
                <c:pt idx="479">
                  <c:v>1289410</c:v>
                </c:pt>
                <c:pt idx="480">
                  <c:v>1358495</c:v>
                </c:pt>
                <c:pt idx="481">
                  <c:v>1326953.3</c:v>
                </c:pt>
                <c:pt idx="482">
                  <c:v>1338415.3999999999</c:v>
                </c:pt>
                <c:pt idx="483">
                  <c:v>1332776</c:v>
                </c:pt>
                <c:pt idx="484">
                  <c:v>1324611.2</c:v>
                </c:pt>
                <c:pt idx="485">
                  <c:v>1327099.6000000001</c:v>
                </c:pt>
                <c:pt idx="486">
                  <c:v>1321528.3</c:v>
                </c:pt>
                <c:pt idx="487">
                  <c:v>1300230.2</c:v>
                </c:pt>
                <c:pt idx="488">
                  <c:v>1296430.2</c:v>
                </c:pt>
                <c:pt idx="489">
                  <c:v>1296430.2</c:v>
                </c:pt>
                <c:pt idx="490">
                  <c:v>1299030.2</c:v>
                </c:pt>
                <c:pt idx="491">
                  <c:v>1300081.6000000001</c:v>
                </c:pt>
                <c:pt idx="492">
                  <c:v>1295208.3999999999</c:v>
                </c:pt>
                <c:pt idx="493">
                  <c:v>1294718.6000000001</c:v>
                </c:pt>
                <c:pt idx="494">
                  <c:v>1295812.1000000001</c:v>
                </c:pt>
                <c:pt idx="495">
                  <c:v>1288374.2</c:v>
                </c:pt>
                <c:pt idx="496">
                  <c:v>1286537.1000000001</c:v>
                </c:pt>
                <c:pt idx="497">
                  <c:v>1262537.1000000001</c:v>
                </c:pt>
                <c:pt idx="498">
                  <c:v>1251337.1000000001</c:v>
                </c:pt>
                <c:pt idx="499">
                  <c:v>1240050</c:v>
                </c:pt>
                <c:pt idx="500">
                  <c:v>1227625.5</c:v>
                </c:pt>
                <c:pt idx="501">
                  <c:v>1228325.5</c:v>
                </c:pt>
                <c:pt idx="502">
                  <c:v>1221425.5</c:v>
                </c:pt>
                <c:pt idx="503">
                  <c:v>1210357.1000000001</c:v>
                </c:pt>
                <c:pt idx="504">
                  <c:v>1199457.1000000001</c:v>
                </c:pt>
                <c:pt idx="505">
                  <c:v>1196054.3999999999</c:v>
                </c:pt>
                <c:pt idx="506">
                  <c:v>1189649</c:v>
                </c:pt>
                <c:pt idx="507">
                  <c:v>1190249</c:v>
                </c:pt>
                <c:pt idx="508">
                  <c:v>1183207.1000000001</c:v>
                </c:pt>
                <c:pt idx="509">
                  <c:v>1167801</c:v>
                </c:pt>
                <c:pt idx="510">
                  <c:v>1173013.5</c:v>
                </c:pt>
                <c:pt idx="511">
                  <c:v>1182883.1000000001</c:v>
                </c:pt>
                <c:pt idx="512">
                  <c:v>1169881.6000000001</c:v>
                </c:pt>
                <c:pt idx="513">
                  <c:v>1172631.6000000001</c:v>
                </c:pt>
                <c:pt idx="514">
                  <c:v>1169566.8999999999</c:v>
                </c:pt>
                <c:pt idx="515">
                  <c:v>1171966.8999999999</c:v>
                </c:pt>
                <c:pt idx="516">
                  <c:v>1167766.8999999999</c:v>
                </c:pt>
                <c:pt idx="517">
                  <c:v>1168066.8999999999</c:v>
                </c:pt>
                <c:pt idx="518">
                  <c:v>1163966.8999999999</c:v>
                </c:pt>
                <c:pt idx="519">
                  <c:v>1155266.8999999999</c:v>
                </c:pt>
                <c:pt idx="520">
                  <c:v>1160443.5</c:v>
                </c:pt>
                <c:pt idx="521">
                  <c:v>1160443.5</c:v>
                </c:pt>
                <c:pt idx="522">
                  <c:v>1143725</c:v>
                </c:pt>
                <c:pt idx="523">
                  <c:v>1143725</c:v>
                </c:pt>
                <c:pt idx="524">
                  <c:v>1142611.1000000001</c:v>
                </c:pt>
                <c:pt idx="525">
                  <c:v>1142611.1000000001</c:v>
                </c:pt>
                <c:pt idx="526">
                  <c:v>1122166.1000000001</c:v>
                </c:pt>
                <c:pt idx="527">
                  <c:v>1122166.1000000001</c:v>
                </c:pt>
                <c:pt idx="528">
                  <c:v>1122283.6000000001</c:v>
                </c:pt>
                <c:pt idx="529">
                  <c:v>1122283.6000000001</c:v>
                </c:pt>
                <c:pt idx="530">
                  <c:v>1122283.6000000001</c:v>
                </c:pt>
                <c:pt idx="531">
                  <c:v>1119808.6000000001</c:v>
                </c:pt>
                <c:pt idx="532">
                  <c:v>1120776.8</c:v>
                </c:pt>
                <c:pt idx="533">
                  <c:v>1121068.2</c:v>
                </c:pt>
                <c:pt idx="534">
                  <c:v>1112668.2</c:v>
                </c:pt>
                <c:pt idx="535">
                  <c:v>1096841.8</c:v>
                </c:pt>
                <c:pt idx="536">
                  <c:v>1105281.8</c:v>
                </c:pt>
                <c:pt idx="537">
                  <c:v>1106153.2</c:v>
                </c:pt>
                <c:pt idx="538">
                  <c:v>1106505.7</c:v>
                </c:pt>
                <c:pt idx="539">
                  <c:v>1106360</c:v>
                </c:pt>
                <c:pt idx="540">
                  <c:v>1105772.5</c:v>
                </c:pt>
                <c:pt idx="541">
                  <c:v>1105598.6000000001</c:v>
                </c:pt>
                <c:pt idx="542">
                  <c:v>1105772.5</c:v>
                </c:pt>
                <c:pt idx="543">
                  <c:v>1105979.3</c:v>
                </c:pt>
                <c:pt idx="544">
                  <c:v>1105377.5</c:v>
                </c:pt>
                <c:pt idx="545">
                  <c:v>1108553.8</c:v>
                </c:pt>
                <c:pt idx="546">
                  <c:v>1107473.8</c:v>
                </c:pt>
                <c:pt idx="547">
                  <c:v>1167126</c:v>
                </c:pt>
                <c:pt idx="548">
                  <c:v>1162952.3999999999</c:v>
                </c:pt>
                <c:pt idx="549">
                  <c:v>1205317.2</c:v>
                </c:pt>
                <c:pt idx="550">
                  <c:v>1144108.8</c:v>
                </c:pt>
                <c:pt idx="551">
                  <c:v>1118954.8999999999</c:v>
                </c:pt>
                <c:pt idx="552">
                  <c:v>1117596.6000000001</c:v>
                </c:pt>
                <c:pt idx="553">
                  <c:v>1117838.6000000001</c:v>
                </c:pt>
                <c:pt idx="554">
                  <c:v>1117838.6000000001</c:v>
                </c:pt>
                <c:pt idx="555">
                  <c:v>1140076.2</c:v>
                </c:pt>
                <c:pt idx="556">
                  <c:v>1111145.8</c:v>
                </c:pt>
                <c:pt idx="557">
                  <c:v>1078929.6000000001</c:v>
                </c:pt>
                <c:pt idx="558">
                  <c:v>1049040.8999999999</c:v>
                </c:pt>
                <c:pt idx="559">
                  <c:v>1024811.1</c:v>
                </c:pt>
                <c:pt idx="560">
                  <c:v>1027526.7</c:v>
                </c:pt>
                <c:pt idx="561">
                  <c:v>1036461.4</c:v>
                </c:pt>
                <c:pt idx="562">
                  <c:v>1011789</c:v>
                </c:pt>
                <c:pt idx="563">
                  <c:v>1010921</c:v>
                </c:pt>
                <c:pt idx="564">
                  <c:v>1001605</c:v>
                </c:pt>
                <c:pt idx="565">
                  <c:v>1005725</c:v>
                </c:pt>
                <c:pt idx="566">
                  <c:v>1026022.8</c:v>
                </c:pt>
                <c:pt idx="567">
                  <c:v>1015372.4</c:v>
                </c:pt>
                <c:pt idx="568">
                  <c:v>1003946.6</c:v>
                </c:pt>
                <c:pt idx="569">
                  <c:v>1003202.5</c:v>
                </c:pt>
                <c:pt idx="570">
                  <c:v>1004902.5</c:v>
                </c:pt>
                <c:pt idx="571">
                  <c:v>1006502.5</c:v>
                </c:pt>
                <c:pt idx="572">
                  <c:v>1004322.5</c:v>
                </c:pt>
                <c:pt idx="573">
                  <c:v>992196</c:v>
                </c:pt>
                <c:pt idx="574">
                  <c:v>968531.7</c:v>
                </c:pt>
                <c:pt idx="575">
                  <c:v>970590.3</c:v>
                </c:pt>
                <c:pt idx="576">
                  <c:v>969694.5</c:v>
                </c:pt>
                <c:pt idx="577">
                  <c:v>967651.9</c:v>
                </c:pt>
                <c:pt idx="578">
                  <c:v>966308.1</c:v>
                </c:pt>
                <c:pt idx="579">
                  <c:v>965588.1</c:v>
                </c:pt>
                <c:pt idx="580">
                  <c:v>963984.2</c:v>
                </c:pt>
                <c:pt idx="581">
                  <c:v>963984.2</c:v>
                </c:pt>
                <c:pt idx="582">
                  <c:v>962784.2</c:v>
                </c:pt>
                <c:pt idx="583">
                  <c:v>937324.5</c:v>
                </c:pt>
                <c:pt idx="584">
                  <c:v>911973</c:v>
                </c:pt>
                <c:pt idx="585">
                  <c:v>917473</c:v>
                </c:pt>
                <c:pt idx="586">
                  <c:v>930315</c:v>
                </c:pt>
                <c:pt idx="587">
                  <c:v>912615</c:v>
                </c:pt>
                <c:pt idx="588">
                  <c:v>927695</c:v>
                </c:pt>
                <c:pt idx="589">
                  <c:v>936355</c:v>
                </c:pt>
                <c:pt idx="590">
                  <c:v>948129.2</c:v>
                </c:pt>
                <c:pt idx="591">
                  <c:v>918204</c:v>
                </c:pt>
                <c:pt idx="592">
                  <c:v>918564.5</c:v>
                </c:pt>
                <c:pt idx="593">
                  <c:v>925581.89999999991</c:v>
                </c:pt>
                <c:pt idx="594">
                  <c:v>930916.79999999993</c:v>
                </c:pt>
                <c:pt idx="595">
                  <c:v>932207.5</c:v>
                </c:pt>
                <c:pt idx="596">
                  <c:v>955587.5</c:v>
                </c:pt>
                <c:pt idx="597">
                  <c:v>965027.5</c:v>
                </c:pt>
                <c:pt idx="598">
                  <c:v>957187.5</c:v>
                </c:pt>
                <c:pt idx="599">
                  <c:v>961381.7</c:v>
                </c:pt>
                <c:pt idx="600">
                  <c:v>963353.79999999993</c:v>
                </c:pt>
                <c:pt idx="601">
                  <c:v>963553.79999999993</c:v>
                </c:pt>
                <c:pt idx="602">
                  <c:v>965531.7</c:v>
                </c:pt>
                <c:pt idx="603">
                  <c:v>967311.7</c:v>
                </c:pt>
                <c:pt idx="604">
                  <c:v>970071.7</c:v>
                </c:pt>
                <c:pt idx="605">
                  <c:v>969256.29999999993</c:v>
                </c:pt>
                <c:pt idx="606">
                  <c:v>956384.39999999991</c:v>
                </c:pt>
                <c:pt idx="607">
                  <c:v>955024.39999999991</c:v>
                </c:pt>
                <c:pt idx="608">
                  <c:v>958917.5</c:v>
                </c:pt>
                <c:pt idx="609">
                  <c:v>964429.29999999993</c:v>
                </c:pt>
                <c:pt idx="610">
                  <c:v>952769.29999999993</c:v>
                </c:pt>
                <c:pt idx="611">
                  <c:v>947067.5</c:v>
                </c:pt>
                <c:pt idx="612">
                  <c:v>972667.5</c:v>
                </c:pt>
                <c:pt idx="613">
                  <c:v>968629.29999999993</c:v>
                </c:pt>
                <c:pt idx="614">
                  <c:v>978600.7</c:v>
                </c:pt>
                <c:pt idx="615">
                  <c:v>977700.7</c:v>
                </c:pt>
                <c:pt idx="616">
                  <c:v>974100.7</c:v>
                </c:pt>
                <c:pt idx="617">
                  <c:v>972220.7</c:v>
                </c:pt>
                <c:pt idx="618">
                  <c:v>972360.7</c:v>
                </c:pt>
                <c:pt idx="619">
                  <c:v>972620.7</c:v>
                </c:pt>
                <c:pt idx="620">
                  <c:v>989175.7</c:v>
                </c:pt>
                <c:pt idx="621">
                  <c:v>968657.5</c:v>
                </c:pt>
                <c:pt idx="622">
                  <c:v>914427.5</c:v>
                </c:pt>
                <c:pt idx="623">
                  <c:v>934441.1</c:v>
                </c:pt>
                <c:pt idx="624">
                  <c:v>934081.1</c:v>
                </c:pt>
                <c:pt idx="625">
                  <c:v>934311.1</c:v>
                </c:pt>
                <c:pt idx="626">
                  <c:v>934860.7</c:v>
                </c:pt>
                <c:pt idx="627">
                  <c:v>932703.2</c:v>
                </c:pt>
                <c:pt idx="628">
                  <c:v>919803.2</c:v>
                </c:pt>
                <c:pt idx="629">
                  <c:v>918615</c:v>
                </c:pt>
                <c:pt idx="630">
                  <c:v>903249.79999999993</c:v>
                </c:pt>
                <c:pt idx="631">
                  <c:v>911875.99999999988</c:v>
                </c:pt>
                <c:pt idx="632">
                  <c:v>968103.59999999986</c:v>
                </c:pt>
                <c:pt idx="633">
                  <c:v>955897.2</c:v>
                </c:pt>
                <c:pt idx="634">
                  <c:v>982793.09999999986</c:v>
                </c:pt>
                <c:pt idx="635">
                  <c:v>882080.79999999993</c:v>
                </c:pt>
                <c:pt idx="636">
                  <c:v>842237.09999999986</c:v>
                </c:pt>
                <c:pt idx="637">
                  <c:v>845398.49999999988</c:v>
                </c:pt>
                <c:pt idx="638">
                  <c:v>872158.49999999988</c:v>
                </c:pt>
                <c:pt idx="639">
                  <c:v>906658.49999999988</c:v>
                </c:pt>
                <c:pt idx="640">
                  <c:v>894705.99999999988</c:v>
                </c:pt>
                <c:pt idx="641">
                  <c:v>904005</c:v>
                </c:pt>
                <c:pt idx="642">
                  <c:v>889765</c:v>
                </c:pt>
                <c:pt idx="643">
                  <c:v>912904.2</c:v>
                </c:pt>
                <c:pt idx="644">
                  <c:v>909832.89999999991</c:v>
                </c:pt>
                <c:pt idx="645">
                  <c:v>875913.3</c:v>
                </c:pt>
                <c:pt idx="646">
                  <c:v>906245.39999999991</c:v>
                </c:pt>
                <c:pt idx="647">
                  <c:v>927401.5</c:v>
                </c:pt>
                <c:pt idx="648">
                  <c:v>922541.7</c:v>
                </c:pt>
                <c:pt idx="649">
                  <c:v>975798.3</c:v>
                </c:pt>
                <c:pt idx="650">
                  <c:v>912581.89999999991</c:v>
                </c:pt>
                <c:pt idx="651">
                  <c:v>1025675</c:v>
                </c:pt>
                <c:pt idx="652">
                  <c:v>1022511.7</c:v>
                </c:pt>
                <c:pt idx="653">
                  <c:v>1069171.7</c:v>
                </c:pt>
                <c:pt idx="654">
                  <c:v>1096671</c:v>
                </c:pt>
                <c:pt idx="655">
                  <c:v>1106551</c:v>
                </c:pt>
                <c:pt idx="656">
                  <c:v>1106826.8999999999</c:v>
                </c:pt>
                <c:pt idx="657">
                  <c:v>1099282.7999999998</c:v>
                </c:pt>
                <c:pt idx="658">
                  <c:v>1107982.7999999998</c:v>
                </c:pt>
                <c:pt idx="659">
                  <c:v>1104783.3</c:v>
                </c:pt>
                <c:pt idx="660">
                  <c:v>1106383.3</c:v>
                </c:pt>
                <c:pt idx="661">
                  <c:v>1142083.3</c:v>
                </c:pt>
                <c:pt idx="662">
                  <c:v>1155383.3</c:v>
                </c:pt>
                <c:pt idx="663">
                  <c:v>1167267.2</c:v>
                </c:pt>
                <c:pt idx="664">
                  <c:v>1179327.2</c:v>
                </c:pt>
                <c:pt idx="665">
                  <c:v>1179707.2</c:v>
                </c:pt>
                <c:pt idx="666">
                  <c:v>1191067.2</c:v>
                </c:pt>
                <c:pt idx="667">
                  <c:v>1198487.8999999999</c:v>
                </c:pt>
                <c:pt idx="668">
                  <c:v>1204068.1000000001</c:v>
                </c:pt>
                <c:pt idx="669">
                  <c:v>1201260.2</c:v>
                </c:pt>
                <c:pt idx="670">
                  <c:v>1202560.2</c:v>
                </c:pt>
                <c:pt idx="671">
                  <c:v>1207760.2</c:v>
                </c:pt>
                <c:pt idx="672">
                  <c:v>1205160.2</c:v>
                </c:pt>
                <c:pt idx="673">
                  <c:v>1203832</c:v>
                </c:pt>
                <c:pt idx="674">
                  <c:v>1194237.5</c:v>
                </c:pt>
                <c:pt idx="675">
                  <c:v>1191163.0999999999</c:v>
                </c:pt>
                <c:pt idx="676">
                  <c:v>1186634</c:v>
                </c:pt>
                <c:pt idx="677">
                  <c:v>1181011.8999999999</c:v>
                </c:pt>
                <c:pt idx="678">
                  <c:v>1177142.5</c:v>
                </c:pt>
                <c:pt idx="679">
                  <c:v>1177142.5</c:v>
                </c:pt>
                <c:pt idx="680">
                  <c:v>1177142.5</c:v>
                </c:pt>
                <c:pt idx="681">
                  <c:v>1177142.5</c:v>
                </c:pt>
                <c:pt idx="682">
                  <c:v>1175685.5</c:v>
                </c:pt>
                <c:pt idx="683">
                  <c:v>1174679.7</c:v>
                </c:pt>
                <c:pt idx="684">
                  <c:v>1174679.7</c:v>
                </c:pt>
                <c:pt idx="685">
                  <c:v>1174319.7</c:v>
                </c:pt>
                <c:pt idx="686">
                  <c:v>1173816.7999999998</c:v>
                </c:pt>
                <c:pt idx="687">
                  <c:v>1173591.2</c:v>
                </c:pt>
                <c:pt idx="688">
                  <c:v>1172613.5999999999</c:v>
                </c:pt>
                <c:pt idx="689">
                  <c:v>1170602</c:v>
                </c:pt>
                <c:pt idx="690">
                  <c:v>1170602</c:v>
                </c:pt>
                <c:pt idx="691">
                  <c:v>1170602</c:v>
                </c:pt>
                <c:pt idx="692">
                  <c:v>1170602</c:v>
                </c:pt>
                <c:pt idx="693">
                  <c:v>1168082</c:v>
                </c:pt>
                <c:pt idx="694">
                  <c:v>1167722</c:v>
                </c:pt>
                <c:pt idx="695">
                  <c:v>1121105</c:v>
                </c:pt>
                <c:pt idx="696">
                  <c:v>1103105</c:v>
                </c:pt>
                <c:pt idx="697">
                  <c:v>1110005</c:v>
                </c:pt>
                <c:pt idx="698">
                  <c:v>1109262.0999999999</c:v>
                </c:pt>
                <c:pt idx="699">
                  <c:v>1109262.0999999999</c:v>
                </c:pt>
                <c:pt idx="700">
                  <c:v>1107948</c:v>
                </c:pt>
                <c:pt idx="701">
                  <c:v>1107948</c:v>
                </c:pt>
                <c:pt idx="702">
                  <c:v>1107948</c:v>
                </c:pt>
                <c:pt idx="703">
                  <c:v>1110298</c:v>
                </c:pt>
                <c:pt idx="704">
                  <c:v>1111515</c:v>
                </c:pt>
                <c:pt idx="705">
                  <c:v>1111848.7</c:v>
                </c:pt>
                <c:pt idx="706">
                  <c:v>1110927.5</c:v>
                </c:pt>
                <c:pt idx="707">
                  <c:v>1110368.2</c:v>
                </c:pt>
                <c:pt idx="708">
                  <c:v>1101468.2</c:v>
                </c:pt>
                <c:pt idx="709">
                  <c:v>1099042.5999999999</c:v>
                </c:pt>
                <c:pt idx="710">
                  <c:v>1100042.5999999999</c:v>
                </c:pt>
                <c:pt idx="711">
                  <c:v>1099308.8999999999</c:v>
                </c:pt>
                <c:pt idx="712">
                  <c:v>1101927.2</c:v>
                </c:pt>
                <c:pt idx="713">
                  <c:v>1101565.5999999999</c:v>
                </c:pt>
                <c:pt idx="714">
                  <c:v>1108845.5999999999</c:v>
                </c:pt>
                <c:pt idx="715">
                  <c:v>1097185.5999999999</c:v>
                </c:pt>
                <c:pt idx="716">
                  <c:v>1104381.8999999999</c:v>
                </c:pt>
                <c:pt idx="717">
                  <c:v>1107050</c:v>
                </c:pt>
                <c:pt idx="718">
                  <c:v>1106529.2999999998</c:v>
                </c:pt>
                <c:pt idx="719">
                  <c:v>1096566.5999999999</c:v>
                </c:pt>
                <c:pt idx="720">
                  <c:v>1081234.2</c:v>
                </c:pt>
                <c:pt idx="721">
                  <c:v>1081234.2</c:v>
                </c:pt>
                <c:pt idx="722">
                  <c:v>1082693.0999999999</c:v>
                </c:pt>
                <c:pt idx="723">
                  <c:v>1083548.5</c:v>
                </c:pt>
                <c:pt idx="724">
                  <c:v>1085146.5</c:v>
                </c:pt>
                <c:pt idx="725">
                  <c:v>1084399.2</c:v>
                </c:pt>
                <c:pt idx="726">
                  <c:v>1084027</c:v>
                </c:pt>
                <c:pt idx="727">
                  <c:v>1083558.8999999999</c:v>
                </c:pt>
                <c:pt idx="728">
                  <c:v>1082633</c:v>
                </c:pt>
                <c:pt idx="729">
                  <c:v>1081340.5</c:v>
                </c:pt>
                <c:pt idx="730">
                  <c:v>1081302.8999999999</c:v>
                </c:pt>
                <c:pt idx="731">
                  <c:v>1081194.7999999998</c:v>
                </c:pt>
                <c:pt idx="732">
                  <c:v>1081100.8</c:v>
                </c:pt>
                <c:pt idx="733">
                  <c:v>1081180.7</c:v>
                </c:pt>
                <c:pt idx="734">
                  <c:v>1081166.5999999999</c:v>
                </c:pt>
                <c:pt idx="735">
                  <c:v>1080020.2</c:v>
                </c:pt>
                <c:pt idx="736">
                  <c:v>1078728.3999999999</c:v>
                </c:pt>
                <c:pt idx="737">
                  <c:v>1077996.2</c:v>
                </c:pt>
                <c:pt idx="738">
                  <c:v>1077372.7</c:v>
                </c:pt>
                <c:pt idx="739">
                  <c:v>1080445</c:v>
                </c:pt>
                <c:pt idx="740">
                  <c:v>1078251.0999999999</c:v>
                </c:pt>
                <c:pt idx="741">
                  <c:v>1077891.0999999999</c:v>
                </c:pt>
                <c:pt idx="742">
                  <c:v>1045871.1</c:v>
                </c:pt>
                <c:pt idx="743">
                  <c:v>1045961.1</c:v>
                </c:pt>
                <c:pt idx="744">
                  <c:v>1045961.1</c:v>
                </c:pt>
                <c:pt idx="745">
                  <c:v>1045601.1</c:v>
                </c:pt>
                <c:pt idx="746">
                  <c:v>1045121.1</c:v>
                </c:pt>
                <c:pt idx="747">
                  <c:v>1043111.1</c:v>
                </c:pt>
                <c:pt idx="748">
                  <c:v>1043430.7</c:v>
                </c:pt>
                <c:pt idx="749">
                  <c:v>1041150.7</c:v>
                </c:pt>
                <c:pt idx="750">
                  <c:v>1041488.2</c:v>
                </c:pt>
                <c:pt idx="751">
                  <c:v>1041723.2</c:v>
                </c:pt>
                <c:pt idx="752">
                  <c:v>1040698.6</c:v>
                </c:pt>
                <c:pt idx="753">
                  <c:v>1040737.5</c:v>
                </c:pt>
                <c:pt idx="754">
                  <c:v>1040446.1</c:v>
                </c:pt>
                <c:pt idx="755">
                  <c:v>1040681.1</c:v>
                </c:pt>
                <c:pt idx="756">
                  <c:v>1040045.7</c:v>
                </c:pt>
                <c:pt idx="757">
                  <c:v>1040045.7</c:v>
                </c:pt>
                <c:pt idx="758">
                  <c:v>1040045.7</c:v>
                </c:pt>
                <c:pt idx="759">
                  <c:v>1040078.6</c:v>
                </c:pt>
                <c:pt idx="760">
                  <c:v>1040707.5</c:v>
                </c:pt>
                <c:pt idx="761">
                  <c:v>1040707.5</c:v>
                </c:pt>
                <c:pt idx="762">
                  <c:v>1040707.5</c:v>
                </c:pt>
                <c:pt idx="763">
                  <c:v>1093199.8999999999</c:v>
                </c:pt>
                <c:pt idx="764">
                  <c:v>1179757.6000000001</c:v>
                </c:pt>
                <c:pt idx="765">
                  <c:v>1182280.6000000001</c:v>
                </c:pt>
                <c:pt idx="766">
                  <c:v>1202280.6000000001</c:v>
                </c:pt>
                <c:pt idx="767">
                  <c:v>1212560.1000000001</c:v>
                </c:pt>
                <c:pt idx="768">
                  <c:v>1235744.1000000001</c:v>
                </c:pt>
                <c:pt idx="769">
                  <c:v>1230301</c:v>
                </c:pt>
                <c:pt idx="770">
                  <c:v>1203901</c:v>
                </c:pt>
                <c:pt idx="771">
                  <c:v>1242701</c:v>
                </c:pt>
                <c:pt idx="772">
                  <c:v>1262264.2</c:v>
                </c:pt>
                <c:pt idx="773">
                  <c:v>1266464.2</c:v>
                </c:pt>
                <c:pt idx="774">
                  <c:v>1271364.2</c:v>
                </c:pt>
                <c:pt idx="775">
                  <c:v>1265952.2</c:v>
                </c:pt>
                <c:pt idx="776">
                  <c:v>1236452.2</c:v>
                </c:pt>
                <c:pt idx="777">
                  <c:v>1223652.2</c:v>
                </c:pt>
                <c:pt idx="778">
                  <c:v>1224752.2</c:v>
                </c:pt>
                <c:pt idx="779">
                  <c:v>1251960.3</c:v>
                </c:pt>
                <c:pt idx="780">
                  <c:v>1227900.5</c:v>
                </c:pt>
                <c:pt idx="781">
                  <c:v>1258312.3999999999</c:v>
                </c:pt>
                <c:pt idx="782">
                  <c:v>1243400.7</c:v>
                </c:pt>
                <c:pt idx="783">
                  <c:v>1235952.5</c:v>
                </c:pt>
                <c:pt idx="784">
                  <c:v>1249752.5</c:v>
                </c:pt>
                <c:pt idx="785">
                  <c:v>1258232.5</c:v>
                </c:pt>
                <c:pt idx="786">
                  <c:v>1282292.5</c:v>
                </c:pt>
                <c:pt idx="787">
                  <c:v>1286792.5</c:v>
                </c:pt>
                <c:pt idx="788">
                  <c:v>1289672.5</c:v>
                </c:pt>
                <c:pt idx="789">
                  <c:v>1279100.1000000001</c:v>
                </c:pt>
                <c:pt idx="790">
                  <c:v>1276599.6000000001</c:v>
                </c:pt>
                <c:pt idx="791">
                  <c:v>1277299.6000000001</c:v>
                </c:pt>
                <c:pt idx="792">
                  <c:v>1273742.7</c:v>
                </c:pt>
                <c:pt idx="793">
                  <c:v>1278542.7</c:v>
                </c:pt>
                <c:pt idx="794">
                  <c:v>1282542.7</c:v>
                </c:pt>
                <c:pt idx="795">
                  <c:v>1287142.7</c:v>
                </c:pt>
                <c:pt idx="796">
                  <c:v>1295257.5</c:v>
                </c:pt>
                <c:pt idx="797">
                  <c:v>1286625.0999999999</c:v>
                </c:pt>
                <c:pt idx="798">
                  <c:v>1266037.0999999999</c:v>
                </c:pt>
                <c:pt idx="799">
                  <c:v>1270676.5</c:v>
                </c:pt>
                <c:pt idx="800">
                  <c:v>1267076.5</c:v>
                </c:pt>
                <c:pt idx="801">
                  <c:v>1265976.5</c:v>
                </c:pt>
                <c:pt idx="802">
                  <c:v>1259156.5</c:v>
                </c:pt>
                <c:pt idx="803">
                  <c:v>1263516.5</c:v>
                </c:pt>
                <c:pt idx="804">
                  <c:v>1241635</c:v>
                </c:pt>
                <c:pt idx="805">
                  <c:v>1231415</c:v>
                </c:pt>
                <c:pt idx="806">
                  <c:v>1243215</c:v>
                </c:pt>
                <c:pt idx="807">
                  <c:v>1239455</c:v>
                </c:pt>
                <c:pt idx="808">
                  <c:v>1237355</c:v>
                </c:pt>
                <c:pt idx="809">
                  <c:v>1223235</c:v>
                </c:pt>
                <c:pt idx="810">
                  <c:v>1185295</c:v>
                </c:pt>
                <c:pt idx="811">
                  <c:v>1201615</c:v>
                </c:pt>
                <c:pt idx="812">
                  <c:v>1199410.7</c:v>
                </c:pt>
                <c:pt idx="813">
                  <c:v>1199410.7</c:v>
                </c:pt>
                <c:pt idx="814">
                  <c:v>1199410.7</c:v>
                </c:pt>
                <c:pt idx="815">
                  <c:v>1199410.7</c:v>
                </c:pt>
                <c:pt idx="816">
                  <c:v>1197370.7</c:v>
                </c:pt>
                <c:pt idx="817">
                  <c:v>1196775.7</c:v>
                </c:pt>
                <c:pt idx="818">
                  <c:v>1196982.5</c:v>
                </c:pt>
                <c:pt idx="819">
                  <c:v>1196622.5</c:v>
                </c:pt>
                <c:pt idx="820">
                  <c:v>1196622.5</c:v>
                </c:pt>
                <c:pt idx="821">
                  <c:v>1195892.5</c:v>
                </c:pt>
                <c:pt idx="822">
                  <c:v>1195292.5</c:v>
                </c:pt>
                <c:pt idx="823">
                  <c:v>1194802.5</c:v>
                </c:pt>
                <c:pt idx="824">
                  <c:v>1193962.5</c:v>
                </c:pt>
                <c:pt idx="825">
                  <c:v>1197940</c:v>
                </c:pt>
                <c:pt idx="826">
                  <c:v>1197940</c:v>
                </c:pt>
                <c:pt idx="827">
                  <c:v>1205578.5</c:v>
                </c:pt>
                <c:pt idx="828">
                  <c:v>1218498.5</c:v>
                </c:pt>
                <c:pt idx="829">
                  <c:v>1240520.2</c:v>
                </c:pt>
                <c:pt idx="830">
                  <c:v>1231040.2</c:v>
                </c:pt>
                <c:pt idx="831">
                  <c:v>1253615.6000000001</c:v>
                </c:pt>
                <c:pt idx="832">
                  <c:v>1254514.5999999999</c:v>
                </c:pt>
                <c:pt idx="833">
                  <c:v>1262614.5999999999</c:v>
                </c:pt>
                <c:pt idx="834">
                  <c:v>1227334.5999999999</c:v>
                </c:pt>
                <c:pt idx="835">
                  <c:v>1196214.2</c:v>
                </c:pt>
                <c:pt idx="836">
                  <c:v>1227834.2</c:v>
                </c:pt>
                <c:pt idx="837">
                  <c:v>1263325.8</c:v>
                </c:pt>
                <c:pt idx="838">
                  <c:v>1266245.8</c:v>
                </c:pt>
                <c:pt idx="839">
                  <c:v>1267445.8</c:v>
                </c:pt>
                <c:pt idx="840">
                  <c:v>1265045.8</c:v>
                </c:pt>
                <c:pt idx="841">
                  <c:v>1239845.8</c:v>
                </c:pt>
                <c:pt idx="842">
                  <c:v>1222645.8</c:v>
                </c:pt>
                <c:pt idx="843">
                  <c:v>1230545.8</c:v>
                </c:pt>
                <c:pt idx="844">
                  <c:v>1223945.8</c:v>
                </c:pt>
                <c:pt idx="845">
                  <c:v>1198145.8</c:v>
                </c:pt>
                <c:pt idx="846">
                  <c:v>1200125.8</c:v>
                </c:pt>
                <c:pt idx="847">
                  <c:v>1196697.8999999999</c:v>
                </c:pt>
                <c:pt idx="848">
                  <c:v>1211637.5</c:v>
                </c:pt>
                <c:pt idx="849">
                  <c:v>1222797.5</c:v>
                </c:pt>
                <c:pt idx="850">
                  <c:v>1227784.2</c:v>
                </c:pt>
                <c:pt idx="851">
                  <c:v>1224364.2</c:v>
                </c:pt>
                <c:pt idx="852">
                  <c:v>1233478.8999999999</c:v>
                </c:pt>
                <c:pt idx="853">
                  <c:v>1192781.2</c:v>
                </c:pt>
                <c:pt idx="854">
                  <c:v>1189721.2</c:v>
                </c:pt>
                <c:pt idx="855">
                  <c:v>1194681.2</c:v>
                </c:pt>
                <c:pt idx="856">
                  <c:v>1192007.7999999998</c:v>
                </c:pt>
                <c:pt idx="857">
                  <c:v>1187667.7999999998</c:v>
                </c:pt>
                <c:pt idx="858">
                  <c:v>1202377.5999999999</c:v>
                </c:pt>
                <c:pt idx="859">
                  <c:v>1209797.5999999999</c:v>
                </c:pt>
                <c:pt idx="860">
                  <c:v>1175948.0999999999</c:v>
                </c:pt>
                <c:pt idx="861">
                  <c:v>1133441.0999999999</c:v>
                </c:pt>
                <c:pt idx="862">
                  <c:v>1133441.0999999999</c:v>
                </c:pt>
                <c:pt idx="863">
                  <c:v>1133441.0999999999</c:v>
                </c:pt>
                <c:pt idx="864">
                  <c:v>1133441.0999999999</c:v>
                </c:pt>
                <c:pt idx="865">
                  <c:v>1131401.0999999999</c:v>
                </c:pt>
                <c:pt idx="866">
                  <c:v>1131041.0999999999</c:v>
                </c:pt>
                <c:pt idx="867">
                  <c:v>1131041.0999999999</c:v>
                </c:pt>
                <c:pt idx="868">
                  <c:v>1131041.0999999999</c:v>
                </c:pt>
                <c:pt idx="869">
                  <c:v>1132740</c:v>
                </c:pt>
                <c:pt idx="870">
                  <c:v>1132740</c:v>
                </c:pt>
                <c:pt idx="871">
                  <c:v>1132500</c:v>
                </c:pt>
                <c:pt idx="872">
                  <c:v>1132500</c:v>
                </c:pt>
                <c:pt idx="873">
                  <c:v>1130596.5</c:v>
                </c:pt>
                <c:pt idx="874">
                  <c:v>1132387.2</c:v>
                </c:pt>
                <c:pt idx="875">
                  <c:v>1131968.8999999999</c:v>
                </c:pt>
                <c:pt idx="876">
                  <c:v>1130793.8999999999</c:v>
                </c:pt>
                <c:pt idx="877">
                  <c:v>1130793.8999999999</c:v>
                </c:pt>
                <c:pt idx="878">
                  <c:v>1130553.8999999999</c:v>
                </c:pt>
                <c:pt idx="879">
                  <c:v>1130313.8999999999</c:v>
                </c:pt>
                <c:pt idx="880">
                  <c:v>1130313.8999999999</c:v>
                </c:pt>
                <c:pt idx="881">
                  <c:v>1131813.8999999999</c:v>
                </c:pt>
                <c:pt idx="882">
                  <c:v>1129713.8999999999</c:v>
                </c:pt>
                <c:pt idx="883">
                  <c:v>1128513.8999999999</c:v>
                </c:pt>
                <c:pt idx="884">
                  <c:v>1126413.8999999999</c:v>
                </c:pt>
                <c:pt idx="885">
                  <c:v>1130132.2</c:v>
                </c:pt>
                <c:pt idx="886">
                  <c:v>1133832.2</c:v>
                </c:pt>
                <c:pt idx="887">
                  <c:v>1134532.2</c:v>
                </c:pt>
                <c:pt idx="888">
                  <c:v>1133332.2</c:v>
                </c:pt>
                <c:pt idx="889">
                  <c:v>1134632.2</c:v>
                </c:pt>
                <c:pt idx="890">
                  <c:v>1133460.3999999999</c:v>
                </c:pt>
                <c:pt idx="891">
                  <c:v>1132700</c:v>
                </c:pt>
                <c:pt idx="892">
                  <c:v>1134600</c:v>
                </c:pt>
                <c:pt idx="893">
                  <c:v>1131800</c:v>
                </c:pt>
                <c:pt idx="894">
                  <c:v>1131800</c:v>
                </c:pt>
                <c:pt idx="895">
                  <c:v>1131800</c:v>
                </c:pt>
                <c:pt idx="896">
                  <c:v>1130892.8999999999</c:v>
                </c:pt>
                <c:pt idx="897">
                  <c:v>1131320.6000000001</c:v>
                </c:pt>
                <c:pt idx="898">
                  <c:v>1130921.1000000001</c:v>
                </c:pt>
                <c:pt idx="899">
                  <c:v>1130892.3999999999</c:v>
                </c:pt>
                <c:pt idx="900">
                  <c:v>1131740.2</c:v>
                </c:pt>
                <c:pt idx="901">
                  <c:v>1133199</c:v>
                </c:pt>
                <c:pt idx="902">
                  <c:v>1139879</c:v>
                </c:pt>
                <c:pt idx="903">
                  <c:v>1119439</c:v>
                </c:pt>
                <c:pt idx="904">
                  <c:v>1097159</c:v>
                </c:pt>
                <c:pt idx="905">
                  <c:v>1097159</c:v>
                </c:pt>
                <c:pt idx="906">
                  <c:v>1095959</c:v>
                </c:pt>
                <c:pt idx="907">
                  <c:v>1095359</c:v>
                </c:pt>
                <c:pt idx="908">
                  <c:v>1094735.8</c:v>
                </c:pt>
                <c:pt idx="909">
                  <c:v>1093547.7</c:v>
                </c:pt>
                <c:pt idx="910">
                  <c:v>1093387.6000000001</c:v>
                </c:pt>
                <c:pt idx="911">
                  <c:v>1092015.8999999999</c:v>
                </c:pt>
                <c:pt idx="912">
                  <c:v>1091707.6000000001</c:v>
                </c:pt>
                <c:pt idx="913">
                  <c:v>1092255</c:v>
                </c:pt>
                <c:pt idx="914">
                  <c:v>1091895</c:v>
                </c:pt>
                <c:pt idx="915">
                  <c:v>1091655</c:v>
                </c:pt>
                <c:pt idx="916">
                  <c:v>1091295</c:v>
                </c:pt>
                <c:pt idx="917">
                  <c:v>1161015.7</c:v>
                </c:pt>
                <c:pt idx="918">
                  <c:v>1161015.7</c:v>
                </c:pt>
                <c:pt idx="919">
                  <c:v>1177615.7</c:v>
                </c:pt>
                <c:pt idx="920">
                  <c:v>1111371.8</c:v>
                </c:pt>
                <c:pt idx="921">
                  <c:v>1175331.8</c:v>
                </c:pt>
                <c:pt idx="922">
                  <c:v>1159071.8</c:v>
                </c:pt>
                <c:pt idx="923">
                  <c:v>1154071.8</c:v>
                </c:pt>
                <c:pt idx="924">
                  <c:v>1169771.8</c:v>
                </c:pt>
                <c:pt idx="925">
                  <c:v>1178229.3</c:v>
                </c:pt>
                <c:pt idx="926">
                  <c:v>1173199.3</c:v>
                </c:pt>
                <c:pt idx="927">
                  <c:v>1190599.3</c:v>
                </c:pt>
                <c:pt idx="928">
                  <c:v>1204019.3</c:v>
                </c:pt>
                <c:pt idx="929">
                  <c:v>1227410.7</c:v>
                </c:pt>
                <c:pt idx="930">
                  <c:v>1232848.2</c:v>
                </c:pt>
                <c:pt idx="931">
                  <c:v>1237302.5</c:v>
                </c:pt>
                <c:pt idx="932">
                  <c:v>1247757.5</c:v>
                </c:pt>
                <c:pt idx="933">
                  <c:v>1246657.5</c:v>
                </c:pt>
                <c:pt idx="934">
                  <c:v>1282380</c:v>
                </c:pt>
                <c:pt idx="935">
                  <c:v>1291320</c:v>
                </c:pt>
                <c:pt idx="936">
                  <c:v>1268091.6000000001</c:v>
                </c:pt>
                <c:pt idx="937">
                  <c:v>1250300.5</c:v>
                </c:pt>
                <c:pt idx="938">
                  <c:v>1256600.5</c:v>
                </c:pt>
                <c:pt idx="939">
                  <c:v>1208160.5</c:v>
                </c:pt>
                <c:pt idx="940">
                  <c:v>1223089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A62-4F87-94A9-1A58479DCB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232992"/>
        <c:axId val="530234952"/>
      </c:lineChart>
      <c:dateAx>
        <c:axId val="5302329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4952"/>
        <c:crosses val="autoZero"/>
        <c:auto val="1"/>
        <c:lblOffset val="100"/>
        <c:baseTimeUnit val="days"/>
      </c:dateAx>
      <c:valAx>
        <c:axId val="530234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2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2"/>
  <sheetViews>
    <sheetView zoomScale="71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7"/>
  <sheetViews>
    <sheetView zoomScale="71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6"/>
  <sheetViews>
    <sheetView zoomScale="71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Chart5"/>
  <sheetViews>
    <sheetView zoomScale="109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2993" cy="627845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2993" cy="627845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2993" cy="627845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2993" cy="627845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57150</xdr:rowOff>
        </xdr:from>
        <xdr:to>
          <xdr:col>0</xdr:col>
          <xdr:colOff>1171575</xdr:colOff>
          <xdr:row>0</xdr:row>
          <xdr:rowOff>342900</xdr:rowOff>
        </xdr:to>
        <xdr:sp macro="" textlink="">
          <xdr:nvSpPr>
            <xdr:cNvPr id="1028" name="refreshDataButton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5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952"/>
  <sheetViews>
    <sheetView tabSelected="1" workbookViewId="0">
      <selection activeCell="B11" sqref="B11"/>
    </sheetView>
  </sheetViews>
  <sheetFormatPr defaultRowHeight="15" x14ac:dyDescent="0.25"/>
  <cols>
    <col min="1" max="1" width="18" bestFit="1" customWidth="1"/>
    <col min="2" max="2" width="15.7109375" bestFit="1" customWidth="1"/>
    <col min="3" max="4" width="10.7109375" bestFit="1" customWidth="1"/>
    <col min="5" max="5" width="12.5703125" style="10" bestFit="1" customWidth="1"/>
    <col min="6" max="6" width="10.7109375" bestFit="1" customWidth="1"/>
    <col min="8" max="8" width="10.7109375" bestFit="1" customWidth="1"/>
    <col min="9" max="9" width="13" bestFit="1" customWidth="1"/>
    <col min="10" max="10" width="12.28515625" bestFit="1" customWidth="1"/>
    <col min="11" max="11" width="12.85546875" style="9" customWidth="1"/>
  </cols>
  <sheetData>
    <row r="1" spans="1:12" ht="30" customHeight="1" x14ac:dyDescent="0.25">
      <c r="B1" s="4" t="s">
        <v>28</v>
      </c>
    </row>
    <row r="2" spans="1:12" x14ac:dyDescent="0.25">
      <c r="A2" t="s">
        <v>7</v>
      </c>
      <c r="B2" t="s">
        <v>41</v>
      </c>
      <c r="D2" s="1"/>
      <c r="F2" s="1"/>
    </row>
    <row r="3" spans="1:12" ht="15.75" thickBot="1" x14ac:dyDescent="0.3">
      <c r="A3" t="s">
        <v>23</v>
      </c>
      <c r="B3" t="s">
        <v>40</v>
      </c>
      <c r="C3" s="1"/>
      <c r="D3" s="1"/>
      <c r="F3" s="1"/>
    </row>
    <row r="4" spans="1:12" x14ac:dyDescent="0.25">
      <c r="A4" s="1" t="s">
        <v>0</v>
      </c>
      <c r="B4" s="2">
        <f>VLOOKUP(B3,DHP,2,FALSE)</f>
        <v>219</v>
      </c>
      <c r="C4" s="1" t="s">
        <v>28</v>
      </c>
      <c r="D4" s="1"/>
      <c r="F4" s="1"/>
    </row>
    <row r="5" spans="1:12" ht="15.75" thickBot="1" x14ac:dyDescent="0.3">
      <c r="A5" t="s">
        <v>1</v>
      </c>
      <c r="B5" s="3">
        <f>VLOOKUP(B2,Outright,2,FALSE)</f>
        <v>634</v>
      </c>
      <c r="C5" s="1" t="s">
        <v>28</v>
      </c>
      <c r="D5" s="1"/>
      <c r="F5" s="1"/>
    </row>
    <row r="6" spans="1:12" x14ac:dyDescent="0.25">
      <c r="A6" t="s">
        <v>2</v>
      </c>
      <c r="C6" s="1"/>
      <c r="D6" s="1"/>
      <c r="F6" s="1"/>
    </row>
    <row r="7" spans="1:12" ht="15.75" thickBot="1" x14ac:dyDescent="0.3">
      <c r="A7" s="1" t="s">
        <v>4</v>
      </c>
      <c r="B7">
        <v>0</v>
      </c>
      <c r="C7" s="1"/>
      <c r="D7" s="1"/>
      <c r="F7" s="1"/>
    </row>
    <row r="8" spans="1:12" x14ac:dyDescent="0.25">
      <c r="A8" s="1" t="s">
        <v>3</v>
      </c>
      <c r="B8" s="2">
        <v>10</v>
      </c>
      <c r="C8" s="1" t="s">
        <v>28</v>
      </c>
      <c r="D8" s="1"/>
      <c r="F8" s="1"/>
    </row>
    <row r="9" spans="1:12" ht="15.75" thickBot="1" x14ac:dyDescent="0.3">
      <c r="A9" s="1" t="s">
        <v>27</v>
      </c>
      <c r="B9" s="3">
        <v>10</v>
      </c>
      <c r="C9" s="1" t="s">
        <v>28</v>
      </c>
      <c r="D9" s="1"/>
      <c r="F9" s="1"/>
    </row>
    <row r="10" spans="1:12" x14ac:dyDescent="0.25">
      <c r="A10" s="1" t="s">
        <v>8</v>
      </c>
      <c r="B10">
        <v>0</v>
      </c>
      <c r="C10" s="1" t="s">
        <v>42</v>
      </c>
      <c r="D10" s="1"/>
      <c r="F10" s="1"/>
    </row>
    <row r="11" spans="1:12" x14ac:dyDescent="0.25">
      <c r="A11" s="1"/>
      <c r="C11" s="1"/>
      <c r="D11" s="1"/>
      <c r="F11" s="1"/>
      <c r="G11">
        <v>941</v>
      </c>
      <c r="H11" t="s">
        <v>6</v>
      </c>
      <c r="I11" t="str">
        <f xml:space="preserve"> dhpName</f>
        <v>Resin DHP</v>
      </c>
      <c r="J11" t="str">
        <f xml:space="preserve"> CONCATENATE("Long ", underlyingName," Futures")</f>
        <v>Long Polypropylene Futures</v>
      </c>
      <c r="K11" s="9" t="str">
        <f xml:space="preserve"> CONCATENATE("Short ", underlyingName," Futures")</f>
        <v>Short Polypropylene Futures</v>
      </c>
      <c r="L11" t="s">
        <v>5</v>
      </c>
    </row>
    <row r="12" spans="1:12" x14ac:dyDescent="0.25">
      <c r="A12" s="1"/>
      <c r="C12" s="1"/>
      <c r="D12" s="1">
        <v>41275</v>
      </c>
      <c r="E12" s="10">
        <v>165678</v>
      </c>
      <c r="F12" s="1">
        <v>41275</v>
      </c>
      <c r="G12">
        <v>-4289</v>
      </c>
      <c r="H12" s="1">
        <f t="shared" ref="H12" si="0">D12</f>
        <v>41275</v>
      </c>
      <c r="I12">
        <f>startingDHPDollars</f>
        <v>0</v>
      </c>
      <c r="J12">
        <f>startingDHPDollars</f>
        <v>0</v>
      </c>
      <c r="K12" s="9">
        <f>startingDHPDollars</f>
        <v>0</v>
      </c>
      <c r="L12">
        <f>I12+J12</f>
        <v>0</v>
      </c>
    </row>
    <row r="13" spans="1:12" x14ac:dyDescent="0.25">
      <c r="A13" s="1"/>
      <c r="C13" s="1"/>
      <c r="D13" s="1">
        <v>41276</v>
      </c>
      <c r="E13" s="10">
        <v>165678</v>
      </c>
      <c r="F13" s="1">
        <v>41276</v>
      </c>
      <c r="G13">
        <v>-4289</v>
      </c>
      <c r="H13" s="1">
        <f t="shared" ref="H13:H76" si="1">D13</f>
        <v>41276</v>
      </c>
      <c r="I13">
        <f>IF(AND(MyRowHidden(ROW())=FALSE,MyRowHidden(ROW()-1)=TRUE),0,(E13-E12)*unitsOfDHp+I12)</f>
        <v>0</v>
      </c>
      <c r="J13">
        <f>IF(AND(MyRowHidden(ROW())=FALSE,MyRowHidden(ROW()-1)=TRUE),0,(G13-G12)*unitsOfExo+J12)</f>
        <v>0</v>
      </c>
      <c r="K13" s="9">
        <f t="shared" ref="K13:K76" si="2">-(J13-J12)+K12</f>
        <v>0</v>
      </c>
      <c r="L13">
        <f t="shared" ref="L13:L76" si="3">I13+J13</f>
        <v>0</v>
      </c>
    </row>
    <row r="14" spans="1:12" x14ac:dyDescent="0.25">
      <c r="A14" s="1"/>
      <c r="C14" s="1"/>
      <c r="D14" s="1">
        <v>41277</v>
      </c>
      <c r="E14" s="10">
        <v>165678</v>
      </c>
      <c r="F14" s="1">
        <v>41277</v>
      </c>
      <c r="G14">
        <v>-3840.15</v>
      </c>
      <c r="H14" s="1">
        <f t="shared" si="1"/>
        <v>41277</v>
      </c>
      <c r="I14">
        <f>IF(AND(MyRowHidden(ROW())=FALSE,MyRowHidden(ROW()-1)=TRUE),0,(E14-E13)*unitsOfDHp+I13)</f>
        <v>0</v>
      </c>
      <c r="J14">
        <f>IF(AND(MyRowHidden(ROW())=FALSE,MyRowHidden(ROW()-1)=TRUE),0,(G14-G13)*unitsOfExo+J13)</f>
        <v>4488.4999999999991</v>
      </c>
      <c r="K14" s="9">
        <f t="shared" si="2"/>
        <v>-4488.4999999999991</v>
      </c>
      <c r="L14">
        <f t="shared" si="3"/>
        <v>4488.4999999999991</v>
      </c>
    </row>
    <row r="15" spans="1:12" x14ac:dyDescent="0.25">
      <c r="A15" s="6">
        <f>unitsOfDHp*B15</f>
        <v>220000</v>
      </c>
      <c r="B15" s="5">
        <v>22000</v>
      </c>
      <c r="C15" s="1"/>
      <c r="D15" s="1">
        <v>41278</v>
      </c>
      <c r="E15" s="10">
        <v>165586</v>
      </c>
      <c r="F15" s="1">
        <v>41278</v>
      </c>
      <c r="G15">
        <v>-3520.08</v>
      </c>
      <c r="H15" s="1">
        <f t="shared" si="1"/>
        <v>41278</v>
      </c>
      <c r="I15">
        <f>IF(AND(MyRowHidden(ROW())=FALSE,MyRowHidden(ROW()-1)=TRUE),0,(E15-E14)*unitsOfDHp+I14)</f>
        <v>-920</v>
      </c>
      <c r="J15">
        <f>IF(AND(MyRowHidden(ROW())=FALSE,MyRowHidden(ROW()-1)=TRUE),0,(G15-G14)*unitsOfExo+J14)</f>
        <v>7689.2000000000007</v>
      </c>
      <c r="K15" s="9">
        <f t="shared" si="2"/>
        <v>-7689.2000000000007</v>
      </c>
      <c r="L15">
        <f t="shared" si="3"/>
        <v>6769.2000000000007</v>
      </c>
    </row>
    <row r="16" spans="1:12" x14ac:dyDescent="0.25">
      <c r="A16" s="1"/>
      <c r="C16" s="1"/>
      <c r="D16" s="1">
        <v>41281</v>
      </c>
      <c r="E16" s="10">
        <v>165272</v>
      </c>
      <c r="F16" s="1">
        <v>41281</v>
      </c>
      <c r="G16">
        <v>-3215.52</v>
      </c>
      <c r="H16" s="1">
        <f t="shared" si="1"/>
        <v>41281</v>
      </c>
      <c r="I16">
        <f>IF(AND(MyRowHidden(ROW())=FALSE,MyRowHidden(ROW()-1)=TRUE),0,(E16-E15)*unitsOfDHp+I15)</f>
        <v>-4060</v>
      </c>
      <c r="J16">
        <f>IF(AND(MyRowHidden(ROW())=FALSE,MyRowHidden(ROW()-1)=TRUE),0,(G16-G15)*unitsOfExo+J15)</f>
        <v>10734.8</v>
      </c>
      <c r="K16" s="9">
        <f t="shared" si="2"/>
        <v>-10734.8</v>
      </c>
      <c r="L16">
        <f t="shared" si="3"/>
        <v>6674.7999999999993</v>
      </c>
    </row>
    <row r="17" spans="1:12" x14ac:dyDescent="0.25">
      <c r="A17" s="6">
        <f>unitsOfExo*B17</f>
        <v>33000</v>
      </c>
      <c r="B17">
        <f>825*4</f>
        <v>3300</v>
      </c>
      <c r="C17" s="1"/>
      <c r="D17" s="1">
        <v>41282</v>
      </c>
      <c r="E17" s="10">
        <v>165092</v>
      </c>
      <c r="F17" s="1">
        <v>41282</v>
      </c>
      <c r="G17">
        <v>-2831.06</v>
      </c>
      <c r="H17" s="1">
        <f t="shared" si="1"/>
        <v>41282</v>
      </c>
      <c r="I17">
        <f>IF(AND(MyRowHidden(ROW())=FALSE,MyRowHidden(ROW()-1)=TRUE),0,(E17-E16)*unitsOfDHp+I16)</f>
        <v>-5860</v>
      </c>
      <c r="J17">
        <f>IF(AND(MyRowHidden(ROW())=FALSE,MyRowHidden(ROW()-1)=TRUE),0,(G17-G16)*unitsOfExo+J16)</f>
        <v>14579.4</v>
      </c>
      <c r="K17" s="9">
        <f t="shared" si="2"/>
        <v>-14579.4</v>
      </c>
      <c r="L17">
        <f t="shared" si="3"/>
        <v>8719.4</v>
      </c>
    </row>
    <row r="18" spans="1:12" x14ac:dyDescent="0.25">
      <c r="A18" s="6">
        <f>100*B18</f>
        <v>75000</v>
      </c>
      <c r="B18">
        <v>750</v>
      </c>
      <c r="C18" s="1"/>
      <c r="D18" s="1">
        <v>41283</v>
      </c>
      <c r="E18" s="10">
        <v>164812</v>
      </c>
      <c r="F18" s="1">
        <v>41283</v>
      </c>
      <c r="G18">
        <v>-2331.4499999999998</v>
      </c>
      <c r="H18" s="1">
        <f t="shared" si="1"/>
        <v>41283</v>
      </c>
      <c r="I18">
        <f>IF(AND(MyRowHidden(ROW())=FALSE,MyRowHidden(ROW()-1)=TRUE),0,(E18-E17)*unitsOfDHp+I17)</f>
        <v>-8660</v>
      </c>
      <c r="J18">
        <f>IF(AND(MyRowHidden(ROW())=FALSE,MyRowHidden(ROW()-1)=TRUE),0,(G18-G17)*unitsOfExo+J17)</f>
        <v>19575.5</v>
      </c>
      <c r="K18" s="9">
        <f t="shared" si="2"/>
        <v>-19575.5</v>
      </c>
      <c r="L18">
        <f t="shared" si="3"/>
        <v>10915.5</v>
      </c>
    </row>
    <row r="19" spans="1:12" x14ac:dyDescent="0.25">
      <c r="A19" s="7">
        <f>A17-A18</f>
        <v>-42000</v>
      </c>
      <c r="C19" s="1"/>
      <c r="D19" s="1">
        <v>41284</v>
      </c>
      <c r="E19" s="10">
        <v>165632</v>
      </c>
      <c r="F19" s="1">
        <v>41284</v>
      </c>
      <c r="G19">
        <v>-2288.6799999999998</v>
      </c>
      <c r="H19" s="1">
        <f t="shared" si="1"/>
        <v>41284</v>
      </c>
      <c r="I19">
        <f>IF(AND(MyRowHidden(ROW())=FALSE,MyRowHidden(ROW()-1)=TRUE),0,(E19-E18)*unitsOfDHp+I18)</f>
        <v>-460</v>
      </c>
      <c r="J19">
        <f>IF(AND(MyRowHidden(ROW())=FALSE,MyRowHidden(ROW()-1)=TRUE),0,(G19-G18)*unitsOfExo+J18)</f>
        <v>20003.2</v>
      </c>
      <c r="K19" s="9">
        <f t="shared" si="2"/>
        <v>-20003.2</v>
      </c>
      <c r="L19">
        <f t="shared" si="3"/>
        <v>19543.2</v>
      </c>
    </row>
    <row r="20" spans="1:12" x14ac:dyDescent="0.25">
      <c r="A20" s="1"/>
      <c r="C20" s="1"/>
      <c r="D20" s="1">
        <v>41285</v>
      </c>
      <c r="E20" s="10">
        <v>164632</v>
      </c>
      <c r="F20" s="1">
        <v>41285</v>
      </c>
      <c r="G20">
        <v>-2128.41</v>
      </c>
      <c r="H20" s="1">
        <f t="shared" si="1"/>
        <v>41285</v>
      </c>
      <c r="I20">
        <f>IF(AND(MyRowHidden(ROW())=FALSE,MyRowHidden(ROW()-1)=TRUE),0,(E20-E19)*unitsOfDHp+I19)</f>
        <v>-10460</v>
      </c>
      <c r="J20">
        <f>IF(AND(MyRowHidden(ROW())=FALSE,MyRowHidden(ROW()-1)=TRUE),0,(G20-G19)*unitsOfExo+J19)</f>
        <v>21605.9</v>
      </c>
      <c r="K20" s="9">
        <f t="shared" si="2"/>
        <v>-21605.9</v>
      </c>
      <c r="L20">
        <f t="shared" si="3"/>
        <v>11145.900000000001</v>
      </c>
    </row>
    <row r="21" spans="1:12" x14ac:dyDescent="0.25">
      <c r="A21" s="1"/>
      <c r="C21" s="1"/>
      <c r="D21" s="1">
        <v>41288</v>
      </c>
      <c r="E21" s="10">
        <v>163920</v>
      </c>
      <c r="F21" s="1">
        <v>41288</v>
      </c>
      <c r="G21">
        <v>-2016.55</v>
      </c>
      <c r="H21" s="1">
        <f t="shared" si="1"/>
        <v>41288</v>
      </c>
      <c r="I21">
        <f>IF(AND(MyRowHidden(ROW())=FALSE,MyRowHidden(ROW()-1)=TRUE),0,(E21-E20)*unitsOfDHp+I20)</f>
        <v>-17580</v>
      </c>
      <c r="J21">
        <f>IF(AND(MyRowHidden(ROW())=FALSE,MyRowHidden(ROW()-1)=TRUE),0,(G21-G20)*unitsOfExo+J20)</f>
        <v>22724.5</v>
      </c>
      <c r="K21" s="9">
        <f t="shared" si="2"/>
        <v>-22724.5</v>
      </c>
      <c r="L21">
        <f t="shared" si="3"/>
        <v>5144.5</v>
      </c>
    </row>
    <row r="22" spans="1:12" x14ac:dyDescent="0.25">
      <c r="A22" s="8">
        <f>1500000/A19</f>
        <v>-35.714285714285715</v>
      </c>
      <c r="C22" s="1"/>
      <c r="D22" s="1">
        <v>41289</v>
      </c>
      <c r="E22" s="10">
        <v>164652</v>
      </c>
      <c r="F22" s="1">
        <v>41289</v>
      </c>
      <c r="G22">
        <v>-1877.43</v>
      </c>
      <c r="H22" s="1">
        <f t="shared" si="1"/>
        <v>41289</v>
      </c>
      <c r="I22">
        <f>IF(AND(MyRowHidden(ROW())=FALSE,MyRowHidden(ROW()-1)=TRUE),0,(E22-E21)*unitsOfDHp+I21)</f>
        <v>-10260</v>
      </c>
      <c r="J22">
        <f>IF(AND(MyRowHidden(ROW())=FALSE,MyRowHidden(ROW()-1)=TRUE),0,(G22-G21)*unitsOfExo+J21)</f>
        <v>24115.699999999997</v>
      </c>
      <c r="K22" s="9">
        <f t="shared" si="2"/>
        <v>-24115.699999999997</v>
      </c>
      <c r="L22">
        <f t="shared" si="3"/>
        <v>13855.699999999997</v>
      </c>
    </row>
    <row r="23" spans="1:12" x14ac:dyDescent="0.25">
      <c r="A23" s="8">
        <f>A19*A22</f>
        <v>1500000</v>
      </c>
      <c r="C23" s="1"/>
      <c r="D23" s="1">
        <v>41290</v>
      </c>
      <c r="E23" s="10">
        <v>165484</v>
      </c>
      <c r="F23" s="1">
        <v>41290</v>
      </c>
      <c r="G23">
        <v>-1621.28</v>
      </c>
      <c r="H23" s="1">
        <f t="shared" si="1"/>
        <v>41290</v>
      </c>
      <c r="I23">
        <f>IF(AND(MyRowHidden(ROW())=FALSE,MyRowHidden(ROW()-1)=TRUE),0,(E23-E22)*unitsOfDHp+I22)</f>
        <v>-1940</v>
      </c>
      <c r="J23">
        <f>IF(AND(MyRowHidden(ROW())=FALSE,MyRowHidden(ROW()-1)=TRUE),0,(G23-G22)*unitsOfExo+J22)</f>
        <v>26677.199999999997</v>
      </c>
      <c r="K23" s="9">
        <f t="shared" si="2"/>
        <v>-26677.199999999997</v>
      </c>
      <c r="L23">
        <f t="shared" si="3"/>
        <v>24737.199999999997</v>
      </c>
    </row>
    <row r="24" spans="1:12" x14ac:dyDescent="0.25">
      <c r="A24" s="1"/>
      <c r="C24" s="1"/>
      <c r="D24" s="1">
        <v>41291</v>
      </c>
      <c r="E24" s="10">
        <v>169182</v>
      </c>
      <c r="F24" s="1">
        <v>41291</v>
      </c>
      <c r="G24">
        <v>-1621.28</v>
      </c>
      <c r="H24" s="1">
        <f t="shared" si="1"/>
        <v>41291</v>
      </c>
      <c r="I24">
        <f>IF(AND(MyRowHidden(ROW())=FALSE,MyRowHidden(ROW()-1)=TRUE),0,(E24-E23)*unitsOfDHp+I23)</f>
        <v>35040</v>
      </c>
      <c r="J24">
        <f>IF(AND(MyRowHidden(ROW())=FALSE,MyRowHidden(ROW()-1)=TRUE),0,(G24-G23)*unitsOfExo+J23)</f>
        <v>26677.199999999997</v>
      </c>
      <c r="K24" s="9">
        <f t="shared" si="2"/>
        <v>-26677.199999999997</v>
      </c>
      <c r="L24">
        <f t="shared" si="3"/>
        <v>61717.2</v>
      </c>
    </row>
    <row r="25" spans="1:12" x14ac:dyDescent="0.25">
      <c r="A25" s="1"/>
      <c r="C25" s="1"/>
      <c r="D25" s="1">
        <v>41292</v>
      </c>
      <c r="E25" s="10">
        <v>168518</v>
      </c>
      <c r="F25" s="1">
        <v>41292</v>
      </c>
      <c r="G25">
        <v>-1567.7</v>
      </c>
      <c r="H25" s="1">
        <f t="shared" si="1"/>
        <v>41292</v>
      </c>
      <c r="I25">
        <f>IF(AND(MyRowHidden(ROW())=FALSE,MyRowHidden(ROW()-1)=TRUE),0,(E25-E24)*unitsOfDHp+I24)</f>
        <v>28400</v>
      </c>
      <c r="J25">
        <f>IF(AND(MyRowHidden(ROW())=FALSE,MyRowHidden(ROW()-1)=TRUE),0,(G25-G24)*unitsOfExo+J24)</f>
        <v>27212.999999999996</v>
      </c>
      <c r="K25" s="9">
        <f t="shared" si="2"/>
        <v>-27212.999999999996</v>
      </c>
      <c r="L25">
        <f t="shared" si="3"/>
        <v>55613</v>
      </c>
    </row>
    <row r="26" spans="1:12" x14ac:dyDescent="0.25">
      <c r="A26" s="1"/>
      <c r="C26" s="1"/>
      <c r="D26" s="1">
        <v>41295</v>
      </c>
      <c r="E26" s="10">
        <v>168388</v>
      </c>
      <c r="F26" s="1">
        <v>41295</v>
      </c>
      <c r="G26">
        <v>-1567.7</v>
      </c>
      <c r="H26" s="1">
        <f t="shared" si="1"/>
        <v>41295</v>
      </c>
      <c r="I26">
        <f>IF(AND(MyRowHidden(ROW())=FALSE,MyRowHidden(ROW()-1)=TRUE),0,(E26-E25)*unitsOfDHp+I25)</f>
        <v>27100</v>
      </c>
      <c r="J26">
        <f>IF(AND(MyRowHidden(ROW())=FALSE,MyRowHidden(ROW()-1)=TRUE),0,(G26-G25)*unitsOfExo+J25)</f>
        <v>27212.999999999996</v>
      </c>
      <c r="K26" s="9">
        <f t="shared" si="2"/>
        <v>-27212.999999999996</v>
      </c>
      <c r="L26">
        <f t="shared" si="3"/>
        <v>54313</v>
      </c>
    </row>
    <row r="27" spans="1:12" x14ac:dyDescent="0.25">
      <c r="A27" s="1"/>
      <c r="C27" s="1"/>
      <c r="D27" s="1">
        <v>41296</v>
      </c>
      <c r="E27" s="10">
        <v>170138</v>
      </c>
      <c r="F27" s="1">
        <v>41296</v>
      </c>
      <c r="G27">
        <v>-1609.06</v>
      </c>
      <c r="H27" s="1">
        <f t="shared" si="1"/>
        <v>41296</v>
      </c>
      <c r="I27">
        <f>IF(AND(MyRowHidden(ROW())=FALSE,MyRowHidden(ROW()-1)=TRUE),0,(E27-E26)*unitsOfDHp+I26)</f>
        <v>44600</v>
      </c>
      <c r="J27">
        <f>IF(AND(MyRowHidden(ROW())=FALSE,MyRowHidden(ROW()-1)=TRUE),0,(G27-G26)*unitsOfExo+J26)</f>
        <v>26799.399999999998</v>
      </c>
      <c r="K27" s="9">
        <f t="shared" si="2"/>
        <v>-26799.399999999998</v>
      </c>
      <c r="L27">
        <f t="shared" si="3"/>
        <v>71399.399999999994</v>
      </c>
    </row>
    <row r="28" spans="1:12" x14ac:dyDescent="0.25">
      <c r="A28" s="1"/>
      <c r="C28" s="1"/>
      <c r="D28" s="1">
        <v>41297</v>
      </c>
      <c r="E28" s="10">
        <v>166936</v>
      </c>
      <c r="F28" s="1">
        <v>41297</v>
      </c>
      <c r="G28">
        <v>-1471.82</v>
      </c>
      <c r="H28" s="1">
        <f t="shared" si="1"/>
        <v>41297</v>
      </c>
      <c r="I28">
        <f>IF(AND(MyRowHidden(ROW())=FALSE,MyRowHidden(ROW()-1)=TRUE),0,(E28-E27)*unitsOfDHp+I27)</f>
        <v>12580</v>
      </c>
      <c r="J28">
        <f>IF(AND(MyRowHidden(ROW())=FALSE,MyRowHidden(ROW()-1)=TRUE),0,(G28-G27)*unitsOfExo+J27)</f>
        <v>28171.8</v>
      </c>
      <c r="K28" s="9">
        <f t="shared" si="2"/>
        <v>-28171.8</v>
      </c>
      <c r="L28">
        <f t="shared" si="3"/>
        <v>40751.800000000003</v>
      </c>
    </row>
    <row r="29" spans="1:12" x14ac:dyDescent="0.25">
      <c r="A29" s="1"/>
      <c r="C29" s="1"/>
      <c r="D29" s="1">
        <v>41298</v>
      </c>
      <c r="E29" s="10">
        <v>168442</v>
      </c>
      <c r="F29" s="1">
        <v>41298</v>
      </c>
      <c r="G29">
        <v>-2445.19</v>
      </c>
      <c r="H29" s="1">
        <f t="shared" si="1"/>
        <v>41298</v>
      </c>
      <c r="I29">
        <f>IF(AND(MyRowHidden(ROW())=FALSE,MyRowHidden(ROW()-1)=TRUE),0,(E29-E28)*unitsOfDHp+I28)</f>
        <v>27640</v>
      </c>
      <c r="J29">
        <f>IF(AND(MyRowHidden(ROW())=FALSE,MyRowHidden(ROW()-1)=TRUE),0,(G29-G28)*unitsOfExo+J28)</f>
        <v>18438.099999999999</v>
      </c>
      <c r="K29" s="9">
        <f t="shared" si="2"/>
        <v>-18438.099999999999</v>
      </c>
      <c r="L29">
        <f t="shared" si="3"/>
        <v>46078.1</v>
      </c>
    </row>
    <row r="30" spans="1:12" x14ac:dyDescent="0.25">
      <c r="A30" s="1"/>
      <c r="C30" s="1"/>
      <c r="D30" s="1">
        <v>41299</v>
      </c>
      <c r="E30" s="10">
        <v>168172</v>
      </c>
      <c r="F30" s="1">
        <v>41299</v>
      </c>
      <c r="G30">
        <v>-2431.56</v>
      </c>
      <c r="H30" s="1">
        <f t="shared" si="1"/>
        <v>41299</v>
      </c>
      <c r="I30">
        <f>IF(AND(MyRowHidden(ROW())=FALSE,MyRowHidden(ROW()-1)=TRUE),0,(E30-E29)*unitsOfDHp+I29)</f>
        <v>24940</v>
      </c>
      <c r="J30">
        <f>IF(AND(MyRowHidden(ROW())=FALSE,MyRowHidden(ROW()-1)=TRUE),0,(G30-G29)*unitsOfExo+J29)</f>
        <v>18574.400000000001</v>
      </c>
      <c r="K30" s="9">
        <f t="shared" si="2"/>
        <v>-18574.400000000001</v>
      </c>
      <c r="L30">
        <f t="shared" si="3"/>
        <v>43514.400000000001</v>
      </c>
    </row>
    <row r="31" spans="1:12" x14ac:dyDescent="0.25">
      <c r="A31" s="1"/>
      <c r="C31" s="1"/>
      <c r="D31" s="1">
        <v>41302</v>
      </c>
      <c r="E31" s="10">
        <v>168532</v>
      </c>
      <c r="F31" s="1">
        <v>41302</v>
      </c>
      <c r="G31">
        <v>-2266.12</v>
      </c>
      <c r="H31" s="1">
        <f t="shared" si="1"/>
        <v>41302</v>
      </c>
      <c r="I31">
        <f>IF(AND(MyRowHidden(ROW())=FALSE,MyRowHidden(ROW()-1)=TRUE),0,(E31-E30)*unitsOfDHp+I30)</f>
        <v>28540</v>
      </c>
      <c r="J31">
        <f>IF(AND(MyRowHidden(ROW())=FALSE,MyRowHidden(ROW()-1)=TRUE),0,(G31-G30)*unitsOfExo+J30)</f>
        <v>20228.800000000003</v>
      </c>
      <c r="K31" s="9">
        <f t="shared" si="2"/>
        <v>-20228.800000000003</v>
      </c>
      <c r="L31">
        <f t="shared" si="3"/>
        <v>48768.800000000003</v>
      </c>
    </row>
    <row r="32" spans="1:12" x14ac:dyDescent="0.25">
      <c r="A32" s="1"/>
      <c r="C32" s="1"/>
      <c r="D32" s="1">
        <v>41303</v>
      </c>
      <c r="E32" s="10">
        <v>170002</v>
      </c>
      <c r="F32" s="1">
        <v>41303</v>
      </c>
      <c r="G32">
        <v>-2450.83</v>
      </c>
      <c r="H32" s="1">
        <f t="shared" si="1"/>
        <v>41303</v>
      </c>
      <c r="I32">
        <f>IF(AND(MyRowHidden(ROW())=FALSE,MyRowHidden(ROW()-1)=TRUE),0,(E32-E31)*unitsOfDHp+I31)</f>
        <v>43240</v>
      </c>
      <c r="J32">
        <f>IF(AND(MyRowHidden(ROW())=FALSE,MyRowHidden(ROW()-1)=TRUE),0,(G32-G31)*unitsOfExo+J31)</f>
        <v>18381.700000000004</v>
      </c>
      <c r="K32" s="9">
        <f t="shared" si="2"/>
        <v>-18381.700000000004</v>
      </c>
      <c r="L32">
        <f t="shared" si="3"/>
        <v>61621.700000000004</v>
      </c>
    </row>
    <row r="33" spans="1:12" x14ac:dyDescent="0.25">
      <c r="A33" s="1"/>
      <c r="C33" s="1"/>
      <c r="D33" s="1">
        <v>41304</v>
      </c>
      <c r="E33" s="10">
        <v>170392</v>
      </c>
      <c r="F33" s="1">
        <v>41304</v>
      </c>
      <c r="G33">
        <v>-1376.88</v>
      </c>
      <c r="H33" s="1">
        <f t="shared" si="1"/>
        <v>41304</v>
      </c>
      <c r="I33">
        <f>IF(AND(MyRowHidden(ROW())=FALSE,MyRowHidden(ROW()-1)=TRUE),0,(E33-E32)*unitsOfDHp+I32)</f>
        <v>47140</v>
      </c>
      <c r="J33">
        <f>IF(AND(MyRowHidden(ROW())=FALSE,MyRowHidden(ROW()-1)=TRUE),0,(G33-G32)*unitsOfExo+J32)</f>
        <v>29121.200000000004</v>
      </c>
      <c r="K33" s="9">
        <f t="shared" si="2"/>
        <v>-29121.200000000004</v>
      </c>
      <c r="L33">
        <f t="shared" si="3"/>
        <v>76261.200000000012</v>
      </c>
    </row>
    <row r="34" spans="1:12" x14ac:dyDescent="0.25">
      <c r="A34" s="1"/>
      <c r="C34" s="1"/>
      <c r="D34" s="1">
        <v>41305</v>
      </c>
      <c r="E34" s="10">
        <v>169612</v>
      </c>
      <c r="F34" s="1">
        <v>41305</v>
      </c>
      <c r="G34">
        <v>-1628.33</v>
      </c>
      <c r="H34" s="1">
        <f t="shared" si="1"/>
        <v>41305</v>
      </c>
      <c r="I34">
        <f>IF(AND(MyRowHidden(ROW())=FALSE,MyRowHidden(ROW()-1)=TRUE),0,(E34-E33)*unitsOfDHp+I33)</f>
        <v>39340</v>
      </c>
      <c r="J34">
        <f>IF(AND(MyRowHidden(ROW())=FALSE,MyRowHidden(ROW()-1)=TRUE),0,(G34-G33)*unitsOfExo+J33)</f>
        <v>26606.700000000004</v>
      </c>
      <c r="K34" s="9">
        <f t="shared" si="2"/>
        <v>-26606.700000000004</v>
      </c>
      <c r="L34">
        <f t="shared" si="3"/>
        <v>65946.700000000012</v>
      </c>
    </row>
    <row r="35" spans="1:12" x14ac:dyDescent="0.25">
      <c r="A35" s="1"/>
      <c r="C35" s="1"/>
      <c r="D35" s="1">
        <v>41306</v>
      </c>
      <c r="E35" s="10">
        <v>170152</v>
      </c>
      <c r="F35" s="1">
        <v>41306</v>
      </c>
      <c r="G35">
        <v>-71</v>
      </c>
      <c r="H35" s="1">
        <f t="shared" si="1"/>
        <v>41306</v>
      </c>
      <c r="I35">
        <f>IF(AND(MyRowHidden(ROW())=FALSE,MyRowHidden(ROW()-1)=TRUE),0,(E35-E34)*unitsOfDHp+I34)</f>
        <v>44740</v>
      </c>
      <c r="J35">
        <f>IF(AND(MyRowHidden(ROW())=FALSE,MyRowHidden(ROW()-1)=TRUE),0,(G35-G34)*unitsOfExo+J34)</f>
        <v>42180</v>
      </c>
      <c r="K35" s="9">
        <f t="shared" si="2"/>
        <v>-42180</v>
      </c>
      <c r="L35">
        <f t="shared" si="3"/>
        <v>86920</v>
      </c>
    </row>
    <row r="36" spans="1:12" x14ac:dyDescent="0.25">
      <c r="A36" s="1"/>
      <c r="C36" s="1"/>
      <c r="D36" s="1">
        <v>41309</v>
      </c>
      <c r="E36" s="10">
        <v>168712</v>
      </c>
      <c r="F36" s="1">
        <v>41309</v>
      </c>
      <c r="G36">
        <v>-350.18</v>
      </c>
      <c r="H36" s="1">
        <f t="shared" si="1"/>
        <v>41309</v>
      </c>
      <c r="I36">
        <f>IF(AND(MyRowHidden(ROW())=FALSE,MyRowHidden(ROW()-1)=TRUE),0,(E36-E35)*unitsOfDHp+I35)</f>
        <v>30340</v>
      </c>
      <c r="J36">
        <f>IF(AND(MyRowHidden(ROW())=FALSE,MyRowHidden(ROW()-1)=TRUE),0,(G36-G35)*unitsOfExo+J35)</f>
        <v>39388.199999999997</v>
      </c>
      <c r="K36" s="9">
        <f t="shared" si="2"/>
        <v>-39388.199999999997</v>
      </c>
      <c r="L36">
        <f t="shared" si="3"/>
        <v>69728.2</v>
      </c>
    </row>
    <row r="37" spans="1:12" x14ac:dyDescent="0.25">
      <c r="A37" s="1"/>
      <c r="C37" s="1"/>
      <c r="D37" s="1">
        <v>41310</v>
      </c>
      <c r="E37" s="10">
        <v>169192</v>
      </c>
      <c r="F37" s="1">
        <v>41310</v>
      </c>
      <c r="G37">
        <v>-455.93</v>
      </c>
      <c r="H37" s="1">
        <f t="shared" si="1"/>
        <v>41310</v>
      </c>
      <c r="I37">
        <f>IF(AND(MyRowHidden(ROW())=FALSE,MyRowHidden(ROW()-1)=TRUE),0,(E37-E36)*unitsOfDHp+I36)</f>
        <v>35140</v>
      </c>
      <c r="J37">
        <f>IF(AND(MyRowHidden(ROW())=FALSE,MyRowHidden(ROW()-1)=TRUE),0,(G37-G36)*unitsOfExo+J36)</f>
        <v>38330.699999999997</v>
      </c>
      <c r="K37" s="9">
        <f t="shared" si="2"/>
        <v>-38330.699999999997</v>
      </c>
      <c r="L37">
        <f t="shared" si="3"/>
        <v>73470.7</v>
      </c>
    </row>
    <row r="38" spans="1:12" x14ac:dyDescent="0.25">
      <c r="A38" s="1"/>
      <c r="C38" s="1"/>
      <c r="D38" s="1">
        <v>41311</v>
      </c>
      <c r="E38" s="10">
        <v>168892</v>
      </c>
      <c r="F38" s="1">
        <v>41311</v>
      </c>
      <c r="G38">
        <v>-455.93</v>
      </c>
      <c r="H38" s="1">
        <f t="shared" si="1"/>
        <v>41311</v>
      </c>
      <c r="I38">
        <f>IF(AND(MyRowHidden(ROW())=FALSE,MyRowHidden(ROW()-1)=TRUE),0,(E38-E37)*unitsOfDHp+I37)</f>
        <v>32140</v>
      </c>
      <c r="J38">
        <f>IF(AND(MyRowHidden(ROW())=FALSE,MyRowHidden(ROW()-1)=TRUE),0,(G38-G37)*unitsOfExo+J37)</f>
        <v>38330.699999999997</v>
      </c>
      <c r="K38" s="9">
        <f t="shared" si="2"/>
        <v>-38330.699999999997</v>
      </c>
      <c r="L38">
        <f t="shared" si="3"/>
        <v>70470.7</v>
      </c>
    </row>
    <row r="39" spans="1:12" x14ac:dyDescent="0.25">
      <c r="A39" s="1"/>
      <c r="C39" s="1"/>
      <c r="D39" s="1">
        <v>41312</v>
      </c>
      <c r="E39" s="10">
        <v>168472</v>
      </c>
      <c r="F39" s="1">
        <v>41312</v>
      </c>
      <c r="G39">
        <v>-549.92999999999995</v>
      </c>
      <c r="H39" s="1">
        <f t="shared" si="1"/>
        <v>41312</v>
      </c>
      <c r="I39">
        <f>IF(AND(MyRowHidden(ROW())=FALSE,MyRowHidden(ROW()-1)=TRUE),0,(E39-E38)*unitsOfDHp+I38)</f>
        <v>27940</v>
      </c>
      <c r="J39">
        <f>IF(AND(MyRowHidden(ROW())=FALSE,MyRowHidden(ROW()-1)=TRUE),0,(G39-G38)*unitsOfExo+J38)</f>
        <v>37390.699999999997</v>
      </c>
      <c r="K39" s="9">
        <f t="shared" si="2"/>
        <v>-37390.699999999997</v>
      </c>
      <c r="L39">
        <f t="shared" si="3"/>
        <v>65330.7</v>
      </c>
    </row>
    <row r="40" spans="1:12" x14ac:dyDescent="0.25">
      <c r="A40" s="1"/>
      <c r="C40" s="1"/>
      <c r="D40" s="1">
        <v>41313</v>
      </c>
      <c r="E40" s="10">
        <v>168430</v>
      </c>
      <c r="F40" s="1">
        <v>41313</v>
      </c>
      <c r="G40">
        <v>-637.82000000000005</v>
      </c>
      <c r="H40" s="1">
        <f t="shared" si="1"/>
        <v>41313</v>
      </c>
      <c r="I40">
        <f>IF(AND(MyRowHidden(ROW())=FALSE,MyRowHidden(ROW()-1)=TRUE),0,(E40-E39)*unitsOfDHp+I39)</f>
        <v>27520</v>
      </c>
      <c r="J40">
        <f>IF(AND(MyRowHidden(ROW())=FALSE,MyRowHidden(ROW()-1)=TRUE),0,(G40-G39)*unitsOfExo+J39)</f>
        <v>36511.799999999996</v>
      </c>
      <c r="K40" s="9">
        <f t="shared" si="2"/>
        <v>-36511.799999999996</v>
      </c>
      <c r="L40">
        <f t="shared" si="3"/>
        <v>64031.799999999996</v>
      </c>
    </row>
    <row r="41" spans="1:12" x14ac:dyDescent="0.25">
      <c r="A41" s="1"/>
      <c r="C41" s="1"/>
      <c r="D41" s="1">
        <v>41316</v>
      </c>
      <c r="E41" s="10">
        <v>168454</v>
      </c>
      <c r="F41" s="1">
        <v>41316</v>
      </c>
      <c r="G41">
        <v>-802.32</v>
      </c>
      <c r="H41" s="1">
        <f t="shared" si="1"/>
        <v>41316</v>
      </c>
      <c r="I41">
        <f>IF(AND(MyRowHidden(ROW())=FALSE,MyRowHidden(ROW()-1)=TRUE),0,(E41-E40)*unitsOfDHp+I40)</f>
        <v>27760</v>
      </c>
      <c r="J41">
        <f>IF(AND(MyRowHidden(ROW())=FALSE,MyRowHidden(ROW()-1)=TRUE),0,(G41-G40)*unitsOfExo+J40)</f>
        <v>34866.799999999996</v>
      </c>
      <c r="K41" s="9">
        <f t="shared" si="2"/>
        <v>-34866.799999999996</v>
      </c>
      <c r="L41">
        <f t="shared" si="3"/>
        <v>62626.799999999996</v>
      </c>
    </row>
    <row r="42" spans="1:12" x14ac:dyDescent="0.25">
      <c r="A42" s="1"/>
      <c r="C42" s="1"/>
      <c r="D42" s="1">
        <v>41317</v>
      </c>
      <c r="E42" s="10">
        <v>168650</v>
      </c>
      <c r="F42" s="1">
        <v>41317</v>
      </c>
      <c r="G42">
        <v>-1107.82</v>
      </c>
      <c r="H42" s="1">
        <f t="shared" si="1"/>
        <v>41317</v>
      </c>
      <c r="I42">
        <f>IF(AND(MyRowHidden(ROW())=FALSE,MyRowHidden(ROW()-1)=TRUE),0,(E42-E41)*unitsOfDHp+I41)</f>
        <v>29720</v>
      </c>
      <c r="J42">
        <f>IF(AND(MyRowHidden(ROW())=FALSE,MyRowHidden(ROW()-1)=TRUE),0,(G42-G41)*unitsOfExo+J41)</f>
        <v>31811.799999999996</v>
      </c>
      <c r="K42" s="9">
        <f t="shared" si="2"/>
        <v>-31811.799999999996</v>
      </c>
      <c r="L42">
        <f t="shared" si="3"/>
        <v>61531.799999999996</v>
      </c>
    </row>
    <row r="43" spans="1:12" x14ac:dyDescent="0.25">
      <c r="A43" s="1"/>
      <c r="C43" s="1"/>
      <c r="D43" s="1">
        <v>41318</v>
      </c>
      <c r="E43" s="10">
        <v>168170</v>
      </c>
      <c r="F43" s="1">
        <v>41318</v>
      </c>
      <c r="G43">
        <v>-1742.32</v>
      </c>
      <c r="H43" s="1">
        <f t="shared" si="1"/>
        <v>41318</v>
      </c>
      <c r="I43">
        <f>IF(AND(MyRowHidden(ROW())=FALSE,MyRowHidden(ROW()-1)=TRUE),0,(E43-E42)*unitsOfDHp+I42)</f>
        <v>24920</v>
      </c>
      <c r="J43">
        <f>IF(AND(MyRowHidden(ROW())=FALSE,MyRowHidden(ROW()-1)=TRUE),0,(G43-G42)*unitsOfExo+J42)</f>
        <v>25466.799999999996</v>
      </c>
      <c r="K43" s="9">
        <f t="shared" si="2"/>
        <v>-25466.799999999996</v>
      </c>
      <c r="L43">
        <f t="shared" si="3"/>
        <v>50386.799999999996</v>
      </c>
    </row>
    <row r="44" spans="1:12" x14ac:dyDescent="0.25">
      <c r="A44" s="1"/>
      <c r="C44" s="1"/>
      <c r="D44" s="1">
        <v>41319</v>
      </c>
      <c r="E44" s="10">
        <v>168590</v>
      </c>
      <c r="F44" s="1">
        <v>41319</v>
      </c>
      <c r="G44">
        <v>-2453.4299999999998</v>
      </c>
      <c r="H44" s="1">
        <f t="shared" si="1"/>
        <v>41319</v>
      </c>
      <c r="I44">
        <f>IF(AND(MyRowHidden(ROW())=FALSE,MyRowHidden(ROW()-1)=TRUE),0,(E44-E43)*unitsOfDHp+I43)</f>
        <v>29120</v>
      </c>
      <c r="J44">
        <f>IF(AND(MyRowHidden(ROW())=FALSE,MyRowHidden(ROW()-1)=TRUE),0,(G44-G43)*unitsOfExo+J43)</f>
        <v>18355.699999999997</v>
      </c>
      <c r="K44" s="9">
        <f t="shared" si="2"/>
        <v>-18355.699999999997</v>
      </c>
      <c r="L44">
        <f t="shared" si="3"/>
        <v>47475.7</v>
      </c>
    </row>
    <row r="45" spans="1:12" x14ac:dyDescent="0.25">
      <c r="A45" s="1"/>
      <c r="C45" s="1"/>
      <c r="D45" s="1">
        <v>41320</v>
      </c>
      <c r="E45" s="10">
        <v>166538</v>
      </c>
      <c r="F45" s="1">
        <v>41320</v>
      </c>
      <c r="G45">
        <v>-2629.68</v>
      </c>
      <c r="H45" s="1">
        <f t="shared" si="1"/>
        <v>41320</v>
      </c>
      <c r="I45">
        <f>IF(AND(MyRowHidden(ROW())=FALSE,MyRowHidden(ROW()-1)=TRUE),0,(E45-E44)*unitsOfDHp+I44)</f>
        <v>8600</v>
      </c>
      <c r="J45">
        <f>IF(AND(MyRowHidden(ROW())=FALSE,MyRowHidden(ROW()-1)=TRUE),0,(G45-G44)*unitsOfExo+J44)</f>
        <v>16593.199999999997</v>
      </c>
      <c r="K45" s="9">
        <f t="shared" si="2"/>
        <v>-16593.199999999997</v>
      </c>
      <c r="L45">
        <f t="shared" si="3"/>
        <v>25193.199999999997</v>
      </c>
    </row>
    <row r="46" spans="1:12" x14ac:dyDescent="0.25">
      <c r="A46" s="1"/>
      <c r="C46" s="1"/>
      <c r="D46" s="1">
        <v>41323</v>
      </c>
      <c r="E46" s="10">
        <v>166374</v>
      </c>
      <c r="F46" s="1">
        <v>41323</v>
      </c>
      <c r="G46">
        <v>-2629.68</v>
      </c>
      <c r="H46" s="1">
        <f t="shared" si="1"/>
        <v>41323</v>
      </c>
      <c r="I46">
        <f>IF(AND(MyRowHidden(ROW())=FALSE,MyRowHidden(ROW()-1)=TRUE),0,(E46-E45)*unitsOfDHp+I45)</f>
        <v>6960</v>
      </c>
      <c r="J46">
        <f>IF(AND(MyRowHidden(ROW())=FALSE,MyRowHidden(ROW()-1)=TRUE),0,(G46-G45)*unitsOfExo+J45)</f>
        <v>16593.199999999997</v>
      </c>
      <c r="K46" s="9">
        <f t="shared" si="2"/>
        <v>-16593.199999999997</v>
      </c>
      <c r="L46">
        <f t="shared" si="3"/>
        <v>23553.199999999997</v>
      </c>
    </row>
    <row r="47" spans="1:12" x14ac:dyDescent="0.25">
      <c r="A47" s="1"/>
      <c r="C47" s="1"/>
      <c r="D47" s="1">
        <v>41324</v>
      </c>
      <c r="E47" s="10">
        <v>166754</v>
      </c>
      <c r="F47" s="1">
        <v>41324</v>
      </c>
      <c r="G47">
        <v>-2723.68</v>
      </c>
      <c r="H47" s="1">
        <f t="shared" si="1"/>
        <v>41324</v>
      </c>
      <c r="I47">
        <f>IF(AND(MyRowHidden(ROW())=FALSE,MyRowHidden(ROW()-1)=TRUE),0,(E47-E46)*unitsOfDHp+I46)</f>
        <v>10760</v>
      </c>
      <c r="J47">
        <f>IF(AND(MyRowHidden(ROW())=FALSE,MyRowHidden(ROW()-1)=TRUE),0,(G47-G46)*unitsOfExo+J46)</f>
        <v>15653.199999999997</v>
      </c>
      <c r="K47" s="9">
        <f t="shared" si="2"/>
        <v>-15653.199999999997</v>
      </c>
      <c r="L47">
        <f t="shared" si="3"/>
        <v>26413.199999999997</v>
      </c>
    </row>
    <row r="48" spans="1:12" x14ac:dyDescent="0.25">
      <c r="A48" s="1"/>
      <c r="C48" s="1"/>
      <c r="D48" s="1">
        <v>41325</v>
      </c>
      <c r="E48" s="10">
        <v>165712</v>
      </c>
      <c r="F48" s="1">
        <v>41325</v>
      </c>
      <c r="G48">
        <v>-2743.89</v>
      </c>
      <c r="H48" s="1">
        <f t="shared" si="1"/>
        <v>41325</v>
      </c>
      <c r="I48">
        <f>IF(AND(MyRowHidden(ROW())=FALSE,MyRowHidden(ROW()-1)=TRUE),0,(E48-E47)*unitsOfDHp+I47)</f>
        <v>340</v>
      </c>
      <c r="J48">
        <f>IF(AND(MyRowHidden(ROW())=FALSE,MyRowHidden(ROW()-1)=TRUE),0,(G48-G47)*unitsOfExo+J47)</f>
        <v>15451.099999999997</v>
      </c>
      <c r="K48" s="9">
        <f t="shared" si="2"/>
        <v>-15451.099999999997</v>
      </c>
      <c r="L48">
        <f t="shared" si="3"/>
        <v>15791.099999999997</v>
      </c>
    </row>
    <row r="49" spans="1:12" x14ac:dyDescent="0.25">
      <c r="A49" s="1"/>
      <c r="C49" s="1"/>
      <c r="D49" s="1">
        <v>41326</v>
      </c>
      <c r="E49" s="10">
        <v>166416</v>
      </c>
      <c r="F49" s="1">
        <v>41326</v>
      </c>
      <c r="G49">
        <v>-2638.14</v>
      </c>
      <c r="H49" s="1">
        <f t="shared" si="1"/>
        <v>41326</v>
      </c>
      <c r="I49">
        <f>IF(AND(MyRowHidden(ROW())=FALSE,MyRowHidden(ROW()-1)=TRUE),0,(E49-E48)*unitsOfDHp+I48)</f>
        <v>7380</v>
      </c>
      <c r="J49">
        <f>IF(AND(MyRowHidden(ROW())=FALSE,MyRowHidden(ROW()-1)=TRUE),0,(G49-G48)*unitsOfExo+J48)</f>
        <v>16508.599999999999</v>
      </c>
      <c r="K49" s="9">
        <f t="shared" si="2"/>
        <v>-16508.599999999999</v>
      </c>
      <c r="L49">
        <f t="shared" si="3"/>
        <v>23888.6</v>
      </c>
    </row>
    <row r="50" spans="1:12" x14ac:dyDescent="0.25">
      <c r="A50" s="1"/>
      <c r="C50" s="1"/>
      <c r="D50" s="1">
        <v>41327</v>
      </c>
      <c r="E50" s="10">
        <v>166882</v>
      </c>
      <c r="F50" s="1">
        <v>41327</v>
      </c>
      <c r="G50">
        <v>-2403.14</v>
      </c>
      <c r="H50" s="1">
        <f t="shared" si="1"/>
        <v>41327</v>
      </c>
      <c r="I50">
        <f>IF(AND(MyRowHidden(ROW())=FALSE,MyRowHidden(ROW()-1)=TRUE),0,(E50-E49)*unitsOfDHp+I49)</f>
        <v>12040</v>
      </c>
      <c r="J50">
        <f>IF(AND(MyRowHidden(ROW())=FALSE,MyRowHidden(ROW()-1)=TRUE),0,(G50-G49)*unitsOfExo+J49)</f>
        <v>18858.599999999999</v>
      </c>
      <c r="K50" s="9">
        <f t="shared" si="2"/>
        <v>-18858.599999999999</v>
      </c>
      <c r="L50">
        <f t="shared" si="3"/>
        <v>30898.6</v>
      </c>
    </row>
    <row r="51" spans="1:12" x14ac:dyDescent="0.25">
      <c r="A51" s="1"/>
      <c r="C51" s="1"/>
      <c r="D51" s="1">
        <v>41330</v>
      </c>
      <c r="E51" s="10">
        <v>166988</v>
      </c>
      <c r="F51" s="1">
        <v>41330</v>
      </c>
      <c r="G51">
        <v>-2403.14</v>
      </c>
      <c r="H51" s="1">
        <f t="shared" si="1"/>
        <v>41330</v>
      </c>
      <c r="I51">
        <f>IF(AND(MyRowHidden(ROW())=FALSE,MyRowHidden(ROW()-1)=TRUE),0,(E51-E50)*unitsOfDHp+I50)</f>
        <v>13100</v>
      </c>
      <c r="J51">
        <f>IF(AND(MyRowHidden(ROW())=FALSE,MyRowHidden(ROW()-1)=TRUE),0,(G51-G50)*unitsOfExo+J50)</f>
        <v>18858.599999999999</v>
      </c>
      <c r="K51" s="9">
        <f t="shared" si="2"/>
        <v>-18858.599999999999</v>
      </c>
      <c r="L51">
        <f t="shared" si="3"/>
        <v>31958.6</v>
      </c>
    </row>
    <row r="52" spans="1:12" x14ac:dyDescent="0.25">
      <c r="A52" s="1"/>
      <c r="C52" s="1"/>
      <c r="D52" s="1">
        <v>41331</v>
      </c>
      <c r="E52" s="10">
        <v>167378</v>
      </c>
      <c r="F52" s="1">
        <v>41331</v>
      </c>
      <c r="G52">
        <v>-2332.64</v>
      </c>
      <c r="H52" s="1">
        <f t="shared" si="1"/>
        <v>41331</v>
      </c>
      <c r="I52">
        <f>IF(AND(MyRowHidden(ROW())=FALSE,MyRowHidden(ROW()-1)=TRUE),0,(E52-E51)*unitsOfDHp+I51)</f>
        <v>17000</v>
      </c>
      <c r="J52">
        <f>IF(AND(MyRowHidden(ROW())=FALSE,MyRowHidden(ROW()-1)=TRUE),0,(G52-G51)*unitsOfExo+J51)</f>
        <v>19563.599999999999</v>
      </c>
      <c r="K52" s="9">
        <f t="shared" si="2"/>
        <v>-19563.599999999999</v>
      </c>
      <c r="L52">
        <f t="shared" si="3"/>
        <v>36563.599999999999</v>
      </c>
    </row>
    <row r="53" spans="1:12" x14ac:dyDescent="0.25">
      <c r="A53" s="1"/>
      <c r="C53" s="1"/>
      <c r="D53" s="1">
        <v>41332</v>
      </c>
      <c r="E53" s="10">
        <v>167654</v>
      </c>
      <c r="F53" s="1">
        <v>41332</v>
      </c>
      <c r="G53">
        <v>-2332.64</v>
      </c>
      <c r="H53" s="1">
        <f t="shared" si="1"/>
        <v>41332</v>
      </c>
      <c r="I53">
        <f>IF(AND(MyRowHidden(ROW())=FALSE,MyRowHidden(ROW()-1)=TRUE),0,(E53-E52)*unitsOfDHp+I52)</f>
        <v>19760</v>
      </c>
      <c r="J53">
        <f>IF(AND(MyRowHidden(ROW())=FALSE,MyRowHidden(ROW()-1)=TRUE),0,(G53-G52)*unitsOfExo+J52)</f>
        <v>19563.599999999999</v>
      </c>
      <c r="K53" s="9">
        <f t="shared" si="2"/>
        <v>-19563.599999999999</v>
      </c>
      <c r="L53">
        <f t="shared" si="3"/>
        <v>39323.599999999999</v>
      </c>
    </row>
    <row r="54" spans="1:12" x14ac:dyDescent="0.25">
      <c r="A54" s="1"/>
      <c r="C54" s="1"/>
      <c r="D54" s="1">
        <v>41333</v>
      </c>
      <c r="E54" s="10">
        <v>168500</v>
      </c>
      <c r="F54" s="1">
        <v>41333</v>
      </c>
      <c r="G54">
        <v>-2341.5700000000002</v>
      </c>
      <c r="H54" s="1">
        <f t="shared" si="1"/>
        <v>41333</v>
      </c>
      <c r="I54">
        <f>IF(AND(MyRowHidden(ROW())=FALSE,MyRowHidden(ROW()-1)=TRUE),0,(E54-E53)*unitsOfDHp+I53)</f>
        <v>28220</v>
      </c>
      <c r="J54">
        <f>IF(AND(MyRowHidden(ROW())=FALSE,MyRowHidden(ROW()-1)=TRUE),0,(G54-G53)*unitsOfExo+J53)</f>
        <v>19474.299999999996</v>
      </c>
      <c r="K54" s="9">
        <f t="shared" si="2"/>
        <v>-19474.299999999996</v>
      </c>
      <c r="L54">
        <f t="shared" si="3"/>
        <v>47694.299999999996</v>
      </c>
    </row>
    <row r="55" spans="1:12" x14ac:dyDescent="0.25">
      <c r="A55" s="1"/>
      <c r="C55" s="1"/>
      <c r="D55" s="1">
        <v>41334</v>
      </c>
      <c r="E55" s="10">
        <v>170502</v>
      </c>
      <c r="F55" s="1">
        <v>41334</v>
      </c>
      <c r="G55">
        <v>-3314.25</v>
      </c>
      <c r="H55" s="1">
        <f t="shared" si="1"/>
        <v>41334</v>
      </c>
      <c r="I55">
        <f>IF(AND(MyRowHidden(ROW())=FALSE,MyRowHidden(ROW()-1)=TRUE),0,(E55-E54)*unitsOfDHp+I54)</f>
        <v>48240</v>
      </c>
      <c r="J55">
        <f>IF(AND(MyRowHidden(ROW())=FALSE,MyRowHidden(ROW()-1)=TRUE),0,(G55-G54)*unitsOfExo+J54)</f>
        <v>9747.4999999999964</v>
      </c>
      <c r="K55" s="9">
        <f t="shared" si="2"/>
        <v>-9747.4999999999964</v>
      </c>
      <c r="L55">
        <f t="shared" si="3"/>
        <v>57987.5</v>
      </c>
    </row>
    <row r="56" spans="1:12" x14ac:dyDescent="0.25">
      <c r="A56" s="1"/>
      <c r="C56" s="1"/>
      <c r="D56" s="1">
        <v>41337</v>
      </c>
      <c r="E56" s="10">
        <v>170502</v>
      </c>
      <c r="F56" s="1">
        <v>41337</v>
      </c>
      <c r="G56">
        <v>-2922.74</v>
      </c>
      <c r="H56" s="1">
        <f t="shared" si="1"/>
        <v>41337</v>
      </c>
      <c r="I56">
        <f>IF(AND(MyRowHidden(ROW())=FALSE,MyRowHidden(ROW()-1)=TRUE),0,(E56-E55)*unitsOfDHp+I55)</f>
        <v>48240</v>
      </c>
      <c r="J56">
        <f>IF(AND(MyRowHidden(ROW())=FALSE,MyRowHidden(ROW()-1)=TRUE),0,(G56-G55)*unitsOfExo+J55)</f>
        <v>13662.599999999999</v>
      </c>
      <c r="K56" s="9">
        <f t="shared" si="2"/>
        <v>-13662.599999999999</v>
      </c>
      <c r="L56">
        <f t="shared" si="3"/>
        <v>61902.6</v>
      </c>
    </row>
    <row r="57" spans="1:12" x14ac:dyDescent="0.25">
      <c r="A57" s="1"/>
      <c r="C57" s="1"/>
      <c r="D57" s="1">
        <v>41338</v>
      </c>
      <c r="E57" s="10">
        <v>170822</v>
      </c>
      <c r="F57" s="1">
        <v>41338</v>
      </c>
      <c r="G57">
        <v>-3347.62</v>
      </c>
      <c r="H57" s="1">
        <f t="shared" si="1"/>
        <v>41338</v>
      </c>
      <c r="I57">
        <f>IF(AND(MyRowHidden(ROW())=FALSE,MyRowHidden(ROW()-1)=TRUE),0,(E57-E56)*unitsOfDHp+I56)</f>
        <v>51440</v>
      </c>
      <c r="J57">
        <f>IF(AND(MyRowHidden(ROW())=FALSE,MyRowHidden(ROW()-1)=TRUE),0,(G57-G56)*unitsOfExo+J56)</f>
        <v>9413.7999999999975</v>
      </c>
      <c r="K57" s="9">
        <f t="shared" si="2"/>
        <v>-9413.7999999999975</v>
      </c>
      <c r="L57">
        <f t="shared" si="3"/>
        <v>60853.799999999996</v>
      </c>
    </row>
    <row r="58" spans="1:12" x14ac:dyDescent="0.25">
      <c r="A58" s="1"/>
      <c r="C58" s="1"/>
      <c r="D58" s="1">
        <v>41339</v>
      </c>
      <c r="E58" s="10">
        <v>170610</v>
      </c>
      <c r="F58" s="1">
        <v>41339</v>
      </c>
      <c r="G58">
        <v>-3851.46</v>
      </c>
      <c r="H58" s="1">
        <f t="shared" si="1"/>
        <v>41339</v>
      </c>
      <c r="I58">
        <f>IF(AND(MyRowHidden(ROW())=FALSE,MyRowHidden(ROW()-1)=TRUE),0,(E58-E57)*unitsOfDHp+I57)</f>
        <v>49320</v>
      </c>
      <c r="J58">
        <f>IF(AND(MyRowHidden(ROW())=FALSE,MyRowHidden(ROW()-1)=TRUE),0,(G58-G57)*unitsOfExo+J57)</f>
        <v>4375.399999999996</v>
      </c>
      <c r="K58" s="9">
        <f t="shared" si="2"/>
        <v>-4375.399999999996</v>
      </c>
      <c r="L58">
        <f t="shared" si="3"/>
        <v>53695.399999999994</v>
      </c>
    </row>
    <row r="59" spans="1:12" x14ac:dyDescent="0.25">
      <c r="A59" s="1"/>
      <c r="C59" s="1"/>
      <c r="D59" s="1">
        <v>41340</v>
      </c>
      <c r="E59" s="10">
        <v>170786</v>
      </c>
      <c r="F59" s="1">
        <v>41340</v>
      </c>
      <c r="G59">
        <v>-4327.1000000000004</v>
      </c>
      <c r="H59" s="1">
        <f t="shared" si="1"/>
        <v>41340</v>
      </c>
      <c r="I59">
        <f>IF(AND(MyRowHidden(ROW())=FALSE,MyRowHidden(ROW()-1)=TRUE),0,(E59-E58)*unitsOfDHp+I58)</f>
        <v>51080</v>
      </c>
      <c r="J59">
        <f>IF(AND(MyRowHidden(ROW())=FALSE,MyRowHidden(ROW()-1)=TRUE),0,(G59-G58)*unitsOfExo+J58)</f>
        <v>-381.00000000000728</v>
      </c>
      <c r="K59" s="9">
        <f t="shared" si="2"/>
        <v>381.00000000000728</v>
      </c>
      <c r="L59">
        <f t="shared" si="3"/>
        <v>50698.999999999993</v>
      </c>
    </row>
    <row r="60" spans="1:12" x14ac:dyDescent="0.25">
      <c r="A60" s="1"/>
      <c r="C60" s="1"/>
      <c r="D60" s="1">
        <v>41341</v>
      </c>
      <c r="E60" s="10">
        <v>170646</v>
      </c>
      <c r="F60" s="1">
        <v>41341</v>
      </c>
      <c r="G60">
        <v>-4461.05</v>
      </c>
      <c r="H60" s="1">
        <f t="shared" si="1"/>
        <v>41341</v>
      </c>
      <c r="I60">
        <f>IF(AND(MyRowHidden(ROW())=FALSE,MyRowHidden(ROW()-1)=TRUE),0,(E60-E59)*unitsOfDHp+I59)</f>
        <v>49680</v>
      </c>
      <c r="J60">
        <f>IF(AND(MyRowHidden(ROW())=FALSE,MyRowHidden(ROW()-1)=TRUE),0,(G60-G59)*unitsOfExo+J59)</f>
        <v>-1720.5000000000055</v>
      </c>
      <c r="K60" s="9">
        <f t="shared" si="2"/>
        <v>1720.5000000000055</v>
      </c>
      <c r="L60">
        <f t="shared" si="3"/>
        <v>47959.499999999993</v>
      </c>
    </row>
    <row r="61" spans="1:12" x14ac:dyDescent="0.25">
      <c r="A61" s="1"/>
      <c r="C61" s="1"/>
      <c r="D61" s="1">
        <v>41344</v>
      </c>
      <c r="E61" s="10">
        <v>170296</v>
      </c>
      <c r="F61" s="1">
        <v>41344</v>
      </c>
      <c r="G61">
        <v>-4797.1000000000004</v>
      </c>
      <c r="H61" s="1">
        <f t="shared" si="1"/>
        <v>41344</v>
      </c>
      <c r="I61">
        <f>IF(AND(MyRowHidden(ROW())=FALSE,MyRowHidden(ROW()-1)=TRUE),0,(E61-E60)*unitsOfDHp+I60)</f>
        <v>46180</v>
      </c>
      <c r="J61">
        <f>IF(AND(MyRowHidden(ROW())=FALSE,MyRowHidden(ROW()-1)=TRUE),0,(G61-G60)*unitsOfExo+J60)</f>
        <v>-5081.0000000000073</v>
      </c>
      <c r="K61" s="9">
        <f t="shared" si="2"/>
        <v>5081.0000000000073</v>
      </c>
      <c r="L61">
        <f t="shared" si="3"/>
        <v>41098.999999999993</v>
      </c>
    </row>
    <row r="62" spans="1:12" x14ac:dyDescent="0.25">
      <c r="A62" s="1"/>
      <c r="C62" s="1"/>
      <c r="D62" s="1">
        <v>41345</v>
      </c>
      <c r="E62" s="10">
        <v>170086</v>
      </c>
      <c r="F62" s="1">
        <v>41345</v>
      </c>
      <c r="G62">
        <v>-5149.6000000000004</v>
      </c>
      <c r="H62" s="1">
        <f t="shared" si="1"/>
        <v>41345</v>
      </c>
      <c r="I62">
        <f>IF(AND(MyRowHidden(ROW())=FALSE,MyRowHidden(ROW()-1)=TRUE),0,(E62-E61)*unitsOfDHp+I61)</f>
        <v>44080</v>
      </c>
      <c r="J62">
        <f>IF(AND(MyRowHidden(ROW())=FALSE,MyRowHidden(ROW()-1)=TRUE),0,(G62-G61)*unitsOfExo+J61)</f>
        <v>-8606.0000000000073</v>
      </c>
      <c r="K62" s="9">
        <f t="shared" si="2"/>
        <v>8606.0000000000073</v>
      </c>
      <c r="L62">
        <f t="shared" si="3"/>
        <v>35473.999999999993</v>
      </c>
    </row>
    <row r="63" spans="1:12" x14ac:dyDescent="0.25">
      <c r="A63" s="1"/>
      <c r="C63" s="1"/>
      <c r="D63" s="1">
        <v>41346</v>
      </c>
      <c r="E63" s="10">
        <v>170766</v>
      </c>
      <c r="F63" s="1">
        <v>41346</v>
      </c>
      <c r="G63">
        <v>-5258.64</v>
      </c>
      <c r="H63" s="1">
        <f t="shared" si="1"/>
        <v>41346</v>
      </c>
      <c r="I63">
        <f>IF(AND(MyRowHidden(ROW())=FALSE,MyRowHidden(ROW()-1)=TRUE),0,(E63-E62)*unitsOfDHp+I62)</f>
        <v>50880</v>
      </c>
      <c r="J63">
        <f>IF(AND(MyRowHidden(ROW())=FALSE,MyRowHidden(ROW()-1)=TRUE),0,(G63-G62)*unitsOfExo+J62)</f>
        <v>-9696.4000000000069</v>
      </c>
      <c r="K63" s="9">
        <f t="shared" si="2"/>
        <v>9696.4000000000069</v>
      </c>
      <c r="L63">
        <f t="shared" si="3"/>
        <v>41183.599999999991</v>
      </c>
    </row>
    <row r="64" spans="1:12" x14ac:dyDescent="0.25">
      <c r="A64" s="1"/>
      <c r="C64" s="1"/>
      <c r="D64" s="1">
        <v>41347</v>
      </c>
      <c r="E64" s="10">
        <v>169860</v>
      </c>
      <c r="F64" s="1">
        <v>41347</v>
      </c>
      <c r="G64">
        <v>-5023.6400000000003</v>
      </c>
      <c r="H64" s="1">
        <f t="shared" si="1"/>
        <v>41347</v>
      </c>
      <c r="I64">
        <f>IF(AND(MyRowHidden(ROW())=FALSE,MyRowHidden(ROW()-1)=TRUE),0,(E64-E63)*unitsOfDHp+I63)</f>
        <v>41820</v>
      </c>
      <c r="J64">
        <f>IF(AND(MyRowHidden(ROW())=FALSE,MyRowHidden(ROW()-1)=TRUE),0,(G64-G63)*unitsOfExo+J63)</f>
        <v>-7346.4000000000069</v>
      </c>
      <c r="K64" s="9">
        <f t="shared" si="2"/>
        <v>7346.4000000000069</v>
      </c>
      <c r="L64">
        <f t="shared" si="3"/>
        <v>34473.599999999991</v>
      </c>
    </row>
    <row r="65" spans="1:12" x14ac:dyDescent="0.25">
      <c r="A65" s="1"/>
      <c r="C65" s="1"/>
      <c r="D65" s="1">
        <v>41348</v>
      </c>
      <c r="E65" s="10">
        <v>168394</v>
      </c>
      <c r="F65" s="1">
        <v>41348</v>
      </c>
      <c r="G65">
        <v>-4685.24</v>
      </c>
      <c r="H65" s="1">
        <f t="shared" si="1"/>
        <v>41348</v>
      </c>
      <c r="I65">
        <f>IF(AND(MyRowHidden(ROW())=FALSE,MyRowHidden(ROW()-1)=TRUE),0,(E65-E64)*unitsOfDHp+I64)</f>
        <v>27160</v>
      </c>
      <c r="J65">
        <f>IF(AND(MyRowHidden(ROW())=FALSE,MyRowHidden(ROW()-1)=TRUE),0,(G65-G64)*unitsOfExo+J64)</f>
        <v>-3962.4000000000015</v>
      </c>
      <c r="K65" s="9">
        <f t="shared" si="2"/>
        <v>3962.4000000000015</v>
      </c>
      <c r="L65">
        <f t="shared" si="3"/>
        <v>23197.599999999999</v>
      </c>
    </row>
    <row r="66" spans="1:12" x14ac:dyDescent="0.25">
      <c r="A66" s="1"/>
      <c r="C66" s="1"/>
      <c r="D66" s="1">
        <v>41351</v>
      </c>
      <c r="E66" s="10">
        <v>168726</v>
      </c>
      <c r="F66" s="1">
        <v>41351</v>
      </c>
      <c r="G66">
        <v>-4685.24</v>
      </c>
      <c r="H66" s="1">
        <f t="shared" si="1"/>
        <v>41351</v>
      </c>
      <c r="I66">
        <f>IF(AND(MyRowHidden(ROW())=FALSE,MyRowHidden(ROW()-1)=TRUE),0,(E66-E65)*unitsOfDHp+I65)</f>
        <v>30480</v>
      </c>
      <c r="J66">
        <f>IF(AND(MyRowHidden(ROW())=FALSE,MyRowHidden(ROW()-1)=TRUE),0,(G66-G65)*unitsOfExo+J65)</f>
        <v>-3962.4000000000015</v>
      </c>
      <c r="K66" s="9">
        <f t="shared" si="2"/>
        <v>3962.4000000000015</v>
      </c>
      <c r="L66">
        <f t="shared" si="3"/>
        <v>26517.599999999999</v>
      </c>
    </row>
    <row r="67" spans="1:12" x14ac:dyDescent="0.25">
      <c r="A67" s="1"/>
      <c r="C67" s="1"/>
      <c r="D67" s="1">
        <v>41352</v>
      </c>
      <c r="E67" s="10">
        <v>167686</v>
      </c>
      <c r="F67" s="1">
        <v>41352</v>
      </c>
      <c r="G67">
        <v>-4685.24</v>
      </c>
      <c r="H67" s="1">
        <f t="shared" si="1"/>
        <v>41352</v>
      </c>
      <c r="I67">
        <f>IF(AND(MyRowHidden(ROW())=FALSE,MyRowHidden(ROW()-1)=TRUE),0,(E67-E66)*unitsOfDHp+I66)</f>
        <v>20080</v>
      </c>
      <c r="J67">
        <f>IF(AND(MyRowHidden(ROW())=FALSE,MyRowHidden(ROW()-1)=TRUE),0,(G67-G66)*unitsOfExo+J66)</f>
        <v>-3962.4000000000015</v>
      </c>
      <c r="K67" s="9">
        <f t="shared" si="2"/>
        <v>3962.4000000000015</v>
      </c>
      <c r="L67">
        <f t="shared" si="3"/>
        <v>16117.599999999999</v>
      </c>
    </row>
    <row r="68" spans="1:12" x14ac:dyDescent="0.25">
      <c r="A68" s="1"/>
      <c r="C68" s="1"/>
      <c r="D68" s="1">
        <v>41353</v>
      </c>
      <c r="E68" s="10">
        <v>167906</v>
      </c>
      <c r="F68" s="1">
        <v>41353</v>
      </c>
      <c r="G68">
        <v>-5088.03</v>
      </c>
      <c r="H68" s="1">
        <f t="shared" si="1"/>
        <v>41353</v>
      </c>
      <c r="I68">
        <f>IF(AND(MyRowHidden(ROW())=FALSE,MyRowHidden(ROW()-1)=TRUE),0,(E68-E67)*unitsOfDHp+I67)</f>
        <v>22280</v>
      </c>
      <c r="J68">
        <f>IF(AND(MyRowHidden(ROW())=FALSE,MyRowHidden(ROW()-1)=TRUE),0,(G68-G67)*unitsOfExo+J67)</f>
        <v>-7990.3000000000011</v>
      </c>
      <c r="K68" s="9">
        <f t="shared" si="2"/>
        <v>7990.3000000000011</v>
      </c>
      <c r="L68">
        <f t="shared" si="3"/>
        <v>14289.699999999999</v>
      </c>
    </row>
    <row r="69" spans="1:12" x14ac:dyDescent="0.25">
      <c r="A69" s="1"/>
      <c r="C69" s="1"/>
      <c r="D69" s="1">
        <v>41354</v>
      </c>
      <c r="E69" s="10">
        <v>166930</v>
      </c>
      <c r="F69" s="1">
        <v>41354</v>
      </c>
      <c r="G69">
        <v>-5048.55</v>
      </c>
      <c r="H69" s="1">
        <f t="shared" si="1"/>
        <v>41354</v>
      </c>
      <c r="I69">
        <f>IF(AND(MyRowHidden(ROW())=FALSE,MyRowHidden(ROW()-1)=TRUE),0,(E69-E68)*unitsOfDHp+I68)</f>
        <v>12520</v>
      </c>
      <c r="J69">
        <f>IF(AND(MyRowHidden(ROW())=FALSE,MyRowHidden(ROW()-1)=TRUE),0,(G69-G68)*unitsOfExo+J68)</f>
        <v>-7595.5000000000055</v>
      </c>
      <c r="K69" s="9">
        <f t="shared" si="2"/>
        <v>7595.5000000000055</v>
      </c>
      <c r="L69">
        <f t="shared" si="3"/>
        <v>4924.4999999999945</v>
      </c>
    </row>
    <row r="70" spans="1:12" x14ac:dyDescent="0.25">
      <c r="A70" s="1"/>
      <c r="C70" s="1"/>
      <c r="D70" s="1">
        <v>41355</v>
      </c>
      <c r="E70" s="10">
        <v>166732</v>
      </c>
      <c r="F70" s="1">
        <v>41355</v>
      </c>
      <c r="G70">
        <v>-5199.8900000000003</v>
      </c>
      <c r="H70" s="1">
        <f t="shared" si="1"/>
        <v>41355</v>
      </c>
      <c r="I70">
        <f>IF(AND(MyRowHidden(ROW())=FALSE,MyRowHidden(ROW()-1)=TRUE),0,(E70-E69)*unitsOfDHp+I69)</f>
        <v>10540</v>
      </c>
      <c r="J70">
        <f>IF(AND(MyRowHidden(ROW())=FALSE,MyRowHidden(ROW()-1)=TRUE),0,(G70-G69)*unitsOfExo+J69)</f>
        <v>-9108.9000000000069</v>
      </c>
      <c r="K70" s="9">
        <f t="shared" si="2"/>
        <v>9108.9000000000069</v>
      </c>
      <c r="L70">
        <f t="shared" si="3"/>
        <v>1431.0999999999931</v>
      </c>
    </row>
    <row r="71" spans="1:12" x14ac:dyDescent="0.25">
      <c r="A71" s="1"/>
      <c r="C71" s="1"/>
      <c r="D71" s="1">
        <v>41358</v>
      </c>
      <c r="E71" s="10">
        <v>167844</v>
      </c>
      <c r="F71" s="1">
        <v>41358</v>
      </c>
      <c r="G71">
        <v>-5158.0600000000004</v>
      </c>
      <c r="H71" s="1">
        <f t="shared" si="1"/>
        <v>41358</v>
      </c>
      <c r="I71">
        <f>IF(AND(MyRowHidden(ROW())=FALSE,MyRowHidden(ROW()-1)=TRUE),0,(E71-E70)*unitsOfDHp+I70)</f>
        <v>21660</v>
      </c>
      <c r="J71">
        <f>IF(AND(MyRowHidden(ROW())=FALSE,MyRowHidden(ROW()-1)=TRUE),0,(G71-G70)*unitsOfExo+J70)</f>
        <v>-8690.6000000000076</v>
      </c>
      <c r="K71" s="9">
        <f t="shared" si="2"/>
        <v>8690.6000000000076</v>
      </c>
      <c r="L71">
        <f t="shared" si="3"/>
        <v>12969.399999999992</v>
      </c>
    </row>
    <row r="72" spans="1:12" x14ac:dyDescent="0.25">
      <c r="A72" s="1"/>
      <c r="C72" s="1"/>
      <c r="D72" s="1">
        <v>41359</v>
      </c>
      <c r="E72" s="10">
        <v>169318</v>
      </c>
      <c r="F72" s="1">
        <v>41359</v>
      </c>
      <c r="G72">
        <v>-5146.78</v>
      </c>
      <c r="H72" s="1">
        <f t="shared" si="1"/>
        <v>41359</v>
      </c>
      <c r="I72">
        <f>IF(AND(MyRowHidden(ROW())=FALSE,MyRowHidden(ROW()-1)=TRUE),0,(E72-E71)*unitsOfDHp+I71)</f>
        <v>36400</v>
      </c>
      <c r="J72">
        <f>IF(AND(MyRowHidden(ROW())=FALSE,MyRowHidden(ROW()-1)=TRUE),0,(G72-G71)*unitsOfExo+J71)</f>
        <v>-8577.8000000000011</v>
      </c>
      <c r="K72" s="9">
        <f t="shared" si="2"/>
        <v>8577.8000000000011</v>
      </c>
      <c r="L72">
        <f t="shared" si="3"/>
        <v>27822.199999999997</v>
      </c>
    </row>
    <row r="73" spans="1:12" x14ac:dyDescent="0.25">
      <c r="A73" s="1"/>
      <c r="C73" s="1"/>
      <c r="D73" s="1">
        <v>41360</v>
      </c>
      <c r="E73" s="10">
        <v>170338</v>
      </c>
      <c r="F73" s="1">
        <v>41360</v>
      </c>
      <c r="G73">
        <v>-5238.8999999999996</v>
      </c>
      <c r="H73" s="1">
        <f t="shared" si="1"/>
        <v>41360</v>
      </c>
      <c r="I73">
        <f>IF(AND(MyRowHidden(ROW())=FALSE,MyRowHidden(ROW()-1)=TRUE),0,(E73-E72)*unitsOfDHp+I72)</f>
        <v>46600</v>
      </c>
      <c r="J73">
        <f>IF(AND(MyRowHidden(ROW())=FALSE,MyRowHidden(ROW()-1)=TRUE),0,(G73-G72)*unitsOfExo+J72)</f>
        <v>-9499</v>
      </c>
      <c r="K73" s="9">
        <f t="shared" si="2"/>
        <v>9499</v>
      </c>
      <c r="L73">
        <f t="shared" si="3"/>
        <v>37101</v>
      </c>
    </row>
    <row r="74" spans="1:12" x14ac:dyDescent="0.25">
      <c r="A74" s="1"/>
      <c r="C74" s="1"/>
      <c r="D74" s="1">
        <v>41361</v>
      </c>
      <c r="E74" s="10">
        <v>170774</v>
      </c>
      <c r="F74" s="1">
        <v>41361</v>
      </c>
      <c r="G74">
        <v>-5233.26</v>
      </c>
      <c r="H74" s="1">
        <f t="shared" si="1"/>
        <v>41361</v>
      </c>
      <c r="I74">
        <f>IF(AND(MyRowHidden(ROW())=FALSE,MyRowHidden(ROW()-1)=TRUE),0,(E74-E73)*unitsOfDHp+I73)</f>
        <v>50960</v>
      </c>
      <c r="J74">
        <f>IF(AND(MyRowHidden(ROW())=FALSE,MyRowHidden(ROW()-1)=TRUE),0,(G74-G73)*unitsOfExo+J73)</f>
        <v>-9442.6000000000058</v>
      </c>
      <c r="K74" s="9">
        <f t="shared" si="2"/>
        <v>9442.6000000000058</v>
      </c>
      <c r="L74">
        <f t="shared" si="3"/>
        <v>41517.399999999994</v>
      </c>
    </row>
    <row r="75" spans="1:12" x14ac:dyDescent="0.25">
      <c r="A75" s="1"/>
      <c r="C75" s="1"/>
      <c r="D75" s="1">
        <v>41362</v>
      </c>
      <c r="E75" s="10">
        <v>170984</v>
      </c>
      <c r="F75" s="1">
        <v>41362</v>
      </c>
      <c r="G75">
        <v>-6663</v>
      </c>
      <c r="H75" s="1">
        <f t="shared" si="1"/>
        <v>41362</v>
      </c>
      <c r="I75">
        <f>IF(AND(MyRowHidden(ROW())=FALSE,MyRowHidden(ROW()-1)=TRUE),0,(E75-E74)*unitsOfDHp+I74)</f>
        <v>53060</v>
      </c>
      <c r="J75">
        <f>IF(AND(MyRowHidden(ROW())=FALSE,MyRowHidden(ROW()-1)=TRUE),0,(G75-G74)*unitsOfExo+J74)</f>
        <v>-23740.000000000004</v>
      </c>
      <c r="K75" s="9">
        <f t="shared" si="2"/>
        <v>23740.000000000004</v>
      </c>
      <c r="L75">
        <f t="shared" si="3"/>
        <v>29319.999999999996</v>
      </c>
    </row>
    <row r="76" spans="1:12" x14ac:dyDescent="0.25">
      <c r="A76" s="1"/>
      <c r="C76" s="1"/>
      <c r="D76" s="1">
        <v>41365</v>
      </c>
      <c r="E76" s="10">
        <v>171634</v>
      </c>
      <c r="F76" s="1">
        <v>41365</v>
      </c>
      <c r="G76">
        <v>-7145</v>
      </c>
      <c r="H76" s="1">
        <f t="shared" si="1"/>
        <v>41365</v>
      </c>
      <c r="I76">
        <f>IF(AND(MyRowHidden(ROW())=FALSE,MyRowHidden(ROW()-1)=TRUE),0,(E76-E75)*unitsOfDHp+I75)</f>
        <v>59560</v>
      </c>
      <c r="J76">
        <f>IF(AND(MyRowHidden(ROW())=FALSE,MyRowHidden(ROW()-1)=TRUE),0,(G76-G75)*unitsOfExo+J75)</f>
        <v>-28560.000000000004</v>
      </c>
      <c r="K76" s="9">
        <f t="shared" si="2"/>
        <v>28560.000000000004</v>
      </c>
      <c r="L76">
        <f t="shared" si="3"/>
        <v>30999.999999999996</v>
      </c>
    </row>
    <row r="77" spans="1:12" x14ac:dyDescent="0.25">
      <c r="A77" s="1"/>
      <c r="C77" s="1"/>
      <c r="D77" s="1">
        <v>41366</v>
      </c>
      <c r="E77" s="10">
        <v>171314</v>
      </c>
      <c r="F77" s="1">
        <v>41366</v>
      </c>
      <c r="G77">
        <v>-6381.25</v>
      </c>
      <c r="H77" s="1">
        <f t="shared" ref="H77:H140" si="4">D77</f>
        <v>41366</v>
      </c>
      <c r="I77">
        <f>IF(AND(MyRowHidden(ROW())=FALSE,MyRowHidden(ROW()-1)=TRUE),0,(E77-E76)*unitsOfDHp+I76)</f>
        <v>56360</v>
      </c>
      <c r="J77">
        <f>IF(AND(MyRowHidden(ROW())=FALSE,MyRowHidden(ROW()-1)=TRUE),0,(G77-G76)*unitsOfExo+J76)</f>
        <v>-20922.500000000004</v>
      </c>
      <c r="K77" s="9">
        <f t="shared" ref="K77:K140" si="5">-(J77-J76)+K76</f>
        <v>20922.500000000004</v>
      </c>
      <c r="L77">
        <f t="shared" ref="L77:L140" si="6">I77+J77</f>
        <v>35437.5</v>
      </c>
    </row>
    <row r="78" spans="1:12" x14ac:dyDescent="0.25">
      <c r="A78" s="1"/>
      <c r="C78" s="1"/>
      <c r="D78" s="1">
        <v>41367</v>
      </c>
      <c r="E78" s="10">
        <v>174292</v>
      </c>
      <c r="F78" s="1">
        <v>41367</v>
      </c>
      <c r="G78">
        <v>-6381.25</v>
      </c>
      <c r="H78" s="1">
        <f t="shared" si="4"/>
        <v>41367</v>
      </c>
      <c r="I78">
        <f>IF(AND(MyRowHidden(ROW())=FALSE,MyRowHidden(ROW()-1)=TRUE),0,(E78-E77)*unitsOfDHp+I77)</f>
        <v>86140</v>
      </c>
      <c r="J78">
        <f>IF(AND(MyRowHidden(ROW())=FALSE,MyRowHidden(ROW()-1)=TRUE),0,(G78-G77)*unitsOfExo+J77)</f>
        <v>-20922.500000000004</v>
      </c>
      <c r="K78" s="9">
        <f t="shared" si="5"/>
        <v>20922.500000000004</v>
      </c>
      <c r="L78">
        <f t="shared" si="6"/>
        <v>65217.5</v>
      </c>
    </row>
    <row r="79" spans="1:12" x14ac:dyDescent="0.25">
      <c r="A79" s="1"/>
      <c r="C79" s="1"/>
      <c r="D79" s="1">
        <v>41368</v>
      </c>
      <c r="E79" s="10">
        <v>176666</v>
      </c>
      <c r="F79" s="1">
        <v>41368</v>
      </c>
      <c r="G79">
        <v>-7262.5</v>
      </c>
      <c r="H79" s="1">
        <f t="shared" si="4"/>
        <v>41368</v>
      </c>
      <c r="I79">
        <f>IF(AND(MyRowHidden(ROW())=FALSE,MyRowHidden(ROW()-1)=TRUE),0,(E79-E78)*unitsOfDHp+I78)</f>
        <v>109880</v>
      </c>
      <c r="J79">
        <f>IF(AND(MyRowHidden(ROW())=FALSE,MyRowHidden(ROW()-1)=TRUE),0,(G79-G78)*unitsOfExo+J78)</f>
        <v>-29735.000000000004</v>
      </c>
      <c r="K79" s="9">
        <f t="shared" si="5"/>
        <v>29735.000000000004</v>
      </c>
      <c r="L79">
        <f t="shared" si="6"/>
        <v>80145</v>
      </c>
    </row>
    <row r="80" spans="1:12" x14ac:dyDescent="0.25">
      <c r="A80" s="1"/>
      <c r="C80" s="1"/>
      <c r="D80" s="1">
        <v>41369</v>
      </c>
      <c r="E80" s="10">
        <v>177282</v>
      </c>
      <c r="F80" s="1">
        <v>41369</v>
      </c>
      <c r="G80">
        <v>-7081.08</v>
      </c>
      <c r="H80" s="1">
        <f t="shared" si="4"/>
        <v>41369</v>
      </c>
      <c r="I80">
        <f>IF(AND(MyRowHidden(ROW())=FALSE,MyRowHidden(ROW()-1)=TRUE),0,(E80-E79)*unitsOfDHp+I79)</f>
        <v>116040</v>
      </c>
      <c r="J80">
        <f>IF(AND(MyRowHidden(ROW())=FALSE,MyRowHidden(ROW()-1)=TRUE),0,(G80-G79)*unitsOfExo+J79)</f>
        <v>-27920.800000000003</v>
      </c>
      <c r="K80" s="9">
        <f t="shared" si="5"/>
        <v>27920.800000000003</v>
      </c>
      <c r="L80">
        <f t="shared" si="6"/>
        <v>88119.2</v>
      </c>
    </row>
    <row r="81" spans="1:12" x14ac:dyDescent="0.25">
      <c r="A81" s="1"/>
      <c r="C81" s="1"/>
      <c r="D81" s="1">
        <v>41372</v>
      </c>
      <c r="E81" s="10">
        <v>175592</v>
      </c>
      <c r="F81" s="1">
        <v>41372</v>
      </c>
      <c r="G81">
        <v>-7852.82</v>
      </c>
      <c r="H81" s="1">
        <f t="shared" si="4"/>
        <v>41372</v>
      </c>
      <c r="I81">
        <f>IF(AND(MyRowHidden(ROW())=FALSE,MyRowHidden(ROW()-1)=TRUE),0,(E81-E80)*unitsOfDHp+I80)</f>
        <v>99140</v>
      </c>
      <c r="J81">
        <f>IF(AND(MyRowHidden(ROW())=FALSE,MyRowHidden(ROW()-1)=TRUE),0,(G81-G80)*unitsOfExo+J80)</f>
        <v>-35638.199999999997</v>
      </c>
      <c r="K81" s="9">
        <f t="shared" si="5"/>
        <v>35638.199999999997</v>
      </c>
      <c r="L81">
        <f t="shared" si="6"/>
        <v>63501.8</v>
      </c>
    </row>
    <row r="82" spans="1:12" x14ac:dyDescent="0.25">
      <c r="A82" s="1"/>
      <c r="C82" s="1"/>
      <c r="D82" s="1">
        <v>41373</v>
      </c>
      <c r="E82" s="10">
        <v>173762</v>
      </c>
      <c r="F82" s="1">
        <v>41373</v>
      </c>
      <c r="G82">
        <v>-7596.2</v>
      </c>
      <c r="H82" s="1">
        <f t="shared" si="4"/>
        <v>41373</v>
      </c>
      <c r="I82">
        <f>IF(AND(MyRowHidden(ROW())=FALSE,MyRowHidden(ROW()-1)=TRUE),0,(E82-E81)*unitsOfDHp+I81)</f>
        <v>80840</v>
      </c>
      <c r="J82">
        <f>IF(AND(MyRowHidden(ROW())=FALSE,MyRowHidden(ROW()-1)=TRUE),0,(G82-G81)*unitsOfExo+J81)</f>
        <v>-33072</v>
      </c>
      <c r="K82" s="9">
        <f t="shared" si="5"/>
        <v>33072</v>
      </c>
      <c r="L82">
        <f t="shared" si="6"/>
        <v>47768</v>
      </c>
    </row>
    <row r="83" spans="1:12" x14ac:dyDescent="0.25">
      <c r="A83" s="1"/>
      <c r="C83" s="1"/>
      <c r="D83" s="1">
        <v>41374</v>
      </c>
      <c r="E83" s="10">
        <v>172722</v>
      </c>
      <c r="F83" s="1">
        <v>41374</v>
      </c>
      <c r="G83">
        <v>-7996.64</v>
      </c>
      <c r="H83" s="1">
        <f t="shared" si="4"/>
        <v>41374</v>
      </c>
      <c r="I83">
        <f>IF(AND(MyRowHidden(ROW())=FALSE,MyRowHidden(ROW()-1)=TRUE),0,(E83-E82)*unitsOfDHp+I82)</f>
        <v>70440</v>
      </c>
      <c r="J83">
        <f>IF(AND(MyRowHidden(ROW())=FALSE,MyRowHidden(ROW()-1)=TRUE),0,(G83-G82)*unitsOfExo+J82)</f>
        <v>-37076.400000000009</v>
      </c>
      <c r="K83" s="9">
        <f t="shared" si="5"/>
        <v>37076.400000000009</v>
      </c>
      <c r="L83">
        <f t="shared" si="6"/>
        <v>33363.599999999991</v>
      </c>
    </row>
    <row r="84" spans="1:12" x14ac:dyDescent="0.25">
      <c r="A84" s="1"/>
      <c r="C84" s="1"/>
      <c r="D84" s="1">
        <v>41375</v>
      </c>
      <c r="E84" s="10">
        <v>175412</v>
      </c>
      <c r="F84" s="1">
        <v>41375</v>
      </c>
      <c r="G84">
        <v>-7810.05</v>
      </c>
      <c r="H84" s="1">
        <f t="shared" si="4"/>
        <v>41375</v>
      </c>
      <c r="I84">
        <f>IF(AND(MyRowHidden(ROW())=FALSE,MyRowHidden(ROW()-1)=TRUE),0,(E84-E83)*unitsOfDHp+I83)</f>
        <v>97340</v>
      </c>
      <c r="J84">
        <f>IF(AND(MyRowHidden(ROW())=FALSE,MyRowHidden(ROW()-1)=TRUE),0,(G84-G83)*unitsOfExo+J83)</f>
        <v>-35210.500000000007</v>
      </c>
      <c r="K84" s="9">
        <f t="shared" si="5"/>
        <v>35210.500000000007</v>
      </c>
      <c r="L84">
        <f t="shared" si="6"/>
        <v>62129.499999999993</v>
      </c>
    </row>
    <row r="85" spans="1:12" x14ac:dyDescent="0.25">
      <c r="A85" s="1"/>
      <c r="C85" s="1"/>
      <c r="D85" s="1">
        <v>41376</v>
      </c>
      <c r="E85" s="10">
        <v>179072</v>
      </c>
      <c r="F85" s="1">
        <v>41376</v>
      </c>
      <c r="G85">
        <v>-7810.05</v>
      </c>
      <c r="H85" s="1">
        <f t="shared" si="4"/>
        <v>41376</v>
      </c>
      <c r="I85">
        <f>IF(AND(MyRowHidden(ROW())=FALSE,MyRowHidden(ROW()-1)=TRUE),0,(E85-E84)*unitsOfDHp+I84)</f>
        <v>133940</v>
      </c>
      <c r="J85">
        <f>IF(AND(MyRowHidden(ROW())=FALSE,MyRowHidden(ROW()-1)=TRUE),0,(G85-G84)*unitsOfExo+J84)</f>
        <v>-35210.500000000007</v>
      </c>
      <c r="K85" s="9">
        <f t="shared" si="5"/>
        <v>35210.500000000007</v>
      </c>
      <c r="L85">
        <f t="shared" si="6"/>
        <v>98729.5</v>
      </c>
    </row>
    <row r="86" spans="1:12" x14ac:dyDescent="0.25">
      <c r="A86" s="1"/>
      <c r="C86" s="1"/>
      <c r="D86" s="1">
        <v>41379</v>
      </c>
      <c r="E86" s="10">
        <v>185696</v>
      </c>
      <c r="F86" s="1">
        <v>41379</v>
      </c>
      <c r="G86">
        <v>-7810.05</v>
      </c>
      <c r="H86" s="1">
        <f t="shared" si="4"/>
        <v>41379</v>
      </c>
      <c r="I86">
        <f>IF(AND(MyRowHidden(ROW())=FALSE,MyRowHidden(ROW()-1)=TRUE),0,(E86-E85)*unitsOfDHp+I85)</f>
        <v>200180</v>
      </c>
      <c r="J86">
        <f>IF(AND(MyRowHidden(ROW())=FALSE,MyRowHidden(ROW()-1)=TRUE),0,(G86-G85)*unitsOfExo+J85)</f>
        <v>-35210.500000000007</v>
      </c>
      <c r="K86" s="9">
        <f t="shared" si="5"/>
        <v>35210.500000000007</v>
      </c>
      <c r="L86">
        <f t="shared" si="6"/>
        <v>164969.5</v>
      </c>
    </row>
    <row r="87" spans="1:12" x14ac:dyDescent="0.25">
      <c r="A87" s="1"/>
      <c r="C87" s="1"/>
      <c r="D87" s="1">
        <v>41380</v>
      </c>
      <c r="E87" s="10">
        <v>184902</v>
      </c>
      <c r="F87" s="1">
        <v>41380</v>
      </c>
      <c r="G87">
        <v>-8456.2999999999993</v>
      </c>
      <c r="H87" s="1">
        <f t="shared" si="4"/>
        <v>41380</v>
      </c>
      <c r="I87">
        <f>IF(AND(MyRowHidden(ROW())=FALSE,MyRowHidden(ROW()-1)=TRUE),0,(E87-E86)*unitsOfDHp+I86)</f>
        <v>192240</v>
      </c>
      <c r="J87">
        <f>IF(AND(MyRowHidden(ROW())=FALSE,MyRowHidden(ROW()-1)=TRUE),0,(G87-G86)*unitsOfExo+J86)</f>
        <v>-41673</v>
      </c>
      <c r="K87" s="9">
        <f t="shared" si="5"/>
        <v>41673</v>
      </c>
      <c r="L87">
        <f t="shared" si="6"/>
        <v>150567</v>
      </c>
    </row>
    <row r="88" spans="1:12" x14ac:dyDescent="0.25">
      <c r="A88" s="1"/>
      <c r="C88" s="1"/>
      <c r="D88" s="1">
        <v>41381</v>
      </c>
      <c r="E88" s="10">
        <v>187528</v>
      </c>
      <c r="F88" s="1">
        <v>41381</v>
      </c>
      <c r="G88">
        <v>-8055.39</v>
      </c>
      <c r="H88" s="1">
        <f t="shared" si="4"/>
        <v>41381</v>
      </c>
      <c r="I88">
        <f>IF(AND(MyRowHidden(ROW())=FALSE,MyRowHidden(ROW()-1)=TRUE),0,(E88-E87)*unitsOfDHp+I87)</f>
        <v>218500</v>
      </c>
      <c r="J88">
        <f>IF(AND(MyRowHidden(ROW())=FALSE,MyRowHidden(ROW()-1)=TRUE),0,(G88-G87)*unitsOfExo+J87)</f>
        <v>-37663.900000000009</v>
      </c>
      <c r="K88" s="9">
        <f t="shared" si="5"/>
        <v>37663.900000000009</v>
      </c>
      <c r="L88">
        <f t="shared" si="6"/>
        <v>180836.09999999998</v>
      </c>
    </row>
    <row r="89" spans="1:12" x14ac:dyDescent="0.25">
      <c r="A89" s="1"/>
      <c r="C89" s="1"/>
      <c r="D89" s="1">
        <v>41382</v>
      </c>
      <c r="E89" s="10">
        <v>186868</v>
      </c>
      <c r="F89" s="1">
        <v>41382</v>
      </c>
      <c r="G89">
        <v>-8151.74</v>
      </c>
      <c r="H89" s="1">
        <f t="shared" si="4"/>
        <v>41382</v>
      </c>
      <c r="I89">
        <f>IF(AND(MyRowHidden(ROW())=FALSE,MyRowHidden(ROW()-1)=TRUE),0,(E89-E88)*unitsOfDHp+I88)</f>
        <v>211900</v>
      </c>
      <c r="J89">
        <f>IF(AND(MyRowHidden(ROW())=FALSE,MyRowHidden(ROW()-1)=TRUE),0,(G89-G88)*unitsOfExo+J88)</f>
        <v>-38627.4</v>
      </c>
      <c r="K89" s="9">
        <f t="shared" si="5"/>
        <v>38627.4</v>
      </c>
      <c r="L89">
        <f t="shared" si="6"/>
        <v>173272.6</v>
      </c>
    </row>
    <row r="90" spans="1:12" x14ac:dyDescent="0.25">
      <c r="A90" s="1"/>
      <c r="C90" s="1"/>
      <c r="D90" s="1">
        <v>41383</v>
      </c>
      <c r="E90" s="10">
        <v>185578</v>
      </c>
      <c r="F90" s="1">
        <v>41383</v>
      </c>
      <c r="G90">
        <v>-8151.74</v>
      </c>
      <c r="H90" s="1">
        <f t="shared" si="4"/>
        <v>41383</v>
      </c>
      <c r="I90">
        <f>IF(AND(MyRowHidden(ROW())=FALSE,MyRowHidden(ROW()-1)=TRUE),0,(E90-E89)*unitsOfDHp+I89)</f>
        <v>199000</v>
      </c>
      <c r="J90">
        <f>IF(AND(MyRowHidden(ROW())=FALSE,MyRowHidden(ROW()-1)=TRUE),0,(G90-G89)*unitsOfExo+J89)</f>
        <v>-38627.4</v>
      </c>
      <c r="K90" s="9">
        <f t="shared" si="5"/>
        <v>38627.4</v>
      </c>
      <c r="L90">
        <f t="shared" si="6"/>
        <v>160372.6</v>
      </c>
    </row>
    <row r="91" spans="1:12" x14ac:dyDescent="0.25">
      <c r="A91" s="1"/>
      <c r="C91" s="1"/>
      <c r="D91" s="1">
        <v>41386</v>
      </c>
      <c r="E91" s="10">
        <v>185148</v>
      </c>
      <c r="F91" s="1">
        <v>41386</v>
      </c>
      <c r="G91">
        <v>-8058.21</v>
      </c>
      <c r="H91" s="1">
        <f t="shared" si="4"/>
        <v>41386</v>
      </c>
      <c r="I91">
        <f>IF(AND(MyRowHidden(ROW())=FALSE,MyRowHidden(ROW()-1)=TRUE),0,(E91-E90)*unitsOfDHp+I90)</f>
        <v>194700</v>
      </c>
      <c r="J91">
        <f>IF(AND(MyRowHidden(ROW())=FALSE,MyRowHidden(ROW()-1)=TRUE),0,(G91-G90)*unitsOfExo+J90)</f>
        <v>-37692.100000000006</v>
      </c>
      <c r="K91" s="9">
        <f t="shared" si="5"/>
        <v>37692.100000000006</v>
      </c>
      <c r="L91">
        <f t="shared" si="6"/>
        <v>157007.9</v>
      </c>
    </row>
    <row r="92" spans="1:12" x14ac:dyDescent="0.25">
      <c r="A92" s="1"/>
      <c r="C92" s="1"/>
      <c r="D92" s="1">
        <v>41387</v>
      </c>
      <c r="E92" s="10">
        <v>184970</v>
      </c>
      <c r="F92" s="1">
        <v>41387</v>
      </c>
      <c r="G92">
        <v>-7994.29</v>
      </c>
      <c r="H92" s="1">
        <f t="shared" si="4"/>
        <v>41387</v>
      </c>
      <c r="I92">
        <f>IF(AND(MyRowHidden(ROW())=FALSE,MyRowHidden(ROW()-1)=TRUE),0,(E92-E91)*unitsOfDHp+I91)</f>
        <v>192920</v>
      </c>
      <c r="J92">
        <f>IF(AND(MyRowHidden(ROW())=FALSE,MyRowHidden(ROW()-1)=TRUE),0,(G92-G91)*unitsOfExo+J91)</f>
        <v>-37052.900000000009</v>
      </c>
      <c r="K92" s="9">
        <f t="shared" si="5"/>
        <v>37052.900000000009</v>
      </c>
      <c r="L92">
        <f t="shared" si="6"/>
        <v>155867.09999999998</v>
      </c>
    </row>
    <row r="93" spans="1:12" x14ac:dyDescent="0.25">
      <c r="A93" s="1"/>
      <c r="C93" s="1"/>
      <c r="D93" s="1">
        <v>41388</v>
      </c>
      <c r="E93" s="10">
        <v>184236</v>
      </c>
      <c r="F93" s="1">
        <v>41388</v>
      </c>
      <c r="G93">
        <v>-7994.29</v>
      </c>
      <c r="H93" s="1">
        <f t="shared" si="4"/>
        <v>41388</v>
      </c>
      <c r="I93">
        <f>IF(AND(MyRowHidden(ROW())=FALSE,MyRowHidden(ROW()-1)=TRUE),0,(E93-E92)*unitsOfDHp+I92)</f>
        <v>185580</v>
      </c>
      <c r="J93">
        <f>IF(AND(MyRowHidden(ROW())=FALSE,MyRowHidden(ROW()-1)=TRUE),0,(G93-G92)*unitsOfExo+J92)</f>
        <v>-37052.900000000009</v>
      </c>
      <c r="K93" s="9">
        <f t="shared" si="5"/>
        <v>37052.900000000009</v>
      </c>
      <c r="L93">
        <f t="shared" si="6"/>
        <v>148527.09999999998</v>
      </c>
    </row>
    <row r="94" spans="1:12" x14ac:dyDescent="0.25">
      <c r="A94" s="1"/>
      <c r="C94" s="1"/>
      <c r="D94" s="1">
        <v>41389</v>
      </c>
      <c r="E94" s="10">
        <v>181920</v>
      </c>
      <c r="F94" s="1">
        <v>41389</v>
      </c>
      <c r="G94">
        <v>-7940.71</v>
      </c>
      <c r="H94" s="1">
        <f t="shared" si="4"/>
        <v>41389</v>
      </c>
      <c r="I94">
        <f>IF(AND(MyRowHidden(ROW())=FALSE,MyRowHidden(ROW()-1)=TRUE),0,(E94-E93)*unitsOfDHp+I93)</f>
        <v>162420</v>
      </c>
      <c r="J94">
        <f>IF(AND(MyRowHidden(ROW())=FALSE,MyRowHidden(ROW()-1)=TRUE),0,(G94-G93)*unitsOfExo+J93)</f>
        <v>-36517.100000000006</v>
      </c>
      <c r="K94" s="9">
        <f t="shared" si="5"/>
        <v>36517.100000000006</v>
      </c>
      <c r="L94">
        <f t="shared" si="6"/>
        <v>125902.9</v>
      </c>
    </row>
    <row r="95" spans="1:12" x14ac:dyDescent="0.25">
      <c r="A95" s="1"/>
      <c r="C95" s="1"/>
      <c r="D95" s="1">
        <v>41390</v>
      </c>
      <c r="E95" s="10">
        <v>181698</v>
      </c>
      <c r="F95" s="1">
        <v>41390</v>
      </c>
      <c r="G95">
        <v>-7908.75</v>
      </c>
      <c r="H95" s="1">
        <f t="shared" si="4"/>
        <v>41390</v>
      </c>
      <c r="I95">
        <f>IF(AND(MyRowHidden(ROW())=FALSE,MyRowHidden(ROW()-1)=TRUE),0,(E95-E94)*unitsOfDHp+I94)</f>
        <v>160200</v>
      </c>
      <c r="J95">
        <f>IF(AND(MyRowHidden(ROW())=FALSE,MyRowHidden(ROW()-1)=TRUE),0,(G95-G94)*unitsOfExo+J94)</f>
        <v>-36197.500000000007</v>
      </c>
      <c r="K95" s="9">
        <f t="shared" si="5"/>
        <v>36197.500000000007</v>
      </c>
      <c r="L95">
        <f t="shared" si="6"/>
        <v>124002.5</v>
      </c>
    </row>
    <row r="96" spans="1:12" x14ac:dyDescent="0.25">
      <c r="A96" s="1"/>
      <c r="C96" s="1"/>
      <c r="D96" s="1">
        <v>41393</v>
      </c>
      <c r="E96" s="10">
        <v>183174</v>
      </c>
      <c r="F96" s="1">
        <v>41393</v>
      </c>
      <c r="G96">
        <v>-7908.75</v>
      </c>
      <c r="H96" s="1">
        <f t="shared" si="4"/>
        <v>41393</v>
      </c>
      <c r="I96">
        <f>IF(AND(MyRowHidden(ROW())=FALSE,MyRowHidden(ROW()-1)=TRUE),0,(E96-E95)*unitsOfDHp+I95)</f>
        <v>174960</v>
      </c>
      <c r="J96">
        <f>IF(AND(MyRowHidden(ROW())=FALSE,MyRowHidden(ROW()-1)=TRUE),0,(G96-G95)*unitsOfExo+J95)</f>
        <v>-36197.500000000007</v>
      </c>
      <c r="K96" s="9">
        <f t="shared" si="5"/>
        <v>36197.500000000007</v>
      </c>
      <c r="L96">
        <f t="shared" si="6"/>
        <v>138762.5</v>
      </c>
    </row>
    <row r="97" spans="1:12" x14ac:dyDescent="0.25">
      <c r="A97" s="1"/>
      <c r="C97" s="1"/>
      <c r="D97" s="1">
        <v>41394</v>
      </c>
      <c r="E97" s="10">
        <v>181754</v>
      </c>
      <c r="F97" s="1">
        <v>41394</v>
      </c>
      <c r="G97">
        <v>-7911.57</v>
      </c>
      <c r="H97" s="1">
        <f t="shared" si="4"/>
        <v>41394</v>
      </c>
      <c r="I97">
        <f>IF(AND(MyRowHidden(ROW())=FALSE,MyRowHidden(ROW()-1)=TRUE),0,(E97-E96)*unitsOfDHp+I96)</f>
        <v>160760</v>
      </c>
      <c r="J97">
        <f>IF(AND(MyRowHidden(ROW())=FALSE,MyRowHidden(ROW()-1)=TRUE),0,(G97-G96)*unitsOfExo+J96)</f>
        <v>-36225.700000000004</v>
      </c>
      <c r="K97" s="9">
        <f t="shared" si="5"/>
        <v>36225.700000000004</v>
      </c>
      <c r="L97">
        <f t="shared" si="6"/>
        <v>124534.29999999999</v>
      </c>
    </row>
    <row r="98" spans="1:12" x14ac:dyDescent="0.25">
      <c r="A98" s="1"/>
      <c r="C98" s="1"/>
      <c r="D98" s="1">
        <v>41395</v>
      </c>
      <c r="E98" s="10">
        <v>179434</v>
      </c>
      <c r="F98" s="1">
        <v>41395</v>
      </c>
      <c r="G98">
        <v>-7803.25</v>
      </c>
      <c r="H98" s="1">
        <f t="shared" si="4"/>
        <v>41395</v>
      </c>
      <c r="I98">
        <f>IF(AND(MyRowHidden(ROW())=FALSE,MyRowHidden(ROW()-1)=TRUE),0,(E98-E97)*unitsOfDHp+I97)</f>
        <v>137560</v>
      </c>
      <c r="J98">
        <f>IF(AND(MyRowHidden(ROW())=FALSE,MyRowHidden(ROW()-1)=TRUE),0,(G98-G97)*unitsOfExo+J97)</f>
        <v>-35142.500000000007</v>
      </c>
      <c r="K98" s="9">
        <f t="shared" si="5"/>
        <v>35142.500000000007</v>
      </c>
      <c r="L98">
        <f t="shared" si="6"/>
        <v>102417.5</v>
      </c>
    </row>
    <row r="99" spans="1:12" x14ac:dyDescent="0.25">
      <c r="A99" s="1"/>
      <c r="C99" s="1"/>
      <c r="D99" s="1">
        <v>41396</v>
      </c>
      <c r="E99" s="10">
        <v>181534</v>
      </c>
      <c r="F99" s="1">
        <v>41396</v>
      </c>
      <c r="G99">
        <v>-7522.19</v>
      </c>
      <c r="H99" s="1">
        <f t="shared" si="4"/>
        <v>41396</v>
      </c>
      <c r="I99">
        <f>IF(AND(MyRowHidden(ROW())=FALSE,MyRowHidden(ROW()-1)=TRUE),0,(E99-E98)*unitsOfDHp+I98)</f>
        <v>158560</v>
      </c>
      <c r="J99">
        <f>IF(AND(MyRowHidden(ROW())=FALSE,MyRowHidden(ROW()-1)=TRUE),0,(G99-G98)*unitsOfExo+J98)</f>
        <v>-32331.9</v>
      </c>
      <c r="K99" s="9">
        <f t="shared" si="5"/>
        <v>32331.9</v>
      </c>
      <c r="L99">
        <f t="shared" si="6"/>
        <v>126228.1</v>
      </c>
    </row>
    <row r="100" spans="1:12" x14ac:dyDescent="0.25">
      <c r="A100" s="1"/>
      <c r="C100" s="1"/>
      <c r="D100" s="1">
        <v>41397</v>
      </c>
      <c r="E100" s="10">
        <v>183894</v>
      </c>
      <c r="F100" s="1">
        <v>41397</v>
      </c>
      <c r="G100">
        <v>-7522.19</v>
      </c>
      <c r="H100" s="1">
        <f t="shared" si="4"/>
        <v>41397</v>
      </c>
      <c r="I100">
        <f>IF(AND(MyRowHidden(ROW())=FALSE,MyRowHidden(ROW()-1)=TRUE),0,(E100-E99)*unitsOfDHp+I99)</f>
        <v>182160</v>
      </c>
      <c r="J100">
        <f>IF(AND(MyRowHidden(ROW())=FALSE,MyRowHidden(ROW()-1)=TRUE),0,(G100-G99)*unitsOfExo+J99)</f>
        <v>-32331.9</v>
      </c>
      <c r="K100" s="9">
        <f t="shared" si="5"/>
        <v>32331.9</v>
      </c>
      <c r="L100">
        <f t="shared" si="6"/>
        <v>149828.1</v>
      </c>
    </row>
    <row r="101" spans="1:12" x14ac:dyDescent="0.25">
      <c r="A101" s="1"/>
      <c r="C101" s="1"/>
      <c r="D101" s="1">
        <v>41400</v>
      </c>
      <c r="E101" s="10">
        <v>184674</v>
      </c>
      <c r="F101" s="1">
        <v>41400</v>
      </c>
      <c r="G101">
        <v>-7522.19</v>
      </c>
      <c r="H101" s="1">
        <f t="shared" si="4"/>
        <v>41400</v>
      </c>
      <c r="I101">
        <f>IF(AND(MyRowHidden(ROW())=FALSE,MyRowHidden(ROW()-1)=TRUE),0,(E101-E100)*unitsOfDHp+I100)</f>
        <v>189960</v>
      </c>
      <c r="J101">
        <f>IF(AND(MyRowHidden(ROW())=FALSE,MyRowHidden(ROW()-1)=TRUE),0,(G101-G100)*unitsOfExo+J100)</f>
        <v>-32331.9</v>
      </c>
      <c r="K101" s="9">
        <f t="shared" si="5"/>
        <v>32331.9</v>
      </c>
      <c r="L101">
        <f t="shared" si="6"/>
        <v>157628.1</v>
      </c>
    </row>
    <row r="102" spans="1:12" x14ac:dyDescent="0.25">
      <c r="A102" s="1"/>
      <c r="C102" s="1"/>
      <c r="D102" s="1">
        <v>41401</v>
      </c>
      <c r="E102" s="10">
        <v>183774</v>
      </c>
      <c r="F102" s="1">
        <v>41401</v>
      </c>
      <c r="G102">
        <v>-7425.37</v>
      </c>
      <c r="H102" s="1">
        <f t="shared" si="4"/>
        <v>41401</v>
      </c>
      <c r="I102">
        <f>IF(AND(MyRowHidden(ROW())=FALSE,MyRowHidden(ROW()-1)=TRUE),0,(E102-E101)*unitsOfDHp+I101)</f>
        <v>180960</v>
      </c>
      <c r="J102">
        <f>IF(AND(MyRowHidden(ROW())=FALSE,MyRowHidden(ROW()-1)=TRUE),0,(G102-G101)*unitsOfExo+J101)</f>
        <v>-31363.700000000004</v>
      </c>
      <c r="K102" s="9">
        <f t="shared" si="5"/>
        <v>31363.700000000004</v>
      </c>
      <c r="L102">
        <f t="shared" si="6"/>
        <v>149596.29999999999</v>
      </c>
    </row>
    <row r="103" spans="1:12" x14ac:dyDescent="0.25">
      <c r="A103" s="1"/>
      <c r="C103" s="1"/>
      <c r="D103" s="1">
        <v>41402</v>
      </c>
      <c r="E103" s="10">
        <v>185214</v>
      </c>
      <c r="F103" s="1">
        <v>41402</v>
      </c>
      <c r="G103">
        <v>-7241.13</v>
      </c>
      <c r="H103" s="1">
        <f t="shared" si="4"/>
        <v>41402</v>
      </c>
      <c r="I103">
        <f>IF(AND(MyRowHidden(ROW())=FALSE,MyRowHidden(ROW()-1)=TRUE),0,(E103-E102)*unitsOfDHp+I102)</f>
        <v>195360</v>
      </c>
      <c r="J103">
        <f>IF(AND(MyRowHidden(ROW())=FALSE,MyRowHidden(ROW()-1)=TRUE),0,(G103-G102)*unitsOfExo+J102)</f>
        <v>-29521.300000000007</v>
      </c>
      <c r="K103" s="9">
        <f t="shared" si="5"/>
        <v>29521.300000000007</v>
      </c>
      <c r="L103">
        <f t="shared" si="6"/>
        <v>165838.69999999998</v>
      </c>
    </row>
    <row r="104" spans="1:12" x14ac:dyDescent="0.25">
      <c r="A104" s="1"/>
      <c r="C104" s="1"/>
      <c r="D104" s="1">
        <v>41403</v>
      </c>
      <c r="E104" s="10">
        <v>184054</v>
      </c>
      <c r="F104" s="1">
        <v>41403</v>
      </c>
      <c r="G104">
        <v>-7241.13</v>
      </c>
      <c r="H104" s="1">
        <f t="shared" si="4"/>
        <v>41403</v>
      </c>
      <c r="I104">
        <f>IF(AND(MyRowHidden(ROW())=FALSE,MyRowHidden(ROW()-1)=TRUE),0,(E104-E103)*unitsOfDHp+I103)</f>
        <v>183760</v>
      </c>
      <c r="J104">
        <f>IF(AND(MyRowHidden(ROW())=FALSE,MyRowHidden(ROW()-1)=TRUE),0,(G104-G103)*unitsOfExo+J103)</f>
        <v>-29521.300000000007</v>
      </c>
      <c r="K104" s="9">
        <f t="shared" si="5"/>
        <v>29521.300000000007</v>
      </c>
      <c r="L104">
        <f t="shared" si="6"/>
        <v>154238.69999999998</v>
      </c>
    </row>
    <row r="105" spans="1:12" x14ac:dyDescent="0.25">
      <c r="A105" s="1"/>
      <c r="C105" s="1"/>
      <c r="D105" s="1">
        <v>41404</v>
      </c>
      <c r="E105" s="10">
        <v>183234</v>
      </c>
      <c r="F105" s="1">
        <v>41404</v>
      </c>
      <c r="G105">
        <v>-7241.13</v>
      </c>
      <c r="H105" s="1">
        <f t="shared" si="4"/>
        <v>41404</v>
      </c>
      <c r="I105">
        <f>IF(AND(MyRowHidden(ROW())=FALSE,MyRowHidden(ROW()-1)=TRUE),0,(E105-E104)*unitsOfDHp+I104)</f>
        <v>175560</v>
      </c>
      <c r="J105">
        <f>IF(AND(MyRowHidden(ROW())=FALSE,MyRowHidden(ROW()-1)=TRUE),0,(G105-G104)*unitsOfExo+J104)</f>
        <v>-29521.300000000007</v>
      </c>
      <c r="K105" s="9">
        <f t="shared" si="5"/>
        <v>29521.300000000007</v>
      </c>
      <c r="L105">
        <f t="shared" si="6"/>
        <v>146038.69999999998</v>
      </c>
    </row>
    <row r="106" spans="1:12" x14ac:dyDescent="0.25">
      <c r="A106" s="1"/>
      <c r="C106" s="1"/>
      <c r="D106" s="1">
        <v>41407</v>
      </c>
      <c r="E106" s="10">
        <v>182514</v>
      </c>
      <c r="F106" s="1">
        <v>41407</v>
      </c>
      <c r="G106">
        <v>-7241.13</v>
      </c>
      <c r="H106" s="1">
        <f t="shared" si="4"/>
        <v>41407</v>
      </c>
      <c r="I106">
        <f>IF(AND(MyRowHidden(ROW())=FALSE,MyRowHidden(ROW()-1)=TRUE),0,(E106-E105)*unitsOfDHp+I105)</f>
        <v>168360</v>
      </c>
      <c r="J106">
        <f>IF(AND(MyRowHidden(ROW())=FALSE,MyRowHidden(ROW()-1)=TRUE),0,(G106-G105)*unitsOfExo+J105)</f>
        <v>-29521.300000000007</v>
      </c>
      <c r="K106" s="9">
        <f t="shared" si="5"/>
        <v>29521.300000000007</v>
      </c>
      <c r="L106">
        <f t="shared" si="6"/>
        <v>138838.69999999998</v>
      </c>
    </row>
    <row r="107" spans="1:12" x14ac:dyDescent="0.25">
      <c r="A107" s="1"/>
      <c r="C107" s="1"/>
      <c r="D107" s="1">
        <v>41408</v>
      </c>
      <c r="E107" s="10">
        <v>181514</v>
      </c>
      <c r="F107" s="1">
        <v>41408</v>
      </c>
      <c r="G107">
        <v>-6955.37</v>
      </c>
      <c r="H107" s="1">
        <f t="shared" si="4"/>
        <v>41408</v>
      </c>
      <c r="I107">
        <f>IF(AND(MyRowHidden(ROW())=FALSE,MyRowHidden(ROW()-1)=TRUE),0,(E107-E106)*unitsOfDHp+I106)</f>
        <v>158360</v>
      </c>
      <c r="J107">
        <f>IF(AND(MyRowHidden(ROW())=FALSE,MyRowHidden(ROW()-1)=TRUE),0,(G107-G106)*unitsOfExo+J106)</f>
        <v>-26663.700000000004</v>
      </c>
      <c r="K107" s="9">
        <f t="shared" si="5"/>
        <v>26663.700000000004</v>
      </c>
      <c r="L107">
        <f t="shared" si="6"/>
        <v>131696.29999999999</v>
      </c>
    </row>
    <row r="108" spans="1:12" x14ac:dyDescent="0.25">
      <c r="A108" s="1"/>
      <c r="C108" s="1"/>
      <c r="D108" s="1">
        <v>41409</v>
      </c>
      <c r="E108" s="10">
        <v>181394</v>
      </c>
      <c r="F108" s="1">
        <v>41409</v>
      </c>
      <c r="G108">
        <v>-6955.37</v>
      </c>
      <c r="H108" s="1">
        <f t="shared" si="4"/>
        <v>41409</v>
      </c>
      <c r="I108">
        <f>IF(AND(MyRowHidden(ROW())=FALSE,MyRowHidden(ROW()-1)=TRUE),0,(E108-E107)*unitsOfDHp+I107)</f>
        <v>157160</v>
      </c>
      <c r="J108">
        <f>IF(AND(MyRowHidden(ROW())=FALSE,MyRowHidden(ROW()-1)=TRUE),0,(G108-G107)*unitsOfExo+J107)</f>
        <v>-26663.700000000004</v>
      </c>
      <c r="K108" s="9">
        <f t="shared" si="5"/>
        <v>26663.700000000004</v>
      </c>
      <c r="L108">
        <f t="shared" si="6"/>
        <v>130496.29999999999</v>
      </c>
    </row>
    <row r="109" spans="1:12" x14ac:dyDescent="0.25">
      <c r="A109" s="1"/>
      <c r="C109" s="1"/>
      <c r="D109" s="1">
        <v>41410</v>
      </c>
      <c r="E109" s="10">
        <v>182554</v>
      </c>
      <c r="F109" s="1">
        <v>41410</v>
      </c>
      <c r="G109">
        <v>-7322.91</v>
      </c>
      <c r="H109" s="1">
        <f t="shared" si="4"/>
        <v>41410</v>
      </c>
      <c r="I109">
        <f>IF(AND(MyRowHidden(ROW())=FALSE,MyRowHidden(ROW()-1)=TRUE),0,(E109-E108)*unitsOfDHp+I108)</f>
        <v>168760</v>
      </c>
      <c r="J109">
        <f>IF(AND(MyRowHidden(ROW())=FALSE,MyRowHidden(ROW()-1)=TRUE),0,(G109-G108)*unitsOfExo+J108)</f>
        <v>-30339.100000000006</v>
      </c>
      <c r="K109" s="9">
        <f t="shared" si="5"/>
        <v>30339.100000000006</v>
      </c>
      <c r="L109">
        <f t="shared" si="6"/>
        <v>138420.9</v>
      </c>
    </row>
    <row r="110" spans="1:12" x14ac:dyDescent="0.25">
      <c r="A110" s="1"/>
      <c r="C110" s="1"/>
      <c r="D110" s="1">
        <v>41411</v>
      </c>
      <c r="E110" s="10">
        <v>183134</v>
      </c>
      <c r="F110" s="1">
        <v>41411</v>
      </c>
      <c r="G110">
        <v>-7322.91</v>
      </c>
      <c r="H110" s="1">
        <f t="shared" si="4"/>
        <v>41411</v>
      </c>
      <c r="I110">
        <f>IF(AND(MyRowHidden(ROW())=FALSE,MyRowHidden(ROW()-1)=TRUE),0,(E110-E109)*unitsOfDHp+I109)</f>
        <v>174560</v>
      </c>
      <c r="J110">
        <f>IF(AND(MyRowHidden(ROW())=FALSE,MyRowHidden(ROW()-1)=TRUE),0,(G110-G109)*unitsOfExo+J109)</f>
        <v>-30339.100000000006</v>
      </c>
      <c r="K110" s="9">
        <f t="shared" si="5"/>
        <v>30339.100000000006</v>
      </c>
      <c r="L110">
        <f t="shared" si="6"/>
        <v>144220.9</v>
      </c>
    </row>
    <row r="111" spans="1:12" x14ac:dyDescent="0.25">
      <c r="A111" s="1"/>
      <c r="C111" s="1"/>
      <c r="D111" s="1">
        <v>41414</v>
      </c>
      <c r="E111" s="10">
        <v>183794</v>
      </c>
      <c r="F111" s="1">
        <v>41414</v>
      </c>
      <c r="G111">
        <v>-7322.91</v>
      </c>
      <c r="H111" s="1">
        <f t="shared" si="4"/>
        <v>41414</v>
      </c>
      <c r="I111">
        <f>IF(AND(MyRowHidden(ROW())=FALSE,MyRowHidden(ROW()-1)=TRUE),0,(E111-E110)*unitsOfDHp+I110)</f>
        <v>181160</v>
      </c>
      <c r="J111">
        <f>IF(AND(MyRowHidden(ROW())=FALSE,MyRowHidden(ROW()-1)=TRUE),0,(G111-G110)*unitsOfExo+J110)</f>
        <v>-30339.100000000006</v>
      </c>
      <c r="K111" s="9">
        <f t="shared" si="5"/>
        <v>30339.100000000006</v>
      </c>
      <c r="L111">
        <f t="shared" si="6"/>
        <v>150820.9</v>
      </c>
    </row>
    <row r="112" spans="1:12" x14ac:dyDescent="0.25">
      <c r="A112" s="1"/>
      <c r="C112" s="1"/>
      <c r="D112" s="1">
        <v>41415</v>
      </c>
      <c r="E112" s="10">
        <v>183254</v>
      </c>
      <c r="F112" s="1">
        <v>41415</v>
      </c>
      <c r="G112">
        <v>-7322.91</v>
      </c>
      <c r="H112" s="1">
        <f t="shared" si="4"/>
        <v>41415</v>
      </c>
      <c r="I112">
        <f>IF(AND(MyRowHidden(ROW())=FALSE,MyRowHidden(ROW()-1)=TRUE),0,(E112-E111)*unitsOfDHp+I111)</f>
        <v>175760</v>
      </c>
      <c r="J112">
        <f>IF(AND(MyRowHidden(ROW())=FALSE,MyRowHidden(ROW()-1)=TRUE),0,(G112-G111)*unitsOfExo+J111)</f>
        <v>-30339.100000000006</v>
      </c>
      <c r="K112" s="9">
        <f t="shared" si="5"/>
        <v>30339.100000000006</v>
      </c>
      <c r="L112">
        <f t="shared" si="6"/>
        <v>145420.9</v>
      </c>
    </row>
    <row r="113" spans="1:12" x14ac:dyDescent="0.25">
      <c r="A113" s="1"/>
      <c r="C113" s="1"/>
      <c r="D113" s="1">
        <v>41416</v>
      </c>
      <c r="E113" s="10">
        <v>181334</v>
      </c>
      <c r="F113" s="1">
        <v>41416</v>
      </c>
      <c r="G113">
        <v>-7241.13</v>
      </c>
      <c r="H113" s="1">
        <f t="shared" si="4"/>
        <v>41416</v>
      </c>
      <c r="I113">
        <f>IF(AND(MyRowHidden(ROW())=FALSE,MyRowHidden(ROW()-1)=TRUE),0,(E113-E112)*unitsOfDHp+I112)</f>
        <v>156560</v>
      </c>
      <c r="J113">
        <f>IF(AND(MyRowHidden(ROW())=FALSE,MyRowHidden(ROW()-1)=TRUE),0,(G113-G112)*unitsOfExo+J112)</f>
        <v>-29521.30000000001</v>
      </c>
      <c r="K113" s="9">
        <f t="shared" si="5"/>
        <v>29521.30000000001</v>
      </c>
      <c r="L113">
        <f t="shared" si="6"/>
        <v>127038.69999999998</v>
      </c>
    </row>
    <row r="114" spans="1:12" x14ac:dyDescent="0.25">
      <c r="A114" s="1"/>
      <c r="C114" s="1"/>
      <c r="D114" s="1">
        <v>41417</v>
      </c>
      <c r="E114" s="10">
        <v>180734</v>
      </c>
      <c r="F114" s="1">
        <v>41417</v>
      </c>
      <c r="G114">
        <v>-7241.13</v>
      </c>
      <c r="H114" s="1">
        <f t="shared" si="4"/>
        <v>41417</v>
      </c>
      <c r="I114">
        <f>IF(AND(MyRowHidden(ROW())=FALSE,MyRowHidden(ROW()-1)=TRUE),0,(E114-E113)*unitsOfDHp+I113)</f>
        <v>150560</v>
      </c>
      <c r="J114">
        <f>IF(AND(MyRowHidden(ROW())=FALSE,MyRowHidden(ROW()-1)=TRUE),0,(G114-G113)*unitsOfExo+J113)</f>
        <v>-29521.30000000001</v>
      </c>
      <c r="K114" s="9">
        <f t="shared" si="5"/>
        <v>29521.30000000001</v>
      </c>
      <c r="L114">
        <f t="shared" si="6"/>
        <v>121038.69999999998</v>
      </c>
    </row>
    <row r="115" spans="1:12" x14ac:dyDescent="0.25">
      <c r="A115" s="1"/>
      <c r="C115" s="1"/>
      <c r="D115" s="1">
        <v>41418</v>
      </c>
      <c r="E115" s="10">
        <v>180994</v>
      </c>
      <c r="F115" s="1">
        <v>41418</v>
      </c>
      <c r="G115">
        <v>-7333.25</v>
      </c>
      <c r="H115" s="1">
        <f t="shared" si="4"/>
        <v>41418</v>
      </c>
      <c r="I115">
        <f>IF(AND(MyRowHidden(ROW())=FALSE,MyRowHidden(ROW()-1)=TRUE),0,(E115-E114)*unitsOfDHp+I114)</f>
        <v>153160</v>
      </c>
      <c r="J115">
        <f>IF(AND(MyRowHidden(ROW())=FALSE,MyRowHidden(ROW()-1)=TRUE),0,(G115-G114)*unitsOfExo+J114)</f>
        <v>-30442.500000000007</v>
      </c>
      <c r="K115" s="9">
        <f t="shared" si="5"/>
        <v>30442.500000000007</v>
      </c>
      <c r="L115">
        <f t="shared" si="6"/>
        <v>122717.5</v>
      </c>
    </row>
    <row r="116" spans="1:12" x14ac:dyDescent="0.25">
      <c r="A116" s="1"/>
      <c r="C116" s="1"/>
      <c r="D116" s="1">
        <v>41421</v>
      </c>
      <c r="E116" s="10">
        <v>180534</v>
      </c>
      <c r="F116" s="1">
        <v>41421</v>
      </c>
      <c r="G116">
        <v>-7333.25</v>
      </c>
      <c r="H116" s="1">
        <f t="shared" si="4"/>
        <v>41421</v>
      </c>
      <c r="I116">
        <f>IF(AND(MyRowHidden(ROW())=FALSE,MyRowHidden(ROW()-1)=TRUE),0,(E116-E115)*unitsOfDHp+I115)</f>
        <v>148560</v>
      </c>
      <c r="J116">
        <f>IF(AND(MyRowHidden(ROW())=FALSE,MyRowHidden(ROW()-1)=TRUE),0,(G116-G115)*unitsOfExo+J115)</f>
        <v>-30442.500000000007</v>
      </c>
      <c r="K116" s="9">
        <f t="shared" si="5"/>
        <v>30442.500000000007</v>
      </c>
      <c r="L116">
        <f t="shared" si="6"/>
        <v>118117.5</v>
      </c>
    </row>
    <row r="117" spans="1:12" x14ac:dyDescent="0.25">
      <c r="A117" s="1"/>
      <c r="C117" s="1"/>
      <c r="D117" s="1">
        <v>41422</v>
      </c>
      <c r="E117" s="10">
        <v>181894</v>
      </c>
      <c r="F117" s="1">
        <v>41422</v>
      </c>
      <c r="G117">
        <v>-7333.25</v>
      </c>
      <c r="H117" s="1">
        <f t="shared" si="4"/>
        <v>41422</v>
      </c>
      <c r="I117">
        <f>IF(AND(MyRowHidden(ROW())=FALSE,MyRowHidden(ROW()-1)=TRUE),0,(E117-E116)*unitsOfDHp+I116)</f>
        <v>162160</v>
      </c>
      <c r="J117">
        <f>IF(AND(MyRowHidden(ROW())=FALSE,MyRowHidden(ROW()-1)=TRUE),0,(G117-G116)*unitsOfExo+J116)</f>
        <v>-30442.500000000007</v>
      </c>
      <c r="K117" s="9">
        <f t="shared" si="5"/>
        <v>30442.500000000007</v>
      </c>
      <c r="L117">
        <f t="shared" si="6"/>
        <v>131717.5</v>
      </c>
    </row>
    <row r="118" spans="1:12" x14ac:dyDescent="0.25">
      <c r="A118" s="1"/>
      <c r="C118" s="1"/>
      <c r="D118" s="1">
        <v>41423</v>
      </c>
      <c r="E118" s="10">
        <v>180134</v>
      </c>
      <c r="F118" s="1">
        <v>41423</v>
      </c>
      <c r="G118">
        <v>-7256.64</v>
      </c>
      <c r="H118" s="1">
        <f t="shared" si="4"/>
        <v>41423</v>
      </c>
      <c r="I118">
        <f>IF(AND(MyRowHidden(ROW())=FALSE,MyRowHidden(ROW()-1)=TRUE),0,(E118-E117)*unitsOfDHp+I117)</f>
        <v>144560</v>
      </c>
      <c r="J118">
        <f>IF(AND(MyRowHidden(ROW())=FALSE,MyRowHidden(ROW()-1)=TRUE),0,(G118-G117)*unitsOfExo+J117)</f>
        <v>-29676.400000000009</v>
      </c>
      <c r="K118" s="9">
        <f t="shared" si="5"/>
        <v>29676.400000000009</v>
      </c>
      <c r="L118">
        <f t="shared" si="6"/>
        <v>114883.59999999999</v>
      </c>
    </row>
    <row r="119" spans="1:12" x14ac:dyDescent="0.25">
      <c r="A119" s="1"/>
      <c r="C119" s="1"/>
      <c r="D119" s="1">
        <v>41424</v>
      </c>
      <c r="E119" s="10">
        <v>180394</v>
      </c>
      <c r="F119" s="1">
        <v>41424</v>
      </c>
      <c r="G119">
        <v>-7226.09</v>
      </c>
      <c r="H119" s="1">
        <f t="shared" si="4"/>
        <v>41424</v>
      </c>
      <c r="I119">
        <f>IF(AND(MyRowHidden(ROW())=FALSE,MyRowHidden(ROW()-1)=TRUE),0,(E119-E118)*unitsOfDHp+I118)</f>
        <v>147160</v>
      </c>
      <c r="J119">
        <f>IF(AND(MyRowHidden(ROW())=FALSE,MyRowHidden(ROW()-1)=TRUE),0,(G119-G118)*unitsOfExo+J118)</f>
        <v>-29370.900000000009</v>
      </c>
      <c r="K119" s="9">
        <f t="shared" si="5"/>
        <v>29370.900000000009</v>
      </c>
      <c r="L119">
        <f t="shared" si="6"/>
        <v>117789.09999999999</v>
      </c>
    </row>
    <row r="120" spans="1:12" x14ac:dyDescent="0.25">
      <c r="A120" s="1"/>
      <c r="C120" s="1"/>
      <c r="D120" s="1">
        <v>41425</v>
      </c>
      <c r="E120" s="10">
        <v>179254</v>
      </c>
      <c r="F120" s="1">
        <v>41425</v>
      </c>
      <c r="G120">
        <v>-7207.76</v>
      </c>
      <c r="H120" s="1">
        <f t="shared" si="4"/>
        <v>41425</v>
      </c>
      <c r="I120">
        <f>IF(AND(MyRowHidden(ROW())=FALSE,MyRowHidden(ROW()-1)=TRUE),0,(E120-E119)*unitsOfDHp+I119)</f>
        <v>135760</v>
      </c>
      <c r="J120">
        <f>IF(AND(MyRowHidden(ROW())=FALSE,MyRowHidden(ROW()-1)=TRUE),0,(G120-G119)*unitsOfExo+J119)</f>
        <v>-29187.600000000009</v>
      </c>
      <c r="K120" s="9">
        <f t="shared" si="5"/>
        <v>29187.600000000009</v>
      </c>
      <c r="L120">
        <f t="shared" si="6"/>
        <v>106572.4</v>
      </c>
    </row>
    <row r="121" spans="1:12" x14ac:dyDescent="0.25">
      <c r="A121" s="1"/>
      <c r="C121" s="1"/>
      <c r="D121" s="1">
        <v>41428</v>
      </c>
      <c r="E121" s="10">
        <v>180334</v>
      </c>
      <c r="F121" s="1">
        <v>41428</v>
      </c>
      <c r="G121">
        <v>-6464</v>
      </c>
      <c r="H121" s="1">
        <f t="shared" si="4"/>
        <v>41428</v>
      </c>
      <c r="I121">
        <f>IF(AND(MyRowHidden(ROW())=FALSE,MyRowHidden(ROW()-1)=TRUE),0,(E121-E120)*unitsOfDHp+I120)</f>
        <v>146560</v>
      </c>
      <c r="J121">
        <f>IF(AND(MyRowHidden(ROW())=FALSE,MyRowHidden(ROW()-1)=TRUE),0,(G121-G120)*unitsOfExo+J120)</f>
        <v>-21750.000000000007</v>
      </c>
      <c r="K121" s="9">
        <f t="shared" si="5"/>
        <v>21750.000000000007</v>
      </c>
      <c r="L121">
        <f t="shared" si="6"/>
        <v>124810</v>
      </c>
    </row>
    <row r="122" spans="1:12" x14ac:dyDescent="0.25">
      <c r="A122" s="1"/>
      <c r="C122" s="1"/>
      <c r="D122" s="1">
        <v>41429</v>
      </c>
      <c r="E122" s="10">
        <v>180334</v>
      </c>
      <c r="F122" s="1">
        <v>41429</v>
      </c>
      <c r="G122">
        <v>-5905.64</v>
      </c>
      <c r="H122" s="1">
        <f t="shared" si="4"/>
        <v>41429</v>
      </c>
      <c r="I122">
        <f>IF(AND(MyRowHidden(ROW())=FALSE,MyRowHidden(ROW()-1)=TRUE),0,(E122-E121)*unitsOfDHp+I121)</f>
        <v>146560</v>
      </c>
      <c r="J122">
        <f>IF(AND(MyRowHidden(ROW())=FALSE,MyRowHidden(ROW()-1)=TRUE),0,(G122-G121)*unitsOfExo+J121)</f>
        <v>-16166.400000000011</v>
      </c>
      <c r="K122" s="9">
        <f t="shared" si="5"/>
        <v>16166.400000000011</v>
      </c>
      <c r="L122">
        <f t="shared" si="6"/>
        <v>130393.59999999999</v>
      </c>
    </row>
    <row r="123" spans="1:12" x14ac:dyDescent="0.25">
      <c r="A123" s="1"/>
      <c r="C123" s="1"/>
      <c r="D123" s="1">
        <v>41430</v>
      </c>
      <c r="E123" s="10">
        <v>180334</v>
      </c>
      <c r="F123" s="1">
        <v>41430</v>
      </c>
      <c r="G123">
        <v>-6170.25</v>
      </c>
      <c r="H123" s="1">
        <f t="shared" si="4"/>
        <v>41430</v>
      </c>
      <c r="I123">
        <f>IF(AND(MyRowHidden(ROW())=FALSE,MyRowHidden(ROW()-1)=TRUE),0,(E123-E122)*unitsOfDHp+I122)</f>
        <v>146560</v>
      </c>
      <c r="J123">
        <f>IF(AND(MyRowHidden(ROW())=FALSE,MyRowHidden(ROW()-1)=TRUE),0,(G123-G122)*unitsOfExo+J122)</f>
        <v>-18812.500000000007</v>
      </c>
      <c r="K123" s="9">
        <f t="shared" si="5"/>
        <v>18812.500000000007</v>
      </c>
      <c r="L123">
        <f t="shared" si="6"/>
        <v>127747.5</v>
      </c>
    </row>
    <row r="124" spans="1:12" x14ac:dyDescent="0.25">
      <c r="A124" s="1"/>
      <c r="C124" s="1"/>
      <c r="D124" s="1">
        <v>41431</v>
      </c>
      <c r="E124" s="10">
        <v>180334</v>
      </c>
      <c r="F124" s="1">
        <v>41431</v>
      </c>
      <c r="G124">
        <v>-6170.25</v>
      </c>
      <c r="H124" s="1">
        <f t="shared" si="4"/>
        <v>41431</v>
      </c>
      <c r="I124">
        <f>IF(AND(MyRowHidden(ROW())=FALSE,MyRowHidden(ROW()-1)=TRUE),0,(E124-E123)*unitsOfDHp+I123)</f>
        <v>146560</v>
      </c>
      <c r="J124">
        <f>IF(AND(MyRowHidden(ROW())=FALSE,MyRowHidden(ROW()-1)=TRUE),0,(G124-G123)*unitsOfExo+J123)</f>
        <v>-18812.500000000007</v>
      </c>
      <c r="K124" s="9">
        <f t="shared" si="5"/>
        <v>18812.500000000007</v>
      </c>
      <c r="L124">
        <f t="shared" si="6"/>
        <v>127747.5</v>
      </c>
    </row>
    <row r="125" spans="1:12" x14ac:dyDescent="0.25">
      <c r="A125" s="1"/>
      <c r="C125" s="1"/>
      <c r="D125" s="1">
        <v>41432</v>
      </c>
      <c r="E125" s="10">
        <v>180286</v>
      </c>
      <c r="F125" s="1">
        <v>41432</v>
      </c>
      <c r="G125">
        <v>-6029.25</v>
      </c>
      <c r="H125" s="1">
        <f t="shared" si="4"/>
        <v>41432</v>
      </c>
      <c r="I125">
        <f>IF(AND(MyRowHidden(ROW())=FALSE,MyRowHidden(ROW()-1)=TRUE),0,(E125-E124)*unitsOfDHp+I124)</f>
        <v>146080</v>
      </c>
      <c r="J125">
        <f>IF(AND(MyRowHidden(ROW())=FALSE,MyRowHidden(ROW()-1)=TRUE),0,(G125-G124)*unitsOfExo+J124)</f>
        <v>-17402.500000000007</v>
      </c>
      <c r="K125" s="9">
        <f t="shared" si="5"/>
        <v>17402.500000000007</v>
      </c>
      <c r="L125">
        <f t="shared" si="6"/>
        <v>128677.5</v>
      </c>
    </row>
    <row r="126" spans="1:12" x14ac:dyDescent="0.25">
      <c r="A126" s="1"/>
      <c r="C126" s="1"/>
      <c r="D126" s="1">
        <v>41435</v>
      </c>
      <c r="E126" s="10">
        <v>180238</v>
      </c>
      <c r="F126" s="1">
        <v>41435</v>
      </c>
      <c r="G126">
        <v>-6337.57</v>
      </c>
      <c r="H126" s="1">
        <f t="shared" si="4"/>
        <v>41435</v>
      </c>
      <c r="I126">
        <f>IF(AND(MyRowHidden(ROW())=FALSE,MyRowHidden(ROW()-1)=TRUE),0,(E126-E125)*unitsOfDHp+I125)</f>
        <v>145600</v>
      </c>
      <c r="J126">
        <f>IF(AND(MyRowHidden(ROW())=FALSE,MyRowHidden(ROW()-1)=TRUE),0,(G126-G125)*unitsOfExo+J125)</f>
        <v>-20485.700000000004</v>
      </c>
      <c r="K126" s="9">
        <f t="shared" si="5"/>
        <v>20485.700000000004</v>
      </c>
      <c r="L126">
        <f t="shared" si="6"/>
        <v>125114.29999999999</v>
      </c>
    </row>
    <row r="127" spans="1:12" x14ac:dyDescent="0.25">
      <c r="A127" s="1"/>
      <c r="C127" s="1"/>
      <c r="D127" s="1">
        <v>41436</v>
      </c>
      <c r="E127" s="10">
        <v>180286</v>
      </c>
      <c r="F127" s="1">
        <v>41436</v>
      </c>
      <c r="G127">
        <v>-6296.68</v>
      </c>
      <c r="H127" s="1">
        <f t="shared" si="4"/>
        <v>41436</v>
      </c>
      <c r="I127">
        <f>IF(AND(MyRowHidden(ROW())=FALSE,MyRowHidden(ROW()-1)=TRUE),0,(E127-E126)*unitsOfDHp+I126)</f>
        <v>146080</v>
      </c>
      <c r="J127">
        <f>IF(AND(MyRowHidden(ROW())=FALSE,MyRowHidden(ROW()-1)=TRUE),0,(G127-G126)*unitsOfExo+J126)</f>
        <v>-20076.80000000001</v>
      </c>
      <c r="K127" s="9">
        <f t="shared" si="5"/>
        <v>20076.80000000001</v>
      </c>
      <c r="L127">
        <f t="shared" si="6"/>
        <v>126003.19999999998</v>
      </c>
    </row>
    <row r="128" spans="1:12" x14ac:dyDescent="0.25">
      <c r="A128" s="1"/>
      <c r="C128" s="1"/>
      <c r="D128" s="1">
        <v>41437</v>
      </c>
      <c r="E128" s="10">
        <v>180118</v>
      </c>
      <c r="F128" s="1">
        <v>41437</v>
      </c>
      <c r="G128">
        <v>-6296.68</v>
      </c>
      <c r="H128" s="1">
        <f t="shared" si="4"/>
        <v>41437</v>
      </c>
      <c r="I128">
        <f>IF(AND(MyRowHidden(ROW())=FALSE,MyRowHidden(ROW()-1)=TRUE),0,(E128-E127)*unitsOfDHp+I127)</f>
        <v>144400</v>
      </c>
      <c r="J128">
        <f>IF(AND(MyRowHidden(ROW())=FALSE,MyRowHidden(ROW()-1)=TRUE),0,(G128-G127)*unitsOfExo+J127)</f>
        <v>-20076.80000000001</v>
      </c>
      <c r="K128" s="9">
        <f t="shared" si="5"/>
        <v>20076.80000000001</v>
      </c>
      <c r="L128">
        <f t="shared" si="6"/>
        <v>124323.19999999998</v>
      </c>
    </row>
    <row r="129" spans="1:12" x14ac:dyDescent="0.25">
      <c r="A129" s="1"/>
      <c r="C129" s="1"/>
      <c r="D129" s="1">
        <v>41438</v>
      </c>
      <c r="E129" s="10">
        <v>179640</v>
      </c>
      <c r="F129" s="1">
        <v>41438</v>
      </c>
      <c r="G129">
        <v>-6296.68</v>
      </c>
      <c r="H129" s="1">
        <f t="shared" si="4"/>
        <v>41438</v>
      </c>
      <c r="I129">
        <f>IF(AND(MyRowHidden(ROW())=FALSE,MyRowHidden(ROW()-1)=TRUE),0,(E129-E128)*unitsOfDHp+I128)</f>
        <v>139620</v>
      </c>
      <c r="J129">
        <f>IF(AND(MyRowHidden(ROW())=FALSE,MyRowHidden(ROW()-1)=TRUE),0,(G129-G128)*unitsOfExo+J128)</f>
        <v>-20076.80000000001</v>
      </c>
      <c r="K129" s="9">
        <f t="shared" si="5"/>
        <v>20076.80000000001</v>
      </c>
      <c r="L129">
        <f t="shared" si="6"/>
        <v>119543.19999999998</v>
      </c>
    </row>
    <row r="130" spans="1:12" x14ac:dyDescent="0.25">
      <c r="A130" s="1"/>
      <c r="C130" s="1"/>
      <c r="D130" s="1">
        <v>41439</v>
      </c>
      <c r="E130" s="10">
        <v>178332</v>
      </c>
      <c r="F130" s="1">
        <v>41439</v>
      </c>
      <c r="G130">
        <v>-6199.39</v>
      </c>
      <c r="H130" s="1">
        <f t="shared" si="4"/>
        <v>41439</v>
      </c>
      <c r="I130">
        <f>IF(AND(MyRowHidden(ROW())=FALSE,MyRowHidden(ROW()-1)=TRUE),0,(E130-E129)*unitsOfDHp+I129)</f>
        <v>126540</v>
      </c>
      <c r="J130">
        <f>IF(AND(MyRowHidden(ROW())=FALSE,MyRowHidden(ROW()-1)=TRUE),0,(G130-G129)*unitsOfExo+J129)</f>
        <v>-19103.900000000009</v>
      </c>
      <c r="K130" s="9">
        <f t="shared" si="5"/>
        <v>19103.900000000009</v>
      </c>
      <c r="L130">
        <f t="shared" si="6"/>
        <v>107436.09999999999</v>
      </c>
    </row>
    <row r="131" spans="1:12" x14ac:dyDescent="0.25">
      <c r="A131" s="1"/>
      <c r="C131" s="1"/>
      <c r="D131" s="1">
        <v>41442</v>
      </c>
      <c r="E131" s="10">
        <v>178174</v>
      </c>
      <c r="F131" s="1">
        <v>41442</v>
      </c>
      <c r="G131">
        <v>-6199.39</v>
      </c>
      <c r="H131" s="1">
        <f t="shared" si="4"/>
        <v>41442</v>
      </c>
      <c r="I131">
        <f>IF(AND(MyRowHidden(ROW())=FALSE,MyRowHidden(ROW()-1)=TRUE),0,(E131-E130)*unitsOfDHp+I130)</f>
        <v>124960</v>
      </c>
      <c r="J131">
        <f>IF(AND(MyRowHidden(ROW())=FALSE,MyRowHidden(ROW()-1)=TRUE),0,(G131-G130)*unitsOfExo+J130)</f>
        <v>-19103.900000000009</v>
      </c>
      <c r="K131" s="9">
        <f t="shared" si="5"/>
        <v>19103.900000000009</v>
      </c>
      <c r="L131">
        <f t="shared" si="6"/>
        <v>105856.09999999999</v>
      </c>
    </row>
    <row r="132" spans="1:12" x14ac:dyDescent="0.25">
      <c r="A132" s="1"/>
      <c r="C132" s="1"/>
      <c r="D132" s="1">
        <v>41443</v>
      </c>
      <c r="E132" s="10">
        <v>177724</v>
      </c>
      <c r="F132" s="1">
        <v>41443</v>
      </c>
      <c r="G132">
        <v>-6041</v>
      </c>
      <c r="H132" s="1">
        <f t="shared" si="4"/>
        <v>41443</v>
      </c>
      <c r="I132">
        <f>IF(AND(MyRowHidden(ROW())=FALSE,MyRowHidden(ROW()-1)=TRUE),0,(E132-E131)*unitsOfDHp+I131)</f>
        <v>120460</v>
      </c>
      <c r="J132">
        <f>IF(AND(MyRowHidden(ROW())=FALSE,MyRowHidden(ROW()-1)=TRUE),0,(G132-G131)*unitsOfExo+J131)</f>
        <v>-17520.000000000007</v>
      </c>
      <c r="K132" s="9">
        <f t="shared" si="5"/>
        <v>17520.000000000007</v>
      </c>
      <c r="L132">
        <f t="shared" si="6"/>
        <v>102940</v>
      </c>
    </row>
    <row r="133" spans="1:12" x14ac:dyDescent="0.25">
      <c r="A133" s="1"/>
      <c r="C133" s="1"/>
      <c r="D133" s="1">
        <v>41444</v>
      </c>
      <c r="E133" s="10">
        <v>177784</v>
      </c>
      <c r="F133" s="1">
        <v>41444</v>
      </c>
      <c r="G133">
        <v>-6017.5</v>
      </c>
      <c r="H133" s="1">
        <f t="shared" si="4"/>
        <v>41444</v>
      </c>
      <c r="I133">
        <f>IF(AND(MyRowHidden(ROW())=FALSE,MyRowHidden(ROW()-1)=TRUE),0,(E133-E132)*unitsOfDHp+I132)</f>
        <v>121060</v>
      </c>
      <c r="J133">
        <f>IF(AND(MyRowHidden(ROW())=FALSE,MyRowHidden(ROW()-1)=TRUE),0,(G133-G132)*unitsOfExo+J132)</f>
        <v>-17285.000000000007</v>
      </c>
      <c r="K133" s="9">
        <f t="shared" si="5"/>
        <v>17285.000000000007</v>
      </c>
      <c r="L133">
        <f t="shared" si="6"/>
        <v>103775</v>
      </c>
    </row>
    <row r="134" spans="1:12" x14ac:dyDescent="0.25">
      <c r="A134" s="1"/>
      <c r="C134" s="1"/>
      <c r="D134" s="1">
        <v>41445</v>
      </c>
      <c r="E134" s="10">
        <v>177812</v>
      </c>
      <c r="F134" s="1">
        <v>41445</v>
      </c>
      <c r="G134">
        <v>-6017.5</v>
      </c>
      <c r="H134" s="1">
        <f t="shared" si="4"/>
        <v>41445</v>
      </c>
      <c r="I134">
        <f>IF(AND(MyRowHidden(ROW())=FALSE,MyRowHidden(ROW()-1)=TRUE),0,(E134-E133)*unitsOfDHp+I133)</f>
        <v>121340</v>
      </c>
      <c r="J134">
        <f>IF(AND(MyRowHidden(ROW())=FALSE,MyRowHidden(ROW()-1)=TRUE),0,(G134-G133)*unitsOfExo+J133)</f>
        <v>-17285.000000000007</v>
      </c>
      <c r="K134" s="9">
        <f t="shared" si="5"/>
        <v>17285.000000000007</v>
      </c>
      <c r="L134">
        <f t="shared" si="6"/>
        <v>104055</v>
      </c>
    </row>
    <row r="135" spans="1:12" x14ac:dyDescent="0.25">
      <c r="A135" s="1"/>
      <c r="C135" s="1"/>
      <c r="D135" s="1">
        <v>41446</v>
      </c>
      <c r="E135" s="10">
        <v>178384</v>
      </c>
      <c r="F135" s="1">
        <v>41446</v>
      </c>
      <c r="G135">
        <v>-6140.64</v>
      </c>
      <c r="H135" s="1">
        <f t="shared" si="4"/>
        <v>41446</v>
      </c>
      <c r="I135">
        <f>IF(AND(MyRowHidden(ROW())=FALSE,MyRowHidden(ROW()-1)=TRUE),0,(E135-E134)*unitsOfDHp+I134)</f>
        <v>127060</v>
      </c>
      <c r="J135">
        <f>IF(AND(MyRowHidden(ROW())=FALSE,MyRowHidden(ROW()-1)=TRUE),0,(G135-G134)*unitsOfExo+J134)</f>
        <v>-18516.400000000009</v>
      </c>
      <c r="K135" s="9">
        <f t="shared" si="5"/>
        <v>18516.400000000009</v>
      </c>
      <c r="L135">
        <f t="shared" si="6"/>
        <v>108543.59999999999</v>
      </c>
    </row>
    <row r="136" spans="1:12" x14ac:dyDescent="0.25">
      <c r="A136" s="1"/>
      <c r="C136" s="1"/>
      <c r="D136" s="1">
        <v>41449</v>
      </c>
      <c r="E136" s="10">
        <v>177836</v>
      </c>
      <c r="F136" s="1">
        <v>41449</v>
      </c>
      <c r="G136">
        <v>-6258.14</v>
      </c>
      <c r="H136" s="1">
        <f t="shared" si="4"/>
        <v>41449</v>
      </c>
      <c r="I136">
        <f>IF(AND(MyRowHidden(ROW())=FALSE,MyRowHidden(ROW()-1)=TRUE),0,(E136-E135)*unitsOfDHp+I135)</f>
        <v>121580</v>
      </c>
      <c r="J136">
        <f>IF(AND(MyRowHidden(ROW())=FALSE,MyRowHidden(ROW()-1)=TRUE),0,(G136-G135)*unitsOfExo+J135)</f>
        <v>-19691.400000000009</v>
      </c>
      <c r="K136" s="9">
        <f t="shared" si="5"/>
        <v>19691.400000000009</v>
      </c>
      <c r="L136">
        <f t="shared" si="6"/>
        <v>101888.59999999999</v>
      </c>
    </row>
    <row r="137" spans="1:12" x14ac:dyDescent="0.25">
      <c r="A137" s="1"/>
      <c r="C137" s="1"/>
      <c r="D137" s="1">
        <v>41450</v>
      </c>
      <c r="E137" s="10">
        <v>177946</v>
      </c>
      <c r="F137" s="1">
        <v>41450</v>
      </c>
      <c r="G137">
        <v>-6246.39</v>
      </c>
      <c r="H137" s="1">
        <f t="shared" si="4"/>
        <v>41450</v>
      </c>
      <c r="I137">
        <f>IF(AND(MyRowHidden(ROW())=FALSE,MyRowHidden(ROW()-1)=TRUE),0,(E137-E136)*unitsOfDHp+I136)</f>
        <v>122680</v>
      </c>
      <c r="J137">
        <f>IF(AND(MyRowHidden(ROW())=FALSE,MyRowHidden(ROW()-1)=TRUE),0,(G137-G136)*unitsOfExo+J136)</f>
        <v>-19573.900000000009</v>
      </c>
      <c r="K137" s="9">
        <f t="shared" si="5"/>
        <v>19573.900000000009</v>
      </c>
      <c r="L137">
        <f t="shared" si="6"/>
        <v>103106.09999999999</v>
      </c>
    </row>
    <row r="138" spans="1:12" x14ac:dyDescent="0.25">
      <c r="A138" s="1"/>
      <c r="C138" s="1"/>
      <c r="D138" s="1">
        <v>41451</v>
      </c>
      <c r="E138" s="10">
        <v>178076</v>
      </c>
      <c r="F138" s="1">
        <v>41451</v>
      </c>
      <c r="G138">
        <v>-6193.75</v>
      </c>
      <c r="H138" s="1">
        <f t="shared" si="4"/>
        <v>41451</v>
      </c>
      <c r="I138">
        <f>IF(AND(MyRowHidden(ROW())=FALSE,MyRowHidden(ROW()-1)=TRUE),0,(E138-E137)*unitsOfDHp+I137)</f>
        <v>123980</v>
      </c>
      <c r="J138">
        <f>IF(AND(MyRowHidden(ROW())=FALSE,MyRowHidden(ROW()-1)=TRUE),0,(G138-G137)*unitsOfExo+J137)</f>
        <v>-19047.500000000007</v>
      </c>
      <c r="K138" s="9">
        <f t="shared" si="5"/>
        <v>19047.500000000007</v>
      </c>
      <c r="L138">
        <f t="shared" si="6"/>
        <v>104932.5</v>
      </c>
    </row>
    <row r="139" spans="1:12" x14ac:dyDescent="0.25">
      <c r="A139" s="1"/>
      <c r="C139" s="1"/>
      <c r="D139" s="1">
        <v>41452</v>
      </c>
      <c r="E139" s="10">
        <v>177016</v>
      </c>
      <c r="F139" s="1">
        <v>41452</v>
      </c>
      <c r="G139">
        <v>-6193.75</v>
      </c>
      <c r="H139" s="1">
        <f t="shared" si="4"/>
        <v>41452</v>
      </c>
      <c r="I139">
        <f>IF(AND(MyRowHidden(ROW())=FALSE,MyRowHidden(ROW()-1)=TRUE),0,(E139-E138)*unitsOfDHp+I138)</f>
        <v>113380</v>
      </c>
      <c r="J139">
        <f>IF(AND(MyRowHidden(ROW())=FALSE,MyRowHidden(ROW()-1)=TRUE),0,(G139-G138)*unitsOfExo+J138)</f>
        <v>-19047.500000000007</v>
      </c>
      <c r="K139" s="9">
        <f t="shared" si="5"/>
        <v>19047.500000000007</v>
      </c>
      <c r="L139">
        <f t="shared" si="6"/>
        <v>94332.5</v>
      </c>
    </row>
    <row r="140" spans="1:12" x14ac:dyDescent="0.25">
      <c r="A140" s="1"/>
      <c r="C140" s="1"/>
      <c r="D140" s="1">
        <v>41453</v>
      </c>
      <c r="E140" s="10">
        <v>177446</v>
      </c>
      <c r="F140" s="1">
        <v>41453</v>
      </c>
      <c r="G140">
        <v>-6205.5</v>
      </c>
      <c r="H140" s="1">
        <f t="shared" si="4"/>
        <v>41453</v>
      </c>
      <c r="I140">
        <f>IF(AND(MyRowHidden(ROW())=FALSE,MyRowHidden(ROW()-1)=TRUE),0,(E140-E139)*unitsOfDHp+I139)</f>
        <v>117680</v>
      </c>
      <c r="J140">
        <f>IF(AND(MyRowHidden(ROW())=FALSE,MyRowHidden(ROW()-1)=TRUE),0,(G140-G139)*unitsOfExo+J139)</f>
        <v>-19165.000000000007</v>
      </c>
      <c r="K140" s="9">
        <f t="shared" si="5"/>
        <v>19165.000000000007</v>
      </c>
      <c r="L140">
        <f t="shared" si="6"/>
        <v>98515</v>
      </c>
    </row>
    <row r="141" spans="1:12" x14ac:dyDescent="0.25">
      <c r="A141" s="1"/>
      <c r="C141" s="1"/>
      <c r="D141" s="1">
        <v>41456</v>
      </c>
      <c r="E141" s="10">
        <v>177564</v>
      </c>
      <c r="F141" s="1">
        <v>41456</v>
      </c>
      <c r="G141">
        <v>-6358.5</v>
      </c>
      <c r="H141" s="1">
        <f t="shared" ref="H141:H204" si="7">D141</f>
        <v>41456</v>
      </c>
      <c r="I141">
        <f>IF(AND(MyRowHidden(ROW())=FALSE,MyRowHidden(ROW()-1)=TRUE),0,(E141-E140)*unitsOfDHp+I140)</f>
        <v>118860</v>
      </c>
      <c r="J141">
        <f>IF(AND(MyRowHidden(ROW())=FALSE,MyRowHidden(ROW()-1)=TRUE),0,(G141-G140)*unitsOfExo+J140)</f>
        <v>-20695.000000000007</v>
      </c>
      <c r="K141" s="9">
        <f t="shared" ref="K141:K204" si="8">-(J141-J140)+K140</f>
        <v>20695.000000000007</v>
      </c>
      <c r="L141">
        <f t="shared" ref="L141:L204" si="9">I141+J141</f>
        <v>98165</v>
      </c>
    </row>
    <row r="142" spans="1:12" x14ac:dyDescent="0.25">
      <c r="A142" s="1"/>
      <c r="C142" s="1"/>
      <c r="D142" s="1">
        <v>41457</v>
      </c>
      <c r="E142" s="10">
        <v>178214</v>
      </c>
      <c r="F142" s="1">
        <v>41457</v>
      </c>
      <c r="G142">
        <v>-6358.5</v>
      </c>
      <c r="H142" s="1">
        <f t="shared" si="7"/>
        <v>41457</v>
      </c>
      <c r="I142">
        <f>IF(AND(MyRowHidden(ROW())=FALSE,MyRowHidden(ROW()-1)=TRUE),0,(E142-E141)*unitsOfDHp+I141)</f>
        <v>125360</v>
      </c>
      <c r="J142">
        <f>IF(AND(MyRowHidden(ROW())=FALSE,MyRowHidden(ROW()-1)=TRUE),0,(G142-G141)*unitsOfExo+J141)</f>
        <v>-20695.000000000007</v>
      </c>
      <c r="K142" s="9">
        <f t="shared" si="8"/>
        <v>20695.000000000007</v>
      </c>
      <c r="L142">
        <f t="shared" si="9"/>
        <v>104665</v>
      </c>
    </row>
    <row r="143" spans="1:12" x14ac:dyDescent="0.25">
      <c r="A143" s="1"/>
      <c r="C143" s="1"/>
      <c r="D143" s="1">
        <v>41458</v>
      </c>
      <c r="E143" s="10">
        <v>179592</v>
      </c>
      <c r="F143" s="1">
        <v>41458</v>
      </c>
      <c r="G143">
        <v>-6358.5</v>
      </c>
      <c r="H143" s="1">
        <f t="shared" si="7"/>
        <v>41458</v>
      </c>
      <c r="I143">
        <f>IF(AND(MyRowHidden(ROW())=FALSE,MyRowHidden(ROW()-1)=TRUE),0,(E143-E142)*unitsOfDHp+I142)</f>
        <v>139140</v>
      </c>
      <c r="J143">
        <f>IF(AND(MyRowHidden(ROW())=FALSE,MyRowHidden(ROW()-1)=TRUE),0,(G143-G142)*unitsOfExo+J142)</f>
        <v>-20695.000000000007</v>
      </c>
      <c r="K143" s="9">
        <f t="shared" si="8"/>
        <v>20695.000000000007</v>
      </c>
      <c r="L143">
        <f t="shared" si="9"/>
        <v>118445</v>
      </c>
    </row>
    <row r="144" spans="1:12" x14ac:dyDescent="0.25">
      <c r="A144" s="1"/>
      <c r="C144" s="1"/>
      <c r="D144" s="1">
        <v>41459</v>
      </c>
      <c r="E144" s="10">
        <v>179700</v>
      </c>
      <c r="F144" s="1">
        <v>41459</v>
      </c>
      <c r="G144">
        <v>-6358.5</v>
      </c>
      <c r="H144" s="1">
        <f t="shared" si="7"/>
        <v>41459</v>
      </c>
      <c r="I144">
        <f>IF(AND(MyRowHidden(ROW())=FALSE,MyRowHidden(ROW()-1)=TRUE),0,(E144-E143)*unitsOfDHp+I143)</f>
        <v>140220</v>
      </c>
      <c r="J144">
        <f>IF(AND(MyRowHidden(ROW())=FALSE,MyRowHidden(ROW()-1)=TRUE),0,(G144-G143)*unitsOfExo+J143)</f>
        <v>-20695.000000000007</v>
      </c>
      <c r="K144" s="9">
        <f t="shared" si="8"/>
        <v>20695.000000000007</v>
      </c>
      <c r="L144">
        <f t="shared" si="9"/>
        <v>119525</v>
      </c>
    </row>
    <row r="145" spans="1:12" x14ac:dyDescent="0.25">
      <c r="A145" s="1"/>
      <c r="C145" s="1"/>
      <c r="D145" s="1">
        <v>41460</v>
      </c>
      <c r="E145" s="10">
        <v>181146</v>
      </c>
      <c r="F145" s="1">
        <v>41460</v>
      </c>
      <c r="G145">
        <v>-6510.78</v>
      </c>
      <c r="H145" s="1">
        <f t="shared" si="7"/>
        <v>41460</v>
      </c>
      <c r="I145">
        <f>IF(AND(MyRowHidden(ROW())=FALSE,MyRowHidden(ROW()-1)=TRUE),0,(E145-E144)*unitsOfDHp+I144)</f>
        <v>154680</v>
      </c>
      <c r="J145">
        <f>IF(AND(MyRowHidden(ROW())=FALSE,MyRowHidden(ROW()-1)=TRUE),0,(G145-G144)*unitsOfExo+J144)</f>
        <v>-22217.800000000003</v>
      </c>
      <c r="K145" s="9">
        <f t="shared" si="8"/>
        <v>22217.800000000003</v>
      </c>
      <c r="L145">
        <f t="shared" si="9"/>
        <v>132462.20000000001</v>
      </c>
    </row>
    <row r="146" spans="1:12" x14ac:dyDescent="0.25">
      <c r="A146" s="1"/>
      <c r="C146" s="1"/>
      <c r="D146" s="1">
        <v>41463</v>
      </c>
      <c r="E146" s="10">
        <v>180938</v>
      </c>
      <c r="F146" s="1">
        <v>41463</v>
      </c>
      <c r="G146">
        <v>-6366.49</v>
      </c>
      <c r="H146" s="1">
        <f t="shared" si="7"/>
        <v>41463</v>
      </c>
      <c r="I146">
        <f>IF(AND(MyRowHidden(ROW())=FALSE,MyRowHidden(ROW()-1)=TRUE),0,(E146-E145)*unitsOfDHp+I145)</f>
        <v>152600</v>
      </c>
      <c r="J146">
        <f>IF(AND(MyRowHidden(ROW())=FALSE,MyRowHidden(ROW()-1)=TRUE),0,(G146-G145)*unitsOfExo+J145)</f>
        <v>-20774.900000000001</v>
      </c>
      <c r="K146" s="9">
        <f t="shared" si="8"/>
        <v>20774.900000000001</v>
      </c>
      <c r="L146">
        <f t="shared" si="9"/>
        <v>131825.1</v>
      </c>
    </row>
    <row r="147" spans="1:12" x14ac:dyDescent="0.25">
      <c r="A147" s="1"/>
      <c r="C147" s="1"/>
      <c r="D147" s="1">
        <v>41464</v>
      </c>
      <c r="E147" s="10">
        <v>181152</v>
      </c>
      <c r="F147" s="1">
        <v>41464</v>
      </c>
      <c r="G147">
        <v>-6139.48</v>
      </c>
      <c r="H147" s="1">
        <f t="shared" si="7"/>
        <v>41464</v>
      </c>
      <c r="I147">
        <f>IF(AND(MyRowHidden(ROW())=FALSE,MyRowHidden(ROW()-1)=TRUE),0,(E147-E146)*unitsOfDHp+I146)</f>
        <v>154740</v>
      </c>
      <c r="J147">
        <f>IF(AND(MyRowHidden(ROW())=FALSE,MyRowHidden(ROW()-1)=TRUE),0,(G147-G146)*unitsOfExo+J146)</f>
        <v>-18504.8</v>
      </c>
      <c r="K147" s="9">
        <f t="shared" si="8"/>
        <v>18504.8</v>
      </c>
      <c r="L147">
        <f t="shared" si="9"/>
        <v>136235.20000000001</v>
      </c>
    </row>
    <row r="148" spans="1:12" x14ac:dyDescent="0.25">
      <c r="A148" s="1"/>
      <c r="C148" s="1"/>
      <c r="D148" s="1">
        <v>41465</v>
      </c>
      <c r="E148" s="10">
        <v>183252</v>
      </c>
      <c r="F148" s="1">
        <v>41465</v>
      </c>
      <c r="G148">
        <v>-6139.48</v>
      </c>
      <c r="H148" s="1">
        <f t="shared" si="7"/>
        <v>41465</v>
      </c>
      <c r="I148">
        <f>IF(AND(MyRowHidden(ROW())=FALSE,MyRowHidden(ROW()-1)=TRUE),0,(E148-E147)*unitsOfDHp+I147)</f>
        <v>175740</v>
      </c>
      <c r="J148">
        <f>IF(AND(MyRowHidden(ROW())=FALSE,MyRowHidden(ROW()-1)=TRUE),0,(G148-G147)*unitsOfExo+J147)</f>
        <v>-18504.8</v>
      </c>
      <c r="K148" s="9">
        <f t="shared" si="8"/>
        <v>18504.8</v>
      </c>
      <c r="L148">
        <f t="shared" si="9"/>
        <v>157235.20000000001</v>
      </c>
    </row>
    <row r="149" spans="1:12" x14ac:dyDescent="0.25">
      <c r="A149" s="1"/>
      <c r="C149" s="1"/>
      <c r="D149" s="1">
        <v>41466</v>
      </c>
      <c r="E149" s="10">
        <v>182230</v>
      </c>
      <c r="F149" s="1">
        <v>41466</v>
      </c>
      <c r="G149">
        <v>-6139.48</v>
      </c>
      <c r="H149" s="1">
        <f t="shared" si="7"/>
        <v>41466</v>
      </c>
      <c r="I149">
        <f>IF(AND(MyRowHidden(ROW())=FALSE,MyRowHidden(ROW()-1)=TRUE),0,(E149-E148)*unitsOfDHp+I148)</f>
        <v>165520</v>
      </c>
      <c r="J149">
        <f>IF(AND(MyRowHidden(ROW())=FALSE,MyRowHidden(ROW()-1)=TRUE),0,(G149-G148)*unitsOfExo+J148)</f>
        <v>-18504.8</v>
      </c>
      <c r="K149" s="9">
        <f t="shared" si="8"/>
        <v>18504.8</v>
      </c>
      <c r="L149">
        <f t="shared" si="9"/>
        <v>147015.20000000001</v>
      </c>
    </row>
    <row r="150" spans="1:12" x14ac:dyDescent="0.25">
      <c r="A150" s="1"/>
      <c r="C150" s="1"/>
      <c r="D150" s="1">
        <v>41467</v>
      </c>
      <c r="E150" s="10">
        <v>182966</v>
      </c>
      <c r="F150" s="1">
        <v>41467</v>
      </c>
      <c r="G150">
        <v>-6177.08</v>
      </c>
      <c r="H150" s="1">
        <f t="shared" si="7"/>
        <v>41467</v>
      </c>
      <c r="I150">
        <f>IF(AND(MyRowHidden(ROW())=FALSE,MyRowHidden(ROW()-1)=TRUE),0,(E150-E149)*unitsOfDHp+I149)</f>
        <v>172880</v>
      </c>
      <c r="J150">
        <f>IF(AND(MyRowHidden(ROW())=FALSE,MyRowHidden(ROW()-1)=TRUE),0,(G150-G149)*unitsOfExo+J149)</f>
        <v>-18880.800000000003</v>
      </c>
      <c r="K150" s="9">
        <f t="shared" si="8"/>
        <v>18880.800000000003</v>
      </c>
      <c r="L150">
        <f t="shared" si="9"/>
        <v>153999.20000000001</v>
      </c>
    </row>
    <row r="151" spans="1:12" x14ac:dyDescent="0.25">
      <c r="A151" s="1"/>
      <c r="C151" s="1"/>
      <c r="D151" s="1">
        <v>41470</v>
      </c>
      <c r="E151" s="10">
        <v>182986</v>
      </c>
      <c r="F151" s="1">
        <v>41470</v>
      </c>
      <c r="G151">
        <v>-6523.94</v>
      </c>
      <c r="H151" s="1">
        <f t="shared" si="7"/>
        <v>41470</v>
      </c>
      <c r="I151">
        <f>IF(AND(MyRowHidden(ROW())=FALSE,MyRowHidden(ROW()-1)=TRUE),0,(E151-E150)*unitsOfDHp+I150)</f>
        <v>173080</v>
      </c>
      <c r="J151">
        <f>IF(AND(MyRowHidden(ROW())=FALSE,MyRowHidden(ROW()-1)=TRUE),0,(G151-G150)*unitsOfExo+J150)</f>
        <v>-22349.4</v>
      </c>
      <c r="K151" s="9">
        <f t="shared" si="8"/>
        <v>22349.4</v>
      </c>
      <c r="L151">
        <f t="shared" si="9"/>
        <v>150730.6</v>
      </c>
    </row>
    <row r="152" spans="1:12" x14ac:dyDescent="0.25">
      <c r="A152" s="1"/>
      <c r="C152" s="1"/>
      <c r="D152" s="1">
        <v>41471</v>
      </c>
      <c r="E152" s="10">
        <v>182896</v>
      </c>
      <c r="F152" s="1">
        <v>41471</v>
      </c>
      <c r="G152">
        <v>-6491.98</v>
      </c>
      <c r="H152" s="1">
        <f t="shared" si="7"/>
        <v>41471</v>
      </c>
      <c r="I152">
        <f>IF(AND(MyRowHidden(ROW())=FALSE,MyRowHidden(ROW()-1)=TRUE),0,(E152-E151)*unitsOfDHp+I151)</f>
        <v>172180</v>
      </c>
      <c r="J152">
        <f>IF(AND(MyRowHidden(ROW())=FALSE,MyRowHidden(ROW()-1)=TRUE),0,(G152-G151)*unitsOfExo+J151)</f>
        <v>-22029.800000000003</v>
      </c>
      <c r="K152" s="9">
        <f t="shared" si="8"/>
        <v>22029.800000000003</v>
      </c>
      <c r="L152">
        <f t="shared" si="9"/>
        <v>150150.20000000001</v>
      </c>
    </row>
    <row r="153" spans="1:12" x14ac:dyDescent="0.25">
      <c r="A153" s="1"/>
      <c r="C153" s="1"/>
      <c r="D153" s="1">
        <v>41472</v>
      </c>
      <c r="E153" s="10">
        <v>183536</v>
      </c>
      <c r="F153" s="1">
        <v>41472</v>
      </c>
      <c r="G153">
        <v>-6462.84</v>
      </c>
      <c r="H153" s="1">
        <f t="shared" si="7"/>
        <v>41472</v>
      </c>
      <c r="I153">
        <f>IF(AND(MyRowHidden(ROW())=FALSE,MyRowHidden(ROW()-1)=TRUE),0,(E153-E152)*unitsOfDHp+I152)</f>
        <v>178580</v>
      </c>
      <c r="J153">
        <f>IF(AND(MyRowHidden(ROW())=FALSE,MyRowHidden(ROW()-1)=TRUE),0,(G153-G152)*unitsOfExo+J152)</f>
        <v>-21738.400000000009</v>
      </c>
      <c r="K153" s="9">
        <f t="shared" si="8"/>
        <v>21738.400000000009</v>
      </c>
      <c r="L153">
        <f t="shared" si="9"/>
        <v>156841.59999999998</v>
      </c>
    </row>
    <row r="154" spans="1:12" x14ac:dyDescent="0.25">
      <c r="A154" s="1"/>
      <c r="C154" s="1"/>
      <c r="D154" s="1">
        <v>41473</v>
      </c>
      <c r="E154" s="10">
        <v>185536</v>
      </c>
      <c r="F154" s="1">
        <v>41473</v>
      </c>
      <c r="G154">
        <v>-6462.84</v>
      </c>
      <c r="H154" s="1">
        <f t="shared" si="7"/>
        <v>41473</v>
      </c>
      <c r="I154">
        <f>IF(AND(MyRowHidden(ROW())=FALSE,MyRowHidden(ROW()-1)=TRUE),0,(E154-E153)*unitsOfDHp+I153)</f>
        <v>198580</v>
      </c>
      <c r="J154">
        <f>IF(AND(MyRowHidden(ROW())=FALSE,MyRowHidden(ROW()-1)=TRUE),0,(G154-G153)*unitsOfExo+J153)</f>
        <v>-21738.400000000009</v>
      </c>
      <c r="K154" s="9">
        <f t="shared" si="8"/>
        <v>21738.400000000009</v>
      </c>
      <c r="L154">
        <f t="shared" si="9"/>
        <v>176841.59999999998</v>
      </c>
    </row>
    <row r="155" spans="1:12" x14ac:dyDescent="0.25">
      <c r="A155" s="1"/>
      <c r="C155" s="1"/>
      <c r="D155" s="1">
        <v>41474</v>
      </c>
      <c r="E155" s="10">
        <v>185016</v>
      </c>
      <c r="F155" s="1">
        <v>41474</v>
      </c>
      <c r="G155">
        <v>-6195.41</v>
      </c>
      <c r="H155" s="1">
        <f t="shared" si="7"/>
        <v>41474</v>
      </c>
      <c r="I155">
        <f>IF(AND(MyRowHidden(ROW())=FALSE,MyRowHidden(ROW()-1)=TRUE),0,(E155-E154)*unitsOfDHp+I154)</f>
        <v>193380</v>
      </c>
      <c r="J155">
        <f>IF(AND(MyRowHidden(ROW())=FALSE,MyRowHidden(ROW()-1)=TRUE),0,(G155-G154)*unitsOfExo+J154)</f>
        <v>-19064.100000000006</v>
      </c>
      <c r="K155" s="9">
        <f t="shared" si="8"/>
        <v>19064.100000000006</v>
      </c>
      <c r="L155">
        <f t="shared" si="9"/>
        <v>174315.9</v>
      </c>
    </row>
    <row r="156" spans="1:12" x14ac:dyDescent="0.25">
      <c r="A156" s="1"/>
      <c r="C156" s="1"/>
      <c r="D156" s="1">
        <v>41477</v>
      </c>
      <c r="E156" s="10">
        <v>184774</v>
      </c>
      <c r="F156" s="1">
        <v>41477</v>
      </c>
      <c r="G156">
        <v>-6238.18</v>
      </c>
      <c r="H156" s="1">
        <f t="shared" si="7"/>
        <v>41477</v>
      </c>
      <c r="I156">
        <f>IF(AND(MyRowHidden(ROW())=FALSE,MyRowHidden(ROW()-1)=TRUE),0,(E156-E155)*unitsOfDHp+I155)</f>
        <v>190960</v>
      </c>
      <c r="J156">
        <f>IF(AND(MyRowHidden(ROW())=FALSE,MyRowHidden(ROW()-1)=TRUE),0,(G156-G155)*unitsOfExo+J155)</f>
        <v>-19491.80000000001</v>
      </c>
      <c r="K156" s="9">
        <f t="shared" si="8"/>
        <v>19491.80000000001</v>
      </c>
      <c r="L156">
        <f t="shared" si="9"/>
        <v>171468.19999999998</v>
      </c>
    </row>
    <row r="157" spans="1:12" x14ac:dyDescent="0.25">
      <c r="A157" s="1"/>
      <c r="C157" s="1"/>
      <c r="D157" s="1">
        <v>41478</v>
      </c>
      <c r="E157" s="10">
        <v>184940</v>
      </c>
      <c r="F157" s="1">
        <v>41478</v>
      </c>
      <c r="G157">
        <v>-6051.59</v>
      </c>
      <c r="H157" s="1">
        <f t="shared" si="7"/>
        <v>41478</v>
      </c>
      <c r="I157">
        <f>IF(AND(MyRowHidden(ROW())=FALSE,MyRowHidden(ROW()-1)=TRUE),0,(E157-E156)*unitsOfDHp+I156)</f>
        <v>192620</v>
      </c>
      <c r="J157">
        <f>IF(AND(MyRowHidden(ROW())=FALSE,MyRowHidden(ROW()-1)=TRUE),0,(G157-G156)*unitsOfExo+J156)</f>
        <v>-17625.900000000009</v>
      </c>
      <c r="K157" s="9">
        <f t="shared" si="8"/>
        <v>17625.900000000009</v>
      </c>
      <c r="L157">
        <f t="shared" si="9"/>
        <v>174994.09999999998</v>
      </c>
    </row>
    <row r="158" spans="1:12" x14ac:dyDescent="0.25">
      <c r="A158" s="1"/>
      <c r="C158" s="1"/>
      <c r="D158" s="1">
        <v>41479</v>
      </c>
      <c r="E158" s="10">
        <v>184494</v>
      </c>
      <c r="F158" s="1">
        <v>41479</v>
      </c>
      <c r="G158">
        <v>-5987.2</v>
      </c>
      <c r="H158" s="1">
        <f t="shared" si="7"/>
        <v>41479</v>
      </c>
      <c r="I158">
        <f>IF(AND(MyRowHidden(ROW())=FALSE,MyRowHidden(ROW()-1)=TRUE),0,(E158-E157)*unitsOfDHp+I157)</f>
        <v>188160</v>
      </c>
      <c r="J158">
        <f>IF(AND(MyRowHidden(ROW())=FALSE,MyRowHidden(ROW()-1)=TRUE),0,(G158-G157)*unitsOfExo+J157)</f>
        <v>-16982.000000000007</v>
      </c>
      <c r="K158" s="9">
        <f t="shared" si="8"/>
        <v>16982.000000000007</v>
      </c>
      <c r="L158">
        <f t="shared" si="9"/>
        <v>171178</v>
      </c>
    </row>
    <row r="159" spans="1:12" x14ac:dyDescent="0.25">
      <c r="A159" s="1"/>
      <c r="C159" s="1"/>
      <c r="D159" s="1">
        <v>41480</v>
      </c>
      <c r="E159" s="10">
        <v>184252</v>
      </c>
      <c r="F159" s="1">
        <v>41480</v>
      </c>
      <c r="G159">
        <v>-5934.09</v>
      </c>
      <c r="H159" s="1">
        <f t="shared" si="7"/>
        <v>41480</v>
      </c>
      <c r="I159">
        <f>IF(AND(MyRowHidden(ROW())=FALSE,MyRowHidden(ROW()-1)=TRUE),0,(E159-E158)*unitsOfDHp+I158)</f>
        <v>185740</v>
      </c>
      <c r="J159">
        <f>IF(AND(MyRowHidden(ROW())=FALSE,MyRowHidden(ROW()-1)=TRUE),0,(G159-G158)*unitsOfExo+J158)</f>
        <v>-16450.900000000009</v>
      </c>
      <c r="K159" s="9">
        <f t="shared" si="8"/>
        <v>16450.900000000009</v>
      </c>
      <c r="L159">
        <f t="shared" si="9"/>
        <v>169289.09999999998</v>
      </c>
    </row>
    <row r="160" spans="1:12" x14ac:dyDescent="0.25">
      <c r="A160" s="1"/>
      <c r="C160" s="1"/>
      <c r="D160" s="1">
        <v>41481</v>
      </c>
      <c r="E160" s="10">
        <v>184812</v>
      </c>
      <c r="F160" s="1">
        <v>41481</v>
      </c>
      <c r="G160">
        <v>-5934.09</v>
      </c>
      <c r="H160" s="1">
        <f t="shared" si="7"/>
        <v>41481</v>
      </c>
      <c r="I160">
        <f>IF(AND(MyRowHidden(ROW())=FALSE,MyRowHidden(ROW()-1)=TRUE),0,(E160-E159)*unitsOfDHp+I159)</f>
        <v>191340</v>
      </c>
      <c r="J160">
        <f>IF(AND(MyRowHidden(ROW())=FALSE,MyRowHidden(ROW()-1)=TRUE),0,(G160-G159)*unitsOfExo+J159)</f>
        <v>-16450.900000000009</v>
      </c>
      <c r="K160" s="9">
        <f t="shared" si="8"/>
        <v>16450.900000000009</v>
      </c>
      <c r="L160">
        <f t="shared" si="9"/>
        <v>174889.09999999998</v>
      </c>
    </row>
    <row r="161" spans="1:12" x14ac:dyDescent="0.25">
      <c r="A161" s="1"/>
      <c r="C161" s="1"/>
      <c r="D161" s="1">
        <v>41484</v>
      </c>
      <c r="E161" s="10">
        <v>184812</v>
      </c>
      <c r="F161" s="1">
        <v>41484</v>
      </c>
      <c r="G161">
        <v>-5934.09</v>
      </c>
      <c r="H161" s="1">
        <f t="shared" si="7"/>
        <v>41484</v>
      </c>
      <c r="I161">
        <f>IF(AND(MyRowHidden(ROW())=FALSE,MyRowHidden(ROW()-1)=TRUE),0,(E161-E160)*unitsOfDHp+I160)</f>
        <v>191340</v>
      </c>
      <c r="J161">
        <f>IF(AND(MyRowHidden(ROW())=FALSE,MyRowHidden(ROW()-1)=TRUE),0,(G161-G160)*unitsOfExo+J160)</f>
        <v>-16450.900000000009</v>
      </c>
      <c r="K161" s="9">
        <f t="shared" si="8"/>
        <v>16450.900000000009</v>
      </c>
      <c r="L161">
        <f t="shared" si="9"/>
        <v>174889.09999999998</v>
      </c>
    </row>
    <row r="162" spans="1:12" x14ac:dyDescent="0.25">
      <c r="A162" s="1"/>
      <c r="C162" s="1"/>
      <c r="D162" s="1">
        <v>41485</v>
      </c>
      <c r="E162" s="10">
        <v>184644</v>
      </c>
      <c r="F162" s="1">
        <v>41485</v>
      </c>
      <c r="G162">
        <v>-5923.28</v>
      </c>
      <c r="H162" s="1">
        <f t="shared" si="7"/>
        <v>41485</v>
      </c>
      <c r="I162">
        <f>IF(AND(MyRowHidden(ROW())=FALSE,MyRowHidden(ROW()-1)=TRUE),0,(E162-E161)*unitsOfDHp+I161)</f>
        <v>189660</v>
      </c>
      <c r="J162">
        <f>IF(AND(MyRowHidden(ROW())=FALSE,MyRowHidden(ROW()-1)=TRUE),0,(G162-G161)*unitsOfExo+J161)</f>
        <v>-16342.800000000005</v>
      </c>
      <c r="K162" s="9">
        <f t="shared" si="8"/>
        <v>16342.800000000005</v>
      </c>
      <c r="L162">
        <f t="shared" si="9"/>
        <v>173317.19999999998</v>
      </c>
    </row>
    <row r="163" spans="1:12" x14ac:dyDescent="0.25">
      <c r="A163" s="1"/>
      <c r="C163" s="1"/>
      <c r="D163" s="1">
        <v>41486</v>
      </c>
      <c r="E163" s="10">
        <v>183920</v>
      </c>
      <c r="F163" s="1">
        <v>41486</v>
      </c>
      <c r="G163">
        <v>-5912.47</v>
      </c>
      <c r="H163" s="1">
        <f t="shared" si="7"/>
        <v>41486</v>
      </c>
      <c r="I163">
        <f>IF(AND(MyRowHidden(ROW())=FALSE,MyRowHidden(ROW()-1)=TRUE),0,(E163-E162)*unitsOfDHp+I162)</f>
        <v>182420</v>
      </c>
      <c r="J163">
        <f>IF(AND(MyRowHidden(ROW())=FALSE,MyRowHidden(ROW()-1)=TRUE),0,(G163-G162)*unitsOfExo+J162)</f>
        <v>-16234.70000000001</v>
      </c>
      <c r="K163" s="9">
        <f t="shared" si="8"/>
        <v>16234.70000000001</v>
      </c>
      <c r="L163">
        <f t="shared" si="9"/>
        <v>166185.29999999999</v>
      </c>
    </row>
    <row r="164" spans="1:12" x14ac:dyDescent="0.25">
      <c r="A164" s="1"/>
      <c r="C164" s="1"/>
      <c r="D164" s="1">
        <v>41487</v>
      </c>
      <c r="E164" s="10">
        <v>183476</v>
      </c>
      <c r="F164" s="1">
        <v>41487</v>
      </c>
      <c r="G164">
        <v>-4901.75</v>
      </c>
      <c r="H164" s="1">
        <f t="shared" si="7"/>
        <v>41487</v>
      </c>
      <c r="I164">
        <f>IF(AND(MyRowHidden(ROW())=FALSE,MyRowHidden(ROW()-1)=TRUE),0,(E164-E163)*unitsOfDHp+I163)</f>
        <v>177980</v>
      </c>
      <c r="J164">
        <f>IF(AND(MyRowHidden(ROW())=FALSE,MyRowHidden(ROW()-1)=TRUE),0,(G164-G163)*unitsOfExo+J163)</f>
        <v>-6127.5000000000073</v>
      </c>
      <c r="K164" s="9">
        <f t="shared" si="8"/>
        <v>6127.5000000000073</v>
      </c>
      <c r="L164">
        <f t="shared" si="9"/>
        <v>171852.5</v>
      </c>
    </row>
    <row r="165" spans="1:12" x14ac:dyDescent="0.25">
      <c r="A165" s="1"/>
      <c r="C165" s="1"/>
      <c r="D165" s="1">
        <v>41488</v>
      </c>
      <c r="E165" s="10">
        <v>185120</v>
      </c>
      <c r="F165" s="1">
        <v>41488</v>
      </c>
      <c r="G165">
        <v>-4621.16</v>
      </c>
      <c r="H165" s="1">
        <f t="shared" si="7"/>
        <v>41488</v>
      </c>
      <c r="I165">
        <f>IF(AND(MyRowHidden(ROW())=FALSE,MyRowHidden(ROW()-1)=TRUE),0,(E165-E164)*unitsOfDHp+I164)</f>
        <v>194420</v>
      </c>
      <c r="J165">
        <f>IF(AND(MyRowHidden(ROW())=FALSE,MyRowHidden(ROW()-1)=TRUE),0,(G165-G164)*unitsOfExo+J164)</f>
        <v>-3321.6000000000058</v>
      </c>
      <c r="K165" s="9">
        <f t="shared" si="8"/>
        <v>3321.6000000000058</v>
      </c>
      <c r="L165">
        <f t="shared" si="9"/>
        <v>191098.4</v>
      </c>
    </row>
    <row r="166" spans="1:12" x14ac:dyDescent="0.25">
      <c r="A166" s="1"/>
      <c r="C166" s="1"/>
      <c r="D166" s="1">
        <v>41491</v>
      </c>
      <c r="E166" s="10">
        <v>185196</v>
      </c>
      <c r="F166" s="1">
        <v>41491</v>
      </c>
      <c r="G166">
        <v>-4621.16</v>
      </c>
      <c r="H166" s="1">
        <f t="shared" si="7"/>
        <v>41491</v>
      </c>
      <c r="I166">
        <f>IF(AND(MyRowHidden(ROW())=FALSE,MyRowHidden(ROW()-1)=TRUE),0,(E166-E165)*unitsOfDHp+I165)</f>
        <v>195180</v>
      </c>
      <c r="J166">
        <f>IF(AND(MyRowHidden(ROW())=FALSE,MyRowHidden(ROW()-1)=TRUE),0,(G166-G165)*unitsOfExo+J165)</f>
        <v>-3321.6000000000058</v>
      </c>
      <c r="K166" s="9">
        <f t="shared" si="8"/>
        <v>3321.6000000000058</v>
      </c>
      <c r="L166">
        <f t="shared" si="9"/>
        <v>191858.4</v>
      </c>
    </row>
    <row r="167" spans="1:12" x14ac:dyDescent="0.25">
      <c r="A167" s="1"/>
      <c r="C167" s="1"/>
      <c r="D167" s="1">
        <v>41492</v>
      </c>
      <c r="E167" s="10">
        <v>189188</v>
      </c>
      <c r="F167" s="1">
        <v>41492</v>
      </c>
      <c r="G167">
        <v>-4621.16</v>
      </c>
      <c r="H167" s="1">
        <f t="shared" si="7"/>
        <v>41492</v>
      </c>
      <c r="I167">
        <f>IF(AND(MyRowHidden(ROW())=FALSE,MyRowHidden(ROW()-1)=TRUE),0,(E167-E166)*unitsOfDHp+I166)</f>
        <v>235100</v>
      </c>
      <c r="J167">
        <f>IF(AND(MyRowHidden(ROW())=FALSE,MyRowHidden(ROW()-1)=TRUE),0,(G167-G166)*unitsOfExo+J166)</f>
        <v>-3321.6000000000058</v>
      </c>
      <c r="K167" s="9">
        <f t="shared" si="8"/>
        <v>3321.6000000000058</v>
      </c>
      <c r="L167">
        <f t="shared" si="9"/>
        <v>231778.4</v>
      </c>
    </row>
    <row r="168" spans="1:12" x14ac:dyDescent="0.25">
      <c r="A168" s="1"/>
      <c r="C168" s="1"/>
      <c r="D168" s="1">
        <v>41493</v>
      </c>
      <c r="E168" s="10">
        <v>191866</v>
      </c>
      <c r="F168" s="1">
        <v>41493</v>
      </c>
      <c r="G168">
        <v>-4621.16</v>
      </c>
      <c r="H168" s="1">
        <f t="shared" si="7"/>
        <v>41493</v>
      </c>
      <c r="I168">
        <f>IF(AND(MyRowHidden(ROW())=FALSE,MyRowHidden(ROW()-1)=TRUE),0,(E168-E167)*unitsOfDHp+I167)</f>
        <v>261880</v>
      </c>
      <c r="J168">
        <f>IF(AND(MyRowHidden(ROW())=FALSE,MyRowHidden(ROW()-1)=TRUE),0,(G168-G167)*unitsOfExo+J167)</f>
        <v>-3321.6000000000058</v>
      </c>
      <c r="K168" s="9">
        <f t="shared" si="8"/>
        <v>3321.6000000000058</v>
      </c>
      <c r="L168">
        <f t="shared" si="9"/>
        <v>258558.4</v>
      </c>
    </row>
    <row r="169" spans="1:12" x14ac:dyDescent="0.25">
      <c r="A169" s="1"/>
      <c r="C169" s="1"/>
      <c r="D169" s="1">
        <v>41494</v>
      </c>
      <c r="E169" s="10">
        <v>197040</v>
      </c>
      <c r="F169" s="1">
        <v>41494</v>
      </c>
      <c r="G169">
        <v>-4258.32</v>
      </c>
      <c r="H169" s="1">
        <f t="shared" si="7"/>
        <v>41494</v>
      </c>
      <c r="I169">
        <f>IF(AND(MyRowHidden(ROW())=FALSE,MyRowHidden(ROW()-1)=TRUE),0,(E169-E168)*unitsOfDHp+I168)</f>
        <v>313620</v>
      </c>
      <c r="J169">
        <f>IF(AND(MyRowHidden(ROW())=FALSE,MyRowHidden(ROW()-1)=TRUE),0,(G169-G168)*unitsOfExo+J168)</f>
        <v>306.79999999999563</v>
      </c>
      <c r="K169" s="9">
        <f t="shared" si="8"/>
        <v>-306.79999999999563</v>
      </c>
      <c r="L169">
        <f t="shared" si="9"/>
        <v>313926.8</v>
      </c>
    </row>
    <row r="170" spans="1:12" x14ac:dyDescent="0.25">
      <c r="A170" s="1"/>
      <c r="C170" s="1"/>
      <c r="D170" s="1">
        <v>41495</v>
      </c>
      <c r="E170" s="10">
        <v>184666</v>
      </c>
      <c r="F170" s="1">
        <v>41495</v>
      </c>
      <c r="G170">
        <v>-4001.7</v>
      </c>
      <c r="H170" s="1">
        <f t="shared" si="7"/>
        <v>41495</v>
      </c>
      <c r="I170">
        <f>IF(AND(MyRowHidden(ROW())=FALSE,MyRowHidden(ROW()-1)=TRUE),0,(E170-E169)*unitsOfDHp+I169)</f>
        <v>189880</v>
      </c>
      <c r="J170">
        <f>IF(AND(MyRowHidden(ROW())=FALSE,MyRowHidden(ROW()-1)=TRUE),0,(G170-G169)*unitsOfExo+J169)</f>
        <v>2872.9999999999945</v>
      </c>
      <c r="K170" s="9">
        <f t="shared" si="8"/>
        <v>-2872.9999999999945</v>
      </c>
      <c r="L170">
        <f t="shared" si="9"/>
        <v>192753</v>
      </c>
    </row>
    <row r="171" spans="1:12" x14ac:dyDescent="0.25">
      <c r="A171" s="1"/>
      <c r="C171" s="1"/>
      <c r="D171" s="1">
        <v>41498</v>
      </c>
      <c r="E171" s="10">
        <v>185876</v>
      </c>
      <c r="F171" s="1">
        <v>41498</v>
      </c>
      <c r="G171">
        <v>-3921.8</v>
      </c>
      <c r="H171" s="1">
        <f t="shared" si="7"/>
        <v>41498</v>
      </c>
      <c r="I171">
        <f>IF(AND(MyRowHidden(ROW())=FALSE,MyRowHidden(ROW()-1)=TRUE),0,(E171-E170)*unitsOfDHp+I170)</f>
        <v>201980</v>
      </c>
      <c r="J171">
        <f>IF(AND(MyRowHidden(ROW())=FALSE,MyRowHidden(ROW()-1)=TRUE),0,(G171-G170)*unitsOfExo+J170)</f>
        <v>3671.9999999999909</v>
      </c>
      <c r="K171" s="9">
        <f t="shared" si="8"/>
        <v>-3671.9999999999909</v>
      </c>
      <c r="L171">
        <f t="shared" si="9"/>
        <v>205652</v>
      </c>
    </row>
    <row r="172" spans="1:12" x14ac:dyDescent="0.25">
      <c r="A172" s="1"/>
      <c r="C172" s="1"/>
      <c r="D172" s="1">
        <v>41499</v>
      </c>
      <c r="E172" s="10">
        <v>180604</v>
      </c>
      <c r="F172" s="1">
        <v>41499</v>
      </c>
      <c r="G172">
        <v>-3921.8</v>
      </c>
      <c r="H172" s="1">
        <f t="shared" si="7"/>
        <v>41499</v>
      </c>
      <c r="I172">
        <f>IF(AND(MyRowHidden(ROW())=FALSE,MyRowHidden(ROW()-1)=TRUE),0,(E172-E171)*unitsOfDHp+I171)</f>
        <v>149260</v>
      </c>
      <c r="J172">
        <f>IF(AND(MyRowHidden(ROW())=FALSE,MyRowHidden(ROW()-1)=TRUE),0,(G172-G171)*unitsOfExo+J171)</f>
        <v>3671.9999999999909</v>
      </c>
      <c r="K172" s="9">
        <f t="shared" si="8"/>
        <v>-3671.9999999999909</v>
      </c>
      <c r="L172">
        <f t="shared" si="9"/>
        <v>152932</v>
      </c>
    </row>
    <row r="173" spans="1:12" x14ac:dyDescent="0.25">
      <c r="A173" s="1"/>
      <c r="C173" s="1"/>
      <c r="D173" s="1">
        <v>41500</v>
      </c>
      <c r="E173" s="10">
        <v>180846</v>
      </c>
      <c r="F173" s="1">
        <v>41500</v>
      </c>
      <c r="G173">
        <v>-4095.23</v>
      </c>
      <c r="H173" s="1">
        <f t="shared" si="7"/>
        <v>41500</v>
      </c>
      <c r="I173">
        <f>IF(AND(MyRowHidden(ROW())=FALSE,MyRowHidden(ROW()-1)=TRUE),0,(E173-E172)*unitsOfDHp+I172)</f>
        <v>151680</v>
      </c>
      <c r="J173">
        <f>IF(AND(MyRowHidden(ROW())=FALSE,MyRowHidden(ROW()-1)=TRUE),0,(G173-G172)*unitsOfExo+J172)</f>
        <v>1937.6999999999925</v>
      </c>
      <c r="K173" s="9">
        <f t="shared" si="8"/>
        <v>-1937.6999999999925</v>
      </c>
      <c r="L173">
        <f t="shared" si="9"/>
        <v>153617.69999999998</v>
      </c>
    </row>
    <row r="174" spans="1:12" x14ac:dyDescent="0.25">
      <c r="A174" s="1"/>
      <c r="C174" s="1"/>
      <c r="D174" s="1">
        <v>41501</v>
      </c>
      <c r="E174" s="10">
        <v>180810</v>
      </c>
      <c r="F174" s="1">
        <v>41501</v>
      </c>
      <c r="G174">
        <v>-3921.8</v>
      </c>
      <c r="H174" s="1">
        <f t="shared" si="7"/>
        <v>41501</v>
      </c>
      <c r="I174">
        <f>IF(AND(MyRowHidden(ROW())=FALSE,MyRowHidden(ROW()-1)=TRUE),0,(E174-E173)*unitsOfDHp+I173)</f>
        <v>151320</v>
      </c>
      <c r="J174">
        <f>IF(AND(MyRowHidden(ROW())=FALSE,MyRowHidden(ROW()-1)=TRUE),0,(G174-G173)*unitsOfExo+J173)</f>
        <v>3671.9999999999909</v>
      </c>
      <c r="K174" s="9">
        <f t="shared" si="8"/>
        <v>-3671.9999999999909</v>
      </c>
      <c r="L174">
        <f t="shared" si="9"/>
        <v>154992</v>
      </c>
    </row>
    <row r="175" spans="1:12" x14ac:dyDescent="0.25">
      <c r="A175" s="1"/>
      <c r="C175" s="1"/>
      <c r="D175" s="1">
        <v>41502</v>
      </c>
      <c r="E175" s="10">
        <v>180810</v>
      </c>
      <c r="F175" s="1">
        <v>41502</v>
      </c>
      <c r="G175">
        <v>-3934.96</v>
      </c>
      <c r="H175" s="1">
        <f t="shared" si="7"/>
        <v>41502</v>
      </c>
      <c r="I175">
        <f>IF(AND(MyRowHidden(ROW())=FALSE,MyRowHidden(ROW()-1)=TRUE),0,(E175-E174)*unitsOfDHp+I174)</f>
        <v>151320</v>
      </c>
      <c r="J175">
        <f>IF(AND(MyRowHidden(ROW())=FALSE,MyRowHidden(ROW()-1)=TRUE),0,(G175-G174)*unitsOfExo+J174)</f>
        <v>3540.3999999999924</v>
      </c>
      <c r="K175" s="9">
        <f t="shared" si="8"/>
        <v>-3540.3999999999924</v>
      </c>
      <c r="L175">
        <f t="shared" si="9"/>
        <v>154860.4</v>
      </c>
    </row>
    <row r="176" spans="1:12" x14ac:dyDescent="0.25">
      <c r="A176" s="1"/>
      <c r="C176" s="1"/>
      <c r="D176" s="1">
        <v>41505</v>
      </c>
      <c r="E176" s="10">
        <v>180810</v>
      </c>
      <c r="F176" s="1">
        <v>41505</v>
      </c>
      <c r="G176">
        <v>-3934.96</v>
      </c>
      <c r="H176" s="1">
        <f t="shared" si="7"/>
        <v>41505</v>
      </c>
      <c r="I176">
        <f>IF(AND(MyRowHidden(ROW())=FALSE,MyRowHidden(ROW()-1)=TRUE),0,(E176-E175)*unitsOfDHp+I175)</f>
        <v>151320</v>
      </c>
      <c r="J176">
        <f>IF(AND(MyRowHidden(ROW())=FALSE,MyRowHidden(ROW()-1)=TRUE),0,(G176-G175)*unitsOfExo+J175)</f>
        <v>3540.3999999999924</v>
      </c>
      <c r="K176" s="9">
        <f t="shared" si="8"/>
        <v>-3540.3999999999924</v>
      </c>
      <c r="L176">
        <f t="shared" si="9"/>
        <v>154860.4</v>
      </c>
    </row>
    <row r="177" spans="1:12" x14ac:dyDescent="0.25">
      <c r="A177" s="1"/>
      <c r="C177" s="1"/>
      <c r="D177" s="1">
        <v>41506</v>
      </c>
      <c r="E177" s="10">
        <v>180702</v>
      </c>
      <c r="F177" s="1">
        <v>41506</v>
      </c>
      <c r="G177">
        <v>-4079.25</v>
      </c>
      <c r="H177" s="1">
        <f t="shared" si="7"/>
        <v>41506</v>
      </c>
      <c r="I177">
        <f>IF(AND(MyRowHidden(ROW())=FALSE,MyRowHidden(ROW()-1)=TRUE),0,(E177-E176)*unitsOfDHp+I176)</f>
        <v>150240</v>
      </c>
      <c r="J177">
        <f>IF(AND(MyRowHidden(ROW())=FALSE,MyRowHidden(ROW()-1)=TRUE),0,(G177-G176)*unitsOfExo+J176)</f>
        <v>2097.4999999999927</v>
      </c>
      <c r="K177" s="9">
        <f t="shared" si="8"/>
        <v>-2097.4999999999927</v>
      </c>
      <c r="L177">
        <f t="shared" si="9"/>
        <v>152337.5</v>
      </c>
    </row>
    <row r="178" spans="1:12" x14ac:dyDescent="0.25">
      <c r="A178" s="1"/>
      <c r="C178" s="1"/>
      <c r="D178" s="1">
        <v>41507</v>
      </c>
      <c r="E178" s="10">
        <v>180702</v>
      </c>
      <c r="F178" s="1">
        <v>41507</v>
      </c>
      <c r="G178">
        <v>-4079.25</v>
      </c>
      <c r="H178" s="1">
        <f t="shared" si="7"/>
        <v>41507</v>
      </c>
      <c r="I178">
        <f>IF(AND(MyRowHidden(ROW())=FALSE,MyRowHidden(ROW()-1)=TRUE),0,(E178-E177)*unitsOfDHp+I177)</f>
        <v>150240</v>
      </c>
      <c r="J178">
        <f>IF(AND(MyRowHidden(ROW())=FALSE,MyRowHidden(ROW()-1)=TRUE),0,(G178-G177)*unitsOfExo+J177)</f>
        <v>2097.4999999999927</v>
      </c>
      <c r="K178" s="9">
        <f t="shared" si="8"/>
        <v>-2097.4999999999927</v>
      </c>
      <c r="L178">
        <f t="shared" si="9"/>
        <v>152337.5</v>
      </c>
    </row>
    <row r="179" spans="1:12" x14ac:dyDescent="0.25">
      <c r="A179" s="1"/>
      <c r="C179" s="1"/>
      <c r="D179" s="1">
        <v>41508</v>
      </c>
      <c r="E179" s="10">
        <v>180642</v>
      </c>
      <c r="F179" s="1">
        <v>41508</v>
      </c>
      <c r="G179">
        <v>-4116.8500000000004</v>
      </c>
      <c r="H179" s="1">
        <f t="shared" si="7"/>
        <v>41508</v>
      </c>
      <c r="I179">
        <f>IF(AND(MyRowHidden(ROW())=FALSE,MyRowHidden(ROW()-1)=TRUE),0,(E179-E178)*unitsOfDHp+I178)</f>
        <v>149640</v>
      </c>
      <c r="J179">
        <f>IF(AND(MyRowHidden(ROW())=FALSE,MyRowHidden(ROW()-1)=TRUE),0,(G179-G178)*unitsOfExo+J178)</f>
        <v>1721.4999999999891</v>
      </c>
      <c r="K179" s="9">
        <f t="shared" si="8"/>
        <v>-1721.4999999999891</v>
      </c>
      <c r="L179">
        <f t="shared" si="9"/>
        <v>151361.5</v>
      </c>
    </row>
    <row r="180" spans="1:12" x14ac:dyDescent="0.25">
      <c r="A180" s="1"/>
      <c r="C180" s="1"/>
      <c r="D180" s="1">
        <v>41509</v>
      </c>
      <c r="E180" s="10">
        <v>180642</v>
      </c>
      <c r="F180" s="1">
        <v>41509</v>
      </c>
      <c r="G180">
        <v>-4084.42</v>
      </c>
      <c r="H180" s="1">
        <f t="shared" si="7"/>
        <v>41509</v>
      </c>
      <c r="I180">
        <f>IF(AND(MyRowHidden(ROW())=FALSE,MyRowHidden(ROW()-1)=TRUE),0,(E180-E179)*unitsOfDHp+I179)</f>
        <v>149640</v>
      </c>
      <c r="J180">
        <f>IF(AND(MyRowHidden(ROW())=FALSE,MyRowHidden(ROW()-1)=TRUE),0,(G180-G179)*unitsOfExo+J179)</f>
        <v>2045.799999999992</v>
      </c>
      <c r="K180" s="9">
        <f t="shared" si="8"/>
        <v>-2045.799999999992</v>
      </c>
      <c r="L180">
        <f t="shared" si="9"/>
        <v>151685.79999999999</v>
      </c>
    </row>
    <row r="181" spans="1:12" x14ac:dyDescent="0.25">
      <c r="A181" s="1"/>
      <c r="C181" s="1"/>
      <c r="D181" s="1">
        <v>41512</v>
      </c>
      <c r="E181" s="10">
        <v>180642</v>
      </c>
      <c r="F181" s="1">
        <v>41512</v>
      </c>
      <c r="G181">
        <v>-4084.42</v>
      </c>
      <c r="H181" s="1">
        <f t="shared" si="7"/>
        <v>41512</v>
      </c>
      <c r="I181">
        <f>IF(AND(MyRowHidden(ROW())=FALSE,MyRowHidden(ROW()-1)=TRUE),0,(E181-E180)*unitsOfDHp+I180)</f>
        <v>149640</v>
      </c>
      <c r="J181">
        <f>IF(AND(MyRowHidden(ROW())=FALSE,MyRowHidden(ROW()-1)=TRUE),0,(G181-G180)*unitsOfExo+J180)</f>
        <v>2045.799999999992</v>
      </c>
      <c r="K181" s="9">
        <f t="shared" si="8"/>
        <v>-2045.799999999992</v>
      </c>
      <c r="L181">
        <f t="shared" si="9"/>
        <v>151685.79999999999</v>
      </c>
    </row>
    <row r="182" spans="1:12" x14ac:dyDescent="0.25">
      <c r="A182" s="1"/>
      <c r="C182" s="1"/>
      <c r="D182" s="1">
        <v>41513</v>
      </c>
      <c r="E182" s="10">
        <v>181126</v>
      </c>
      <c r="F182" s="1">
        <v>41513</v>
      </c>
      <c r="G182">
        <v>-4106.04</v>
      </c>
      <c r="H182" s="1">
        <f t="shared" si="7"/>
        <v>41513</v>
      </c>
      <c r="I182">
        <f>IF(AND(MyRowHidden(ROW())=FALSE,MyRowHidden(ROW()-1)=TRUE),0,(E182-E181)*unitsOfDHp+I181)</f>
        <v>154480</v>
      </c>
      <c r="J182">
        <f>IF(AND(MyRowHidden(ROW())=FALSE,MyRowHidden(ROW()-1)=TRUE),0,(G182-G181)*unitsOfExo+J181)</f>
        <v>1829.5999999999931</v>
      </c>
      <c r="K182" s="9">
        <f t="shared" si="8"/>
        <v>-1829.5999999999931</v>
      </c>
      <c r="L182">
        <f t="shared" si="9"/>
        <v>156309.6</v>
      </c>
    </row>
    <row r="183" spans="1:12" x14ac:dyDescent="0.25">
      <c r="A183" s="1"/>
      <c r="C183" s="1"/>
      <c r="D183" s="1">
        <v>41514</v>
      </c>
      <c r="E183" s="10">
        <v>181964</v>
      </c>
      <c r="F183" s="1">
        <v>41514</v>
      </c>
      <c r="G183">
        <v>-4106.04</v>
      </c>
      <c r="H183" s="1">
        <f t="shared" si="7"/>
        <v>41514</v>
      </c>
      <c r="I183">
        <f>IF(AND(MyRowHidden(ROW())=FALSE,MyRowHidden(ROW()-1)=TRUE),0,(E183-E182)*unitsOfDHp+I182)</f>
        <v>162860</v>
      </c>
      <c r="J183">
        <f>IF(AND(MyRowHidden(ROW())=FALSE,MyRowHidden(ROW()-1)=TRUE),0,(G183-G182)*unitsOfExo+J182)</f>
        <v>1829.5999999999931</v>
      </c>
      <c r="K183" s="9">
        <f t="shared" si="8"/>
        <v>-1829.5999999999931</v>
      </c>
      <c r="L183">
        <f t="shared" si="9"/>
        <v>164689.60000000001</v>
      </c>
    </row>
    <row r="184" spans="1:12" x14ac:dyDescent="0.25">
      <c r="A184" s="1"/>
      <c r="C184" s="1"/>
      <c r="D184" s="1">
        <v>41515</v>
      </c>
      <c r="E184" s="10">
        <v>182174</v>
      </c>
      <c r="F184" s="1">
        <v>41515</v>
      </c>
      <c r="G184">
        <v>-4084.42</v>
      </c>
      <c r="H184" s="1">
        <f t="shared" si="7"/>
        <v>41515</v>
      </c>
      <c r="I184">
        <f>IF(AND(MyRowHidden(ROW())=FALSE,MyRowHidden(ROW()-1)=TRUE),0,(E184-E183)*unitsOfDHp+I183)</f>
        <v>164960</v>
      </c>
      <c r="J184">
        <f>IF(AND(MyRowHidden(ROW())=FALSE,MyRowHidden(ROW()-1)=TRUE),0,(G184-G183)*unitsOfExo+J183)</f>
        <v>2045.799999999992</v>
      </c>
      <c r="K184" s="9">
        <f t="shared" si="8"/>
        <v>-2045.799999999992</v>
      </c>
      <c r="L184">
        <f t="shared" si="9"/>
        <v>167005.79999999999</v>
      </c>
    </row>
    <row r="185" spans="1:12" x14ac:dyDescent="0.25">
      <c r="A185" s="1"/>
      <c r="C185" s="1"/>
      <c r="D185" s="1">
        <v>41516</v>
      </c>
      <c r="E185" s="10">
        <v>180914</v>
      </c>
      <c r="F185" s="1">
        <v>41516</v>
      </c>
      <c r="G185">
        <v>-4084.42</v>
      </c>
      <c r="H185" s="1">
        <f t="shared" si="7"/>
        <v>41516</v>
      </c>
      <c r="I185">
        <f>IF(AND(MyRowHidden(ROW())=FALSE,MyRowHidden(ROW()-1)=TRUE),0,(E185-E184)*unitsOfDHp+I184)</f>
        <v>152360</v>
      </c>
      <c r="J185">
        <f>IF(AND(MyRowHidden(ROW())=FALSE,MyRowHidden(ROW()-1)=TRUE),0,(G185-G184)*unitsOfExo+J184)</f>
        <v>2045.799999999992</v>
      </c>
      <c r="K185" s="9">
        <f t="shared" si="8"/>
        <v>-2045.799999999992</v>
      </c>
      <c r="L185">
        <f t="shared" si="9"/>
        <v>154405.79999999999</v>
      </c>
    </row>
    <row r="186" spans="1:12" x14ac:dyDescent="0.25">
      <c r="A186" s="1"/>
      <c r="C186" s="1"/>
      <c r="D186" s="1">
        <v>41519</v>
      </c>
      <c r="E186" s="10">
        <v>179904</v>
      </c>
      <c r="F186" s="1">
        <v>41519</v>
      </c>
      <c r="G186">
        <v>-3915</v>
      </c>
      <c r="H186" s="1">
        <f t="shared" si="7"/>
        <v>41519</v>
      </c>
      <c r="I186">
        <f>IF(AND(MyRowHidden(ROW())=FALSE,MyRowHidden(ROW()-1)=TRUE),0,(E186-E185)*unitsOfDHp+I185)</f>
        <v>142260</v>
      </c>
      <c r="J186">
        <f>IF(AND(MyRowHidden(ROW())=FALSE,MyRowHidden(ROW()-1)=TRUE),0,(G186-G185)*unitsOfExo+J185)</f>
        <v>3739.9999999999927</v>
      </c>
      <c r="K186" s="9">
        <f t="shared" si="8"/>
        <v>-3739.9999999999927</v>
      </c>
      <c r="L186">
        <f t="shared" si="9"/>
        <v>146000</v>
      </c>
    </row>
    <row r="187" spans="1:12" x14ac:dyDescent="0.25">
      <c r="A187" s="1"/>
      <c r="C187" s="1"/>
      <c r="D187" s="1">
        <v>41520</v>
      </c>
      <c r="E187" s="10">
        <v>182164</v>
      </c>
      <c r="F187" s="1">
        <v>41520</v>
      </c>
      <c r="G187">
        <v>-5425.58</v>
      </c>
      <c r="H187" s="1">
        <f t="shared" si="7"/>
        <v>41520</v>
      </c>
      <c r="I187">
        <f>IF(AND(MyRowHidden(ROW())=FALSE,MyRowHidden(ROW()-1)=TRUE),0,(E187-E186)*unitsOfDHp+I186)</f>
        <v>164860</v>
      </c>
      <c r="J187">
        <f>IF(AND(MyRowHidden(ROW())=FALSE,MyRowHidden(ROW()-1)=TRUE),0,(G187-G186)*unitsOfExo+J186)</f>
        <v>-11365.800000000007</v>
      </c>
      <c r="K187" s="9">
        <f t="shared" si="8"/>
        <v>11365.800000000007</v>
      </c>
      <c r="L187">
        <f t="shared" si="9"/>
        <v>153494.19999999998</v>
      </c>
    </row>
    <row r="188" spans="1:12" x14ac:dyDescent="0.25">
      <c r="A188" s="1"/>
      <c r="C188" s="1"/>
      <c r="D188" s="1">
        <v>41521</v>
      </c>
      <c r="E188" s="10">
        <v>180294</v>
      </c>
      <c r="F188" s="1">
        <v>41521</v>
      </c>
      <c r="G188">
        <v>-4194.18</v>
      </c>
      <c r="H188" s="1">
        <f t="shared" si="7"/>
        <v>41521</v>
      </c>
      <c r="I188">
        <f>IF(AND(MyRowHidden(ROW())=FALSE,MyRowHidden(ROW()-1)=TRUE),0,(E188-E187)*unitsOfDHp+I187)</f>
        <v>146160</v>
      </c>
      <c r="J188">
        <f>IF(AND(MyRowHidden(ROW())=FALSE,MyRowHidden(ROW()-1)=TRUE),0,(G188-G187)*unitsOfExo+J187)</f>
        <v>948.19999999998981</v>
      </c>
      <c r="K188" s="9">
        <f t="shared" si="8"/>
        <v>-948.19999999998981</v>
      </c>
      <c r="L188">
        <f t="shared" si="9"/>
        <v>147108.19999999998</v>
      </c>
    </row>
    <row r="189" spans="1:12" x14ac:dyDescent="0.25">
      <c r="A189" s="1"/>
      <c r="C189" s="1"/>
      <c r="D189" s="1">
        <v>41522</v>
      </c>
      <c r="E189" s="10">
        <v>182184</v>
      </c>
      <c r="F189" s="1">
        <v>41522</v>
      </c>
      <c r="G189">
        <v>-4194.18</v>
      </c>
      <c r="H189" s="1">
        <f t="shared" si="7"/>
        <v>41522</v>
      </c>
      <c r="I189">
        <f>IF(AND(MyRowHidden(ROW())=FALSE,MyRowHidden(ROW()-1)=TRUE),0,(E189-E188)*unitsOfDHp+I188)</f>
        <v>165060</v>
      </c>
      <c r="J189">
        <f>IF(AND(MyRowHidden(ROW())=FALSE,MyRowHidden(ROW()-1)=TRUE),0,(G189-G188)*unitsOfExo+J188)</f>
        <v>948.19999999998981</v>
      </c>
      <c r="K189" s="9">
        <f t="shared" si="8"/>
        <v>-948.19999999998981</v>
      </c>
      <c r="L189">
        <f t="shared" si="9"/>
        <v>166008.19999999998</v>
      </c>
    </row>
    <row r="190" spans="1:12" x14ac:dyDescent="0.25">
      <c r="A190" s="1"/>
      <c r="C190" s="1"/>
      <c r="D190" s="1">
        <v>41523</v>
      </c>
      <c r="E190" s="10">
        <v>184662</v>
      </c>
      <c r="F190" s="1">
        <v>41523</v>
      </c>
      <c r="G190">
        <v>-4793.43</v>
      </c>
      <c r="H190" s="1">
        <f t="shared" si="7"/>
        <v>41523</v>
      </c>
      <c r="I190">
        <f>IF(AND(MyRowHidden(ROW())=FALSE,MyRowHidden(ROW()-1)=TRUE),0,(E190-E189)*unitsOfDHp+I189)</f>
        <v>189840</v>
      </c>
      <c r="J190">
        <f>IF(AND(MyRowHidden(ROW())=FALSE,MyRowHidden(ROW()-1)=TRUE),0,(G190-G189)*unitsOfExo+J189)</f>
        <v>-5044.3000000000102</v>
      </c>
      <c r="K190" s="9">
        <f t="shared" si="8"/>
        <v>5044.3000000000102</v>
      </c>
      <c r="L190">
        <f t="shared" si="9"/>
        <v>184795.69999999998</v>
      </c>
    </row>
    <row r="191" spans="1:12" x14ac:dyDescent="0.25">
      <c r="A191" s="1"/>
      <c r="C191" s="1"/>
      <c r="D191" s="1">
        <v>41526</v>
      </c>
      <c r="E191" s="10">
        <v>184156</v>
      </c>
      <c r="F191" s="1">
        <v>41526</v>
      </c>
      <c r="G191">
        <v>-5169.43</v>
      </c>
      <c r="H191" s="1">
        <f t="shared" si="7"/>
        <v>41526</v>
      </c>
      <c r="I191">
        <f>IF(AND(MyRowHidden(ROW())=FALSE,MyRowHidden(ROW()-1)=TRUE),0,(E191-E190)*unitsOfDHp+I190)</f>
        <v>184780</v>
      </c>
      <c r="J191">
        <f>IF(AND(MyRowHidden(ROW())=FALSE,MyRowHidden(ROW()-1)=TRUE),0,(G191-G190)*unitsOfExo+J190)</f>
        <v>-8804.3000000000102</v>
      </c>
      <c r="K191" s="9">
        <f t="shared" si="8"/>
        <v>8804.3000000000102</v>
      </c>
      <c r="L191">
        <f t="shared" si="9"/>
        <v>175975.69999999998</v>
      </c>
    </row>
    <row r="192" spans="1:12" x14ac:dyDescent="0.25">
      <c r="A192" s="1"/>
      <c r="C192" s="1"/>
      <c r="D192" s="1">
        <v>41527</v>
      </c>
      <c r="E192" s="10">
        <v>181302</v>
      </c>
      <c r="F192" s="1">
        <v>41527</v>
      </c>
      <c r="G192">
        <v>-5081.07</v>
      </c>
      <c r="H192" s="1">
        <f t="shared" si="7"/>
        <v>41527</v>
      </c>
      <c r="I192">
        <f>IF(AND(MyRowHidden(ROW())=FALSE,MyRowHidden(ROW()-1)=TRUE),0,(E192-E191)*unitsOfDHp+I191)</f>
        <v>156240</v>
      </c>
      <c r="J192">
        <f>IF(AND(MyRowHidden(ROW())=FALSE,MyRowHidden(ROW()-1)=TRUE),0,(G192-G191)*unitsOfExo+J191)</f>
        <v>-7920.7000000000044</v>
      </c>
      <c r="K192" s="9">
        <f t="shared" si="8"/>
        <v>7920.7000000000044</v>
      </c>
      <c r="L192">
        <f t="shared" si="9"/>
        <v>148319.29999999999</v>
      </c>
    </row>
    <row r="193" spans="1:12" x14ac:dyDescent="0.25">
      <c r="A193" s="1"/>
      <c r="C193" s="1"/>
      <c r="D193" s="1">
        <v>41528</v>
      </c>
      <c r="E193" s="10">
        <v>182752</v>
      </c>
      <c r="F193" s="1">
        <v>41528</v>
      </c>
      <c r="G193">
        <v>-4628.93</v>
      </c>
      <c r="H193" s="1">
        <f t="shared" si="7"/>
        <v>41528</v>
      </c>
      <c r="I193">
        <f>IF(AND(MyRowHidden(ROW())=FALSE,MyRowHidden(ROW()-1)=TRUE),0,(E193-E192)*unitsOfDHp+I192)</f>
        <v>170740</v>
      </c>
      <c r="J193">
        <f>IF(AND(MyRowHidden(ROW())=FALSE,MyRowHidden(ROW()-1)=TRUE),0,(G193-G192)*unitsOfExo+J192)</f>
        <v>-3399.3000000000102</v>
      </c>
      <c r="K193" s="9">
        <f t="shared" si="8"/>
        <v>3399.3000000000102</v>
      </c>
      <c r="L193">
        <f t="shared" si="9"/>
        <v>167340.69999999998</v>
      </c>
    </row>
    <row r="194" spans="1:12" x14ac:dyDescent="0.25">
      <c r="A194" s="1"/>
      <c r="C194" s="1"/>
      <c r="D194" s="1">
        <v>41529</v>
      </c>
      <c r="E194" s="10">
        <v>184082</v>
      </c>
      <c r="F194" s="1">
        <v>41529</v>
      </c>
      <c r="G194">
        <v>-4628.93</v>
      </c>
      <c r="H194" s="1">
        <f t="shared" si="7"/>
        <v>41529</v>
      </c>
      <c r="I194">
        <f>IF(AND(MyRowHidden(ROW())=FALSE,MyRowHidden(ROW()-1)=TRUE),0,(E194-E193)*unitsOfDHp+I193)</f>
        <v>184040</v>
      </c>
      <c r="J194">
        <f>IF(AND(MyRowHidden(ROW())=FALSE,MyRowHidden(ROW()-1)=TRUE),0,(G194-G193)*unitsOfExo+J193)</f>
        <v>-3399.3000000000102</v>
      </c>
      <c r="K194" s="9">
        <f t="shared" si="8"/>
        <v>3399.3000000000102</v>
      </c>
      <c r="L194">
        <f t="shared" si="9"/>
        <v>180640.69999999998</v>
      </c>
    </row>
    <row r="195" spans="1:12" x14ac:dyDescent="0.25">
      <c r="A195" s="1"/>
      <c r="C195" s="1"/>
      <c r="D195" s="1">
        <v>41530</v>
      </c>
      <c r="E195" s="10">
        <v>183732</v>
      </c>
      <c r="F195" s="1">
        <v>41530</v>
      </c>
      <c r="G195">
        <v>-4487.93</v>
      </c>
      <c r="H195" s="1">
        <f t="shared" si="7"/>
        <v>41530</v>
      </c>
      <c r="I195">
        <f>IF(AND(MyRowHidden(ROW())=FALSE,MyRowHidden(ROW()-1)=TRUE),0,(E195-E194)*unitsOfDHp+I194)</f>
        <v>180540</v>
      </c>
      <c r="J195">
        <f>IF(AND(MyRowHidden(ROW())=FALSE,MyRowHidden(ROW()-1)=TRUE),0,(G195-G194)*unitsOfExo+J194)</f>
        <v>-1989.3000000000102</v>
      </c>
      <c r="K195" s="9">
        <f t="shared" si="8"/>
        <v>1989.3000000000102</v>
      </c>
      <c r="L195">
        <f t="shared" si="9"/>
        <v>178550.69999999998</v>
      </c>
    </row>
    <row r="196" spans="1:12" x14ac:dyDescent="0.25">
      <c r="A196" s="1"/>
      <c r="C196" s="1"/>
      <c r="D196" s="1">
        <v>41533</v>
      </c>
      <c r="E196" s="10">
        <v>183652</v>
      </c>
      <c r="F196" s="1">
        <v>41533</v>
      </c>
      <c r="G196">
        <v>-4487.93</v>
      </c>
      <c r="H196" s="1">
        <f t="shared" si="7"/>
        <v>41533</v>
      </c>
      <c r="I196">
        <f>IF(AND(MyRowHidden(ROW())=FALSE,MyRowHidden(ROW()-1)=TRUE),0,(E196-E195)*unitsOfDHp+I195)</f>
        <v>179740</v>
      </c>
      <c r="J196">
        <f>IF(AND(MyRowHidden(ROW())=FALSE,MyRowHidden(ROW()-1)=TRUE),0,(G196-G195)*unitsOfExo+J195)</f>
        <v>-1989.3000000000102</v>
      </c>
      <c r="K196" s="9">
        <f t="shared" si="8"/>
        <v>1989.3000000000102</v>
      </c>
      <c r="L196">
        <f t="shared" si="9"/>
        <v>177750.69999999998</v>
      </c>
    </row>
    <row r="197" spans="1:12" x14ac:dyDescent="0.25">
      <c r="A197" s="1"/>
      <c r="C197" s="1"/>
      <c r="D197" s="1">
        <v>41534</v>
      </c>
      <c r="E197" s="10">
        <v>183162</v>
      </c>
      <c r="F197" s="1">
        <v>41534</v>
      </c>
      <c r="G197">
        <v>-4487.93</v>
      </c>
      <c r="H197" s="1">
        <f t="shared" si="7"/>
        <v>41534</v>
      </c>
      <c r="I197">
        <f>IF(AND(MyRowHidden(ROW())=FALSE,MyRowHidden(ROW()-1)=TRUE),0,(E197-E196)*unitsOfDHp+I196)</f>
        <v>174840</v>
      </c>
      <c r="J197">
        <f>IF(AND(MyRowHidden(ROW())=FALSE,MyRowHidden(ROW()-1)=TRUE),0,(G197-G196)*unitsOfExo+J196)</f>
        <v>-1989.3000000000102</v>
      </c>
      <c r="K197" s="9">
        <f t="shared" si="8"/>
        <v>1989.3000000000102</v>
      </c>
      <c r="L197">
        <f t="shared" si="9"/>
        <v>172850.69999999998</v>
      </c>
    </row>
    <row r="198" spans="1:12" x14ac:dyDescent="0.25">
      <c r="A198" s="1"/>
      <c r="C198" s="1"/>
      <c r="D198" s="1">
        <v>41535</v>
      </c>
      <c r="E198" s="10">
        <v>183862</v>
      </c>
      <c r="F198" s="1">
        <v>41535</v>
      </c>
      <c r="G198">
        <v>-4434.82</v>
      </c>
      <c r="H198" s="1">
        <f t="shared" si="7"/>
        <v>41535</v>
      </c>
      <c r="I198">
        <f>IF(AND(MyRowHidden(ROW())=FALSE,MyRowHidden(ROW()-1)=TRUE),0,(E198-E197)*unitsOfDHp+I197)</f>
        <v>181840</v>
      </c>
      <c r="J198">
        <f>IF(AND(MyRowHidden(ROW())=FALSE,MyRowHidden(ROW()-1)=TRUE),0,(G198-G197)*unitsOfExo+J197)</f>
        <v>-1458.2000000000044</v>
      </c>
      <c r="K198" s="9">
        <f t="shared" si="8"/>
        <v>1458.2000000000044</v>
      </c>
      <c r="L198">
        <f t="shared" si="9"/>
        <v>180381.8</v>
      </c>
    </row>
    <row r="199" spans="1:12" x14ac:dyDescent="0.25">
      <c r="A199" s="1"/>
      <c r="C199" s="1"/>
      <c r="D199" s="1">
        <v>41536</v>
      </c>
      <c r="E199" s="10">
        <v>183692</v>
      </c>
      <c r="F199" s="1">
        <v>41536</v>
      </c>
      <c r="G199">
        <v>-4434.82</v>
      </c>
      <c r="H199" s="1">
        <f t="shared" si="7"/>
        <v>41536</v>
      </c>
      <c r="I199">
        <f>IF(AND(MyRowHidden(ROW())=FALSE,MyRowHidden(ROW()-1)=TRUE),0,(E199-E198)*unitsOfDHp+I198)</f>
        <v>180140</v>
      </c>
      <c r="J199">
        <f>IF(AND(MyRowHidden(ROW())=FALSE,MyRowHidden(ROW()-1)=TRUE),0,(G199-G198)*unitsOfExo+J198)</f>
        <v>-1458.2000000000044</v>
      </c>
      <c r="K199" s="9">
        <f t="shared" si="8"/>
        <v>1458.2000000000044</v>
      </c>
      <c r="L199">
        <f t="shared" si="9"/>
        <v>178681.8</v>
      </c>
    </row>
    <row r="200" spans="1:12" x14ac:dyDescent="0.25">
      <c r="A200" s="1"/>
      <c r="C200" s="1"/>
      <c r="D200" s="1">
        <v>41537</v>
      </c>
      <c r="E200" s="10">
        <v>183182</v>
      </c>
      <c r="F200" s="1">
        <v>41537</v>
      </c>
      <c r="G200">
        <v>-4558.43</v>
      </c>
      <c r="H200" s="1">
        <f t="shared" si="7"/>
        <v>41537</v>
      </c>
      <c r="I200">
        <f>IF(AND(MyRowHidden(ROW())=FALSE,MyRowHidden(ROW()-1)=TRUE),0,(E200-E199)*unitsOfDHp+I199)</f>
        <v>175040</v>
      </c>
      <c r="J200">
        <f>IF(AND(MyRowHidden(ROW())=FALSE,MyRowHidden(ROW()-1)=TRUE),0,(G200-G199)*unitsOfExo+J199)</f>
        <v>-2694.3000000000102</v>
      </c>
      <c r="K200" s="9">
        <f t="shared" si="8"/>
        <v>2694.3000000000102</v>
      </c>
      <c r="L200">
        <f t="shared" si="9"/>
        <v>172345.69999999998</v>
      </c>
    </row>
    <row r="201" spans="1:12" x14ac:dyDescent="0.25">
      <c r="A201" s="1"/>
      <c r="C201" s="1"/>
      <c r="D201" s="1">
        <v>41540</v>
      </c>
      <c r="E201" s="10">
        <v>182774</v>
      </c>
      <c r="F201" s="1">
        <v>41540</v>
      </c>
      <c r="G201">
        <v>-4593.68</v>
      </c>
      <c r="H201" s="1">
        <f t="shared" si="7"/>
        <v>41540</v>
      </c>
      <c r="I201">
        <f>IF(AND(MyRowHidden(ROW())=FALSE,MyRowHidden(ROW()-1)=TRUE),0,(E201-E200)*unitsOfDHp+I200)</f>
        <v>170960</v>
      </c>
      <c r="J201">
        <f>IF(AND(MyRowHidden(ROW())=FALSE,MyRowHidden(ROW()-1)=TRUE),0,(G201-G200)*unitsOfExo+J200)</f>
        <v>-3046.8000000000102</v>
      </c>
      <c r="K201" s="9">
        <f t="shared" si="8"/>
        <v>3046.8000000000102</v>
      </c>
      <c r="L201">
        <f t="shared" si="9"/>
        <v>167913.19999999998</v>
      </c>
    </row>
    <row r="202" spans="1:12" x14ac:dyDescent="0.25">
      <c r="A202" s="1"/>
      <c r="C202" s="1"/>
      <c r="D202" s="1">
        <v>41541</v>
      </c>
      <c r="E202" s="10">
        <v>183064</v>
      </c>
      <c r="F202" s="1">
        <v>41541</v>
      </c>
      <c r="G202">
        <v>-4593.68</v>
      </c>
      <c r="H202" s="1">
        <f t="shared" si="7"/>
        <v>41541</v>
      </c>
      <c r="I202">
        <f>IF(AND(MyRowHidden(ROW())=FALSE,MyRowHidden(ROW()-1)=TRUE),0,(E202-E201)*unitsOfDHp+I201)</f>
        <v>173860</v>
      </c>
      <c r="J202">
        <f>IF(AND(MyRowHidden(ROW())=FALSE,MyRowHidden(ROW()-1)=TRUE),0,(G202-G201)*unitsOfExo+J201)</f>
        <v>-3046.8000000000102</v>
      </c>
      <c r="K202" s="9">
        <f t="shared" si="8"/>
        <v>3046.8000000000102</v>
      </c>
      <c r="L202">
        <f t="shared" si="9"/>
        <v>170813.19999999998</v>
      </c>
    </row>
    <row r="203" spans="1:12" x14ac:dyDescent="0.25">
      <c r="A203" s="1"/>
      <c r="C203" s="1"/>
      <c r="D203" s="1">
        <v>41542</v>
      </c>
      <c r="E203" s="10">
        <v>184306</v>
      </c>
      <c r="F203" s="1">
        <v>41542</v>
      </c>
      <c r="G203">
        <v>-4593.68</v>
      </c>
      <c r="H203" s="1">
        <f t="shared" si="7"/>
        <v>41542</v>
      </c>
      <c r="I203">
        <f>IF(AND(MyRowHidden(ROW())=FALSE,MyRowHidden(ROW()-1)=TRUE),0,(E203-E202)*unitsOfDHp+I202)</f>
        <v>186280</v>
      </c>
      <c r="J203">
        <f>IF(AND(MyRowHidden(ROW())=FALSE,MyRowHidden(ROW()-1)=TRUE),0,(G203-G202)*unitsOfExo+J202)</f>
        <v>-3046.8000000000102</v>
      </c>
      <c r="K203" s="9">
        <f t="shared" si="8"/>
        <v>3046.8000000000102</v>
      </c>
      <c r="L203">
        <f t="shared" si="9"/>
        <v>183233.19999999998</v>
      </c>
    </row>
    <row r="204" spans="1:12" x14ac:dyDescent="0.25">
      <c r="A204" s="1"/>
      <c r="C204" s="1"/>
      <c r="D204" s="1">
        <v>41543</v>
      </c>
      <c r="E204" s="10">
        <v>184748</v>
      </c>
      <c r="F204" s="1">
        <v>41543</v>
      </c>
      <c r="G204">
        <v>-4593.68</v>
      </c>
      <c r="H204" s="1">
        <f t="shared" si="7"/>
        <v>41543</v>
      </c>
      <c r="I204">
        <f>IF(AND(MyRowHidden(ROW())=FALSE,MyRowHidden(ROW()-1)=TRUE),0,(E204-E203)*unitsOfDHp+I203)</f>
        <v>190700</v>
      </c>
      <c r="J204">
        <f>IF(AND(MyRowHidden(ROW())=FALSE,MyRowHidden(ROW()-1)=TRUE),0,(G204-G203)*unitsOfExo+J203)</f>
        <v>-3046.8000000000102</v>
      </c>
      <c r="K204" s="9">
        <f t="shared" si="8"/>
        <v>3046.8000000000102</v>
      </c>
      <c r="L204">
        <f t="shared" si="9"/>
        <v>187653.19999999998</v>
      </c>
    </row>
    <row r="205" spans="1:12" x14ac:dyDescent="0.25">
      <c r="A205" s="1"/>
      <c r="C205" s="1"/>
      <c r="D205" s="1">
        <v>41544</v>
      </c>
      <c r="E205" s="10">
        <v>183472</v>
      </c>
      <c r="F205" s="1">
        <v>41544</v>
      </c>
      <c r="G205">
        <v>-4617.18</v>
      </c>
      <c r="H205" s="1">
        <f t="shared" ref="H205:H268" si="10">D205</f>
        <v>41544</v>
      </c>
      <c r="I205">
        <f>IF(AND(MyRowHidden(ROW())=FALSE,MyRowHidden(ROW()-1)=TRUE),0,(E205-E204)*unitsOfDHp+I204)</f>
        <v>177940</v>
      </c>
      <c r="J205">
        <f>IF(AND(MyRowHidden(ROW())=FALSE,MyRowHidden(ROW()-1)=TRUE),0,(G205-G204)*unitsOfExo+J204)</f>
        <v>-3281.8000000000102</v>
      </c>
      <c r="K205" s="9">
        <f t="shared" ref="K205:K268" si="11">-(J205-J204)+K204</f>
        <v>3281.8000000000102</v>
      </c>
      <c r="L205">
        <f t="shared" ref="L205:L268" si="12">I205+J205</f>
        <v>174658.19999999998</v>
      </c>
    </row>
    <row r="206" spans="1:12" x14ac:dyDescent="0.25">
      <c r="A206" s="1"/>
      <c r="C206" s="1"/>
      <c r="D206" s="1">
        <v>41547</v>
      </c>
      <c r="E206" s="10">
        <v>185752</v>
      </c>
      <c r="F206" s="1">
        <v>41547</v>
      </c>
      <c r="G206">
        <v>-4620</v>
      </c>
      <c r="H206" s="1">
        <f t="shared" si="10"/>
        <v>41547</v>
      </c>
      <c r="I206">
        <f>IF(AND(MyRowHidden(ROW())=FALSE,MyRowHidden(ROW()-1)=TRUE),0,(E206-E205)*unitsOfDHp+I205)</f>
        <v>200740</v>
      </c>
      <c r="J206">
        <f>IF(AND(MyRowHidden(ROW())=FALSE,MyRowHidden(ROW()-1)=TRUE),0,(G206-G205)*unitsOfExo+J205)</f>
        <v>-3310.0000000000073</v>
      </c>
      <c r="K206" s="9">
        <f t="shared" si="11"/>
        <v>3310.0000000000073</v>
      </c>
      <c r="L206">
        <f t="shared" si="12"/>
        <v>197430</v>
      </c>
    </row>
    <row r="207" spans="1:12" x14ac:dyDescent="0.25">
      <c r="A207" s="1"/>
      <c r="C207" s="1"/>
      <c r="D207" s="1">
        <v>41548</v>
      </c>
      <c r="E207" s="10">
        <v>187112</v>
      </c>
      <c r="F207" s="1">
        <v>41548</v>
      </c>
      <c r="G207">
        <v>-5160.75</v>
      </c>
      <c r="H207" s="1">
        <f t="shared" si="10"/>
        <v>41548</v>
      </c>
      <c r="I207">
        <f>IF(AND(MyRowHidden(ROW())=FALSE,MyRowHidden(ROW()-1)=TRUE),0,(E207-E206)*unitsOfDHp+I206)</f>
        <v>214340</v>
      </c>
      <c r="J207">
        <f>IF(AND(MyRowHidden(ROW())=FALSE,MyRowHidden(ROW()-1)=TRUE),0,(G207-G206)*unitsOfExo+J206)</f>
        <v>-8717.5000000000073</v>
      </c>
      <c r="K207" s="9">
        <f t="shared" si="11"/>
        <v>8717.5000000000073</v>
      </c>
      <c r="L207">
        <f t="shared" si="12"/>
        <v>205622.5</v>
      </c>
    </row>
    <row r="208" spans="1:12" x14ac:dyDescent="0.25">
      <c r="A208" s="1"/>
      <c r="C208" s="1"/>
      <c r="D208" s="1">
        <v>41549</v>
      </c>
      <c r="E208" s="10">
        <v>181856</v>
      </c>
      <c r="F208" s="1">
        <v>41549</v>
      </c>
      <c r="G208">
        <v>-5104.3500000000004</v>
      </c>
      <c r="H208" s="1">
        <f t="shared" si="10"/>
        <v>41549</v>
      </c>
      <c r="I208">
        <f>IF(AND(MyRowHidden(ROW())=FALSE,MyRowHidden(ROW()-1)=TRUE),0,(E208-E207)*unitsOfDHp+I207)</f>
        <v>161780</v>
      </c>
      <c r="J208">
        <f>IF(AND(MyRowHidden(ROW())=FALSE,MyRowHidden(ROW()-1)=TRUE),0,(G208-G207)*unitsOfExo+J207)</f>
        <v>-8153.5000000000109</v>
      </c>
      <c r="K208" s="9">
        <f t="shared" si="11"/>
        <v>8153.5000000000109</v>
      </c>
      <c r="L208">
        <f t="shared" si="12"/>
        <v>153626.5</v>
      </c>
    </row>
    <row r="209" spans="1:12" x14ac:dyDescent="0.25">
      <c r="A209" s="1"/>
      <c r="C209" s="1"/>
      <c r="D209" s="1">
        <v>41550</v>
      </c>
      <c r="E209" s="10">
        <v>183212</v>
      </c>
      <c r="F209" s="1">
        <v>41550</v>
      </c>
      <c r="G209">
        <v>-5587.51</v>
      </c>
      <c r="H209" s="1">
        <f t="shared" si="10"/>
        <v>41550</v>
      </c>
      <c r="I209">
        <f>IF(AND(MyRowHidden(ROW())=FALSE,MyRowHidden(ROW()-1)=TRUE),0,(E209-E208)*unitsOfDHp+I208)</f>
        <v>175340</v>
      </c>
      <c r="J209">
        <f>IF(AND(MyRowHidden(ROW())=FALSE,MyRowHidden(ROW()-1)=TRUE),0,(G209-G208)*unitsOfExo+J208)</f>
        <v>-12985.100000000009</v>
      </c>
      <c r="K209" s="9">
        <f t="shared" si="11"/>
        <v>12985.100000000009</v>
      </c>
      <c r="L209">
        <f t="shared" si="12"/>
        <v>162354.9</v>
      </c>
    </row>
    <row r="210" spans="1:12" x14ac:dyDescent="0.25">
      <c r="A210" s="1"/>
      <c r="C210" s="1"/>
      <c r="D210" s="1">
        <v>41551</v>
      </c>
      <c r="E210" s="10">
        <v>182908</v>
      </c>
      <c r="F210" s="1">
        <v>41551</v>
      </c>
      <c r="G210">
        <v>-5689.5</v>
      </c>
      <c r="H210" s="1">
        <f t="shared" si="10"/>
        <v>41551</v>
      </c>
      <c r="I210">
        <f>IF(AND(MyRowHidden(ROW())=FALSE,MyRowHidden(ROW()-1)=TRUE),0,(E210-E209)*unitsOfDHp+I209)</f>
        <v>172300</v>
      </c>
      <c r="J210">
        <f>IF(AND(MyRowHidden(ROW())=FALSE,MyRowHidden(ROW()-1)=TRUE),0,(G210-G209)*unitsOfExo+J209)</f>
        <v>-14005.000000000007</v>
      </c>
      <c r="K210" s="9">
        <f t="shared" si="11"/>
        <v>14005.000000000007</v>
      </c>
      <c r="L210">
        <f t="shared" si="12"/>
        <v>158295</v>
      </c>
    </row>
    <row r="211" spans="1:12" x14ac:dyDescent="0.25">
      <c r="A211" s="1"/>
      <c r="C211" s="1"/>
      <c r="D211" s="1">
        <v>41554</v>
      </c>
      <c r="E211" s="10">
        <v>186242</v>
      </c>
      <c r="F211" s="1">
        <v>41554</v>
      </c>
      <c r="G211">
        <v>-5980.9</v>
      </c>
      <c r="H211" s="1">
        <f t="shared" si="10"/>
        <v>41554</v>
      </c>
      <c r="I211">
        <f>IF(AND(MyRowHidden(ROW())=FALSE,MyRowHidden(ROW()-1)=TRUE),0,(E211-E210)*unitsOfDHp+I210)</f>
        <v>205640</v>
      </c>
      <c r="J211">
        <f>IF(AND(MyRowHidden(ROW())=FALSE,MyRowHidden(ROW()-1)=TRUE),0,(G211-G210)*unitsOfExo+J210)</f>
        <v>-16919.000000000004</v>
      </c>
      <c r="K211" s="9">
        <f t="shared" si="11"/>
        <v>16919.000000000004</v>
      </c>
      <c r="L211">
        <f t="shared" si="12"/>
        <v>188721</v>
      </c>
    </row>
    <row r="212" spans="1:12" x14ac:dyDescent="0.25">
      <c r="A212" s="1"/>
      <c r="C212" s="1"/>
      <c r="D212" s="1">
        <v>41555</v>
      </c>
      <c r="E212" s="10">
        <v>182480</v>
      </c>
      <c r="F212" s="1">
        <v>41555</v>
      </c>
      <c r="G212">
        <v>-6394.5</v>
      </c>
      <c r="H212" s="1">
        <f t="shared" si="10"/>
        <v>41555</v>
      </c>
      <c r="I212">
        <f>IF(AND(MyRowHidden(ROW())=FALSE,MyRowHidden(ROW()-1)=TRUE),0,(E212-E211)*unitsOfDHp+I211)</f>
        <v>168020</v>
      </c>
      <c r="J212">
        <f>IF(AND(MyRowHidden(ROW())=FALSE,MyRowHidden(ROW()-1)=TRUE),0,(G212-G211)*unitsOfExo+J211)</f>
        <v>-21055.000000000007</v>
      </c>
      <c r="K212" s="9">
        <f t="shared" si="11"/>
        <v>21055.000000000007</v>
      </c>
      <c r="L212">
        <f t="shared" si="12"/>
        <v>146965</v>
      </c>
    </row>
    <row r="213" spans="1:12" x14ac:dyDescent="0.25">
      <c r="A213" s="1"/>
      <c r="C213" s="1"/>
      <c r="D213" s="1">
        <v>41556</v>
      </c>
      <c r="E213" s="10">
        <v>189452</v>
      </c>
      <c r="F213" s="1">
        <v>41556</v>
      </c>
      <c r="G213">
        <v>-6394.5</v>
      </c>
      <c r="H213" s="1">
        <f t="shared" si="10"/>
        <v>41556</v>
      </c>
      <c r="I213">
        <f>IF(AND(MyRowHidden(ROW())=FALSE,MyRowHidden(ROW()-1)=TRUE),0,(E213-E212)*unitsOfDHp+I212)</f>
        <v>237740</v>
      </c>
      <c r="J213">
        <f>IF(AND(MyRowHidden(ROW())=FALSE,MyRowHidden(ROW()-1)=TRUE),0,(G213-G212)*unitsOfExo+J212)</f>
        <v>-21055.000000000007</v>
      </c>
      <c r="K213" s="9">
        <f t="shared" si="11"/>
        <v>21055.000000000007</v>
      </c>
      <c r="L213">
        <f t="shared" si="12"/>
        <v>216685</v>
      </c>
    </row>
    <row r="214" spans="1:12" x14ac:dyDescent="0.25">
      <c r="A214" s="1"/>
      <c r="C214" s="1"/>
      <c r="D214" s="1">
        <v>41557</v>
      </c>
      <c r="E214" s="10">
        <v>184668</v>
      </c>
      <c r="F214" s="1">
        <v>41557</v>
      </c>
      <c r="G214">
        <v>-6353.61</v>
      </c>
      <c r="H214" s="1">
        <f t="shared" si="10"/>
        <v>41557</v>
      </c>
      <c r="I214">
        <f>IF(AND(MyRowHidden(ROW())=FALSE,MyRowHidden(ROW()-1)=TRUE),0,(E214-E213)*unitsOfDHp+I213)</f>
        <v>189900</v>
      </c>
      <c r="J214">
        <f>IF(AND(MyRowHidden(ROW())=FALSE,MyRowHidden(ROW()-1)=TRUE),0,(G214-G213)*unitsOfExo+J213)</f>
        <v>-20646.100000000006</v>
      </c>
      <c r="K214" s="9">
        <f t="shared" si="11"/>
        <v>20646.100000000006</v>
      </c>
      <c r="L214">
        <f t="shared" si="12"/>
        <v>169253.9</v>
      </c>
    </row>
    <row r="215" spans="1:12" x14ac:dyDescent="0.25">
      <c r="A215" s="1"/>
      <c r="C215" s="1"/>
      <c r="D215" s="1">
        <v>41558</v>
      </c>
      <c r="E215" s="10">
        <v>189974</v>
      </c>
      <c r="F215" s="1">
        <v>41558</v>
      </c>
      <c r="G215">
        <v>-6468.76</v>
      </c>
      <c r="H215" s="1">
        <f t="shared" si="10"/>
        <v>41558</v>
      </c>
      <c r="I215">
        <f>IF(AND(MyRowHidden(ROW())=FALSE,MyRowHidden(ROW()-1)=TRUE),0,(E215-E214)*unitsOfDHp+I214)</f>
        <v>242960</v>
      </c>
      <c r="J215">
        <f>IF(AND(MyRowHidden(ROW())=FALSE,MyRowHidden(ROW()-1)=TRUE),0,(G215-G214)*unitsOfExo+J214)</f>
        <v>-21797.600000000013</v>
      </c>
      <c r="K215" s="9">
        <f t="shared" si="11"/>
        <v>21797.600000000013</v>
      </c>
      <c r="L215">
        <f t="shared" si="12"/>
        <v>221162.4</v>
      </c>
    </row>
    <row r="216" spans="1:12" x14ac:dyDescent="0.25">
      <c r="A216" s="1"/>
      <c r="C216" s="1"/>
      <c r="D216" s="1">
        <v>41561</v>
      </c>
      <c r="E216" s="10">
        <v>188446</v>
      </c>
      <c r="F216" s="1">
        <v>41561</v>
      </c>
      <c r="G216">
        <v>-6468.76</v>
      </c>
      <c r="H216" s="1">
        <f t="shared" si="10"/>
        <v>41561</v>
      </c>
      <c r="I216">
        <f>IF(AND(MyRowHidden(ROW())=FALSE,MyRowHidden(ROW()-1)=TRUE),0,(E216-E215)*unitsOfDHp+I215)</f>
        <v>227680</v>
      </c>
      <c r="J216">
        <f>IF(AND(MyRowHidden(ROW())=FALSE,MyRowHidden(ROW()-1)=TRUE),0,(G216-G215)*unitsOfExo+J215)</f>
        <v>-21797.600000000013</v>
      </c>
      <c r="K216" s="9">
        <f t="shared" si="11"/>
        <v>21797.600000000013</v>
      </c>
      <c r="L216">
        <f t="shared" si="12"/>
        <v>205882.4</v>
      </c>
    </row>
    <row r="217" spans="1:12" x14ac:dyDescent="0.25">
      <c r="A217" s="1"/>
      <c r="C217" s="1"/>
      <c r="D217" s="1">
        <v>41562</v>
      </c>
      <c r="E217" s="10">
        <v>192232</v>
      </c>
      <c r="F217" s="1">
        <v>41562</v>
      </c>
      <c r="G217">
        <v>-6468.76</v>
      </c>
      <c r="H217" s="1">
        <f t="shared" si="10"/>
        <v>41562</v>
      </c>
      <c r="I217">
        <f>IF(AND(MyRowHidden(ROW())=FALSE,MyRowHidden(ROW()-1)=TRUE),0,(E217-E216)*unitsOfDHp+I216)</f>
        <v>265540</v>
      </c>
      <c r="J217">
        <f>IF(AND(MyRowHidden(ROW())=FALSE,MyRowHidden(ROW()-1)=TRUE),0,(G217-G216)*unitsOfExo+J216)</f>
        <v>-21797.600000000013</v>
      </c>
      <c r="K217" s="9">
        <f t="shared" si="11"/>
        <v>21797.600000000013</v>
      </c>
      <c r="L217">
        <f t="shared" si="12"/>
        <v>243742.4</v>
      </c>
    </row>
    <row r="218" spans="1:12" x14ac:dyDescent="0.25">
      <c r="A218" s="1"/>
      <c r="C218" s="1"/>
      <c r="D218" s="1">
        <v>41563</v>
      </c>
      <c r="E218" s="10">
        <v>188168</v>
      </c>
      <c r="F218" s="1">
        <v>41563</v>
      </c>
      <c r="G218">
        <v>-6315.54</v>
      </c>
      <c r="H218" s="1">
        <f t="shared" si="10"/>
        <v>41563</v>
      </c>
      <c r="I218">
        <f>IF(AND(MyRowHidden(ROW())=FALSE,MyRowHidden(ROW()-1)=TRUE),0,(E218-E217)*unitsOfDHp+I217)</f>
        <v>224900</v>
      </c>
      <c r="J218">
        <f>IF(AND(MyRowHidden(ROW())=FALSE,MyRowHidden(ROW()-1)=TRUE),0,(G218-G217)*unitsOfExo+J217)</f>
        <v>-20265.400000000009</v>
      </c>
      <c r="K218" s="9">
        <f t="shared" si="11"/>
        <v>20265.400000000009</v>
      </c>
      <c r="L218">
        <f t="shared" si="12"/>
        <v>204634.59999999998</v>
      </c>
    </row>
    <row r="219" spans="1:12" x14ac:dyDescent="0.25">
      <c r="A219" s="1"/>
      <c r="C219" s="1"/>
      <c r="D219" s="1">
        <v>41564</v>
      </c>
      <c r="E219" s="10">
        <v>194612</v>
      </c>
      <c r="F219" s="1">
        <v>41564</v>
      </c>
      <c r="G219">
        <v>-6259.14</v>
      </c>
      <c r="H219" s="1">
        <f t="shared" si="10"/>
        <v>41564</v>
      </c>
      <c r="I219">
        <f>IF(AND(MyRowHidden(ROW())=FALSE,MyRowHidden(ROW()-1)=TRUE),0,(E219-E218)*unitsOfDHp+I218)</f>
        <v>289340</v>
      </c>
      <c r="J219">
        <f>IF(AND(MyRowHidden(ROW())=FALSE,MyRowHidden(ROW()-1)=TRUE),0,(G219-G218)*unitsOfExo+J218)</f>
        <v>-19701.400000000012</v>
      </c>
      <c r="K219" s="9">
        <f t="shared" si="11"/>
        <v>19701.400000000012</v>
      </c>
      <c r="L219">
        <f t="shared" si="12"/>
        <v>269638.59999999998</v>
      </c>
    </row>
    <row r="220" spans="1:12" x14ac:dyDescent="0.25">
      <c r="A220" s="1"/>
      <c r="C220" s="1"/>
      <c r="D220" s="1">
        <v>41565</v>
      </c>
      <c r="E220" s="10">
        <v>194876</v>
      </c>
      <c r="F220" s="1">
        <v>41565</v>
      </c>
      <c r="G220">
        <v>-6131.3</v>
      </c>
      <c r="H220" s="1">
        <f t="shared" si="10"/>
        <v>41565</v>
      </c>
      <c r="I220">
        <f>IF(AND(MyRowHidden(ROW())=FALSE,MyRowHidden(ROW()-1)=TRUE),0,(E220-E219)*unitsOfDHp+I219)</f>
        <v>291980</v>
      </c>
      <c r="J220">
        <f>IF(AND(MyRowHidden(ROW())=FALSE,MyRowHidden(ROW()-1)=TRUE),0,(G220-G219)*unitsOfExo+J219)</f>
        <v>-18423.000000000011</v>
      </c>
      <c r="K220" s="9">
        <f t="shared" si="11"/>
        <v>18423.000000000011</v>
      </c>
      <c r="L220">
        <f t="shared" si="12"/>
        <v>273557</v>
      </c>
    </row>
    <row r="221" spans="1:12" x14ac:dyDescent="0.25">
      <c r="A221" s="1"/>
      <c r="C221" s="1"/>
      <c r="D221" s="1">
        <v>41568</v>
      </c>
      <c r="E221" s="10">
        <v>199596</v>
      </c>
      <c r="F221" s="1">
        <v>41568</v>
      </c>
      <c r="G221">
        <v>-5878.44</v>
      </c>
      <c r="H221" s="1">
        <f t="shared" si="10"/>
        <v>41568</v>
      </c>
      <c r="I221">
        <f>IF(AND(MyRowHidden(ROW())=FALSE,MyRowHidden(ROW()-1)=TRUE),0,(E221-E220)*unitsOfDHp+I220)</f>
        <v>339180</v>
      </c>
      <c r="J221">
        <f>IF(AND(MyRowHidden(ROW())=FALSE,MyRowHidden(ROW()-1)=TRUE),0,(G221-G220)*unitsOfExo+J220)</f>
        <v>-15894.400000000005</v>
      </c>
      <c r="K221" s="9">
        <f t="shared" si="11"/>
        <v>15894.400000000005</v>
      </c>
      <c r="L221">
        <f t="shared" si="12"/>
        <v>323285.59999999998</v>
      </c>
    </row>
    <row r="222" spans="1:12" x14ac:dyDescent="0.25">
      <c r="A222" s="1"/>
      <c r="C222" s="1"/>
      <c r="D222" s="1">
        <v>41569</v>
      </c>
      <c r="E222" s="10">
        <v>203972</v>
      </c>
      <c r="F222" s="1">
        <v>41569</v>
      </c>
      <c r="G222">
        <v>-5796.66</v>
      </c>
      <c r="H222" s="1">
        <f t="shared" si="10"/>
        <v>41569</v>
      </c>
      <c r="I222">
        <f>IF(AND(MyRowHidden(ROW())=FALSE,MyRowHidden(ROW()-1)=TRUE),0,(E222-E221)*unitsOfDHp+I221)</f>
        <v>382940</v>
      </c>
      <c r="J222">
        <f>IF(AND(MyRowHidden(ROW())=FALSE,MyRowHidden(ROW()-1)=TRUE),0,(G222-G221)*unitsOfExo+J221)</f>
        <v>-15076.600000000008</v>
      </c>
      <c r="K222" s="9">
        <f t="shared" si="11"/>
        <v>15076.600000000008</v>
      </c>
      <c r="L222">
        <f t="shared" si="12"/>
        <v>367863.39999999997</v>
      </c>
    </row>
    <row r="223" spans="1:12" x14ac:dyDescent="0.25">
      <c r="A223" s="1"/>
      <c r="C223" s="1"/>
      <c r="D223" s="1">
        <v>41570</v>
      </c>
      <c r="E223" s="10">
        <v>207192</v>
      </c>
      <c r="F223" s="1">
        <v>41570</v>
      </c>
      <c r="G223">
        <v>-5832.38</v>
      </c>
      <c r="H223" s="1">
        <f t="shared" si="10"/>
        <v>41570</v>
      </c>
      <c r="I223">
        <f>IF(AND(MyRowHidden(ROW())=FALSE,MyRowHidden(ROW()-1)=TRUE),0,(E223-E222)*unitsOfDHp+I222)</f>
        <v>415140</v>
      </c>
      <c r="J223">
        <f>IF(AND(MyRowHidden(ROW())=FALSE,MyRowHidden(ROW()-1)=TRUE),0,(G223-G222)*unitsOfExo+J222)</f>
        <v>-15433.80000000001</v>
      </c>
      <c r="K223" s="9">
        <f t="shared" si="11"/>
        <v>15433.80000000001</v>
      </c>
      <c r="L223">
        <f t="shared" si="12"/>
        <v>399706.2</v>
      </c>
    </row>
    <row r="224" spans="1:12" x14ac:dyDescent="0.25">
      <c r="A224" s="1"/>
      <c r="C224" s="1"/>
      <c r="D224" s="1">
        <v>41571</v>
      </c>
      <c r="E224" s="10">
        <v>207578</v>
      </c>
      <c r="F224" s="1">
        <v>41571</v>
      </c>
      <c r="G224">
        <v>-6016.62</v>
      </c>
      <c r="H224" s="1">
        <f t="shared" si="10"/>
        <v>41571</v>
      </c>
      <c r="I224">
        <f>IF(AND(MyRowHidden(ROW())=FALSE,MyRowHidden(ROW()-1)=TRUE),0,(E224-E223)*unitsOfDHp+I223)</f>
        <v>419000</v>
      </c>
      <c r="J224">
        <f>IF(AND(MyRowHidden(ROW())=FALSE,MyRowHidden(ROW()-1)=TRUE),0,(G224-G223)*unitsOfExo+J223)</f>
        <v>-17276.200000000008</v>
      </c>
      <c r="K224" s="9">
        <f t="shared" si="11"/>
        <v>17276.200000000008</v>
      </c>
      <c r="L224">
        <f t="shared" si="12"/>
        <v>401723.8</v>
      </c>
    </row>
    <row r="225" spans="1:12" x14ac:dyDescent="0.25">
      <c r="A225" s="1"/>
      <c r="C225" s="1"/>
      <c r="D225" s="1">
        <v>41572</v>
      </c>
      <c r="E225" s="10">
        <v>207116</v>
      </c>
      <c r="F225" s="1">
        <v>41572</v>
      </c>
      <c r="G225">
        <v>-5990.77</v>
      </c>
      <c r="H225" s="1">
        <f t="shared" si="10"/>
        <v>41572</v>
      </c>
      <c r="I225">
        <f>IF(AND(MyRowHidden(ROW())=FALSE,MyRowHidden(ROW()-1)=TRUE),0,(E225-E224)*unitsOfDHp+I224)</f>
        <v>414380</v>
      </c>
      <c r="J225">
        <f>IF(AND(MyRowHidden(ROW())=FALSE,MyRowHidden(ROW()-1)=TRUE),0,(G225-G224)*unitsOfExo+J224)</f>
        <v>-17017.700000000012</v>
      </c>
      <c r="K225" s="9">
        <f t="shared" si="11"/>
        <v>17017.700000000012</v>
      </c>
      <c r="L225">
        <f t="shared" si="12"/>
        <v>397362.3</v>
      </c>
    </row>
    <row r="226" spans="1:12" x14ac:dyDescent="0.25">
      <c r="A226" s="1"/>
      <c r="C226" s="1"/>
      <c r="D226" s="1">
        <v>41575</v>
      </c>
      <c r="E226" s="10">
        <v>205800</v>
      </c>
      <c r="F226" s="1">
        <v>41575</v>
      </c>
      <c r="G226">
        <v>-6143.99</v>
      </c>
      <c r="H226" s="1">
        <f t="shared" si="10"/>
        <v>41575</v>
      </c>
      <c r="I226">
        <f>IF(AND(MyRowHidden(ROW())=FALSE,MyRowHidden(ROW()-1)=TRUE),0,(E226-E225)*unitsOfDHp+I225)</f>
        <v>401220</v>
      </c>
      <c r="J226">
        <f>IF(AND(MyRowHidden(ROW())=FALSE,MyRowHidden(ROW()-1)=TRUE),0,(G226-G225)*unitsOfExo+J225)</f>
        <v>-18549.900000000005</v>
      </c>
      <c r="K226" s="9">
        <f t="shared" si="11"/>
        <v>18549.900000000005</v>
      </c>
      <c r="L226">
        <f t="shared" si="12"/>
        <v>382670.1</v>
      </c>
    </row>
    <row r="227" spans="1:12" x14ac:dyDescent="0.25">
      <c r="A227" s="1"/>
      <c r="C227" s="1"/>
      <c r="D227" s="1">
        <v>41576</v>
      </c>
      <c r="E227" s="10">
        <v>206936</v>
      </c>
      <c r="F227" s="1">
        <v>41576</v>
      </c>
      <c r="G227">
        <v>-5960.22</v>
      </c>
      <c r="H227" s="1">
        <f t="shared" si="10"/>
        <v>41576</v>
      </c>
      <c r="I227">
        <f>IF(AND(MyRowHidden(ROW())=FALSE,MyRowHidden(ROW()-1)=TRUE),0,(E227-E226)*unitsOfDHp+I226)</f>
        <v>412580</v>
      </c>
      <c r="J227">
        <f>IF(AND(MyRowHidden(ROW())=FALSE,MyRowHidden(ROW()-1)=TRUE),0,(G227-G226)*unitsOfExo+J226)</f>
        <v>-16712.200000000012</v>
      </c>
      <c r="K227" s="9">
        <f t="shared" si="11"/>
        <v>16712.200000000012</v>
      </c>
      <c r="L227">
        <f t="shared" si="12"/>
        <v>395867.8</v>
      </c>
    </row>
    <row r="228" spans="1:12" x14ac:dyDescent="0.25">
      <c r="A228" s="1"/>
      <c r="C228" s="1"/>
      <c r="D228" s="1">
        <v>41577</v>
      </c>
      <c r="E228" s="10">
        <v>209396</v>
      </c>
      <c r="F228" s="1">
        <v>41577</v>
      </c>
      <c r="G228">
        <v>-5940.01</v>
      </c>
      <c r="H228" s="1">
        <f t="shared" si="10"/>
        <v>41577</v>
      </c>
      <c r="I228">
        <f>IF(AND(MyRowHidden(ROW())=FALSE,MyRowHidden(ROW()-1)=TRUE),0,(E228-E227)*unitsOfDHp+I227)</f>
        <v>437180</v>
      </c>
      <c r="J228">
        <f>IF(AND(MyRowHidden(ROW())=FALSE,MyRowHidden(ROW()-1)=TRUE),0,(G228-G227)*unitsOfExo+J227)</f>
        <v>-16510.100000000013</v>
      </c>
      <c r="K228" s="9">
        <f t="shared" si="11"/>
        <v>16510.100000000013</v>
      </c>
      <c r="L228">
        <f t="shared" si="12"/>
        <v>420669.89999999997</v>
      </c>
    </row>
    <row r="229" spans="1:12" x14ac:dyDescent="0.25">
      <c r="A229" s="1"/>
      <c r="C229" s="1"/>
      <c r="D229" s="1">
        <v>41578</v>
      </c>
      <c r="E229" s="10">
        <v>210392</v>
      </c>
      <c r="F229" s="1">
        <v>41578</v>
      </c>
      <c r="G229">
        <v>-5947.53</v>
      </c>
      <c r="H229" s="1">
        <f t="shared" si="10"/>
        <v>41578</v>
      </c>
      <c r="I229">
        <f>IF(AND(MyRowHidden(ROW())=FALSE,MyRowHidden(ROW()-1)=TRUE),0,(E229-E228)*unitsOfDHp+I228)</f>
        <v>447140</v>
      </c>
      <c r="J229">
        <f>IF(AND(MyRowHidden(ROW())=FALSE,MyRowHidden(ROW()-1)=TRUE),0,(G229-G228)*unitsOfExo+J228)</f>
        <v>-16585.30000000001</v>
      </c>
      <c r="K229" s="9">
        <f t="shared" si="11"/>
        <v>16585.30000000001</v>
      </c>
      <c r="L229">
        <f t="shared" si="12"/>
        <v>430554.7</v>
      </c>
    </row>
    <row r="230" spans="1:12" x14ac:dyDescent="0.25">
      <c r="A230" s="1"/>
      <c r="C230" s="1"/>
      <c r="D230" s="1">
        <v>41579</v>
      </c>
      <c r="E230" s="10">
        <v>211122</v>
      </c>
      <c r="F230" s="1">
        <v>41579</v>
      </c>
      <c r="G230">
        <v>-5584</v>
      </c>
      <c r="H230" s="1">
        <f t="shared" si="10"/>
        <v>41579</v>
      </c>
      <c r="I230">
        <f>IF(AND(MyRowHidden(ROW())=FALSE,MyRowHidden(ROW()-1)=TRUE),0,(E230-E229)*unitsOfDHp+I229)</f>
        <v>454440</v>
      </c>
      <c r="J230">
        <f>IF(AND(MyRowHidden(ROW())=FALSE,MyRowHidden(ROW()-1)=TRUE),0,(G230-G229)*unitsOfExo+J229)</f>
        <v>-12950.000000000013</v>
      </c>
      <c r="K230" s="9">
        <f t="shared" si="11"/>
        <v>12950.000000000013</v>
      </c>
      <c r="L230">
        <f t="shared" si="12"/>
        <v>441490</v>
      </c>
    </row>
    <row r="231" spans="1:12" x14ac:dyDescent="0.25">
      <c r="A231" s="1"/>
      <c r="C231" s="1"/>
      <c r="D231" s="1">
        <v>41582</v>
      </c>
      <c r="E231" s="10">
        <v>211578</v>
      </c>
      <c r="F231" s="1">
        <v>41582</v>
      </c>
      <c r="G231">
        <v>-5584</v>
      </c>
      <c r="H231" s="1">
        <f t="shared" si="10"/>
        <v>41582</v>
      </c>
      <c r="I231">
        <f>IF(AND(MyRowHidden(ROW())=FALSE,MyRowHidden(ROW()-1)=TRUE),0,(E231-E230)*unitsOfDHp+I230)</f>
        <v>459000</v>
      </c>
      <c r="J231">
        <f>IF(AND(MyRowHidden(ROW())=FALSE,MyRowHidden(ROW()-1)=TRUE),0,(G231-G230)*unitsOfExo+J230)</f>
        <v>-12950.000000000013</v>
      </c>
      <c r="K231" s="9">
        <f t="shared" si="11"/>
        <v>12950.000000000013</v>
      </c>
      <c r="L231">
        <f t="shared" si="12"/>
        <v>446050</v>
      </c>
    </row>
    <row r="232" spans="1:12" x14ac:dyDescent="0.25">
      <c r="A232" s="1"/>
      <c r="C232" s="1"/>
      <c r="D232" s="1">
        <v>41583</v>
      </c>
      <c r="E232" s="10">
        <v>212448</v>
      </c>
      <c r="F232" s="1">
        <v>41583</v>
      </c>
      <c r="G232">
        <v>-5584</v>
      </c>
      <c r="H232" s="1">
        <f t="shared" si="10"/>
        <v>41583</v>
      </c>
      <c r="I232">
        <f>IF(AND(MyRowHidden(ROW())=FALSE,MyRowHidden(ROW()-1)=TRUE),0,(E232-E231)*unitsOfDHp+I231)</f>
        <v>467700</v>
      </c>
      <c r="J232">
        <f>IF(AND(MyRowHidden(ROW())=FALSE,MyRowHidden(ROW()-1)=TRUE),0,(G232-G231)*unitsOfExo+J231)</f>
        <v>-12950.000000000013</v>
      </c>
      <c r="K232" s="9">
        <f t="shared" si="11"/>
        <v>12950.000000000013</v>
      </c>
      <c r="L232">
        <f t="shared" si="12"/>
        <v>454750</v>
      </c>
    </row>
    <row r="233" spans="1:12" x14ac:dyDescent="0.25">
      <c r="A233" s="1"/>
      <c r="C233" s="1"/>
      <c r="D233" s="1">
        <v>41584</v>
      </c>
      <c r="E233" s="10">
        <v>211520</v>
      </c>
      <c r="F233" s="1">
        <v>41584</v>
      </c>
      <c r="G233">
        <v>-5433.13</v>
      </c>
      <c r="H233" s="1">
        <f t="shared" si="10"/>
        <v>41584</v>
      </c>
      <c r="I233">
        <f>IF(AND(MyRowHidden(ROW())=FALSE,MyRowHidden(ROW()-1)=TRUE),0,(E233-E232)*unitsOfDHp+I232)</f>
        <v>458420</v>
      </c>
      <c r="J233">
        <f>IF(AND(MyRowHidden(ROW())=FALSE,MyRowHidden(ROW()-1)=TRUE),0,(G233-G232)*unitsOfExo+J232)</f>
        <v>-11441.300000000014</v>
      </c>
      <c r="K233" s="9">
        <f t="shared" si="11"/>
        <v>11441.300000000014</v>
      </c>
      <c r="L233">
        <f t="shared" si="12"/>
        <v>446978.7</v>
      </c>
    </row>
    <row r="234" spans="1:12" x14ac:dyDescent="0.25">
      <c r="A234" s="1"/>
      <c r="C234" s="1"/>
      <c r="D234" s="1">
        <v>41585</v>
      </c>
      <c r="E234" s="10">
        <v>211944</v>
      </c>
      <c r="F234" s="1">
        <v>41585</v>
      </c>
      <c r="G234">
        <v>-5290.25</v>
      </c>
      <c r="H234" s="1">
        <f t="shared" si="10"/>
        <v>41585</v>
      </c>
      <c r="I234">
        <f>IF(AND(MyRowHidden(ROW())=FALSE,MyRowHidden(ROW()-1)=TRUE),0,(E234-E233)*unitsOfDHp+I233)</f>
        <v>462660</v>
      </c>
      <c r="J234">
        <f>IF(AND(MyRowHidden(ROW())=FALSE,MyRowHidden(ROW()-1)=TRUE),0,(G234-G233)*unitsOfExo+J233)</f>
        <v>-10012.500000000013</v>
      </c>
      <c r="K234" s="9">
        <f t="shared" si="11"/>
        <v>10012.500000000013</v>
      </c>
      <c r="L234">
        <f t="shared" si="12"/>
        <v>452647.5</v>
      </c>
    </row>
    <row r="235" spans="1:12" x14ac:dyDescent="0.25">
      <c r="A235" s="1"/>
      <c r="C235" s="1"/>
      <c r="D235" s="1">
        <v>41586</v>
      </c>
      <c r="E235" s="10">
        <v>212004</v>
      </c>
      <c r="F235" s="1">
        <v>41586</v>
      </c>
      <c r="G235">
        <v>-5290.25</v>
      </c>
      <c r="H235" s="1">
        <f t="shared" si="10"/>
        <v>41586</v>
      </c>
      <c r="I235">
        <f>IF(AND(MyRowHidden(ROW())=FALSE,MyRowHidden(ROW()-1)=TRUE),0,(E235-E234)*unitsOfDHp+I234)</f>
        <v>463260</v>
      </c>
      <c r="J235">
        <f>IF(AND(MyRowHidden(ROW())=FALSE,MyRowHidden(ROW()-1)=TRUE),0,(G235-G234)*unitsOfExo+J234)</f>
        <v>-10012.500000000013</v>
      </c>
      <c r="K235" s="9">
        <f t="shared" si="11"/>
        <v>10012.500000000013</v>
      </c>
      <c r="L235">
        <f t="shared" si="12"/>
        <v>453247.5</v>
      </c>
    </row>
    <row r="236" spans="1:12" x14ac:dyDescent="0.25">
      <c r="A236" s="1"/>
      <c r="C236" s="1"/>
      <c r="D236" s="1">
        <v>41589</v>
      </c>
      <c r="E236" s="10">
        <v>212314</v>
      </c>
      <c r="F236" s="1">
        <v>41589</v>
      </c>
      <c r="G236">
        <v>-5290.25</v>
      </c>
      <c r="H236" s="1">
        <f t="shared" si="10"/>
        <v>41589</v>
      </c>
      <c r="I236">
        <f>IF(AND(MyRowHidden(ROW())=FALSE,MyRowHidden(ROW()-1)=TRUE),0,(E236-E235)*unitsOfDHp+I235)</f>
        <v>466360</v>
      </c>
      <c r="J236">
        <f>IF(AND(MyRowHidden(ROW())=FALSE,MyRowHidden(ROW()-1)=TRUE),0,(G236-G235)*unitsOfExo+J235)</f>
        <v>-10012.500000000013</v>
      </c>
      <c r="K236" s="9">
        <f t="shared" si="11"/>
        <v>10012.500000000013</v>
      </c>
      <c r="L236">
        <f t="shared" si="12"/>
        <v>456347.5</v>
      </c>
    </row>
    <row r="237" spans="1:12" x14ac:dyDescent="0.25">
      <c r="A237" s="1"/>
      <c r="C237" s="1"/>
      <c r="D237" s="1">
        <v>41590</v>
      </c>
      <c r="E237" s="10">
        <v>213104</v>
      </c>
      <c r="F237" s="1">
        <v>41590</v>
      </c>
      <c r="G237">
        <v>-5290.25</v>
      </c>
      <c r="H237" s="1">
        <f t="shared" si="10"/>
        <v>41590</v>
      </c>
      <c r="I237">
        <f>IF(AND(MyRowHidden(ROW())=FALSE,MyRowHidden(ROW()-1)=TRUE),0,(E237-E236)*unitsOfDHp+I236)</f>
        <v>474260</v>
      </c>
      <c r="J237">
        <f>IF(AND(MyRowHidden(ROW())=FALSE,MyRowHidden(ROW()-1)=TRUE),0,(G237-G236)*unitsOfExo+J236)</f>
        <v>-10012.500000000013</v>
      </c>
      <c r="K237" s="9">
        <f t="shared" si="11"/>
        <v>10012.500000000013</v>
      </c>
      <c r="L237">
        <f t="shared" si="12"/>
        <v>464247.5</v>
      </c>
    </row>
    <row r="238" spans="1:12" x14ac:dyDescent="0.25">
      <c r="A238" s="1"/>
      <c r="C238" s="1"/>
      <c r="D238" s="1">
        <v>41591</v>
      </c>
      <c r="E238" s="10">
        <v>212924</v>
      </c>
      <c r="F238" s="1">
        <v>41591</v>
      </c>
      <c r="G238">
        <v>-5254.06</v>
      </c>
      <c r="H238" s="1">
        <f t="shared" si="10"/>
        <v>41591</v>
      </c>
      <c r="I238">
        <f>IF(AND(MyRowHidden(ROW())=FALSE,MyRowHidden(ROW()-1)=TRUE),0,(E238-E237)*unitsOfDHp+I237)</f>
        <v>472460</v>
      </c>
      <c r="J238">
        <f>IF(AND(MyRowHidden(ROW())=FALSE,MyRowHidden(ROW()-1)=TRUE),0,(G238-G237)*unitsOfExo+J237)</f>
        <v>-9650.6000000000167</v>
      </c>
      <c r="K238" s="9">
        <f t="shared" si="11"/>
        <v>9650.6000000000167</v>
      </c>
      <c r="L238">
        <f t="shared" si="12"/>
        <v>462809.39999999997</v>
      </c>
    </row>
    <row r="239" spans="1:12" x14ac:dyDescent="0.25">
      <c r="A239" s="1"/>
      <c r="C239" s="1"/>
      <c r="D239" s="1">
        <v>41592</v>
      </c>
      <c r="E239" s="10">
        <v>213034</v>
      </c>
      <c r="F239" s="1">
        <v>41592</v>
      </c>
      <c r="G239">
        <v>-5388.01</v>
      </c>
      <c r="H239" s="1">
        <f t="shared" si="10"/>
        <v>41592</v>
      </c>
      <c r="I239">
        <f>IF(AND(MyRowHidden(ROW())=FALSE,MyRowHidden(ROW()-1)=TRUE),0,(E239-E238)*unitsOfDHp+I238)</f>
        <v>473560</v>
      </c>
      <c r="J239">
        <f>IF(AND(MyRowHidden(ROW())=FALSE,MyRowHidden(ROW()-1)=TRUE),0,(G239-G238)*unitsOfExo+J238)</f>
        <v>-10990.100000000015</v>
      </c>
      <c r="K239" s="9">
        <f t="shared" si="11"/>
        <v>10990.100000000015</v>
      </c>
      <c r="L239">
        <f t="shared" si="12"/>
        <v>462569.89999999997</v>
      </c>
    </row>
    <row r="240" spans="1:12" x14ac:dyDescent="0.25">
      <c r="A240" s="1"/>
      <c r="C240" s="1"/>
      <c r="D240" s="1">
        <v>41593</v>
      </c>
      <c r="E240" s="10">
        <v>212844</v>
      </c>
      <c r="F240" s="1">
        <v>41593</v>
      </c>
      <c r="G240">
        <v>-5419.03</v>
      </c>
      <c r="H240" s="1">
        <f t="shared" si="10"/>
        <v>41593</v>
      </c>
      <c r="I240">
        <f>IF(AND(MyRowHidden(ROW())=FALSE,MyRowHidden(ROW()-1)=TRUE),0,(E240-E239)*unitsOfDHp+I239)</f>
        <v>471660</v>
      </c>
      <c r="J240">
        <f>IF(AND(MyRowHidden(ROW())=FALSE,MyRowHidden(ROW()-1)=TRUE),0,(G240-G239)*unitsOfExo+J239)</f>
        <v>-11300.30000000001</v>
      </c>
      <c r="K240" s="9">
        <f t="shared" si="11"/>
        <v>11300.30000000001</v>
      </c>
      <c r="L240">
        <f t="shared" si="12"/>
        <v>460359.7</v>
      </c>
    </row>
    <row r="241" spans="1:12" x14ac:dyDescent="0.25">
      <c r="A241" s="1"/>
      <c r="C241" s="1"/>
      <c r="D241" s="1">
        <v>41596</v>
      </c>
      <c r="E241" s="10">
        <v>216574</v>
      </c>
      <c r="F241" s="1">
        <v>41596</v>
      </c>
      <c r="G241">
        <v>-5278.97</v>
      </c>
      <c r="H241" s="1">
        <f t="shared" si="10"/>
        <v>41596</v>
      </c>
      <c r="I241">
        <f>IF(AND(MyRowHidden(ROW())=FALSE,MyRowHidden(ROW()-1)=TRUE),0,(E241-E240)*unitsOfDHp+I240)</f>
        <v>508960</v>
      </c>
      <c r="J241">
        <f>IF(AND(MyRowHidden(ROW())=FALSE,MyRowHidden(ROW()-1)=TRUE),0,(G241-G240)*unitsOfExo+J240)</f>
        <v>-9899.7000000000153</v>
      </c>
      <c r="K241" s="9">
        <f t="shared" si="11"/>
        <v>9899.7000000000153</v>
      </c>
      <c r="L241">
        <f t="shared" si="12"/>
        <v>499060.3</v>
      </c>
    </row>
    <row r="242" spans="1:12" x14ac:dyDescent="0.25">
      <c r="A242" s="1"/>
      <c r="C242" s="1"/>
      <c r="D242" s="1">
        <v>41597</v>
      </c>
      <c r="E242" s="10">
        <v>214782</v>
      </c>
      <c r="F242" s="1">
        <v>41597</v>
      </c>
      <c r="G242">
        <v>-5178.3900000000003</v>
      </c>
      <c r="H242" s="1">
        <f t="shared" si="10"/>
        <v>41597</v>
      </c>
      <c r="I242">
        <f>IF(AND(MyRowHidden(ROW())=FALSE,MyRowHidden(ROW()-1)=TRUE),0,(E242-E241)*unitsOfDHp+I241)</f>
        <v>491040</v>
      </c>
      <c r="J242">
        <f>IF(AND(MyRowHidden(ROW())=FALSE,MyRowHidden(ROW()-1)=TRUE),0,(G242-G241)*unitsOfExo+J241)</f>
        <v>-8893.900000000016</v>
      </c>
      <c r="K242" s="9">
        <f t="shared" si="11"/>
        <v>8893.900000000016</v>
      </c>
      <c r="L242">
        <f t="shared" si="12"/>
        <v>482146.1</v>
      </c>
    </row>
    <row r="243" spans="1:12" x14ac:dyDescent="0.25">
      <c r="A243" s="1"/>
      <c r="C243" s="1"/>
      <c r="D243" s="1">
        <v>41598</v>
      </c>
      <c r="E243" s="10">
        <v>215908</v>
      </c>
      <c r="F243" s="1">
        <v>41598</v>
      </c>
      <c r="G243">
        <v>-5245.6</v>
      </c>
      <c r="H243" s="1">
        <f t="shared" si="10"/>
        <v>41598</v>
      </c>
      <c r="I243">
        <f>IF(AND(MyRowHidden(ROW())=FALSE,MyRowHidden(ROW()-1)=TRUE),0,(E243-E242)*unitsOfDHp+I242)</f>
        <v>502300</v>
      </c>
      <c r="J243">
        <f>IF(AND(MyRowHidden(ROW())=FALSE,MyRowHidden(ROW()-1)=TRUE),0,(G243-G242)*unitsOfExo+J242)</f>
        <v>-9566.0000000000164</v>
      </c>
      <c r="K243" s="9">
        <f t="shared" si="11"/>
        <v>9566.0000000000164</v>
      </c>
      <c r="L243">
        <f t="shared" si="12"/>
        <v>492734</v>
      </c>
    </row>
    <row r="244" spans="1:12" x14ac:dyDescent="0.25">
      <c r="A244" s="1"/>
      <c r="C244" s="1"/>
      <c r="D244" s="1">
        <v>41599</v>
      </c>
      <c r="E244" s="10">
        <v>209382</v>
      </c>
      <c r="F244" s="1">
        <v>41599</v>
      </c>
      <c r="G244">
        <v>-5088.62</v>
      </c>
      <c r="H244" s="1">
        <f t="shared" si="10"/>
        <v>41599</v>
      </c>
      <c r="I244">
        <f>IF(AND(MyRowHidden(ROW())=FALSE,MyRowHidden(ROW()-1)=TRUE),0,(E244-E243)*unitsOfDHp+I243)</f>
        <v>437040</v>
      </c>
      <c r="J244">
        <f>IF(AND(MyRowHidden(ROW())=FALSE,MyRowHidden(ROW()-1)=TRUE),0,(G244-G243)*unitsOfExo+J243)</f>
        <v>-7996.2000000000116</v>
      </c>
      <c r="K244" s="9">
        <f t="shared" si="11"/>
        <v>7996.2000000000116</v>
      </c>
      <c r="L244">
        <f t="shared" si="12"/>
        <v>429043.8</v>
      </c>
    </row>
    <row r="245" spans="1:12" x14ac:dyDescent="0.25">
      <c r="A245" s="1"/>
      <c r="C245" s="1"/>
      <c r="D245" s="1">
        <v>41600</v>
      </c>
      <c r="E245" s="10">
        <v>210476</v>
      </c>
      <c r="F245" s="1">
        <v>41600</v>
      </c>
      <c r="G245">
        <v>-5088.62</v>
      </c>
      <c r="H245" s="1">
        <f t="shared" si="10"/>
        <v>41600</v>
      </c>
      <c r="I245">
        <f>IF(AND(MyRowHidden(ROW())=FALSE,MyRowHidden(ROW()-1)=TRUE),0,(E245-E244)*unitsOfDHp+I244)</f>
        <v>447980</v>
      </c>
      <c r="J245">
        <f>IF(AND(MyRowHidden(ROW())=FALSE,MyRowHidden(ROW()-1)=TRUE),0,(G245-G244)*unitsOfExo+J244)</f>
        <v>-7996.2000000000116</v>
      </c>
      <c r="K245" s="9">
        <f t="shared" si="11"/>
        <v>7996.2000000000116</v>
      </c>
      <c r="L245">
        <f t="shared" si="12"/>
        <v>439983.8</v>
      </c>
    </row>
    <row r="246" spans="1:12" x14ac:dyDescent="0.25">
      <c r="A246" s="1"/>
      <c r="C246" s="1"/>
      <c r="D246" s="1">
        <v>41603</v>
      </c>
      <c r="E246" s="10">
        <v>212568</v>
      </c>
      <c r="F246" s="1">
        <v>41603</v>
      </c>
      <c r="G246">
        <v>-4864.8999999999996</v>
      </c>
      <c r="H246" s="1">
        <f t="shared" si="10"/>
        <v>41603</v>
      </c>
      <c r="I246">
        <f>IF(AND(MyRowHidden(ROW())=FALSE,MyRowHidden(ROW()-1)=TRUE),0,(E246-E245)*unitsOfDHp+I245)</f>
        <v>468900</v>
      </c>
      <c r="J246">
        <f>IF(AND(MyRowHidden(ROW())=FALSE,MyRowHidden(ROW()-1)=TRUE),0,(G246-G245)*unitsOfExo+J245)</f>
        <v>-5759.0000000000091</v>
      </c>
      <c r="K246" s="9">
        <f t="shared" si="11"/>
        <v>5759.0000000000091</v>
      </c>
      <c r="L246">
        <f t="shared" si="12"/>
        <v>463141</v>
      </c>
    </row>
    <row r="247" spans="1:12" x14ac:dyDescent="0.25">
      <c r="A247" s="1"/>
      <c r="C247" s="1"/>
      <c r="D247" s="1">
        <v>41604</v>
      </c>
      <c r="E247" s="10">
        <v>213768</v>
      </c>
      <c r="F247" s="1">
        <v>41604</v>
      </c>
      <c r="G247">
        <v>-4864.8999999999996</v>
      </c>
      <c r="H247" s="1">
        <f t="shared" si="10"/>
        <v>41604</v>
      </c>
      <c r="I247">
        <f>IF(AND(MyRowHidden(ROW())=FALSE,MyRowHidden(ROW()-1)=TRUE),0,(E247-E246)*unitsOfDHp+I246)</f>
        <v>480900</v>
      </c>
      <c r="J247">
        <f>IF(AND(MyRowHidden(ROW())=FALSE,MyRowHidden(ROW()-1)=TRUE),0,(G247-G246)*unitsOfExo+J246)</f>
        <v>-5759.0000000000091</v>
      </c>
      <c r="K247" s="9">
        <f t="shared" si="11"/>
        <v>5759.0000000000091</v>
      </c>
      <c r="L247">
        <f t="shared" si="12"/>
        <v>475141</v>
      </c>
    </row>
    <row r="248" spans="1:12" x14ac:dyDescent="0.25">
      <c r="A248" s="1"/>
      <c r="C248" s="1"/>
      <c r="D248" s="1">
        <v>41605</v>
      </c>
      <c r="E248" s="10">
        <v>219112</v>
      </c>
      <c r="F248" s="1">
        <v>41605</v>
      </c>
      <c r="G248">
        <v>-4864.8999999999996</v>
      </c>
      <c r="H248" s="1">
        <f t="shared" si="10"/>
        <v>41605</v>
      </c>
      <c r="I248">
        <f>IF(AND(MyRowHidden(ROW())=FALSE,MyRowHidden(ROW()-1)=TRUE),0,(E248-E247)*unitsOfDHp+I247)</f>
        <v>534340</v>
      </c>
      <c r="J248">
        <f>IF(AND(MyRowHidden(ROW())=FALSE,MyRowHidden(ROW()-1)=TRUE),0,(G248-G247)*unitsOfExo+J247)</f>
        <v>-5759.0000000000091</v>
      </c>
      <c r="K248" s="9">
        <f t="shared" si="11"/>
        <v>5759.0000000000091</v>
      </c>
      <c r="L248">
        <f t="shared" si="12"/>
        <v>528581</v>
      </c>
    </row>
    <row r="249" spans="1:12" x14ac:dyDescent="0.25">
      <c r="A249" s="1"/>
      <c r="C249" s="1"/>
      <c r="D249" s="1">
        <v>41606</v>
      </c>
      <c r="E249" s="10">
        <v>218998</v>
      </c>
      <c r="F249" s="1">
        <v>41606</v>
      </c>
      <c r="G249">
        <v>-4864.8999999999996</v>
      </c>
      <c r="H249" s="1">
        <f t="shared" si="10"/>
        <v>41606</v>
      </c>
      <c r="I249">
        <f>IF(AND(MyRowHidden(ROW())=FALSE,MyRowHidden(ROW()-1)=TRUE),0,(E249-E248)*unitsOfDHp+I248)</f>
        <v>533200</v>
      </c>
      <c r="J249">
        <f>IF(AND(MyRowHidden(ROW())=FALSE,MyRowHidden(ROW()-1)=TRUE),0,(G249-G248)*unitsOfExo+J248)</f>
        <v>-5759.0000000000091</v>
      </c>
      <c r="K249" s="9">
        <f t="shared" si="11"/>
        <v>5759.0000000000091</v>
      </c>
      <c r="L249">
        <f t="shared" si="12"/>
        <v>527441</v>
      </c>
    </row>
    <row r="250" spans="1:12" x14ac:dyDescent="0.25">
      <c r="A250" s="1"/>
      <c r="C250" s="1"/>
      <c r="D250" s="1">
        <v>41607</v>
      </c>
      <c r="E250" s="10">
        <v>217844</v>
      </c>
      <c r="F250" s="1">
        <v>41607</v>
      </c>
      <c r="G250">
        <v>-5255</v>
      </c>
      <c r="H250" s="1">
        <f t="shared" si="10"/>
        <v>41607</v>
      </c>
      <c r="I250">
        <f>IF(AND(MyRowHidden(ROW())=FALSE,MyRowHidden(ROW()-1)=TRUE),0,(E250-E249)*unitsOfDHp+I249)</f>
        <v>521660</v>
      </c>
      <c r="J250">
        <f>IF(AND(MyRowHidden(ROW())=FALSE,MyRowHidden(ROW()-1)=TRUE),0,(G250-G249)*unitsOfExo+J249)</f>
        <v>-9660.0000000000127</v>
      </c>
      <c r="K250" s="9">
        <f t="shared" si="11"/>
        <v>9660.0000000000127</v>
      </c>
      <c r="L250">
        <f t="shared" si="12"/>
        <v>512000</v>
      </c>
    </row>
    <row r="251" spans="1:12" x14ac:dyDescent="0.25">
      <c r="A251" s="1"/>
      <c r="C251" s="1"/>
      <c r="D251" s="1">
        <v>41610</v>
      </c>
      <c r="E251" s="10">
        <v>215544</v>
      </c>
      <c r="F251" s="1">
        <v>41610</v>
      </c>
      <c r="G251">
        <v>-3716</v>
      </c>
      <c r="H251" s="1">
        <f t="shared" si="10"/>
        <v>41610</v>
      </c>
      <c r="I251">
        <f>IF(AND(MyRowHidden(ROW())=FALSE,MyRowHidden(ROW()-1)=TRUE),0,(E251-E250)*unitsOfDHp+I250)</f>
        <v>498660</v>
      </c>
      <c r="J251">
        <f>IF(AND(MyRowHidden(ROW())=FALSE,MyRowHidden(ROW()-1)=TRUE),0,(G251-G250)*unitsOfExo+J250)</f>
        <v>5729.9999999999873</v>
      </c>
      <c r="K251" s="9">
        <f t="shared" si="11"/>
        <v>-5729.9999999999873</v>
      </c>
      <c r="L251">
        <f t="shared" si="12"/>
        <v>504390</v>
      </c>
    </row>
    <row r="252" spans="1:12" x14ac:dyDescent="0.25">
      <c r="A252" s="1"/>
      <c r="C252" s="1"/>
      <c r="D252" s="1">
        <v>41611</v>
      </c>
      <c r="E252" s="10">
        <v>210356</v>
      </c>
      <c r="F252" s="1">
        <v>41611</v>
      </c>
      <c r="G252">
        <v>-3660.07</v>
      </c>
      <c r="H252" s="1">
        <f t="shared" si="10"/>
        <v>41611</v>
      </c>
      <c r="I252">
        <f>IF(AND(MyRowHidden(ROW())=FALSE,MyRowHidden(ROW()-1)=TRUE),0,(E252-E251)*unitsOfDHp+I251)</f>
        <v>446780</v>
      </c>
      <c r="J252">
        <f>IF(AND(MyRowHidden(ROW())=FALSE,MyRowHidden(ROW()-1)=TRUE),0,(G252-G251)*unitsOfExo+J251)</f>
        <v>6289.2999999999856</v>
      </c>
      <c r="K252" s="9">
        <f t="shared" si="11"/>
        <v>-6289.2999999999856</v>
      </c>
      <c r="L252">
        <f t="shared" si="12"/>
        <v>453069.3</v>
      </c>
    </row>
    <row r="253" spans="1:12" x14ac:dyDescent="0.25">
      <c r="A253" s="1"/>
      <c r="C253" s="1"/>
      <c r="D253" s="1">
        <v>41612</v>
      </c>
      <c r="E253" s="10">
        <v>213268</v>
      </c>
      <c r="F253" s="1">
        <v>41612</v>
      </c>
      <c r="G253">
        <v>-3340.94</v>
      </c>
      <c r="H253" s="1">
        <f t="shared" si="10"/>
        <v>41612</v>
      </c>
      <c r="I253">
        <f>IF(AND(MyRowHidden(ROW())=FALSE,MyRowHidden(ROW()-1)=TRUE),0,(E253-E252)*unitsOfDHp+I252)</f>
        <v>475900</v>
      </c>
      <c r="J253">
        <f>IF(AND(MyRowHidden(ROW())=FALSE,MyRowHidden(ROW()-1)=TRUE),0,(G253-G252)*unitsOfExo+J252)</f>
        <v>9480.5999999999876</v>
      </c>
      <c r="K253" s="9">
        <f t="shared" si="11"/>
        <v>-9480.5999999999876</v>
      </c>
      <c r="L253">
        <f t="shared" si="12"/>
        <v>485380.6</v>
      </c>
    </row>
    <row r="254" spans="1:12" x14ac:dyDescent="0.25">
      <c r="A254" s="1"/>
      <c r="C254" s="1"/>
      <c r="D254" s="1">
        <v>41613</v>
      </c>
      <c r="E254" s="10">
        <v>214492</v>
      </c>
      <c r="F254" s="1">
        <v>41613</v>
      </c>
      <c r="G254">
        <v>-2686.7</v>
      </c>
      <c r="H254" s="1">
        <f t="shared" si="10"/>
        <v>41613</v>
      </c>
      <c r="I254">
        <f>IF(AND(MyRowHidden(ROW())=FALSE,MyRowHidden(ROW()-1)=TRUE),0,(E254-E253)*unitsOfDHp+I253)</f>
        <v>488140</v>
      </c>
      <c r="J254">
        <f>IF(AND(MyRowHidden(ROW())=FALSE,MyRowHidden(ROW()-1)=TRUE),0,(G254-G253)*unitsOfExo+J253)</f>
        <v>16022.999999999989</v>
      </c>
      <c r="K254" s="9">
        <f t="shared" si="11"/>
        <v>-16022.999999999989</v>
      </c>
      <c r="L254">
        <f t="shared" si="12"/>
        <v>504163</v>
      </c>
    </row>
    <row r="255" spans="1:12" x14ac:dyDescent="0.25">
      <c r="A255" s="1"/>
      <c r="C255" s="1"/>
      <c r="D255" s="1">
        <v>41614</v>
      </c>
      <c r="E255" s="10">
        <v>214900</v>
      </c>
      <c r="F255" s="1">
        <v>41614</v>
      </c>
      <c r="G255">
        <v>-2400.94</v>
      </c>
      <c r="H255" s="1">
        <f t="shared" si="10"/>
        <v>41614</v>
      </c>
      <c r="I255">
        <f>IF(AND(MyRowHidden(ROW())=FALSE,MyRowHidden(ROW()-1)=TRUE),0,(E255-E254)*unitsOfDHp+I254)</f>
        <v>492220</v>
      </c>
      <c r="J255">
        <f>IF(AND(MyRowHidden(ROW())=FALSE,MyRowHidden(ROW()-1)=TRUE),0,(G255-G254)*unitsOfExo+J254)</f>
        <v>18880.599999999988</v>
      </c>
      <c r="K255" s="9">
        <f t="shared" si="11"/>
        <v>-18880.599999999988</v>
      </c>
      <c r="L255">
        <f t="shared" si="12"/>
        <v>511100.6</v>
      </c>
    </row>
    <row r="256" spans="1:12" x14ac:dyDescent="0.25">
      <c r="A256" s="1"/>
      <c r="C256" s="1"/>
      <c r="D256" s="1">
        <v>41617</v>
      </c>
      <c r="E256" s="10">
        <v>215384</v>
      </c>
      <c r="F256" s="1">
        <v>41617</v>
      </c>
      <c r="G256">
        <v>-1326.99</v>
      </c>
      <c r="H256" s="1">
        <f t="shared" si="10"/>
        <v>41617</v>
      </c>
      <c r="I256">
        <f>IF(AND(MyRowHidden(ROW())=FALSE,MyRowHidden(ROW()-1)=TRUE),0,(E256-E255)*unitsOfDHp+I255)</f>
        <v>497060</v>
      </c>
      <c r="J256">
        <f>IF(AND(MyRowHidden(ROW())=FALSE,MyRowHidden(ROW()-1)=TRUE),0,(G256-G255)*unitsOfExo+J255)</f>
        <v>29620.099999999988</v>
      </c>
      <c r="K256" s="9">
        <f t="shared" si="11"/>
        <v>-29620.099999999988</v>
      </c>
      <c r="L256">
        <f t="shared" si="12"/>
        <v>526680.1</v>
      </c>
    </row>
    <row r="257" spans="1:12" x14ac:dyDescent="0.25">
      <c r="A257" s="1"/>
      <c r="C257" s="1"/>
      <c r="D257" s="1">
        <v>41618</v>
      </c>
      <c r="E257" s="10">
        <v>216264</v>
      </c>
      <c r="F257" s="1">
        <v>41618</v>
      </c>
      <c r="G257">
        <v>-1704.4</v>
      </c>
      <c r="H257" s="1">
        <f t="shared" si="10"/>
        <v>41618</v>
      </c>
      <c r="I257">
        <f>IF(AND(MyRowHidden(ROW())=FALSE,MyRowHidden(ROW()-1)=TRUE),0,(E257-E256)*unitsOfDHp+I256)</f>
        <v>505860</v>
      </c>
      <c r="J257">
        <f>IF(AND(MyRowHidden(ROW())=FALSE,MyRowHidden(ROW()-1)=TRUE),0,(G257-G256)*unitsOfExo+J256)</f>
        <v>25845.999999999985</v>
      </c>
      <c r="K257" s="9">
        <f t="shared" si="11"/>
        <v>-25845.999999999985</v>
      </c>
      <c r="L257">
        <f t="shared" si="12"/>
        <v>531706</v>
      </c>
    </row>
    <row r="258" spans="1:12" x14ac:dyDescent="0.25">
      <c r="A258" s="1"/>
      <c r="C258" s="1"/>
      <c r="D258" s="1">
        <v>41619</v>
      </c>
      <c r="E258" s="10">
        <v>215804</v>
      </c>
      <c r="F258" s="1">
        <v>41619</v>
      </c>
      <c r="G258">
        <v>-1704.4</v>
      </c>
      <c r="H258" s="1">
        <f t="shared" si="10"/>
        <v>41619</v>
      </c>
      <c r="I258">
        <f>IF(AND(MyRowHidden(ROW())=FALSE,MyRowHidden(ROW()-1)=TRUE),0,(E258-E257)*unitsOfDHp+I257)</f>
        <v>501260</v>
      </c>
      <c r="J258">
        <f>IF(AND(MyRowHidden(ROW())=FALSE,MyRowHidden(ROW()-1)=TRUE),0,(G258-G257)*unitsOfExo+J257)</f>
        <v>25845.999999999985</v>
      </c>
      <c r="K258" s="9">
        <f t="shared" si="11"/>
        <v>-25845.999999999985</v>
      </c>
      <c r="L258">
        <f t="shared" si="12"/>
        <v>527106</v>
      </c>
    </row>
    <row r="259" spans="1:12" x14ac:dyDescent="0.25">
      <c r="A259" s="1"/>
      <c r="C259" s="1"/>
      <c r="D259" s="1">
        <v>41620</v>
      </c>
      <c r="E259" s="10">
        <v>216384</v>
      </c>
      <c r="F259" s="1">
        <v>41620</v>
      </c>
      <c r="G259">
        <v>-1631.55</v>
      </c>
      <c r="H259" s="1">
        <f t="shared" si="10"/>
        <v>41620</v>
      </c>
      <c r="I259">
        <f>IF(AND(MyRowHidden(ROW())=FALSE,MyRowHidden(ROW()-1)=TRUE),0,(E259-E258)*unitsOfDHp+I258)</f>
        <v>507060</v>
      </c>
      <c r="J259">
        <f>IF(AND(MyRowHidden(ROW())=FALSE,MyRowHidden(ROW()-1)=TRUE),0,(G259-G258)*unitsOfExo+J258)</f>
        <v>26574.499999999985</v>
      </c>
      <c r="K259" s="9">
        <f t="shared" si="11"/>
        <v>-26574.499999999985</v>
      </c>
      <c r="L259">
        <f t="shared" si="12"/>
        <v>533634.5</v>
      </c>
    </row>
    <row r="260" spans="1:12" x14ac:dyDescent="0.25">
      <c r="A260" s="1"/>
      <c r="C260" s="1"/>
      <c r="D260" s="1">
        <v>41621</v>
      </c>
      <c r="E260" s="10">
        <v>214336</v>
      </c>
      <c r="F260" s="1">
        <v>41621</v>
      </c>
      <c r="G260">
        <v>-1631.55</v>
      </c>
      <c r="H260" s="1">
        <f t="shared" si="10"/>
        <v>41621</v>
      </c>
      <c r="I260">
        <f>IF(AND(MyRowHidden(ROW())=FALSE,MyRowHidden(ROW()-1)=TRUE),0,(E260-E259)*unitsOfDHp+I259)</f>
        <v>486580</v>
      </c>
      <c r="J260">
        <f>IF(AND(MyRowHidden(ROW())=FALSE,MyRowHidden(ROW()-1)=TRUE),0,(G260-G259)*unitsOfExo+J259)</f>
        <v>26574.499999999985</v>
      </c>
      <c r="K260" s="9">
        <f t="shared" si="11"/>
        <v>-26574.499999999985</v>
      </c>
      <c r="L260">
        <f t="shared" si="12"/>
        <v>513154.5</v>
      </c>
    </row>
    <row r="261" spans="1:12" x14ac:dyDescent="0.25">
      <c r="A261" s="1"/>
      <c r="C261" s="1"/>
      <c r="D261" s="1">
        <v>41624</v>
      </c>
      <c r="E261" s="10">
        <v>216674</v>
      </c>
      <c r="F261" s="1">
        <v>41624</v>
      </c>
      <c r="G261">
        <v>-1477.86</v>
      </c>
      <c r="H261" s="1">
        <f t="shared" si="10"/>
        <v>41624</v>
      </c>
      <c r="I261">
        <f>IF(AND(MyRowHidden(ROW())=FALSE,MyRowHidden(ROW()-1)=TRUE),0,(E261-E260)*unitsOfDHp+I260)</f>
        <v>509960</v>
      </c>
      <c r="J261">
        <f>IF(AND(MyRowHidden(ROW())=FALSE,MyRowHidden(ROW()-1)=TRUE),0,(G261-G260)*unitsOfExo+J260)</f>
        <v>28111.399999999987</v>
      </c>
      <c r="K261" s="9">
        <f t="shared" si="11"/>
        <v>-28111.399999999987</v>
      </c>
      <c r="L261">
        <f t="shared" si="12"/>
        <v>538071.4</v>
      </c>
    </row>
    <row r="262" spans="1:12" x14ac:dyDescent="0.25">
      <c r="A262" s="1"/>
      <c r="C262" s="1"/>
      <c r="D262" s="1">
        <v>41625</v>
      </c>
      <c r="E262" s="10">
        <v>215702</v>
      </c>
      <c r="F262" s="1">
        <v>41625</v>
      </c>
      <c r="G262">
        <v>-1477.86</v>
      </c>
      <c r="H262" s="1">
        <f t="shared" si="10"/>
        <v>41625</v>
      </c>
      <c r="I262">
        <f>IF(AND(MyRowHidden(ROW())=FALSE,MyRowHidden(ROW()-1)=TRUE),0,(E262-E261)*unitsOfDHp+I261)</f>
        <v>500240</v>
      </c>
      <c r="J262">
        <f>IF(AND(MyRowHidden(ROW())=FALSE,MyRowHidden(ROW()-1)=TRUE),0,(G262-G261)*unitsOfExo+J261)</f>
        <v>28111.399999999987</v>
      </c>
      <c r="K262" s="9">
        <f t="shared" si="11"/>
        <v>-28111.399999999987</v>
      </c>
      <c r="L262">
        <f t="shared" si="12"/>
        <v>528351.4</v>
      </c>
    </row>
    <row r="263" spans="1:12" x14ac:dyDescent="0.25">
      <c r="A263" s="1"/>
      <c r="C263" s="1"/>
      <c r="D263" s="1">
        <v>41626</v>
      </c>
      <c r="E263" s="10">
        <v>216802</v>
      </c>
      <c r="F263" s="1">
        <v>41626</v>
      </c>
      <c r="G263">
        <v>-1477.86</v>
      </c>
      <c r="H263" s="1">
        <f t="shared" si="10"/>
        <v>41626</v>
      </c>
      <c r="I263">
        <f>IF(AND(MyRowHidden(ROW())=FALSE,MyRowHidden(ROW()-1)=TRUE),0,(E263-E262)*unitsOfDHp+I262)</f>
        <v>511240</v>
      </c>
      <c r="J263">
        <f>IF(AND(MyRowHidden(ROW())=FALSE,MyRowHidden(ROW()-1)=TRUE),0,(G263-G262)*unitsOfExo+J262)</f>
        <v>28111.399999999987</v>
      </c>
      <c r="K263" s="9">
        <f t="shared" si="11"/>
        <v>-28111.399999999987</v>
      </c>
      <c r="L263">
        <f t="shared" si="12"/>
        <v>539351.4</v>
      </c>
    </row>
    <row r="264" spans="1:12" x14ac:dyDescent="0.25">
      <c r="A264" s="1"/>
      <c r="C264" s="1"/>
      <c r="D264" s="1">
        <v>41627</v>
      </c>
      <c r="E264" s="10">
        <v>221352</v>
      </c>
      <c r="F264" s="1">
        <v>41627</v>
      </c>
      <c r="G264">
        <v>-1388.56</v>
      </c>
      <c r="H264" s="1">
        <f t="shared" si="10"/>
        <v>41627</v>
      </c>
      <c r="I264">
        <f>IF(AND(MyRowHidden(ROW())=FALSE,MyRowHidden(ROW()-1)=TRUE),0,(E264-E263)*unitsOfDHp+I263)</f>
        <v>556740</v>
      </c>
      <c r="J264">
        <f>IF(AND(MyRowHidden(ROW())=FALSE,MyRowHidden(ROW()-1)=TRUE),0,(G264-G263)*unitsOfExo+J263)</f>
        <v>29004.399999999987</v>
      </c>
      <c r="K264" s="9">
        <f t="shared" si="11"/>
        <v>-29004.399999999987</v>
      </c>
      <c r="L264">
        <f t="shared" si="12"/>
        <v>585744.4</v>
      </c>
    </row>
    <row r="265" spans="1:12" x14ac:dyDescent="0.25">
      <c r="A265" s="1"/>
      <c r="C265" s="1"/>
      <c r="D265" s="1">
        <v>41628</v>
      </c>
      <c r="E265" s="10">
        <v>221632</v>
      </c>
      <c r="F265" s="1">
        <v>41628</v>
      </c>
      <c r="G265">
        <v>-1407.83</v>
      </c>
      <c r="H265" s="1">
        <f t="shared" si="10"/>
        <v>41628</v>
      </c>
      <c r="I265">
        <f>IF(AND(MyRowHidden(ROW())=FALSE,MyRowHidden(ROW()-1)=TRUE),0,(E265-E264)*unitsOfDHp+I264)</f>
        <v>559540</v>
      </c>
      <c r="J265">
        <f>IF(AND(MyRowHidden(ROW())=FALSE,MyRowHidden(ROW()-1)=TRUE),0,(G265-G264)*unitsOfExo+J264)</f>
        <v>28811.699999999986</v>
      </c>
      <c r="K265" s="9">
        <f t="shared" si="11"/>
        <v>-28811.699999999986</v>
      </c>
      <c r="L265">
        <f t="shared" si="12"/>
        <v>588351.69999999995</v>
      </c>
    </row>
    <row r="266" spans="1:12" x14ac:dyDescent="0.25">
      <c r="A266" s="1"/>
      <c r="C266" s="1"/>
      <c r="D266" s="1">
        <v>41631</v>
      </c>
      <c r="E266" s="10">
        <v>221042</v>
      </c>
      <c r="F266" s="1">
        <v>41631</v>
      </c>
      <c r="G266">
        <v>-1340.62</v>
      </c>
      <c r="H266" s="1">
        <f t="shared" si="10"/>
        <v>41631</v>
      </c>
      <c r="I266">
        <f>IF(AND(MyRowHidden(ROW())=FALSE,MyRowHidden(ROW()-1)=TRUE),0,(E266-E265)*unitsOfDHp+I265)</f>
        <v>553640</v>
      </c>
      <c r="J266">
        <f>IF(AND(MyRowHidden(ROW())=FALSE,MyRowHidden(ROW()-1)=TRUE),0,(G266-G265)*unitsOfExo+J265)</f>
        <v>29483.799999999988</v>
      </c>
      <c r="K266" s="9">
        <f t="shared" si="11"/>
        <v>-29483.799999999988</v>
      </c>
      <c r="L266">
        <f t="shared" si="12"/>
        <v>583123.80000000005</v>
      </c>
    </row>
    <row r="267" spans="1:12" x14ac:dyDescent="0.25">
      <c r="A267" s="1"/>
      <c r="C267" s="1"/>
      <c r="D267" s="1">
        <v>41632</v>
      </c>
      <c r="E267" s="10">
        <v>222642</v>
      </c>
      <c r="F267" s="1">
        <v>41632</v>
      </c>
      <c r="G267">
        <v>-1368.82</v>
      </c>
      <c r="H267" s="1">
        <f t="shared" si="10"/>
        <v>41632</v>
      </c>
      <c r="I267">
        <f>IF(AND(MyRowHidden(ROW())=FALSE,MyRowHidden(ROW()-1)=TRUE),0,(E267-E266)*unitsOfDHp+I266)</f>
        <v>569640</v>
      </c>
      <c r="J267">
        <f>IF(AND(MyRowHidden(ROW())=FALSE,MyRowHidden(ROW()-1)=TRUE),0,(G267-G266)*unitsOfExo+J266)</f>
        <v>29201.799999999988</v>
      </c>
      <c r="K267" s="9">
        <f t="shared" si="11"/>
        <v>-29201.799999999988</v>
      </c>
      <c r="L267">
        <f t="shared" si="12"/>
        <v>598841.80000000005</v>
      </c>
    </row>
    <row r="268" spans="1:12" x14ac:dyDescent="0.25">
      <c r="A268" s="1"/>
      <c r="C268" s="1"/>
      <c r="D268" s="1">
        <v>41633</v>
      </c>
      <c r="E268" s="10">
        <v>222588</v>
      </c>
      <c r="F268" s="1">
        <v>41633</v>
      </c>
      <c r="G268">
        <v>-1368.82</v>
      </c>
      <c r="H268" s="1">
        <f t="shared" si="10"/>
        <v>41633</v>
      </c>
      <c r="I268">
        <f>IF(AND(MyRowHidden(ROW())=FALSE,MyRowHidden(ROW()-1)=TRUE),0,(E268-E267)*unitsOfDHp+I267)</f>
        <v>569100</v>
      </c>
      <c r="J268">
        <f>IF(AND(MyRowHidden(ROW())=FALSE,MyRowHidden(ROW()-1)=TRUE),0,(G268-G267)*unitsOfExo+J267)</f>
        <v>29201.799999999988</v>
      </c>
      <c r="K268" s="9">
        <f t="shared" si="11"/>
        <v>-29201.799999999988</v>
      </c>
      <c r="L268">
        <f t="shared" si="12"/>
        <v>598301.80000000005</v>
      </c>
    </row>
    <row r="269" spans="1:12" x14ac:dyDescent="0.25">
      <c r="A269" s="1"/>
      <c r="C269" s="1"/>
      <c r="D269" s="1">
        <v>41634</v>
      </c>
      <c r="E269" s="10">
        <v>223560</v>
      </c>
      <c r="F269" s="1">
        <v>41634</v>
      </c>
      <c r="G269">
        <v>-2801.38</v>
      </c>
      <c r="H269" s="1">
        <f t="shared" ref="H269:H332" si="13">D269</f>
        <v>41634</v>
      </c>
      <c r="I269">
        <f>IF(AND(MyRowHidden(ROW())=FALSE,MyRowHidden(ROW()-1)=TRUE),0,(E269-E268)*unitsOfDHp+I268)</f>
        <v>578820</v>
      </c>
      <c r="J269">
        <f>IF(AND(MyRowHidden(ROW())=FALSE,MyRowHidden(ROW()-1)=TRUE),0,(G269-G268)*unitsOfExo+J268)</f>
        <v>14876.199999999986</v>
      </c>
      <c r="K269" s="9">
        <f t="shared" ref="K269:K332" si="14">-(J269-J268)+K268</f>
        <v>-14876.199999999986</v>
      </c>
      <c r="L269">
        <f t="shared" ref="L269:L332" si="15">I269+J269</f>
        <v>593696.19999999995</v>
      </c>
    </row>
    <row r="270" spans="1:12" x14ac:dyDescent="0.25">
      <c r="A270" s="1"/>
      <c r="C270" s="1"/>
      <c r="D270" s="1">
        <v>41635</v>
      </c>
      <c r="E270" s="10">
        <v>225348</v>
      </c>
      <c r="F270" s="1">
        <v>41635</v>
      </c>
      <c r="G270">
        <v>-1368.82</v>
      </c>
      <c r="H270" s="1">
        <f t="shared" si="13"/>
        <v>41635</v>
      </c>
      <c r="I270">
        <f>IF(AND(MyRowHidden(ROW())=FALSE,MyRowHidden(ROW()-1)=TRUE),0,(E270-E269)*unitsOfDHp+I269)</f>
        <v>596700</v>
      </c>
      <c r="J270">
        <f>IF(AND(MyRowHidden(ROW())=FALSE,MyRowHidden(ROW()-1)=TRUE),0,(G270-G269)*unitsOfExo+J269)</f>
        <v>29201.799999999988</v>
      </c>
      <c r="K270" s="9">
        <f t="shared" si="14"/>
        <v>-29201.799999999988</v>
      </c>
      <c r="L270">
        <f t="shared" si="15"/>
        <v>625901.80000000005</v>
      </c>
    </row>
    <row r="271" spans="1:12" x14ac:dyDescent="0.25">
      <c r="A271" s="1"/>
      <c r="C271" s="1"/>
      <c r="D271" s="1">
        <v>41638</v>
      </c>
      <c r="E271" s="10">
        <v>222282</v>
      </c>
      <c r="F271" s="1">
        <v>41638</v>
      </c>
      <c r="G271">
        <v>-1391.38</v>
      </c>
      <c r="H271" s="1">
        <f t="shared" si="13"/>
        <v>41638</v>
      </c>
      <c r="I271">
        <f>IF(AND(MyRowHidden(ROW())=FALSE,MyRowHidden(ROW()-1)=TRUE),0,(E271-E270)*unitsOfDHp+I270)</f>
        <v>566040</v>
      </c>
      <c r="J271">
        <f>IF(AND(MyRowHidden(ROW())=FALSE,MyRowHidden(ROW()-1)=TRUE),0,(G271-G270)*unitsOfExo+J270)</f>
        <v>28976.199999999986</v>
      </c>
      <c r="K271" s="9">
        <f t="shared" si="14"/>
        <v>-28976.199999999986</v>
      </c>
      <c r="L271">
        <f t="shared" si="15"/>
        <v>595016.19999999995</v>
      </c>
    </row>
    <row r="272" spans="1:12" x14ac:dyDescent="0.25">
      <c r="A272" s="1"/>
      <c r="C272" s="1"/>
      <c r="D272" s="1">
        <v>41639</v>
      </c>
      <c r="E272" s="10">
        <v>220194</v>
      </c>
      <c r="F272" s="1">
        <v>41639</v>
      </c>
      <c r="G272">
        <v>-1391.38</v>
      </c>
      <c r="H272" s="1">
        <f t="shared" si="13"/>
        <v>41639</v>
      </c>
      <c r="I272">
        <f>IF(AND(MyRowHidden(ROW())=FALSE,MyRowHidden(ROW()-1)=TRUE),0,(E272-E271)*unitsOfDHp+I271)</f>
        <v>545160</v>
      </c>
      <c r="J272">
        <f>IF(AND(MyRowHidden(ROW())=FALSE,MyRowHidden(ROW()-1)=TRUE),0,(G272-G271)*unitsOfExo+J271)</f>
        <v>28976.199999999986</v>
      </c>
      <c r="K272" s="9">
        <f t="shared" si="14"/>
        <v>-28976.199999999986</v>
      </c>
      <c r="L272">
        <f t="shared" si="15"/>
        <v>574136.19999999995</v>
      </c>
    </row>
    <row r="273" spans="1:12" x14ac:dyDescent="0.25">
      <c r="A273" s="1"/>
      <c r="C273" s="1"/>
      <c r="D273" s="1">
        <v>41640</v>
      </c>
      <c r="E273" s="10">
        <v>220686</v>
      </c>
      <c r="F273" s="1">
        <v>41640</v>
      </c>
      <c r="G273">
        <v>-1084.25</v>
      </c>
      <c r="H273" s="1">
        <f t="shared" si="13"/>
        <v>41640</v>
      </c>
      <c r="I273">
        <f>IF(AND(MyRowHidden(ROW())=FALSE,MyRowHidden(ROW()-1)=TRUE),0,(E273-E272)*unitsOfDHp+I272)</f>
        <v>550080</v>
      </c>
      <c r="J273">
        <f>IF(AND(MyRowHidden(ROW())=FALSE,MyRowHidden(ROW()-1)=TRUE),0,(G273-G272)*unitsOfExo+J272)</f>
        <v>32047.499999999985</v>
      </c>
      <c r="K273" s="9">
        <f t="shared" si="14"/>
        <v>-32047.499999999985</v>
      </c>
      <c r="L273">
        <f t="shared" si="15"/>
        <v>582127.5</v>
      </c>
    </row>
    <row r="274" spans="1:12" x14ac:dyDescent="0.25">
      <c r="A274" s="1"/>
      <c r="C274" s="1"/>
      <c r="D274" s="1">
        <v>41641</v>
      </c>
      <c r="E274" s="10">
        <v>215670</v>
      </c>
      <c r="F274" s="1">
        <v>41641</v>
      </c>
      <c r="G274">
        <v>-1084.25</v>
      </c>
      <c r="H274" s="1">
        <f t="shared" si="13"/>
        <v>41641</v>
      </c>
      <c r="I274">
        <f>IF(AND(MyRowHidden(ROW())=FALSE,MyRowHidden(ROW()-1)=TRUE),0,(E274-E273)*unitsOfDHp+I273)</f>
        <v>499920</v>
      </c>
      <c r="J274">
        <f>IF(AND(MyRowHidden(ROW())=FALSE,MyRowHidden(ROW()-1)=TRUE),0,(G274-G273)*unitsOfExo+J273)</f>
        <v>32047.499999999985</v>
      </c>
      <c r="K274" s="9">
        <f t="shared" si="14"/>
        <v>-32047.499999999985</v>
      </c>
      <c r="L274">
        <f t="shared" si="15"/>
        <v>531967.5</v>
      </c>
    </row>
    <row r="275" spans="1:12" x14ac:dyDescent="0.25">
      <c r="A275" s="1"/>
      <c r="C275" s="1"/>
      <c r="D275" s="1">
        <v>41642</v>
      </c>
      <c r="E275" s="10">
        <v>215578</v>
      </c>
      <c r="F275" s="1">
        <v>41642</v>
      </c>
      <c r="G275">
        <v>-1084.25</v>
      </c>
      <c r="H275" s="1">
        <f t="shared" si="13"/>
        <v>41642</v>
      </c>
      <c r="I275">
        <f>IF(AND(MyRowHidden(ROW())=FALSE,MyRowHidden(ROW()-1)=TRUE),0,(E275-E274)*unitsOfDHp+I274)</f>
        <v>499000</v>
      </c>
      <c r="J275">
        <f>IF(AND(MyRowHidden(ROW())=FALSE,MyRowHidden(ROW()-1)=TRUE),0,(G275-G274)*unitsOfExo+J274)</f>
        <v>32047.499999999985</v>
      </c>
      <c r="K275" s="9">
        <f t="shared" si="14"/>
        <v>-32047.499999999985</v>
      </c>
      <c r="L275">
        <f t="shared" si="15"/>
        <v>531047.5</v>
      </c>
    </row>
    <row r="276" spans="1:12" x14ac:dyDescent="0.25">
      <c r="A276" s="1"/>
      <c r="C276" s="1"/>
      <c r="D276" s="1">
        <v>41645</v>
      </c>
      <c r="E276" s="10">
        <v>215288</v>
      </c>
      <c r="F276" s="1">
        <v>41645</v>
      </c>
      <c r="G276">
        <v>-1565.06</v>
      </c>
      <c r="H276" s="1">
        <f t="shared" si="13"/>
        <v>41645</v>
      </c>
      <c r="I276">
        <f>IF(AND(MyRowHidden(ROW())=FALSE,MyRowHidden(ROW()-1)=TRUE),0,(E276-E275)*unitsOfDHp+I275)</f>
        <v>496100</v>
      </c>
      <c r="J276">
        <f>IF(AND(MyRowHidden(ROW())=FALSE,MyRowHidden(ROW()-1)=TRUE),0,(G276-G275)*unitsOfExo+J275)</f>
        <v>27239.399999999987</v>
      </c>
      <c r="K276" s="9">
        <f t="shared" si="14"/>
        <v>-27239.399999999987</v>
      </c>
      <c r="L276">
        <f t="shared" si="15"/>
        <v>523339.39999999997</v>
      </c>
    </row>
    <row r="277" spans="1:12" x14ac:dyDescent="0.25">
      <c r="A277" s="1"/>
      <c r="C277" s="1"/>
      <c r="D277" s="1">
        <v>41646</v>
      </c>
      <c r="E277" s="10">
        <v>215616</v>
      </c>
      <c r="F277" s="1">
        <v>41646</v>
      </c>
      <c r="G277">
        <v>-1965.5</v>
      </c>
      <c r="H277" s="1">
        <f t="shared" si="13"/>
        <v>41646</v>
      </c>
      <c r="I277">
        <f>IF(AND(MyRowHidden(ROW())=FALSE,MyRowHidden(ROW()-1)=TRUE),0,(E277-E276)*unitsOfDHp+I276)</f>
        <v>499380</v>
      </c>
      <c r="J277">
        <f>IF(AND(MyRowHidden(ROW())=FALSE,MyRowHidden(ROW()-1)=TRUE),0,(G277-G276)*unitsOfExo+J276)</f>
        <v>23234.999999999985</v>
      </c>
      <c r="K277" s="9">
        <f t="shared" si="14"/>
        <v>-23234.999999999985</v>
      </c>
      <c r="L277">
        <f t="shared" si="15"/>
        <v>522615</v>
      </c>
    </row>
    <row r="278" spans="1:12" x14ac:dyDescent="0.25">
      <c r="A278" s="1"/>
      <c r="C278" s="1"/>
      <c r="D278" s="1">
        <v>41647</v>
      </c>
      <c r="E278" s="10">
        <v>215494</v>
      </c>
      <c r="F278" s="1">
        <v>41647</v>
      </c>
      <c r="G278">
        <v>-1870.56</v>
      </c>
      <c r="H278" s="1">
        <f t="shared" si="13"/>
        <v>41647</v>
      </c>
      <c r="I278">
        <f>IF(AND(MyRowHidden(ROW())=FALSE,MyRowHidden(ROW()-1)=TRUE),0,(E278-E277)*unitsOfDHp+I277)</f>
        <v>498160</v>
      </c>
      <c r="J278">
        <f>IF(AND(MyRowHidden(ROW())=FALSE,MyRowHidden(ROW()-1)=TRUE),0,(G278-G277)*unitsOfExo+J277)</f>
        <v>24184.399999999987</v>
      </c>
      <c r="K278" s="9">
        <f t="shared" si="14"/>
        <v>-24184.399999999987</v>
      </c>
      <c r="L278">
        <f t="shared" si="15"/>
        <v>522344.39999999997</v>
      </c>
    </row>
    <row r="279" spans="1:12" x14ac:dyDescent="0.25">
      <c r="A279" s="1"/>
      <c r="C279" s="1"/>
      <c r="D279" s="1">
        <v>41648</v>
      </c>
      <c r="E279" s="10">
        <v>214398</v>
      </c>
      <c r="F279" s="1">
        <v>41648</v>
      </c>
      <c r="G279">
        <v>-1870.56</v>
      </c>
      <c r="H279" s="1">
        <f t="shared" si="13"/>
        <v>41648</v>
      </c>
      <c r="I279">
        <f>IF(AND(MyRowHidden(ROW())=FALSE,MyRowHidden(ROW()-1)=TRUE),0,(E279-E278)*unitsOfDHp+I278)</f>
        <v>487200</v>
      </c>
      <c r="J279">
        <f>IF(AND(MyRowHidden(ROW())=FALSE,MyRowHidden(ROW()-1)=TRUE),0,(G279-G278)*unitsOfExo+J278)</f>
        <v>24184.399999999987</v>
      </c>
      <c r="K279" s="9">
        <f t="shared" si="14"/>
        <v>-24184.399999999987</v>
      </c>
      <c r="L279">
        <f t="shared" si="15"/>
        <v>511384.39999999997</v>
      </c>
    </row>
    <row r="280" spans="1:12" x14ac:dyDescent="0.25">
      <c r="A280" s="1"/>
      <c r="C280" s="1"/>
      <c r="D280" s="1">
        <v>41649</v>
      </c>
      <c r="E280" s="10">
        <v>215390</v>
      </c>
      <c r="F280" s="1">
        <v>41649</v>
      </c>
      <c r="G280">
        <v>-1870.56</v>
      </c>
      <c r="H280" s="1">
        <f t="shared" si="13"/>
        <v>41649</v>
      </c>
      <c r="I280">
        <f>IF(AND(MyRowHidden(ROW())=FALSE,MyRowHidden(ROW()-1)=TRUE),0,(E280-E279)*unitsOfDHp+I279)</f>
        <v>497120</v>
      </c>
      <c r="J280">
        <f>IF(AND(MyRowHidden(ROW())=FALSE,MyRowHidden(ROW()-1)=TRUE),0,(G280-G279)*unitsOfExo+J279)</f>
        <v>24184.399999999987</v>
      </c>
      <c r="K280" s="9">
        <f t="shared" si="14"/>
        <v>-24184.399999999987</v>
      </c>
      <c r="L280">
        <f t="shared" si="15"/>
        <v>521304.39999999997</v>
      </c>
    </row>
    <row r="281" spans="1:12" x14ac:dyDescent="0.25">
      <c r="A281" s="1"/>
      <c r="C281" s="1"/>
      <c r="D281" s="1">
        <v>41652</v>
      </c>
      <c r="E281" s="10">
        <v>214174</v>
      </c>
      <c r="F281" s="1">
        <v>41652</v>
      </c>
      <c r="G281">
        <v>-1870.56</v>
      </c>
      <c r="H281" s="1">
        <f t="shared" si="13"/>
        <v>41652</v>
      </c>
      <c r="I281">
        <f>IF(AND(MyRowHidden(ROW())=FALSE,MyRowHidden(ROW()-1)=TRUE),0,(E281-E280)*unitsOfDHp+I280)</f>
        <v>484960</v>
      </c>
      <c r="J281">
        <f>IF(AND(MyRowHidden(ROW())=FALSE,MyRowHidden(ROW()-1)=TRUE),0,(G281-G280)*unitsOfExo+J280)</f>
        <v>24184.399999999987</v>
      </c>
      <c r="K281" s="9">
        <f t="shared" si="14"/>
        <v>-24184.399999999987</v>
      </c>
      <c r="L281">
        <f t="shared" si="15"/>
        <v>509144.39999999997</v>
      </c>
    </row>
    <row r="282" spans="1:12" x14ac:dyDescent="0.25">
      <c r="A282" s="1"/>
      <c r="C282" s="1"/>
      <c r="D282" s="1">
        <v>41653</v>
      </c>
      <c r="E282" s="10">
        <v>213806</v>
      </c>
      <c r="F282" s="1">
        <v>41653</v>
      </c>
      <c r="G282">
        <v>-1797.71</v>
      </c>
      <c r="H282" s="1">
        <f t="shared" si="13"/>
        <v>41653</v>
      </c>
      <c r="I282">
        <f>IF(AND(MyRowHidden(ROW())=FALSE,MyRowHidden(ROW()-1)=TRUE),0,(E282-E281)*unitsOfDHp+I281)</f>
        <v>481280</v>
      </c>
      <c r="J282">
        <f>IF(AND(MyRowHidden(ROW())=FALSE,MyRowHidden(ROW()-1)=TRUE),0,(G282-G281)*unitsOfExo+J281)</f>
        <v>24912.899999999987</v>
      </c>
      <c r="K282" s="9">
        <f t="shared" si="14"/>
        <v>-24912.899999999987</v>
      </c>
      <c r="L282">
        <f t="shared" si="15"/>
        <v>506192.89999999997</v>
      </c>
    </row>
    <row r="283" spans="1:12" x14ac:dyDescent="0.25">
      <c r="A283" s="1"/>
      <c r="C283" s="1"/>
      <c r="D283" s="1">
        <v>41654</v>
      </c>
      <c r="E283" s="10">
        <v>211176</v>
      </c>
      <c r="F283" s="1">
        <v>41654</v>
      </c>
      <c r="G283">
        <v>-1797.71</v>
      </c>
      <c r="H283" s="1">
        <f t="shared" si="13"/>
        <v>41654</v>
      </c>
      <c r="I283">
        <f>IF(AND(MyRowHidden(ROW())=FALSE,MyRowHidden(ROW()-1)=TRUE),0,(E283-E282)*unitsOfDHp+I282)</f>
        <v>454980</v>
      </c>
      <c r="J283">
        <f>IF(AND(MyRowHidden(ROW())=FALSE,MyRowHidden(ROW()-1)=TRUE),0,(G283-G282)*unitsOfExo+J282)</f>
        <v>24912.899999999987</v>
      </c>
      <c r="K283" s="9">
        <f t="shared" si="14"/>
        <v>-24912.899999999987</v>
      </c>
      <c r="L283">
        <f t="shared" si="15"/>
        <v>479892.89999999997</v>
      </c>
    </row>
    <row r="284" spans="1:12" x14ac:dyDescent="0.25">
      <c r="A284" s="1"/>
      <c r="C284" s="1"/>
      <c r="D284" s="1">
        <v>41655</v>
      </c>
      <c r="E284" s="10">
        <v>211258</v>
      </c>
      <c r="F284" s="1">
        <v>41655</v>
      </c>
      <c r="G284">
        <v>-1736.14</v>
      </c>
      <c r="H284" s="1">
        <f t="shared" si="13"/>
        <v>41655</v>
      </c>
      <c r="I284">
        <f>IF(AND(MyRowHidden(ROW())=FALSE,MyRowHidden(ROW()-1)=TRUE),0,(E284-E283)*unitsOfDHp+I283)</f>
        <v>455800</v>
      </c>
      <c r="J284">
        <f>IF(AND(MyRowHidden(ROW())=FALSE,MyRowHidden(ROW()-1)=TRUE),0,(G284-G283)*unitsOfExo+J283)</f>
        <v>25528.599999999988</v>
      </c>
      <c r="K284" s="9">
        <f t="shared" si="14"/>
        <v>-25528.599999999988</v>
      </c>
      <c r="L284">
        <f t="shared" si="15"/>
        <v>481328.6</v>
      </c>
    </row>
    <row r="285" spans="1:12" x14ac:dyDescent="0.25">
      <c r="A285" s="1"/>
      <c r="C285" s="1"/>
      <c r="D285" s="1">
        <v>41656</v>
      </c>
      <c r="E285" s="10">
        <v>211258</v>
      </c>
      <c r="F285" s="1">
        <v>41656</v>
      </c>
      <c r="G285">
        <v>-1736.14</v>
      </c>
      <c r="H285" s="1">
        <f t="shared" si="13"/>
        <v>41656</v>
      </c>
      <c r="I285">
        <f>IF(AND(MyRowHidden(ROW())=FALSE,MyRowHidden(ROW()-1)=TRUE),0,(E285-E284)*unitsOfDHp+I284)</f>
        <v>455800</v>
      </c>
      <c r="J285">
        <f>IF(AND(MyRowHidden(ROW())=FALSE,MyRowHidden(ROW()-1)=TRUE),0,(G285-G284)*unitsOfExo+J284)</f>
        <v>25528.599999999988</v>
      </c>
      <c r="K285" s="9">
        <f t="shared" si="14"/>
        <v>-25528.599999999988</v>
      </c>
      <c r="L285">
        <f t="shared" si="15"/>
        <v>481328.6</v>
      </c>
    </row>
    <row r="286" spans="1:12" x14ac:dyDescent="0.25">
      <c r="A286" s="1"/>
      <c r="C286" s="1"/>
      <c r="D286" s="1">
        <v>41659</v>
      </c>
      <c r="E286" s="10">
        <v>211258</v>
      </c>
      <c r="F286" s="1">
        <v>41659</v>
      </c>
      <c r="G286">
        <v>-1736.14</v>
      </c>
      <c r="H286" s="1">
        <f t="shared" si="13"/>
        <v>41659</v>
      </c>
      <c r="I286">
        <f>IF(AND(MyRowHidden(ROW())=FALSE,MyRowHidden(ROW()-1)=TRUE),0,(E286-E285)*unitsOfDHp+I285)</f>
        <v>455800</v>
      </c>
      <c r="J286">
        <f>IF(AND(MyRowHidden(ROW())=FALSE,MyRowHidden(ROW()-1)=TRUE),0,(G286-G285)*unitsOfExo+J285)</f>
        <v>25528.599999999988</v>
      </c>
      <c r="K286" s="9">
        <f t="shared" si="14"/>
        <v>-25528.599999999988</v>
      </c>
      <c r="L286">
        <f t="shared" si="15"/>
        <v>481328.6</v>
      </c>
    </row>
    <row r="287" spans="1:12" x14ac:dyDescent="0.25">
      <c r="A287" s="1"/>
      <c r="C287" s="1"/>
      <c r="D287" s="1">
        <v>41660</v>
      </c>
      <c r="E287" s="10">
        <v>211186</v>
      </c>
      <c r="F287" s="1">
        <v>41660</v>
      </c>
      <c r="G287">
        <v>-4707.01</v>
      </c>
      <c r="H287" s="1">
        <f t="shared" si="13"/>
        <v>41660</v>
      </c>
      <c r="I287">
        <f>IF(AND(MyRowHidden(ROW())=FALSE,MyRowHidden(ROW()-1)=TRUE),0,(E287-E286)*unitsOfDHp+I286)</f>
        <v>455080</v>
      </c>
      <c r="J287">
        <f>IF(AND(MyRowHidden(ROW())=FALSE,MyRowHidden(ROW()-1)=TRUE),0,(G287-G286)*unitsOfExo+J286)</f>
        <v>-4180.1000000000095</v>
      </c>
      <c r="K287" s="9">
        <f t="shared" si="14"/>
        <v>4180.1000000000095</v>
      </c>
      <c r="L287">
        <f t="shared" si="15"/>
        <v>450899.89999999997</v>
      </c>
    </row>
    <row r="288" spans="1:12" x14ac:dyDescent="0.25">
      <c r="A288" s="1"/>
      <c r="C288" s="1"/>
      <c r="D288" s="1">
        <v>41661</v>
      </c>
      <c r="E288" s="10">
        <v>211162</v>
      </c>
      <c r="F288" s="1">
        <v>41661</v>
      </c>
      <c r="G288">
        <v>-1811.81</v>
      </c>
      <c r="H288" s="1">
        <f t="shared" si="13"/>
        <v>41661</v>
      </c>
      <c r="I288">
        <f>IF(AND(MyRowHidden(ROW())=FALSE,MyRowHidden(ROW()-1)=TRUE),0,(E288-E287)*unitsOfDHp+I287)</f>
        <v>454840</v>
      </c>
      <c r="J288">
        <f>IF(AND(MyRowHidden(ROW())=FALSE,MyRowHidden(ROW()-1)=TRUE),0,(G288-G287)*unitsOfExo+J287)</f>
        <v>24771.899999999994</v>
      </c>
      <c r="K288" s="9">
        <f t="shared" si="14"/>
        <v>-24771.899999999994</v>
      </c>
      <c r="L288">
        <f t="shared" si="15"/>
        <v>479611.9</v>
      </c>
    </row>
    <row r="289" spans="1:12" x14ac:dyDescent="0.25">
      <c r="A289" s="1"/>
      <c r="C289" s="1"/>
      <c r="D289" s="1">
        <v>41662</v>
      </c>
      <c r="E289" s="10">
        <v>211162</v>
      </c>
      <c r="F289" s="1">
        <v>41662</v>
      </c>
      <c r="G289">
        <v>-1772.33</v>
      </c>
      <c r="H289" s="1">
        <f t="shared" si="13"/>
        <v>41662</v>
      </c>
      <c r="I289">
        <f>IF(AND(MyRowHidden(ROW())=FALSE,MyRowHidden(ROW()-1)=TRUE),0,(E289-E288)*unitsOfDHp+I288)</f>
        <v>454840</v>
      </c>
      <c r="J289">
        <f>IF(AND(MyRowHidden(ROW())=FALSE,MyRowHidden(ROW()-1)=TRUE),0,(G289-G288)*unitsOfExo+J288)</f>
        <v>25166.699999999993</v>
      </c>
      <c r="K289" s="9">
        <f t="shared" si="14"/>
        <v>-25166.699999999993</v>
      </c>
      <c r="L289">
        <f t="shared" si="15"/>
        <v>480006.7</v>
      </c>
    </row>
    <row r="290" spans="1:12" x14ac:dyDescent="0.25">
      <c r="A290" s="1"/>
      <c r="C290" s="1"/>
      <c r="D290" s="1">
        <v>41663</v>
      </c>
      <c r="E290" s="10">
        <v>211162</v>
      </c>
      <c r="F290" s="1">
        <v>41663</v>
      </c>
      <c r="G290">
        <v>-1722.04</v>
      </c>
      <c r="H290" s="1">
        <f t="shared" si="13"/>
        <v>41663</v>
      </c>
      <c r="I290">
        <f>IF(AND(MyRowHidden(ROW())=FALSE,MyRowHidden(ROW()-1)=TRUE),0,(E290-E289)*unitsOfDHp+I289)</f>
        <v>454840</v>
      </c>
      <c r="J290">
        <f>IF(AND(MyRowHidden(ROW())=FALSE,MyRowHidden(ROW()-1)=TRUE),0,(G290-G289)*unitsOfExo+J289)</f>
        <v>25669.599999999991</v>
      </c>
      <c r="K290" s="9">
        <f t="shared" si="14"/>
        <v>-25669.599999999991</v>
      </c>
      <c r="L290">
        <f t="shared" si="15"/>
        <v>480509.6</v>
      </c>
    </row>
    <row r="291" spans="1:12" x14ac:dyDescent="0.25">
      <c r="A291" s="1"/>
      <c r="C291" s="1"/>
      <c r="D291" s="1">
        <v>41666</v>
      </c>
      <c r="E291" s="10">
        <v>211162</v>
      </c>
      <c r="F291" s="1">
        <v>41666</v>
      </c>
      <c r="G291">
        <v>-1736.14</v>
      </c>
      <c r="H291" s="1">
        <f t="shared" si="13"/>
        <v>41666</v>
      </c>
      <c r="I291">
        <f>IF(AND(MyRowHidden(ROW())=FALSE,MyRowHidden(ROW()-1)=TRUE),0,(E291-E290)*unitsOfDHp+I290)</f>
        <v>454840</v>
      </c>
      <c r="J291">
        <f>IF(AND(MyRowHidden(ROW())=FALSE,MyRowHidden(ROW()-1)=TRUE),0,(G291-G290)*unitsOfExo+J290)</f>
        <v>25528.599999999991</v>
      </c>
      <c r="K291" s="9">
        <f t="shared" si="14"/>
        <v>-25528.599999999991</v>
      </c>
      <c r="L291">
        <f t="shared" si="15"/>
        <v>480368.6</v>
      </c>
    </row>
    <row r="292" spans="1:12" x14ac:dyDescent="0.25">
      <c r="A292" s="1"/>
      <c r="C292" s="1"/>
      <c r="D292" s="1">
        <v>41667</v>
      </c>
      <c r="E292" s="10">
        <v>211162</v>
      </c>
      <c r="F292" s="1">
        <v>41667</v>
      </c>
      <c r="G292">
        <v>-1803.35</v>
      </c>
      <c r="H292" s="1">
        <f t="shared" si="13"/>
        <v>41667</v>
      </c>
      <c r="I292">
        <f>IF(AND(MyRowHidden(ROW())=FALSE,MyRowHidden(ROW()-1)=TRUE),0,(E292-E291)*unitsOfDHp+I291)</f>
        <v>454840</v>
      </c>
      <c r="J292">
        <f>IF(AND(MyRowHidden(ROW())=FALSE,MyRowHidden(ROW()-1)=TRUE),0,(G292-G291)*unitsOfExo+J291)</f>
        <v>24856.499999999993</v>
      </c>
      <c r="K292" s="9">
        <f t="shared" si="14"/>
        <v>-24856.499999999993</v>
      </c>
      <c r="L292">
        <f t="shared" si="15"/>
        <v>479696.5</v>
      </c>
    </row>
    <row r="293" spans="1:12" x14ac:dyDescent="0.25">
      <c r="A293" s="1"/>
      <c r="C293" s="1"/>
      <c r="D293" s="1">
        <v>41668</v>
      </c>
      <c r="E293" s="10">
        <v>211162</v>
      </c>
      <c r="F293" s="1">
        <v>41668</v>
      </c>
      <c r="G293">
        <v>-1811.81</v>
      </c>
      <c r="H293" s="1">
        <f t="shared" si="13"/>
        <v>41668</v>
      </c>
      <c r="I293">
        <f>IF(AND(MyRowHidden(ROW())=FALSE,MyRowHidden(ROW()-1)=TRUE),0,(E293-E292)*unitsOfDHp+I292)</f>
        <v>454840</v>
      </c>
      <c r="J293">
        <f>IF(AND(MyRowHidden(ROW())=FALSE,MyRowHidden(ROW()-1)=TRUE),0,(G293-G292)*unitsOfExo+J292)</f>
        <v>24771.899999999994</v>
      </c>
      <c r="K293" s="9">
        <f t="shared" si="14"/>
        <v>-24771.899999999994</v>
      </c>
      <c r="L293">
        <f t="shared" si="15"/>
        <v>479611.9</v>
      </c>
    </row>
    <row r="294" spans="1:12" x14ac:dyDescent="0.25">
      <c r="A294" s="1"/>
      <c r="C294" s="1"/>
      <c r="D294" s="1">
        <v>41669</v>
      </c>
      <c r="E294" s="10">
        <v>211162</v>
      </c>
      <c r="F294" s="1">
        <v>41669</v>
      </c>
      <c r="G294">
        <v>-1806.17</v>
      </c>
      <c r="H294" s="1">
        <f t="shared" si="13"/>
        <v>41669</v>
      </c>
      <c r="I294">
        <f>IF(AND(MyRowHidden(ROW())=FALSE,MyRowHidden(ROW()-1)=TRUE),0,(E294-E293)*unitsOfDHp+I293)</f>
        <v>454840</v>
      </c>
      <c r="J294">
        <f>IF(AND(MyRowHidden(ROW())=FALSE,MyRowHidden(ROW()-1)=TRUE),0,(G294-G293)*unitsOfExo+J293)</f>
        <v>24828.299999999992</v>
      </c>
      <c r="K294" s="9">
        <f t="shared" si="14"/>
        <v>-24828.299999999992</v>
      </c>
      <c r="L294">
        <f t="shared" si="15"/>
        <v>479668.3</v>
      </c>
    </row>
    <row r="295" spans="1:12" x14ac:dyDescent="0.25">
      <c r="A295" s="1"/>
      <c r="C295" s="1"/>
      <c r="D295" s="1">
        <v>41670</v>
      </c>
      <c r="E295" s="10">
        <v>211162</v>
      </c>
      <c r="F295" s="1">
        <v>41670</v>
      </c>
      <c r="G295">
        <v>-1833.9</v>
      </c>
      <c r="H295" s="1">
        <f t="shared" si="13"/>
        <v>41670</v>
      </c>
      <c r="I295">
        <f>IF(AND(MyRowHidden(ROW())=FALSE,MyRowHidden(ROW()-1)=TRUE),0,(E295-E294)*unitsOfDHp+I294)</f>
        <v>454840</v>
      </c>
      <c r="J295">
        <f>IF(AND(MyRowHidden(ROW())=FALSE,MyRowHidden(ROW()-1)=TRUE),0,(G295-G294)*unitsOfExo+J294)</f>
        <v>24550.999999999993</v>
      </c>
      <c r="K295" s="9">
        <f t="shared" si="14"/>
        <v>-24550.999999999993</v>
      </c>
      <c r="L295">
        <f t="shared" si="15"/>
        <v>479391</v>
      </c>
    </row>
    <row r="296" spans="1:12" x14ac:dyDescent="0.25">
      <c r="A296" s="1"/>
      <c r="C296" s="1"/>
      <c r="D296" s="1">
        <v>41673</v>
      </c>
      <c r="E296" s="10">
        <v>210342</v>
      </c>
      <c r="F296" s="1">
        <v>41673</v>
      </c>
      <c r="G296">
        <v>-3505</v>
      </c>
      <c r="H296" s="1">
        <f t="shared" si="13"/>
        <v>41673</v>
      </c>
      <c r="I296">
        <f>IF(AND(MyRowHidden(ROW())=FALSE,MyRowHidden(ROW()-1)=TRUE),0,(E296-E295)*unitsOfDHp+I295)</f>
        <v>446640</v>
      </c>
      <c r="J296">
        <f>IF(AND(MyRowHidden(ROW())=FALSE,MyRowHidden(ROW()-1)=TRUE),0,(G296-G295)*unitsOfExo+J295)</f>
        <v>7839.9999999999927</v>
      </c>
      <c r="K296" s="9">
        <f t="shared" si="14"/>
        <v>-7839.9999999999927</v>
      </c>
      <c r="L296">
        <f t="shared" si="15"/>
        <v>454480</v>
      </c>
    </row>
    <row r="297" spans="1:12" x14ac:dyDescent="0.25">
      <c r="A297" s="1"/>
      <c r="C297" s="1"/>
      <c r="D297" s="1">
        <v>41674</v>
      </c>
      <c r="E297" s="10">
        <v>210692</v>
      </c>
      <c r="F297" s="1">
        <v>41674</v>
      </c>
      <c r="G297">
        <v>-3505</v>
      </c>
      <c r="H297" s="1">
        <f t="shared" si="13"/>
        <v>41674</v>
      </c>
      <c r="I297">
        <f>IF(AND(MyRowHidden(ROW())=FALSE,MyRowHidden(ROW()-1)=TRUE),0,(E297-E296)*unitsOfDHp+I296)</f>
        <v>450140</v>
      </c>
      <c r="J297">
        <f>IF(AND(MyRowHidden(ROW())=FALSE,MyRowHidden(ROW()-1)=TRUE),0,(G297-G296)*unitsOfExo+J296)</f>
        <v>7839.9999999999927</v>
      </c>
      <c r="K297" s="9">
        <f t="shared" si="14"/>
        <v>-7839.9999999999927</v>
      </c>
      <c r="L297">
        <f t="shared" si="15"/>
        <v>457980</v>
      </c>
    </row>
    <row r="298" spans="1:12" x14ac:dyDescent="0.25">
      <c r="A298" s="1"/>
      <c r="C298" s="1"/>
      <c r="D298" s="1">
        <v>41675</v>
      </c>
      <c r="E298" s="10">
        <v>210692</v>
      </c>
      <c r="F298" s="1">
        <v>41675</v>
      </c>
      <c r="G298">
        <v>-3505</v>
      </c>
      <c r="H298" s="1">
        <f t="shared" si="13"/>
        <v>41675</v>
      </c>
      <c r="I298">
        <f>IF(AND(MyRowHidden(ROW())=FALSE,MyRowHidden(ROW()-1)=TRUE),0,(E298-E297)*unitsOfDHp+I297)</f>
        <v>450140</v>
      </c>
      <c r="J298">
        <f>IF(AND(MyRowHidden(ROW())=FALSE,MyRowHidden(ROW()-1)=TRUE),0,(G298-G297)*unitsOfExo+J297)</f>
        <v>7839.9999999999927</v>
      </c>
      <c r="K298" s="9">
        <f t="shared" si="14"/>
        <v>-7839.9999999999927</v>
      </c>
      <c r="L298">
        <f t="shared" si="15"/>
        <v>457980</v>
      </c>
    </row>
    <row r="299" spans="1:12" x14ac:dyDescent="0.25">
      <c r="A299" s="1"/>
      <c r="C299" s="1"/>
      <c r="D299" s="1">
        <v>41676</v>
      </c>
      <c r="E299" s="10">
        <v>210692</v>
      </c>
      <c r="F299" s="1">
        <v>41676</v>
      </c>
      <c r="G299">
        <v>-2441.39</v>
      </c>
      <c r="H299" s="1">
        <f t="shared" si="13"/>
        <v>41676</v>
      </c>
      <c r="I299">
        <f>IF(AND(MyRowHidden(ROW())=FALSE,MyRowHidden(ROW()-1)=TRUE),0,(E299-E298)*unitsOfDHp+I298)</f>
        <v>450140</v>
      </c>
      <c r="J299">
        <f>IF(AND(MyRowHidden(ROW())=FALSE,MyRowHidden(ROW()-1)=TRUE),0,(G299-G298)*unitsOfExo+J298)</f>
        <v>18476.099999999995</v>
      </c>
      <c r="K299" s="9">
        <f t="shared" si="14"/>
        <v>-18476.099999999995</v>
      </c>
      <c r="L299">
        <f t="shared" si="15"/>
        <v>468616.1</v>
      </c>
    </row>
    <row r="300" spans="1:12" x14ac:dyDescent="0.25">
      <c r="A300" s="1"/>
      <c r="C300" s="1"/>
      <c r="D300" s="1">
        <v>41677</v>
      </c>
      <c r="E300" s="10">
        <v>210668</v>
      </c>
      <c r="F300" s="1">
        <v>41677</v>
      </c>
      <c r="G300">
        <v>-2627.04</v>
      </c>
      <c r="H300" s="1">
        <f t="shared" si="13"/>
        <v>41677</v>
      </c>
      <c r="I300">
        <f>IF(AND(MyRowHidden(ROW())=FALSE,MyRowHidden(ROW()-1)=TRUE),0,(E300-E299)*unitsOfDHp+I299)</f>
        <v>449900</v>
      </c>
      <c r="J300">
        <f>IF(AND(MyRowHidden(ROW())=FALSE,MyRowHidden(ROW()-1)=TRUE),0,(G300-G299)*unitsOfExo+J299)</f>
        <v>16619.599999999995</v>
      </c>
      <c r="K300" s="9">
        <f t="shared" si="14"/>
        <v>-16619.599999999995</v>
      </c>
      <c r="L300">
        <f t="shared" si="15"/>
        <v>466519.6</v>
      </c>
    </row>
    <row r="301" spans="1:12" x14ac:dyDescent="0.25">
      <c r="A301" s="1"/>
      <c r="C301" s="1"/>
      <c r="D301" s="1">
        <v>41680</v>
      </c>
      <c r="E301" s="10">
        <v>210668</v>
      </c>
      <c r="F301" s="1">
        <v>41680</v>
      </c>
      <c r="G301">
        <v>-2627.04</v>
      </c>
      <c r="H301" s="1">
        <f t="shared" si="13"/>
        <v>41680</v>
      </c>
      <c r="I301">
        <f>IF(AND(MyRowHidden(ROW())=FALSE,MyRowHidden(ROW()-1)=TRUE),0,(E301-E300)*unitsOfDHp+I300)</f>
        <v>449900</v>
      </c>
      <c r="J301">
        <f>IF(AND(MyRowHidden(ROW())=FALSE,MyRowHidden(ROW()-1)=TRUE),0,(G301-G300)*unitsOfExo+J300)</f>
        <v>16619.599999999995</v>
      </c>
      <c r="K301" s="9">
        <f t="shared" si="14"/>
        <v>-16619.599999999995</v>
      </c>
      <c r="L301">
        <f t="shared" si="15"/>
        <v>466519.6</v>
      </c>
    </row>
    <row r="302" spans="1:12" x14ac:dyDescent="0.25">
      <c r="A302" s="1"/>
      <c r="C302" s="1"/>
      <c r="D302" s="1">
        <v>41681</v>
      </c>
      <c r="E302" s="10">
        <v>210630</v>
      </c>
      <c r="F302" s="1">
        <v>41681</v>
      </c>
      <c r="G302">
        <v>-2827.73</v>
      </c>
      <c r="H302" s="1">
        <f t="shared" si="13"/>
        <v>41681</v>
      </c>
      <c r="I302">
        <f>IF(AND(MyRowHidden(ROW())=FALSE,MyRowHidden(ROW()-1)=TRUE),0,(E302-E301)*unitsOfDHp+I301)</f>
        <v>449520</v>
      </c>
      <c r="J302">
        <f>IF(AND(MyRowHidden(ROW())=FALSE,MyRowHidden(ROW()-1)=TRUE),0,(G302-G301)*unitsOfExo+J301)</f>
        <v>14612.699999999993</v>
      </c>
      <c r="K302" s="9">
        <f t="shared" si="14"/>
        <v>-14612.699999999993</v>
      </c>
      <c r="L302">
        <f t="shared" si="15"/>
        <v>464132.7</v>
      </c>
    </row>
    <row r="303" spans="1:12" x14ac:dyDescent="0.25">
      <c r="A303" s="1"/>
      <c r="C303" s="1"/>
      <c r="D303" s="1">
        <v>41682</v>
      </c>
      <c r="E303" s="10">
        <v>210654</v>
      </c>
      <c r="F303" s="1">
        <v>41682</v>
      </c>
      <c r="G303">
        <v>-2901.99</v>
      </c>
      <c r="H303" s="1">
        <f t="shared" si="13"/>
        <v>41682</v>
      </c>
      <c r="I303">
        <f>IF(AND(MyRowHidden(ROW())=FALSE,MyRowHidden(ROW()-1)=TRUE),0,(E303-E302)*unitsOfDHp+I302)</f>
        <v>449760</v>
      </c>
      <c r="J303">
        <f>IF(AND(MyRowHidden(ROW())=FALSE,MyRowHidden(ROW()-1)=TRUE),0,(G303-G302)*unitsOfExo+J302)</f>
        <v>13870.099999999995</v>
      </c>
      <c r="K303" s="9">
        <f t="shared" si="14"/>
        <v>-13870.099999999995</v>
      </c>
      <c r="L303">
        <f t="shared" si="15"/>
        <v>463630.1</v>
      </c>
    </row>
    <row r="304" spans="1:12" x14ac:dyDescent="0.25">
      <c r="A304" s="1"/>
      <c r="C304" s="1"/>
      <c r="D304" s="1">
        <v>41683</v>
      </c>
      <c r="E304" s="10">
        <v>210954</v>
      </c>
      <c r="F304" s="1">
        <v>41683</v>
      </c>
      <c r="G304">
        <v>-2901.99</v>
      </c>
      <c r="H304" s="1">
        <f t="shared" si="13"/>
        <v>41683</v>
      </c>
      <c r="I304">
        <f>IF(AND(MyRowHidden(ROW())=FALSE,MyRowHidden(ROW()-1)=TRUE),0,(E304-E303)*unitsOfDHp+I303)</f>
        <v>452760</v>
      </c>
      <c r="J304">
        <f>IF(AND(MyRowHidden(ROW())=FALSE,MyRowHidden(ROW()-1)=TRUE),0,(G304-G303)*unitsOfExo+J303)</f>
        <v>13870.099999999995</v>
      </c>
      <c r="K304" s="9">
        <f t="shared" si="14"/>
        <v>-13870.099999999995</v>
      </c>
      <c r="L304">
        <f t="shared" si="15"/>
        <v>466630.1</v>
      </c>
    </row>
    <row r="305" spans="1:12" x14ac:dyDescent="0.25">
      <c r="A305" s="1"/>
      <c r="C305" s="1"/>
      <c r="D305" s="1">
        <v>41684</v>
      </c>
      <c r="E305" s="10">
        <v>211154</v>
      </c>
      <c r="F305" s="1">
        <v>41684</v>
      </c>
      <c r="G305">
        <v>-3038.29</v>
      </c>
      <c r="H305" s="1">
        <f t="shared" si="13"/>
        <v>41684</v>
      </c>
      <c r="I305">
        <f>IF(AND(MyRowHidden(ROW())=FALSE,MyRowHidden(ROW()-1)=TRUE),0,(E305-E304)*unitsOfDHp+I304)</f>
        <v>454760</v>
      </c>
      <c r="J305">
        <f>IF(AND(MyRowHidden(ROW())=FALSE,MyRowHidden(ROW()-1)=TRUE),0,(G305-G304)*unitsOfExo+J304)</f>
        <v>12507.099999999993</v>
      </c>
      <c r="K305" s="9">
        <f t="shared" si="14"/>
        <v>-12507.099999999993</v>
      </c>
      <c r="L305">
        <f t="shared" si="15"/>
        <v>467267.1</v>
      </c>
    </row>
    <row r="306" spans="1:12" x14ac:dyDescent="0.25">
      <c r="A306" s="1"/>
      <c r="C306" s="1"/>
      <c r="D306" s="1">
        <v>41687</v>
      </c>
      <c r="E306" s="10">
        <v>211176</v>
      </c>
      <c r="F306" s="1">
        <v>41687</v>
      </c>
      <c r="G306">
        <v>-3038.29</v>
      </c>
      <c r="H306" s="1">
        <f t="shared" si="13"/>
        <v>41687</v>
      </c>
      <c r="I306">
        <f>IF(AND(MyRowHidden(ROW())=FALSE,MyRowHidden(ROW()-1)=TRUE),0,(E306-E305)*unitsOfDHp+I305)</f>
        <v>454980</v>
      </c>
      <c r="J306">
        <f>IF(AND(MyRowHidden(ROW())=FALSE,MyRowHidden(ROW()-1)=TRUE),0,(G306-G305)*unitsOfExo+J305)</f>
        <v>12507.099999999993</v>
      </c>
      <c r="K306" s="9">
        <f t="shared" si="14"/>
        <v>-12507.099999999993</v>
      </c>
      <c r="L306">
        <f t="shared" si="15"/>
        <v>467487.1</v>
      </c>
    </row>
    <row r="307" spans="1:12" x14ac:dyDescent="0.25">
      <c r="A307" s="1"/>
      <c r="C307" s="1"/>
      <c r="D307" s="1">
        <v>41688</v>
      </c>
      <c r="E307" s="10">
        <v>211190</v>
      </c>
      <c r="F307" s="1">
        <v>41688</v>
      </c>
      <c r="G307">
        <v>-3180.23</v>
      </c>
      <c r="H307" s="1">
        <f t="shared" si="13"/>
        <v>41688</v>
      </c>
      <c r="I307">
        <f>IF(AND(MyRowHidden(ROW())=FALSE,MyRowHidden(ROW()-1)=TRUE),0,(E307-E306)*unitsOfDHp+I306)</f>
        <v>455120</v>
      </c>
      <c r="J307">
        <f>IF(AND(MyRowHidden(ROW())=FALSE,MyRowHidden(ROW()-1)=TRUE),0,(G307-G306)*unitsOfExo+J306)</f>
        <v>11087.699999999993</v>
      </c>
      <c r="K307" s="9">
        <f t="shared" si="14"/>
        <v>-11087.699999999993</v>
      </c>
      <c r="L307">
        <f t="shared" si="15"/>
        <v>466207.7</v>
      </c>
    </row>
    <row r="308" spans="1:12" x14ac:dyDescent="0.25">
      <c r="A308" s="1"/>
      <c r="C308" s="1"/>
      <c r="D308" s="1">
        <v>41689</v>
      </c>
      <c r="E308" s="10">
        <v>210940</v>
      </c>
      <c r="F308" s="1">
        <v>41689</v>
      </c>
      <c r="G308">
        <v>-3130.88</v>
      </c>
      <c r="H308" s="1">
        <f t="shared" si="13"/>
        <v>41689</v>
      </c>
      <c r="I308">
        <f>IF(AND(MyRowHidden(ROW())=FALSE,MyRowHidden(ROW()-1)=TRUE),0,(E308-E307)*unitsOfDHp+I307)</f>
        <v>452620</v>
      </c>
      <c r="J308">
        <f>IF(AND(MyRowHidden(ROW())=FALSE,MyRowHidden(ROW()-1)=TRUE),0,(G308-G307)*unitsOfExo+J307)</f>
        <v>11581.199999999993</v>
      </c>
      <c r="K308" s="9">
        <f t="shared" si="14"/>
        <v>-11581.199999999993</v>
      </c>
      <c r="L308">
        <f t="shared" si="15"/>
        <v>464201.2</v>
      </c>
    </row>
    <row r="309" spans="1:12" x14ac:dyDescent="0.25">
      <c r="A309" s="1"/>
      <c r="C309" s="1"/>
      <c r="D309" s="1">
        <v>41690</v>
      </c>
      <c r="E309" s="10">
        <v>211052</v>
      </c>
      <c r="F309" s="1">
        <v>41690</v>
      </c>
      <c r="G309">
        <v>-3195.74</v>
      </c>
      <c r="H309" s="1">
        <f t="shared" si="13"/>
        <v>41690</v>
      </c>
      <c r="I309">
        <f>IF(AND(MyRowHidden(ROW())=FALSE,MyRowHidden(ROW()-1)=TRUE),0,(E309-E308)*unitsOfDHp+I308)</f>
        <v>453740</v>
      </c>
      <c r="J309">
        <f>IF(AND(MyRowHidden(ROW())=FALSE,MyRowHidden(ROW()-1)=TRUE),0,(G309-G308)*unitsOfExo+J308)</f>
        <v>10932.599999999997</v>
      </c>
      <c r="K309" s="9">
        <f t="shared" si="14"/>
        <v>-10932.599999999997</v>
      </c>
      <c r="L309">
        <f t="shared" si="15"/>
        <v>464672.6</v>
      </c>
    </row>
    <row r="310" spans="1:12" x14ac:dyDescent="0.25">
      <c r="A310" s="1"/>
      <c r="C310" s="1"/>
      <c r="D310" s="1">
        <v>41691</v>
      </c>
      <c r="E310" s="10">
        <v>211266</v>
      </c>
      <c r="F310" s="1">
        <v>41691</v>
      </c>
      <c r="G310">
        <v>-3195.74</v>
      </c>
      <c r="H310" s="1">
        <f t="shared" si="13"/>
        <v>41691</v>
      </c>
      <c r="I310">
        <f>IF(AND(MyRowHidden(ROW())=FALSE,MyRowHidden(ROW()-1)=TRUE),0,(E310-E309)*unitsOfDHp+I309)</f>
        <v>455880</v>
      </c>
      <c r="J310">
        <f>IF(AND(MyRowHidden(ROW())=FALSE,MyRowHidden(ROW()-1)=TRUE),0,(G310-G309)*unitsOfExo+J309)</f>
        <v>10932.599999999997</v>
      </c>
      <c r="K310" s="9">
        <f t="shared" si="14"/>
        <v>-10932.599999999997</v>
      </c>
      <c r="L310">
        <f t="shared" si="15"/>
        <v>466812.6</v>
      </c>
    </row>
    <row r="311" spans="1:12" x14ac:dyDescent="0.25">
      <c r="A311" s="1"/>
      <c r="C311" s="1"/>
      <c r="D311" s="1">
        <v>41694</v>
      </c>
      <c r="E311" s="10">
        <v>210946</v>
      </c>
      <c r="F311" s="1">
        <v>41694</v>
      </c>
      <c r="G311">
        <v>-3226.76</v>
      </c>
      <c r="H311" s="1">
        <f t="shared" si="13"/>
        <v>41694</v>
      </c>
      <c r="I311">
        <f>IF(AND(MyRowHidden(ROW())=FALSE,MyRowHidden(ROW()-1)=TRUE),0,(E311-E310)*unitsOfDHp+I310)</f>
        <v>452680</v>
      </c>
      <c r="J311">
        <f>IF(AND(MyRowHidden(ROW())=FALSE,MyRowHidden(ROW()-1)=TRUE),0,(G311-G310)*unitsOfExo+J310)</f>
        <v>10622.399999999992</v>
      </c>
      <c r="K311" s="9">
        <f t="shared" si="14"/>
        <v>-10622.399999999992</v>
      </c>
      <c r="L311">
        <f t="shared" si="15"/>
        <v>463302.39999999997</v>
      </c>
    </row>
    <row r="312" spans="1:12" x14ac:dyDescent="0.25">
      <c r="A312" s="1"/>
      <c r="C312" s="1"/>
      <c r="D312" s="1">
        <v>41695</v>
      </c>
      <c r="E312" s="10">
        <v>211396</v>
      </c>
      <c r="F312" s="1">
        <v>41695</v>
      </c>
      <c r="G312">
        <v>-3251.67</v>
      </c>
      <c r="H312" s="1">
        <f t="shared" si="13"/>
        <v>41695</v>
      </c>
      <c r="I312">
        <f>IF(AND(MyRowHidden(ROW())=FALSE,MyRowHidden(ROW()-1)=TRUE),0,(E312-E311)*unitsOfDHp+I311)</f>
        <v>457180</v>
      </c>
      <c r="J312">
        <f>IF(AND(MyRowHidden(ROW())=FALSE,MyRowHidden(ROW()-1)=TRUE),0,(G312-G311)*unitsOfExo+J311)</f>
        <v>10373.299999999994</v>
      </c>
      <c r="K312" s="9">
        <f t="shared" si="14"/>
        <v>-10373.299999999994</v>
      </c>
      <c r="L312">
        <f t="shared" si="15"/>
        <v>467553.3</v>
      </c>
    </row>
    <row r="313" spans="1:12" x14ac:dyDescent="0.25">
      <c r="A313" s="1"/>
      <c r="C313" s="1"/>
      <c r="D313" s="1">
        <v>41696</v>
      </c>
      <c r="E313" s="10">
        <v>210986</v>
      </c>
      <c r="F313" s="1">
        <v>41696</v>
      </c>
      <c r="G313">
        <v>-3251.67</v>
      </c>
      <c r="H313" s="1">
        <f t="shared" si="13"/>
        <v>41696</v>
      </c>
      <c r="I313">
        <f>IF(AND(MyRowHidden(ROW())=FALSE,MyRowHidden(ROW()-1)=TRUE),0,(E313-E312)*unitsOfDHp+I312)</f>
        <v>453080</v>
      </c>
      <c r="J313">
        <f>IF(AND(MyRowHidden(ROW())=FALSE,MyRowHidden(ROW()-1)=TRUE),0,(G313-G312)*unitsOfExo+J312)</f>
        <v>10373.299999999994</v>
      </c>
      <c r="K313" s="9">
        <f t="shared" si="14"/>
        <v>-10373.299999999994</v>
      </c>
      <c r="L313">
        <f t="shared" si="15"/>
        <v>463453.3</v>
      </c>
    </row>
    <row r="314" spans="1:12" x14ac:dyDescent="0.25">
      <c r="A314" s="1"/>
      <c r="C314" s="1"/>
      <c r="D314" s="1">
        <v>41697</v>
      </c>
      <c r="E314" s="10">
        <v>211256</v>
      </c>
      <c r="F314" s="1">
        <v>41697</v>
      </c>
      <c r="G314">
        <v>-3232.87</v>
      </c>
      <c r="H314" s="1">
        <f t="shared" si="13"/>
        <v>41697</v>
      </c>
      <c r="I314">
        <f>IF(AND(MyRowHidden(ROW())=FALSE,MyRowHidden(ROW()-1)=TRUE),0,(E314-E313)*unitsOfDHp+I313)</f>
        <v>455780</v>
      </c>
      <c r="J314">
        <f>IF(AND(MyRowHidden(ROW())=FALSE,MyRowHidden(ROW()-1)=TRUE),0,(G314-G313)*unitsOfExo+J313)</f>
        <v>10561.299999999996</v>
      </c>
      <c r="K314" s="9">
        <f t="shared" si="14"/>
        <v>-10561.299999999996</v>
      </c>
      <c r="L314">
        <f t="shared" si="15"/>
        <v>466341.3</v>
      </c>
    </row>
    <row r="315" spans="1:12" x14ac:dyDescent="0.25">
      <c r="A315" s="1"/>
      <c r="C315" s="1"/>
      <c r="D315" s="1">
        <v>41698</v>
      </c>
      <c r="E315" s="10">
        <v>210986</v>
      </c>
      <c r="F315" s="1">
        <v>41698</v>
      </c>
      <c r="G315">
        <v>-3232.87</v>
      </c>
      <c r="H315" s="1">
        <f t="shared" si="13"/>
        <v>41698</v>
      </c>
      <c r="I315">
        <f>IF(AND(MyRowHidden(ROW())=FALSE,MyRowHidden(ROW()-1)=TRUE),0,(E315-E314)*unitsOfDHp+I314)</f>
        <v>453080</v>
      </c>
      <c r="J315">
        <f>IF(AND(MyRowHidden(ROW())=FALSE,MyRowHidden(ROW()-1)=TRUE),0,(G315-G314)*unitsOfExo+J314)</f>
        <v>10561.299999999996</v>
      </c>
      <c r="K315" s="9">
        <f t="shared" si="14"/>
        <v>-10561.299999999996</v>
      </c>
      <c r="L315">
        <f t="shared" si="15"/>
        <v>463641.3</v>
      </c>
    </row>
    <row r="316" spans="1:12" x14ac:dyDescent="0.25">
      <c r="A316" s="1"/>
      <c r="C316" s="1"/>
      <c r="D316" s="1">
        <v>41701</v>
      </c>
      <c r="E316" s="10">
        <v>210132</v>
      </c>
      <c r="F316" s="1">
        <v>41701</v>
      </c>
      <c r="G316">
        <v>-3105.75</v>
      </c>
      <c r="H316" s="1">
        <f t="shared" si="13"/>
        <v>41701</v>
      </c>
      <c r="I316">
        <f>IF(AND(MyRowHidden(ROW())=FALSE,MyRowHidden(ROW()-1)=TRUE),0,(E316-E315)*unitsOfDHp+I315)</f>
        <v>444540</v>
      </c>
      <c r="J316">
        <f>IF(AND(MyRowHidden(ROW())=FALSE,MyRowHidden(ROW()-1)=TRUE),0,(G316-G315)*unitsOfExo+J315)</f>
        <v>11832.499999999995</v>
      </c>
      <c r="K316" s="9">
        <f t="shared" si="14"/>
        <v>-11832.499999999995</v>
      </c>
      <c r="L316">
        <f t="shared" si="15"/>
        <v>456372.5</v>
      </c>
    </row>
    <row r="317" spans="1:12" x14ac:dyDescent="0.25">
      <c r="A317" s="1"/>
      <c r="C317" s="1"/>
      <c r="D317" s="1">
        <v>41702</v>
      </c>
      <c r="E317" s="10">
        <v>210632</v>
      </c>
      <c r="F317" s="1">
        <v>41702</v>
      </c>
      <c r="G317">
        <v>-3105.75</v>
      </c>
      <c r="H317" s="1">
        <f t="shared" si="13"/>
        <v>41702</v>
      </c>
      <c r="I317">
        <f>IF(AND(MyRowHidden(ROW())=FALSE,MyRowHidden(ROW()-1)=TRUE),0,(E317-E316)*unitsOfDHp+I316)</f>
        <v>449540</v>
      </c>
      <c r="J317">
        <f>IF(AND(MyRowHidden(ROW())=FALSE,MyRowHidden(ROW()-1)=TRUE),0,(G317-G316)*unitsOfExo+J316)</f>
        <v>11832.499999999995</v>
      </c>
      <c r="K317" s="9">
        <f t="shared" si="14"/>
        <v>-11832.499999999995</v>
      </c>
      <c r="L317">
        <f t="shared" si="15"/>
        <v>461372.5</v>
      </c>
    </row>
    <row r="318" spans="1:12" x14ac:dyDescent="0.25">
      <c r="A318" s="1"/>
      <c r="C318" s="1"/>
      <c r="D318" s="1">
        <v>41703</v>
      </c>
      <c r="E318" s="10">
        <v>210632</v>
      </c>
      <c r="F318" s="1">
        <v>41703</v>
      </c>
      <c r="G318">
        <v>-3105.75</v>
      </c>
      <c r="H318" s="1">
        <f t="shared" si="13"/>
        <v>41703</v>
      </c>
      <c r="I318">
        <f>IF(AND(MyRowHidden(ROW())=FALSE,MyRowHidden(ROW()-1)=TRUE),0,(E318-E317)*unitsOfDHp+I317)</f>
        <v>449540</v>
      </c>
      <c r="J318">
        <f>IF(AND(MyRowHidden(ROW())=FALSE,MyRowHidden(ROW()-1)=TRUE),0,(G318-G317)*unitsOfExo+J317)</f>
        <v>11832.499999999995</v>
      </c>
      <c r="K318" s="9">
        <f t="shared" si="14"/>
        <v>-11832.499999999995</v>
      </c>
      <c r="L318">
        <f t="shared" si="15"/>
        <v>461372.5</v>
      </c>
    </row>
    <row r="319" spans="1:12" x14ac:dyDescent="0.25">
      <c r="A319" s="1"/>
      <c r="C319" s="1"/>
      <c r="D319" s="1">
        <v>41704</v>
      </c>
      <c r="E319" s="10">
        <v>210596</v>
      </c>
      <c r="F319" s="1">
        <v>41704</v>
      </c>
      <c r="G319">
        <v>-3105.75</v>
      </c>
      <c r="H319" s="1">
        <f t="shared" si="13"/>
        <v>41704</v>
      </c>
      <c r="I319">
        <f>IF(AND(MyRowHidden(ROW())=FALSE,MyRowHidden(ROW()-1)=TRUE),0,(E319-E318)*unitsOfDHp+I318)</f>
        <v>449180</v>
      </c>
      <c r="J319">
        <f>IF(AND(MyRowHidden(ROW())=FALSE,MyRowHidden(ROW()-1)=TRUE),0,(G319-G318)*unitsOfExo+J318)</f>
        <v>11832.499999999995</v>
      </c>
      <c r="K319" s="9">
        <f t="shared" si="14"/>
        <v>-11832.499999999995</v>
      </c>
      <c r="L319">
        <f t="shared" si="15"/>
        <v>461012.5</v>
      </c>
    </row>
    <row r="320" spans="1:12" x14ac:dyDescent="0.25">
      <c r="A320" s="1"/>
      <c r="C320" s="1"/>
      <c r="D320" s="1">
        <v>41705</v>
      </c>
      <c r="E320" s="10">
        <v>208482</v>
      </c>
      <c r="F320" s="1">
        <v>41705</v>
      </c>
      <c r="G320">
        <v>-3105.75</v>
      </c>
      <c r="H320" s="1">
        <f t="shared" si="13"/>
        <v>41705</v>
      </c>
      <c r="I320">
        <f>IF(AND(MyRowHidden(ROW())=FALSE,MyRowHidden(ROW()-1)=TRUE),0,(E320-E319)*unitsOfDHp+I319)</f>
        <v>428040</v>
      </c>
      <c r="J320">
        <f>IF(AND(MyRowHidden(ROW())=FALSE,MyRowHidden(ROW()-1)=TRUE),0,(G320-G319)*unitsOfExo+J319)</f>
        <v>11832.499999999995</v>
      </c>
      <c r="K320" s="9">
        <f t="shared" si="14"/>
        <v>-11832.499999999995</v>
      </c>
      <c r="L320">
        <f t="shared" si="15"/>
        <v>439872.5</v>
      </c>
    </row>
    <row r="321" spans="1:12" x14ac:dyDescent="0.25">
      <c r="A321" s="1"/>
      <c r="C321" s="1"/>
      <c r="D321" s="1">
        <v>41708</v>
      </c>
      <c r="E321" s="10">
        <v>210162</v>
      </c>
      <c r="F321" s="1">
        <v>41708</v>
      </c>
      <c r="G321">
        <v>-3105.75</v>
      </c>
      <c r="H321" s="1">
        <f t="shared" si="13"/>
        <v>41708</v>
      </c>
      <c r="I321">
        <f>IF(AND(MyRowHidden(ROW())=FALSE,MyRowHidden(ROW()-1)=TRUE),0,(E321-E320)*unitsOfDHp+I320)</f>
        <v>444840</v>
      </c>
      <c r="J321">
        <f>IF(AND(MyRowHidden(ROW())=FALSE,MyRowHidden(ROW()-1)=TRUE),0,(G321-G320)*unitsOfExo+J320)</f>
        <v>11832.499999999995</v>
      </c>
      <c r="K321" s="9">
        <f t="shared" si="14"/>
        <v>-11832.499999999995</v>
      </c>
      <c r="L321">
        <f t="shared" si="15"/>
        <v>456672.5</v>
      </c>
    </row>
    <row r="322" spans="1:12" x14ac:dyDescent="0.25">
      <c r="A322" s="1"/>
      <c r="C322" s="1"/>
      <c r="D322" s="1">
        <v>41709</v>
      </c>
      <c r="E322" s="10">
        <v>210126</v>
      </c>
      <c r="F322" s="1">
        <v>41709</v>
      </c>
      <c r="G322">
        <v>-3018.8</v>
      </c>
      <c r="H322" s="1">
        <f t="shared" si="13"/>
        <v>41709</v>
      </c>
      <c r="I322">
        <f>IF(AND(MyRowHidden(ROW())=FALSE,MyRowHidden(ROW()-1)=TRUE),0,(E322-E321)*unitsOfDHp+I321)</f>
        <v>444480</v>
      </c>
      <c r="J322">
        <f>IF(AND(MyRowHidden(ROW())=FALSE,MyRowHidden(ROW()-1)=TRUE),0,(G322-G321)*unitsOfExo+J321)</f>
        <v>12701.999999999993</v>
      </c>
      <c r="K322" s="9">
        <f t="shared" si="14"/>
        <v>-12701.999999999993</v>
      </c>
      <c r="L322">
        <f t="shared" si="15"/>
        <v>457182</v>
      </c>
    </row>
    <row r="323" spans="1:12" x14ac:dyDescent="0.25">
      <c r="A323" s="1"/>
      <c r="C323" s="1"/>
      <c r="D323" s="1">
        <v>41710</v>
      </c>
      <c r="E323" s="10">
        <v>216642</v>
      </c>
      <c r="F323" s="1">
        <v>41710</v>
      </c>
      <c r="G323">
        <v>-2979.79</v>
      </c>
      <c r="H323" s="1">
        <f t="shared" si="13"/>
        <v>41710</v>
      </c>
      <c r="I323">
        <f>IF(AND(MyRowHidden(ROW())=FALSE,MyRowHidden(ROW()-1)=TRUE),0,(E323-E322)*unitsOfDHp+I322)</f>
        <v>509640</v>
      </c>
      <c r="J323">
        <f>IF(AND(MyRowHidden(ROW())=FALSE,MyRowHidden(ROW()-1)=TRUE),0,(G323-G322)*unitsOfExo+J322)</f>
        <v>13092.099999999995</v>
      </c>
      <c r="K323" s="9">
        <f t="shared" si="14"/>
        <v>-13092.099999999995</v>
      </c>
      <c r="L323">
        <f t="shared" si="15"/>
        <v>522732.1</v>
      </c>
    </row>
    <row r="324" spans="1:12" x14ac:dyDescent="0.25">
      <c r="A324" s="1"/>
      <c r="C324" s="1"/>
      <c r="D324" s="1">
        <v>41711</v>
      </c>
      <c r="E324" s="10">
        <v>216872</v>
      </c>
      <c r="F324" s="1">
        <v>41711</v>
      </c>
      <c r="G324">
        <v>-2979.79</v>
      </c>
      <c r="H324" s="1">
        <f t="shared" si="13"/>
        <v>41711</v>
      </c>
      <c r="I324">
        <f>IF(AND(MyRowHidden(ROW())=FALSE,MyRowHidden(ROW()-1)=TRUE),0,(E324-E323)*unitsOfDHp+I323)</f>
        <v>511940</v>
      </c>
      <c r="J324">
        <f>IF(AND(MyRowHidden(ROW())=FALSE,MyRowHidden(ROW()-1)=TRUE),0,(G324-G323)*unitsOfExo+J323)</f>
        <v>13092.099999999995</v>
      </c>
      <c r="K324" s="9">
        <f t="shared" si="14"/>
        <v>-13092.099999999995</v>
      </c>
      <c r="L324">
        <f t="shared" si="15"/>
        <v>525032.1</v>
      </c>
    </row>
    <row r="325" spans="1:12" x14ac:dyDescent="0.25">
      <c r="A325" s="1"/>
      <c r="C325" s="1"/>
      <c r="D325" s="1">
        <v>41712</v>
      </c>
      <c r="E325" s="10">
        <v>215706</v>
      </c>
      <c r="F325" s="1">
        <v>41712</v>
      </c>
      <c r="G325">
        <v>-2979.79</v>
      </c>
      <c r="H325" s="1">
        <f t="shared" si="13"/>
        <v>41712</v>
      </c>
      <c r="I325">
        <f>IF(AND(MyRowHidden(ROW())=FALSE,MyRowHidden(ROW()-1)=TRUE),0,(E325-E324)*unitsOfDHp+I324)</f>
        <v>500280</v>
      </c>
      <c r="J325">
        <f>IF(AND(MyRowHidden(ROW())=FALSE,MyRowHidden(ROW()-1)=TRUE),0,(G325-G324)*unitsOfExo+J324)</f>
        <v>13092.099999999995</v>
      </c>
      <c r="K325" s="9">
        <f t="shared" si="14"/>
        <v>-13092.099999999995</v>
      </c>
      <c r="L325">
        <f t="shared" si="15"/>
        <v>513372.1</v>
      </c>
    </row>
    <row r="326" spans="1:12" x14ac:dyDescent="0.25">
      <c r="A326" s="1"/>
      <c r="C326" s="1"/>
      <c r="D326" s="1">
        <v>41715</v>
      </c>
      <c r="E326" s="10">
        <v>216714</v>
      </c>
      <c r="F326" s="1">
        <v>41715</v>
      </c>
      <c r="G326">
        <v>-3287.64</v>
      </c>
      <c r="H326" s="1">
        <f t="shared" si="13"/>
        <v>41715</v>
      </c>
      <c r="I326">
        <f>IF(AND(MyRowHidden(ROW())=FALSE,MyRowHidden(ROW()-1)=TRUE),0,(E326-E325)*unitsOfDHp+I325)</f>
        <v>510360</v>
      </c>
      <c r="J326">
        <f>IF(AND(MyRowHidden(ROW())=FALSE,MyRowHidden(ROW()-1)=TRUE),0,(G326-G325)*unitsOfExo+J325)</f>
        <v>10013.599999999995</v>
      </c>
      <c r="K326" s="9">
        <f t="shared" si="14"/>
        <v>-10013.599999999995</v>
      </c>
      <c r="L326">
        <f t="shared" si="15"/>
        <v>520373.6</v>
      </c>
    </row>
    <row r="327" spans="1:12" x14ac:dyDescent="0.25">
      <c r="A327" s="1"/>
      <c r="C327" s="1"/>
      <c r="D327" s="1">
        <v>41716</v>
      </c>
      <c r="E327" s="10">
        <v>215074</v>
      </c>
      <c r="F327" s="1">
        <v>41716</v>
      </c>
      <c r="G327">
        <v>-3315.37</v>
      </c>
      <c r="H327" s="1">
        <f t="shared" si="13"/>
        <v>41716</v>
      </c>
      <c r="I327">
        <f>IF(AND(MyRowHidden(ROW())=FALSE,MyRowHidden(ROW()-1)=TRUE),0,(E327-E326)*unitsOfDHp+I326)</f>
        <v>493960</v>
      </c>
      <c r="J327">
        <f>IF(AND(MyRowHidden(ROW())=FALSE,MyRowHidden(ROW()-1)=TRUE),0,(G327-G326)*unitsOfExo+J326)</f>
        <v>9736.2999999999956</v>
      </c>
      <c r="K327" s="9">
        <f t="shared" si="14"/>
        <v>-9736.2999999999956</v>
      </c>
      <c r="L327">
        <f t="shared" si="15"/>
        <v>503696.3</v>
      </c>
    </row>
    <row r="328" spans="1:12" x14ac:dyDescent="0.25">
      <c r="A328" s="1"/>
      <c r="C328" s="1"/>
      <c r="D328" s="1">
        <v>41717</v>
      </c>
      <c r="E328" s="10">
        <v>215024</v>
      </c>
      <c r="F328" s="1">
        <v>41717</v>
      </c>
      <c r="G328">
        <v>-3315.37</v>
      </c>
      <c r="H328" s="1">
        <f t="shared" si="13"/>
        <v>41717</v>
      </c>
      <c r="I328">
        <f>IF(AND(MyRowHidden(ROW())=FALSE,MyRowHidden(ROW()-1)=TRUE),0,(E328-E327)*unitsOfDHp+I327)</f>
        <v>493460</v>
      </c>
      <c r="J328">
        <f>IF(AND(MyRowHidden(ROW())=FALSE,MyRowHidden(ROW()-1)=TRUE),0,(G328-G327)*unitsOfExo+J327)</f>
        <v>9736.2999999999956</v>
      </c>
      <c r="K328" s="9">
        <f t="shared" si="14"/>
        <v>-9736.2999999999956</v>
      </c>
      <c r="L328">
        <f t="shared" si="15"/>
        <v>503196.3</v>
      </c>
    </row>
    <row r="329" spans="1:12" x14ac:dyDescent="0.25">
      <c r="A329" s="1"/>
      <c r="C329" s="1"/>
      <c r="D329" s="1">
        <v>41718</v>
      </c>
      <c r="E329" s="10">
        <v>214634</v>
      </c>
      <c r="F329" s="1">
        <v>41718</v>
      </c>
      <c r="G329">
        <v>-3405.14</v>
      </c>
      <c r="H329" s="1">
        <f t="shared" si="13"/>
        <v>41718</v>
      </c>
      <c r="I329">
        <f>IF(AND(MyRowHidden(ROW())=FALSE,MyRowHidden(ROW()-1)=TRUE),0,(E329-E328)*unitsOfDHp+I328)</f>
        <v>489560</v>
      </c>
      <c r="J329">
        <f>IF(AND(MyRowHidden(ROW())=FALSE,MyRowHidden(ROW()-1)=TRUE),0,(G329-G328)*unitsOfExo+J328)</f>
        <v>8838.5999999999949</v>
      </c>
      <c r="K329" s="9">
        <f t="shared" si="14"/>
        <v>-8838.5999999999949</v>
      </c>
      <c r="L329">
        <f t="shared" si="15"/>
        <v>498398.6</v>
      </c>
    </row>
    <row r="330" spans="1:12" x14ac:dyDescent="0.25">
      <c r="A330" s="1"/>
      <c r="C330" s="1"/>
      <c r="D330" s="1">
        <v>41719</v>
      </c>
      <c r="E330" s="10">
        <v>213314</v>
      </c>
      <c r="F330" s="1">
        <v>41719</v>
      </c>
      <c r="G330">
        <v>-3405.14</v>
      </c>
      <c r="H330" s="1">
        <f t="shared" si="13"/>
        <v>41719</v>
      </c>
      <c r="I330">
        <f>IF(AND(MyRowHidden(ROW())=FALSE,MyRowHidden(ROW()-1)=TRUE),0,(E330-E329)*unitsOfDHp+I329)</f>
        <v>476360</v>
      </c>
      <c r="J330">
        <f>IF(AND(MyRowHidden(ROW())=FALSE,MyRowHidden(ROW()-1)=TRUE),0,(G330-G329)*unitsOfExo+J329)</f>
        <v>8838.5999999999949</v>
      </c>
      <c r="K330" s="9">
        <f t="shared" si="14"/>
        <v>-8838.5999999999949</v>
      </c>
      <c r="L330">
        <f t="shared" si="15"/>
        <v>485198.6</v>
      </c>
    </row>
    <row r="331" spans="1:12" x14ac:dyDescent="0.25">
      <c r="A331" s="1"/>
      <c r="C331" s="1"/>
      <c r="D331" s="1">
        <v>41722</v>
      </c>
      <c r="E331" s="10">
        <v>212926</v>
      </c>
      <c r="F331" s="1">
        <v>41722</v>
      </c>
      <c r="G331">
        <v>-3354.85</v>
      </c>
      <c r="H331" s="1">
        <f t="shared" si="13"/>
        <v>41722</v>
      </c>
      <c r="I331">
        <f>IF(AND(MyRowHidden(ROW())=FALSE,MyRowHidden(ROW()-1)=TRUE),0,(E331-E330)*unitsOfDHp+I330)</f>
        <v>472480</v>
      </c>
      <c r="J331">
        <f>IF(AND(MyRowHidden(ROW())=FALSE,MyRowHidden(ROW()-1)=TRUE),0,(G331-G330)*unitsOfExo+J330)</f>
        <v>9341.4999999999945</v>
      </c>
      <c r="K331" s="9">
        <f t="shared" si="14"/>
        <v>-9341.4999999999945</v>
      </c>
      <c r="L331">
        <f t="shared" si="15"/>
        <v>481821.5</v>
      </c>
    </row>
    <row r="332" spans="1:12" x14ac:dyDescent="0.25">
      <c r="A332" s="1"/>
      <c r="C332" s="1"/>
      <c r="D332" s="1">
        <v>41723</v>
      </c>
      <c r="E332" s="10">
        <v>212960</v>
      </c>
      <c r="F332" s="1">
        <v>41723</v>
      </c>
      <c r="G332">
        <v>-3284.82</v>
      </c>
      <c r="H332" s="1">
        <f t="shared" si="13"/>
        <v>41723</v>
      </c>
      <c r="I332">
        <f>IF(AND(MyRowHidden(ROW())=FALSE,MyRowHidden(ROW()-1)=TRUE),0,(E332-E331)*unitsOfDHp+I331)</f>
        <v>472820</v>
      </c>
      <c r="J332">
        <f>IF(AND(MyRowHidden(ROW())=FALSE,MyRowHidden(ROW()-1)=TRUE),0,(G332-G331)*unitsOfExo+J331)</f>
        <v>10041.799999999992</v>
      </c>
      <c r="K332" s="9">
        <f t="shared" si="14"/>
        <v>-10041.799999999992</v>
      </c>
      <c r="L332">
        <f t="shared" si="15"/>
        <v>482861.8</v>
      </c>
    </row>
    <row r="333" spans="1:12" x14ac:dyDescent="0.25">
      <c r="A333" s="1"/>
      <c r="C333" s="1"/>
      <c r="D333" s="1">
        <v>41724</v>
      </c>
      <c r="E333" s="10">
        <v>213240</v>
      </c>
      <c r="F333" s="1">
        <v>41724</v>
      </c>
      <c r="G333">
        <v>-3284.82</v>
      </c>
      <c r="H333" s="1">
        <f t="shared" ref="H333:H396" si="16">D333</f>
        <v>41724</v>
      </c>
      <c r="I333">
        <f>IF(AND(MyRowHidden(ROW())=FALSE,MyRowHidden(ROW()-1)=TRUE),0,(E333-E332)*unitsOfDHp+I332)</f>
        <v>475620</v>
      </c>
      <c r="J333">
        <f>IF(AND(MyRowHidden(ROW())=FALSE,MyRowHidden(ROW()-1)=TRUE),0,(G333-G332)*unitsOfExo+J332)</f>
        <v>10041.799999999992</v>
      </c>
      <c r="K333" s="9">
        <f t="shared" ref="K333:K396" si="17">-(J333-J332)+K332</f>
        <v>-10041.799999999992</v>
      </c>
      <c r="L333">
        <f t="shared" ref="L333:L396" si="18">I333+J333</f>
        <v>485661.8</v>
      </c>
    </row>
    <row r="334" spans="1:12" x14ac:dyDescent="0.25">
      <c r="A334" s="1"/>
      <c r="C334" s="1"/>
      <c r="D334" s="1">
        <v>41725</v>
      </c>
      <c r="E334" s="10">
        <v>213940</v>
      </c>
      <c r="F334" s="1">
        <v>41725</v>
      </c>
      <c r="G334">
        <v>-3310.2</v>
      </c>
      <c r="H334" s="1">
        <f t="shared" si="16"/>
        <v>41725</v>
      </c>
      <c r="I334">
        <f>IF(AND(MyRowHidden(ROW())=FALSE,MyRowHidden(ROW()-1)=TRUE),0,(E334-E333)*unitsOfDHp+I333)</f>
        <v>482620</v>
      </c>
      <c r="J334">
        <f>IF(AND(MyRowHidden(ROW())=FALSE,MyRowHidden(ROW()-1)=TRUE),0,(G334-G333)*unitsOfExo+J333)</f>
        <v>9787.9999999999964</v>
      </c>
      <c r="K334" s="9">
        <f t="shared" si="17"/>
        <v>-9787.9999999999964</v>
      </c>
      <c r="L334">
        <f t="shared" si="18"/>
        <v>492408</v>
      </c>
    </row>
    <row r="335" spans="1:12" x14ac:dyDescent="0.25">
      <c r="A335" s="1"/>
      <c r="C335" s="1"/>
      <c r="D335" s="1">
        <v>41726</v>
      </c>
      <c r="E335" s="10">
        <v>214110</v>
      </c>
      <c r="F335" s="1">
        <v>41726</v>
      </c>
      <c r="G335">
        <v>-3310.2</v>
      </c>
      <c r="H335" s="1">
        <f t="shared" si="16"/>
        <v>41726</v>
      </c>
      <c r="I335">
        <f>IF(AND(MyRowHidden(ROW())=FALSE,MyRowHidden(ROW()-1)=TRUE),0,(E335-E334)*unitsOfDHp+I334)</f>
        <v>484320</v>
      </c>
      <c r="J335">
        <f>IF(AND(MyRowHidden(ROW())=FALSE,MyRowHidden(ROW()-1)=TRUE),0,(G335-G334)*unitsOfExo+J334)</f>
        <v>9787.9999999999964</v>
      </c>
      <c r="K335" s="9">
        <f t="shared" si="17"/>
        <v>-9787.9999999999964</v>
      </c>
      <c r="L335">
        <f t="shared" si="18"/>
        <v>494108</v>
      </c>
    </row>
    <row r="336" spans="1:12" x14ac:dyDescent="0.25">
      <c r="A336" s="1"/>
      <c r="C336" s="1"/>
      <c r="D336" s="1">
        <v>41729</v>
      </c>
      <c r="E336" s="10">
        <v>213990</v>
      </c>
      <c r="F336" s="1">
        <v>41729</v>
      </c>
      <c r="G336">
        <v>-3310.2</v>
      </c>
      <c r="H336" s="1">
        <f t="shared" si="16"/>
        <v>41729</v>
      </c>
      <c r="I336">
        <f>IF(AND(MyRowHidden(ROW())=FALSE,MyRowHidden(ROW()-1)=TRUE),0,(E336-E335)*unitsOfDHp+I335)</f>
        <v>483120</v>
      </c>
      <c r="J336">
        <f>IF(AND(MyRowHidden(ROW())=FALSE,MyRowHidden(ROW()-1)=TRUE),0,(G336-G335)*unitsOfExo+J335)</f>
        <v>9787.9999999999964</v>
      </c>
      <c r="K336" s="9">
        <f t="shared" si="17"/>
        <v>-9787.9999999999964</v>
      </c>
      <c r="L336">
        <f t="shared" si="18"/>
        <v>492908</v>
      </c>
    </row>
    <row r="337" spans="1:12" x14ac:dyDescent="0.25">
      <c r="A337" s="1"/>
      <c r="C337" s="1"/>
      <c r="D337" s="1">
        <v>41730</v>
      </c>
      <c r="E337" s="10">
        <v>212370</v>
      </c>
      <c r="F337" s="1">
        <v>41730</v>
      </c>
      <c r="G337">
        <v>-3646.5</v>
      </c>
      <c r="H337" s="1">
        <f t="shared" si="16"/>
        <v>41730</v>
      </c>
      <c r="I337">
        <f>IF(AND(MyRowHidden(ROW())=FALSE,MyRowHidden(ROW()-1)=TRUE),0,(E337-E336)*unitsOfDHp+I336)</f>
        <v>466920</v>
      </c>
      <c r="J337">
        <f>IF(AND(MyRowHidden(ROW())=FALSE,MyRowHidden(ROW()-1)=TRUE),0,(G337-G336)*unitsOfExo+J336)</f>
        <v>6424.9999999999945</v>
      </c>
      <c r="K337" s="9">
        <f t="shared" si="17"/>
        <v>-6424.9999999999945</v>
      </c>
      <c r="L337">
        <f t="shared" si="18"/>
        <v>473345</v>
      </c>
    </row>
    <row r="338" spans="1:12" x14ac:dyDescent="0.25">
      <c r="A338" s="1"/>
      <c r="C338" s="1"/>
      <c r="D338" s="1">
        <v>41731</v>
      </c>
      <c r="E338" s="10">
        <v>212370</v>
      </c>
      <c r="F338" s="1">
        <v>41731</v>
      </c>
      <c r="G338">
        <v>-3764</v>
      </c>
      <c r="H338" s="1">
        <f t="shared" si="16"/>
        <v>41731</v>
      </c>
      <c r="I338">
        <f>IF(AND(MyRowHidden(ROW())=FALSE,MyRowHidden(ROW()-1)=TRUE),0,(E338-E337)*unitsOfDHp+I337)</f>
        <v>466920</v>
      </c>
      <c r="J338">
        <f>IF(AND(MyRowHidden(ROW())=FALSE,MyRowHidden(ROW()-1)=TRUE),0,(G338-G337)*unitsOfExo+J337)</f>
        <v>5249.9999999999945</v>
      </c>
      <c r="K338" s="9">
        <f t="shared" si="17"/>
        <v>-5249.9999999999945</v>
      </c>
      <c r="L338">
        <f t="shared" si="18"/>
        <v>472170</v>
      </c>
    </row>
    <row r="339" spans="1:12" x14ac:dyDescent="0.25">
      <c r="A339" s="1"/>
      <c r="C339" s="1"/>
      <c r="D339" s="1">
        <v>41732</v>
      </c>
      <c r="E339" s="10">
        <v>212950</v>
      </c>
      <c r="F339" s="1">
        <v>41732</v>
      </c>
      <c r="G339">
        <v>-3529</v>
      </c>
      <c r="H339" s="1">
        <f t="shared" si="16"/>
        <v>41732</v>
      </c>
      <c r="I339">
        <f>IF(AND(MyRowHidden(ROW())=FALSE,MyRowHidden(ROW()-1)=TRUE),0,(E339-E338)*unitsOfDHp+I338)</f>
        <v>472720</v>
      </c>
      <c r="J339">
        <f>IF(AND(MyRowHidden(ROW())=FALSE,MyRowHidden(ROW()-1)=TRUE),0,(G339-G338)*unitsOfExo+J338)</f>
        <v>7599.9999999999945</v>
      </c>
      <c r="K339" s="9">
        <f t="shared" si="17"/>
        <v>-7599.9999999999945</v>
      </c>
      <c r="L339">
        <f t="shared" si="18"/>
        <v>480320</v>
      </c>
    </row>
    <row r="340" spans="1:12" x14ac:dyDescent="0.25">
      <c r="A340" s="1"/>
      <c r="C340" s="1"/>
      <c r="D340" s="1">
        <v>41733</v>
      </c>
      <c r="E340" s="10">
        <v>214110</v>
      </c>
      <c r="F340" s="1">
        <v>41733</v>
      </c>
      <c r="G340">
        <v>-3646.5</v>
      </c>
      <c r="H340" s="1">
        <f t="shared" si="16"/>
        <v>41733</v>
      </c>
      <c r="I340">
        <f>IF(AND(MyRowHidden(ROW())=FALSE,MyRowHidden(ROW()-1)=TRUE),0,(E340-E339)*unitsOfDHp+I339)</f>
        <v>484320</v>
      </c>
      <c r="J340">
        <f>IF(AND(MyRowHidden(ROW())=FALSE,MyRowHidden(ROW()-1)=TRUE),0,(G340-G339)*unitsOfExo+J339)</f>
        <v>6424.9999999999945</v>
      </c>
      <c r="K340" s="9">
        <f t="shared" si="17"/>
        <v>-6424.9999999999945</v>
      </c>
      <c r="L340">
        <f t="shared" si="18"/>
        <v>490745</v>
      </c>
    </row>
    <row r="341" spans="1:12" x14ac:dyDescent="0.25">
      <c r="A341" s="1"/>
      <c r="C341" s="1"/>
      <c r="D341" s="1">
        <v>41736</v>
      </c>
      <c r="E341" s="10">
        <v>213430</v>
      </c>
      <c r="F341" s="1">
        <v>41736</v>
      </c>
      <c r="G341">
        <v>-3764</v>
      </c>
      <c r="H341" s="1">
        <f t="shared" si="16"/>
        <v>41736</v>
      </c>
      <c r="I341">
        <f>IF(AND(MyRowHidden(ROW())=FALSE,MyRowHidden(ROW()-1)=TRUE),0,(E341-E340)*unitsOfDHp+I340)</f>
        <v>477520</v>
      </c>
      <c r="J341">
        <f>IF(AND(MyRowHidden(ROW())=FALSE,MyRowHidden(ROW()-1)=TRUE),0,(G341-G340)*unitsOfExo+J340)</f>
        <v>5249.9999999999945</v>
      </c>
      <c r="K341" s="9">
        <f t="shared" si="17"/>
        <v>-5249.9999999999945</v>
      </c>
      <c r="L341">
        <f t="shared" si="18"/>
        <v>482770</v>
      </c>
    </row>
    <row r="342" spans="1:12" x14ac:dyDescent="0.25">
      <c r="A342" s="1"/>
      <c r="C342" s="1"/>
      <c r="D342" s="1">
        <v>41737</v>
      </c>
      <c r="E342" s="10">
        <v>215150</v>
      </c>
      <c r="F342" s="1">
        <v>41737</v>
      </c>
      <c r="G342">
        <v>-3742.85</v>
      </c>
      <c r="H342" s="1">
        <f t="shared" si="16"/>
        <v>41737</v>
      </c>
      <c r="I342">
        <f>IF(AND(MyRowHidden(ROW())=FALSE,MyRowHidden(ROW()-1)=TRUE),0,(E342-E341)*unitsOfDHp+I341)</f>
        <v>494720</v>
      </c>
      <c r="J342">
        <f>IF(AND(MyRowHidden(ROW())=FALSE,MyRowHidden(ROW()-1)=TRUE),0,(G342-G341)*unitsOfExo+J341)</f>
        <v>5461.4999999999955</v>
      </c>
      <c r="K342" s="9">
        <f t="shared" si="17"/>
        <v>-5461.4999999999955</v>
      </c>
      <c r="L342">
        <f t="shared" si="18"/>
        <v>500181.5</v>
      </c>
    </row>
    <row r="343" spans="1:12" x14ac:dyDescent="0.25">
      <c r="A343" s="1"/>
      <c r="C343" s="1"/>
      <c r="D343" s="1">
        <v>41738</v>
      </c>
      <c r="E343" s="10">
        <v>215810</v>
      </c>
      <c r="F343" s="1">
        <v>41738</v>
      </c>
      <c r="G343">
        <v>-3742.85</v>
      </c>
      <c r="H343" s="1">
        <f t="shared" si="16"/>
        <v>41738</v>
      </c>
      <c r="I343">
        <f>IF(AND(MyRowHidden(ROW())=FALSE,MyRowHidden(ROW()-1)=TRUE),0,(E343-E342)*unitsOfDHp+I342)</f>
        <v>501320</v>
      </c>
      <c r="J343">
        <f>IF(AND(MyRowHidden(ROW())=FALSE,MyRowHidden(ROW()-1)=TRUE),0,(G343-G342)*unitsOfExo+J342)</f>
        <v>5461.4999999999955</v>
      </c>
      <c r="K343" s="9">
        <f t="shared" si="17"/>
        <v>-5461.4999999999955</v>
      </c>
      <c r="L343">
        <f t="shared" si="18"/>
        <v>506781.5</v>
      </c>
    </row>
    <row r="344" spans="1:12" x14ac:dyDescent="0.25">
      <c r="A344" s="1"/>
      <c r="C344" s="1"/>
      <c r="D344" s="1">
        <v>41739</v>
      </c>
      <c r="E344" s="10">
        <v>215930</v>
      </c>
      <c r="F344" s="1">
        <v>41739</v>
      </c>
      <c r="G344">
        <v>-3742.85</v>
      </c>
      <c r="H344" s="1">
        <f t="shared" si="16"/>
        <v>41739</v>
      </c>
      <c r="I344">
        <f>IF(AND(MyRowHidden(ROW())=FALSE,MyRowHidden(ROW()-1)=TRUE),0,(E344-E343)*unitsOfDHp+I343)</f>
        <v>502520</v>
      </c>
      <c r="J344">
        <f>IF(AND(MyRowHidden(ROW())=FALSE,MyRowHidden(ROW()-1)=TRUE),0,(G344-G343)*unitsOfExo+J343)</f>
        <v>5461.4999999999955</v>
      </c>
      <c r="K344" s="9">
        <f t="shared" si="17"/>
        <v>-5461.4999999999955</v>
      </c>
      <c r="L344">
        <f t="shared" si="18"/>
        <v>507981.5</v>
      </c>
    </row>
    <row r="345" spans="1:12" x14ac:dyDescent="0.25">
      <c r="A345" s="1"/>
      <c r="C345" s="1"/>
      <c r="D345" s="1">
        <v>41740</v>
      </c>
      <c r="E345" s="10">
        <v>216030</v>
      </c>
      <c r="F345" s="1">
        <v>41740</v>
      </c>
      <c r="G345">
        <v>-3742.85</v>
      </c>
      <c r="H345" s="1">
        <f t="shared" si="16"/>
        <v>41740</v>
      </c>
      <c r="I345">
        <f>IF(AND(MyRowHidden(ROW())=FALSE,MyRowHidden(ROW()-1)=TRUE),0,(E345-E344)*unitsOfDHp+I344)</f>
        <v>503520</v>
      </c>
      <c r="J345">
        <f>IF(AND(MyRowHidden(ROW())=FALSE,MyRowHidden(ROW()-1)=TRUE),0,(G345-G344)*unitsOfExo+J344)</f>
        <v>5461.4999999999955</v>
      </c>
      <c r="K345" s="9">
        <f t="shared" si="17"/>
        <v>-5461.4999999999955</v>
      </c>
      <c r="L345">
        <f t="shared" si="18"/>
        <v>508981.5</v>
      </c>
    </row>
    <row r="346" spans="1:12" x14ac:dyDescent="0.25">
      <c r="A346" s="1"/>
      <c r="C346" s="1"/>
      <c r="D346" s="1">
        <v>41743</v>
      </c>
      <c r="E346" s="10">
        <v>216420</v>
      </c>
      <c r="F346" s="1">
        <v>41743</v>
      </c>
      <c r="G346">
        <v>-3742.85</v>
      </c>
      <c r="H346" s="1">
        <f t="shared" si="16"/>
        <v>41743</v>
      </c>
      <c r="I346">
        <f>IF(AND(MyRowHidden(ROW())=FALSE,MyRowHidden(ROW()-1)=TRUE),0,(E346-E345)*unitsOfDHp+I345)</f>
        <v>507420</v>
      </c>
      <c r="J346">
        <f>IF(AND(MyRowHidden(ROW())=FALSE,MyRowHidden(ROW()-1)=TRUE),0,(G346-G345)*unitsOfExo+J345)</f>
        <v>5461.4999999999955</v>
      </c>
      <c r="K346" s="9">
        <f t="shared" si="17"/>
        <v>-5461.4999999999955</v>
      </c>
      <c r="L346">
        <f t="shared" si="18"/>
        <v>512881.5</v>
      </c>
    </row>
    <row r="347" spans="1:12" x14ac:dyDescent="0.25">
      <c r="A347" s="1"/>
      <c r="C347" s="1"/>
      <c r="D347" s="1">
        <v>41744</v>
      </c>
      <c r="E347" s="10">
        <v>216250</v>
      </c>
      <c r="F347" s="1">
        <v>41744</v>
      </c>
      <c r="G347">
        <v>-3646.5</v>
      </c>
      <c r="H347" s="1">
        <f t="shared" si="16"/>
        <v>41744</v>
      </c>
      <c r="I347">
        <f>IF(AND(MyRowHidden(ROW())=FALSE,MyRowHidden(ROW()-1)=TRUE),0,(E347-E346)*unitsOfDHp+I346)</f>
        <v>505720</v>
      </c>
      <c r="J347">
        <f>IF(AND(MyRowHidden(ROW())=FALSE,MyRowHidden(ROW()-1)=TRUE),0,(G347-G346)*unitsOfExo+J346)</f>
        <v>6424.9999999999945</v>
      </c>
      <c r="K347" s="9">
        <f t="shared" si="17"/>
        <v>-6424.9999999999945</v>
      </c>
      <c r="L347">
        <f t="shared" si="18"/>
        <v>512145</v>
      </c>
    </row>
    <row r="348" spans="1:12" x14ac:dyDescent="0.25">
      <c r="A348" s="1"/>
      <c r="C348" s="1"/>
      <c r="D348" s="1">
        <v>41745</v>
      </c>
      <c r="E348" s="10">
        <v>216170</v>
      </c>
      <c r="F348" s="1">
        <v>41745</v>
      </c>
      <c r="G348">
        <v>-3616.89</v>
      </c>
      <c r="H348" s="1">
        <f t="shared" si="16"/>
        <v>41745</v>
      </c>
      <c r="I348">
        <f>IF(AND(MyRowHidden(ROW())=FALSE,MyRowHidden(ROW()-1)=TRUE),0,(E348-E347)*unitsOfDHp+I347)</f>
        <v>504920</v>
      </c>
      <c r="J348">
        <f>IF(AND(MyRowHidden(ROW())=FALSE,MyRowHidden(ROW()-1)=TRUE),0,(G348-G347)*unitsOfExo+J347)</f>
        <v>6721.0999999999958</v>
      </c>
      <c r="K348" s="9">
        <f t="shared" si="17"/>
        <v>-6721.0999999999958</v>
      </c>
      <c r="L348">
        <f t="shared" si="18"/>
        <v>511641.1</v>
      </c>
    </row>
    <row r="349" spans="1:12" x14ac:dyDescent="0.25">
      <c r="A349" s="1"/>
      <c r="C349" s="1"/>
      <c r="D349" s="1">
        <v>41746</v>
      </c>
      <c r="E349" s="10">
        <v>216270</v>
      </c>
      <c r="F349" s="1">
        <v>41746</v>
      </c>
      <c r="G349">
        <v>-3643.68</v>
      </c>
      <c r="H349" s="1">
        <f t="shared" si="16"/>
        <v>41746</v>
      </c>
      <c r="I349">
        <f>IF(AND(MyRowHidden(ROW())=FALSE,MyRowHidden(ROW()-1)=TRUE),0,(E349-E348)*unitsOfDHp+I348)</f>
        <v>505920</v>
      </c>
      <c r="J349">
        <f>IF(AND(MyRowHidden(ROW())=FALSE,MyRowHidden(ROW()-1)=TRUE),0,(G349-G348)*unitsOfExo+J348)</f>
        <v>6453.1999999999962</v>
      </c>
      <c r="K349" s="9">
        <f t="shared" si="17"/>
        <v>-6453.1999999999962</v>
      </c>
      <c r="L349">
        <f t="shared" si="18"/>
        <v>512373.2</v>
      </c>
    </row>
    <row r="350" spans="1:12" x14ac:dyDescent="0.25">
      <c r="A350" s="1"/>
      <c r="C350" s="1"/>
      <c r="D350" s="1">
        <v>41747</v>
      </c>
      <c r="E350" s="10">
        <v>216354</v>
      </c>
      <c r="F350" s="1">
        <v>41747</v>
      </c>
      <c r="G350">
        <v>-3643.68</v>
      </c>
      <c r="H350" s="1">
        <f t="shared" si="16"/>
        <v>41747</v>
      </c>
      <c r="I350">
        <f>IF(AND(MyRowHidden(ROW())=FALSE,MyRowHidden(ROW()-1)=TRUE),0,(E350-E349)*unitsOfDHp+I349)</f>
        <v>506760</v>
      </c>
      <c r="J350">
        <f>IF(AND(MyRowHidden(ROW())=FALSE,MyRowHidden(ROW()-1)=TRUE),0,(G350-G349)*unitsOfExo+J349)</f>
        <v>6453.1999999999962</v>
      </c>
      <c r="K350" s="9">
        <f t="shared" si="17"/>
        <v>-6453.1999999999962</v>
      </c>
      <c r="L350">
        <f t="shared" si="18"/>
        <v>513213.2</v>
      </c>
    </row>
    <row r="351" spans="1:12" x14ac:dyDescent="0.25">
      <c r="A351" s="1"/>
      <c r="C351" s="1"/>
      <c r="D351" s="1">
        <v>41750</v>
      </c>
      <c r="E351" s="10">
        <v>216502</v>
      </c>
      <c r="F351" s="1">
        <v>41750</v>
      </c>
      <c r="G351">
        <v>-3643.68</v>
      </c>
      <c r="H351" s="1">
        <f t="shared" si="16"/>
        <v>41750</v>
      </c>
      <c r="I351">
        <f>IF(AND(MyRowHidden(ROW())=FALSE,MyRowHidden(ROW()-1)=TRUE),0,(E351-E350)*unitsOfDHp+I350)</f>
        <v>508240</v>
      </c>
      <c r="J351">
        <f>IF(AND(MyRowHidden(ROW())=FALSE,MyRowHidden(ROW()-1)=TRUE),0,(G351-G350)*unitsOfExo+J350)</f>
        <v>6453.1999999999962</v>
      </c>
      <c r="K351" s="9">
        <f t="shared" si="17"/>
        <v>-6453.1999999999962</v>
      </c>
      <c r="L351">
        <f t="shared" si="18"/>
        <v>514693.2</v>
      </c>
    </row>
    <row r="352" spans="1:12" x14ac:dyDescent="0.25">
      <c r="A352" s="1"/>
      <c r="C352" s="1"/>
      <c r="D352" s="1">
        <v>41751</v>
      </c>
      <c r="E352" s="10">
        <v>216106</v>
      </c>
      <c r="F352" s="1">
        <v>41751</v>
      </c>
      <c r="G352">
        <v>-3625.35</v>
      </c>
      <c r="H352" s="1">
        <f t="shared" si="16"/>
        <v>41751</v>
      </c>
      <c r="I352">
        <f>IF(AND(MyRowHidden(ROW())=FALSE,MyRowHidden(ROW()-1)=TRUE),0,(E352-E351)*unitsOfDHp+I351)</f>
        <v>504280</v>
      </c>
      <c r="J352">
        <f>IF(AND(MyRowHidden(ROW())=FALSE,MyRowHidden(ROW()-1)=TRUE),0,(G352-G351)*unitsOfExo+J351)</f>
        <v>6636.4999999999955</v>
      </c>
      <c r="K352" s="9">
        <f t="shared" si="17"/>
        <v>-6636.4999999999955</v>
      </c>
      <c r="L352">
        <f t="shared" si="18"/>
        <v>510916.5</v>
      </c>
    </row>
    <row r="353" spans="1:12" x14ac:dyDescent="0.25">
      <c r="A353" s="1"/>
      <c r="C353" s="1"/>
      <c r="D353" s="1">
        <v>41752</v>
      </c>
      <c r="E353" s="10">
        <v>216674</v>
      </c>
      <c r="F353" s="1">
        <v>41752</v>
      </c>
      <c r="G353">
        <v>-3625.35</v>
      </c>
      <c r="H353" s="1">
        <f t="shared" si="16"/>
        <v>41752</v>
      </c>
      <c r="I353">
        <f>IF(AND(MyRowHidden(ROW())=FALSE,MyRowHidden(ROW()-1)=TRUE),0,(E353-E352)*unitsOfDHp+I352)</f>
        <v>509960</v>
      </c>
      <c r="J353">
        <f>IF(AND(MyRowHidden(ROW())=FALSE,MyRowHidden(ROW()-1)=TRUE),0,(G353-G352)*unitsOfExo+J352)</f>
        <v>6636.4999999999955</v>
      </c>
      <c r="K353" s="9">
        <f t="shared" si="17"/>
        <v>-6636.4999999999955</v>
      </c>
      <c r="L353">
        <f t="shared" si="18"/>
        <v>516596.5</v>
      </c>
    </row>
    <row r="354" spans="1:12" x14ac:dyDescent="0.25">
      <c r="A354" s="1"/>
      <c r="C354" s="1"/>
      <c r="D354" s="1">
        <v>41753</v>
      </c>
      <c r="E354" s="10">
        <v>216334</v>
      </c>
      <c r="F354" s="1">
        <v>41753</v>
      </c>
      <c r="G354">
        <v>-3584.93</v>
      </c>
      <c r="H354" s="1">
        <f t="shared" si="16"/>
        <v>41753</v>
      </c>
      <c r="I354">
        <f>IF(AND(MyRowHidden(ROW())=FALSE,MyRowHidden(ROW()-1)=TRUE),0,(E354-E353)*unitsOfDHp+I353)</f>
        <v>506560</v>
      </c>
      <c r="J354">
        <f>IF(AND(MyRowHidden(ROW())=FALSE,MyRowHidden(ROW()-1)=TRUE),0,(G354-G353)*unitsOfExo+J353)</f>
        <v>7040.6999999999962</v>
      </c>
      <c r="K354" s="9">
        <f t="shared" si="17"/>
        <v>-7040.6999999999962</v>
      </c>
      <c r="L354">
        <f t="shared" si="18"/>
        <v>513600.7</v>
      </c>
    </row>
    <row r="355" spans="1:12" x14ac:dyDescent="0.25">
      <c r="A355" s="1"/>
      <c r="C355" s="1"/>
      <c r="D355" s="1">
        <v>41754</v>
      </c>
      <c r="E355" s="10">
        <v>217566</v>
      </c>
      <c r="F355" s="1">
        <v>41754</v>
      </c>
      <c r="G355">
        <v>-3616.89</v>
      </c>
      <c r="H355" s="1">
        <f t="shared" si="16"/>
        <v>41754</v>
      </c>
      <c r="I355">
        <f>IF(AND(MyRowHidden(ROW())=FALSE,MyRowHidden(ROW()-1)=TRUE),0,(E355-E354)*unitsOfDHp+I354)</f>
        <v>518880</v>
      </c>
      <c r="J355">
        <f>IF(AND(MyRowHidden(ROW())=FALSE,MyRowHidden(ROW()-1)=TRUE),0,(G355-G354)*unitsOfExo+J354)</f>
        <v>6721.0999999999958</v>
      </c>
      <c r="K355" s="9">
        <f t="shared" si="17"/>
        <v>-6721.0999999999958</v>
      </c>
      <c r="L355">
        <f t="shared" si="18"/>
        <v>525601.1</v>
      </c>
    </row>
    <row r="356" spans="1:12" x14ac:dyDescent="0.25">
      <c r="A356" s="1"/>
      <c r="C356" s="1"/>
      <c r="D356" s="1">
        <v>41757</v>
      </c>
      <c r="E356" s="10">
        <v>217882</v>
      </c>
      <c r="F356" s="1">
        <v>41757</v>
      </c>
      <c r="G356">
        <v>-3633.34</v>
      </c>
      <c r="H356" s="1">
        <f t="shared" si="16"/>
        <v>41757</v>
      </c>
      <c r="I356">
        <f>IF(AND(MyRowHidden(ROW())=FALSE,MyRowHidden(ROW()-1)=TRUE),0,(E356-E355)*unitsOfDHp+I355)</f>
        <v>522040</v>
      </c>
      <c r="J356">
        <f>IF(AND(MyRowHidden(ROW())=FALSE,MyRowHidden(ROW()-1)=TRUE),0,(G356-G355)*unitsOfExo+J355)</f>
        <v>6556.5999999999931</v>
      </c>
      <c r="K356" s="9">
        <f t="shared" si="17"/>
        <v>-6556.5999999999931</v>
      </c>
      <c r="L356">
        <f t="shared" si="18"/>
        <v>528596.6</v>
      </c>
    </row>
    <row r="357" spans="1:12" x14ac:dyDescent="0.25">
      <c r="A357" s="1"/>
      <c r="C357" s="1"/>
      <c r="D357" s="1">
        <v>41758</v>
      </c>
      <c r="E357" s="10">
        <v>216218</v>
      </c>
      <c r="F357" s="1">
        <v>41758</v>
      </c>
      <c r="G357">
        <v>-3643.68</v>
      </c>
      <c r="H357" s="1">
        <f t="shared" si="16"/>
        <v>41758</v>
      </c>
      <c r="I357">
        <f>IF(AND(MyRowHidden(ROW())=FALSE,MyRowHidden(ROW()-1)=TRUE),0,(E357-E356)*unitsOfDHp+I356)</f>
        <v>505400</v>
      </c>
      <c r="J357">
        <f>IF(AND(MyRowHidden(ROW())=FALSE,MyRowHidden(ROW()-1)=TRUE),0,(G357-G356)*unitsOfExo+J356)</f>
        <v>6453.1999999999962</v>
      </c>
      <c r="K357" s="9">
        <f t="shared" si="17"/>
        <v>-6453.1999999999962</v>
      </c>
      <c r="L357">
        <f t="shared" si="18"/>
        <v>511853.2</v>
      </c>
    </row>
    <row r="358" spans="1:12" x14ac:dyDescent="0.25">
      <c r="A358" s="1"/>
      <c r="C358" s="1"/>
      <c r="D358" s="1">
        <v>41759</v>
      </c>
      <c r="E358" s="10">
        <v>221734</v>
      </c>
      <c r="F358" s="1">
        <v>41759</v>
      </c>
      <c r="G358">
        <v>-3646.5</v>
      </c>
      <c r="H358" s="1">
        <f t="shared" si="16"/>
        <v>41759</v>
      </c>
      <c r="I358">
        <f>IF(AND(MyRowHidden(ROW())=FALSE,MyRowHidden(ROW()-1)=TRUE),0,(E358-E357)*unitsOfDHp+I357)</f>
        <v>560560</v>
      </c>
      <c r="J358">
        <f>IF(AND(MyRowHidden(ROW())=FALSE,MyRowHidden(ROW()-1)=TRUE),0,(G358-G357)*unitsOfExo+J357)</f>
        <v>6424.9999999999945</v>
      </c>
      <c r="K358" s="9">
        <f t="shared" si="17"/>
        <v>-6424.9999999999945</v>
      </c>
      <c r="L358">
        <f t="shared" si="18"/>
        <v>566985</v>
      </c>
    </row>
    <row r="359" spans="1:12" x14ac:dyDescent="0.25">
      <c r="A359" s="1"/>
      <c r="C359" s="1"/>
      <c r="D359" s="1">
        <v>41760</v>
      </c>
      <c r="E359" s="10">
        <v>222508</v>
      </c>
      <c r="F359" s="1">
        <v>41760</v>
      </c>
      <c r="G359">
        <v>-3952.25</v>
      </c>
      <c r="H359" s="1">
        <f t="shared" si="16"/>
        <v>41760</v>
      </c>
      <c r="I359">
        <f>IF(AND(MyRowHidden(ROW())=FALSE,MyRowHidden(ROW()-1)=TRUE),0,(E359-E358)*unitsOfDHp+I358)</f>
        <v>568300</v>
      </c>
      <c r="J359">
        <f>IF(AND(MyRowHidden(ROW())=FALSE,MyRowHidden(ROW()-1)=TRUE),0,(G359-G358)*unitsOfExo+J358)</f>
        <v>3367.4999999999945</v>
      </c>
      <c r="K359" s="9">
        <f t="shared" si="17"/>
        <v>-3367.4999999999945</v>
      </c>
      <c r="L359">
        <f t="shared" si="18"/>
        <v>571667.5</v>
      </c>
    </row>
    <row r="360" spans="1:12" x14ac:dyDescent="0.25">
      <c r="A360" s="1"/>
      <c r="C360" s="1"/>
      <c r="D360" s="1">
        <v>41761</v>
      </c>
      <c r="E360" s="10">
        <v>221268</v>
      </c>
      <c r="F360" s="1">
        <v>41761</v>
      </c>
      <c r="G360">
        <v>-3952.25</v>
      </c>
      <c r="H360" s="1">
        <f t="shared" si="16"/>
        <v>41761</v>
      </c>
      <c r="I360">
        <f>IF(AND(MyRowHidden(ROW())=FALSE,MyRowHidden(ROW()-1)=TRUE),0,(E360-E359)*unitsOfDHp+I359)</f>
        <v>555900</v>
      </c>
      <c r="J360">
        <f>IF(AND(MyRowHidden(ROW())=FALSE,MyRowHidden(ROW()-1)=TRUE),0,(G360-G359)*unitsOfExo+J359)</f>
        <v>3367.4999999999945</v>
      </c>
      <c r="K360" s="9">
        <f t="shared" si="17"/>
        <v>-3367.4999999999945</v>
      </c>
      <c r="L360">
        <f t="shared" si="18"/>
        <v>559267.5</v>
      </c>
    </row>
    <row r="361" spans="1:12" x14ac:dyDescent="0.25">
      <c r="A361" s="1"/>
      <c r="C361" s="1"/>
      <c r="D361" s="1">
        <v>41764</v>
      </c>
      <c r="E361" s="10">
        <v>223086</v>
      </c>
      <c r="F361" s="1">
        <v>41764</v>
      </c>
      <c r="G361">
        <v>-4058.94</v>
      </c>
      <c r="H361" s="1">
        <f t="shared" si="16"/>
        <v>41764</v>
      </c>
      <c r="I361">
        <f>IF(AND(MyRowHidden(ROW())=FALSE,MyRowHidden(ROW()-1)=TRUE),0,(E361-E360)*unitsOfDHp+I360)</f>
        <v>574080</v>
      </c>
      <c r="J361">
        <f>IF(AND(MyRowHidden(ROW())=FALSE,MyRowHidden(ROW()-1)=TRUE),0,(G361-G360)*unitsOfExo+J360)</f>
        <v>2300.599999999994</v>
      </c>
      <c r="K361" s="9">
        <f t="shared" si="17"/>
        <v>-2300.599999999994</v>
      </c>
      <c r="L361">
        <f t="shared" si="18"/>
        <v>576380.6</v>
      </c>
    </row>
    <row r="362" spans="1:12" x14ac:dyDescent="0.25">
      <c r="A362" s="1"/>
      <c r="C362" s="1"/>
      <c r="D362" s="1">
        <v>41765</v>
      </c>
      <c r="E362" s="10">
        <v>221802</v>
      </c>
      <c r="F362" s="1">
        <v>41765</v>
      </c>
      <c r="G362">
        <v>-4058.94</v>
      </c>
      <c r="H362" s="1">
        <f t="shared" si="16"/>
        <v>41765</v>
      </c>
      <c r="I362">
        <f>IF(AND(MyRowHidden(ROW())=FALSE,MyRowHidden(ROW()-1)=TRUE),0,(E362-E361)*unitsOfDHp+I361)</f>
        <v>561240</v>
      </c>
      <c r="J362">
        <f>IF(AND(MyRowHidden(ROW())=FALSE,MyRowHidden(ROW()-1)=TRUE),0,(G362-G361)*unitsOfExo+J361)</f>
        <v>2300.599999999994</v>
      </c>
      <c r="K362" s="9">
        <f t="shared" si="17"/>
        <v>-2300.599999999994</v>
      </c>
      <c r="L362">
        <f t="shared" si="18"/>
        <v>563540.6</v>
      </c>
    </row>
    <row r="363" spans="1:12" x14ac:dyDescent="0.25">
      <c r="A363" s="1"/>
      <c r="C363" s="1"/>
      <c r="D363" s="1">
        <v>41766</v>
      </c>
      <c r="E363" s="10">
        <v>217812</v>
      </c>
      <c r="F363" s="1">
        <v>41766</v>
      </c>
      <c r="G363">
        <v>-4109.7</v>
      </c>
      <c r="H363" s="1">
        <f t="shared" si="16"/>
        <v>41766</v>
      </c>
      <c r="I363">
        <f>IF(AND(MyRowHidden(ROW())=FALSE,MyRowHidden(ROW()-1)=TRUE),0,(E363-E362)*unitsOfDHp+I362)</f>
        <v>521340</v>
      </c>
      <c r="J363">
        <f>IF(AND(MyRowHidden(ROW())=FALSE,MyRowHidden(ROW()-1)=TRUE),0,(G363-G362)*unitsOfExo+J362)</f>
        <v>1792.9999999999964</v>
      </c>
      <c r="K363" s="9">
        <f t="shared" si="17"/>
        <v>-1792.9999999999964</v>
      </c>
      <c r="L363">
        <f t="shared" si="18"/>
        <v>523133</v>
      </c>
    </row>
    <row r="364" spans="1:12" x14ac:dyDescent="0.25">
      <c r="A364" s="1"/>
      <c r="C364" s="1"/>
      <c r="D364" s="1">
        <v>41767</v>
      </c>
      <c r="E364" s="10">
        <v>220932</v>
      </c>
      <c r="F364" s="1">
        <v>41767</v>
      </c>
      <c r="G364">
        <v>-4155.29</v>
      </c>
      <c r="H364" s="1">
        <f t="shared" si="16"/>
        <v>41767</v>
      </c>
      <c r="I364">
        <f>IF(AND(MyRowHidden(ROW())=FALSE,MyRowHidden(ROW()-1)=TRUE),0,(E364-E363)*unitsOfDHp+I363)</f>
        <v>552540</v>
      </c>
      <c r="J364">
        <f>IF(AND(MyRowHidden(ROW())=FALSE,MyRowHidden(ROW()-1)=TRUE),0,(G364-G363)*unitsOfExo+J363)</f>
        <v>1337.0999999999949</v>
      </c>
      <c r="K364" s="9">
        <f t="shared" si="17"/>
        <v>-1337.0999999999949</v>
      </c>
      <c r="L364">
        <f t="shared" si="18"/>
        <v>553877.1</v>
      </c>
    </row>
    <row r="365" spans="1:12" x14ac:dyDescent="0.25">
      <c r="A365" s="1"/>
      <c r="C365" s="1"/>
      <c r="D365" s="1">
        <v>41768</v>
      </c>
      <c r="E365" s="10">
        <v>221862</v>
      </c>
      <c r="F365" s="1">
        <v>41768</v>
      </c>
      <c r="G365">
        <v>-4026.98</v>
      </c>
      <c r="H365" s="1">
        <f t="shared" si="16"/>
        <v>41768</v>
      </c>
      <c r="I365">
        <f>IF(AND(MyRowHidden(ROW())=FALSE,MyRowHidden(ROW()-1)=TRUE),0,(E365-E364)*unitsOfDHp+I364)</f>
        <v>561840</v>
      </c>
      <c r="J365">
        <f>IF(AND(MyRowHidden(ROW())=FALSE,MyRowHidden(ROW()-1)=TRUE),0,(G365-G364)*unitsOfExo+J364)</f>
        <v>2620.1999999999944</v>
      </c>
      <c r="K365" s="9">
        <f t="shared" si="17"/>
        <v>-2620.1999999999944</v>
      </c>
      <c r="L365">
        <f t="shared" si="18"/>
        <v>564460.19999999995</v>
      </c>
    </row>
    <row r="366" spans="1:12" x14ac:dyDescent="0.25">
      <c r="A366" s="1"/>
      <c r="C366" s="1"/>
      <c r="D366" s="1">
        <v>41771</v>
      </c>
      <c r="E366" s="10">
        <v>221080</v>
      </c>
      <c r="F366" s="1">
        <v>41771</v>
      </c>
      <c r="G366">
        <v>-4026.98</v>
      </c>
      <c r="H366" s="1">
        <f t="shared" si="16"/>
        <v>41771</v>
      </c>
      <c r="I366">
        <f>IF(AND(MyRowHidden(ROW())=FALSE,MyRowHidden(ROW()-1)=TRUE),0,(E366-E365)*unitsOfDHp+I365)</f>
        <v>554020</v>
      </c>
      <c r="J366">
        <f>IF(AND(MyRowHidden(ROW())=FALSE,MyRowHidden(ROW()-1)=TRUE),0,(G366-G365)*unitsOfExo+J365)</f>
        <v>2620.1999999999944</v>
      </c>
      <c r="K366" s="9">
        <f t="shared" si="17"/>
        <v>-2620.1999999999944</v>
      </c>
      <c r="L366">
        <f t="shared" si="18"/>
        <v>556640.19999999995</v>
      </c>
    </row>
    <row r="367" spans="1:12" x14ac:dyDescent="0.25">
      <c r="A367" s="1"/>
      <c r="C367" s="1"/>
      <c r="D367" s="1">
        <v>41772</v>
      </c>
      <c r="E367" s="10">
        <v>220698</v>
      </c>
      <c r="F367" s="1">
        <v>41772</v>
      </c>
      <c r="G367">
        <v>-4026.98</v>
      </c>
      <c r="H367" s="1">
        <f t="shared" si="16"/>
        <v>41772</v>
      </c>
      <c r="I367">
        <f>IF(AND(MyRowHidden(ROW())=FALSE,MyRowHidden(ROW()-1)=TRUE),0,(E367-E366)*unitsOfDHp+I366)</f>
        <v>550200</v>
      </c>
      <c r="J367">
        <f>IF(AND(MyRowHidden(ROW())=FALSE,MyRowHidden(ROW()-1)=TRUE),0,(G367-G366)*unitsOfExo+J366)</f>
        <v>2620.1999999999944</v>
      </c>
      <c r="K367" s="9">
        <f t="shared" si="17"/>
        <v>-2620.1999999999944</v>
      </c>
      <c r="L367">
        <f t="shared" si="18"/>
        <v>552820.19999999995</v>
      </c>
    </row>
    <row r="368" spans="1:12" x14ac:dyDescent="0.25">
      <c r="A368" s="1"/>
      <c r="C368" s="1"/>
      <c r="D368" s="1">
        <v>41773</v>
      </c>
      <c r="E368" s="10">
        <v>221862</v>
      </c>
      <c r="F368" s="1">
        <v>41773</v>
      </c>
      <c r="G368">
        <v>-4200.41</v>
      </c>
      <c r="H368" s="1">
        <f t="shared" si="16"/>
        <v>41773</v>
      </c>
      <c r="I368">
        <f>IF(AND(MyRowHidden(ROW())=FALSE,MyRowHidden(ROW()-1)=TRUE),0,(E368-E367)*unitsOfDHp+I367)</f>
        <v>561840</v>
      </c>
      <c r="J368">
        <f>IF(AND(MyRowHidden(ROW())=FALSE,MyRowHidden(ROW()-1)=TRUE),0,(G368-G367)*unitsOfExo+J367)</f>
        <v>885.899999999996</v>
      </c>
      <c r="K368" s="9">
        <f t="shared" si="17"/>
        <v>-885.899999999996</v>
      </c>
      <c r="L368">
        <f t="shared" si="18"/>
        <v>562725.9</v>
      </c>
    </row>
    <row r="369" spans="1:12" x14ac:dyDescent="0.25">
      <c r="A369" s="1"/>
      <c r="C369" s="1"/>
      <c r="D369" s="1">
        <v>41774</v>
      </c>
      <c r="E369" s="10">
        <v>221792</v>
      </c>
      <c r="F369" s="1">
        <v>41774</v>
      </c>
      <c r="G369">
        <v>-4200.41</v>
      </c>
      <c r="H369" s="1">
        <f t="shared" si="16"/>
        <v>41774</v>
      </c>
      <c r="I369">
        <f>IF(AND(MyRowHidden(ROW())=FALSE,MyRowHidden(ROW()-1)=TRUE),0,(E369-E368)*unitsOfDHp+I368)</f>
        <v>561140</v>
      </c>
      <c r="J369">
        <f>IF(AND(MyRowHidden(ROW())=FALSE,MyRowHidden(ROW()-1)=TRUE),0,(G369-G368)*unitsOfExo+J368)</f>
        <v>885.899999999996</v>
      </c>
      <c r="K369" s="9">
        <f t="shared" si="17"/>
        <v>-885.899999999996</v>
      </c>
      <c r="L369">
        <f t="shared" si="18"/>
        <v>562025.9</v>
      </c>
    </row>
    <row r="370" spans="1:12" x14ac:dyDescent="0.25">
      <c r="A370" s="1"/>
      <c r="C370" s="1"/>
      <c r="D370" s="1">
        <v>41775</v>
      </c>
      <c r="E370" s="10">
        <v>222112</v>
      </c>
      <c r="F370" s="1">
        <v>41775</v>
      </c>
      <c r="G370">
        <v>-4203.2299999999996</v>
      </c>
      <c r="H370" s="1">
        <f t="shared" si="16"/>
        <v>41775</v>
      </c>
      <c r="I370">
        <f>IF(AND(MyRowHidden(ROW())=FALSE,MyRowHidden(ROW()-1)=TRUE),0,(E370-E369)*unitsOfDHp+I369)</f>
        <v>564340</v>
      </c>
      <c r="J370">
        <f>IF(AND(MyRowHidden(ROW())=FALSE,MyRowHidden(ROW()-1)=TRUE),0,(G370-G369)*unitsOfExo+J369)</f>
        <v>857.69999999999891</v>
      </c>
      <c r="K370" s="9">
        <f t="shared" si="17"/>
        <v>-857.69999999999891</v>
      </c>
      <c r="L370">
        <f t="shared" si="18"/>
        <v>565197.69999999995</v>
      </c>
    </row>
    <row r="371" spans="1:12" x14ac:dyDescent="0.25">
      <c r="A371" s="1"/>
      <c r="C371" s="1"/>
      <c r="D371" s="1">
        <v>41778</v>
      </c>
      <c r="E371" s="10">
        <v>222244</v>
      </c>
      <c r="F371" s="1">
        <v>41778</v>
      </c>
      <c r="G371">
        <v>-4256.8100000000004</v>
      </c>
      <c r="H371" s="1">
        <f t="shared" si="16"/>
        <v>41778</v>
      </c>
      <c r="I371">
        <f>IF(AND(MyRowHidden(ROW())=FALSE,MyRowHidden(ROW()-1)=TRUE),0,(E371-E370)*unitsOfDHp+I370)</f>
        <v>565660</v>
      </c>
      <c r="J371">
        <f>IF(AND(MyRowHidden(ROW())=FALSE,MyRowHidden(ROW()-1)=TRUE),0,(G371-G370)*unitsOfExo+J370)</f>
        <v>321.89999999999054</v>
      </c>
      <c r="K371" s="9">
        <f t="shared" si="17"/>
        <v>-321.89999999999054</v>
      </c>
      <c r="L371">
        <f t="shared" si="18"/>
        <v>565981.9</v>
      </c>
    </row>
    <row r="372" spans="1:12" x14ac:dyDescent="0.25">
      <c r="A372" s="1"/>
      <c r="C372" s="1"/>
      <c r="D372" s="1">
        <v>41779</v>
      </c>
      <c r="E372" s="10">
        <v>222228</v>
      </c>
      <c r="F372" s="1">
        <v>41779</v>
      </c>
      <c r="G372">
        <v>-4256.8100000000004</v>
      </c>
      <c r="H372" s="1">
        <f t="shared" si="16"/>
        <v>41779</v>
      </c>
      <c r="I372">
        <f>IF(AND(MyRowHidden(ROW())=FALSE,MyRowHidden(ROW()-1)=TRUE),0,(E372-E371)*unitsOfDHp+I371)</f>
        <v>565500</v>
      </c>
      <c r="J372">
        <f>IF(AND(MyRowHidden(ROW())=FALSE,MyRowHidden(ROW()-1)=TRUE),0,(G372-G371)*unitsOfExo+J371)</f>
        <v>321.89999999999054</v>
      </c>
      <c r="K372" s="9">
        <f t="shared" si="17"/>
        <v>-321.89999999999054</v>
      </c>
      <c r="L372">
        <f t="shared" si="18"/>
        <v>565821.9</v>
      </c>
    </row>
    <row r="373" spans="1:12" x14ac:dyDescent="0.25">
      <c r="A373" s="1"/>
      <c r="C373" s="1"/>
      <c r="D373" s="1">
        <v>41780</v>
      </c>
      <c r="E373" s="10">
        <v>221592</v>
      </c>
      <c r="F373" s="1">
        <v>41780</v>
      </c>
      <c r="G373">
        <v>-4256.8100000000004</v>
      </c>
      <c r="H373" s="1">
        <f t="shared" si="16"/>
        <v>41780</v>
      </c>
      <c r="I373">
        <f>IF(AND(MyRowHidden(ROW())=FALSE,MyRowHidden(ROW()-1)=TRUE),0,(E373-E372)*unitsOfDHp+I372)</f>
        <v>559140</v>
      </c>
      <c r="J373">
        <f>IF(AND(MyRowHidden(ROW())=FALSE,MyRowHidden(ROW()-1)=TRUE),0,(G373-G372)*unitsOfExo+J372)</f>
        <v>321.89999999999054</v>
      </c>
      <c r="K373" s="9">
        <f t="shared" si="17"/>
        <v>-321.89999999999054</v>
      </c>
      <c r="L373">
        <f t="shared" si="18"/>
        <v>559461.9</v>
      </c>
    </row>
    <row r="374" spans="1:12" x14ac:dyDescent="0.25">
      <c r="A374" s="1"/>
      <c r="C374" s="1"/>
      <c r="D374" s="1">
        <v>41781</v>
      </c>
      <c r="E374" s="10">
        <v>221460</v>
      </c>
      <c r="F374" s="1">
        <v>41781</v>
      </c>
      <c r="G374">
        <v>-4363.5</v>
      </c>
      <c r="H374" s="1">
        <f t="shared" si="16"/>
        <v>41781</v>
      </c>
      <c r="I374">
        <f>IF(AND(MyRowHidden(ROW())=FALSE,MyRowHidden(ROW()-1)=TRUE),0,(E374-E373)*unitsOfDHp+I373)</f>
        <v>557820</v>
      </c>
      <c r="J374">
        <f>IF(AND(MyRowHidden(ROW())=FALSE,MyRowHidden(ROW()-1)=TRUE),0,(G374-G373)*unitsOfExo+J373)</f>
        <v>-745.00000000000546</v>
      </c>
      <c r="K374" s="9">
        <f t="shared" si="17"/>
        <v>745.00000000000546</v>
      </c>
      <c r="L374">
        <f t="shared" si="18"/>
        <v>557075</v>
      </c>
    </row>
    <row r="375" spans="1:12" x14ac:dyDescent="0.25">
      <c r="A375" s="1"/>
      <c r="C375" s="1"/>
      <c r="D375" s="1">
        <v>41782</v>
      </c>
      <c r="E375" s="10">
        <v>222680</v>
      </c>
      <c r="F375" s="1">
        <v>41782</v>
      </c>
      <c r="G375">
        <v>-4363.5</v>
      </c>
      <c r="H375" s="1">
        <f t="shared" si="16"/>
        <v>41782</v>
      </c>
      <c r="I375">
        <f>IF(AND(MyRowHidden(ROW())=FALSE,MyRowHidden(ROW()-1)=TRUE),0,(E375-E374)*unitsOfDHp+I374)</f>
        <v>570020</v>
      </c>
      <c r="J375">
        <f>IF(AND(MyRowHidden(ROW())=FALSE,MyRowHidden(ROW()-1)=TRUE),0,(G375-G374)*unitsOfExo+J374)</f>
        <v>-745.00000000000546</v>
      </c>
      <c r="K375" s="9">
        <f t="shared" si="17"/>
        <v>745.00000000000546</v>
      </c>
      <c r="L375">
        <f t="shared" si="18"/>
        <v>569275</v>
      </c>
    </row>
    <row r="376" spans="1:12" x14ac:dyDescent="0.25">
      <c r="A376" s="1"/>
      <c r="C376" s="1"/>
      <c r="D376" s="1">
        <v>41785</v>
      </c>
      <c r="E376" s="10">
        <v>222550</v>
      </c>
      <c r="F376" s="1">
        <v>41785</v>
      </c>
      <c r="G376">
        <v>-4363.5</v>
      </c>
      <c r="H376" s="1">
        <f t="shared" si="16"/>
        <v>41785</v>
      </c>
      <c r="I376">
        <f>IF(AND(MyRowHidden(ROW())=FALSE,MyRowHidden(ROW()-1)=TRUE),0,(E376-E375)*unitsOfDHp+I375)</f>
        <v>568720</v>
      </c>
      <c r="J376">
        <f>IF(AND(MyRowHidden(ROW())=FALSE,MyRowHidden(ROW()-1)=TRUE),0,(G376-G375)*unitsOfExo+J375)</f>
        <v>-745.00000000000546</v>
      </c>
      <c r="K376" s="9">
        <f t="shared" si="17"/>
        <v>745.00000000000546</v>
      </c>
      <c r="L376">
        <f t="shared" si="18"/>
        <v>567975</v>
      </c>
    </row>
    <row r="377" spans="1:12" x14ac:dyDescent="0.25">
      <c r="A377" s="1"/>
      <c r="C377" s="1"/>
      <c r="D377" s="1">
        <v>41786</v>
      </c>
      <c r="E377" s="10">
        <v>222610</v>
      </c>
      <c r="F377" s="1">
        <v>41786</v>
      </c>
      <c r="G377">
        <v>-4363.5</v>
      </c>
      <c r="H377" s="1">
        <f t="shared" si="16"/>
        <v>41786</v>
      </c>
      <c r="I377">
        <f>IF(AND(MyRowHidden(ROW())=FALSE,MyRowHidden(ROW()-1)=TRUE),0,(E377-E376)*unitsOfDHp+I376)</f>
        <v>569320</v>
      </c>
      <c r="J377">
        <f>IF(AND(MyRowHidden(ROW())=FALSE,MyRowHidden(ROW()-1)=TRUE),0,(G377-G376)*unitsOfExo+J376)</f>
        <v>-745.00000000000546</v>
      </c>
      <c r="K377" s="9">
        <f t="shared" si="17"/>
        <v>745.00000000000546</v>
      </c>
      <c r="L377">
        <f t="shared" si="18"/>
        <v>568575</v>
      </c>
    </row>
    <row r="378" spans="1:12" x14ac:dyDescent="0.25">
      <c r="A378" s="1"/>
      <c r="C378" s="1"/>
      <c r="D378" s="1">
        <v>41787</v>
      </c>
      <c r="E378" s="10">
        <v>221580</v>
      </c>
      <c r="F378" s="1">
        <v>41787</v>
      </c>
      <c r="G378">
        <v>-4363.5</v>
      </c>
      <c r="H378" s="1">
        <f t="shared" si="16"/>
        <v>41787</v>
      </c>
      <c r="I378">
        <f>IF(AND(MyRowHidden(ROW())=FALSE,MyRowHidden(ROW()-1)=TRUE),0,(E378-E377)*unitsOfDHp+I377)</f>
        <v>559020</v>
      </c>
      <c r="J378">
        <f>IF(AND(MyRowHidden(ROW())=FALSE,MyRowHidden(ROW()-1)=TRUE),0,(G378-G377)*unitsOfExo+J377)</f>
        <v>-745.00000000000546</v>
      </c>
      <c r="K378" s="9">
        <f t="shared" si="17"/>
        <v>745.00000000000546</v>
      </c>
      <c r="L378">
        <f t="shared" si="18"/>
        <v>558275</v>
      </c>
    </row>
    <row r="379" spans="1:12" x14ac:dyDescent="0.25">
      <c r="A379" s="1"/>
      <c r="C379" s="1"/>
      <c r="D379" s="1">
        <v>41788</v>
      </c>
      <c r="E379" s="10">
        <v>222650</v>
      </c>
      <c r="F379" s="1">
        <v>41788</v>
      </c>
      <c r="G379">
        <v>-4386.0600000000004</v>
      </c>
      <c r="H379" s="1">
        <f t="shared" si="16"/>
        <v>41788</v>
      </c>
      <c r="I379">
        <f>IF(AND(MyRowHidden(ROW())=FALSE,MyRowHidden(ROW()-1)=TRUE),0,(E379-E378)*unitsOfDHp+I378)</f>
        <v>569720</v>
      </c>
      <c r="J379">
        <f>IF(AND(MyRowHidden(ROW())=FALSE,MyRowHidden(ROW()-1)=TRUE),0,(G379-G378)*unitsOfExo+J378)</f>
        <v>-970.60000000000946</v>
      </c>
      <c r="K379" s="9">
        <f t="shared" si="17"/>
        <v>970.60000000000946</v>
      </c>
      <c r="L379">
        <f t="shared" si="18"/>
        <v>568749.4</v>
      </c>
    </row>
    <row r="380" spans="1:12" x14ac:dyDescent="0.25">
      <c r="A380" s="1"/>
      <c r="C380" s="1"/>
      <c r="D380" s="1">
        <v>41789</v>
      </c>
      <c r="E380" s="10">
        <v>221164</v>
      </c>
      <c r="F380" s="1">
        <v>41789</v>
      </c>
      <c r="G380">
        <v>-4386.0600000000004</v>
      </c>
      <c r="H380" s="1">
        <f t="shared" si="16"/>
        <v>41789</v>
      </c>
      <c r="I380">
        <f>IF(AND(MyRowHidden(ROW())=FALSE,MyRowHidden(ROW()-1)=TRUE),0,(E380-E379)*unitsOfDHp+I379)</f>
        <v>554860</v>
      </c>
      <c r="J380">
        <f>IF(AND(MyRowHidden(ROW())=FALSE,MyRowHidden(ROW()-1)=TRUE),0,(G380-G379)*unitsOfExo+J379)</f>
        <v>-970.60000000000946</v>
      </c>
      <c r="K380" s="9">
        <f t="shared" si="17"/>
        <v>970.60000000000946</v>
      </c>
      <c r="L380">
        <f t="shared" si="18"/>
        <v>553889.4</v>
      </c>
    </row>
    <row r="381" spans="1:12" x14ac:dyDescent="0.25">
      <c r="A381" s="1"/>
      <c r="C381" s="1"/>
      <c r="D381" s="1">
        <v>41792</v>
      </c>
      <c r="E381" s="10">
        <v>221242</v>
      </c>
      <c r="F381" s="1">
        <v>41792</v>
      </c>
      <c r="G381">
        <v>-5080.5</v>
      </c>
      <c r="H381" s="1">
        <f t="shared" si="16"/>
        <v>41792</v>
      </c>
      <c r="I381">
        <f>IF(AND(MyRowHidden(ROW())=FALSE,MyRowHidden(ROW()-1)=TRUE),0,(E381-E380)*unitsOfDHp+I380)</f>
        <v>555640</v>
      </c>
      <c r="J381">
        <f>IF(AND(MyRowHidden(ROW())=FALSE,MyRowHidden(ROW()-1)=TRUE),0,(G381-G380)*unitsOfExo+J380)</f>
        <v>-7915.0000000000055</v>
      </c>
      <c r="K381" s="9">
        <f t="shared" si="17"/>
        <v>7915.0000000000055</v>
      </c>
      <c r="L381">
        <f t="shared" si="18"/>
        <v>547725</v>
      </c>
    </row>
    <row r="382" spans="1:12" x14ac:dyDescent="0.25">
      <c r="A382" s="1"/>
      <c r="C382" s="1"/>
      <c r="D382" s="1">
        <v>41793</v>
      </c>
      <c r="E382" s="10">
        <v>221682</v>
      </c>
      <c r="F382" s="1">
        <v>41793</v>
      </c>
      <c r="G382">
        <v>-5248.29</v>
      </c>
      <c r="H382" s="1">
        <f t="shared" si="16"/>
        <v>41793</v>
      </c>
      <c r="I382">
        <f>IF(AND(MyRowHidden(ROW())=FALSE,MyRowHidden(ROW()-1)=TRUE),0,(E382-E381)*unitsOfDHp+I381)</f>
        <v>560040</v>
      </c>
      <c r="J382">
        <f>IF(AND(MyRowHidden(ROW())=FALSE,MyRowHidden(ROW()-1)=TRUE),0,(G382-G381)*unitsOfExo+J381)</f>
        <v>-9592.9000000000051</v>
      </c>
      <c r="K382" s="9">
        <f t="shared" si="17"/>
        <v>9592.9000000000051</v>
      </c>
      <c r="L382">
        <f t="shared" si="18"/>
        <v>550447.1</v>
      </c>
    </row>
    <row r="383" spans="1:12" x14ac:dyDescent="0.25">
      <c r="A383" s="1"/>
      <c r="C383" s="1"/>
      <c r="D383" s="1">
        <v>41794</v>
      </c>
      <c r="E383" s="10">
        <v>221802</v>
      </c>
      <c r="F383" s="1">
        <v>41794</v>
      </c>
      <c r="G383">
        <v>-5248.29</v>
      </c>
      <c r="H383" s="1">
        <f t="shared" si="16"/>
        <v>41794</v>
      </c>
      <c r="I383">
        <f>IF(AND(MyRowHidden(ROW())=FALSE,MyRowHidden(ROW()-1)=TRUE),0,(E383-E382)*unitsOfDHp+I382)</f>
        <v>561240</v>
      </c>
      <c r="J383">
        <f>IF(AND(MyRowHidden(ROW())=FALSE,MyRowHidden(ROW()-1)=TRUE),0,(G383-G382)*unitsOfExo+J382)</f>
        <v>-9592.9000000000051</v>
      </c>
      <c r="K383" s="9">
        <f t="shared" si="17"/>
        <v>9592.9000000000051</v>
      </c>
      <c r="L383">
        <f t="shared" si="18"/>
        <v>551647.1</v>
      </c>
    </row>
    <row r="384" spans="1:12" x14ac:dyDescent="0.25">
      <c r="A384" s="1"/>
      <c r="C384" s="1"/>
      <c r="D384" s="1">
        <v>41795</v>
      </c>
      <c r="E384" s="10">
        <v>221692</v>
      </c>
      <c r="F384" s="1">
        <v>41795</v>
      </c>
      <c r="G384">
        <v>-5248.29</v>
      </c>
      <c r="H384" s="1">
        <f t="shared" si="16"/>
        <v>41795</v>
      </c>
      <c r="I384">
        <f>IF(AND(MyRowHidden(ROW())=FALSE,MyRowHidden(ROW()-1)=TRUE),0,(E384-E383)*unitsOfDHp+I383)</f>
        <v>560140</v>
      </c>
      <c r="J384">
        <f>IF(AND(MyRowHidden(ROW())=FALSE,MyRowHidden(ROW()-1)=TRUE),0,(G384-G383)*unitsOfExo+J383)</f>
        <v>-9592.9000000000051</v>
      </c>
      <c r="K384" s="9">
        <f t="shared" si="17"/>
        <v>9592.9000000000051</v>
      </c>
      <c r="L384">
        <f t="shared" si="18"/>
        <v>550547.1</v>
      </c>
    </row>
    <row r="385" spans="1:12" x14ac:dyDescent="0.25">
      <c r="A385" s="1"/>
      <c r="C385" s="1"/>
      <c r="D385" s="1">
        <v>41796</v>
      </c>
      <c r="E385" s="10">
        <v>222092</v>
      </c>
      <c r="F385" s="1">
        <v>41796</v>
      </c>
      <c r="G385">
        <v>-5248.29</v>
      </c>
      <c r="H385" s="1">
        <f t="shared" si="16"/>
        <v>41796</v>
      </c>
      <c r="I385">
        <f>IF(AND(MyRowHidden(ROW())=FALSE,MyRowHidden(ROW()-1)=TRUE),0,(E385-E384)*unitsOfDHp+I384)</f>
        <v>564140</v>
      </c>
      <c r="J385">
        <f>IF(AND(MyRowHidden(ROW())=FALSE,MyRowHidden(ROW()-1)=TRUE),0,(G385-G384)*unitsOfExo+J384)</f>
        <v>-9592.9000000000051</v>
      </c>
      <c r="K385" s="9">
        <f t="shared" si="17"/>
        <v>9592.9000000000051</v>
      </c>
      <c r="L385">
        <f t="shared" si="18"/>
        <v>554547.1</v>
      </c>
    </row>
    <row r="386" spans="1:12" x14ac:dyDescent="0.25">
      <c r="A386" s="1"/>
      <c r="C386" s="1"/>
      <c r="D386" s="1">
        <v>41799</v>
      </c>
      <c r="E386" s="10">
        <v>221978</v>
      </c>
      <c r="F386" s="1">
        <v>41799</v>
      </c>
      <c r="G386">
        <v>-5382.71</v>
      </c>
      <c r="H386" s="1">
        <f t="shared" si="16"/>
        <v>41799</v>
      </c>
      <c r="I386">
        <f>IF(AND(MyRowHidden(ROW())=FALSE,MyRowHidden(ROW()-1)=TRUE),0,(E386-E385)*unitsOfDHp+I385)</f>
        <v>563000</v>
      </c>
      <c r="J386">
        <f>IF(AND(MyRowHidden(ROW())=FALSE,MyRowHidden(ROW()-1)=TRUE),0,(G386-G385)*unitsOfExo+J385)</f>
        <v>-10937.100000000006</v>
      </c>
      <c r="K386" s="9">
        <f t="shared" si="17"/>
        <v>10937.100000000006</v>
      </c>
      <c r="L386">
        <f t="shared" si="18"/>
        <v>552062.9</v>
      </c>
    </row>
    <row r="387" spans="1:12" x14ac:dyDescent="0.25">
      <c r="A387" s="1"/>
      <c r="C387" s="1"/>
      <c r="D387" s="1">
        <v>41800</v>
      </c>
      <c r="E387" s="10">
        <v>222350</v>
      </c>
      <c r="F387" s="1">
        <v>41800</v>
      </c>
      <c r="G387">
        <v>-5382.71</v>
      </c>
      <c r="H387" s="1">
        <f t="shared" si="16"/>
        <v>41800</v>
      </c>
      <c r="I387">
        <f>IF(AND(MyRowHidden(ROW())=FALSE,MyRowHidden(ROW()-1)=TRUE),0,(E387-E386)*unitsOfDHp+I386)</f>
        <v>566720</v>
      </c>
      <c r="J387">
        <f>IF(AND(MyRowHidden(ROW())=FALSE,MyRowHidden(ROW()-1)=TRUE),0,(G387-G386)*unitsOfExo+J386)</f>
        <v>-10937.100000000006</v>
      </c>
      <c r="K387" s="9">
        <f t="shared" si="17"/>
        <v>10937.100000000006</v>
      </c>
      <c r="L387">
        <f t="shared" si="18"/>
        <v>555782.9</v>
      </c>
    </row>
    <row r="388" spans="1:12" x14ac:dyDescent="0.25">
      <c r="A388" s="1"/>
      <c r="C388" s="1"/>
      <c r="D388" s="1">
        <v>41801</v>
      </c>
      <c r="E388" s="10">
        <v>222332</v>
      </c>
      <c r="F388" s="1">
        <v>41801</v>
      </c>
      <c r="G388">
        <v>-5578.7</v>
      </c>
      <c r="H388" s="1">
        <f t="shared" si="16"/>
        <v>41801</v>
      </c>
      <c r="I388">
        <f>IF(AND(MyRowHidden(ROW())=FALSE,MyRowHidden(ROW()-1)=TRUE),0,(E388-E387)*unitsOfDHp+I387)</f>
        <v>566540</v>
      </c>
      <c r="J388">
        <f>IF(AND(MyRowHidden(ROW())=FALSE,MyRowHidden(ROW()-1)=TRUE),0,(G388-G387)*unitsOfExo+J387)</f>
        <v>-12897.000000000004</v>
      </c>
      <c r="K388" s="9">
        <f t="shared" si="17"/>
        <v>12897.000000000004</v>
      </c>
      <c r="L388">
        <f t="shared" si="18"/>
        <v>553643</v>
      </c>
    </row>
    <row r="389" spans="1:12" x14ac:dyDescent="0.25">
      <c r="A389" s="1"/>
      <c r="C389" s="1"/>
      <c r="D389" s="1">
        <v>41802</v>
      </c>
      <c r="E389" s="10">
        <v>221564</v>
      </c>
      <c r="F389" s="1">
        <v>41802</v>
      </c>
      <c r="G389">
        <v>-5578.7</v>
      </c>
      <c r="H389" s="1">
        <f t="shared" si="16"/>
        <v>41802</v>
      </c>
      <c r="I389">
        <f>IF(AND(MyRowHidden(ROW())=FALSE,MyRowHidden(ROW()-1)=TRUE),0,(E389-E388)*unitsOfDHp+I388)</f>
        <v>558860</v>
      </c>
      <c r="J389">
        <f>IF(AND(MyRowHidden(ROW())=FALSE,MyRowHidden(ROW()-1)=TRUE),0,(G389-G388)*unitsOfExo+J388)</f>
        <v>-12897.000000000004</v>
      </c>
      <c r="K389" s="9">
        <f t="shared" si="17"/>
        <v>12897.000000000004</v>
      </c>
      <c r="L389">
        <f t="shared" si="18"/>
        <v>545963</v>
      </c>
    </row>
    <row r="390" spans="1:12" x14ac:dyDescent="0.25">
      <c r="A390" s="1"/>
      <c r="C390" s="1"/>
      <c r="D390" s="1">
        <v>41803</v>
      </c>
      <c r="E390" s="10">
        <v>221080</v>
      </c>
      <c r="F390" s="1">
        <v>41803</v>
      </c>
      <c r="G390">
        <v>-5544.86</v>
      </c>
      <c r="H390" s="1">
        <f t="shared" si="16"/>
        <v>41803</v>
      </c>
      <c r="I390">
        <f>IF(AND(MyRowHidden(ROW())=FALSE,MyRowHidden(ROW()-1)=TRUE),0,(E390-E389)*unitsOfDHp+I389)</f>
        <v>554020</v>
      </c>
      <c r="J390">
        <f>IF(AND(MyRowHidden(ROW())=FALSE,MyRowHidden(ROW()-1)=TRUE),0,(G390-G389)*unitsOfExo+J389)</f>
        <v>-12558.600000000002</v>
      </c>
      <c r="K390" s="9">
        <f t="shared" si="17"/>
        <v>12558.600000000002</v>
      </c>
      <c r="L390">
        <f t="shared" si="18"/>
        <v>541461.4</v>
      </c>
    </row>
    <row r="391" spans="1:12" x14ac:dyDescent="0.25">
      <c r="A391" s="1"/>
      <c r="C391" s="1"/>
      <c r="D391" s="1">
        <v>41806</v>
      </c>
      <c r="E391" s="10">
        <v>221500</v>
      </c>
      <c r="F391" s="1">
        <v>41806</v>
      </c>
      <c r="G391">
        <v>-5575.88</v>
      </c>
      <c r="H391" s="1">
        <f t="shared" si="16"/>
        <v>41806</v>
      </c>
      <c r="I391">
        <f>IF(AND(MyRowHidden(ROW())=FALSE,MyRowHidden(ROW()-1)=TRUE),0,(E391-E390)*unitsOfDHp+I390)</f>
        <v>558220</v>
      </c>
      <c r="J391">
        <f>IF(AND(MyRowHidden(ROW())=FALSE,MyRowHidden(ROW()-1)=TRUE),0,(G391-G390)*unitsOfExo+J390)</f>
        <v>-12868.800000000007</v>
      </c>
      <c r="K391" s="9">
        <f t="shared" si="17"/>
        <v>12868.800000000007</v>
      </c>
      <c r="L391">
        <f t="shared" si="18"/>
        <v>545351.19999999995</v>
      </c>
    </row>
    <row r="392" spans="1:12" x14ac:dyDescent="0.25">
      <c r="A392" s="1"/>
      <c r="C392" s="1"/>
      <c r="D392" s="1">
        <v>41807</v>
      </c>
      <c r="E392" s="10">
        <v>221660</v>
      </c>
      <c r="F392" s="1">
        <v>41807</v>
      </c>
      <c r="G392">
        <v>-5659.54</v>
      </c>
      <c r="H392" s="1">
        <f t="shared" si="16"/>
        <v>41807</v>
      </c>
      <c r="I392">
        <f>IF(AND(MyRowHidden(ROW())=FALSE,MyRowHidden(ROW()-1)=TRUE),0,(E392-E391)*unitsOfDHp+I391)</f>
        <v>559820</v>
      </c>
      <c r="J392">
        <f>IF(AND(MyRowHidden(ROW())=FALSE,MyRowHidden(ROW()-1)=TRUE),0,(G392-G391)*unitsOfExo+J391)</f>
        <v>-13705.400000000005</v>
      </c>
      <c r="K392" s="9">
        <f t="shared" si="17"/>
        <v>13705.400000000005</v>
      </c>
      <c r="L392">
        <f t="shared" si="18"/>
        <v>546114.6</v>
      </c>
    </row>
    <row r="393" spans="1:12" x14ac:dyDescent="0.25">
      <c r="A393" s="1"/>
      <c r="C393" s="1"/>
      <c r="D393" s="1">
        <v>41808</v>
      </c>
      <c r="E393" s="10">
        <v>221580</v>
      </c>
      <c r="F393" s="1">
        <v>41808</v>
      </c>
      <c r="G393">
        <v>-5659.54</v>
      </c>
      <c r="H393" s="1">
        <f t="shared" si="16"/>
        <v>41808</v>
      </c>
      <c r="I393">
        <f>IF(AND(MyRowHidden(ROW())=FALSE,MyRowHidden(ROW()-1)=TRUE),0,(E393-E392)*unitsOfDHp+I392)</f>
        <v>559020</v>
      </c>
      <c r="J393">
        <f>IF(AND(MyRowHidden(ROW())=FALSE,MyRowHidden(ROW()-1)=TRUE),0,(G393-G392)*unitsOfExo+J392)</f>
        <v>-13705.400000000005</v>
      </c>
      <c r="K393" s="9">
        <f t="shared" si="17"/>
        <v>13705.400000000005</v>
      </c>
      <c r="L393">
        <f t="shared" si="18"/>
        <v>545314.6</v>
      </c>
    </row>
    <row r="394" spans="1:12" x14ac:dyDescent="0.25">
      <c r="A394" s="1"/>
      <c r="C394" s="1"/>
      <c r="D394" s="1">
        <v>41809</v>
      </c>
      <c r="E394" s="10">
        <v>221638</v>
      </c>
      <c r="F394" s="1">
        <v>41809</v>
      </c>
      <c r="G394">
        <v>-5659.54</v>
      </c>
      <c r="H394" s="1">
        <f t="shared" si="16"/>
        <v>41809</v>
      </c>
      <c r="I394">
        <f>IF(AND(MyRowHidden(ROW())=FALSE,MyRowHidden(ROW()-1)=TRUE),0,(E394-E393)*unitsOfDHp+I393)</f>
        <v>559600</v>
      </c>
      <c r="J394">
        <f>IF(AND(MyRowHidden(ROW())=FALSE,MyRowHidden(ROW()-1)=TRUE),0,(G394-G393)*unitsOfExo+J393)</f>
        <v>-13705.400000000005</v>
      </c>
      <c r="K394" s="9">
        <f t="shared" si="17"/>
        <v>13705.400000000005</v>
      </c>
      <c r="L394">
        <f t="shared" si="18"/>
        <v>545894.6</v>
      </c>
    </row>
    <row r="395" spans="1:12" x14ac:dyDescent="0.25">
      <c r="A395" s="1"/>
      <c r="C395" s="1"/>
      <c r="D395" s="1">
        <v>41810</v>
      </c>
      <c r="E395" s="10">
        <v>221614</v>
      </c>
      <c r="F395" s="1">
        <v>41810</v>
      </c>
      <c r="G395">
        <v>-5659.54</v>
      </c>
      <c r="H395" s="1">
        <f t="shared" si="16"/>
        <v>41810</v>
      </c>
      <c r="I395">
        <f>IF(AND(MyRowHidden(ROW())=FALSE,MyRowHidden(ROW()-1)=TRUE),0,(E395-E394)*unitsOfDHp+I394)</f>
        <v>559360</v>
      </c>
      <c r="J395">
        <f>IF(AND(MyRowHidden(ROW())=FALSE,MyRowHidden(ROW()-1)=TRUE),0,(G395-G394)*unitsOfExo+J394)</f>
        <v>-13705.400000000005</v>
      </c>
      <c r="K395" s="9">
        <f t="shared" si="17"/>
        <v>13705.400000000005</v>
      </c>
      <c r="L395">
        <f t="shared" si="18"/>
        <v>545654.6</v>
      </c>
    </row>
    <row r="396" spans="1:12" x14ac:dyDescent="0.25">
      <c r="A396" s="1"/>
      <c r="C396" s="1"/>
      <c r="D396" s="1">
        <v>41813</v>
      </c>
      <c r="E396" s="10">
        <v>221834</v>
      </c>
      <c r="F396" s="1">
        <v>41813</v>
      </c>
      <c r="G396">
        <v>-5642.62</v>
      </c>
      <c r="H396" s="1">
        <f t="shared" si="16"/>
        <v>41813</v>
      </c>
      <c r="I396">
        <f>IF(AND(MyRowHidden(ROW())=FALSE,MyRowHidden(ROW()-1)=TRUE),0,(E396-E395)*unitsOfDHp+I395)</f>
        <v>561560</v>
      </c>
      <c r="J396">
        <f>IF(AND(MyRowHidden(ROW())=FALSE,MyRowHidden(ROW()-1)=TRUE),0,(G396-G395)*unitsOfExo+J395)</f>
        <v>-13536.200000000004</v>
      </c>
      <c r="K396" s="9">
        <f t="shared" si="17"/>
        <v>13536.200000000004</v>
      </c>
      <c r="L396">
        <f t="shared" si="18"/>
        <v>548023.80000000005</v>
      </c>
    </row>
    <row r="397" spans="1:12" x14ac:dyDescent="0.25">
      <c r="A397" s="1"/>
      <c r="C397" s="1"/>
      <c r="D397" s="1">
        <v>41814</v>
      </c>
      <c r="E397" s="10">
        <v>221874</v>
      </c>
      <c r="F397" s="1">
        <v>41814</v>
      </c>
      <c r="G397">
        <v>-5573.06</v>
      </c>
      <c r="H397" s="1">
        <f t="shared" ref="H397:H460" si="19">D397</f>
        <v>41814</v>
      </c>
      <c r="I397">
        <f>IF(AND(MyRowHidden(ROW())=FALSE,MyRowHidden(ROW()-1)=TRUE),0,(E397-E396)*unitsOfDHp+I396)</f>
        <v>561960</v>
      </c>
      <c r="J397">
        <f>IF(AND(MyRowHidden(ROW())=FALSE,MyRowHidden(ROW()-1)=TRUE),0,(G397-G396)*unitsOfExo+J396)</f>
        <v>-12840.600000000009</v>
      </c>
      <c r="K397" s="9">
        <f t="shared" ref="K397:K460" si="20">-(J397-J396)+K396</f>
        <v>12840.600000000009</v>
      </c>
      <c r="L397">
        <f t="shared" ref="L397:L460" si="21">I397+J397</f>
        <v>549119.4</v>
      </c>
    </row>
    <row r="398" spans="1:12" x14ac:dyDescent="0.25">
      <c r="A398" s="1"/>
      <c r="C398" s="1"/>
      <c r="D398" s="1">
        <v>41815</v>
      </c>
      <c r="E398" s="10">
        <v>221954</v>
      </c>
      <c r="F398" s="1">
        <v>41815</v>
      </c>
      <c r="G398">
        <v>-5517.13</v>
      </c>
      <c r="H398" s="1">
        <f t="shared" si="19"/>
        <v>41815</v>
      </c>
      <c r="I398">
        <f>IF(AND(MyRowHidden(ROW())=FALSE,MyRowHidden(ROW()-1)=TRUE),0,(E398-E397)*unitsOfDHp+I397)</f>
        <v>562760</v>
      </c>
      <c r="J398">
        <f>IF(AND(MyRowHidden(ROW())=FALSE,MyRowHidden(ROW()-1)=TRUE),0,(G398-G397)*unitsOfExo+J397)</f>
        <v>-12281.300000000007</v>
      </c>
      <c r="K398" s="9">
        <f t="shared" si="20"/>
        <v>12281.300000000007</v>
      </c>
      <c r="L398">
        <f t="shared" si="21"/>
        <v>550478.69999999995</v>
      </c>
    </row>
    <row r="399" spans="1:12" x14ac:dyDescent="0.25">
      <c r="A399" s="1"/>
      <c r="C399" s="1"/>
      <c r="D399" s="1">
        <v>41816</v>
      </c>
      <c r="E399" s="10">
        <v>221994</v>
      </c>
      <c r="F399" s="1">
        <v>41816</v>
      </c>
      <c r="G399">
        <v>-5517.13</v>
      </c>
      <c r="H399" s="1">
        <f t="shared" si="19"/>
        <v>41816</v>
      </c>
      <c r="I399">
        <f>IF(AND(MyRowHidden(ROW())=FALSE,MyRowHidden(ROW()-1)=TRUE),0,(E399-E398)*unitsOfDHp+I398)</f>
        <v>563160</v>
      </c>
      <c r="J399">
        <f>IF(AND(MyRowHidden(ROW())=FALSE,MyRowHidden(ROW()-1)=TRUE),0,(G399-G398)*unitsOfExo+J398)</f>
        <v>-12281.300000000007</v>
      </c>
      <c r="K399" s="9">
        <f t="shared" si="20"/>
        <v>12281.300000000007</v>
      </c>
      <c r="L399">
        <f t="shared" si="21"/>
        <v>550878.69999999995</v>
      </c>
    </row>
    <row r="400" spans="1:12" x14ac:dyDescent="0.25">
      <c r="A400" s="1"/>
      <c r="C400" s="1"/>
      <c r="D400" s="1">
        <v>41817</v>
      </c>
      <c r="E400" s="10">
        <v>222094</v>
      </c>
      <c r="F400" s="1">
        <v>41817</v>
      </c>
      <c r="G400">
        <v>-5511.49</v>
      </c>
      <c r="H400" s="1">
        <f t="shared" si="19"/>
        <v>41817</v>
      </c>
      <c r="I400">
        <f>IF(AND(MyRowHidden(ROW())=FALSE,MyRowHidden(ROW()-1)=TRUE),0,(E400-E399)*unitsOfDHp+I399)</f>
        <v>564160</v>
      </c>
      <c r="J400">
        <f>IF(AND(MyRowHidden(ROW())=FALSE,MyRowHidden(ROW()-1)=TRUE),0,(G400-G399)*unitsOfExo+J399)</f>
        <v>-12224.900000000003</v>
      </c>
      <c r="K400" s="9">
        <f t="shared" si="20"/>
        <v>12224.900000000003</v>
      </c>
      <c r="L400">
        <f t="shared" si="21"/>
        <v>551935.1</v>
      </c>
    </row>
    <row r="401" spans="1:12" x14ac:dyDescent="0.25">
      <c r="A401" s="1"/>
      <c r="C401" s="1"/>
      <c r="D401" s="1">
        <v>41820</v>
      </c>
      <c r="E401" s="10">
        <v>222234</v>
      </c>
      <c r="F401" s="1">
        <v>41820</v>
      </c>
      <c r="G401">
        <v>-5511.49</v>
      </c>
      <c r="H401" s="1">
        <f t="shared" si="19"/>
        <v>41820</v>
      </c>
      <c r="I401">
        <f>IF(AND(MyRowHidden(ROW())=FALSE,MyRowHidden(ROW()-1)=TRUE),0,(E401-E400)*unitsOfDHp+I400)</f>
        <v>565560</v>
      </c>
      <c r="J401">
        <f>IF(AND(MyRowHidden(ROW())=FALSE,MyRowHidden(ROW()-1)=TRUE),0,(G401-G400)*unitsOfExo+J400)</f>
        <v>-12224.900000000003</v>
      </c>
      <c r="K401" s="9">
        <f t="shared" si="20"/>
        <v>12224.900000000003</v>
      </c>
      <c r="L401">
        <f t="shared" si="21"/>
        <v>553335.1</v>
      </c>
    </row>
    <row r="402" spans="1:12" x14ac:dyDescent="0.25">
      <c r="A402" s="1"/>
      <c r="C402" s="1"/>
      <c r="D402" s="1">
        <v>41821</v>
      </c>
      <c r="E402" s="10">
        <v>221894</v>
      </c>
      <c r="F402" s="1">
        <v>41821</v>
      </c>
      <c r="G402">
        <v>-5210</v>
      </c>
      <c r="H402" s="1">
        <f t="shared" si="19"/>
        <v>41821</v>
      </c>
      <c r="I402">
        <f>IF(AND(MyRowHidden(ROW())=FALSE,MyRowHidden(ROW()-1)=TRUE),0,(E402-E401)*unitsOfDHp+I401)</f>
        <v>562160</v>
      </c>
      <c r="J402">
        <f>IF(AND(MyRowHidden(ROW())=FALSE,MyRowHidden(ROW()-1)=TRUE),0,(G402-G401)*unitsOfExo+J401)</f>
        <v>-9210.0000000000055</v>
      </c>
      <c r="K402" s="9">
        <f t="shared" si="20"/>
        <v>9210.0000000000055</v>
      </c>
      <c r="L402">
        <f t="shared" si="21"/>
        <v>552950</v>
      </c>
    </row>
    <row r="403" spans="1:12" x14ac:dyDescent="0.25">
      <c r="A403" s="1"/>
      <c r="C403" s="1"/>
      <c r="D403" s="1">
        <v>41822</v>
      </c>
      <c r="E403" s="10">
        <v>223496</v>
      </c>
      <c r="F403" s="1">
        <v>41822</v>
      </c>
      <c r="G403">
        <v>-5153.6000000000004</v>
      </c>
      <c r="H403" s="1">
        <f t="shared" si="19"/>
        <v>41822</v>
      </c>
      <c r="I403">
        <f>IF(AND(MyRowHidden(ROW())=FALSE,MyRowHidden(ROW()-1)=TRUE),0,(E403-E402)*unitsOfDHp+I402)</f>
        <v>578180</v>
      </c>
      <c r="J403">
        <f>IF(AND(MyRowHidden(ROW())=FALSE,MyRowHidden(ROW()-1)=TRUE),0,(G403-G402)*unitsOfExo+J402)</f>
        <v>-8646.0000000000091</v>
      </c>
      <c r="K403" s="9">
        <f t="shared" si="20"/>
        <v>8646.0000000000091</v>
      </c>
      <c r="L403">
        <f t="shared" si="21"/>
        <v>569534</v>
      </c>
    </row>
    <row r="404" spans="1:12" x14ac:dyDescent="0.25">
      <c r="A404" s="1"/>
      <c r="C404" s="1"/>
      <c r="D404" s="1">
        <v>41823</v>
      </c>
      <c r="E404" s="10">
        <v>225372</v>
      </c>
      <c r="F404" s="1">
        <v>41823</v>
      </c>
      <c r="G404">
        <v>-4992.8599999999997</v>
      </c>
      <c r="H404" s="1">
        <f t="shared" si="19"/>
        <v>41823</v>
      </c>
      <c r="I404">
        <f>IF(AND(MyRowHidden(ROW())=FALSE,MyRowHidden(ROW()-1)=TRUE),0,(E404-E403)*unitsOfDHp+I403)</f>
        <v>596940</v>
      </c>
      <c r="J404">
        <f>IF(AND(MyRowHidden(ROW())=FALSE,MyRowHidden(ROW()-1)=TRUE),0,(G404-G403)*unitsOfExo+J403)</f>
        <v>-7038.6000000000022</v>
      </c>
      <c r="K404" s="9">
        <f t="shared" si="20"/>
        <v>7038.6000000000022</v>
      </c>
      <c r="L404">
        <f t="shared" si="21"/>
        <v>589901.4</v>
      </c>
    </row>
    <row r="405" spans="1:12" x14ac:dyDescent="0.25">
      <c r="A405" s="1"/>
      <c r="C405" s="1"/>
      <c r="D405" s="1">
        <v>41824</v>
      </c>
      <c r="E405" s="10">
        <v>225646</v>
      </c>
      <c r="F405" s="1">
        <v>41824</v>
      </c>
      <c r="G405">
        <v>-4992.8599999999997</v>
      </c>
      <c r="H405" s="1">
        <f t="shared" si="19"/>
        <v>41824</v>
      </c>
      <c r="I405">
        <f>IF(AND(MyRowHidden(ROW())=FALSE,MyRowHidden(ROW()-1)=TRUE),0,(E405-E404)*unitsOfDHp+I404)</f>
        <v>599680</v>
      </c>
      <c r="J405">
        <f>IF(AND(MyRowHidden(ROW())=FALSE,MyRowHidden(ROW()-1)=TRUE),0,(G405-G404)*unitsOfExo+J404)</f>
        <v>-7038.6000000000022</v>
      </c>
      <c r="K405" s="9">
        <f t="shared" si="20"/>
        <v>7038.6000000000022</v>
      </c>
      <c r="L405">
        <f t="shared" si="21"/>
        <v>592641.4</v>
      </c>
    </row>
    <row r="406" spans="1:12" x14ac:dyDescent="0.25">
      <c r="A406" s="1"/>
      <c r="C406" s="1"/>
      <c r="D406" s="1">
        <v>41827</v>
      </c>
      <c r="E406" s="10">
        <v>227254</v>
      </c>
      <c r="F406" s="1">
        <v>41827</v>
      </c>
      <c r="G406">
        <v>-4790.76</v>
      </c>
      <c r="H406" s="1">
        <f t="shared" si="19"/>
        <v>41827</v>
      </c>
      <c r="I406">
        <f>IF(AND(MyRowHidden(ROW())=FALSE,MyRowHidden(ROW()-1)=TRUE),0,(E406-E405)*unitsOfDHp+I405)</f>
        <v>615760</v>
      </c>
      <c r="J406">
        <f>IF(AND(MyRowHidden(ROW())=FALSE,MyRowHidden(ROW()-1)=TRUE),0,(G406-G405)*unitsOfExo+J405)</f>
        <v>-5017.6000000000076</v>
      </c>
      <c r="K406" s="9">
        <f t="shared" si="20"/>
        <v>5017.6000000000076</v>
      </c>
      <c r="L406">
        <f t="shared" si="21"/>
        <v>610742.4</v>
      </c>
    </row>
    <row r="407" spans="1:12" x14ac:dyDescent="0.25">
      <c r="A407" s="1"/>
      <c r="C407" s="1"/>
      <c r="D407" s="1">
        <v>41828</v>
      </c>
      <c r="E407" s="10">
        <v>228048</v>
      </c>
      <c r="F407" s="1">
        <v>41828</v>
      </c>
      <c r="G407">
        <v>-4790.76</v>
      </c>
      <c r="H407" s="1">
        <f t="shared" si="19"/>
        <v>41828</v>
      </c>
      <c r="I407">
        <f>IF(AND(MyRowHidden(ROW())=FALSE,MyRowHidden(ROW()-1)=TRUE),0,(E407-E406)*unitsOfDHp+I406)</f>
        <v>623700</v>
      </c>
      <c r="J407">
        <f>IF(AND(MyRowHidden(ROW())=FALSE,MyRowHidden(ROW()-1)=TRUE),0,(G407-G406)*unitsOfExo+J406)</f>
        <v>-5017.6000000000076</v>
      </c>
      <c r="K407" s="9">
        <f t="shared" si="20"/>
        <v>5017.6000000000076</v>
      </c>
      <c r="L407">
        <f t="shared" si="21"/>
        <v>618682.4</v>
      </c>
    </row>
    <row r="408" spans="1:12" x14ac:dyDescent="0.25">
      <c r="A408" s="1"/>
      <c r="C408" s="1"/>
      <c r="D408" s="1">
        <v>41829</v>
      </c>
      <c r="E408" s="10">
        <v>230084</v>
      </c>
      <c r="F408" s="1">
        <v>41829</v>
      </c>
      <c r="G408">
        <v>-4745.17</v>
      </c>
      <c r="H408" s="1">
        <f t="shared" si="19"/>
        <v>41829</v>
      </c>
      <c r="I408">
        <f>IF(AND(MyRowHidden(ROW())=FALSE,MyRowHidden(ROW()-1)=TRUE),0,(E408-E407)*unitsOfDHp+I407)</f>
        <v>644060</v>
      </c>
      <c r="J408">
        <f>IF(AND(MyRowHidden(ROW())=FALSE,MyRowHidden(ROW()-1)=TRUE),0,(G408-G407)*unitsOfExo+J407)</f>
        <v>-4561.7000000000062</v>
      </c>
      <c r="K408" s="9">
        <f t="shared" si="20"/>
        <v>4561.7000000000062</v>
      </c>
      <c r="L408">
        <f t="shared" si="21"/>
        <v>639498.30000000005</v>
      </c>
    </row>
    <row r="409" spans="1:12" x14ac:dyDescent="0.25">
      <c r="A409" s="1"/>
      <c r="C409" s="1"/>
      <c r="D409" s="1">
        <v>41830</v>
      </c>
      <c r="E409" s="10">
        <v>226924</v>
      </c>
      <c r="F409" s="1">
        <v>41830</v>
      </c>
      <c r="G409">
        <v>-4702.3999999999996</v>
      </c>
      <c r="H409" s="1">
        <f t="shared" si="19"/>
        <v>41830</v>
      </c>
      <c r="I409">
        <f>IF(AND(MyRowHidden(ROW())=FALSE,MyRowHidden(ROW()-1)=TRUE),0,(E409-E408)*unitsOfDHp+I408)</f>
        <v>612460</v>
      </c>
      <c r="J409">
        <f>IF(AND(MyRowHidden(ROW())=FALSE,MyRowHidden(ROW()-1)=TRUE),0,(G409-G408)*unitsOfExo+J408)</f>
        <v>-4134.0000000000018</v>
      </c>
      <c r="K409" s="9">
        <f t="shared" si="20"/>
        <v>4134.0000000000018</v>
      </c>
      <c r="L409">
        <f t="shared" si="21"/>
        <v>608326</v>
      </c>
    </row>
    <row r="410" spans="1:12" x14ac:dyDescent="0.25">
      <c r="A410" s="1"/>
      <c r="C410" s="1"/>
      <c r="D410" s="1">
        <v>41831</v>
      </c>
      <c r="E410" s="10">
        <v>236464</v>
      </c>
      <c r="F410" s="1">
        <v>41831</v>
      </c>
      <c r="G410">
        <v>-4702.3999999999996</v>
      </c>
      <c r="H410" s="1">
        <f t="shared" si="19"/>
        <v>41831</v>
      </c>
      <c r="I410">
        <f>IF(AND(MyRowHidden(ROW())=FALSE,MyRowHidden(ROW()-1)=TRUE),0,(E410-E409)*unitsOfDHp+I409)</f>
        <v>707860</v>
      </c>
      <c r="J410">
        <f>IF(AND(MyRowHidden(ROW())=FALSE,MyRowHidden(ROW()-1)=TRUE),0,(G410-G409)*unitsOfExo+J409)</f>
        <v>-4134.0000000000018</v>
      </c>
      <c r="K410" s="9">
        <f t="shared" si="20"/>
        <v>4134.0000000000018</v>
      </c>
      <c r="L410">
        <f t="shared" si="21"/>
        <v>703726</v>
      </c>
    </row>
    <row r="411" spans="1:12" x14ac:dyDescent="0.25">
      <c r="A411" s="1"/>
      <c r="C411" s="1"/>
      <c r="D411" s="1">
        <v>41834</v>
      </c>
      <c r="E411" s="10">
        <v>237316</v>
      </c>
      <c r="F411" s="1">
        <v>41834</v>
      </c>
      <c r="G411">
        <v>-4403.4799999999996</v>
      </c>
      <c r="H411" s="1">
        <f t="shared" si="19"/>
        <v>41834</v>
      </c>
      <c r="I411">
        <f>IF(AND(MyRowHidden(ROW())=FALSE,MyRowHidden(ROW()-1)=TRUE),0,(E411-E410)*unitsOfDHp+I410)</f>
        <v>716380</v>
      </c>
      <c r="J411">
        <f>IF(AND(MyRowHidden(ROW())=FALSE,MyRowHidden(ROW()-1)=TRUE),0,(G411-G410)*unitsOfExo+J410)</f>
        <v>-1144.8000000000011</v>
      </c>
      <c r="K411" s="9">
        <f t="shared" si="20"/>
        <v>1144.8000000000011</v>
      </c>
      <c r="L411">
        <f t="shared" si="21"/>
        <v>715235.2</v>
      </c>
    </row>
    <row r="412" spans="1:12" x14ac:dyDescent="0.25">
      <c r="A412" s="1"/>
      <c r="C412" s="1"/>
      <c r="D412" s="1">
        <v>41835</v>
      </c>
      <c r="E412" s="10">
        <v>239130</v>
      </c>
      <c r="F412" s="1">
        <v>41835</v>
      </c>
      <c r="G412">
        <v>-4333.92</v>
      </c>
      <c r="H412" s="1">
        <f t="shared" si="19"/>
        <v>41835</v>
      </c>
      <c r="I412">
        <f>IF(AND(MyRowHidden(ROW())=FALSE,MyRowHidden(ROW()-1)=TRUE),0,(E412-E411)*unitsOfDHp+I411)</f>
        <v>734520</v>
      </c>
      <c r="J412">
        <f>IF(AND(MyRowHidden(ROW())=FALSE,MyRowHidden(ROW()-1)=TRUE),0,(G412-G411)*unitsOfExo+J411)</f>
        <v>-449.20000000000618</v>
      </c>
      <c r="K412" s="9">
        <f t="shared" si="20"/>
        <v>449.20000000000618</v>
      </c>
      <c r="L412">
        <f t="shared" si="21"/>
        <v>734070.8</v>
      </c>
    </row>
    <row r="413" spans="1:12" x14ac:dyDescent="0.25">
      <c r="A413" s="1"/>
      <c r="C413" s="1"/>
      <c r="D413" s="1">
        <v>41836</v>
      </c>
      <c r="E413" s="10">
        <v>235490</v>
      </c>
      <c r="F413" s="1">
        <v>41836</v>
      </c>
      <c r="G413">
        <v>-4333.92</v>
      </c>
      <c r="H413" s="1">
        <f t="shared" si="19"/>
        <v>41836</v>
      </c>
      <c r="I413">
        <f>IF(AND(MyRowHidden(ROW())=FALSE,MyRowHidden(ROW()-1)=TRUE),0,(E413-E412)*unitsOfDHp+I412)</f>
        <v>698120</v>
      </c>
      <c r="J413">
        <f>IF(AND(MyRowHidden(ROW())=FALSE,MyRowHidden(ROW()-1)=TRUE),0,(G413-G412)*unitsOfExo+J412)</f>
        <v>-449.20000000000618</v>
      </c>
      <c r="K413" s="9">
        <f t="shared" si="20"/>
        <v>449.20000000000618</v>
      </c>
      <c r="L413">
        <f t="shared" si="21"/>
        <v>697670.8</v>
      </c>
    </row>
    <row r="414" spans="1:12" x14ac:dyDescent="0.25">
      <c r="A414" s="1"/>
      <c r="C414" s="1"/>
      <c r="D414" s="1">
        <v>41837</v>
      </c>
      <c r="E414" s="10">
        <v>230622</v>
      </c>
      <c r="F414" s="1">
        <v>41837</v>
      </c>
      <c r="G414">
        <v>-4206.08</v>
      </c>
      <c r="H414" s="1">
        <f t="shared" si="19"/>
        <v>41837</v>
      </c>
      <c r="I414">
        <f>IF(AND(MyRowHidden(ROW())=FALSE,MyRowHidden(ROW()-1)=TRUE),0,(E414-E413)*unitsOfDHp+I413)</f>
        <v>649440</v>
      </c>
      <c r="J414">
        <f>IF(AND(MyRowHidden(ROW())=FALSE,MyRowHidden(ROW()-1)=TRUE),0,(G414-G413)*unitsOfExo+J413)</f>
        <v>829.19999999999527</v>
      </c>
      <c r="K414" s="9">
        <f t="shared" si="20"/>
        <v>-829.19999999999527</v>
      </c>
      <c r="L414">
        <f t="shared" si="21"/>
        <v>650269.19999999995</v>
      </c>
    </row>
    <row r="415" spans="1:12" x14ac:dyDescent="0.25">
      <c r="A415" s="1"/>
      <c r="C415" s="1"/>
      <c r="D415" s="1">
        <v>41838</v>
      </c>
      <c r="E415" s="10">
        <v>230846</v>
      </c>
      <c r="F415" s="1">
        <v>41838</v>
      </c>
      <c r="G415">
        <v>-4000.22</v>
      </c>
      <c r="H415" s="1">
        <f t="shared" si="19"/>
        <v>41838</v>
      </c>
      <c r="I415">
        <f>IF(AND(MyRowHidden(ROW())=FALSE,MyRowHidden(ROW()-1)=TRUE),0,(E415-E414)*unitsOfDHp+I414)</f>
        <v>651680</v>
      </c>
      <c r="J415">
        <f>IF(AND(MyRowHidden(ROW())=FALSE,MyRowHidden(ROW()-1)=TRUE),0,(G415-G414)*unitsOfExo+J414)</f>
        <v>2887.7999999999965</v>
      </c>
      <c r="K415" s="9">
        <f t="shared" si="20"/>
        <v>-2887.7999999999965</v>
      </c>
      <c r="L415">
        <f t="shared" si="21"/>
        <v>654567.80000000005</v>
      </c>
    </row>
    <row r="416" spans="1:12" x14ac:dyDescent="0.25">
      <c r="A416" s="1"/>
      <c r="C416" s="1"/>
      <c r="D416" s="1">
        <v>41841</v>
      </c>
      <c r="E416" s="10">
        <v>228748</v>
      </c>
      <c r="F416" s="1">
        <v>41841</v>
      </c>
      <c r="G416">
        <v>-4000.22</v>
      </c>
      <c r="H416" s="1">
        <f t="shared" si="19"/>
        <v>41841</v>
      </c>
      <c r="I416">
        <f>IF(AND(MyRowHidden(ROW())=FALSE,MyRowHidden(ROW()-1)=TRUE),0,(E416-E415)*unitsOfDHp+I415)</f>
        <v>630700</v>
      </c>
      <c r="J416">
        <f>IF(AND(MyRowHidden(ROW())=FALSE,MyRowHidden(ROW()-1)=TRUE),0,(G416-G415)*unitsOfExo+J415)</f>
        <v>2887.7999999999965</v>
      </c>
      <c r="K416" s="9">
        <f t="shared" si="20"/>
        <v>-2887.7999999999965</v>
      </c>
      <c r="L416">
        <f t="shared" si="21"/>
        <v>633587.80000000005</v>
      </c>
    </row>
    <row r="417" spans="1:12" x14ac:dyDescent="0.25">
      <c r="A417" s="1"/>
      <c r="C417" s="1"/>
      <c r="D417" s="1">
        <v>41842</v>
      </c>
      <c r="E417" s="10">
        <v>230022</v>
      </c>
      <c r="F417" s="1">
        <v>41842</v>
      </c>
      <c r="G417">
        <v>-4000.22</v>
      </c>
      <c r="H417" s="1">
        <f t="shared" si="19"/>
        <v>41842</v>
      </c>
      <c r="I417">
        <f>IF(AND(MyRowHidden(ROW())=FALSE,MyRowHidden(ROW()-1)=TRUE),0,(E417-E416)*unitsOfDHp+I416)</f>
        <v>643440</v>
      </c>
      <c r="J417">
        <f>IF(AND(MyRowHidden(ROW())=FALSE,MyRowHidden(ROW()-1)=TRUE),0,(G417-G416)*unitsOfExo+J416)</f>
        <v>2887.7999999999965</v>
      </c>
      <c r="K417" s="9">
        <f t="shared" si="20"/>
        <v>-2887.7999999999965</v>
      </c>
      <c r="L417">
        <f t="shared" si="21"/>
        <v>646327.80000000005</v>
      </c>
    </row>
    <row r="418" spans="1:12" x14ac:dyDescent="0.25">
      <c r="A418" s="1"/>
      <c r="C418" s="1"/>
      <c r="D418" s="1">
        <v>41843</v>
      </c>
      <c r="E418" s="10">
        <v>227952</v>
      </c>
      <c r="F418" s="1">
        <v>41843</v>
      </c>
      <c r="G418">
        <v>-3778.85</v>
      </c>
      <c r="H418" s="1">
        <f t="shared" si="19"/>
        <v>41843</v>
      </c>
      <c r="I418">
        <f>IF(AND(MyRowHidden(ROW())=FALSE,MyRowHidden(ROW()-1)=TRUE),0,(E418-E417)*unitsOfDHp+I417)</f>
        <v>622740</v>
      </c>
      <c r="J418">
        <f>IF(AND(MyRowHidden(ROW())=FALSE,MyRowHidden(ROW()-1)=TRUE),0,(G418-G417)*unitsOfExo+J417)</f>
        <v>5101.4999999999955</v>
      </c>
      <c r="K418" s="9">
        <f t="shared" si="20"/>
        <v>-5101.4999999999955</v>
      </c>
      <c r="L418">
        <f t="shared" si="21"/>
        <v>627841.5</v>
      </c>
    </row>
    <row r="419" spans="1:12" x14ac:dyDescent="0.25">
      <c r="A419" s="1"/>
      <c r="C419" s="1"/>
      <c r="D419" s="1">
        <v>41844</v>
      </c>
      <c r="E419" s="10">
        <v>229830</v>
      </c>
      <c r="F419" s="1">
        <v>41844</v>
      </c>
      <c r="G419">
        <v>-4066.49</v>
      </c>
      <c r="H419" s="1">
        <f t="shared" si="19"/>
        <v>41844</v>
      </c>
      <c r="I419">
        <f>IF(AND(MyRowHidden(ROW())=FALSE,MyRowHidden(ROW()-1)=TRUE),0,(E419-E418)*unitsOfDHp+I418)</f>
        <v>641520</v>
      </c>
      <c r="J419">
        <f>IF(AND(MyRowHidden(ROW())=FALSE,MyRowHidden(ROW()-1)=TRUE),0,(G419-G418)*unitsOfExo+J418)</f>
        <v>2225.0999999999967</v>
      </c>
      <c r="K419" s="9">
        <f t="shared" si="20"/>
        <v>-2225.0999999999967</v>
      </c>
      <c r="L419">
        <f t="shared" si="21"/>
        <v>643745.1</v>
      </c>
    </row>
    <row r="420" spans="1:12" x14ac:dyDescent="0.25">
      <c r="A420" s="1"/>
      <c r="C420" s="1"/>
      <c r="D420" s="1">
        <v>41845</v>
      </c>
      <c r="E420" s="10">
        <v>230392</v>
      </c>
      <c r="F420" s="1">
        <v>41845</v>
      </c>
      <c r="G420">
        <v>-4092.81</v>
      </c>
      <c r="H420" s="1">
        <f t="shared" si="19"/>
        <v>41845</v>
      </c>
      <c r="I420">
        <f>IF(AND(MyRowHidden(ROW())=FALSE,MyRowHidden(ROW()-1)=TRUE),0,(E420-E419)*unitsOfDHp+I419)</f>
        <v>647140</v>
      </c>
      <c r="J420">
        <f>IF(AND(MyRowHidden(ROW())=FALSE,MyRowHidden(ROW()-1)=TRUE),0,(G420-G419)*unitsOfExo+J419)</f>
        <v>1961.8999999999951</v>
      </c>
      <c r="K420" s="9">
        <f t="shared" si="20"/>
        <v>-1961.8999999999951</v>
      </c>
      <c r="L420">
        <f t="shared" si="21"/>
        <v>649101.9</v>
      </c>
    </row>
    <row r="421" spans="1:12" x14ac:dyDescent="0.25">
      <c r="A421" s="1"/>
      <c r="C421" s="1"/>
      <c r="D421" s="1">
        <v>41848</v>
      </c>
      <c r="E421" s="10">
        <v>230684</v>
      </c>
      <c r="F421" s="1">
        <v>41848</v>
      </c>
      <c r="G421">
        <v>-4053.33</v>
      </c>
      <c r="H421" s="1">
        <f t="shared" si="19"/>
        <v>41848</v>
      </c>
      <c r="I421">
        <f>IF(AND(MyRowHidden(ROW())=FALSE,MyRowHidden(ROW()-1)=TRUE),0,(E421-E420)*unitsOfDHp+I420)</f>
        <v>650060</v>
      </c>
      <c r="J421">
        <f>IF(AND(MyRowHidden(ROW())=FALSE,MyRowHidden(ROW()-1)=TRUE),0,(G421-G420)*unitsOfExo+J420)</f>
        <v>2356.6999999999953</v>
      </c>
      <c r="K421" s="9">
        <f t="shared" si="20"/>
        <v>-2356.6999999999953</v>
      </c>
      <c r="L421">
        <f t="shared" si="21"/>
        <v>652416.69999999995</v>
      </c>
    </row>
    <row r="422" spans="1:12" x14ac:dyDescent="0.25">
      <c r="A422" s="1"/>
      <c r="C422" s="1"/>
      <c r="D422" s="1">
        <v>41849</v>
      </c>
      <c r="E422" s="10">
        <v>233972</v>
      </c>
      <c r="F422" s="1">
        <v>41849</v>
      </c>
      <c r="G422">
        <v>-3829.14</v>
      </c>
      <c r="H422" s="1">
        <f t="shared" si="19"/>
        <v>41849</v>
      </c>
      <c r="I422">
        <f>IF(AND(MyRowHidden(ROW())=FALSE,MyRowHidden(ROW()-1)=TRUE),0,(E422-E421)*unitsOfDHp+I421)</f>
        <v>682940</v>
      </c>
      <c r="J422">
        <f>IF(AND(MyRowHidden(ROW())=FALSE,MyRowHidden(ROW()-1)=TRUE),0,(G422-G421)*unitsOfExo+J421)</f>
        <v>4598.5999999999958</v>
      </c>
      <c r="K422" s="9">
        <f t="shared" si="20"/>
        <v>-4598.5999999999958</v>
      </c>
      <c r="L422">
        <f t="shared" si="21"/>
        <v>687538.6</v>
      </c>
    </row>
    <row r="423" spans="1:12" x14ac:dyDescent="0.25">
      <c r="A423" s="1"/>
      <c r="C423" s="1"/>
      <c r="D423" s="1">
        <v>41850</v>
      </c>
      <c r="E423" s="10">
        <v>236128</v>
      </c>
      <c r="F423" s="1">
        <v>41850</v>
      </c>
      <c r="G423">
        <v>-3802.82</v>
      </c>
      <c r="H423" s="1">
        <f t="shared" si="19"/>
        <v>41850</v>
      </c>
      <c r="I423">
        <f>IF(AND(MyRowHidden(ROW())=FALSE,MyRowHidden(ROW()-1)=TRUE),0,(E423-E422)*unitsOfDHp+I422)</f>
        <v>704500</v>
      </c>
      <c r="J423">
        <f>IF(AND(MyRowHidden(ROW())=FALSE,MyRowHidden(ROW()-1)=TRUE),0,(G423-G422)*unitsOfExo+J422)</f>
        <v>4861.7999999999929</v>
      </c>
      <c r="K423" s="9">
        <f t="shared" si="20"/>
        <v>-4861.7999999999929</v>
      </c>
      <c r="L423">
        <f t="shared" si="21"/>
        <v>709361.8</v>
      </c>
    </row>
    <row r="424" spans="1:12" x14ac:dyDescent="0.25">
      <c r="A424" s="1"/>
      <c r="C424" s="1"/>
      <c r="D424" s="1">
        <v>41851</v>
      </c>
      <c r="E424" s="10">
        <v>242136</v>
      </c>
      <c r="F424" s="1">
        <v>41851</v>
      </c>
      <c r="G424">
        <v>-3858.75</v>
      </c>
      <c r="H424" s="1">
        <f t="shared" si="19"/>
        <v>41851</v>
      </c>
      <c r="I424">
        <f>IF(AND(MyRowHidden(ROW())=FALSE,MyRowHidden(ROW()-1)=TRUE),0,(E424-E423)*unitsOfDHp+I423)</f>
        <v>764580</v>
      </c>
      <c r="J424">
        <f>IF(AND(MyRowHidden(ROW())=FALSE,MyRowHidden(ROW()-1)=TRUE),0,(G424-G423)*unitsOfExo+J423)</f>
        <v>4302.4999999999945</v>
      </c>
      <c r="K424" s="9">
        <f t="shared" si="20"/>
        <v>-4302.4999999999945</v>
      </c>
      <c r="L424">
        <f t="shared" si="21"/>
        <v>768882.5</v>
      </c>
    </row>
    <row r="425" spans="1:12" x14ac:dyDescent="0.25">
      <c r="A425" s="1"/>
      <c r="C425" s="1"/>
      <c r="D425" s="1">
        <v>41852</v>
      </c>
      <c r="E425" s="10">
        <v>245452</v>
      </c>
      <c r="F425" s="1">
        <v>41852</v>
      </c>
      <c r="G425">
        <v>-2167</v>
      </c>
      <c r="H425" s="1">
        <f t="shared" si="19"/>
        <v>41852</v>
      </c>
      <c r="I425">
        <f>IF(AND(MyRowHidden(ROW())=FALSE,MyRowHidden(ROW()-1)=TRUE),0,(E425-E424)*unitsOfDHp+I424)</f>
        <v>797740</v>
      </c>
      <c r="J425">
        <f>IF(AND(MyRowHidden(ROW())=FALSE,MyRowHidden(ROW()-1)=TRUE),0,(G425-G424)*unitsOfExo+J424)</f>
        <v>21219.999999999993</v>
      </c>
      <c r="K425" s="9">
        <f t="shared" si="20"/>
        <v>-21219.999999999993</v>
      </c>
      <c r="L425">
        <f t="shared" si="21"/>
        <v>818960</v>
      </c>
    </row>
    <row r="426" spans="1:12" x14ac:dyDescent="0.25">
      <c r="A426" s="1"/>
      <c r="C426" s="1"/>
      <c r="D426" s="1">
        <v>41855</v>
      </c>
      <c r="E426" s="10">
        <v>243722</v>
      </c>
      <c r="F426" s="1">
        <v>41855</v>
      </c>
      <c r="G426">
        <v>-2167</v>
      </c>
      <c r="H426" s="1">
        <f t="shared" si="19"/>
        <v>41855</v>
      </c>
      <c r="I426">
        <f>IF(AND(MyRowHidden(ROW())=FALSE,MyRowHidden(ROW()-1)=TRUE),0,(E426-E425)*unitsOfDHp+I425)</f>
        <v>780440</v>
      </c>
      <c r="J426">
        <f>IF(AND(MyRowHidden(ROW())=FALSE,MyRowHidden(ROW()-1)=TRUE),0,(G426-G425)*unitsOfExo+J425)</f>
        <v>21219.999999999993</v>
      </c>
      <c r="K426" s="9">
        <f t="shared" si="20"/>
        <v>-21219.999999999993</v>
      </c>
      <c r="L426">
        <f t="shared" si="21"/>
        <v>801660</v>
      </c>
    </row>
    <row r="427" spans="1:12" x14ac:dyDescent="0.25">
      <c r="A427" s="1"/>
      <c r="C427" s="1"/>
      <c r="D427" s="1">
        <v>41856</v>
      </c>
      <c r="E427" s="10">
        <v>248460</v>
      </c>
      <c r="F427" s="1">
        <v>41856</v>
      </c>
      <c r="G427">
        <v>-2801.97</v>
      </c>
      <c r="H427" s="1">
        <f t="shared" si="19"/>
        <v>41856</v>
      </c>
      <c r="I427">
        <f>IF(AND(MyRowHidden(ROW())=FALSE,MyRowHidden(ROW()-1)=TRUE),0,(E427-E426)*unitsOfDHp+I426)</f>
        <v>827820</v>
      </c>
      <c r="J427">
        <f>IF(AND(MyRowHidden(ROW())=FALSE,MyRowHidden(ROW()-1)=TRUE),0,(G427-G426)*unitsOfExo+J426)</f>
        <v>14870.299999999996</v>
      </c>
      <c r="K427" s="9">
        <f t="shared" si="20"/>
        <v>-14870.299999999996</v>
      </c>
      <c r="L427">
        <f t="shared" si="21"/>
        <v>842690.3</v>
      </c>
    </row>
    <row r="428" spans="1:12" x14ac:dyDescent="0.25">
      <c r="A428" s="1"/>
      <c r="C428" s="1"/>
      <c r="D428" s="1">
        <v>41857</v>
      </c>
      <c r="E428" s="10">
        <v>249486</v>
      </c>
      <c r="F428" s="1">
        <v>41857</v>
      </c>
      <c r="G428">
        <v>-2725.36</v>
      </c>
      <c r="H428" s="1">
        <f t="shared" si="19"/>
        <v>41857</v>
      </c>
      <c r="I428">
        <f>IF(AND(MyRowHidden(ROW())=FALSE,MyRowHidden(ROW()-1)=TRUE),0,(E428-E427)*unitsOfDHp+I427)</f>
        <v>838080</v>
      </c>
      <c r="J428">
        <f>IF(AND(MyRowHidden(ROW())=FALSE,MyRowHidden(ROW()-1)=TRUE),0,(G428-G427)*unitsOfExo+J427)</f>
        <v>15636.399999999992</v>
      </c>
      <c r="K428" s="9">
        <f t="shared" si="20"/>
        <v>-15636.399999999992</v>
      </c>
      <c r="L428">
        <f t="shared" si="21"/>
        <v>853716.4</v>
      </c>
    </row>
    <row r="429" spans="1:12" x14ac:dyDescent="0.25">
      <c r="A429" s="1"/>
      <c r="C429" s="1"/>
      <c r="D429" s="1">
        <v>41858</v>
      </c>
      <c r="E429" s="10">
        <v>248454</v>
      </c>
      <c r="F429" s="1">
        <v>41858</v>
      </c>
      <c r="G429">
        <v>-2675.07</v>
      </c>
      <c r="H429" s="1">
        <f t="shared" si="19"/>
        <v>41858</v>
      </c>
      <c r="I429">
        <f>IF(AND(MyRowHidden(ROW())=FALSE,MyRowHidden(ROW()-1)=TRUE),0,(E429-E428)*unitsOfDHp+I428)</f>
        <v>827760</v>
      </c>
      <c r="J429">
        <f>IF(AND(MyRowHidden(ROW())=FALSE,MyRowHidden(ROW()-1)=TRUE),0,(G429-G428)*unitsOfExo+J428)</f>
        <v>16139.299999999992</v>
      </c>
      <c r="K429" s="9">
        <f t="shared" si="20"/>
        <v>-16139.299999999992</v>
      </c>
      <c r="L429">
        <f t="shared" si="21"/>
        <v>843899.3</v>
      </c>
    </row>
    <row r="430" spans="1:12" x14ac:dyDescent="0.25">
      <c r="A430" s="1"/>
      <c r="C430" s="1"/>
      <c r="D430" s="1">
        <v>41859</v>
      </c>
      <c r="E430" s="10">
        <v>247670</v>
      </c>
      <c r="F430" s="1">
        <v>41859</v>
      </c>
      <c r="G430">
        <v>-2657.68</v>
      </c>
      <c r="H430" s="1">
        <f t="shared" si="19"/>
        <v>41859</v>
      </c>
      <c r="I430">
        <f>IF(AND(MyRowHidden(ROW())=FALSE,MyRowHidden(ROW()-1)=TRUE),0,(E430-E429)*unitsOfDHp+I429)</f>
        <v>819920</v>
      </c>
      <c r="J430">
        <f>IF(AND(MyRowHidden(ROW())=FALSE,MyRowHidden(ROW()-1)=TRUE),0,(G430-G429)*unitsOfExo+J429)</f>
        <v>16313.199999999995</v>
      </c>
      <c r="K430" s="9">
        <f t="shared" si="20"/>
        <v>-16313.199999999995</v>
      </c>
      <c r="L430">
        <f t="shared" si="21"/>
        <v>836233.2</v>
      </c>
    </row>
    <row r="431" spans="1:12" x14ac:dyDescent="0.25">
      <c r="A431" s="1"/>
      <c r="C431" s="1"/>
      <c r="D431" s="1">
        <v>41862</v>
      </c>
      <c r="E431" s="10">
        <v>245220</v>
      </c>
      <c r="F431" s="1">
        <v>41862</v>
      </c>
      <c r="G431">
        <v>-2644.99</v>
      </c>
      <c r="H431" s="1">
        <f t="shared" si="19"/>
        <v>41862</v>
      </c>
      <c r="I431">
        <f>IF(AND(MyRowHidden(ROW())=FALSE,MyRowHidden(ROW()-1)=TRUE),0,(E431-E430)*unitsOfDHp+I430)</f>
        <v>795420</v>
      </c>
      <c r="J431">
        <f>IF(AND(MyRowHidden(ROW())=FALSE,MyRowHidden(ROW()-1)=TRUE),0,(G431-G430)*unitsOfExo+J430)</f>
        <v>16440.099999999995</v>
      </c>
      <c r="K431" s="9">
        <f t="shared" si="20"/>
        <v>-16440.099999999995</v>
      </c>
      <c r="L431">
        <f t="shared" si="21"/>
        <v>811860.1</v>
      </c>
    </row>
    <row r="432" spans="1:12" x14ac:dyDescent="0.25">
      <c r="A432" s="1"/>
      <c r="C432" s="1"/>
      <c r="D432" s="1">
        <v>41863</v>
      </c>
      <c r="E432" s="10">
        <v>248230</v>
      </c>
      <c r="F432" s="1">
        <v>41863</v>
      </c>
      <c r="G432">
        <v>-2646.87</v>
      </c>
      <c r="H432" s="1">
        <f t="shared" si="19"/>
        <v>41863</v>
      </c>
      <c r="I432">
        <f>IF(AND(MyRowHidden(ROW())=FALSE,MyRowHidden(ROW()-1)=TRUE),0,(E432-E431)*unitsOfDHp+I431)</f>
        <v>825520</v>
      </c>
      <c r="J432">
        <f>IF(AND(MyRowHidden(ROW())=FALSE,MyRowHidden(ROW()-1)=TRUE),0,(G432-G431)*unitsOfExo+J431)</f>
        <v>16421.299999999996</v>
      </c>
      <c r="K432" s="9">
        <f t="shared" si="20"/>
        <v>-16421.299999999996</v>
      </c>
      <c r="L432">
        <f t="shared" si="21"/>
        <v>841941.3</v>
      </c>
    </row>
    <row r="433" spans="1:12" x14ac:dyDescent="0.25">
      <c r="A433" s="1"/>
      <c r="C433" s="1"/>
      <c r="D433" s="1">
        <v>41864</v>
      </c>
      <c r="E433" s="10">
        <v>248090</v>
      </c>
      <c r="F433" s="1">
        <v>41864</v>
      </c>
      <c r="G433">
        <v>-2983.86</v>
      </c>
      <c r="H433" s="1">
        <f t="shared" si="19"/>
        <v>41864</v>
      </c>
      <c r="I433">
        <f>IF(AND(MyRowHidden(ROW())=FALSE,MyRowHidden(ROW()-1)=TRUE),0,(E433-E432)*unitsOfDHp+I432)</f>
        <v>824120</v>
      </c>
      <c r="J433">
        <f>IF(AND(MyRowHidden(ROW())=FALSE,MyRowHidden(ROW()-1)=TRUE),0,(G433-G432)*unitsOfExo+J432)</f>
        <v>13051.399999999994</v>
      </c>
      <c r="K433" s="9">
        <f t="shared" si="20"/>
        <v>-13051.399999999994</v>
      </c>
      <c r="L433">
        <f t="shared" si="21"/>
        <v>837171.4</v>
      </c>
    </row>
    <row r="434" spans="1:12" x14ac:dyDescent="0.25">
      <c r="A434" s="1"/>
      <c r="C434" s="1"/>
      <c r="D434" s="1">
        <v>41865</v>
      </c>
      <c r="E434" s="10">
        <v>256698</v>
      </c>
      <c r="F434" s="1">
        <v>41865</v>
      </c>
      <c r="G434">
        <v>-3118.28</v>
      </c>
      <c r="H434" s="1">
        <f t="shared" si="19"/>
        <v>41865</v>
      </c>
      <c r="I434">
        <f>IF(AND(MyRowHidden(ROW())=FALSE,MyRowHidden(ROW()-1)=TRUE),0,(E434-E433)*unitsOfDHp+I433)</f>
        <v>910200</v>
      </c>
      <c r="J434">
        <f>IF(AND(MyRowHidden(ROW())=FALSE,MyRowHidden(ROW()-1)=TRUE),0,(G434-G433)*unitsOfExo+J433)</f>
        <v>11707.199999999993</v>
      </c>
      <c r="K434" s="9">
        <f t="shared" si="20"/>
        <v>-11707.199999999993</v>
      </c>
      <c r="L434">
        <f t="shared" si="21"/>
        <v>921907.19999999995</v>
      </c>
    </row>
    <row r="435" spans="1:12" x14ac:dyDescent="0.25">
      <c r="A435" s="1"/>
      <c r="C435" s="1"/>
      <c r="D435" s="1">
        <v>41866</v>
      </c>
      <c r="E435" s="10">
        <v>253560</v>
      </c>
      <c r="F435" s="1">
        <v>41866</v>
      </c>
      <c r="G435">
        <v>-3118.28</v>
      </c>
      <c r="H435" s="1">
        <f t="shared" si="19"/>
        <v>41866</v>
      </c>
      <c r="I435">
        <f>IF(AND(MyRowHidden(ROW())=FALSE,MyRowHidden(ROW()-1)=TRUE),0,(E435-E434)*unitsOfDHp+I434)</f>
        <v>878820</v>
      </c>
      <c r="J435">
        <f>IF(AND(MyRowHidden(ROW())=FALSE,MyRowHidden(ROW()-1)=TRUE),0,(G435-G434)*unitsOfExo+J434)</f>
        <v>11707.199999999993</v>
      </c>
      <c r="K435" s="9">
        <f t="shared" si="20"/>
        <v>-11707.199999999993</v>
      </c>
      <c r="L435">
        <f t="shared" si="21"/>
        <v>890527.2</v>
      </c>
    </row>
    <row r="436" spans="1:12" x14ac:dyDescent="0.25">
      <c r="A436" s="1"/>
      <c r="C436" s="1"/>
      <c r="D436" s="1">
        <v>41869</v>
      </c>
      <c r="E436" s="10">
        <v>255792</v>
      </c>
      <c r="F436" s="1">
        <v>41869</v>
      </c>
      <c r="G436">
        <v>-2922.29</v>
      </c>
      <c r="H436" s="1">
        <f t="shared" si="19"/>
        <v>41869</v>
      </c>
      <c r="I436">
        <f>IF(AND(MyRowHidden(ROW())=FALSE,MyRowHidden(ROW()-1)=TRUE),0,(E436-E435)*unitsOfDHp+I435)</f>
        <v>901140</v>
      </c>
      <c r="J436">
        <f>IF(AND(MyRowHidden(ROW())=FALSE,MyRowHidden(ROW()-1)=TRUE),0,(G436-G435)*unitsOfExo+J435)</f>
        <v>13667.099999999995</v>
      </c>
      <c r="K436" s="9">
        <f t="shared" si="20"/>
        <v>-13667.099999999995</v>
      </c>
      <c r="L436">
        <f t="shared" si="21"/>
        <v>914807.1</v>
      </c>
    </row>
    <row r="437" spans="1:12" x14ac:dyDescent="0.25">
      <c r="A437" s="1"/>
      <c r="C437" s="1"/>
      <c r="D437" s="1">
        <v>41870</v>
      </c>
      <c r="E437" s="10">
        <v>257452</v>
      </c>
      <c r="F437" s="1">
        <v>41870</v>
      </c>
      <c r="G437">
        <v>-2922.29</v>
      </c>
      <c r="H437" s="1">
        <f t="shared" si="19"/>
        <v>41870</v>
      </c>
      <c r="I437">
        <f>IF(AND(MyRowHidden(ROW())=FALSE,MyRowHidden(ROW()-1)=TRUE),0,(E437-E436)*unitsOfDHp+I436)</f>
        <v>917740</v>
      </c>
      <c r="J437">
        <f>IF(AND(MyRowHidden(ROW())=FALSE,MyRowHidden(ROW()-1)=TRUE),0,(G437-G436)*unitsOfExo+J436)</f>
        <v>13667.099999999995</v>
      </c>
      <c r="K437" s="9">
        <f t="shared" si="20"/>
        <v>-13667.099999999995</v>
      </c>
      <c r="L437">
        <f t="shared" si="21"/>
        <v>931407.1</v>
      </c>
    </row>
    <row r="438" spans="1:12" x14ac:dyDescent="0.25">
      <c r="A438" s="1"/>
      <c r="C438" s="1"/>
      <c r="D438" s="1">
        <v>41871</v>
      </c>
      <c r="E438" s="10">
        <v>256972</v>
      </c>
      <c r="F438" s="1">
        <v>41871</v>
      </c>
      <c r="G438">
        <v>-2919</v>
      </c>
      <c r="H438" s="1">
        <f t="shared" si="19"/>
        <v>41871</v>
      </c>
      <c r="I438">
        <f>IF(AND(MyRowHidden(ROW())=FALSE,MyRowHidden(ROW()-1)=TRUE),0,(E438-E437)*unitsOfDHp+I437)</f>
        <v>912940</v>
      </c>
      <c r="J438">
        <f>IF(AND(MyRowHidden(ROW())=FALSE,MyRowHidden(ROW()-1)=TRUE),0,(G438-G437)*unitsOfExo+J437)</f>
        <v>13699.999999999995</v>
      </c>
      <c r="K438" s="9">
        <f t="shared" si="20"/>
        <v>-13699.999999999995</v>
      </c>
      <c r="L438">
        <f t="shared" si="21"/>
        <v>926640</v>
      </c>
    </row>
    <row r="439" spans="1:12" x14ac:dyDescent="0.25">
      <c r="A439" s="1"/>
      <c r="C439" s="1"/>
      <c r="D439" s="1">
        <v>41872</v>
      </c>
      <c r="E439" s="10">
        <v>255572</v>
      </c>
      <c r="F439" s="1">
        <v>41872</v>
      </c>
      <c r="G439">
        <v>-2900.2</v>
      </c>
      <c r="H439" s="1">
        <f t="shared" si="19"/>
        <v>41872</v>
      </c>
      <c r="I439">
        <f>IF(AND(MyRowHidden(ROW())=FALSE,MyRowHidden(ROW()-1)=TRUE),0,(E439-E438)*unitsOfDHp+I438)</f>
        <v>898940</v>
      </c>
      <c r="J439">
        <f>IF(AND(MyRowHidden(ROW())=FALSE,MyRowHidden(ROW()-1)=TRUE),0,(G439-G438)*unitsOfExo+J438)</f>
        <v>13887.999999999996</v>
      </c>
      <c r="K439" s="9">
        <f t="shared" si="20"/>
        <v>-13887.999999999996</v>
      </c>
      <c r="L439">
        <f t="shared" si="21"/>
        <v>912828</v>
      </c>
    </row>
    <row r="440" spans="1:12" x14ac:dyDescent="0.25">
      <c r="A440" s="1"/>
      <c r="C440" s="1"/>
      <c r="D440" s="1">
        <v>41873</v>
      </c>
      <c r="E440" s="10">
        <v>256852</v>
      </c>
      <c r="F440" s="1">
        <v>41873</v>
      </c>
      <c r="G440">
        <v>-2900.2</v>
      </c>
      <c r="H440" s="1">
        <f t="shared" si="19"/>
        <v>41873</v>
      </c>
      <c r="I440">
        <f>IF(AND(MyRowHidden(ROW())=FALSE,MyRowHidden(ROW()-1)=TRUE),0,(E440-E439)*unitsOfDHp+I439)</f>
        <v>911740</v>
      </c>
      <c r="J440">
        <f>IF(AND(MyRowHidden(ROW())=FALSE,MyRowHidden(ROW()-1)=TRUE),0,(G440-G439)*unitsOfExo+J439)</f>
        <v>13887.999999999996</v>
      </c>
      <c r="K440" s="9">
        <f t="shared" si="20"/>
        <v>-13887.999999999996</v>
      </c>
      <c r="L440">
        <f t="shared" si="21"/>
        <v>925628</v>
      </c>
    </row>
    <row r="441" spans="1:12" x14ac:dyDescent="0.25">
      <c r="A441" s="1"/>
      <c r="C441" s="1"/>
      <c r="D441" s="1">
        <v>41876</v>
      </c>
      <c r="E441" s="10">
        <v>257050</v>
      </c>
      <c r="F441" s="1">
        <v>41876</v>
      </c>
      <c r="G441">
        <v>-2900.2</v>
      </c>
      <c r="H441" s="1">
        <f t="shared" si="19"/>
        <v>41876</v>
      </c>
      <c r="I441">
        <f>IF(AND(MyRowHidden(ROW())=FALSE,MyRowHidden(ROW()-1)=TRUE),0,(E441-E440)*unitsOfDHp+I440)</f>
        <v>913720</v>
      </c>
      <c r="J441">
        <f>IF(AND(MyRowHidden(ROW())=FALSE,MyRowHidden(ROW()-1)=TRUE),0,(G441-G440)*unitsOfExo+J440)</f>
        <v>13887.999999999996</v>
      </c>
      <c r="K441" s="9">
        <f t="shared" si="20"/>
        <v>-13887.999999999996</v>
      </c>
      <c r="L441">
        <f t="shared" si="21"/>
        <v>927608</v>
      </c>
    </row>
    <row r="442" spans="1:12" x14ac:dyDescent="0.25">
      <c r="A442" s="1"/>
      <c r="C442" s="1"/>
      <c r="D442" s="1">
        <v>41877</v>
      </c>
      <c r="E442" s="10">
        <v>255986</v>
      </c>
      <c r="F442" s="1">
        <v>41877</v>
      </c>
      <c r="G442">
        <v>-2866.36</v>
      </c>
      <c r="H442" s="1">
        <f t="shared" si="19"/>
        <v>41877</v>
      </c>
      <c r="I442">
        <f>IF(AND(MyRowHidden(ROW())=FALSE,MyRowHidden(ROW()-1)=TRUE),0,(E442-E441)*unitsOfDHp+I441)</f>
        <v>903080</v>
      </c>
      <c r="J442">
        <f>IF(AND(MyRowHidden(ROW())=FALSE,MyRowHidden(ROW()-1)=TRUE),0,(G442-G441)*unitsOfExo+J441)</f>
        <v>14226.399999999994</v>
      </c>
      <c r="K442" s="9">
        <f t="shared" si="20"/>
        <v>-14226.399999999994</v>
      </c>
      <c r="L442">
        <f t="shared" si="21"/>
        <v>917306.4</v>
      </c>
    </row>
    <row r="443" spans="1:12" x14ac:dyDescent="0.25">
      <c r="A443" s="1"/>
      <c r="C443" s="1"/>
      <c r="D443" s="1">
        <v>41878</v>
      </c>
      <c r="E443" s="10">
        <v>256186</v>
      </c>
      <c r="F443" s="1">
        <v>41878</v>
      </c>
      <c r="G443">
        <v>-2849.44</v>
      </c>
      <c r="H443" s="1">
        <f t="shared" si="19"/>
        <v>41878</v>
      </c>
      <c r="I443">
        <f>IF(AND(MyRowHidden(ROW())=FALSE,MyRowHidden(ROW()-1)=TRUE),0,(E443-E442)*unitsOfDHp+I442)</f>
        <v>905080</v>
      </c>
      <c r="J443">
        <f>IF(AND(MyRowHidden(ROW())=FALSE,MyRowHidden(ROW()-1)=TRUE),0,(G443-G442)*unitsOfExo+J442)</f>
        <v>14395.599999999995</v>
      </c>
      <c r="K443" s="9">
        <f t="shared" si="20"/>
        <v>-14395.599999999995</v>
      </c>
      <c r="L443">
        <f t="shared" si="21"/>
        <v>919475.6</v>
      </c>
    </row>
    <row r="444" spans="1:12" x14ac:dyDescent="0.25">
      <c r="A444" s="1"/>
      <c r="C444" s="1"/>
      <c r="D444" s="1">
        <v>41879</v>
      </c>
      <c r="E444" s="10">
        <v>254926</v>
      </c>
      <c r="F444" s="1">
        <v>41879</v>
      </c>
      <c r="G444">
        <v>-2849.44</v>
      </c>
      <c r="H444" s="1">
        <f t="shared" si="19"/>
        <v>41879</v>
      </c>
      <c r="I444">
        <f>IF(AND(MyRowHidden(ROW())=FALSE,MyRowHidden(ROW()-1)=TRUE),0,(E444-E443)*unitsOfDHp+I443)</f>
        <v>892480</v>
      </c>
      <c r="J444">
        <f>IF(AND(MyRowHidden(ROW())=FALSE,MyRowHidden(ROW()-1)=TRUE),0,(G444-G443)*unitsOfExo+J443)</f>
        <v>14395.599999999995</v>
      </c>
      <c r="K444" s="9">
        <f t="shared" si="20"/>
        <v>-14395.599999999995</v>
      </c>
      <c r="L444">
        <f t="shared" si="21"/>
        <v>906875.6</v>
      </c>
    </row>
    <row r="445" spans="1:12" x14ac:dyDescent="0.25">
      <c r="A445" s="1"/>
      <c r="C445" s="1"/>
      <c r="D445" s="1">
        <v>41880</v>
      </c>
      <c r="E445" s="10">
        <v>251370</v>
      </c>
      <c r="F445" s="1">
        <v>41880</v>
      </c>
      <c r="G445">
        <v>-2849.44</v>
      </c>
      <c r="H445" s="1">
        <f t="shared" si="19"/>
        <v>41880</v>
      </c>
      <c r="I445">
        <f>IF(AND(MyRowHidden(ROW())=FALSE,MyRowHidden(ROW()-1)=TRUE),0,(E445-E444)*unitsOfDHp+I444)</f>
        <v>856920</v>
      </c>
      <c r="J445">
        <f>IF(AND(MyRowHidden(ROW())=FALSE,MyRowHidden(ROW()-1)=TRUE),0,(G445-G444)*unitsOfExo+J444)</f>
        <v>14395.599999999995</v>
      </c>
      <c r="K445" s="9">
        <f t="shared" si="20"/>
        <v>-14395.599999999995</v>
      </c>
      <c r="L445">
        <f t="shared" si="21"/>
        <v>871315.6</v>
      </c>
    </row>
    <row r="446" spans="1:12" x14ac:dyDescent="0.25">
      <c r="A446" s="1"/>
      <c r="C446" s="1"/>
      <c r="D446" s="1">
        <v>41883</v>
      </c>
      <c r="E446" s="10">
        <v>251348</v>
      </c>
      <c r="F446" s="1">
        <v>41883</v>
      </c>
      <c r="G446">
        <v>-2590.25</v>
      </c>
      <c r="H446" s="1">
        <f t="shared" si="19"/>
        <v>41883</v>
      </c>
      <c r="I446">
        <f>IF(AND(MyRowHidden(ROW())=FALSE,MyRowHidden(ROW()-1)=TRUE),0,(E446-E445)*unitsOfDHp+I445)</f>
        <v>856700</v>
      </c>
      <c r="J446">
        <f>IF(AND(MyRowHidden(ROW())=FALSE,MyRowHidden(ROW()-1)=TRUE),0,(G446-G445)*unitsOfExo+J445)</f>
        <v>16987.499999999996</v>
      </c>
      <c r="K446" s="9">
        <f t="shared" si="20"/>
        <v>-16987.499999999996</v>
      </c>
      <c r="L446">
        <f t="shared" si="21"/>
        <v>873687.5</v>
      </c>
    </row>
    <row r="447" spans="1:12" x14ac:dyDescent="0.25">
      <c r="A447" s="1"/>
      <c r="C447" s="1"/>
      <c r="D447" s="1">
        <v>41884</v>
      </c>
      <c r="E447" s="10">
        <v>256938</v>
      </c>
      <c r="F447" s="1">
        <v>41884</v>
      </c>
      <c r="G447">
        <v>-2590.25</v>
      </c>
      <c r="H447" s="1">
        <f t="shared" si="19"/>
        <v>41884</v>
      </c>
      <c r="I447">
        <f>IF(AND(MyRowHidden(ROW())=FALSE,MyRowHidden(ROW()-1)=TRUE),0,(E447-E446)*unitsOfDHp+I446)</f>
        <v>912600</v>
      </c>
      <c r="J447">
        <f>IF(AND(MyRowHidden(ROW())=FALSE,MyRowHidden(ROW()-1)=TRUE),0,(G447-G446)*unitsOfExo+J446)</f>
        <v>16987.499999999996</v>
      </c>
      <c r="K447" s="9">
        <f t="shared" si="20"/>
        <v>-16987.499999999996</v>
      </c>
      <c r="L447">
        <f t="shared" si="21"/>
        <v>929587.5</v>
      </c>
    </row>
    <row r="448" spans="1:12" x14ac:dyDescent="0.25">
      <c r="A448" s="1"/>
      <c r="C448" s="1"/>
      <c r="D448" s="1">
        <v>41885</v>
      </c>
      <c r="E448" s="10">
        <v>252248</v>
      </c>
      <c r="F448" s="1">
        <v>41885</v>
      </c>
      <c r="G448">
        <v>-2590.25</v>
      </c>
      <c r="H448" s="1">
        <f t="shared" si="19"/>
        <v>41885</v>
      </c>
      <c r="I448">
        <f>IF(AND(MyRowHidden(ROW())=FALSE,MyRowHidden(ROW()-1)=TRUE),0,(E448-E447)*unitsOfDHp+I447)</f>
        <v>865700</v>
      </c>
      <c r="J448">
        <f>IF(AND(MyRowHidden(ROW())=FALSE,MyRowHidden(ROW()-1)=TRUE),0,(G448-G447)*unitsOfExo+J447)</f>
        <v>16987.499999999996</v>
      </c>
      <c r="K448" s="9">
        <f t="shared" si="20"/>
        <v>-16987.499999999996</v>
      </c>
      <c r="L448">
        <f t="shared" si="21"/>
        <v>882687.5</v>
      </c>
    </row>
    <row r="449" spans="1:12" x14ac:dyDescent="0.25">
      <c r="A449" s="1"/>
      <c r="C449" s="1"/>
      <c r="D449" s="1">
        <v>41886</v>
      </c>
      <c r="E449" s="10">
        <v>254288</v>
      </c>
      <c r="F449" s="1">
        <v>41886</v>
      </c>
      <c r="G449">
        <v>-2746.76</v>
      </c>
      <c r="H449" s="1">
        <f t="shared" si="19"/>
        <v>41886</v>
      </c>
      <c r="I449">
        <f>IF(AND(MyRowHidden(ROW())=FALSE,MyRowHidden(ROW()-1)=TRUE),0,(E449-E448)*unitsOfDHp+I448)</f>
        <v>886100</v>
      </c>
      <c r="J449">
        <f>IF(AND(MyRowHidden(ROW())=FALSE,MyRowHidden(ROW()-1)=TRUE),0,(G449-G448)*unitsOfExo+J448)</f>
        <v>15422.399999999994</v>
      </c>
      <c r="K449" s="9">
        <f t="shared" si="20"/>
        <v>-15422.399999999994</v>
      </c>
      <c r="L449">
        <f t="shared" si="21"/>
        <v>901522.4</v>
      </c>
    </row>
    <row r="450" spans="1:12" x14ac:dyDescent="0.25">
      <c r="A450" s="1"/>
      <c r="C450" s="1"/>
      <c r="D450" s="1">
        <v>41887</v>
      </c>
      <c r="E450" s="10">
        <v>256728</v>
      </c>
      <c r="F450" s="1">
        <v>41887</v>
      </c>
      <c r="G450">
        <v>-2746.76</v>
      </c>
      <c r="H450" s="1">
        <f t="shared" si="19"/>
        <v>41887</v>
      </c>
      <c r="I450">
        <f>IF(AND(MyRowHidden(ROW())=FALSE,MyRowHidden(ROW()-1)=TRUE),0,(E450-E449)*unitsOfDHp+I449)</f>
        <v>910500</v>
      </c>
      <c r="J450">
        <f>IF(AND(MyRowHidden(ROW())=FALSE,MyRowHidden(ROW()-1)=TRUE),0,(G450-G449)*unitsOfExo+J449)</f>
        <v>15422.399999999994</v>
      </c>
      <c r="K450" s="9">
        <f t="shared" si="20"/>
        <v>-15422.399999999994</v>
      </c>
      <c r="L450">
        <f t="shared" si="21"/>
        <v>925922.4</v>
      </c>
    </row>
    <row r="451" spans="1:12" x14ac:dyDescent="0.25">
      <c r="A451" s="1"/>
      <c r="C451" s="1"/>
      <c r="D451" s="1">
        <v>41890</v>
      </c>
      <c r="E451" s="10">
        <v>258398</v>
      </c>
      <c r="F451" s="1">
        <v>41890</v>
      </c>
      <c r="G451">
        <v>-2842.17</v>
      </c>
      <c r="H451" s="1">
        <f t="shared" si="19"/>
        <v>41890</v>
      </c>
      <c r="I451">
        <f>IF(AND(MyRowHidden(ROW())=FALSE,MyRowHidden(ROW()-1)=TRUE),0,(E451-E450)*unitsOfDHp+I450)</f>
        <v>927200</v>
      </c>
      <c r="J451">
        <f>IF(AND(MyRowHidden(ROW())=FALSE,MyRowHidden(ROW()-1)=TRUE),0,(G451-G450)*unitsOfExo+J450)</f>
        <v>14468.299999999996</v>
      </c>
      <c r="K451" s="9">
        <f t="shared" si="20"/>
        <v>-14468.299999999996</v>
      </c>
      <c r="L451">
        <f t="shared" si="21"/>
        <v>941668.3</v>
      </c>
    </row>
    <row r="452" spans="1:12" x14ac:dyDescent="0.25">
      <c r="A452" s="1"/>
      <c r="C452" s="1"/>
      <c r="D452" s="1">
        <v>41891</v>
      </c>
      <c r="E452" s="10">
        <v>257628</v>
      </c>
      <c r="F452" s="1">
        <v>41891</v>
      </c>
      <c r="G452">
        <v>-2797.05</v>
      </c>
      <c r="H452" s="1">
        <f t="shared" si="19"/>
        <v>41891</v>
      </c>
      <c r="I452">
        <f>IF(AND(MyRowHidden(ROW())=FALSE,MyRowHidden(ROW()-1)=TRUE),0,(E452-E451)*unitsOfDHp+I451)</f>
        <v>919500</v>
      </c>
      <c r="J452">
        <f>IF(AND(MyRowHidden(ROW())=FALSE,MyRowHidden(ROW()-1)=TRUE),0,(G452-G451)*unitsOfExo+J451)</f>
        <v>14919.499999999995</v>
      </c>
      <c r="K452" s="9">
        <f t="shared" si="20"/>
        <v>-14919.499999999995</v>
      </c>
      <c r="L452">
        <f t="shared" si="21"/>
        <v>934419.5</v>
      </c>
    </row>
    <row r="453" spans="1:12" x14ac:dyDescent="0.25">
      <c r="A453" s="1"/>
      <c r="C453" s="1"/>
      <c r="D453" s="1">
        <v>41892</v>
      </c>
      <c r="E453" s="10">
        <v>260228</v>
      </c>
      <c r="F453" s="1">
        <v>41892</v>
      </c>
      <c r="G453">
        <v>-3007.14</v>
      </c>
      <c r="H453" s="1">
        <f t="shared" si="19"/>
        <v>41892</v>
      </c>
      <c r="I453">
        <f>IF(AND(MyRowHidden(ROW())=FALSE,MyRowHidden(ROW()-1)=TRUE),0,(E453-E452)*unitsOfDHp+I452)</f>
        <v>945500</v>
      </c>
      <c r="J453">
        <f>IF(AND(MyRowHidden(ROW())=FALSE,MyRowHidden(ROW()-1)=TRUE),0,(G453-G452)*unitsOfExo+J452)</f>
        <v>12818.599999999999</v>
      </c>
      <c r="K453" s="9">
        <f t="shared" si="20"/>
        <v>-12818.599999999999</v>
      </c>
      <c r="L453">
        <f t="shared" si="21"/>
        <v>958318.6</v>
      </c>
    </row>
    <row r="454" spans="1:12" x14ac:dyDescent="0.25">
      <c r="A454" s="1"/>
      <c r="C454" s="1"/>
      <c r="D454" s="1">
        <v>41893</v>
      </c>
      <c r="E454" s="10">
        <v>258388</v>
      </c>
      <c r="F454" s="1">
        <v>41893</v>
      </c>
      <c r="G454">
        <v>-2932.41</v>
      </c>
      <c r="H454" s="1">
        <f t="shared" si="19"/>
        <v>41893</v>
      </c>
      <c r="I454">
        <f>IF(AND(MyRowHidden(ROW())=FALSE,MyRowHidden(ROW()-1)=TRUE),0,(E454-E453)*unitsOfDHp+I453)</f>
        <v>927100</v>
      </c>
      <c r="J454">
        <f>IF(AND(MyRowHidden(ROW())=FALSE,MyRowHidden(ROW()-1)=TRUE),0,(G454-G453)*unitsOfExo+J453)</f>
        <v>13565.899999999998</v>
      </c>
      <c r="K454" s="9">
        <f t="shared" si="20"/>
        <v>-13565.899999999998</v>
      </c>
      <c r="L454">
        <f t="shared" si="21"/>
        <v>940665.9</v>
      </c>
    </row>
    <row r="455" spans="1:12" x14ac:dyDescent="0.25">
      <c r="A455" s="1"/>
      <c r="C455" s="1"/>
      <c r="D455" s="1">
        <v>41894</v>
      </c>
      <c r="E455" s="10">
        <v>258358</v>
      </c>
      <c r="F455" s="1">
        <v>41894</v>
      </c>
      <c r="G455">
        <v>-3001.97</v>
      </c>
      <c r="H455" s="1">
        <f t="shared" si="19"/>
        <v>41894</v>
      </c>
      <c r="I455">
        <f>IF(AND(MyRowHidden(ROW())=FALSE,MyRowHidden(ROW()-1)=TRUE),0,(E455-E454)*unitsOfDHp+I454)</f>
        <v>926800</v>
      </c>
      <c r="J455">
        <f>IF(AND(MyRowHidden(ROW())=FALSE,MyRowHidden(ROW()-1)=TRUE),0,(G455-G454)*unitsOfExo+J454)</f>
        <v>12870.3</v>
      </c>
      <c r="K455" s="9">
        <f t="shared" si="20"/>
        <v>-12870.3</v>
      </c>
      <c r="L455">
        <f t="shared" si="21"/>
        <v>939670.3</v>
      </c>
    </row>
    <row r="456" spans="1:12" x14ac:dyDescent="0.25">
      <c r="A456" s="1"/>
      <c r="C456" s="1"/>
      <c r="D456" s="1">
        <v>41897</v>
      </c>
      <c r="E456" s="10">
        <v>257968</v>
      </c>
      <c r="F456" s="1">
        <v>41897</v>
      </c>
      <c r="G456">
        <v>-3001.97</v>
      </c>
      <c r="H456" s="1">
        <f t="shared" si="19"/>
        <v>41897</v>
      </c>
      <c r="I456">
        <f>IF(AND(MyRowHidden(ROW())=FALSE,MyRowHidden(ROW()-1)=TRUE),0,(E456-E455)*unitsOfDHp+I455)</f>
        <v>922900</v>
      </c>
      <c r="J456">
        <f>IF(AND(MyRowHidden(ROW())=FALSE,MyRowHidden(ROW()-1)=TRUE),0,(G456-G455)*unitsOfExo+J455)</f>
        <v>12870.3</v>
      </c>
      <c r="K456" s="9">
        <f t="shared" si="20"/>
        <v>-12870.3</v>
      </c>
      <c r="L456">
        <f t="shared" si="21"/>
        <v>935770.3</v>
      </c>
    </row>
    <row r="457" spans="1:12" x14ac:dyDescent="0.25">
      <c r="A457" s="1"/>
      <c r="C457" s="1"/>
      <c r="D457" s="1">
        <v>41898</v>
      </c>
      <c r="E457" s="10">
        <v>259520</v>
      </c>
      <c r="F457" s="1">
        <v>41898</v>
      </c>
      <c r="G457">
        <v>-2940.4</v>
      </c>
      <c r="H457" s="1">
        <f t="shared" si="19"/>
        <v>41898</v>
      </c>
      <c r="I457">
        <f>IF(AND(MyRowHidden(ROW())=FALSE,MyRowHidden(ROW()-1)=TRUE),0,(E457-E456)*unitsOfDHp+I456)</f>
        <v>938420</v>
      </c>
      <c r="J457">
        <f>IF(AND(MyRowHidden(ROW())=FALSE,MyRowHidden(ROW()-1)=TRUE),0,(G457-G456)*unitsOfExo+J456)</f>
        <v>13485.999999999996</v>
      </c>
      <c r="K457" s="9">
        <f t="shared" si="20"/>
        <v>-13485.999999999996</v>
      </c>
      <c r="L457">
        <f t="shared" si="21"/>
        <v>951906</v>
      </c>
    </row>
    <row r="458" spans="1:12" x14ac:dyDescent="0.25">
      <c r="A458" s="1"/>
      <c r="C458" s="1"/>
      <c r="D458" s="1">
        <v>41899</v>
      </c>
      <c r="E458" s="10">
        <v>258764</v>
      </c>
      <c r="F458" s="1">
        <v>41899</v>
      </c>
      <c r="G458">
        <v>-2512.23</v>
      </c>
      <c r="H458" s="1">
        <f t="shared" si="19"/>
        <v>41899</v>
      </c>
      <c r="I458">
        <f>IF(AND(MyRowHidden(ROW())=FALSE,MyRowHidden(ROW()-1)=TRUE),0,(E458-E457)*unitsOfDHp+I457)</f>
        <v>930860</v>
      </c>
      <c r="J458">
        <f>IF(AND(MyRowHidden(ROW())=FALSE,MyRowHidden(ROW()-1)=TRUE),0,(G458-G457)*unitsOfExo+J457)</f>
        <v>17767.699999999997</v>
      </c>
      <c r="K458" s="9">
        <f t="shared" si="20"/>
        <v>-17767.699999999997</v>
      </c>
      <c r="L458">
        <f t="shared" si="21"/>
        <v>948627.7</v>
      </c>
    </row>
    <row r="459" spans="1:12" x14ac:dyDescent="0.25">
      <c r="A459" s="1"/>
      <c r="C459" s="1"/>
      <c r="D459" s="1">
        <v>41900</v>
      </c>
      <c r="E459" s="10">
        <v>257856</v>
      </c>
      <c r="F459" s="1">
        <v>41900</v>
      </c>
      <c r="G459">
        <v>-2335.98</v>
      </c>
      <c r="H459" s="1">
        <f t="shared" si="19"/>
        <v>41900</v>
      </c>
      <c r="I459">
        <f>IF(AND(MyRowHidden(ROW())=FALSE,MyRowHidden(ROW()-1)=TRUE),0,(E459-E458)*unitsOfDHp+I458)</f>
        <v>921780</v>
      </c>
      <c r="J459">
        <f>IF(AND(MyRowHidden(ROW())=FALSE,MyRowHidden(ROW()-1)=TRUE),0,(G459-G458)*unitsOfExo+J458)</f>
        <v>19530.199999999997</v>
      </c>
      <c r="K459" s="9">
        <f t="shared" si="20"/>
        <v>-19530.199999999997</v>
      </c>
      <c r="L459">
        <f t="shared" si="21"/>
        <v>941310.2</v>
      </c>
    </row>
    <row r="460" spans="1:12" x14ac:dyDescent="0.25">
      <c r="A460" s="1"/>
      <c r="C460" s="1"/>
      <c r="D460" s="1">
        <v>41901</v>
      </c>
      <c r="E460" s="10">
        <v>257370</v>
      </c>
      <c r="F460" s="1">
        <v>41901</v>
      </c>
      <c r="G460">
        <v>-2000.4</v>
      </c>
      <c r="H460" s="1">
        <f t="shared" si="19"/>
        <v>41901</v>
      </c>
      <c r="I460">
        <f>IF(AND(MyRowHidden(ROW())=FALSE,MyRowHidden(ROW()-1)=TRUE),0,(E460-E459)*unitsOfDHp+I459)</f>
        <v>916920</v>
      </c>
      <c r="J460">
        <f>IF(AND(MyRowHidden(ROW())=FALSE,MyRowHidden(ROW()-1)=TRUE),0,(G460-G459)*unitsOfExo+J459)</f>
        <v>22885.999999999996</v>
      </c>
      <c r="K460" s="9">
        <f t="shared" si="20"/>
        <v>-22885.999999999996</v>
      </c>
      <c r="L460">
        <f t="shared" si="21"/>
        <v>939806</v>
      </c>
    </row>
    <row r="461" spans="1:12" x14ac:dyDescent="0.25">
      <c r="A461" s="1"/>
      <c r="C461" s="1"/>
      <c r="D461" s="1">
        <v>41904</v>
      </c>
      <c r="E461" s="10">
        <v>257740</v>
      </c>
      <c r="F461" s="1">
        <v>41904</v>
      </c>
      <c r="G461">
        <v>-2000.4</v>
      </c>
      <c r="H461" s="1">
        <f t="shared" ref="H461:H524" si="22">D461</f>
        <v>41904</v>
      </c>
      <c r="I461">
        <f>IF(AND(MyRowHidden(ROW())=FALSE,MyRowHidden(ROW()-1)=TRUE),0,(E461-E460)*unitsOfDHp+I460)</f>
        <v>920620</v>
      </c>
      <c r="J461">
        <f>IF(AND(MyRowHidden(ROW())=FALSE,MyRowHidden(ROW()-1)=TRUE),0,(G461-G460)*unitsOfExo+J460)</f>
        <v>22885.999999999996</v>
      </c>
      <c r="K461" s="9">
        <f t="shared" ref="K461:K524" si="23">-(J461-J460)+K460</f>
        <v>-22885.999999999996</v>
      </c>
      <c r="L461">
        <f t="shared" ref="L461:L524" si="24">I461+J461</f>
        <v>943506</v>
      </c>
    </row>
    <row r="462" spans="1:12" x14ac:dyDescent="0.25">
      <c r="A462" s="1"/>
      <c r="C462" s="1"/>
      <c r="D462" s="1">
        <v>41905</v>
      </c>
      <c r="E462" s="10">
        <v>257390</v>
      </c>
      <c r="F462" s="1">
        <v>41905</v>
      </c>
      <c r="G462">
        <v>-1910.63</v>
      </c>
      <c r="H462" s="1">
        <f t="shared" si="22"/>
        <v>41905</v>
      </c>
      <c r="I462">
        <f>IF(AND(MyRowHidden(ROW())=FALSE,MyRowHidden(ROW()-1)=TRUE),0,(E462-E461)*unitsOfDHp+I461)</f>
        <v>917120</v>
      </c>
      <c r="J462">
        <f>IF(AND(MyRowHidden(ROW())=FALSE,MyRowHidden(ROW()-1)=TRUE),0,(G462-G461)*unitsOfExo+J461)</f>
        <v>23783.699999999997</v>
      </c>
      <c r="K462" s="9">
        <f t="shared" si="23"/>
        <v>-23783.699999999997</v>
      </c>
      <c r="L462">
        <f t="shared" si="24"/>
        <v>940903.7</v>
      </c>
    </row>
    <row r="463" spans="1:12" x14ac:dyDescent="0.25">
      <c r="A463" s="1"/>
      <c r="C463" s="1"/>
      <c r="D463" s="1">
        <v>41906</v>
      </c>
      <c r="E463" s="10">
        <v>256990</v>
      </c>
      <c r="F463" s="1">
        <v>41906</v>
      </c>
      <c r="G463">
        <v>-1910.63</v>
      </c>
      <c r="H463" s="1">
        <f t="shared" si="22"/>
        <v>41906</v>
      </c>
      <c r="I463">
        <f>IF(AND(MyRowHidden(ROW())=FALSE,MyRowHidden(ROW()-1)=TRUE),0,(E463-E462)*unitsOfDHp+I462)</f>
        <v>913120</v>
      </c>
      <c r="J463">
        <f>IF(AND(MyRowHidden(ROW())=FALSE,MyRowHidden(ROW()-1)=TRUE),0,(G463-G462)*unitsOfExo+J462)</f>
        <v>23783.699999999997</v>
      </c>
      <c r="K463" s="9">
        <f t="shared" si="23"/>
        <v>-23783.699999999997</v>
      </c>
      <c r="L463">
        <f t="shared" si="24"/>
        <v>936903.7</v>
      </c>
    </row>
    <row r="464" spans="1:12" x14ac:dyDescent="0.25">
      <c r="A464" s="1"/>
      <c r="C464" s="1"/>
      <c r="D464" s="1">
        <v>41907</v>
      </c>
      <c r="E464" s="10">
        <v>256992</v>
      </c>
      <c r="F464" s="1">
        <v>41907</v>
      </c>
      <c r="G464">
        <v>-1910.63</v>
      </c>
      <c r="H464" s="1">
        <f t="shared" si="22"/>
        <v>41907</v>
      </c>
      <c r="I464">
        <f>IF(AND(MyRowHidden(ROW())=FALSE,MyRowHidden(ROW()-1)=TRUE),0,(E464-E463)*unitsOfDHp+I463)</f>
        <v>913140</v>
      </c>
      <c r="J464">
        <f>IF(AND(MyRowHidden(ROW())=FALSE,MyRowHidden(ROW()-1)=TRUE),0,(G464-G463)*unitsOfExo+J463)</f>
        <v>23783.699999999997</v>
      </c>
      <c r="K464" s="9">
        <f t="shared" si="23"/>
        <v>-23783.699999999997</v>
      </c>
      <c r="L464">
        <f t="shared" si="24"/>
        <v>936923.7</v>
      </c>
    </row>
    <row r="465" spans="1:12" x14ac:dyDescent="0.25">
      <c r="A465" s="1"/>
      <c r="C465" s="1"/>
      <c r="D465" s="1">
        <v>41908</v>
      </c>
      <c r="E465" s="10">
        <v>256896</v>
      </c>
      <c r="F465" s="1">
        <v>41908</v>
      </c>
      <c r="G465">
        <v>-1910.63</v>
      </c>
      <c r="H465" s="1">
        <f t="shared" si="22"/>
        <v>41908</v>
      </c>
      <c r="I465">
        <f>IF(AND(MyRowHidden(ROW())=FALSE,MyRowHidden(ROW()-1)=TRUE),0,(E465-E464)*unitsOfDHp+I464)</f>
        <v>912180</v>
      </c>
      <c r="J465">
        <f>IF(AND(MyRowHidden(ROW())=FALSE,MyRowHidden(ROW()-1)=TRUE),0,(G465-G464)*unitsOfExo+J464)</f>
        <v>23783.699999999997</v>
      </c>
      <c r="K465" s="9">
        <f t="shared" si="23"/>
        <v>-23783.699999999997</v>
      </c>
      <c r="L465">
        <f t="shared" si="24"/>
        <v>935963.7</v>
      </c>
    </row>
    <row r="466" spans="1:12" x14ac:dyDescent="0.25">
      <c r="A466" s="1"/>
      <c r="C466" s="1"/>
      <c r="D466" s="1">
        <v>41911</v>
      </c>
      <c r="E466" s="10">
        <v>256384</v>
      </c>
      <c r="F466" s="1">
        <v>41911</v>
      </c>
      <c r="G466">
        <v>-1843.42</v>
      </c>
      <c r="H466" s="1">
        <f t="shared" si="22"/>
        <v>41911</v>
      </c>
      <c r="I466">
        <f>IF(AND(MyRowHidden(ROW())=FALSE,MyRowHidden(ROW()-1)=TRUE),0,(E466-E465)*unitsOfDHp+I465)</f>
        <v>907060</v>
      </c>
      <c r="J466">
        <f>IF(AND(MyRowHidden(ROW())=FALSE,MyRowHidden(ROW()-1)=TRUE),0,(G466-G465)*unitsOfExo+J465)</f>
        <v>24455.799999999996</v>
      </c>
      <c r="K466" s="9">
        <f t="shared" si="23"/>
        <v>-24455.799999999996</v>
      </c>
      <c r="L466">
        <f t="shared" si="24"/>
        <v>931515.8</v>
      </c>
    </row>
    <row r="467" spans="1:12" x14ac:dyDescent="0.25">
      <c r="A467" s="1"/>
      <c r="C467" s="1"/>
      <c r="D467" s="1">
        <v>41912</v>
      </c>
      <c r="E467" s="10">
        <v>259592</v>
      </c>
      <c r="F467" s="1">
        <v>41912</v>
      </c>
      <c r="G467">
        <v>-1860.34</v>
      </c>
      <c r="H467" s="1">
        <f t="shared" si="22"/>
        <v>41912</v>
      </c>
      <c r="I467">
        <f>IF(AND(MyRowHidden(ROW())=FALSE,MyRowHidden(ROW()-1)=TRUE),0,(E467-E466)*unitsOfDHp+I466)</f>
        <v>939140</v>
      </c>
      <c r="J467">
        <f>IF(AND(MyRowHidden(ROW())=FALSE,MyRowHidden(ROW()-1)=TRUE),0,(G467-G466)*unitsOfExo+J466)</f>
        <v>24286.6</v>
      </c>
      <c r="K467" s="9">
        <f t="shared" si="23"/>
        <v>-24286.6</v>
      </c>
      <c r="L467">
        <f t="shared" si="24"/>
        <v>963426.6</v>
      </c>
    </row>
    <row r="468" spans="1:12" x14ac:dyDescent="0.25">
      <c r="A468" s="1"/>
      <c r="C468" s="1"/>
      <c r="D468" s="1">
        <v>41913</v>
      </c>
      <c r="E468" s="10">
        <v>260676</v>
      </c>
      <c r="F468" s="1">
        <v>41913</v>
      </c>
      <c r="G468">
        <v>159</v>
      </c>
      <c r="H468" s="1">
        <f t="shared" si="22"/>
        <v>41913</v>
      </c>
      <c r="I468">
        <f>IF(AND(MyRowHidden(ROW())=FALSE,MyRowHidden(ROW()-1)=TRUE),0,(E468-E467)*unitsOfDHp+I467)</f>
        <v>949980</v>
      </c>
      <c r="J468">
        <f>IF(AND(MyRowHidden(ROW())=FALSE,MyRowHidden(ROW()-1)=TRUE),0,(G468-G467)*unitsOfExo+J467)</f>
        <v>44480</v>
      </c>
      <c r="K468" s="9">
        <f t="shared" si="23"/>
        <v>-44480</v>
      </c>
      <c r="L468">
        <f t="shared" si="24"/>
        <v>994460</v>
      </c>
    </row>
    <row r="469" spans="1:12" x14ac:dyDescent="0.25">
      <c r="A469" s="1"/>
      <c r="C469" s="1"/>
      <c r="D469" s="1">
        <v>41914</v>
      </c>
      <c r="E469" s="10">
        <v>260062</v>
      </c>
      <c r="F469" s="1">
        <v>41914</v>
      </c>
      <c r="G469">
        <v>-683.71</v>
      </c>
      <c r="H469" s="1">
        <f t="shared" si="22"/>
        <v>41914</v>
      </c>
      <c r="I469">
        <f>IF(AND(MyRowHidden(ROW())=FALSE,MyRowHidden(ROW()-1)=TRUE),0,(E469-E468)*unitsOfDHp+I468)</f>
        <v>943840</v>
      </c>
      <c r="J469">
        <f>IF(AND(MyRowHidden(ROW())=FALSE,MyRowHidden(ROW()-1)=TRUE),0,(G469-G468)*unitsOfExo+J468)</f>
        <v>36052.9</v>
      </c>
      <c r="K469" s="9">
        <f t="shared" si="23"/>
        <v>-36052.9</v>
      </c>
      <c r="L469">
        <f t="shared" si="24"/>
        <v>979892.9</v>
      </c>
    </row>
    <row r="470" spans="1:12" x14ac:dyDescent="0.25">
      <c r="A470" s="1"/>
      <c r="C470" s="1"/>
      <c r="D470" s="1">
        <v>41915</v>
      </c>
      <c r="E470" s="10">
        <v>264548</v>
      </c>
      <c r="F470" s="1">
        <v>41915</v>
      </c>
      <c r="G470">
        <v>-952.08</v>
      </c>
      <c r="H470" s="1">
        <f t="shared" si="22"/>
        <v>41915</v>
      </c>
      <c r="I470">
        <f>IF(AND(MyRowHidden(ROW())=FALSE,MyRowHidden(ROW()-1)=TRUE),0,(E470-E469)*unitsOfDHp+I469)</f>
        <v>988700</v>
      </c>
      <c r="J470">
        <f>IF(AND(MyRowHidden(ROW())=FALSE,MyRowHidden(ROW()-1)=TRUE),0,(G470-G469)*unitsOfExo+J469)</f>
        <v>33369.200000000004</v>
      </c>
      <c r="K470" s="9">
        <f t="shared" si="23"/>
        <v>-33369.200000000004</v>
      </c>
      <c r="L470">
        <f t="shared" si="24"/>
        <v>1022069.2</v>
      </c>
    </row>
    <row r="471" spans="1:12" x14ac:dyDescent="0.25">
      <c r="A471" s="1"/>
      <c r="C471" s="1"/>
      <c r="D471" s="1">
        <v>41918</v>
      </c>
      <c r="E471" s="10">
        <v>262824</v>
      </c>
      <c r="F471" s="1">
        <v>41918</v>
      </c>
      <c r="G471">
        <v>-543.65</v>
      </c>
      <c r="H471" s="1">
        <f t="shared" si="22"/>
        <v>41918</v>
      </c>
      <c r="I471">
        <f>IF(AND(MyRowHidden(ROW())=FALSE,MyRowHidden(ROW()-1)=TRUE),0,(E471-E470)*unitsOfDHp+I470)</f>
        <v>971460</v>
      </c>
      <c r="J471">
        <f>IF(AND(MyRowHidden(ROW())=FALSE,MyRowHidden(ROW()-1)=TRUE),0,(G471-G470)*unitsOfExo+J470)</f>
        <v>37453.500000000007</v>
      </c>
      <c r="K471" s="9">
        <f t="shared" si="23"/>
        <v>-37453.500000000007</v>
      </c>
      <c r="L471">
        <f t="shared" si="24"/>
        <v>1008913.5</v>
      </c>
    </row>
    <row r="472" spans="1:12" x14ac:dyDescent="0.25">
      <c r="A472" s="1"/>
      <c r="C472" s="1"/>
      <c r="D472" s="1">
        <v>41919</v>
      </c>
      <c r="E472" s="10">
        <v>267620</v>
      </c>
      <c r="F472" s="1">
        <v>41919</v>
      </c>
      <c r="G472">
        <v>-931.87</v>
      </c>
      <c r="H472" s="1">
        <f t="shared" si="22"/>
        <v>41919</v>
      </c>
      <c r="I472">
        <f>IF(AND(MyRowHidden(ROW())=FALSE,MyRowHidden(ROW()-1)=TRUE),0,(E472-E471)*unitsOfDHp+I471)</f>
        <v>1019420</v>
      </c>
      <c r="J472">
        <f>IF(AND(MyRowHidden(ROW())=FALSE,MyRowHidden(ROW()-1)=TRUE),0,(G472-G471)*unitsOfExo+J471)</f>
        <v>33571.30000000001</v>
      </c>
      <c r="K472" s="9">
        <f t="shared" si="23"/>
        <v>-33571.30000000001</v>
      </c>
      <c r="L472">
        <f t="shared" si="24"/>
        <v>1052991.3</v>
      </c>
    </row>
    <row r="473" spans="1:12" x14ac:dyDescent="0.25">
      <c r="A473" s="1"/>
      <c r="C473" s="1"/>
      <c r="D473" s="1">
        <v>41920</v>
      </c>
      <c r="E473" s="10">
        <v>275290</v>
      </c>
      <c r="F473" s="1">
        <v>41920</v>
      </c>
      <c r="G473">
        <v>-931.87</v>
      </c>
      <c r="H473" s="1">
        <f t="shared" si="22"/>
        <v>41920</v>
      </c>
      <c r="I473">
        <f>IF(AND(MyRowHidden(ROW())=FALSE,MyRowHidden(ROW()-1)=TRUE),0,(E473-E472)*unitsOfDHp+I472)</f>
        <v>1096120</v>
      </c>
      <c r="J473">
        <f>IF(AND(MyRowHidden(ROW())=FALSE,MyRowHidden(ROW()-1)=TRUE),0,(G473-G472)*unitsOfExo+J472)</f>
        <v>33571.30000000001</v>
      </c>
      <c r="K473" s="9">
        <f t="shared" si="23"/>
        <v>-33571.30000000001</v>
      </c>
      <c r="L473">
        <f t="shared" si="24"/>
        <v>1129691.3</v>
      </c>
    </row>
    <row r="474" spans="1:12" x14ac:dyDescent="0.25">
      <c r="A474" s="1"/>
      <c r="C474" s="1"/>
      <c r="D474" s="1">
        <v>41921</v>
      </c>
      <c r="E474" s="10">
        <v>281420</v>
      </c>
      <c r="F474" s="1">
        <v>41921</v>
      </c>
      <c r="G474">
        <v>-931.87</v>
      </c>
      <c r="H474" s="1">
        <f t="shared" si="22"/>
        <v>41921</v>
      </c>
      <c r="I474">
        <f>IF(AND(MyRowHidden(ROW())=FALSE,MyRowHidden(ROW()-1)=TRUE),0,(E474-E473)*unitsOfDHp+I473)</f>
        <v>1157420</v>
      </c>
      <c r="J474">
        <f>IF(AND(MyRowHidden(ROW())=FALSE,MyRowHidden(ROW()-1)=TRUE),0,(G474-G473)*unitsOfExo+J473)</f>
        <v>33571.30000000001</v>
      </c>
      <c r="K474" s="9">
        <f t="shared" si="23"/>
        <v>-33571.30000000001</v>
      </c>
      <c r="L474">
        <f t="shared" si="24"/>
        <v>1190991.3</v>
      </c>
    </row>
    <row r="475" spans="1:12" x14ac:dyDescent="0.25">
      <c r="A475" s="1"/>
      <c r="C475" s="1"/>
      <c r="D475" s="1">
        <v>41922</v>
      </c>
      <c r="E475" s="10">
        <v>280070</v>
      </c>
      <c r="F475" s="1">
        <v>41922</v>
      </c>
      <c r="G475">
        <v>-1094.96</v>
      </c>
      <c r="H475" s="1">
        <f t="shared" si="22"/>
        <v>41922</v>
      </c>
      <c r="I475">
        <f>IF(AND(MyRowHidden(ROW())=FALSE,MyRowHidden(ROW()-1)=TRUE),0,(E475-E474)*unitsOfDHp+I474)</f>
        <v>1143920</v>
      </c>
      <c r="J475">
        <f>IF(AND(MyRowHidden(ROW())=FALSE,MyRowHidden(ROW()-1)=TRUE),0,(G475-G474)*unitsOfExo+J474)</f>
        <v>31940.400000000009</v>
      </c>
      <c r="K475" s="9">
        <f t="shared" si="23"/>
        <v>-31940.400000000009</v>
      </c>
      <c r="L475">
        <f t="shared" si="24"/>
        <v>1175860.3999999999</v>
      </c>
    </row>
    <row r="476" spans="1:12" x14ac:dyDescent="0.25">
      <c r="A476" s="1"/>
      <c r="C476" s="1"/>
      <c r="D476" s="1">
        <v>41925</v>
      </c>
      <c r="E476" s="10">
        <v>283370</v>
      </c>
      <c r="F476" s="1">
        <v>41925</v>
      </c>
      <c r="G476">
        <v>-1286.72</v>
      </c>
      <c r="H476" s="1">
        <f t="shared" si="22"/>
        <v>41925</v>
      </c>
      <c r="I476">
        <f>IF(AND(MyRowHidden(ROW())=FALSE,MyRowHidden(ROW()-1)=TRUE),0,(E476-E475)*unitsOfDHp+I475)</f>
        <v>1176920</v>
      </c>
      <c r="J476">
        <f>IF(AND(MyRowHidden(ROW())=FALSE,MyRowHidden(ROW()-1)=TRUE),0,(G476-G475)*unitsOfExo+J475)</f>
        <v>30022.80000000001</v>
      </c>
      <c r="K476" s="9">
        <f t="shared" si="23"/>
        <v>-30022.80000000001</v>
      </c>
      <c r="L476">
        <f t="shared" si="24"/>
        <v>1206942.8</v>
      </c>
    </row>
    <row r="477" spans="1:12" x14ac:dyDescent="0.25">
      <c r="A477" s="1"/>
      <c r="C477" s="1"/>
      <c r="D477" s="1">
        <v>41926</v>
      </c>
      <c r="E477" s="10">
        <v>287760</v>
      </c>
      <c r="F477" s="1">
        <v>41926</v>
      </c>
      <c r="G477">
        <v>-1286.72</v>
      </c>
      <c r="H477" s="1">
        <f t="shared" si="22"/>
        <v>41926</v>
      </c>
      <c r="I477">
        <f>IF(AND(MyRowHidden(ROW())=FALSE,MyRowHidden(ROW()-1)=TRUE),0,(E477-E476)*unitsOfDHp+I476)</f>
        <v>1220820</v>
      </c>
      <c r="J477">
        <f>IF(AND(MyRowHidden(ROW())=FALSE,MyRowHidden(ROW()-1)=TRUE),0,(G477-G476)*unitsOfExo+J476)</f>
        <v>30022.80000000001</v>
      </c>
      <c r="K477" s="9">
        <f t="shared" si="23"/>
        <v>-30022.80000000001</v>
      </c>
      <c r="L477">
        <f t="shared" si="24"/>
        <v>1250842.8</v>
      </c>
    </row>
    <row r="478" spans="1:12" x14ac:dyDescent="0.25">
      <c r="A478" s="1"/>
      <c r="C478" s="1"/>
      <c r="D478" s="1">
        <v>41927</v>
      </c>
      <c r="E478" s="10">
        <v>288528</v>
      </c>
      <c r="F478" s="1">
        <v>41927</v>
      </c>
      <c r="G478">
        <v>-1187.08</v>
      </c>
      <c r="H478" s="1">
        <f t="shared" si="22"/>
        <v>41927</v>
      </c>
      <c r="I478">
        <f>IF(AND(MyRowHidden(ROW())=FALSE,MyRowHidden(ROW()-1)=TRUE),0,(E478-E477)*unitsOfDHp+I477)</f>
        <v>1228500</v>
      </c>
      <c r="J478">
        <f>IF(AND(MyRowHidden(ROW())=FALSE,MyRowHidden(ROW()-1)=TRUE),0,(G478-G477)*unitsOfExo+J477)</f>
        <v>31019.200000000012</v>
      </c>
      <c r="K478" s="9">
        <f t="shared" si="23"/>
        <v>-31019.200000000012</v>
      </c>
      <c r="L478">
        <f t="shared" si="24"/>
        <v>1259519.2</v>
      </c>
    </row>
    <row r="479" spans="1:12" x14ac:dyDescent="0.25">
      <c r="A479" s="1"/>
      <c r="C479" s="1"/>
      <c r="D479" s="1">
        <v>41928</v>
      </c>
      <c r="E479" s="10">
        <v>284594</v>
      </c>
      <c r="F479" s="1">
        <v>41928</v>
      </c>
      <c r="G479">
        <v>-1309.75</v>
      </c>
      <c r="H479" s="1">
        <f t="shared" si="22"/>
        <v>41928</v>
      </c>
      <c r="I479">
        <f>IF(AND(MyRowHidden(ROW())=FALSE,MyRowHidden(ROW()-1)=TRUE),0,(E479-E478)*unitsOfDHp+I478)</f>
        <v>1189160</v>
      </c>
      <c r="J479">
        <f>IF(AND(MyRowHidden(ROW())=FALSE,MyRowHidden(ROW()-1)=TRUE),0,(G479-G478)*unitsOfExo+J478)</f>
        <v>29792.500000000011</v>
      </c>
      <c r="K479" s="9">
        <f t="shared" si="23"/>
        <v>-29792.500000000011</v>
      </c>
      <c r="L479">
        <f t="shared" si="24"/>
        <v>1218952.5</v>
      </c>
    </row>
    <row r="480" spans="1:12" x14ac:dyDescent="0.25">
      <c r="A480" s="1"/>
      <c r="C480" s="1"/>
      <c r="D480" s="1">
        <v>41929</v>
      </c>
      <c r="E480" s="10">
        <v>284734</v>
      </c>
      <c r="F480" s="1">
        <v>41929</v>
      </c>
      <c r="G480">
        <v>-1337.95</v>
      </c>
      <c r="H480" s="1">
        <f t="shared" si="22"/>
        <v>41929</v>
      </c>
      <c r="I480">
        <f>IF(AND(MyRowHidden(ROW())=FALSE,MyRowHidden(ROW()-1)=TRUE),0,(E480-E479)*unitsOfDHp+I479)</f>
        <v>1190560</v>
      </c>
      <c r="J480">
        <f>IF(AND(MyRowHidden(ROW())=FALSE,MyRowHidden(ROW()-1)=TRUE),0,(G480-G479)*unitsOfExo+J479)</f>
        <v>29510.500000000011</v>
      </c>
      <c r="K480" s="9">
        <f t="shared" si="23"/>
        <v>-29510.500000000011</v>
      </c>
      <c r="L480">
        <f t="shared" si="24"/>
        <v>1220070.5</v>
      </c>
    </row>
    <row r="481" spans="1:12" x14ac:dyDescent="0.25">
      <c r="A481" s="1"/>
      <c r="C481" s="1"/>
      <c r="D481" s="1">
        <v>41932</v>
      </c>
      <c r="E481" s="10">
        <v>285704</v>
      </c>
      <c r="F481" s="1">
        <v>41932</v>
      </c>
      <c r="G481">
        <v>-1312.1</v>
      </c>
      <c r="H481" s="1">
        <f t="shared" si="22"/>
        <v>41932</v>
      </c>
      <c r="I481">
        <f>IF(AND(MyRowHidden(ROW())=FALSE,MyRowHidden(ROW()-1)=TRUE),0,(E481-E480)*unitsOfDHp+I480)</f>
        <v>1200260</v>
      </c>
      <c r="J481">
        <f>IF(AND(MyRowHidden(ROW())=FALSE,MyRowHidden(ROW()-1)=TRUE),0,(G481-G480)*unitsOfExo+J480)</f>
        <v>29769.000000000011</v>
      </c>
      <c r="K481" s="9">
        <f t="shared" si="23"/>
        <v>-29769.000000000011</v>
      </c>
      <c r="L481">
        <f t="shared" si="24"/>
        <v>1230029</v>
      </c>
    </row>
    <row r="482" spans="1:12" x14ac:dyDescent="0.25">
      <c r="A482" s="1"/>
      <c r="C482" s="1"/>
      <c r="D482" s="1">
        <v>41933</v>
      </c>
      <c r="E482" s="10">
        <v>285524</v>
      </c>
      <c r="F482" s="1">
        <v>41933</v>
      </c>
      <c r="G482">
        <v>-1312.1</v>
      </c>
      <c r="H482" s="1">
        <f t="shared" si="22"/>
        <v>41933</v>
      </c>
      <c r="I482">
        <f>IF(AND(MyRowHidden(ROW())=FALSE,MyRowHidden(ROW()-1)=TRUE),0,(E482-E481)*unitsOfDHp+I481)</f>
        <v>1198460</v>
      </c>
      <c r="J482">
        <f>IF(AND(MyRowHidden(ROW())=FALSE,MyRowHidden(ROW()-1)=TRUE),0,(G482-G481)*unitsOfExo+J481)</f>
        <v>29769.000000000011</v>
      </c>
      <c r="K482" s="9">
        <f t="shared" si="23"/>
        <v>-29769.000000000011</v>
      </c>
      <c r="L482">
        <f t="shared" si="24"/>
        <v>1228229</v>
      </c>
    </row>
    <row r="483" spans="1:12" x14ac:dyDescent="0.25">
      <c r="A483" s="1"/>
      <c r="C483" s="1"/>
      <c r="D483" s="1">
        <v>41934</v>
      </c>
      <c r="E483" s="10">
        <v>289774</v>
      </c>
      <c r="F483" s="1">
        <v>41934</v>
      </c>
      <c r="G483">
        <v>-1312.1</v>
      </c>
      <c r="H483" s="1">
        <f t="shared" si="22"/>
        <v>41934</v>
      </c>
      <c r="I483">
        <f>IF(AND(MyRowHidden(ROW())=FALSE,MyRowHidden(ROW()-1)=TRUE),0,(E483-E482)*unitsOfDHp+I482)</f>
        <v>1240960</v>
      </c>
      <c r="J483">
        <f>IF(AND(MyRowHidden(ROW())=FALSE,MyRowHidden(ROW()-1)=TRUE),0,(G483-G482)*unitsOfExo+J482)</f>
        <v>29769.000000000011</v>
      </c>
      <c r="K483" s="9">
        <f t="shared" si="23"/>
        <v>-29769.000000000011</v>
      </c>
      <c r="L483">
        <f t="shared" si="24"/>
        <v>1270729</v>
      </c>
    </row>
    <row r="484" spans="1:12" x14ac:dyDescent="0.25">
      <c r="A484" s="1"/>
      <c r="C484" s="1"/>
      <c r="D484" s="1">
        <v>41935</v>
      </c>
      <c r="E484" s="10">
        <v>286444</v>
      </c>
      <c r="F484" s="1">
        <v>41935</v>
      </c>
      <c r="G484">
        <v>-1312.1</v>
      </c>
      <c r="H484" s="1">
        <f t="shared" si="22"/>
        <v>41935</v>
      </c>
      <c r="I484">
        <f>IF(AND(MyRowHidden(ROW())=FALSE,MyRowHidden(ROW()-1)=TRUE),0,(E484-E483)*unitsOfDHp+I483)</f>
        <v>1207660</v>
      </c>
      <c r="J484">
        <f>IF(AND(MyRowHidden(ROW())=FALSE,MyRowHidden(ROW()-1)=TRUE),0,(G484-G483)*unitsOfExo+J483)</f>
        <v>29769.000000000011</v>
      </c>
      <c r="K484" s="9">
        <f t="shared" si="23"/>
        <v>-29769.000000000011</v>
      </c>
      <c r="L484">
        <f t="shared" si="24"/>
        <v>1237429</v>
      </c>
    </row>
    <row r="485" spans="1:12" x14ac:dyDescent="0.25">
      <c r="A485" s="1"/>
      <c r="C485" s="1"/>
      <c r="D485" s="1">
        <v>41936</v>
      </c>
      <c r="E485" s="10">
        <v>290150</v>
      </c>
      <c r="F485" s="1">
        <v>41936</v>
      </c>
      <c r="G485">
        <v>-1327.61</v>
      </c>
      <c r="H485" s="1">
        <f t="shared" si="22"/>
        <v>41936</v>
      </c>
      <c r="I485">
        <f>IF(AND(MyRowHidden(ROW())=FALSE,MyRowHidden(ROW()-1)=TRUE),0,(E485-E484)*unitsOfDHp+I484)</f>
        <v>1244720</v>
      </c>
      <c r="J485">
        <f>IF(AND(MyRowHidden(ROW())=FALSE,MyRowHidden(ROW()-1)=TRUE),0,(G485-G484)*unitsOfExo+J484)</f>
        <v>29613.900000000012</v>
      </c>
      <c r="K485" s="9">
        <f t="shared" si="23"/>
        <v>-29613.900000000012</v>
      </c>
      <c r="L485">
        <f t="shared" si="24"/>
        <v>1274333.8999999999</v>
      </c>
    </row>
    <row r="486" spans="1:12" x14ac:dyDescent="0.25">
      <c r="A486" s="1"/>
      <c r="C486" s="1"/>
      <c r="D486" s="1">
        <v>41939</v>
      </c>
      <c r="E486" s="10">
        <v>290642</v>
      </c>
      <c r="F486" s="1">
        <v>41939</v>
      </c>
      <c r="G486">
        <v>-1442.76</v>
      </c>
      <c r="H486" s="1">
        <f t="shared" si="22"/>
        <v>41939</v>
      </c>
      <c r="I486">
        <f>IF(AND(MyRowHidden(ROW())=FALSE,MyRowHidden(ROW()-1)=TRUE),0,(E486-E485)*unitsOfDHp+I485)</f>
        <v>1249640</v>
      </c>
      <c r="J486">
        <f>IF(AND(MyRowHidden(ROW())=FALSE,MyRowHidden(ROW()-1)=TRUE),0,(G486-G485)*unitsOfExo+J485)</f>
        <v>28462.400000000012</v>
      </c>
      <c r="K486" s="9">
        <f t="shared" si="23"/>
        <v>-28462.400000000012</v>
      </c>
      <c r="L486">
        <f t="shared" si="24"/>
        <v>1278102.3999999999</v>
      </c>
    </row>
    <row r="487" spans="1:12" x14ac:dyDescent="0.25">
      <c r="A487" s="1"/>
      <c r="C487" s="1"/>
      <c r="D487" s="1">
        <v>41940</v>
      </c>
      <c r="E487" s="10">
        <v>289312</v>
      </c>
      <c r="F487" s="1">
        <v>41940</v>
      </c>
      <c r="G487">
        <v>-1442.76</v>
      </c>
      <c r="H487" s="1">
        <f t="shared" si="22"/>
        <v>41940</v>
      </c>
      <c r="I487">
        <f>IF(AND(MyRowHidden(ROW())=FALSE,MyRowHidden(ROW()-1)=TRUE),0,(E487-E486)*unitsOfDHp+I486)</f>
        <v>1236340</v>
      </c>
      <c r="J487">
        <f>IF(AND(MyRowHidden(ROW())=FALSE,MyRowHidden(ROW()-1)=TRUE),0,(G487-G486)*unitsOfExo+J486)</f>
        <v>28462.400000000012</v>
      </c>
      <c r="K487" s="9">
        <f t="shared" si="23"/>
        <v>-28462.400000000012</v>
      </c>
      <c r="L487">
        <f t="shared" si="24"/>
        <v>1264802.3999999999</v>
      </c>
    </row>
    <row r="488" spans="1:12" x14ac:dyDescent="0.25">
      <c r="A488" s="1"/>
      <c r="C488" s="1"/>
      <c r="D488" s="1">
        <v>41941</v>
      </c>
      <c r="E488" s="10">
        <v>287530</v>
      </c>
      <c r="F488" s="1">
        <v>41941</v>
      </c>
      <c r="G488">
        <v>-1442.76</v>
      </c>
      <c r="H488" s="1">
        <f t="shared" si="22"/>
        <v>41941</v>
      </c>
      <c r="I488">
        <f>IF(AND(MyRowHidden(ROW())=FALSE,MyRowHidden(ROW()-1)=TRUE),0,(E488-E487)*unitsOfDHp+I487)</f>
        <v>1218520</v>
      </c>
      <c r="J488">
        <f>IF(AND(MyRowHidden(ROW())=FALSE,MyRowHidden(ROW()-1)=TRUE),0,(G488-G487)*unitsOfExo+J487)</f>
        <v>28462.400000000012</v>
      </c>
      <c r="K488" s="9">
        <f t="shared" si="23"/>
        <v>-28462.400000000012</v>
      </c>
      <c r="L488">
        <f t="shared" si="24"/>
        <v>1246982.3999999999</v>
      </c>
    </row>
    <row r="489" spans="1:12" x14ac:dyDescent="0.25">
      <c r="A489" s="1"/>
      <c r="C489" s="1"/>
      <c r="D489" s="1">
        <v>41942</v>
      </c>
      <c r="E489" s="10">
        <v>288774</v>
      </c>
      <c r="F489" s="1">
        <v>41942</v>
      </c>
      <c r="G489">
        <v>-1442.76</v>
      </c>
      <c r="H489" s="1">
        <f t="shared" si="22"/>
        <v>41942</v>
      </c>
      <c r="I489">
        <f>IF(AND(MyRowHidden(ROW())=FALSE,MyRowHidden(ROW()-1)=TRUE),0,(E489-E488)*unitsOfDHp+I488)</f>
        <v>1230960</v>
      </c>
      <c r="J489">
        <f>IF(AND(MyRowHidden(ROW())=FALSE,MyRowHidden(ROW()-1)=TRUE),0,(G489-G488)*unitsOfExo+J488)</f>
        <v>28462.400000000012</v>
      </c>
      <c r="K489" s="9">
        <f t="shared" si="23"/>
        <v>-28462.400000000012</v>
      </c>
      <c r="L489">
        <f t="shared" si="24"/>
        <v>1259422.3999999999</v>
      </c>
    </row>
    <row r="490" spans="1:12" x14ac:dyDescent="0.25">
      <c r="A490" s="1"/>
      <c r="C490" s="1"/>
      <c r="D490" s="1">
        <v>41943</v>
      </c>
      <c r="E490" s="10">
        <v>292850</v>
      </c>
      <c r="F490" s="1">
        <v>41943</v>
      </c>
      <c r="G490">
        <v>-1457.8</v>
      </c>
      <c r="H490" s="1">
        <f t="shared" si="22"/>
        <v>41943</v>
      </c>
      <c r="I490">
        <f>IF(AND(MyRowHidden(ROW())=FALSE,MyRowHidden(ROW()-1)=TRUE),0,(E490-E489)*unitsOfDHp+I489)</f>
        <v>1271720</v>
      </c>
      <c r="J490">
        <f>IF(AND(MyRowHidden(ROW())=FALSE,MyRowHidden(ROW()-1)=TRUE),0,(G490-G489)*unitsOfExo+J489)</f>
        <v>28312.000000000015</v>
      </c>
      <c r="K490" s="9">
        <f t="shared" si="23"/>
        <v>-28312.000000000015</v>
      </c>
      <c r="L490">
        <f t="shared" si="24"/>
        <v>1300032</v>
      </c>
    </row>
    <row r="491" spans="1:12" x14ac:dyDescent="0.25">
      <c r="A491" s="1"/>
      <c r="C491" s="1"/>
      <c r="D491" s="1">
        <v>41946</v>
      </c>
      <c r="E491" s="10">
        <v>293708</v>
      </c>
      <c r="F491" s="1">
        <v>41946</v>
      </c>
      <c r="G491">
        <v>-3378</v>
      </c>
      <c r="H491" s="1">
        <f t="shared" si="22"/>
        <v>41946</v>
      </c>
      <c r="I491">
        <f>IF(AND(MyRowHidden(ROW())=FALSE,MyRowHidden(ROW()-1)=TRUE),0,(E491-E490)*unitsOfDHp+I490)</f>
        <v>1280300</v>
      </c>
      <c r="J491">
        <f>IF(AND(MyRowHidden(ROW())=FALSE,MyRowHidden(ROW()-1)=TRUE),0,(G491-G490)*unitsOfExo+J490)</f>
        <v>9110.0000000000146</v>
      </c>
      <c r="K491" s="9">
        <f t="shared" si="23"/>
        <v>-9110.0000000000146</v>
      </c>
      <c r="L491">
        <f t="shared" si="24"/>
        <v>1289410</v>
      </c>
    </row>
    <row r="492" spans="1:12" x14ac:dyDescent="0.25">
      <c r="A492" s="1"/>
      <c r="C492" s="1"/>
      <c r="D492" s="1">
        <v>41947</v>
      </c>
      <c r="E492" s="10">
        <v>300264</v>
      </c>
      <c r="F492" s="1">
        <v>41947</v>
      </c>
      <c r="G492">
        <v>-3025.5</v>
      </c>
      <c r="H492" s="1">
        <f t="shared" si="22"/>
        <v>41947</v>
      </c>
      <c r="I492">
        <f>IF(AND(MyRowHidden(ROW())=FALSE,MyRowHidden(ROW()-1)=TRUE),0,(E492-E491)*unitsOfDHp+I491)</f>
        <v>1345860</v>
      </c>
      <c r="J492">
        <f>IF(AND(MyRowHidden(ROW())=FALSE,MyRowHidden(ROW()-1)=TRUE),0,(G492-G491)*unitsOfExo+J491)</f>
        <v>12635.000000000015</v>
      </c>
      <c r="K492" s="9">
        <f t="shared" si="23"/>
        <v>-12635.000000000015</v>
      </c>
      <c r="L492">
        <f t="shared" si="24"/>
        <v>1358495</v>
      </c>
    </row>
    <row r="493" spans="1:12" x14ac:dyDescent="0.25">
      <c r="A493" s="1"/>
      <c r="C493" s="1"/>
      <c r="D493" s="1">
        <v>41948</v>
      </c>
      <c r="E493" s="10">
        <v>297444</v>
      </c>
      <c r="F493" s="1">
        <v>41948</v>
      </c>
      <c r="G493">
        <v>-3359.67</v>
      </c>
      <c r="H493" s="1">
        <f t="shared" si="22"/>
        <v>41948</v>
      </c>
      <c r="I493">
        <f>IF(AND(MyRowHidden(ROW())=FALSE,MyRowHidden(ROW()-1)=TRUE),0,(E493-E492)*unitsOfDHp+I492)</f>
        <v>1317660</v>
      </c>
      <c r="J493">
        <f>IF(AND(MyRowHidden(ROW())=FALSE,MyRowHidden(ROW()-1)=TRUE),0,(G493-G492)*unitsOfExo+J492)</f>
        <v>9293.3000000000138</v>
      </c>
      <c r="K493" s="9">
        <f t="shared" si="23"/>
        <v>-9293.3000000000138</v>
      </c>
      <c r="L493">
        <f t="shared" si="24"/>
        <v>1326953.3</v>
      </c>
    </row>
    <row r="494" spans="1:12" x14ac:dyDescent="0.25">
      <c r="A494" s="1"/>
      <c r="C494" s="1"/>
      <c r="D494" s="1">
        <v>41949</v>
      </c>
      <c r="E494" s="10">
        <v>299134</v>
      </c>
      <c r="F494" s="1">
        <v>41949</v>
      </c>
      <c r="G494">
        <v>-3903.46</v>
      </c>
      <c r="H494" s="1">
        <f t="shared" si="22"/>
        <v>41949</v>
      </c>
      <c r="I494">
        <f>IF(AND(MyRowHidden(ROW())=FALSE,MyRowHidden(ROW()-1)=TRUE),0,(E494-E493)*unitsOfDHp+I493)</f>
        <v>1334560</v>
      </c>
      <c r="J494">
        <f>IF(AND(MyRowHidden(ROW())=FALSE,MyRowHidden(ROW()-1)=TRUE),0,(G494-G493)*unitsOfExo+J493)</f>
        <v>3855.4000000000142</v>
      </c>
      <c r="K494" s="9">
        <f t="shared" si="23"/>
        <v>-3855.4000000000142</v>
      </c>
      <c r="L494">
        <f t="shared" si="24"/>
        <v>1338415.3999999999</v>
      </c>
    </row>
    <row r="495" spans="1:12" x14ac:dyDescent="0.25">
      <c r="A495" s="1"/>
      <c r="C495" s="1"/>
      <c r="D495" s="1">
        <v>41950</v>
      </c>
      <c r="E495" s="10">
        <v>298524</v>
      </c>
      <c r="F495" s="1">
        <v>41950</v>
      </c>
      <c r="G495">
        <v>-3857.4</v>
      </c>
      <c r="H495" s="1">
        <f t="shared" si="22"/>
        <v>41950</v>
      </c>
      <c r="I495">
        <f>IF(AND(MyRowHidden(ROW())=FALSE,MyRowHidden(ROW()-1)=TRUE),0,(E495-E494)*unitsOfDHp+I494)</f>
        <v>1328460</v>
      </c>
      <c r="J495">
        <f>IF(AND(MyRowHidden(ROW())=FALSE,MyRowHidden(ROW()-1)=TRUE),0,(G495-G494)*unitsOfExo+J494)</f>
        <v>4316.0000000000136</v>
      </c>
      <c r="K495" s="9">
        <f t="shared" si="23"/>
        <v>-4316.0000000000136</v>
      </c>
      <c r="L495">
        <f t="shared" si="24"/>
        <v>1332776</v>
      </c>
    </row>
    <row r="496" spans="1:12" x14ac:dyDescent="0.25">
      <c r="A496" s="1"/>
      <c r="C496" s="1"/>
      <c r="D496" s="1">
        <v>41953</v>
      </c>
      <c r="E496" s="10">
        <v>297794</v>
      </c>
      <c r="F496" s="1">
        <v>41953</v>
      </c>
      <c r="G496">
        <v>-3943.88</v>
      </c>
      <c r="H496" s="1">
        <f t="shared" si="22"/>
        <v>41953</v>
      </c>
      <c r="I496">
        <f>IF(AND(MyRowHidden(ROW())=FALSE,MyRowHidden(ROW()-1)=TRUE),0,(E496-E495)*unitsOfDHp+I495)</f>
        <v>1321160</v>
      </c>
      <c r="J496">
        <f>IF(AND(MyRowHidden(ROW())=FALSE,MyRowHidden(ROW()-1)=TRUE),0,(G496-G495)*unitsOfExo+J495)</f>
        <v>3451.2000000000135</v>
      </c>
      <c r="K496" s="9">
        <f t="shared" si="23"/>
        <v>-3451.2000000000135</v>
      </c>
      <c r="L496">
        <f t="shared" si="24"/>
        <v>1324611.2</v>
      </c>
    </row>
    <row r="497" spans="1:12" x14ac:dyDescent="0.25">
      <c r="A497" s="1"/>
      <c r="C497" s="1"/>
      <c r="D497" s="1">
        <v>41954</v>
      </c>
      <c r="E497" s="10">
        <v>298244</v>
      </c>
      <c r="F497" s="1">
        <v>41954</v>
      </c>
      <c r="G497">
        <v>-4145.04</v>
      </c>
      <c r="H497" s="1">
        <f t="shared" si="22"/>
        <v>41954</v>
      </c>
      <c r="I497">
        <f>IF(AND(MyRowHidden(ROW())=FALSE,MyRowHidden(ROW()-1)=TRUE),0,(E497-E496)*unitsOfDHp+I496)</f>
        <v>1325660</v>
      </c>
      <c r="J497">
        <f>IF(AND(MyRowHidden(ROW())=FALSE,MyRowHidden(ROW()-1)=TRUE),0,(G497-G496)*unitsOfExo+J496)</f>
        <v>1439.6000000000149</v>
      </c>
      <c r="K497" s="9">
        <f t="shared" si="23"/>
        <v>-1439.6000000000149</v>
      </c>
      <c r="L497">
        <f t="shared" si="24"/>
        <v>1327099.6000000001</v>
      </c>
    </row>
    <row r="498" spans="1:12" x14ac:dyDescent="0.25">
      <c r="A498" s="1"/>
      <c r="C498" s="1"/>
      <c r="D498" s="1">
        <v>41955</v>
      </c>
      <c r="E498" s="10">
        <v>297724</v>
      </c>
      <c r="F498" s="1">
        <v>41955</v>
      </c>
      <c r="G498">
        <v>-4182.17</v>
      </c>
      <c r="H498" s="1">
        <f t="shared" si="22"/>
        <v>41955</v>
      </c>
      <c r="I498">
        <f>IF(AND(MyRowHidden(ROW())=FALSE,MyRowHidden(ROW()-1)=TRUE),0,(E498-E497)*unitsOfDHp+I497)</f>
        <v>1320460</v>
      </c>
      <c r="J498">
        <f>IF(AND(MyRowHidden(ROW())=FALSE,MyRowHidden(ROW()-1)=TRUE),0,(G498-G497)*unitsOfExo+J497)</f>
        <v>1068.3000000000138</v>
      </c>
      <c r="K498" s="9">
        <f t="shared" si="23"/>
        <v>-1068.3000000000138</v>
      </c>
      <c r="L498">
        <f t="shared" si="24"/>
        <v>1321528.3</v>
      </c>
    </row>
    <row r="499" spans="1:12" x14ac:dyDescent="0.25">
      <c r="A499" s="1"/>
      <c r="C499" s="1"/>
      <c r="D499" s="1">
        <v>41956</v>
      </c>
      <c r="E499" s="10">
        <v>295934</v>
      </c>
      <c r="F499" s="1">
        <v>41956</v>
      </c>
      <c r="G499">
        <v>-4521.9799999999996</v>
      </c>
      <c r="H499" s="1">
        <f t="shared" si="22"/>
        <v>41956</v>
      </c>
      <c r="I499">
        <f>IF(AND(MyRowHidden(ROW())=FALSE,MyRowHidden(ROW()-1)=TRUE),0,(E499-E498)*unitsOfDHp+I498)</f>
        <v>1302560</v>
      </c>
      <c r="J499">
        <f>IF(AND(MyRowHidden(ROW())=FALSE,MyRowHidden(ROW()-1)=TRUE),0,(G499-G498)*unitsOfExo+J498)</f>
        <v>-2329.7999999999811</v>
      </c>
      <c r="K499" s="9">
        <f t="shared" si="23"/>
        <v>2329.7999999999811</v>
      </c>
      <c r="L499">
        <f t="shared" si="24"/>
        <v>1300230.2</v>
      </c>
    </row>
    <row r="500" spans="1:12" x14ac:dyDescent="0.25">
      <c r="A500" s="1"/>
      <c r="C500" s="1"/>
      <c r="D500" s="1">
        <v>41957</v>
      </c>
      <c r="E500" s="10">
        <v>295554</v>
      </c>
      <c r="F500" s="1">
        <v>41957</v>
      </c>
      <c r="G500">
        <v>-4521.9799999999996</v>
      </c>
      <c r="H500" s="1">
        <f t="shared" si="22"/>
        <v>41957</v>
      </c>
      <c r="I500">
        <f>IF(AND(MyRowHidden(ROW())=FALSE,MyRowHidden(ROW()-1)=TRUE),0,(E500-E499)*unitsOfDHp+I499)</f>
        <v>1298760</v>
      </c>
      <c r="J500">
        <f>IF(AND(MyRowHidden(ROW())=FALSE,MyRowHidden(ROW()-1)=TRUE),0,(G500-G499)*unitsOfExo+J499)</f>
        <v>-2329.7999999999811</v>
      </c>
      <c r="K500" s="9">
        <f t="shared" si="23"/>
        <v>2329.7999999999811</v>
      </c>
      <c r="L500">
        <f t="shared" si="24"/>
        <v>1296430.2</v>
      </c>
    </row>
    <row r="501" spans="1:12" x14ac:dyDescent="0.25">
      <c r="A501" s="1"/>
      <c r="C501" s="1"/>
      <c r="D501" s="1">
        <v>41960</v>
      </c>
      <c r="E501" s="10">
        <v>295554</v>
      </c>
      <c r="F501" s="1">
        <v>41960</v>
      </c>
      <c r="G501">
        <v>-4521.9799999999996</v>
      </c>
      <c r="H501" s="1">
        <f t="shared" si="22"/>
        <v>41960</v>
      </c>
      <c r="I501">
        <f>IF(AND(MyRowHidden(ROW())=FALSE,MyRowHidden(ROW()-1)=TRUE),0,(E501-E500)*unitsOfDHp+I500)</f>
        <v>1298760</v>
      </c>
      <c r="J501">
        <f>IF(AND(MyRowHidden(ROW())=FALSE,MyRowHidden(ROW()-1)=TRUE),0,(G501-G500)*unitsOfExo+J500)</f>
        <v>-2329.7999999999811</v>
      </c>
      <c r="K501" s="9">
        <f t="shared" si="23"/>
        <v>2329.7999999999811</v>
      </c>
      <c r="L501">
        <f t="shared" si="24"/>
        <v>1296430.2</v>
      </c>
    </row>
    <row r="502" spans="1:12" x14ac:dyDescent="0.25">
      <c r="A502" s="1"/>
      <c r="C502" s="1"/>
      <c r="D502" s="1">
        <v>41961</v>
      </c>
      <c r="E502" s="10">
        <v>295814</v>
      </c>
      <c r="F502" s="1">
        <v>41961</v>
      </c>
      <c r="G502">
        <v>-4521.9799999999996</v>
      </c>
      <c r="H502" s="1">
        <f t="shared" si="22"/>
        <v>41961</v>
      </c>
      <c r="I502">
        <f>IF(AND(MyRowHidden(ROW())=FALSE,MyRowHidden(ROW()-1)=TRUE),0,(E502-E501)*unitsOfDHp+I501)</f>
        <v>1301360</v>
      </c>
      <c r="J502">
        <f>IF(AND(MyRowHidden(ROW())=FALSE,MyRowHidden(ROW()-1)=TRUE),0,(G502-G501)*unitsOfExo+J501)</f>
        <v>-2329.7999999999811</v>
      </c>
      <c r="K502" s="9">
        <f t="shared" si="23"/>
        <v>2329.7999999999811</v>
      </c>
      <c r="L502">
        <f t="shared" si="24"/>
        <v>1299030.2</v>
      </c>
    </row>
    <row r="503" spans="1:12" x14ac:dyDescent="0.25">
      <c r="A503" s="1"/>
      <c r="C503" s="1"/>
      <c r="D503" s="1">
        <v>41962</v>
      </c>
      <c r="E503" s="10">
        <v>295984</v>
      </c>
      <c r="F503" s="1">
        <v>41962</v>
      </c>
      <c r="G503">
        <v>-4586.84</v>
      </c>
      <c r="H503" s="1">
        <f t="shared" si="22"/>
        <v>41962</v>
      </c>
      <c r="I503">
        <f>IF(AND(MyRowHidden(ROW())=FALSE,MyRowHidden(ROW()-1)=TRUE),0,(E503-E502)*unitsOfDHp+I502)</f>
        <v>1303060</v>
      </c>
      <c r="J503">
        <f>IF(AND(MyRowHidden(ROW())=FALSE,MyRowHidden(ROW()-1)=TRUE),0,(G503-G502)*unitsOfExo+J502)</f>
        <v>-2978.3999999999869</v>
      </c>
      <c r="K503" s="9">
        <f t="shared" si="23"/>
        <v>2978.3999999999869</v>
      </c>
      <c r="L503">
        <f t="shared" si="24"/>
        <v>1300081.6000000001</v>
      </c>
    </row>
    <row r="504" spans="1:12" x14ac:dyDescent="0.25">
      <c r="A504" s="1"/>
      <c r="C504" s="1"/>
      <c r="D504" s="1">
        <v>41963</v>
      </c>
      <c r="E504" s="10">
        <v>295664</v>
      </c>
      <c r="F504" s="1">
        <v>41963</v>
      </c>
      <c r="G504">
        <v>-4754.16</v>
      </c>
      <c r="H504" s="1">
        <f t="shared" si="22"/>
        <v>41963</v>
      </c>
      <c r="I504">
        <f>IF(AND(MyRowHidden(ROW())=FALSE,MyRowHidden(ROW()-1)=TRUE),0,(E504-E503)*unitsOfDHp+I503)</f>
        <v>1299860</v>
      </c>
      <c r="J504">
        <f>IF(AND(MyRowHidden(ROW())=FALSE,MyRowHidden(ROW()-1)=TRUE),0,(G504-G503)*unitsOfExo+J503)</f>
        <v>-4651.599999999984</v>
      </c>
      <c r="K504" s="9">
        <f t="shared" si="23"/>
        <v>4651.599999999984</v>
      </c>
      <c r="L504">
        <f t="shared" si="24"/>
        <v>1295208.3999999999</v>
      </c>
    </row>
    <row r="505" spans="1:12" x14ac:dyDescent="0.25">
      <c r="A505" s="1"/>
      <c r="C505" s="1"/>
      <c r="D505" s="1">
        <v>41964</v>
      </c>
      <c r="E505" s="10">
        <v>295584</v>
      </c>
      <c r="F505" s="1">
        <v>41964</v>
      </c>
      <c r="G505">
        <v>-4723.1400000000003</v>
      </c>
      <c r="H505" s="1">
        <f t="shared" si="22"/>
        <v>41964</v>
      </c>
      <c r="I505">
        <f>IF(AND(MyRowHidden(ROW())=FALSE,MyRowHidden(ROW()-1)=TRUE),0,(E505-E504)*unitsOfDHp+I504)</f>
        <v>1299060</v>
      </c>
      <c r="J505">
        <f>IF(AND(MyRowHidden(ROW())=FALSE,MyRowHidden(ROW()-1)=TRUE),0,(G505-G504)*unitsOfExo+J504)</f>
        <v>-4341.3999999999887</v>
      </c>
      <c r="K505" s="9">
        <f t="shared" si="23"/>
        <v>4341.3999999999887</v>
      </c>
      <c r="L505">
        <f t="shared" si="24"/>
        <v>1294718.6000000001</v>
      </c>
    </row>
    <row r="506" spans="1:12" x14ac:dyDescent="0.25">
      <c r="A506" s="1"/>
      <c r="C506" s="1"/>
      <c r="D506" s="1">
        <v>41967</v>
      </c>
      <c r="E506" s="10">
        <v>295644</v>
      </c>
      <c r="F506" s="1">
        <v>41967</v>
      </c>
      <c r="G506">
        <v>-4673.79</v>
      </c>
      <c r="H506" s="1">
        <f t="shared" si="22"/>
        <v>41967</v>
      </c>
      <c r="I506">
        <f>IF(AND(MyRowHidden(ROW())=FALSE,MyRowHidden(ROW()-1)=TRUE),0,(E506-E505)*unitsOfDHp+I505)</f>
        <v>1299660</v>
      </c>
      <c r="J506">
        <f>IF(AND(MyRowHidden(ROW())=FALSE,MyRowHidden(ROW()-1)=TRUE),0,(G506-G505)*unitsOfExo+J505)</f>
        <v>-3847.8999999999851</v>
      </c>
      <c r="K506" s="9">
        <f t="shared" si="23"/>
        <v>3847.8999999999851</v>
      </c>
      <c r="L506">
        <f t="shared" si="24"/>
        <v>1295812.1000000001</v>
      </c>
    </row>
    <row r="507" spans="1:12" x14ac:dyDescent="0.25">
      <c r="A507" s="1"/>
      <c r="C507" s="1"/>
      <c r="D507" s="1">
        <v>41968</v>
      </c>
      <c r="E507" s="10">
        <v>294974</v>
      </c>
      <c r="F507" s="1">
        <v>41968</v>
      </c>
      <c r="G507">
        <v>-4747.58</v>
      </c>
      <c r="H507" s="1">
        <f t="shared" si="22"/>
        <v>41968</v>
      </c>
      <c r="I507">
        <f>IF(AND(MyRowHidden(ROW())=FALSE,MyRowHidden(ROW()-1)=TRUE),0,(E507-E506)*unitsOfDHp+I506)</f>
        <v>1292960</v>
      </c>
      <c r="J507">
        <f>IF(AND(MyRowHidden(ROW())=FALSE,MyRowHidden(ROW()-1)=TRUE),0,(G507-G506)*unitsOfExo+J506)</f>
        <v>-4585.7999999999847</v>
      </c>
      <c r="K507" s="9">
        <f t="shared" si="23"/>
        <v>4585.7999999999847</v>
      </c>
      <c r="L507">
        <f t="shared" si="24"/>
        <v>1288374.2</v>
      </c>
    </row>
    <row r="508" spans="1:12" x14ac:dyDescent="0.25">
      <c r="A508" s="1"/>
      <c r="C508" s="1"/>
      <c r="D508" s="1">
        <v>41969</v>
      </c>
      <c r="E508" s="10">
        <v>294834</v>
      </c>
      <c r="F508" s="1">
        <v>41969</v>
      </c>
      <c r="G508">
        <v>-4791.29</v>
      </c>
      <c r="H508" s="1">
        <f t="shared" si="22"/>
        <v>41969</v>
      </c>
      <c r="I508">
        <f>IF(AND(MyRowHidden(ROW())=FALSE,MyRowHidden(ROW()-1)=TRUE),0,(E508-E507)*unitsOfDHp+I507)</f>
        <v>1291560</v>
      </c>
      <c r="J508">
        <f>IF(AND(MyRowHidden(ROW())=FALSE,MyRowHidden(ROW()-1)=TRUE),0,(G508-G507)*unitsOfExo+J507)</f>
        <v>-5022.8999999999851</v>
      </c>
      <c r="K508" s="9">
        <f t="shared" si="23"/>
        <v>5022.8999999999851</v>
      </c>
      <c r="L508">
        <f t="shared" si="24"/>
        <v>1286537.1000000001</v>
      </c>
    </row>
    <row r="509" spans="1:12" x14ac:dyDescent="0.25">
      <c r="A509" s="1"/>
      <c r="C509" s="1"/>
      <c r="D509" s="1">
        <v>41970</v>
      </c>
      <c r="E509" s="10">
        <v>292434</v>
      </c>
      <c r="F509" s="1">
        <v>41970</v>
      </c>
      <c r="G509">
        <v>-4791.29</v>
      </c>
      <c r="H509" s="1">
        <f t="shared" si="22"/>
        <v>41970</v>
      </c>
      <c r="I509">
        <f>IF(AND(MyRowHidden(ROW())=FALSE,MyRowHidden(ROW()-1)=TRUE),0,(E509-E508)*unitsOfDHp+I508)</f>
        <v>1267560</v>
      </c>
      <c r="J509">
        <f>IF(AND(MyRowHidden(ROW())=FALSE,MyRowHidden(ROW()-1)=TRUE),0,(G509-G508)*unitsOfExo+J508)</f>
        <v>-5022.8999999999851</v>
      </c>
      <c r="K509" s="9">
        <f t="shared" si="23"/>
        <v>5022.8999999999851</v>
      </c>
      <c r="L509">
        <f t="shared" si="24"/>
        <v>1262537.1000000001</v>
      </c>
    </row>
    <row r="510" spans="1:12" x14ac:dyDescent="0.25">
      <c r="A510" s="1"/>
      <c r="C510" s="1"/>
      <c r="D510" s="1">
        <v>41971</v>
      </c>
      <c r="E510" s="10">
        <v>291314</v>
      </c>
      <c r="F510" s="1">
        <v>41971</v>
      </c>
      <c r="G510">
        <v>-4791.29</v>
      </c>
      <c r="H510" s="1">
        <f t="shared" si="22"/>
        <v>41971</v>
      </c>
      <c r="I510">
        <f>IF(AND(MyRowHidden(ROW())=FALSE,MyRowHidden(ROW()-1)=TRUE),0,(E510-E509)*unitsOfDHp+I509)</f>
        <v>1256360</v>
      </c>
      <c r="J510">
        <f>IF(AND(MyRowHidden(ROW())=FALSE,MyRowHidden(ROW()-1)=TRUE),0,(G510-G509)*unitsOfExo+J509)</f>
        <v>-5022.8999999999851</v>
      </c>
      <c r="K510" s="9">
        <f t="shared" si="23"/>
        <v>5022.8999999999851</v>
      </c>
      <c r="L510">
        <f t="shared" si="24"/>
        <v>1251337.1000000001</v>
      </c>
    </row>
    <row r="511" spans="1:12" x14ac:dyDescent="0.25">
      <c r="A511" s="1"/>
      <c r="C511" s="1"/>
      <c r="D511" s="1">
        <v>41974</v>
      </c>
      <c r="E511" s="10">
        <v>292074</v>
      </c>
      <c r="F511" s="1">
        <v>41974</v>
      </c>
      <c r="G511">
        <v>-6680</v>
      </c>
      <c r="H511" s="1">
        <f t="shared" si="22"/>
        <v>41974</v>
      </c>
      <c r="I511">
        <f>IF(AND(MyRowHidden(ROW())=FALSE,MyRowHidden(ROW()-1)=TRUE),0,(E511-E510)*unitsOfDHp+I510)</f>
        <v>1263960</v>
      </c>
      <c r="J511">
        <f>IF(AND(MyRowHidden(ROW())=FALSE,MyRowHidden(ROW()-1)=TRUE),0,(G511-G510)*unitsOfExo+J510)</f>
        <v>-23909.999999999985</v>
      </c>
      <c r="K511" s="9">
        <f t="shared" si="23"/>
        <v>23909.999999999985</v>
      </c>
      <c r="L511">
        <f t="shared" si="24"/>
        <v>1240050</v>
      </c>
    </row>
    <row r="512" spans="1:12" x14ac:dyDescent="0.25">
      <c r="A512" s="1"/>
      <c r="C512" s="1"/>
      <c r="D512" s="1">
        <v>41975</v>
      </c>
      <c r="E512" s="10">
        <v>291224</v>
      </c>
      <c r="F512" s="1">
        <v>41975</v>
      </c>
      <c r="G512">
        <v>-7072.45</v>
      </c>
      <c r="H512" s="1">
        <f t="shared" si="22"/>
        <v>41975</v>
      </c>
      <c r="I512">
        <f>IF(AND(MyRowHidden(ROW())=FALSE,MyRowHidden(ROW()-1)=TRUE),0,(E512-E511)*unitsOfDHp+I511)</f>
        <v>1255460</v>
      </c>
      <c r="J512">
        <f>IF(AND(MyRowHidden(ROW())=FALSE,MyRowHidden(ROW()-1)=TRUE),0,(G512-G511)*unitsOfExo+J511)</f>
        <v>-27834.499999999985</v>
      </c>
      <c r="K512" s="9">
        <f t="shared" si="23"/>
        <v>27834.499999999985</v>
      </c>
      <c r="L512">
        <f t="shared" si="24"/>
        <v>1227625.5</v>
      </c>
    </row>
    <row r="513" spans="1:12" x14ac:dyDescent="0.25">
      <c r="A513" s="1"/>
      <c r="C513" s="1"/>
      <c r="D513" s="1">
        <v>41976</v>
      </c>
      <c r="E513" s="10">
        <v>291294</v>
      </c>
      <c r="F513" s="1">
        <v>41976</v>
      </c>
      <c r="G513">
        <v>-7072.45</v>
      </c>
      <c r="H513" s="1">
        <f t="shared" si="22"/>
        <v>41976</v>
      </c>
      <c r="I513">
        <f>IF(AND(MyRowHidden(ROW())=FALSE,MyRowHidden(ROW()-1)=TRUE),0,(E513-E512)*unitsOfDHp+I512)</f>
        <v>1256160</v>
      </c>
      <c r="J513">
        <f>IF(AND(MyRowHidden(ROW())=FALSE,MyRowHidden(ROW()-1)=TRUE),0,(G513-G512)*unitsOfExo+J512)</f>
        <v>-27834.499999999985</v>
      </c>
      <c r="K513" s="9">
        <f t="shared" si="23"/>
        <v>27834.499999999985</v>
      </c>
      <c r="L513">
        <f t="shared" si="24"/>
        <v>1228325.5</v>
      </c>
    </row>
    <row r="514" spans="1:12" x14ac:dyDescent="0.25">
      <c r="A514" s="1"/>
      <c r="C514" s="1"/>
      <c r="D514" s="1">
        <v>41977</v>
      </c>
      <c r="E514" s="10">
        <v>290604</v>
      </c>
      <c r="F514" s="1">
        <v>41977</v>
      </c>
      <c r="G514">
        <v>-7072.45</v>
      </c>
      <c r="H514" s="1">
        <f t="shared" si="22"/>
        <v>41977</v>
      </c>
      <c r="I514">
        <f>IF(AND(MyRowHidden(ROW())=FALSE,MyRowHidden(ROW()-1)=TRUE),0,(E514-E513)*unitsOfDHp+I513)</f>
        <v>1249260</v>
      </c>
      <c r="J514">
        <f>IF(AND(MyRowHidden(ROW())=FALSE,MyRowHidden(ROW()-1)=TRUE),0,(G514-G513)*unitsOfExo+J513)</f>
        <v>-27834.499999999985</v>
      </c>
      <c r="K514" s="9">
        <f t="shared" si="23"/>
        <v>27834.499999999985</v>
      </c>
      <c r="L514">
        <f t="shared" si="24"/>
        <v>1221425.5</v>
      </c>
    </row>
    <row r="515" spans="1:12" x14ac:dyDescent="0.25">
      <c r="A515" s="1"/>
      <c r="C515" s="1"/>
      <c r="D515" s="1">
        <v>41978</v>
      </c>
      <c r="E515" s="10">
        <v>289954</v>
      </c>
      <c r="F515" s="1">
        <v>41978</v>
      </c>
      <c r="G515">
        <v>-7529.29</v>
      </c>
      <c r="H515" s="1">
        <f t="shared" si="22"/>
        <v>41978</v>
      </c>
      <c r="I515">
        <f>IF(AND(MyRowHidden(ROW())=FALSE,MyRowHidden(ROW()-1)=TRUE),0,(E515-E514)*unitsOfDHp+I514)</f>
        <v>1242760</v>
      </c>
      <c r="J515">
        <f>IF(AND(MyRowHidden(ROW())=FALSE,MyRowHidden(ROW()-1)=TRUE),0,(G515-G514)*unitsOfExo+J514)</f>
        <v>-32402.899999999987</v>
      </c>
      <c r="K515" s="9">
        <f t="shared" si="23"/>
        <v>32402.899999999987</v>
      </c>
      <c r="L515">
        <f t="shared" si="24"/>
        <v>1210357.1000000001</v>
      </c>
    </row>
    <row r="516" spans="1:12" x14ac:dyDescent="0.25">
      <c r="A516" s="1"/>
      <c r="C516" s="1"/>
      <c r="D516" s="1">
        <v>41981</v>
      </c>
      <c r="E516" s="10">
        <v>288864</v>
      </c>
      <c r="F516" s="1">
        <v>41981</v>
      </c>
      <c r="G516">
        <v>-7529.29</v>
      </c>
      <c r="H516" s="1">
        <f t="shared" si="22"/>
        <v>41981</v>
      </c>
      <c r="I516">
        <f>IF(AND(MyRowHidden(ROW())=FALSE,MyRowHidden(ROW()-1)=TRUE),0,(E516-E515)*unitsOfDHp+I515)</f>
        <v>1231860</v>
      </c>
      <c r="J516">
        <f>IF(AND(MyRowHidden(ROW())=FALSE,MyRowHidden(ROW()-1)=TRUE),0,(G516-G515)*unitsOfExo+J515)</f>
        <v>-32402.899999999987</v>
      </c>
      <c r="K516" s="9">
        <f t="shared" si="23"/>
        <v>32402.899999999987</v>
      </c>
      <c r="L516">
        <f t="shared" si="24"/>
        <v>1199457.1000000001</v>
      </c>
    </row>
    <row r="517" spans="1:12" x14ac:dyDescent="0.25">
      <c r="A517" s="1"/>
      <c r="C517" s="1"/>
      <c r="D517" s="1">
        <v>41982</v>
      </c>
      <c r="E517" s="10">
        <v>289154</v>
      </c>
      <c r="F517" s="1">
        <v>41982</v>
      </c>
      <c r="G517">
        <v>-8159.56</v>
      </c>
      <c r="H517" s="1">
        <f t="shared" si="22"/>
        <v>41982</v>
      </c>
      <c r="I517">
        <f>IF(AND(MyRowHidden(ROW())=FALSE,MyRowHidden(ROW()-1)=TRUE),0,(E517-E516)*unitsOfDHp+I516)</f>
        <v>1234760</v>
      </c>
      <c r="J517">
        <f>IF(AND(MyRowHidden(ROW())=FALSE,MyRowHidden(ROW()-1)=TRUE),0,(G517-G516)*unitsOfExo+J516)</f>
        <v>-38705.599999999991</v>
      </c>
      <c r="K517" s="9">
        <f t="shared" si="23"/>
        <v>38705.599999999991</v>
      </c>
      <c r="L517">
        <f t="shared" si="24"/>
        <v>1196054.3999999999</v>
      </c>
    </row>
    <row r="518" spans="1:12" x14ac:dyDescent="0.25">
      <c r="A518" s="1"/>
      <c r="C518" s="1"/>
      <c r="D518" s="1">
        <v>41983</v>
      </c>
      <c r="E518" s="10">
        <v>288834</v>
      </c>
      <c r="F518" s="1">
        <v>41983</v>
      </c>
      <c r="G518">
        <v>-8480.1</v>
      </c>
      <c r="H518" s="1">
        <f t="shared" si="22"/>
        <v>41983</v>
      </c>
      <c r="I518">
        <f>IF(AND(MyRowHidden(ROW())=FALSE,MyRowHidden(ROW()-1)=TRUE),0,(E518-E517)*unitsOfDHp+I517)</f>
        <v>1231560</v>
      </c>
      <c r="J518">
        <f>IF(AND(MyRowHidden(ROW())=FALSE,MyRowHidden(ROW()-1)=TRUE),0,(G518-G517)*unitsOfExo+J517)</f>
        <v>-41910.999999999993</v>
      </c>
      <c r="K518" s="9">
        <f t="shared" si="23"/>
        <v>41910.999999999993</v>
      </c>
      <c r="L518">
        <f t="shared" si="24"/>
        <v>1189649</v>
      </c>
    </row>
    <row r="519" spans="1:12" x14ac:dyDescent="0.25">
      <c r="A519" s="1"/>
      <c r="C519" s="1"/>
      <c r="D519" s="1">
        <v>41984</v>
      </c>
      <c r="E519" s="10">
        <v>288894</v>
      </c>
      <c r="F519" s="1">
        <v>41984</v>
      </c>
      <c r="G519">
        <v>-8480.1</v>
      </c>
      <c r="H519" s="1">
        <f t="shared" si="22"/>
        <v>41984</v>
      </c>
      <c r="I519">
        <f>IF(AND(MyRowHidden(ROW())=FALSE,MyRowHidden(ROW()-1)=TRUE),0,(E519-E518)*unitsOfDHp+I518)</f>
        <v>1232160</v>
      </c>
      <c r="J519">
        <f>IF(AND(MyRowHidden(ROW())=FALSE,MyRowHidden(ROW()-1)=TRUE),0,(G519-G518)*unitsOfExo+J518)</f>
        <v>-41910.999999999993</v>
      </c>
      <c r="K519" s="9">
        <f t="shared" si="23"/>
        <v>41910.999999999993</v>
      </c>
      <c r="L519">
        <f t="shared" si="24"/>
        <v>1190249</v>
      </c>
    </row>
    <row r="520" spans="1:12" x14ac:dyDescent="0.25">
      <c r="A520" s="1"/>
      <c r="C520" s="1"/>
      <c r="D520" s="1">
        <v>41985</v>
      </c>
      <c r="E520" s="10">
        <v>288884</v>
      </c>
      <c r="F520" s="1">
        <v>41985</v>
      </c>
      <c r="G520">
        <v>-9174.2900000000009</v>
      </c>
      <c r="H520" s="1">
        <f t="shared" si="22"/>
        <v>41985</v>
      </c>
      <c r="I520">
        <f>IF(AND(MyRowHidden(ROW())=FALSE,MyRowHidden(ROW()-1)=TRUE),0,(E520-E519)*unitsOfDHp+I519)</f>
        <v>1232060</v>
      </c>
      <c r="J520">
        <f>IF(AND(MyRowHidden(ROW())=FALSE,MyRowHidden(ROW()-1)=TRUE),0,(G520-G519)*unitsOfExo+J519)</f>
        <v>-48852.899999999994</v>
      </c>
      <c r="K520" s="9">
        <f t="shared" si="23"/>
        <v>48852.899999999994</v>
      </c>
      <c r="L520">
        <f t="shared" si="24"/>
        <v>1183207.1000000001</v>
      </c>
    </row>
    <row r="521" spans="1:12" x14ac:dyDescent="0.25">
      <c r="A521" s="1"/>
      <c r="C521" s="1"/>
      <c r="D521" s="1">
        <v>41988</v>
      </c>
      <c r="E521" s="10">
        <v>287984</v>
      </c>
      <c r="F521" s="1">
        <v>41988</v>
      </c>
      <c r="G521">
        <v>-9814.9</v>
      </c>
      <c r="H521" s="1">
        <f t="shared" si="22"/>
        <v>41988</v>
      </c>
      <c r="I521">
        <f>IF(AND(MyRowHidden(ROW())=FALSE,MyRowHidden(ROW()-1)=TRUE),0,(E521-E520)*unitsOfDHp+I520)</f>
        <v>1223060</v>
      </c>
      <c r="J521">
        <f>IF(AND(MyRowHidden(ROW())=FALSE,MyRowHidden(ROW()-1)=TRUE),0,(G521-G520)*unitsOfExo+J520)</f>
        <v>-55258.999999999985</v>
      </c>
      <c r="K521" s="9">
        <f t="shared" si="23"/>
        <v>55258.999999999985</v>
      </c>
      <c r="L521">
        <f t="shared" si="24"/>
        <v>1167801</v>
      </c>
    </row>
    <row r="522" spans="1:12" x14ac:dyDescent="0.25">
      <c r="A522" s="1"/>
      <c r="C522" s="1"/>
      <c r="D522" s="1">
        <v>41989</v>
      </c>
      <c r="E522" s="10">
        <v>288564</v>
      </c>
      <c r="F522" s="1">
        <v>41989</v>
      </c>
      <c r="G522">
        <v>-9873.65</v>
      </c>
      <c r="H522" s="1">
        <f t="shared" si="22"/>
        <v>41989</v>
      </c>
      <c r="I522">
        <f>IF(AND(MyRowHidden(ROW())=FALSE,MyRowHidden(ROW()-1)=TRUE),0,(E522-E521)*unitsOfDHp+I521)</f>
        <v>1228860</v>
      </c>
      <c r="J522">
        <f>IF(AND(MyRowHidden(ROW())=FALSE,MyRowHidden(ROW()-1)=TRUE),0,(G522-G521)*unitsOfExo+J521)</f>
        <v>-55846.499999999985</v>
      </c>
      <c r="K522" s="9">
        <f t="shared" si="23"/>
        <v>55846.499999999985</v>
      </c>
      <c r="L522">
        <f t="shared" si="24"/>
        <v>1173013.5</v>
      </c>
    </row>
    <row r="523" spans="1:12" x14ac:dyDescent="0.25">
      <c r="A523" s="1"/>
      <c r="C523" s="1"/>
      <c r="D523" s="1">
        <v>41990</v>
      </c>
      <c r="E523" s="10">
        <v>289284</v>
      </c>
      <c r="F523" s="1">
        <v>41990</v>
      </c>
      <c r="G523">
        <v>-9606.69</v>
      </c>
      <c r="H523" s="1">
        <f t="shared" si="22"/>
        <v>41990</v>
      </c>
      <c r="I523">
        <f>IF(AND(MyRowHidden(ROW())=FALSE,MyRowHidden(ROW()-1)=TRUE),0,(E523-E522)*unitsOfDHp+I522)</f>
        <v>1236060</v>
      </c>
      <c r="J523">
        <f>IF(AND(MyRowHidden(ROW())=FALSE,MyRowHidden(ROW()-1)=TRUE),0,(G523-G522)*unitsOfExo+J522)</f>
        <v>-53176.899999999994</v>
      </c>
      <c r="K523" s="9">
        <f t="shared" si="23"/>
        <v>53176.899999999994</v>
      </c>
      <c r="L523">
        <f t="shared" si="24"/>
        <v>1182883.1000000001</v>
      </c>
    </row>
    <row r="524" spans="1:12" x14ac:dyDescent="0.25">
      <c r="A524" s="1"/>
      <c r="C524" s="1"/>
      <c r="D524" s="1">
        <v>41991</v>
      </c>
      <c r="E524" s="10">
        <v>287864</v>
      </c>
      <c r="F524" s="1">
        <v>41991</v>
      </c>
      <c r="G524">
        <v>-9486.84</v>
      </c>
      <c r="H524" s="1">
        <f t="shared" si="22"/>
        <v>41991</v>
      </c>
      <c r="I524">
        <f>IF(AND(MyRowHidden(ROW())=FALSE,MyRowHidden(ROW()-1)=TRUE),0,(E524-E523)*unitsOfDHp+I523)</f>
        <v>1221860</v>
      </c>
      <c r="J524">
        <f>IF(AND(MyRowHidden(ROW())=FALSE,MyRowHidden(ROW()-1)=TRUE),0,(G524-G523)*unitsOfExo+J523)</f>
        <v>-51978.399999999994</v>
      </c>
      <c r="K524" s="9">
        <f t="shared" si="23"/>
        <v>51978.399999999994</v>
      </c>
      <c r="L524">
        <f t="shared" si="24"/>
        <v>1169881.6000000001</v>
      </c>
    </row>
    <row r="525" spans="1:12" x14ac:dyDescent="0.25">
      <c r="A525" s="1"/>
      <c r="C525" s="1"/>
      <c r="D525" s="1">
        <v>41992</v>
      </c>
      <c r="E525" s="10">
        <v>288374</v>
      </c>
      <c r="F525" s="1">
        <v>41992</v>
      </c>
      <c r="G525">
        <v>-9721.84</v>
      </c>
      <c r="H525" s="1">
        <f t="shared" ref="H525:H588" si="25">D525</f>
        <v>41992</v>
      </c>
      <c r="I525">
        <f>IF(AND(MyRowHidden(ROW())=FALSE,MyRowHidden(ROW()-1)=TRUE),0,(E525-E524)*unitsOfDHp+I524)</f>
        <v>1226960</v>
      </c>
      <c r="J525">
        <f>IF(AND(MyRowHidden(ROW())=FALSE,MyRowHidden(ROW()-1)=TRUE),0,(G525-G524)*unitsOfExo+J524)</f>
        <v>-54328.399999999994</v>
      </c>
      <c r="K525" s="9">
        <f t="shared" ref="K525:K588" si="26">-(J525-J524)+K524</f>
        <v>54328.399999999994</v>
      </c>
      <c r="L525">
        <f t="shared" ref="L525:L588" si="27">I525+J525</f>
        <v>1172631.6000000001</v>
      </c>
    </row>
    <row r="526" spans="1:12" x14ac:dyDescent="0.25">
      <c r="A526" s="1"/>
      <c r="C526" s="1"/>
      <c r="D526" s="1">
        <v>41995</v>
      </c>
      <c r="E526" s="10">
        <v>287974</v>
      </c>
      <c r="F526" s="1">
        <v>41995</v>
      </c>
      <c r="G526">
        <v>-9628.31</v>
      </c>
      <c r="H526" s="1">
        <f t="shared" si="25"/>
        <v>41995</v>
      </c>
      <c r="I526">
        <f>IF(AND(MyRowHidden(ROW())=FALSE,MyRowHidden(ROW()-1)=TRUE),0,(E526-E525)*unitsOfDHp+I525)</f>
        <v>1222960</v>
      </c>
      <c r="J526">
        <f>IF(AND(MyRowHidden(ROW())=FALSE,MyRowHidden(ROW()-1)=TRUE),0,(G526-G525)*unitsOfExo+J525)</f>
        <v>-53393.099999999991</v>
      </c>
      <c r="K526" s="9">
        <f t="shared" si="26"/>
        <v>53393.099999999991</v>
      </c>
      <c r="L526">
        <f t="shared" si="27"/>
        <v>1169566.8999999999</v>
      </c>
    </row>
    <row r="527" spans="1:12" x14ac:dyDescent="0.25">
      <c r="A527" s="1"/>
      <c r="C527" s="1"/>
      <c r="D527" s="1">
        <v>41996</v>
      </c>
      <c r="E527" s="10">
        <v>288214</v>
      </c>
      <c r="F527" s="1">
        <v>41996</v>
      </c>
      <c r="G527">
        <v>-9628.31</v>
      </c>
      <c r="H527" s="1">
        <f t="shared" si="25"/>
        <v>41996</v>
      </c>
      <c r="I527">
        <f>IF(AND(MyRowHidden(ROW())=FALSE,MyRowHidden(ROW()-1)=TRUE),0,(E527-E526)*unitsOfDHp+I526)</f>
        <v>1225360</v>
      </c>
      <c r="J527">
        <f>IF(AND(MyRowHidden(ROW())=FALSE,MyRowHidden(ROW()-1)=TRUE),0,(G527-G526)*unitsOfExo+J526)</f>
        <v>-53393.099999999991</v>
      </c>
      <c r="K527" s="9">
        <f t="shared" si="26"/>
        <v>53393.099999999991</v>
      </c>
      <c r="L527">
        <f t="shared" si="27"/>
        <v>1171966.8999999999</v>
      </c>
    </row>
    <row r="528" spans="1:12" x14ac:dyDescent="0.25">
      <c r="A528" s="1"/>
      <c r="C528" s="1"/>
      <c r="D528" s="1">
        <v>41997</v>
      </c>
      <c r="E528" s="10">
        <v>287794</v>
      </c>
      <c r="F528" s="1">
        <v>41997</v>
      </c>
      <c r="G528">
        <v>-9628.31</v>
      </c>
      <c r="H528" s="1">
        <f t="shared" si="25"/>
        <v>41997</v>
      </c>
      <c r="I528">
        <f>IF(AND(MyRowHidden(ROW())=FALSE,MyRowHidden(ROW()-1)=TRUE),0,(E528-E527)*unitsOfDHp+I527)</f>
        <v>1221160</v>
      </c>
      <c r="J528">
        <f>IF(AND(MyRowHidden(ROW())=FALSE,MyRowHidden(ROW()-1)=TRUE),0,(G528-G527)*unitsOfExo+J527)</f>
        <v>-53393.099999999991</v>
      </c>
      <c r="K528" s="9">
        <f t="shared" si="26"/>
        <v>53393.099999999991</v>
      </c>
      <c r="L528">
        <f t="shared" si="27"/>
        <v>1167766.8999999999</v>
      </c>
    </row>
    <row r="529" spans="1:12" x14ac:dyDescent="0.25">
      <c r="A529" s="1"/>
      <c r="C529" s="1"/>
      <c r="D529" s="1">
        <v>41998</v>
      </c>
      <c r="E529" s="10">
        <v>287824</v>
      </c>
      <c r="F529" s="1">
        <v>41998</v>
      </c>
      <c r="G529">
        <v>-9628.31</v>
      </c>
      <c r="H529" s="1">
        <f t="shared" si="25"/>
        <v>41998</v>
      </c>
      <c r="I529">
        <f>IF(AND(MyRowHidden(ROW())=FALSE,MyRowHidden(ROW()-1)=TRUE),0,(E529-E528)*unitsOfDHp+I528)</f>
        <v>1221460</v>
      </c>
      <c r="J529">
        <f>IF(AND(MyRowHidden(ROW())=FALSE,MyRowHidden(ROW()-1)=TRUE),0,(G529-G528)*unitsOfExo+J528)</f>
        <v>-53393.099999999991</v>
      </c>
      <c r="K529" s="9">
        <f t="shared" si="26"/>
        <v>53393.099999999991</v>
      </c>
      <c r="L529">
        <f t="shared" si="27"/>
        <v>1168066.8999999999</v>
      </c>
    </row>
    <row r="530" spans="1:12" x14ac:dyDescent="0.25">
      <c r="A530" s="1"/>
      <c r="C530" s="1"/>
      <c r="D530" s="1">
        <v>41999</v>
      </c>
      <c r="E530" s="10">
        <v>287414</v>
      </c>
      <c r="F530" s="1">
        <v>41999</v>
      </c>
      <c r="G530">
        <v>-9628.31</v>
      </c>
      <c r="H530" s="1">
        <f t="shared" si="25"/>
        <v>41999</v>
      </c>
      <c r="I530">
        <f>IF(AND(MyRowHidden(ROW())=FALSE,MyRowHidden(ROW()-1)=TRUE),0,(E530-E529)*unitsOfDHp+I529)</f>
        <v>1217360</v>
      </c>
      <c r="J530">
        <f>IF(AND(MyRowHidden(ROW())=FALSE,MyRowHidden(ROW()-1)=TRUE),0,(G530-G529)*unitsOfExo+J529)</f>
        <v>-53393.099999999991</v>
      </c>
      <c r="K530" s="9">
        <f t="shared" si="26"/>
        <v>53393.099999999991</v>
      </c>
      <c r="L530">
        <f t="shared" si="27"/>
        <v>1163966.8999999999</v>
      </c>
    </row>
    <row r="531" spans="1:12" x14ac:dyDescent="0.25">
      <c r="A531" s="1"/>
      <c r="C531" s="1"/>
      <c r="D531" s="1">
        <v>42002</v>
      </c>
      <c r="E531" s="10">
        <v>286544</v>
      </c>
      <c r="F531" s="1">
        <v>42002</v>
      </c>
      <c r="G531">
        <v>-9628.31</v>
      </c>
      <c r="H531" s="1">
        <f t="shared" si="25"/>
        <v>42002</v>
      </c>
      <c r="I531">
        <f>IF(AND(MyRowHidden(ROW())=FALSE,MyRowHidden(ROW()-1)=TRUE),0,(E531-E530)*unitsOfDHp+I530)</f>
        <v>1208660</v>
      </c>
      <c r="J531">
        <f>IF(AND(MyRowHidden(ROW())=FALSE,MyRowHidden(ROW()-1)=TRUE),0,(G531-G530)*unitsOfExo+J530)</f>
        <v>-53393.099999999991</v>
      </c>
      <c r="K531" s="9">
        <f t="shared" si="26"/>
        <v>53393.099999999991</v>
      </c>
      <c r="L531">
        <f t="shared" si="27"/>
        <v>1155266.8999999999</v>
      </c>
    </row>
    <row r="532" spans="1:12" x14ac:dyDescent="0.25">
      <c r="A532" s="1"/>
      <c r="C532" s="1"/>
      <c r="D532" s="1">
        <v>42003</v>
      </c>
      <c r="E532" s="10">
        <v>287072</v>
      </c>
      <c r="F532" s="1">
        <v>42003</v>
      </c>
      <c r="G532">
        <v>-9638.65</v>
      </c>
      <c r="H532" s="1">
        <f t="shared" si="25"/>
        <v>42003</v>
      </c>
      <c r="I532">
        <f>IF(AND(MyRowHidden(ROW())=FALSE,MyRowHidden(ROW()-1)=TRUE),0,(E532-E531)*unitsOfDHp+I531)</f>
        <v>1213940</v>
      </c>
      <c r="J532">
        <f>IF(AND(MyRowHidden(ROW())=FALSE,MyRowHidden(ROW()-1)=TRUE),0,(G532-G531)*unitsOfExo+J531)</f>
        <v>-53496.499999999993</v>
      </c>
      <c r="K532" s="9">
        <f t="shared" si="26"/>
        <v>53496.499999999993</v>
      </c>
      <c r="L532">
        <f t="shared" si="27"/>
        <v>1160443.5</v>
      </c>
    </row>
    <row r="533" spans="1:12" x14ac:dyDescent="0.25">
      <c r="A533" s="1"/>
      <c r="C533" s="1"/>
      <c r="D533" s="1">
        <v>42004</v>
      </c>
      <c r="E533" s="10">
        <v>287072</v>
      </c>
      <c r="F533" s="1">
        <v>42004</v>
      </c>
      <c r="G533">
        <v>-9638.65</v>
      </c>
      <c r="H533" s="1">
        <f t="shared" si="25"/>
        <v>42004</v>
      </c>
      <c r="I533">
        <f>IF(AND(MyRowHidden(ROW())=FALSE,MyRowHidden(ROW()-1)=TRUE),0,(E533-E532)*unitsOfDHp+I532)</f>
        <v>1213940</v>
      </c>
      <c r="J533">
        <f>IF(AND(MyRowHidden(ROW())=FALSE,MyRowHidden(ROW()-1)=TRUE),0,(G533-G532)*unitsOfExo+J532)</f>
        <v>-53496.499999999993</v>
      </c>
      <c r="K533" s="9">
        <f t="shared" si="26"/>
        <v>53496.499999999993</v>
      </c>
      <c r="L533">
        <f t="shared" si="27"/>
        <v>1160443.5</v>
      </c>
    </row>
    <row r="534" spans="1:12" x14ac:dyDescent="0.25">
      <c r="A534" s="1"/>
      <c r="C534" s="1"/>
      <c r="D534" s="1">
        <v>42005</v>
      </c>
      <c r="E534" s="10">
        <v>287036</v>
      </c>
      <c r="F534" s="1">
        <v>42005</v>
      </c>
      <c r="G534">
        <v>-11274.5</v>
      </c>
      <c r="H534" s="1">
        <f t="shared" si="25"/>
        <v>42005</v>
      </c>
      <c r="I534">
        <f>IF(AND(MyRowHidden(ROW())=FALSE,MyRowHidden(ROW()-1)=TRUE),0,(E534-E533)*unitsOfDHp+I533)</f>
        <v>1213580</v>
      </c>
      <c r="J534">
        <f>IF(AND(MyRowHidden(ROW())=FALSE,MyRowHidden(ROW()-1)=TRUE),0,(G534-G533)*unitsOfExo+J533)</f>
        <v>-69855</v>
      </c>
      <c r="K534" s="9">
        <f t="shared" si="26"/>
        <v>69855</v>
      </c>
      <c r="L534">
        <f t="shared" si="27"/>
        <v>1143725</v>
      </c>
    </row>
    <row r="535" spans="1:12" x14ac:dyDescent="0.25">
      <c r="A535" s="1"/>
      <c r="C535" s="1"/>
      <c r="D535" s="1">
        <v>42006</v>
      </c>
      <c r="E535" s="10">
        <v>287036</v>
      </c>
      <c r="F535" s="1">
        <v>42006</v>
      </c>
      <c r="G535">
        <v>-11274.5</v>
      </c>
      <c r="H535" s="1">
        <f t="shared" si="25"/>
        <v>42006</v>
      </c>
      <c r="I535">
        <f>IF(AND(MyRowHidden(ROW())=FALSE,MyRowHidden(ROW()-1)=TRUE),0,(E535-E534)*unitsOfDHp+I534)</f>
        <v>1213580</v>
      </c>
      <c r="J535">
        <f>IF(AND(MyRowHidden(ROW())=FALSE,MyRowHidden(ROW()-1)=TRUE),0,(G535-G534)*unitsOfExo+J534)</f>
        <v>-69855</v>
      </c>
      <c r="K535" s="9">
        <f t="shared" si="26"/>
        <v>69855</v>
      </c>
      <c r="L535">
        <f t="shared" si="27"/>
        <v>1143725</v>
      </c>
    </row>
    <row r="536" spans="1:12" x14ac:dyDescent="0.25">
      <c r="A536" s="1"/>
      <c r="C536" s="1"/>
      <c r="D536" s="1">
        <v>42009</v>
      </c>
      <c r="E536" s="10">
        <v>287036</v>
      </c>
      <c r="F536" s="1">
        <v>42009</v>
      </c>
      <c r="G536">
        <v>-11385.89</v>
      </c>
      <c r="H536" s="1">
        <f t="shared" si="25"/>
        <v>42009</v>
      </c>
      <c r="I536">
        <f>IF(AND(MyRowHidden(ROW())=FALSE,MyRowHidden(ROW()-1)=TRUE),0,(E536-E535)*unitsOfDHp+I535)</f>
        <v>1213580</v>
      </c>
      <c r="J536">
        <f>IF(AND(MyRowHidden(ROW())=FALSE,MyRowHidden(ROW()-1)=TRUE),0,(G536-G535)*unitsOfExo+J535)</f>
        <v>-70968.899999999994</v>
      </c>
      <c r="K536" s="9">
        <f t="shared" si="26"/>
        <v>70968.899999999994</v>
      </c>
      <c r="L536">
        <f t="shared" si="27"/>
        <v>1142611.1000000001</v>
      </c>
    </row>
    <row r="537" spans="1:12" x14ac:dyDescent="0.25">
      <c r="A537" s="1"/>
      <c r="C537" s="1"/>
      <c r="D537" s="1">
        <v>42010</v>
      </c>
      <c r="E537" s="10">
        <v>287036</v>
      </c>
      <c r="F537" s="1">
        <v>42010</v>
      </c>
      <c r="G537">
        <v>-11385.89</v>
      </c>
      <c r="H537" s="1">
        <f t="shared" si="25"/>
        <v>42010</v>
      </c>
      <c r="I537">
        <f>IF(AND(MyRowHidden(ROW())=FALSE,MyRowHidden(ROW()-1)=TRUE),0,(E537-E536)*unitsOfDHp+I536)</f>
        <v>1213580</v>
      </c>
      <c r="J537">
        <f>IF(AND(MyRowHidden(ROW())=FALSE,MyRowHidden(ROW()-1)=TRUE),0,(G537-G536)*unitsOfExo+J536)</f>
        <v>-70968.899999999994</v>
      </c>
      <c r="K537" s="9">
        <f t="shared" si="26"/>
        <v>70968.899999999994</v>
      </c>
      <c r="L537">
        <f t="shared" si="27"/>
        <v>1142611.1000000001</v>
      </c>
    </row>
    <row r="538" spans="1:12" x14ac:dyDescent="0.25">
      <c r="A538" s="1"/>
      <c r="C538" s="1"/>
      <c r="D538" s="1">
        <v>42011</v>
      </c>
      <c r="E538" s="10">
        <v>287036</v>
      </c>
      <c r="F538" s="1">
        <v>42011</v>
      </c>
      <c r="G538">
        <v>-13430.39</v>
      </c>
      <c r="H538" s="1">
        <f t="shared" si="25"/>
        <v>42011</v>
      </c>
      <c r="I538">
        <f>IF(AND(MyRowHidden(ROW())=FALSE,MyRowHidden(ROW()-1)=TRUE),0,(E538-E537)*unitsOfDHp+I537)</f>
        <v>1213580</v>
      </c>
      <c r="J538">
        <f>IF(AND(MyRowHidden(ROW())=FALSE,MyRowHidden(ROW()-1)=TRUE),0,(G538-G537)*unitsOfExo+J537)</f>
        <v>-91413.9</v>
      </c>
      <c r="K538" s="9">
        <f t="shared" si="26"/>
        <v>91413.9</v>
      </c>
      <c r="L538">
        <f t="shared" si="27"/>
        <v>1122166.1000000001</v>
      </c>
    </row>
    <row r="539" spans="1:12" x14ac:dyDescent="0.25">
      <c r="A539" s="1"/>
      <c r="C539" s="1"/>
      <c r="D539" s="1">
        <v>42012</v>
      </c>
      <c r="E539" s="10">
        <v>287036</v>
      </c>
      <c r="F539" s="1">
        <v>42012</v>
      </c>
      <c r="G539">
        <v>-13430.39</v>
      </c>
      <c r="H539" s="1">
        <f t="shared" si="25"/>
        <v>42012</v>
      </c>
      <c r="I539">
        <f>IF(AND(MyRowHidden(ROW())=FALSE,MyRowHidden(ROW()-1)=TRUE),0,(E539-E538)*unitsOfDHp+I538)</f>
        <v>1213580</v>
      </c>
      <c r="J539">
        <f>IF(AND(MyRowHidden(ROW())=FALSE,MyRowHidden(ROW()-1)=TRUE),0,(G539-G538)*unitsOfExo+J538)</f>
        <v>-91413.9</v>
      </c>
      <c r="K539" s="9">
        <f t="shared" si="26"/>
        <v>91413.9</v>
      </c>
      <c r="L539">
        <f t="shared" si="27"/>
        <v>1122166.1000000001</v>
      </c>
    </row>
    <row r="540" spans="1:12" x14ac:dyDescent="0.25">
      <c r="A540" s="1"/>
      <c r="C540" s="1"/>
      <c r="D540" s="1">
        <v>42013</v>
      </c>
      <c r="E540" s="10">
        <v>287036</v>
      </c>
      <c r="F540" s="1">
        <v>42013</v>
      </c>
      <c r="G540">
        <v>-13418.64</v>
      </c>
      <c r="H540" s="1">
        <f t="shared" si="25"/>
        <v>42013</v>
      </c>
      <c r="I540">
        <f>IF(AND(MyRowHidden(ROW())=FALSE,MyRowHidden(ROW()-1)=TRUE),0,(E540-E539)*unitsOfDHp+I539)</f>
        <v>1213580</v>
      </c>
      <c r="J540">
        <f>IF(AND(MyRowHidden(ROW())=FALSE,MyRowHidden(ROW()-1)=TRUE),0,(G540-G539)*unitsOfExo+J539)</f>
        <v>-91296.4</v>
      </c>
      <c r="K540" s="9">
        <f t="shared" si="26"/>
        <v>91296.4</v>
      </c>
      <c r="L540">
        <f t="shared" si="27"/>
        <v>1122283.6000000001</v>
      </c>
    </row>
    <row r="541" spans="1:12" x14ac:dyDescent="0.25">
      <c r="A541" s="1"/>
      <c r="C541" s="1"/>
      <c r="D541" s="1">
        <v>42016</v>
      </c>
      <c r="E541" s="10">
        <v>287036</v>
      </c>
      <c r="F541" s="1">
        <v>42016</v>
      </c>
      <c r="G541">
        <v>-13418.64</v>
      </c>
      <c r="H541" s="1">
        <f t="shared" si="25"/>
        <v>42016</v>
      </c>
      <c r="I541">
        <f>IF(AND(MyRowHidden(ROW())=FALSE,MyRowHidden(ROW()-1)=TRUE),0,(E541-E540)*unitsOfDHp+I540)</f>
        <v>1213580</v>
      </c>
      <c r="J541">
        <f>IF(AND(MyRowHidden(ROW())=FALSE,MyRowHidden(ROW()-1)=TRUE),0,(G541-G540)*unitsOfExo+J540)</f>
        <v>-91296.4</v>
      </c>
      <c r="K541" s="9">
        <f t="shared" si="26"/>
        <v>91296.4</v>
      </c>
      <c r="L541">
        <f t="shared" si="27"/>
        <v>1122283.6000000001</v>
      </c>
    </row>
    <row r="542" spans="1:12" x14ac:dyDescent="0.25">
      <c r="A542" s="1"/>
      <c r="C542" s="1"/>
      <c r="D542" s="1">
        <v>42017</v>
      </c>
      <c r="E542" s="10">
        <v>287036</v>
      </c>
      <c r="F542" s="1">
        <v>42017</v>
      </c>
      <c r="G542">
        <v>-13418.64</v>
      </c>
      <c r="H542" s="1">
        <f t="shared" si="25"/>
        <v>42017</v>
      </c>
      <c r="I542">
        <f>IF(AND(MyRowHidden(ROW())=FALSE,MyRowHidden(ROW()-1)=TRUE),0,(E542-E541)*unitsOfDHp+I541)</f>
        <v>1213580</v>
      </c>
      <c r="J542">
        <f>IF(AND(MyRowHidden(ROW())=FALSE,MyRowHidden(ROW()-1)=TRUE),0,(G542-G541)*unitsOfExo+J541)</f>
        <v>-91296.4</v>
      </c>
      <c r="K542" s="9">
        <f t="shared" si="26"/>
        <v>91296.4</v>
      </c>
      <c r="L542">
        <f t="shared" si="27"/>
        <v>1122283.6000000001</v>
      </c>
    </row>
    <row r="543" spans="1:12" x14ac:dyDescent="0.25">
      <c r="A543" s="1"/>
      <c r="C543" s="1"/>
      <c r="D543" s="1">
        <v>42018</v>
      </c>
      <c r="E543" s="10">
        <v>287000</v>
      </c>
      <c r="F543" s="1">
        <v>42018</v>
      </c>
      <c r="G543">
        <v>-13630.14</v>
      </c>
      <c r="H543" s="1">
        <f t="shared" si="25"/>
        <v>42018</v>
      </c>
      <c r="I543">
        <f>IF(AND(MyRowHidden(ROW())=FALSE,MyRowHidden(ROW()-1)=TRUE),0,(E543-E542)*unitsOfDHp+I542)</f>
        <v>1213220</v>
      </c>
      <c r="J543">
        <f>IF(AND(MyRowHidden(ROW())=FALSE,MyRowHidden(ROW()-1)=TRUE),0,(G543-G542)*unitsOfExo+J542)</f>
        <v>-93411.4</v>
      </c>
      <c r="K543" s="9">
        <f t="shared" si="26"/>
        <v>93411.4</v>
      </c>
      <c r="L543">
        <f t="shared" si="27"/>
        <v>1119808.6000000001</v>
      </c>
    </row>
    <row r="544" spans="1:12" x14ac:dyDescent="0.25">
      <c r="A544" s="1"/>
      <c r="C544" s="1"/>
      <c r="D544" s="1">
        <v>42019</v>
      </c>
      <c r="E544" s="10">
        <v>287000</v>
      </c>
      <c r="F544" s="1">
        <v>42019</v>
      </c>
      <c r="G544">
        <v>-13533.32</v>
      </c>
      <c r="H544" s="1">
        <f t="shared" si="25"/>
        <v>42019</v>
      </c>
      <c r="I544">
        <f>IF(AND(MyRowHidden(ROW())=FALSE,MyRowHidden(ROW()-1)=TRUE),0,(E544-E543)*unitsOfDHp+I543)</f>
        <v>1213220</v>
      </c>
      <c r="J544">
        <f>IF(AND(MyRowHidden(ROW())=FALSE,MyRowHidden(ROW()-1)=TRUE),0,(G544-G543)*unitsOfExo+J543)</f>
        <v>-92443.199999999997</v>
      </c>
      <c r="K544" s="9">
        <f t="shared" si="26"/>
        <v>92443.199999999997</v>
      </c>
      <c r="L544">
        <f t="shared" si="27"/>
        <v>1120776.8</v>
      </c>
    </row>
    <row r="545" spans="1:12" x14ac:dyDescent="0.25">
      <c r="A545" s="1"/>
      <c r="C545" s="1"/>
      <c r="D545" s="1">
        <v>42020</v>
      </c>
      <c r="E545" s="10">
        <v>287000</v>
      </c>
      <c r="F545" s="1">
        <v>42020</v>
      </c>
      <c r="G545">
        <v>-13504.18</v>
      </c>
      <c r="H545" s="1">
        <f t="shared" si="25"/>
        <v>42020</v>
      </c>
      <c r="I545">
        <f>IF(AND(MyRowHidden(ROW())=FALSE,MyRowHidden(ROW()-1)=TRUE),0,(E545-E544)*unitsOfDHp+I544)</f>
        <v>1213220</v>
      </c>
      <c r="J545">
        <f>IF(AND(MyRowHidden(ROW())=FALSE,MyRowHidden(ROW()-1)=TRUE),0,(G545-G544)*unitsOfExo+J544)</f>
        <v>-92151.8</v>
      </c>
      <c r="K545" s="9">
        <f t="shared" si="26"/>
        <v>92151.8</v>
      </c>
      <c r="L545">
        <f t="shared" si="27"/>
        <v>1121068.2</v>
      </c>
    </row>
    <row r="546" spans="1:12" x14ac:dyDescent="0.25">
      <c r="A546" s="1"/>
      <c r="C546" s="1"/>
      <c r="D546" s="1">
        <v>42023</v>
      </c>
      <c r="E546" s="10">
        <v>286160</v>
      </c>
      <c r="F546" s="1">
        <v>42023</v>
      </c>
      <c r="G546">
        <v>-13504.18</v>
      </c>
      <c r="H546" s="1">
        <f t="shared" si="25"/>
        <v>42023</v>
      </c>
      <c r="I546">
        <f>IF(AND(MyRowHidden(ROW())=FALSE,MyRowHidden(ROW()-1)=TRUE),0,(E546-E545)*unitsOfDHp+I545)</f>
        <v>1204820</v>
      </c>
      <c r="J546">
        <f>IF(AND(MyRowHidden(ROW())=FALSE,MyRowHidden(ROW()-1)=TRUE),0,(G546-G545)*unitsOfExo+J545)</f>
        <v>-92151.8</v>
      </c>
      <c r="K546" s="9">
        <f t="shared" si="26"/>
        <v>92151.8</v>
      </c>
      <c r="L546">
        <f t="shared" si="27"/>
        <v>1112668.2</v>
      </c>
    </row>
    <row r="547" spans="1:12" x14ac:dyDescent="0.25">
      <c r="A547" s="1"/>
      <c r="C547" s="1"/>
      <c r="D547" s="1">
        <v>42024</v>
      </c>
      <c r="E547" s="10">
        <v>284630</v>
      </c>
      <c r="F547" s="1">
        <v>42024</v>
      </c>
      <c r="G547">
        <v>-13556.82</v>
      </c>
      <c r="H547" s="1">
        <f t="shared" si="25"/>
        <v>42024</v>
      </c>
      <c r="I547">
        <f>IF(AND(MyRowHidden(ROW())=FALSE,MyRowHidden(ROW()-1)=TRUE),0,(E547-E546)*unitsOfDHp+I546)</f>
        <v>1189520</v>
      </c>
      <c r="J547">
        <f>IF(AND(MyRowHidden(ROW())=FALSE,MyRowHidden(ROW()-1)=TRUE),0,(G547-G546)*unitsOfExo+J546)</f>
        <v>-92678.2</v>
      </c>
      <c r="K547" s="9">
        <f t="shared" si="26"/>
        <v>92678.2</v>
      </c>
      <c r="L547">
        <f t="shared" si="27"/>
        <v>1096841.8</v>
      </c>
    </row>
    <row r="548" spans="1:12" x14ac:dyDescent="0.25">
      <c r="A548" s="1"/>
      <c r="C548" s="1"/>
      <c r="D548" s="1">
        <v>42025</v>
      </c>
      <c r="E548" s="10">
        <v>285380</v>
      </c>
      <c r="F548" s="1">
        <v>42025</v>
      </c>
      <c r="G548">
        <v>-13462.82</v>
      </c>
      <c r="H548" s="1">
        <f t="shared" si="25"/>
        <v>42025</v>
      </c>
      <c r="I548">
        <f>IF(AND(MyRowHidden(ROW())=FALSE,MyRowHidden(ROW()-1)=TRUE),0,(E548-E547)*unitsOfDHp+I547)</f>
        <v>1197020</v>
      </c>
      <c r="J548">
        <f>IF(AND(MyRowHidden(ROW())=FALSE,MyRowHidden(ROW()-1)=TRUE),0,(G548-G547)*unitsOfExo+J547)</f>
        <v>-91738.2</v>
      </c>
      <c r="K548" s="9">
        <f t="shared" si="26"/>
        <v>91738.2</v>
      </c>
      <c r="L548">
        <f t="shared" si="27"/>
        <v>1105281.8</v>
      </c>
    </row>
    <row r="549" spans="1:12" x14ac:dyDescent="0.25">
      <c r="A549" s="1"/>
      <c r="C549" s="1"/>
      <c r="D549" s="1">
        <v>42026</v>
      </c>
      <c r="E549" s="10">
        <v>285344</v>
      </c>
      <c r="F549" s="1">
        <v>42026</v>
      </c>
      <c r="G549">
        <v>-13339.68</v>
      </c>
      <c r="H549" s="1">
        <f t="shared" si="25"/>
        <v>42026</v>
      </c>
      <c r="I549">
        <f>IF(AND(MyRowHidden(ROW())=FALSE,MyRowHidden(ROW()-1)=TRUE),0,(E549-E548)*unitsOfDHp+I548)</f>
        <v>1196660</v>
      </c>
      <c r="J549">
        <f>IF(AND(MyRowHidden(ROW())=FALSE,MyRowHidden(ROW()-1)=TRUE),0,(G549-G548)*unitsOfExo+J548)</f>
        <v>-90506.8</v>
      </c>
      <c r="K549" s="9">
        <f t="shared" si="26"/>
        <v>90506.8</v>
      </c>
      <c r="L549">
        <f t="shared" si="27"/>
        <v>1106153.2</v>
      </c>
    </row>
    <row r="550" spans="1:12" x14ac:dyDescent="0.25">
      <c r="A550" s="1"/>
      <c r="C550" s="1"/>
      <c r="D550" s="1">
        <v>42027</v>
      </c>
      <c r="E550" s="10">
        <v>285344</v>
      </c>
      <c r="F550" s="1">
        <v>42027</v>
      </c>
      <c r="G550">
        <v>-13304.43</v>
      </c>
      <c r="H550" s="1">
        <f t="shared" si="25"/>
        <v>42027</v>
      </c>
      <c r="I550">
        <f>IF(AND(MyRowHidden(ROW())=FALSE,MyRowHidden(ROW()-1)=TRUE),0,(E550-E549)*unitsOfDHp+I549)</f>
        <v>1196660</v>
      </c>
      <c r="J550">
        <f>IF(AND(MyRowHidden(ROW())=FALSE,MyRowHidden(ROW()-1)=TRUE),0,(G550-G549)*unitsOfExo+J549)</f>
        <v>-90154.3</v>
      </c>
      <c r="K550" s="9">
        <f t="shared" si="26"/>
        <v>90154.3</v>
      </c>
      <c r="L550">
        <f t="shared" si="27"/>
        <v>1106505.7</v>
      </c>
    </row>
    <row r="551" spans="1:12" x14ac:dyDescent="0.25">
      <c r="A551" s="1"/>
      <c r="C551" s="1"/>
      <c r="D551" s="1">
        <v>42030</v>
      </c>
      <c r="E551" s="10">
        <v>285344</v>
      </c>
      <c r="F551" s="1">
        <v>42030</v>
      </c>
      <c r="G551">
        <v>-13319</v>
      </c>
      <c r="H551" s="1">
        <f t="shared" si="25"/>
        <v>42030</v>
      </c>
      <c r="I551">
        <f>IF(AND(MyRowHidden(ROW())=FALSE,MyRowHidden(ROW()-1)=TRUE),0,(E551-E550)*unitsOfDHp+I550)</f>
        <v>1196660</v>
      </c>
      <c r="J551">
        <f>IF(AND(MyRowHidden(ROW())=FALSE,MyRowHidden(ROW()-1)=TRUE),0,(G551-G550)*unitsOfExo+J550)</f>
        <v>-90300</v>
      </c>
      <c r="K551" s="9">
        <f t="shared" si="26"/>
        <v>90300</v>
      </c>
      <c r="L551">
        <f t="shared" si="27"/>
        <v>1106360</v>
      </c>
    </row>
    <row r="552" spans="1:12" x14ac:dyDescent="0.25">
      <c r="A552" s="1"/>
      <c r="C552" s="1"/>
      <c r="D552" s="1">
        <v>42031</v>
      </c>
      <c r="E552" s="10">
        <v>285344</v>
      </c>
      <c r="F552" s="1">
        <v>42031</v>
      </c>
      <c r="G552">
        <v>-13377.75</v>
      </c>
      <c r="H552" s="1">
        <f t="shared" si="25"/>
        <v>42031</v>
      </c>
      <c r="I552">
        <f>IF(AND(MyRowHidden(ROW())=FALSE,MyRowHidden(ROW()-1)=TRUE),0,(E552-E551)*unitsOfDHp+I551)</f>
        <v>1196660</v>
      </c>
      <c r="J552">
        <f>IF(AND(MyRowHidden(ROW())=FALSE,MyRowHidden(ROW()-1)=TRUE),0,(G552-G551)*unitsOfExo+J551)</f>
        <v>-90887.5</v>
      </c>
      <c r="K552" s="9">
        <f t="shared" si="26"/>
        <v>90887.5</v>
      </c>
      <c r="L552">
        <f t="shared" si="27"/>
        <v>1105772.5</v>
      </c>
    </row>
    <row r="553" spans="1:12" x14ac:dyDescent="0.25">
      <c r="A553" s="1"/>
      <c r="C553" s="1"/>
      <c r="D553" s="1">
        <v>42032</v>
      </c>
      <c r="E553" s="10">
        <v>285344</v>
      </c>
      <c r="F553" s="1">
        <v>42032</v>
      </c>
      <c r="G553">
        <v>-13395.14</v>
      </c>
      <c r="H553" s="1">
        <f t="shared" si="25"/>
        <v>42032</v>
      </c>
      <c r="I553">
        <f>IF(AND(MyRowHidden(ROW())=FALSE,MyRowHidden(ROW()-1)=TRUE),0,(E553-E552)*unitsOfDHp+I552)</f>
        <v>1196660</v>
      </c>
      <c r="J553">
        <f>IF(AND(MyRowHidden(ROW())=FALSE,MyRowHidden(ROW()-1)=TRUE),0,(G553-G552)*unitsOfExo+J552)</f>
        <v>-91061.4</v>
      </c>
      <c r="K553" s="9">
        <f t="shared" si="26"/>
        <v>91061.4</v>
      </c>
      <c r="L553">
        <f t="shared" si="27"/>
        <v>1105598.6000000001</v>
      </c>
    </row>
    <row r="554" spans="1:12" x14ac:dyDescent="0.25">
      <c r="A554" s="1"/>
      <c r="C554" s="1"/>
      <c r="D554" s="1">
        <v>42033</v>
      </c>
      <c r="E554" s="10">
        <v>285344</v>
      </c>
      <c r="F554" s="1">
        <v>42033</v>
      </c>
      <c r="G554">
        <v>-13377.75</v>
      </c>
      <c r="H554" s="1">
        <f t="shared" si="25"/>
        <v>42033</v>
      </c>
      <c r="I554">
        <f>IF(AND(MyRowHidden(ROW())=FALSE,MyRowHidden(ROW()-1)=TRUE),0,(E554-E553)*unitsOfDHp+I553)</f>
        <v>1196660</v>
      </c>
      <c r="J554">
        <f>IF(AND(MyRowHidden(ROW())=FALSE,MyRowHidden(ROW()-1)=TRUE),0,(G554-G553)*unitsOfExo+J553)</f>
        <v>-90887.5</v>
      </c>
      <c r="K554" s="9">
        <f t="shared" si="26"/>
        <v>90887.5</v>
      </c>
      <c r="L554">
        <f t="shared" si="27"/>
        <v>1105772.5</v>
      </c>
    </row>
    <row r="555" spans="1:12" x14ac:dyDescent="0.25">
      <c r="A555" s="1"/>
      <c r="C555" s="1"/>
      <c r="D555" s="1">
        <v>42034</v>
      </c>
      <c r="E555" s="10">
        <v>285344</v>
      </c>
      <c r="F555" s="1">
        <v>42034</v>
      </c>
      <c r="G555">
        <v>-13357.07</v>
      </c>
      <c r="H555" s="1">
        <f t="shared" si="25"/>
        <v>42034</v>
      </c>
      <c r="I555">
        <f>IF(AND(MyRowHidden(ROW())=FALSE,MyRowHidden(ROW()-1)=TRUE),0,(E555-E554)*unitsOfDHp+I554)</f>
        <v>1196660</v>
      </c>
      <c r="J555">
        <f>IF(AND(MyRowHidden(ROW())=FALSE,MyRowHidden(ROW()-1)=TRUE),0,(G555-G554)*unitsOfExo+J554)</f>
        <v>-90680.7</v>
      </c>
      <c r="K555" s="9">
        <f t="shared" si="26"/>
        <v>90680.7</v>
      </c>
      <c r="L555">
        <f t="shared" si="27"/>
        <v>1105979.3</v>
      </c>
    </row>
    <row r="556" spans="1:12" x14ac:dyDescent="0.25">
      <c r="A556" s="1"/>
      <c r="C556" s="1"/>
      <c r="D556" s="1">
        <v>42037</v>
      </c>
      <c r="E556" s="10">
        <v>285152</v>
      </c>
      <c r="F556" s="1">
        <v>42037</v>
      </c>
      <c r="G556">
        <v>-13225.25</v>
      </c>
      <c r="H556" s="1">
        <f t="shared" si="25"/>
        <v>42037</v>
      </c>
      <c r="I556">
        <f>IF(AND(MyRowHidden(ROW())=FALSE,MyRowHidden(ROW()-1)=TRUE),0,(E556-E555)*unitsOfDHp+I555)</f>
        <v>1194740</v>
      </c>
      <c r="J556">
        <f>IF(AND(MyRowHidden(ROW())=FALSE,MyRowHidden(ROW()-1)=TRUE),0,(G556-G555)*unitsOfExo+J555)</f>
        <v>-89362.5</v>
      </c>
      <c r="K556" s="9">
        <f t="shared" si="26"/>
        <v>89362.5</v>
      </c>
      <c r="L556">
        <f t="shared" si="27"/>
        <v>1105377.5</v>
      </c>
    </row>
    <row r="557" spans="1:12" x14ac:dyDescent="0.25">
      <c r="A557" s="1"/>
      <c r="C557" s="1"/>
      <c r="D557" s="1">
        <v>42038</v>
      </c>
      <c r="E557" s="10">
        <v>285080</v>
      </c>
      <c r="F557" s="1">
        <v>42038</v>
      </c>
      <c r="G557">
        <v>-12835.62</v>
      </c>
      <c r="H557" s="1">
        <f t="shared" si="25"/>
        <v>42038</v>
      </c>
      <c r="I557">
        <f>IF(AND(MyRowHidden(ROW())=FALSE,MyRowHidden(ROW()-1)=TRUE),0,(E557-E556)*unitsOfDHp+I556)</f>
        <v>1194020</v>
      </c>
      <c r="J557">
        <f>IF(AND(MyRowHidden(ROW())=FALSE,MyRowHidden(ROW()-1)=TRUE),0,(G557-G556)*unitsOfExo+J556)</f>
        <v>-85466.200000000012</v>
      </c>
      <c r="K557" s="9">
        <f t="shared" si="26"/>
        <v>85466.200000000012</v>
      </c>
      <c r="L557">
        <f t="shared" si="27"/>
        <v>1108553.8</v>
      </c>
    </row>
    <row r="558" spans="1:12" x14ac:dyDescent="0.25">
      <c r="A558" s="1"/>
      <c r="C558" s="1"/>
      <c r="D558" s="1">
        <v>42039</v>
      </c>
      <c r="E558" s="10">
        <v>284972</v>
      </c>
      <c r="F558" s="1">
        <v>42039</v>
      </c>
      <c r="G558">
        <v>-12835.62</v>
      </c>
      <c r="H558" s="1">
        <f t="shared" si="25"/>
        <v>42039</v>
      </c>
      <c r="I558">
        <f>IF(AND(MyRowHidden(ROW())=FALSE,MyRowHidden(ROW()-1)=TRUE),0,(E558-E557)*unitsOfDHp+I557)</f>
        <v>1192940</v>
      </c>
      <c r="J558">
        <f>IF(AND(MyRowHidden(ROW())=FALSE,MyRowHidden(ROW()-1)=TRUE),0,(G558-G557)*unitsOfExo+J557)</f>
        <v>-85466.200000000012</v>
      </c>
      <c r="K558" s="9">
        <f t="shared" si="26"/>
        <v>85466.200000000012</v>
      </c>
      <c r="L558">
        <f t="shared" si="27"/>
        <v>1107473.8</v>
      </c>
    </row>
    <row r="559" spans="1:12" x14ac:dyDescent="0.25">
      <c r="A559" s="1"/>
      <c r="C559" s="1"/>
      <c r="D559" s="1">
        <v>42040</v>
      </c>
      <c r="E559" s="10">
        <v>290690</v>
      </c>
      <c r="F559" s="1">
        <v>42040</v>
      </c>
      <c r="G559">
        <v>-12588.4</v>
      </c>
      <c r="H559" s="1">
        <f t="shared" si="25"/>
        <v>42040</v>
      </c>
      <c r="I559">
        <f>IF(AND(MyRowHidden(ROW())=FALSE,MyRowHidden(ROW()-1)=TRUE),0,(E559-E558)*unitsOfDHp+I558)</f>
        <v>1250120</v>
      </c>
      <c r="J559">
        <f>IF(AND(MyRowHidden(ROW())=FALSE,MyRowHidden(ROW()-1)=TRUE),0,(G559-G558)*unitsOfExo+J558)</f>
        <v>-82994</v>
      </c>
      <c r="K559" s="9">
        <f t="shared" si="26"/>
        <v>82994</v>
      </c>
      <c r="L559">
        <f t="shared" si="27"/>
        <v>1167126</v>
      </c>
    </row>
    <row r="560" spans="1:12" x14ac:dyDescent="0.25">
      <c r="A560" s="1"/>
      <c r="C560" s="1"/>
      <c r="D560" s="1">
        <v>42041</v>
      </c>
      <c r="E560" s="10">
        <v>290690</v>
      </c>
      <c r="F560" s="1">
        <v>42041</v>
      </c>
      <c r="G560">
        <v>-13005.76</v>
      </c>
      <c r="H560" s="1">
        <f t="shared" si="25"/>
        <v>42041</v>
      </c>
      <c r="I560">
        <f>IF(AND(MyRowHidden(ROW())=FALSE,MyRowHidden(ROW()-1)=TRUE),0,(E560-E559)*unitsOfDHp+I559)</f>
        <v>1250120</v>
      </c>
      <c r="J560">
        <f>IF(AND(MyRowHidden(ROW())=FALSE,MyRowHidden(ROW()-1)=TRUE),0,(G560-G559)*unitsOfExo+J559)</f>
        <v>-87167.6</v>
      </c>
      <c r="K560" s="9">
        <f t="shared" si="26"/>
        <v>87167.6</v>
      </c>
      <c r="L560">
        <f t="shared" si="27"/>
        <v>1162952.3999999999</v>
      </c>
    </row>
    <row r="561" spans="1:12" x14ac:dyDescent="0.25">
      <c r="A561" s="1"/>
      <c r="C561" s="1"/>
      <c r="D561" s="1">
        <v>42044</v>
      </c>
      <c r="E561" s="10">
        <v>294840</v>
      </c>
      <c r="F561" s="1">
        <v>42044</v>
      </c>
      <c r="G561">
        <v>-12919.28</v>
      </c>
      <c r="H561" s="1">
        <f t="shared" si="25"/>
        <v>42044</v>
      </c>
      <c r="I561">
        <f>IF(AND(MyRowHidden(ROW())=FALSE,MyRowHidden(ROW()-1)=TRUE),0,(E561-E560)*unitsOfDHp+I560)</f>
        <v>1291620</v>
      </c>
      <c r="J561">
        <f>IF(AND(MyRowHidden(ROW())=FALSE,MyRowHidden(ROW()-1)=TRUE),0,(G561-G560)*unitsOfExo+J560)</f>
        <v>-86302.800000000017</v>
      </c>
      <c r="K561" s="9">
        <f t="shared" si="26"/>
        <v>86302.800000000017</v>
      </c>
      <c r="L561">
        <f t="shared" si="27"/>
        <v>1205317.2</v>
      </c>
    </row>
    <row r="562" spans="1:12" x14ac:dyDescent="0.25">
      <c r="A562" s="1"/>
      <c r="C562" s="1"/>
      <c r="D562" s="1">
        <v>42045</v>
      </c>
      <c r="E562" s="10">
        <v>288518</v>
      </c>
      <c r="F562" s="1">
        <v>42045</v>
      </c>
      <c r="G562">
        <v>-12718.12</v>
      </c>
      <c r="H562" s="1">
        <f t="shared" si="25"/>
        <v>42045</v>
      </c>
      <c r="I562">
        <f>IF(AND(MyRowHidden(ROW())=FALSE,MyRowHidden(ROW()-1)=TRUE),0,(E562-E561)*unitsOfDHp+I561)</f>
        <v>1228400</v>
      </c>
      <c r="J562">
        <f>IF(AND(MyRowHidden(ROW())=FALSE,MyRowHidden(ROW()-1)=TRUE),0,(G562-G561)*unitsOfExo+J561)</f>
        <v>-84291.200000000012</v>
      </c>
      <c r="K562" s="9">
        <f t="shared" si="26"/>
        <v>84291.200000000012</v>
      </c>
      <c r="L562">
        <f t="shared" si="27"/>
        <v>1144108.8</v>
      </c>
    </row>
    <row r="563" spans="1:12" x14ac:dyDescent="0.25">
      <c r="A563" s="1"/>
      <c r="C563" s="1"/>
      <c r="D563" s="1">
        <v>42046</v>
      </c>
      <c r="E563" s="10">
        <v>286114</v>
      </c>
      <c r="F563" s="1">
        <v>42046</v>
      </c>
      <c r="G563">
        <v>-12829.51</v>
      </c>
      <c r="H563" s="1">
        <f t="shared" si="25"/>
        <v>42046</v>
      </c>
      <c r="I563">
        <f>IF(AND(MyRowHidden(ROW())=FALSE,MyRowHidden(ROW()-1)=TRUE),0,(E563-E562)*unitsOfDHp+I562)</f>
        <v>1204360</v>
      </c>
      <c r="J563">
        <f>IF(AND(MyRowHidden(ROW())=FALSE,MyRowHidden(ROW()-1)=TRUE),0,(G563-G562)*unitsOfExo+J562)</f>
        <v>-85405.1</v>
      </c>
      <c r="K563" s="9">
        <f t="shared" si="26"/>
        <v>85405.1</v>
      </c>
      <c r="L563">
        <f t="shared" si="27"/>
        <v>1118954.8999999999</v>
      </c>
    </row>
    <row r="564" spans="1:12" x14ac:dyDescent="0.25">
      <c r="A564" s="1"/>
      <c r="C564" s="1"/>
      <c r="D564" s="1">
        <v>42047</v>
      </c>
      <c r="E564" s="10">
        <v>286114</v>
      </c>
      <c r="F564" s="1">
        <v>42047</v>
      </c>
      <c r="G564">
        <v>-12965.34</v>
      </c>
      <c r="H564" s="1">
        <f t="shared" si="25"/>
        <v>42047</v>
      </c>
      <c r="I564">
        <f>IF(AND(MyRowHidden(ROW())=FALSE,MyRowHidden(ROW()-1)=TRUE),0,(E564-E563)*unitsOfDHp+I563)</f>
        <v>1204360</v>
      </c>
      <c r="J564">
        <f>IF(AND(MyRowHidden(ROW())=FALSE,MyRowHidden(ROW()-1)=TRUE),0,(G564-G563)*unitsOfExo+J563)</f>
        <v>-86763.400000000009</v>
      </c>
      <c r="K564" s="9">
        <f t="shared" si="26"/>
        <v>86763.400000000009</v>
      </c>
      <c r="L564">
        <f t="shared" si="27"/>
        <v>1117596.6000000001</v>
      </c>
    </row>
    <row r="565" spans="1:12" x14ac:dyDescent="0.25">
      <c r="A565" s="1"/>
      <c r="C565" s="1"/>
      <c r="D565" s="1">
        <v>42048</v>
      </c>
      <c r="E565" s="10">
        <v>285922</v>
      </c>
      <c r="F565" s="1">
        <v>42048</v>
      </c>
      <c r="G565">
        <v>-12749.14</v>
      </c>
      <c r="H565" s="1">
        <f t="shared" si="25"/>
        <v>42048</v>
      </c>
      <c r="I565">
        <f>IF(AND(MyRowHidden(ROW())=FALSE,MyRowHidden(ROW()-1)=TRUE),0,(E565-E564)*unitsOfDHp+I564)</f>
        <v>1202440</v>
      </c>
      <c r="J565">
        <f>IF(AND(MyRowHidden(ROW())=FALSE,MyRowHidden(ROW()-1)=TRUE),0,(G565-G564)*unitsOfExo+J564)</f>
        <v>-84601.4</v>
      </c>
      <c r="K565" s="9">
        <f t="shared" si="26"/>
        <v>84601.4</v>
      </c>
      <c r="L565">
        <f t="shared" si="27"/>
        <v>1117838.6000000001</v>
      </c>
    </row>
    <row r="566" spans="1:12" x14ac:dyDescent="0.25">
      <c r="A566" s="1"/>
      <c r="C566" s="1"/>
      <c r="D566" s="1">
        <v>42051</v>
      </c>
      <c r="E566" s="10">
        <v>285922</v>
      </c>
      <c r="F566" s="1">
        <v>42051</v>
      </c>
      <c r="G566">
        <v>-12749.14</v>
      </c>
      <c r="H566" s="1">
        <f t="shared" si="25"/>
        <v>42051</v>
      </c>
      <c r="I566">
        <f>IF(AND(MyRowHidden(ROW())=FALSE,MyRowHidden(ROW()-1)=TRUE),0,(E566-E565)*unitsOfDHp+I565)</f>
        <v>1202440</v>
      </c>
      <c r="J566">
        <f>IF(AND(MyRowHidden(ROW())=FALSE,MyRowHidden(ROW()-1)=TRUE),0,(G566-G565)*unitsOfExo+J565)</f>
        <v>-84601.4</v>
      </c>
      <c r="K566" s="9">
        <f t="shared" si="26"/>
        <v>84601.4</v>
      </c>
      <c r="L566">
        <f t="shared" si="27"/>
        <v>1117838.6000000001</v>
      </c>
    </row>
    <row r="567" spans="1:12" x14ac:dyDescent="0.25">
      <c r="A567" s="1"/>
      <c r="C567" s="1"/>
      <c r="D567" s="1">
        <v>42052</v>
      </c>
      <c r="E567" s="10">
        <v>288424</v>
      </c>
      <c r="F567" s="1">
        <v>42052</v>
      </c>
      <c r="G567">
        <v>-13027.38</v>
      </c>
      <c r="H567" s="1">
        <f t="shared" si="25"/>
        <v>42052</v>
      </c>
      <c r="I567">
        <f>IF(AND(MyRowHidden(ROW())=FALSE,MyRowHidden(ROW()-1)=TRUE),0,(E567-E566)*unitsOfDHp+I566)</f>
        <v>1227460</v>
      </c>
      <c r="J567">
        <f>IF(AND(MyRowHidden(ROW())=FALSE,MyRowHidden(ROW()-1)=TRUE),0,(G567-G566)*unitsOfExo+J566)</f>
        <v>-87383.799999999988</v>
      </c>
      <c r="K567" s="9">
        <f t="shared" si="26"/>
        <v>87383.799999999988</v>
      </c>
      <c r="L567">
        <f t="shared" si="27"/>
        <v>1140076.2</v>
      </c>
    </row>
    <row r="568" spans="1:12" x14ac:dyDescent="0.25">
      <c r="A568" s="1"/>
      <c r="C568" s="1"/>
      <c r="D568" s="1">
        <v>42053</v>
      </c>
      <c r="E568" s="10">
        <v>285358</v>
      </c>
      <c r="F568" s="1">
        <v>42053</v>
      </c>
      <c r="G568">
        <v>-12854.42</v>
      </c>
      <c r="H568" s="1">
        <f t="shared" si="25"/>
        <v>42053</v>
      </c>
      <c r="I568">
        <f>IF(AND(MyRowHidden(ROW())=FALSE,MyRowHidden(ROW()-1)=TRUE),0,(E568-E567)*unitsOfDHp+I567)</f>
        <v>1196800</v>
      </c>
      <c r="J568">
        <f>IF(AND(MyRowHidden(ROW())=FALSE,MyRowHidden(ROW()-1)=TRUE),0,(G568-G567)*unitsOfExo+J567)</f>
        <v>-85654.2</v>
      </c>
      <c r="K568" s="9">
        <f t="shared" si="26"/>
        <v>85654.2</v>
      </c>
      <c r="L568">
        <f t="shared" si="27"/>
        <v>1111145.8</v>
      </c>
    </row>
    <row r="569" spans="1:12" x14ac:dyDescent="0.25">
      <c r="A569" s="1"/>
      <c r="C569" s="1"/>
      <c r="D569" s="1">
        <v>42054</v>
      </c>
      <c r="E569" s="10">
        <v>282158</v>
      </c>
      <c r="F569" s="1">
        <v>42054</v>
      </c>
      <c r="G569">
        <v>-12876.04</v>
      </c>
      <c r="H569" s="1">
        <f t="shared" si="25"/>
        <v>42054</v>
      </c>
      <c r="I569">
        <f>IF(AND(MyRowHidden(ROW())=FALSE,MyRowHidden(ROW()-1)=TRUE),0,(E569-E568)*unitsOfDHp+I568)</f>
        <v>1164800</v>
      </c>
      <c r="J569">
        <f>IF(AND(MyRowHidden(ROW())=FALSE,MyRowHidden(ROW()-1)=TRUE),0,(G569-G568)*unitsOfExo+J568)</f>
        <v>-85870.400000000009</v>
      </c>
      <c r="K569" s="9">
        <f t="shared" si="26"/>
        <v>85870.400000000009</v>
      </c>
      <c r="L569">
        <f t="shared" si="27"/>
        <v>1078929.6000000001</v>
      </c>
    </row>
    <row r="570" spans="1:12" x14ac:dyDescent="0.25">
      <c r="A570" s="1"/>
      <c r="C570" s="1"/>
      <c r="D570" s="1">
        <v>42055</v>
      </c>
      <c r="E570" s="10">
        <v>279132</v>
      </c>
      <c r="F570" s="1">
        <v>42055</v>
      </c>
      <c r="G570">
        <v>-12838.91</v>
      </c>
      <c r="H570" s="1">
        <f t="shared" si="25"/>
        <v>42055</v>
      </c>
      <c r="I570">
        <f>IF(AND(MyRowHidden(ROW())=FALSE,MyRowHidden(ROW()-1)=TRUE),0,(E570-E569)*unitsOfDHp+I569)</f>
        <v>1134540</v>
      </c>
      <c r="J570">
        <f>IF(AND(MyRowHidden(ROW())=FALSE,MyRowHidden(ROW()-1)=TRUE),0,(G570-G569)*unitsOfExo+J569)</f>
        <v>-85499.1</v>
      </c>
      <c r="K570" s="9">
        <f t="shared" si="26"/>
        <v>85499.1</v>
      </c>
      <c r="L570">
        <f t="shared" si="27"/>
        <v>1049040.8999999999</v>
      </c>
    </row>
    <row r="571" spans="1:12" x14ac:dyDescent="0.25">
      <c r="A571" s="1"/>
      <c r="C571" s="1"/>
      <c r="D571" s="1">
        <v>42058</v>
      </c>
      <c r="E571" s="10">
        <v>276678</v>
      </c>
      <c r="F571" s="1">
        <v>42058</v>
      </c>
      <c r="G571">
        <v>-12807.89</v>
      </c>
      <c r="H571" s="1">
        <f t="shared" si="25"/>
        <v>42058</v>
      </c>
      <c r="I571">
        <f>IF(AND(MyRowHidden(ROW())=FALSE,MyRowHidden(ROW()-1)=TRUE),0,(E571-E570)*unitsOfDHp+I570)</f>
        <v>1110000</v>
      </c>
      <c r="J571">
        <f>IF(AND(MyRowHidden(ROW())=FALSE,MyRowHidden(ROW()-1)=TRUE),0,(G571-G570)*unitsOfExo+J570)</f>
        <v>-85188.9</v>
      </c>
      <c r="K571" s="9">
        <f t="shared" si="26"/>
        <v>85188.9</v>
      </c>
      <c r="L571">
        <f t="shared" si="27"/>
        <v>1024811.1</v>
      </c>
    </row>
    <row r="572" spans="1:12" x14ac:dyDescent="0.25">
      <c r="A572" s="1"/>
      <c r="C572" s="1"/>
      <c r="D572" s="1">
        <v>42059</v>
      </c>
      <c r="E572" s="10">
        <v>276974</v>
      </c>
      <c r="F572" s="1">
        <v>42059</v>
      </c>
      <c r="G572">
        <v>-12832.33</v>
      </c>
      <c r="H572" s="1">
        <f t="shared" si="25"/>
        <v>42059</v>
      </c>
      <c r="I572">
        <f>IF(AND(MyRowHidden(ROW())=FALSE,MyRowHidden(ROW()-1)=TRUE),0,(E572-E571)*unitsOfDHp+I571)</f>
        <v>1112960</v>
      </c>
      <c r="J572">
        <f>IF(AND(MyRowHidden(ROW())=FALSE,MyRowHidden(ROW()-1)=TRUE),0,(G572-G571)*unitsOfExo+J571)</f>
        <v>-85433.3</v>
      </c>
      <c r="K572" s="9">
        <f t="shared" si="26"/>
        <v>85433.3</v>
      </c>
      <c r="L572">
        <f t="shared" si="27"/>
        <v>1027526.7</v>
      </c>
    </row>
    <row r="573" spans="1:12" x14ac:dyDescent="0.25">
      <c r="A573" s="1"/>
      <c r="C573" s="1"/>
      <c r="D573" s="1">
        <v>42060</v>
      </c>
      <c r="E573" s="10">
        <v>277914</v>
      </c>
      <c r="F573" s="1">
        <v>42060</v>
      </c>
      <c r="G573">
        <v>-12878.86</v>
      </c>
      <c r="H573" s="1">
        <f t="shared" si="25"/>
        <v>42060</v>
      </c>
      <c r="I573">
        <f>IF(AND(MyRowHidden(ROW())=FALSE,MyRowHidden(ROW()-1)=TRUE),0,(E573-E572)*unitsOfDHp+I572)</f>
        <v>1122360</v>
      </c>
      <c r="J573">
        <f>IF(AND(MyRowHidden(ROW())=FALSE,MyRowHidden(ROW()-1)=TRUE),0,(G573-G572)*unitsOfExo+J572)</f>
        <v>-85898.6</v>
      </c>
      <c r="K573" s="9">
        <f t="shared" si="26"/>
        <v>85898.6</v>
      </c>
      <c r="L573">
        <f t="shared" si="27"/>
        <v>1036461.4</v>
      </c>
    </row>
    <row r="574" spans="1:12" x14ac:dyDescent="0.25">
      <c r="A574" s="1"/>
      <c r="C574" s="1"/>
      <c r="D574" s="1">
        <v>42061</v>
      </c>
      <c r="E574" s="10">
        <v>275490</v>
      </c>
      <c r="F574" s="1">
        <v>42061</v>
      </c>
      <c r="G574">
        <v>-12922.1</v>
      </c>
      <c r="H574" s="1">
        <f t="shared" si="25"/>
        <v>42061</v>
      </c>
      <c r="I574">
        <f>IF(AND(MyRowHidden(ROW())=FALSE,MyRowHidden(ROW()-1)=TRUE),0,(E574-E573)*unitsOfDHp+I573)</f>
        <v>1098120</v>
      </c>
      <c r="J574">
        <f>IF(AND(MyRowHidden(ROW())=FALSE,MyRowHidden(ROW()-1)=TRUE),0,(G574-G573)*unitsOfExo+J573)</f>
        <v>-86331</v>
      </c>
      <c r="K574" s="9">
        <f t="shared" si="26"/>
        <v>86331</v>
      </c>
      <c r="L574">
        <f t="shared" si="27"/>
        <v>1011789</v>
      </c>
    </row>
    <row r="575" spans="1:12" x14ac:dyDescent="0.25">
      <c r="A575" s="1"/>
      <c r="C575" s="1"/>
      <c r="D575" s="1">
        <v>42062</v>
      </c>
      <c r="E575" s="10">
        <v>275422</v>
      </c>
      <c r="F575" s="1">
        <v>42062</v>
      </c>
      <c r="G575">
        <v>-12940.9</v>
      </c>
      <c r="H575" s="1">
        <f t="shared" si="25"/>
        <v>42062</v>
      </c>
      <c r="I575">
        <f>IF(AND(MyRowHidden(ROW())=FALSE,MyRowHidden(ROW()-1)=TRUE),0,(E575-E574)*unitsOfDHp+I574)</f>
        <v>1097440</v>
      </c>
      <c r="J575">
        <f>IF(AND(MyRowHidden(ROW())=FALSE,MyRowHidden(ROW()-1)=TRUE),0,(G575-G574)*unitsOfExo+J574)</f>
        <v>-86519</v>
      </c>
      <c r="K575" s="9">
        <f t="shared" si="26"/>
        <v>86519</v>
      </c>
      <c r="L575">
        <f t="shared" si="27"/>
        <v>1010921</v>
      </c>
    </row>
    <row r="576" spans="1:12" x14ac:dyDescent="0.25">
      <c r="A576" s="1"/>
      <c r="C576" s="1"/>
      <c r="D576" s="1">
        <v>42065</v>
      </c>
      <c r="E576" s="10">
        <v>275668</v>
      </c>
      <c r="F576" s="1">
        <v>42065</v>
      </c>
      <c r="G576">
        <v>-14118.5</v>
      </c>
      <c r="H576" s="1">
        <f t="shared" si="25"/>
        <v>42065</v>
      </c>
      <c r="I576">
        <f>IF(AND(MyRowHidden(ROW())=FALSE,MyRowHidden(ROW()-1)=TRUE),0,(E576-E575)*unitsOfDHp+I575)</f>
        <v>1099900</v>
      </c>
      <c r="J576">
        <f>IF(AND(MyRowHidden(ROW())=FALSE,MyRowHidden(ROW()-1)=TRUE),0,(G576-G575)*unitsOfExo+J575)</f>
        <v>-98295</v>
      </c>
      <c r="K576" s="9">
        <f t="shared" si="26"/>
        <v>98295</v>
      </c>
      <c r="L576">
        <f t="shared" si="27"/>
        <v>1001605</v>
      </c>
    </row>
    <row r="577" spans="1:12" x14ac:dyDescent="0.25">
      <c r="A577" s="1"/>
      <c r="C577" s="1"/>
      <c r="D577" s="1">
        <v>42066</v>
      </c>
      <c r="E577" s="10">
        <v>276080</v>
      </c>
      <c r="F577" s="1">
        <v>42066</v>
      </c>
      <c r="G577">
        <v>-14118.5</v>
      </c>
      <c r="H577" s="1">
        <f t="shared" si="25"/>
        <v>42066</v>
      </c>
      <c r="I577">
        <f>IF(AND(MyRowHidden(ROW())=FALSE,MyRowHidden(ROW()-1)=TRUE),0,(E577-E576)*unitsOfDHp+I576)</f>
        <v>1104020</v>
      </c>
      <c r="J577">
        <f>IF(AND(MyRowHidden(ROW())=FALSE,MyRowHidden(ROW()-1)=TRUE),0,(G577-G576)*unitsOfExo+J576)</f>
        <v>-98295</v>
      </c>
      <c r="K577" s="9">
        <f t="shared" si="26"/>
        <v>98295</v>
      </c>
      <c r="L577">
        <f t="shared" si="27"/>
        <v>1005725</v>
      </c>
    </row>
    <row r="578" spans="1:12" x14ac:dyDescent="0.25">
      <c r="A578" s="1"/>
      <c r="C578" s="1"/>
      <c r="D578" s="1">
        <v>42067</v>
      </c>
      <c r="E578" s="10">
        <v>277840</v>
      </c>
      <c r="F578" s="1">
        <v>42067</v>
      </c>
      <c r="G578">
        <v>-13848.72</v>
      </c>
      <c r="H578" s="1">
        <f t="shared" si="25"/>
        <v>42067</v>
      </c>
      <c r="I578">
        <f>IF(AND(MyRowHidden(ROW())=FALSE,MyRowHidden(ROW()-1)=TRUE),0,(E578-E577)*unitsOfDHp+I577)</f>
        <v>1121620</v>
      </c>
      <c r="J578">
        <f>IF(AND(MyRowHidden(ROW())=FALSE,MyRowHidden(ROW()-1)=TRUE),0,(G578-G577)*unitsOfExo+J577)</f>
        <v>-95597.2</v>
      </c>
      <c r="K578" s="9">
        <f t="shared" si="26"/>
        <v>95597.2</v>
      </c>
      <c r="L578">
        <f t="shared" si="27"/>
        <v>1026022.8</v>
      </c>
    </row>
    <row r="579" spans="1:12" x14ac:dyDescent="0.25">
      <c r="A579" s="1"/>
      <c r="C579" s="1"/>
      <c r="D579" s="1">
        <v>42068</v>
      </c>
      <c r="E579" s="10">
        <v>276978</v>
      </c>
      <c r="F579" s="1">
        <v>42068</v>
      </c>
      <c r="G579">
        <v>-14051.76</v>
      </c>
      <c r="H579" s="1">
        <f t="shared" si="25"/>
        <v>42068</v>
      </c>
      <c r="I579">
        <f>IF(AND(MyRowHidden(ROW())=FALSE,MyRowHidden(ROW()-1)=TRUE),0,(E579-E578)*unitsOfDHp+I578)</f>
        <v>1113000</v>
      </c>
      <c r="J579">
        <f>IF(AND(MyRowHidden(ROW())=FALSE,MyRowHidden(ROW()-1)=TRUE),0,(G579-G578)*unitsOfExo+J578)</f>
        <v>-97627.6</v>
      </c>
      <c r="K579" s="9">
        <f t="shared" si="26"/>
        <v>97627.6</v>
      </c>
      <c r="L579">
        <f t="shared" si="27"/>
        <v>1015372.4</v>
      </c>
    </row>
    <row r="580" spans="1:12" x14ac:dyDescent="0.25">
      <c r="A580" s="1"/>
      <c r="C580" s="1"/>
      <c r="D580" s="1">
        <v>42069</v>
      </c>
      <c r="E580" s="10">
        <v>276124</v>
      </c>
      <c r="F580" s="1">
        <v>42069</v>
      </c>
      <c r="G580">
        <v>-14340.34</v>
      </c>
      <c r="H580" s="1">
        <f t="shared" si="25"/>
        <v>42069</v>
      </c>
      <c r="I580">
        <f>IF(AND(MyRowHidden(ROW())=FALSE,MyRowHidden(ROW()-1)=TRUE),0,(E580-E579)*unitsOfDHp+I579)</f>
        <v>1104460</v>
      </c>
      <c r="J580">
        <f>IF(AND(MyRowHidden(ROW())=FALSE,MyRowHidden(ROW()-1)=TRUE),0,(G580-G579)*unitsOfExo+J579)</f>
        <v>-100513.40000000001</v>
      </c>
      <c r="K580" s="9">
        <f t="shared" si="26"/>
        <v>100513.40000000001</v>
      </c>
      <c r="L580">
        <f t="shared" si="27"/>
        <v>1003946.6</v>
      </c>
    </row>
    <row r="581" spans="1:12" x14ac:dyDescent="0.25">
      <c r="A581" s="1"/>
      <c r="C581" s="1"/>
      <c r="D581" s="1">
        <v>42072</v>
      </c>
      <c r="E581" s="10">
        <v>276004</v>
      </c>
      <c r="F581" s="1">
        <v>42072</v>
      </c>
      <c r="G581">
        <v>-14294.75</v>
      </c>
      <c r="H581" s="1">
        <f t="shared" si="25"/>
        <v>42072</v>
      </c>
      <c r="I581">
        <f>IF(AND(MyRowHidden(ROW())=FALSE,MyRowHidden(ROW()-1)=TRUE),0,(E581-E580)*unitsOfDHp+I580)</f>
        <v>1103260</v>
      </c>
      <c r="J581">
        <f>IF(AND(MyRowHidden(ROW())=FALSE,MyRowHidden(ROW()-1)=TRUE),0,(G581-G580)*unitsOfExo+J580)</f>
        <v>-100057.5</v>
      </c>
      <c r="K581" s="9">
        <f t="shared" si="26"/>
        <v>100057.5</v>
      </c>
      <c r="L581">
        <f t="shared" si="27"/>
        <v>1003202.5</v>
      </c>
    </row>
    <row r="582" spans="1:12" x14ac:dyDescent="0.25">
      <c r="A582" s="1"/>
      <c r="C582" s="1"/>
      <c r="D582" s="1">
        <v>42073</v>
      </c>
      <c r="E582" s="10">
        <v>276174</v>
      </c>
      <c r="F582" s="1">
        <v>42073</v>
      </c>
      <c r="G582">
        <v>-14294.75</v>
      </c>
      <c r="H582" s="1">
        <f t="shared" si="25"/>
        <v>42073</v>
      </c>
      <c r="I582">
        <f>IF(AND(MyRowHidden(ROW())=FALSE,MyRowHidden(ROW()-1)=TRUE),0,(E582-E581)*unitsOfDHp+I581)</f>
        <v>1104960</v>
      </c>
      <c r="J582">
        <f>IF(AND(MyRowHidden(ROW())=FALSE,MyRowHidden(ROW()-1)=TRUE),0,(G582-G581)*unitsOfExo+J581)</f>
        <v>-100057.5</v>
      </c>
      <c r="K582" s="9">
        <f t="shared" si="26"/>
        <v>100057.5</v>
      </c>
      <c r="L582">
        <f t="shared" si="27"/>
        <v>1004902.5</v>
      </c>
    </row>
    <row r="583" spans="1:12" x14ac:dyDescent="0.25">
      <c r="A583" s="1"/>
      <c r="C583" s="1"/>
      <c r="D583" s="1">
        <v>42074</v>
      </c>
      <c r="E583" s="10">
        <v>276334</v>
      </c>
      <c r="F583" s="1">
        <v>42074</v>
      </c>
      <c r="G583">
        <v>-14294.75</v>
      </c>
      <c r="H583" s="1">
        <f t="shared" si="25"/>
        <v>42074</v>
      </c>
      <c r="I583">
        <f>IF(AND(MyRowHidden(ROW())=FALSE,MyRowHidden(ROW()-1)=TRUE),0,(E583-E582)*unitsOfDHp+I582)</f>
        <v>1106560</v>
      </c>
      <c r="J583">
        <f>IF(AND(MyRowHidden(ROW())=FALSE,MyRowHidden(ROW()-1)=TRUE),0,(G583-G582)*unitsOfExo+J582)</f>
        <v>-100057.5</v>
      </c>
      <c r="K583" s="9">
        <f t="shared" si="26"/>
        <v>100057.5</v>
      </c>
      <c r="L583">
        <f t="shared" si="27"/>
        <v>1006502.5</v>
      </c>
    </row>
    <row r="584" spans="1:12" x14ac:dyDescent="0.25">
      <c r="A584" s="1"/>
      <c r="C584" s="1"/>
      <c r="D584" s="1">
        <v>42075</v>
      </c>
      <c r="E584" s="10">
        <v>276116</v>
      </c>
      <c r="F584" s="1">
        <v>42075</v>
      </c>
      <c r="G584">
        <v>-14294.75</v>
      </c>
      <c r="H584" s="1">
        <f t="shared" si="25"/>
        <v>42075</v>
      </c>
      <c r="I584">
        <f>IF(AND(MyRowHidden(ROW())=FALSE,MyRowHidden(ROW()-1)=TRUE),0,(E584-E583)*unitsOfDHp+I583)</f>
        <v>1104380</v>
      </c>
      <c r="J584">
        <f>IF(AND(MyRowHidden(ROW())=FALSE,MyRowHidden(ROW()-1)=TRUE),0,(G584-G583)*unitsOfExo+J583)</f>
        <v>-100057.5</v>
      </c>
      <c r="K584" s="9">
        <f t="shared" si="26"/>
        <v>100057.5</v>
      </c>
      <c r="L584">
        <f t="shared" si="27"/>
        <v>1004322.5</v>
      </c>
    </row>
    <row r="585" spans="1:12" x14ac:dyDescent="0.25">
      <c r="A585" s="1"/>
      <c r="C585" s="1"/>
      <c r="D585" s="1">
        <v>42076</v>
      </c>
      <c r="E585" s="10">
        <v>275042</v>
      </c>
      <c r="F585" s="1">
        <v>42076</v>
      </c>
      <c r="G585">
        <v>-14433.4</v>
      </c>
      <c r="H585" s="1">
        <f t="shared" si="25"/>
        <v>42076</v>
      </c>
      <c r="I585">
        <f>IF(AND(MyRowHidden(ROW())=FALSE,MyRowHidden(ROW()-1)=TRUE),0,(E585-E584)*unitsOfDHp+I584)</f>
        <v>1093640</v>
      </c>
      <c r="J585">
        <f>IF(AND(MyRowHidden(ROW())=FALSE,MyRowHidden(ROW()-1)=TRUE),0,(G585-G584)*unitsOfExo+J584)</f>
        <v>-101444</v>
      </c>
      <c r="K585" s="9">
        <f t="shared" si="26"/>
        <v>101444</v>
      </c>
      <c r="L585">
        <f t="shared" si="27"/>
        <v>992196</v>
      </c>
    </row>
    <row r="586" spans="1:12" x14ac:dyDescent="0.25">
      <c r="A586" s="1"/>
      <c r="C586" s="1"/>
      <c r="D586" s="1">
        <v>42079</v>
      </c>
      <c r="E586" s="10">
        <v>272708</v>
      </c>
      <c r="F586" s="1">
        <v>42079</v>
      </c>
      <c r="G586">
        <v>-14465.83</v>
      </c>
      <c r="H586" s="1">
        <f t="shared" si="25"/>
        <v>42079</v>
      </c>
      <c r="I586">
        <f>IF(AND(MyRowHidden(ROW())=FALSE,MyRowHidden(ROW()-1)=TRUE),0,(E586-E585)*unitsOfDHp+I585)</f>
        <v>1070300</v>
      </c>
      <c r="J586">
        <f>IF(AND(MyRowHidden(ROW())=FALSE,MyRowHidden(ROW()-1)=TRUE),0,(G586-G585)*unitsOfExo+J585)</f>
        <v>-101768.3</v>
      </c>
      <c r="K586" s="9">
        <f t="shared" si="26"/>
        <v>101768.3</v>
      </c>
      <c r="L586">
        <f t="shared" si="27"/>
        <v>968531.7</v>
      </c>
    </row>
    <row r="587" spans="1:12" x14ac:dyDescent="0.25">
      <c r="A587" s="1"/>
      <c r="C587" s="1"/>
      <c r="D587" s="1">
        <v>42080</v>
      </c>
      <c r="E587" s="10">
        <v>272708</v>
      </c>
      <c r="F587" s="1">
        <v>42080</v>
      </c>
      <c r="G587">
        <v>-14259.97</v>
      </c>
      <c r="H587" s="1">
        <f t="shared" si="25"/>
        <v>42080</v>
      </c>
      <c r="I587">
        <f>IF(AND(MyRowHidden(ROW())=FALSE,MyRowHidden(ROW()-1)=TRUE),0,(E587-E586)*unitsOfDHp+I586)</f>
        <v>1070300</v>
      </c>
      <c r="J587">
        <f>IF(AND(MyRowHidden(ROW())=FALSE,MyRowHidden(ROW()-1)=TRUE),0,(G587-G586)*unitsOfExo+J586)</f>
        <v>-99709.7</v>
      </c>
      <c r="K587" s="9">
        <f t="shared" si="26"/>
        <v>99709.7</v>
      </c>
      <c r="L587">
        <f t="shared" si="27"/>
        <v>970590.3</v>
      </c>
    </row>
    <row r="588" spans="1:12" x14ac:dyDescent="0.25">
      <c r="A588" s="1"/>
      <c r="C588" s="1"/>
      <c r="D588" s="1">
        <v>42081</v>
      </c>
      <c r="E588" s="10">
        <v>272672</v>
      </c>
      <c r="F588" s="1">
        <v>42081</v>
      </c>
      <c r="G588">
        <v>-14313.55</v>
      </c>
      <c r="H588" s="1">
        <f t="shared" si="25"/>
        <v>42081</v>
      </c>
      <c r="I588">
        <f>IF(AND(MyRowHidden(ROW())=FALSE,MyRowHidden(ROW()-1)=TRUE),0,(E588-E587)*unitsOfDHp+I587)</f>
        <v>1069940</v>
      </c>
      <c r="J588">
        <f>IF(AND(MyRowHidden(ROW())=FALSE,MyRowHidden(ROW()-1)=TRUE),0,(G588-G587)*unitsOfExo+J587)</f>
        <v>-100245.5</v>
      </c>
      <c r="K588" s="9">
        <f t="shared" si="26"/>
        <v>100245.5</v>
      </c>
      <c r="L588">
        <f t="shared" si="27"/>
        <v>969694.5</v>
      </c>
    </row>
    <row r="589" spans="1:12" x14ac:dyDescent="0.25">
      <c r="A589" s="1"/>
      <c r="C589" s="1"/>
      <c r="D589" s="1">
        <v>42082</v>
      </c>
      <c r="E589" s="10">
        <v>272636</v>
      </c>
      <c r="F589" s="1">
        <v>42082</v>
      </c>
      <c r="G589">
        <v>-14481.81</v>
      </c>
      <c r="H589" s="1">
        <f t="shared" ref="H589:H652" si="28">D589</f>
        <v>42082</v>
      </c>
      <c r="I589">
        <f>IF(AND(MyRowHidden(ROW())=FALSE,MyRowHidden(ROW()-1)=TRUE),0,(E589-E588)*unitsOfDHp+I588)</f>
        <v>1069580</v>
      </c>
      <c r="J589">
        <f>IF(AND(MyRowHidden(ROW())=FALSE,MyRowHidden(ROW()-1)=TRUE),0,(G589-G588)*unitsOfExo+J588)</f>
        <v>-101928.1</v>
      </c>
      <c r="K589" s="9">
        <f t="shared" ref="K589:K652" si="29">-(J589-J588)+K588</f>
        <v>101928.1</v>
      </c>
      <c r="L589">
        <f t="shared" ref="L589:L652" si="30">I589+J589</f>
        <v>967651.9</v>
      </c>
    </row>
    <row r="590" spans="1:12" x14ac:dyDescent="0.25">
      <c r="A590" s="1"/>
      <c r="C590" s="1"/>
      <c r="D590" s="1">
        <v>42083</v>
      </c>
      <c r="E590" s="10">
        <v>272480</v>
      </c>
      <c r="F590" s="1">
        <v>42083</v>
      </c>
      <c r="G590">
        <v>-14460.19</v>
      </c>
      <c r="H590" s="1">
        <f t="shared" si="28"/>
        <v>42083</v>
      </c>
      <c r="I590">
        <f>IF(AND(MyRowHidden(ROW())=FALSE,MyRowHidden(ROW()-1)=TRUE),0,(E590-E589)*unitsOfDHp+I589)</f>
        <v>1068020</v>
      </c>
      <c r="J590">
        <f>IF(AND(MyRowHidden(ROW())=FALSE,MyRowHidden(ROW()-1)=TRUE),0,(G590-G589)*unitsOfExo+J589)</f>
        <v>-101711.90000000002</v>
      </c>
      <c r="K590" s="9">
        <f t="shared" si="29"/>
        <v>101711.90000000002</v>
      </c>
      <c r="L590">
        <f t="shared" si="30"/>
        <v>966308.1</v>
      </c>
    </row>
    <row r="591" spans="1:12" x14ac:dyDescent="0.25">
      <c r="A591" s="1"/>
      <c r="C591" s="1"/>
      <c r="D591" s="1">
        <v>42086</v>
      </c>
      <c r="E591" s="10">
        <v>272408</v>
      </c>
      <c r="F591" s="1">
        <v>42086</v>
      </c>
      <c r="G591">
        <v>-14460.19</v>
      </c>
      <c r="H591" s="1">
        <f t="shared" si="28"/>
        <v>42086</v>
      </c>
      <c r="I591">
        <f>IF(AND(MyRowHidden(ROW())=FALSE,MyRowHidden(ROW()-1)=TRUE),0,(E591-E590)*unitsOfDHp+I590)</f>
        <v>1067300</v>
      </c>
      <c r="J591">
        <f>IF(AND(MyRowHidden(ROW())=FALSE,MyRowHidden(ROW()-1)=TRUE),0,(G591-G590)*unitsOfExo+J590)</f>
        <v>-101711.90000000002</v>
      </c>
      <c r="K591" s="9">
        <f t="shared" si="29"/>
        <v>101711.90000000002</v>
      </c>
      <c r="L591">
        <f t="shared" si="30"/>
        <v>965588.1</v>
      </c>
    </row>
    <row r="592" spans="1:12" x14ac:dyDescent="0.25">
      <c r="A592" s="1"/>
      <c r="C592" s="1"/>
      <c r="D592" s="1">
        <v>42087</v>
      </c>
      <c r="E592" s="10">
        <v>272312</v>
      </c>
      <c r="F592" s="1">
        <v>42087</v>
      </c>
      <c r="G592">
        <v>-14524.58</v>
      </c>
      <c r="H592" s="1">
        <f t="shared" si="28"/>
        <v>42087</v>
      </c>
      <c r="I592">
        <f>IF(AND(MyRowHidden(ROW())=FALSE,MyRowHidden(ROW()-1)=TRUE),0,(E592-E591)*unitsOfDHp+I591)</f>
        <v>1066340</v>
      </c>
      <c r="J592">
        <f>IF(AND(MyRowHidden(ROW())=FALSE,MyRowHidden(ROW()-1)=TRUE),0,(G592-G591)*unitsOfExo+J591)</f>
        <v>-102355.80000000002</v>
      </c>
      <c r="K592" s="9">
        <f t="shared" si="29"/>
        <v>102355.80000000002</v>
      </c>
      <c r="L592">
        <f t="shared" si="30"/>
        <v>963984.2</v>
      </c>
    </row>
    <row r="593" spans="1:12" x14ac:dyDescent="0.25">
      <c r="A593" s="1"/>
      <c r="C593" s="1"/>
      <c r="D593" s="1">
        <v>42088</v>
      </c>
      <c r="E593" s="10">
        <v>272312</v>
      </c>
      <c r="F593" s="1">
        <v>42088</v>
      </c>
      <c r="G593">
        <v>-14524.58</v>
      </c>
      <c r="H593" s="1">
        <f t="shared" si="28"/>
        <v>42088</v>
      </c>
      <c r="I593">
        <f>IF(AND(MyRowHidden(ROW())=FALSE,MyRowHidden(ROW()-1)=TRUE),0,(E593-E592)*unitsOfDHp+I592)</f>
        <v>1066340</v>
      </c>
      <c r="J593">
        <f>IF(AND(MyRowHidden(ROW())=FALSE,MyRowHidden(ROW()-1)=TRUE),0,(G593-G592)*unitsOfExo+J592)</f>
        <v>-102355.80000000002</v>
      </c>
      <c r="K593" s="9">
        <f t="shared" si="29"/>
        <v>102355.80000000002</v>
      </c>
      <c r="L593">
        <f t="shared" si="30"/>
        <v>963984.2</v>
      </c>
    </row>
    <row r="594" spans="1:12" x14ac:dyDescent="0.25">
      <c r="A594" s="1"/>
      <c r="C594" s="1"/>
      <c r="D594" s="1">
        <v>42089</v>
      </c>
      <c r="E594" s="10">
        <v>272192</v>
      </c>
      <c r="F594" s="1">
        <v>42089</v>
      </c>
      <c r="G594">
        <v>-14524.58</v>
      </c>
      <c r="H594" s="1">
        <f t="shared" si="28"/>
        <v>42089</v>
      </c>
      <c r="I594">
        <f>IF(AND(MyRowHidden(ROW())=FALSE,MyRowHidden(ROW()-1)=TRUE),0,(E594-E593)*unitsOfDHp+I593)</f>
        <v>1065140</v>
      </c>
      <c r="J594">
        <f>IF(AND(MyRowHidden(ROW())=FALSE,MyRowHidden(ROW()-1)=TRUE),0,(G594-G593)*unitsOfExo+J593)</f>
        <v>-102355.80000000002</v>
      </c>
      <c r="K594" s="9">
        <f t="shared" si="29"/>
        <v>102355.80000000002</v>
      </c>
      <c r="L594">
        <f t="shared" si="30"/>
        <v>962784.2</v>
      </c>
    </row>
    <row r="595" spans="1:12" x14ac:dyDescent="0.25">
      <c r="A595" s="1"/>
      <c r="C595" s="1"/>
      <c r="D595" s="1">
        <v>42090</v>
      </c>
      <c r="E595" s="10">
        <v>269670</v>
      </c>
      <c r="F595" s="1">
        <v>42090</v>
      </c>
      <c r="G595">
        <v>-14548.55</v>
      </c>
      <c r="H595" s="1">
        <f t="shared" si="28"/>
        <v>42090</v>
      </c>
      <c r="I595">
        <f>IF(AND(MyRowHidden(ROW())=FALSE,MyRowHidden(ROW()-1)=TRUE),0,(E595-E594)*unitsOfDHp+I594)</f>
        <v>1039920</v>
      </c>
      <c r="J595">
        <f>IF(AND(MyRowHidden(ROW())=FALSE,MyRowHidden(ROW()-1)=TRUE),0,(G595-G594)*unitsOfExo+J594)</f>
        <v>-102595.50000000001</v>
      </c>
      <c r="K595" s="9">
        <f t="shared" si="29"/>
        <v>102595.50000000001</v>
      </c>
      <c r="L595">
        <f t="shared" si="30"/>
        <v>937324.5</v>
      </c>
    </row>
    <row r="596" spans="1:12" x14ac:dyDescent="0.25">
      <c r="A596" s="1"/>
      <c r="C596" s="1"/>
      <c r="D596" s="1">
        <v>42093</v>
      </c>
      <c r="E596" s="10">
        <v>267156</v>
      </c>
      <c r="F596" s="1">
        <v>42093</v>
      </c>
      <c r="G596">
        <v>-14569.7</v>
      </c>
      <c r="H596" s="1">
        <f t="shared" si="28"/>
        <v>42093</v>
      </c>
      <c r="I596">
        <f>IF(AND(MyRowHidden(ROW())=FALSE,MyRowHidden(ROW()-1)=TRUE),0,(E596-E595)*unitsOfDHp+I595)</f>
        <v>1014780</v>
      </c>
      <c r="J596">
        <f>IF(AND(MyRowHidden(ROW())=FALSE,MyRowHidden(ROW()-1)=TRUE),0,(G596-G595)*unitsOfExo+J595)</f>
        <v>-102807.00000000003</v>
      </c>
      <c r="K596" s="9">
        <f t="shared" si="29"/>
        <v>102807.00000000003</v>
      </c>
      <c r="L596">
        <f t="shared" si="30"/>
        <v>911973</v>
      </c>
    </row>
    <row r="597" spans="1:12" x14ac:dyDescent="0.25">
      <c r="A597" s="1"/>
      <c r="C597" s="1"/>
      <c r="D597" s="1">
        <v>42094</v>
      </c>
      <c r="E597" s="10">
        <v>267706</v>
      </c>
      <c r="F597" s="1">
        <v>42094</v>
      </c>
      <c r="G597">
        <v>-14569.7</v>
      </c>
      <c r="H597" s="1">
        <f t="shared" si="28"/>
        <v>42094</v>
      </c>
      <c r="I597">
        <f>IF(AND(MyRowHidden(ROW())=FALSE,MyRowHidden(ROW()-1)=TRUE),0,(E597-E596)*unitsOfDHp+I596)</f>
        <v>1020280</v>
      </c>
      <c r="J597">
        <f>IF(AND(MyRowHidden(ROW())=FALSE,MyRowHidden(ROW()-1)=TRUE),0,(G597-G596)*unitsOfExo+J596)</f>
        <v>-102807.00000000003</v>
      </c>
      <c r="K597" s="9">
        <f t="shared" si="29"/>
        <v>102807.00000000003</v>
      </c>
      <c r="L597">
        <f t="shared" si="30"/>
        <v>917473</v>
      </c>
    </row>
    <row r="598" spans="1:12" x14ac:dyDescent="0.25">
      <c r="A598" s="1"/>
      <c r="C598" s="1"/>
      <c r="D598" s="1">
        <v>42095</v>
      </c>
      <c r="E598" s="10">
        <v>270196</v>
      </c>
      <c r="F598" s="1">
        <v>42095</v>
      </c>
      <c r="G598">
        <v>-15775.5</v>
      </c>
      <c r="H598" s="1">
        <f t="shared" si="28"/>
        <v>42095</v>
      </c>
      <c r="I598">
        <f>IF(AND(MyRowHidden(ROW())=FALSE,MyRowHidden(ROW()-1)=TRUE),0,(E598-E597)*unitsOfDHp+I597)</f>
        <v>1045180</v>
      </c>
      <c r="J598">
        <f>IF(AND(MyRowHidden(ROW())=FALSE,MyRowHidden(ROW()-1)=TRUE),0,(G598-G597)*unitsOfExo+J597)</f>
        <v>-114865.00000000003</v>
      </c>
      <c r="K598" s="9">
        <f t="shared" si="29"/>
        <v>114865.00000000003</v>
      </c>
      <c r="L598">
        <f t="shared" si="30"/>
        <v>930315</v>
      </c>
    </row>
    <row r="599" spans="1:12" x14ac:dyDescent="0.25">
      <c r="A599" s="1"/>
      <c r="C599" s="1"/>
      <c r="D599" s="1">
        <v>42096</v>
      </c>
      <c r="E599" s="10">
        <v>268426</v>
      </c>
      <c r="F599" s="1">
        <v>42096</v>
      </c>
      <c r="G599">
        <v>-15775.5</v>
      </c>
      <c r="H599" s="1">
        <f t="shared" si="28"/>
        <v>42096</v>
      </c>
      <c r="I599">
        <f>IF(AND(MyRowHidden(ROW())=FALSE,MyRowHidden(ROW()-1)=TRUE),0,(E599-E598)*unitsOfDHp+I598)</f>
        <v>1027480</v>
      </c>
      <c r="J599">
        <f>IF(AND(MyRowHidden(ROW())=FALSE,MyRowHidden(ROW()-1)=TRUE),0,(G599-G598)*unitsOfExo+J598)</f>
        <v>-114865.00000000003</v>
      </c>
      <c r="K599" s="9">
        <f t="shared" si="29"/>
        <v>114865.00000000003</v>
      </c>
      <c r="L599">
        <f t="shared" si="30"/>
        <v>912615</v>
      </c>
    </row>
    <row r="600" spans="1:12" x14ac:dyDescent="0.25">
      <c r="A600" s="1"/>
      <c r="C600" s="1"/>
      <c r="D600" s="1">
        <v>42097</v>
      </c>
      <c r="E600" s="10">
        <v>269934</v>
      </c>
      <c r="F600" s="1">
        <v>42097</v>
      </c>
      <c r="G600">
        <v>-15775.5</v>
      </c>
      <c r="H600" s="1">
        <f t="shared" si="28"/>
        <v>42097</v>
      </c>
      <c r="I600">
        <f>IF(AND(MyRowHidden(ROW())=FALSE,MyRowHidden(ROW()-1)=TRUE),0,(E600-E599)*unitsOfDHp+I599)</f>
        <v>1042560</v>
      </c>
      <c r="J600">
        <f>IF(AND(MyRowHidden(ROW())=FALSE,MyRowHidden(ROW()-1)=TRUE),0,(G600-G599)*unitsOfExo+J599)</f>
        <v>-114865.00000000003</v>
      </c>
      <c r="K600" s="9">
        <f t="shared" si="29"/>
        <v>114865.00000000003</v>
      </c>
      <c r="L600">
        <f t="shared" si="30"/>
        <v>927695</v>
      </c>
    </row>
    <row r="601" spans="1:12" x14ac:dyDescent="0.25">
      <c r="A601" s="1"/>
      <c r="C601" s="1"/>
      <c r="D601" s="1">
        <v>42100</v>
      </c>
      <c r="E601" s="10">
        <v>270800</v>
      </c>
      <c r="F601" s="1">
        <v>42100</v>
      </c>
      <c r="G601">
        <v>-15775.5</v>
      </c>
      <c r="H601" s="1">
        <f t="shared" si="28"/>
        <v>42100</v>
      </c>
      <c r="I601">
        <f>IF(AND(MyRowHidden(ROW())=FALSE,MyRowHidden(ROW()-1)=TRUE),0,(E601-E600)*unitsOfDHp+I600)</f>
        <v>1051220</v>
      </c>
      <c r="J601">
        <f>IF(AND(MyRowHidden(ROW())=FALSE,MyRowHidden(ROW()-1)=TRUE),0,(G601-G600)*unitsOfExo+J600)</f>
        <v>-114865.00000000003</v>
      </c>
      <c r="K601" s="9">
        <f t="shared" si="29"/>
        <v>114865.00000000003</v>
      </c>
      <c r="L601">
        <f t="shared" si="30"/>
        <v>936355</v>
      </c>
    </row>
    <row r="602" spans="1:12" x14ac:dyDescent="0.25">
      <c r="A602" s="1"/>
      <c r="C602" s="1"/>
      <c r="D602" s="1">
        <v>42101</v>
      </c>
      <c r="E602" s="10">
        <v>272078</v>
      </c>
      <c r="F602" s="1">
        <v>42101</v>
      </c>
      <c r="G602">
        <v>-15876.08</v>
      </c>
      <c r="H602" s="1">
        <f t="shared" si="28"/>
        <v>42101</v>
      </c>
      <c r="I602">
        <f>IF(AND(MyRowHidden(ROW())=FALSE,MyRowHidden(ROW()-1)=TRUE),0,(E602-E601)*unitsOfDHp+I601)</f>
        <v>1064000</v>
      </c>
      <c r="J602">
        <f>IF(AND(MyRowHidden(ROW())=FALSE,MyRowHidden(ROW()-1)=TRUE),0,(G602-G601)*unitsOfExo+J601)</f>
        <v>-115870.80000000003</v>
      </c>
      <c r="K602" s="9">
        <f t="shared" si="29"/>
        <v>115870.80000000003</v>
      </c>
      <c r="L602">
        <f t="shared" si="30"/>
        <v>948129.2</v>
      </c>
    </row>
    <row r="603" spans="1:12" x14ac:dyDescent="0.25">
      <c r="A603" s="1"/>
      <c r="C603" s="1"/>
      <c r="D603" s="1">
        <v>42102</v>
      </c>
      <c r="E603" s="10">
        <v>269704</v>
      </c>
      <c r="F603" s="1">
        <v>42102</v>
      </c>
      <c r="G603">
        <v>-16494.599999999999</v>
      </c>
      <c r="H603" s="1">
        <f t="shared" si="28"/>
        <v>42102</v>
      </c>
      <c r="I603">
        <f>IF(AND(MyRowHidden(ROW())=FALSE,MyRowHidden(ROW()-1)=TRUE),0,(E603-E602)*unitsOfDHp+I602)</f>
        <v>1040260</v>
      </c>
      <c r="J603">
        <f>IF(AND(MyRowHidden(ROW())=FALSE,MyRowHidden(ROW()-1)=TRUE),0,(G603-G602)*unitsOfExo+J602)</f>
        <v>-122056.00000000001</v>
      </c>
      <c r="K603" s="9">
        <f t="shared" si="29"/>
        <v>122056.00000000001</v>
      </c>
      <c r="L603">
        <f t="shared" si="30"/>
        <v>918204</v>
      </c>
    </row>
    <row r="604" spans="1:12" x14ac:dyDescent="0.25">
      <c r="A604" s="1"/>
      <c r="C604" s="1"/>
      <c r="D604" s="1">
        <v>42103</v>
      </c>
      <c r="E604" s="10">
        <v>269874</v>
      </c>
      <c r="F604" s="1">
        <v>42103</v>
      </c>
      <c r="G604">
        <v>-16628.55</v>
      </c>
      <c r="H604" s="1">
        <f t="shared" si="28"/>
        <v>42103</v>
      </c>
      <c r="I604">
        <f>IF(AND(MyRowHidden(ROW())=FALSE,MyRowHidden(ROW()-1)=TRUE),0,(E604-E603)*unitsOfDHp+I603)</f>
        <v>1041960</v>
      </c>
      <c r="J604">
        <f>IF(AND(MyRowHidden(ROW())=FALSE,MyRowHidden(ROW()-1)=TRUE),0,(G604-G603)*unitsOfExo+J603)</f>
        <v>-123395.50000000003</v>
      </c>
      <c r="K604" s="9">
        <f t="shared" si="29"/>
        <v>123395.50000000003</v>
      </c>
      <c r="L604">
        <f t="shared" si="30"/>
        <v>918564.5</v>
      </c>
    </row>
    <row r="605" spans="1:12" x14ac:dyDescent="0.25">
      <c r="A605" s="1"/>
      <c r="C605" s="1"/>
      <c r="D605" s="1">
        <v>42104</v>
      </c>
      <c r="E605" s="10">
        <v>270744</v>
      </c>
      <c r="F605" s="1">
        <v>42104</v>
      </c>
      <c r="G605">
        <v>-16796.810000000001</v>
      </c>
      <c r="H605" s="1">
        <f t="shared" si="28"/>
        <v>42104</v>
      </c>
      <c r="I605">
        <f>IF(AND(MyRowHidden(ROW())=FALSE,MyRowHidden(ROW()-1)=TRUE),0,(E605-E604)*unitsOfDHp+I604)</f>
        <v>1050660</v>
      </c>
      <c r="J605">
        <f>IF(AND(MyRowHidden(ROW())=FALSE,MyRowHidden(ROW()-1)=TRUE),0,(G605-G604)*unitsOfExo+J604)</f>
        <v>-125078.10000000005</v>
      </c>
      <c r="K605" s="9">
        <f t="shared" si="29"/>
        <v>125078.10000000005</v>
      </c>
      <c r="L605">
        <f t="shared" si="30"/>
        <v>925581.89999999991</v>
      </c>
    </row>
    <row r="606" spans="1:12" x14ac:dyDescent="0.25">
      <c r="A606" s="1"/>
      <c r="C606" s="1"/>
      <c r="D606" s="1">
        <v>42107</v>
      </c>
      <c r="E606" s="10">
        <v>271434</v>
      </c>
      <c r="F606" s="1">
        <v>42107</v>
      </c>
      <c r="G606">
        <v>-16953.32</v>
      </c>
      <c r="H606" s="1">
        <f t="shared" si="28"/>
        <v>42107</v>
      </c>
      <c r="I606">
        <f>IF(AND(MyRowHidden(ROW())=FALSE,MyRowHidden(ROW()-1)=TRUE),0,(E606-E605)*unitsOfDHp+I605)</f>
        <v>1057560</v>
      </c>
      <c r="J606">
        <f>IF(AND(MyRowHidden(ROW())=FALSE,MyRowHidden(ROW()-1)=TRUE),0,(G606-G605)*unitsOfExo+J605)</f>
        <v>-126643.20000000004</v>
      </c>
      <c r="K606" s="9">
        <f t="shared" si="29"/>
        <v>126643.20000000004</v>
      </c>
      <c r="L606">
        <f t="shared" si="30"/>
        <v>930916.79999999993</v>
      </c>
    </row>
    <row r="607" spans="1:12" x14ac:dyDescent="0.25">
      <c r="A607" s="1"/>
      <c r="C607" s="1"/>
      <c r="D607" s="1">
        <v>42108</v>
      </c>
      <c r="E607" s="10">
        <v>271854</v>
      </c>
      <c r="F607" s="1">
        <v>42108</v>
      </c>
      <c r="G607">
        <v>-17244.25</v>
      </c>
      <c r="H607" s="1">
        <f t="shared" si="28"/>
        <v>42108</v>
      </c>
      <c r="I607">
        <f>IF(AND(MyRowHidden(ROW())=FALSE,MyRowHidden(ROW()-1)=TRUE),0,(E607-E606)*unitsOfDHp+I606)</f>
        <v>1061760</v>
      </c>
      <c r="J607">
        <f>IF(AND(MyRowHidden(ROW())=FALSE,MyRowHidden(ROW()-1)=TRUE),0,(G607-G606)*unitsOfExo+J606)</f>
        <v>-129552.50000000004</v>
      </c>
      <c r="K607" s="9">
        <f t="shared" si="29"/>
        <v>129552.50000000004</v>
      </c>
      <c r="L607">
        <f t="shared" si="30"/>
        <v>932207.5</v>
      </c>
    </row>
    <row r="608" spans="1:12" x14ac:dyDescent="0.25">
      <c r="A608" s="1"/>
      <c r="C608" s="1"/>
      <c r="D608" s="1">
        <v>42109</v>
      </c>
      <c r="E608" s="10">
        <v>274192</v>
      </c>
      <c r="F608" s="1">
        <v>42109</v>
      </c>
      <c r="G608">
        <v>-17244.25</v>
      </c>
      <c r="H608" s="1">
        <f t="shared" si="28"/>
        <v>42109</v>
      </c>
      <c r="I608">
        <f>IF(AND(MyRowHidden(ROW())=FALSE,MyRowHidden(ROW()-1)=TRUE),0,(E608-E607)*unitsOfDHp+I607)</f>
        <v>1085140</v>
      </c>
      <c r="J608">
        <f>IF(AND(MyRowHidden(ROW())=FALSE,MyRowHidden(ROW()-1)=TRUE),0,(G608-G607)*unitsOfExo+J607)</f>
        <v>-129552.50000000004</v>
      </c>
      <c r="K608" s="9">
        <f t="shared" si="29"/>
        <v>129552.50000000004</v>
      </c>
      <c r="L608">
        <f t="shared" si="30"/>
        <v>955587.5</v>
      </c>
    </row>
    <row r="609" spans="1:12" x14ac:dyDescent="0.25">
      <c r="A609" s="1"/>
      <c r="C609" s="1"/>
      <c r="D609" s="1">
        <v>42110</v>
      </c>
      <c r="E609" s="10">
        <v>275136</v>
      </c>
      <c r="F609" s="1">
        <v>42110</v>
      </c>
      <c r="G609">
        <v>-17244.25</v>
      </c>
      <c r="H609" s="1">
        <f t="shared" si="28"/>
        <v>42110</v>
      </c>
      <c r="I609">
        <f>IF(AND(MyRowHidden(ROW())=FALSE,MyRowHidden(ROW()-1)=TRUE),0,(E609-E608)*unitsOfDHp+I608)</f>
        <v>1094580</v>
      </c>
      <c r="J609">
        <f>IF(AND(MyRowHidden(ROW())=FALSE,MyRowHidden(ROW()-1)=TRUE),0,(G609-G608)*unitsOfExo+J608)</f>
        <v>-129552.50000000004</v>
      </c>
      <c r="K609" s="9">
        <f t="shared" si="29"/>
        <v>129552.50000000004</v>
      </c>
      <c r="L609">
        <f t="shared" si="30"/>
        <v>965027.5</v>
      </c>
    </row>
    <row r="610" spans="1:12" x14ac:dyDescent="0.25">
      <c r="A610" s="1"/>
      <c r="C610" s="1"/>
      <c r="D610" s="1">
        <v>42111</v>
      </c>
      <c r="E610" s="10">
        <v>274352</v>
      </c>
      <c r="F610" s="1">
        <v>42111</v>
      </c>
      <c r="G610">
        <v>-17244.25</v>
      </c>
      <c r="H610" s="1">
        <f t="shared" si="28"/>
        <v>42111</v>
      </c>
      <c r="I610">
        <f>IF(AND(MyRowHidden(ROW())=FALSE,MyRowHidden(ROW()-1)=TRUE),0,(E610-E609)*unitsOfDHp+I609)</f>
        <v>1086740</v>
      </c>
      <c r="J610">
        <f>IF(AND(MyRowHidden(ROW())=FALSE,MyRowHidden(ROW()-1)=TRUE),0,(G610-G609)*unitsOfExo+J609)</f>
        <v>-129552.50000000004</v>
      </c>
      <c r="K610" s="9">
        <f t="shared" si="29"/>
        <v>129552.50000000004</v>
      </c>
      <c r="L610">
        <f t="shared" si="30"/>
        <v>957187.5</v>
      </c>
    </row>
    <row r="611" spans="1:12" x14ac:dyDescent="0.25">
      <c r="A611" s="1"/>
      <c r="C611" s="1"/>
      <c r="D611" s="1">
        <v>42114</v>
      </c>
      <c r="E611" s="10">
        <v>274872</v>
      </c>
      <c r="F611" s="1">
        <v>42114</v>
      </c>
      <c r="G611">
        <v>-17344.830000000002</v>
      </c>
      <c r="H611" s="1">
        <f t="shared" si="28"/>
        <v>42114</v>
      </c>
      <c r="I611">
        <f>IF(AND(MyRowHidden(ROW())=FALSE,MyRowHidden(ROW()-1)=TRUE),0,(E611-E610)*unitsOfDHp+I610)</f>
        <v>1091940</v>
      </c>
      <c r="J611">
        <f>IF(AND(MyRowHidden(ROW())=FALSE,MyRowHidden(ROW()-1)=TRUE),0,(G611-G610)*unitsOfExo+J610)</f>
        <v>-130558.30000000006</v>
      </c>
      <c r="K611" s="9">
        <f t="shared" si="29"/>
        <v>130558.30000000006</v>
      </c>
      <c r="L611">
        <f t="shared" si="30"/>
        <v>961381.7</v>
      </c>
    </row>
    <row r="612" spans="1:12" x14ac:dyDescent="0.25">
      <c r="A612" s="1"/>
      <c r="C612" s="1"/>
      <c r="D612" s="1">
        <v>42115</v>
      </c>
      <c r="E612" s="10">
        <v>275002</v>
      </c>
      <c r="F612" s="1">
        <v>42115</v>
      </c>
      <c r="G612">
        <v>-17277.62</v>
      </c>
      <c r="H612" s="1">
        <f t="shared" si="28"/>
        <v>42115</v>
      </c>
      <c r="I612">
        <f>IF(AND(MyRowHidden(ROW())=FALSE,MyRowHidden(ROW()-1)=TRUE),0,(E612-E611)*unitsOfDHp+I611)</f>
        <v>1093240</v>
      </c>
      <c r="J612">
        <f>IF(AND(MyRowHidden(ROW())=FALSE,MyRowHidden(ROW()-1)=TRUE),0,(G612-G611)*unitsOfExo+J611)</f>
        <v>-129886.20000000004</v>
      </c>
      <c r="K612" s="9">
        <f t="shared" si="29"/>
        <v>129886.20000000004</v>
      </c>
      <c r="L612">
        <f t="shared" si="30"/>
        <v>963353.79999999993</v>
      </c>
    </row>
    <row r="613" spans="1:12" x14ac:dyDescent="0.25">
      <c r="A613" s="1"/>
      <c r="C613" s="1"/>
      <c r="D613" s="1">
        <v>42116</v>
      </c>
      <c r="E613" s="10">
        <v>275022</v>
      </c>
      <c r="F613" s="1">
        <v>42116</v>
      </c>
      <c r="G613">
        <v>-17277.62</v>
      </c>
      <c r="H613" s="1">
        <f t="shared" si="28"/>
        <v>42116</v>
      </c>
      <c r="I613">
        <f>IF(AND(MyRowHidden(ROW())=FALSE,MyRowHidden(ROW()-1)=TRUE),0,(E613-E612)*unitsOfDHp+I612)</f>
        <v>1093440</v>
      </c>
      <c r="J613">
        <f>IF(AND(MyRowHidden(ROW())=FALSE,MyRowHidden(ROW()-1)=TRUE),0,(G613-G612)*unitsOfExo+J612)</f>
        <v>-129886.20000000004</v>
      </c>
      <c r="K613" s="9">
        <f t="shared" si="29"/>
        <v>129886.20000000004</v>
      </c>
      <c r="L613">
        <f t="shared" si="30"/>
        <v>963553.79999999993</v>
      </c>
    </row>
    <row r="614" spans="1:12" x14ac:dyDescent="0.25">
      <c r="A614" s="1"/>
      <c r="C614" s="1"/>
      <c r="D614" s="1">
        <v>42117</v>
      </c>
      <c r="E614" s="10">
        <v>275052</v>
      </c>
      <c r="F614" s="1">
        <v>42117</v>
      </c>
      <c r="G614">
        <v>-17109.830000000002</v>
      </c>
      <c r="H614" s="1">
        <f t="shared" si="28"/>
        <v>42117</v>
      </c>
      <c r="I614">
        <f>IF(AND(MyRowHidden(ROW())=FALSE,MyRowHidden(ROW()-1)=TRUE),0,(E614-E613)*unitsOfDHp+I613)</f>
        <v>1093740</v>
      </c>
      <c r="J614">
        <f>IF(AND(MyRowHidden(ROW())=FALSE,MyRowHidden(ROW()-1)=TRUE),0,(G614-G613)*unitsOfExo+J613)</f>
        <v>-128208.30000000008</v>
      </c>
      <c r="K614" s="9">
        <f t="shared" si="29"/>
        <v>128208.30000000008</v>
      </c>
      <c r="L614">
        <f t="shared" si="30"/>
        <v>965531.7</v>
      </c>
    </row>
    <row r="615" spans="1:12" x14ac:dyDescent="0.25">
      <c r="A615" s="1"/>
      <c r="C615" s="1"/>
      <c r="D615" s="1">
        <v>42118</v>
      </c>
      <c r="E615" s="10">
        <v>275230</v>
      </c>
      <c r="F615" s="1">
        <v>42118</v>
      </c>
      <c r="G615">
        <v>-17109.830000000002</v>
      </c>
      <c r="H615" s="1">
        <f t="shared" si="28"/>
        <v>42118</v>
      </c>
      <c r="I615">
        <f>IF(AND(MyRowHidden(ROW())=FALSE,MyRowHidden(ROW()-1)=TRUE),0,(E615-E614)*unitsOfDHp+I614)</f>
        <v>1095520</v>
      </c>
      <c r="J615">
        <f>IF(AND(MyRowHidden(ROW())=FALSE,MyRowHidden(ROW()-1)=TRUE),0,(G615-G614)*unitsOfExo+J614)</f>
        <v>-128208.30000000008</v>
      </c>
      <c r="K615" s="9">
        <f t="shared" si="29"/>
        <v>128208.30000000008</v>
      </c>
      <c r="L615">
        <f t="shared" si="30"/>
        <v>967311.7</v>
      </c>
    </row>
    <row r="616" spans="1:12" x14ac:dyDescent="0.25">
      <c r="A616" s="1"/>
      <c r="C616" s="1"/>
      <c r="D616" s="1">
        <v>42121</v>
      </c>
      <c r="E616" s="10">
        <v>275506</v>
      </c>
      <c r="F616" s="1">
        <v>42121</v>
      </c>
      <c r="G616">
        <v>-17109.830000000002</v>
      </c>
      <c r="H616" s="1">
        <f t="shared" si="28"/>
        <v>42121</v>
      </c>
      <c r="I616">
        <f>IF(AND(MyRowHidden(ROW())=FALSE,MyRowHidden(ROW()-1)=TRUE),0,(E616-E615)*unitsOfDHp+I615)</f>
        <v>1098280</v>
      </c>
      <c r="J616">
        <f>IF(AND(MyRowHidden(ROW())=FALSE,MyRowHidden(ROW()-1)=TRUE),0,(G616-G615)*unitsOfExo+J615)</f>
        <v>-128208.30000000008</v>
      </c>
      <c r="K616" s="9">
        <f t="shared" si="29"/>
        <v>128208.30000000008</v>
      </c>
      <c r="L616">
        <f t="shared" si="30"/>
        <v>970071.7</v>
      </c>
    </row>
    <row r="617" spans="1:12" x14ac:dyDescent="0.25">
      <c r="A617" s="1"/>
      <c r="C617" s="1"/>
      <c r="D617" s="1">
        <v>42122</v>
      </c>
      <c r="E617" s="10">
        <v>275416</v>
      </c>
      <c r="F617" s="1">
        <v>42122</v>
      </c>
      <c r="G617">
        <v>-17101.37</v>
      </c>
      <c r="H617" s="1">
        <f t="shared" si="28"/>
        <v>42122</v>
      </c>
      <c r="I617">
        <f>IF(AND(MyRowHidden(ROW())=FALSE,MyRowHidden(ROW()-1)=TRUE),0,(E617-E616)*unitsOfDHp+I616)</f>
        <v>1097380</v>
      </c>
      <c r="J617">
        <f>IF(AND(MyRowHidden(ROW())=FALSE,MyRowHidden(ROW()-1)=TRUE),0,(G617-G616)*unitsOfExo+J616)</f>
        <v>-128123.70000000004</v>
      </c>
      <c r="K617" s="9">
        <f t="shared" si="29"/>
        <v>128123.70000000004</v>
      </c>
      <c r="L617">
        <f t="shared" si="30"/>
        <v>969256.29999999993</v>
      </c>
    </row>
    <row r="618" spans="1:12" x14ac:dyDescent="0.25">
      <c r="A618" s="1"/>
      <c r="C618" s="1"/>
      <c r="D618" s="1">
        <v>42123</v>
      </c>
      <c r="E618" s="10">
        <v>274118</v>
      </c>
      <c r="F618" s="1">
        <v>42123</v>
      </c>
      <c r="G618">
        <v>-17090.560000000001</v>
      </c>
      <c r="H618" s="1">
        <f t="shared" si="28"/>
        <v>42123</v>
      </c>
      <c r="I618">
        <f>IF(AND(MyRowHidden(ROW())=FALSE,MyRowHidden(ROW()-1)=TRUE),0,(E618-E617)*unitsOfDHp+I617)</f>
        <v>1084400</v>
      </c>
      <c r="J618">
        <f>IF(AND(MyRowHidden(ROW())=FALSE,MyRowHidden(ROW()-1)=TRUE),0,(G618-G617)*unitsOfExo+J617)</f>
        <v>-128015.60000000006</v>
      </c>
      <c r="K618" s="9">
        <f t="shared" si="29"/>
        <v>128015.60000000006</v>
      </c>
      <c r="L618">
        <f t="shared" si="30"/>
        <v>956384.39999999991</v>
      </c>
    </row>
    <row r="619" spans="1:12" x14ac:dyDescent="0.25">
      <c r="A619" s="1"/>
      <c r="C619" s="1"/>
      <c r="D619" s="1">
        <v>42124</v>
      </c>
      <c r="E619" s="10">
        <v>273982</v>
      </c>
      <c r="F619" s="1">
        <v>42124</v>
      </c>
      <c r="G619">
        <v>-17090.560000000001</v>
      </c>
      <c r="H619" s="1">
        <f t="shared" si="28"/>
        <v>42124</v>
      </c>
      <c r="I619">
        <f>IF(AND(MyRowHidden(ROW())=FALSE,MyRowHidden(ROW()-1)=TRUE),0,(E619-E618)*unitsOfDHp+I618)</f>
        <v>1083040</v>
      </c>
      <c r="J619">
        <f>IF(AND(MyRowHidden(ROW())=FALSE,MyRowHidden(ROW()-1)=TRUE),0,(G619-G618)*unitsOfExo+J618)</f>
        <v>-128015.60000000006</v>
      </c>
      <c r="K619" s="9">
        <f t="shared" si="29"/>
        <v>128015.60000000006</v>
      </c>
      <c r="L619">
        <f t="shared" si="30"/>
        <v>955024.39999999991</v>
      </c>
    </row>
    <row r="620" spans="1:12" x14ac:dyDescent="0.25">
      <c r="A620" s="1"/>
      <c r="C620" s="1"/>
      <c r="D620" s="1">
        <v>42125</v>
      </c>
      <c r="E620" s="10">
        <v>274772</v>
      </c>
      <c r="F620" s="1">
        <v>42125</v>
      </c>
      <c r="G620">
        <v>-17491.25</v>
      </c>
      <c r="H620" s="1">
        <f t="shared" si="28"/>
        <v>42125</v>
      </c>
      <c r="I620">
        <f>IF(AND(MyRowHidden(ROW())=FALSE,MyRowHidden(ROW()-1)=TRUE),0,(E620-E619)*unitsOfDHp+I619)</f>
        <v>1090940</v>
      </c>
      <c r="J620">
        <f>IF(AND(MyRowHidden(ROW())=FALSE,MyRowHidden(ROW()-1)=TRUE),0,(G620-G619)*unitsOfExo+J619)</f>
        <v>-132022.50000000006</v>
      </c>
      <c r="K620" s="9">
        <f t="shared" si="29"/>
        <v>132022.50000000006</v>
      </c>
      <c r="L620">
        <f t="shared" si="30"/>
        <v>958917.5</v>
      </c>
    </row>
    <row r="621" spans="1:12" x14ac:dyDescent="0.25">
      <c r="A621" s="1"/>
      <c r="C621" s="1"/>
      <c r="D621" s="1">
        <v>42128</v>
      </c>
      <c r="E621" s="10">
        <v>275044</v>
      </c>
      <c r="F621" s="1">
        <v>42128</v>
      </c>
      <c r="G621">
        <v>-17212.07</v>
      </c>
      <c r="H621" s="1">
        <f t="shared" si="28"/>
        <v>42128</v>
      </c>
      <c r="I621">
        <f>IF(AND(MyRowHidden(ROW())=FALSE,MyRowHidden(ROW()-1)=TRUE),0,(E621-E620)*unitsOfDHp+I620)</f>
        <v>1093660</v>
      </c>
      <c r="J621">
        <f>IF(AND(MyRowHidden(ROW())=FALSE,MyRowHidden(ROW()-1)=TRUE),0,(G621-G620)*unitsOfExo+J620)</f>
        <v>-129230.70000000006</v>
      </c>
      <c r="K621" s="9">
        <f t="shared" si="29"/>
        <v>129230.70000000006</v>
      </c>
      <c r="L621">
        <f t="shared" si="30"/>
        <v>964429.29999999993</v>
      </c>
    </row>
    <row r="622" spans="1:12" x14ac:dyDescent="0.25">
      <c r="A622" s="1"/>
      <c r="C622" s="1"/>
      <c r="D622" s="1">
        <v>42129</v>
      </c>
      <c r="E622" s="10">
        <v>273878</v>
      </c>
      <c r="F622" s="1">
        <v>42129</v>
      </c>
      <c r="G622">
        <v>-17212.07</v>
      </c>
      <c r="H622" s="1">
        <f t="shared" si="28"/>
        <v>42129</v>
      </c>
      <c r="I622">
        <f>IF(AND(MyRowHidden(ROW())=FALSE,MyRowHidden(ROW()-1)=TRUE),0,(E622-E621)*unitsOfDHp+I621)</f>
        <v>1082000</v>
      </c>
      <c r="J622">
        <f>IF(AND(MyRowHidden(ROW())=FALSE,MyRowHidden(ROW()-1)=TRUE),0,(G622-G621)*unitsOfExo+J621)</f>
        <v>-129230.70000000006</v>
      </c>
      <c r="K622" s="9">
        <f t="shared" si="29"/>
        <v>129230.70000000006</v>
      </c>
      <c r="L622">
        <f t="shared" si="30"/>
        <v>952769.29999999993</v>
      </c>
    </row>
    <row r="623" spans="1:12" x14ac:dyDescent="0.25">
      <c r="A623" s="1"/>
      <c r="C623" s="1"/>
      <c r="D623" s="1">
        <v>42130</v>
      </c>
      <c r="E623" s="10">
        <v>273258</v>
      </c>
      <c r="F623" s="1">
        <v>42130</v>
      </c>
      <c r="G623">
        <v>-17162.25</v>
      </c>
      <c r="H623" s="1">
        <f t="shared" si="28"/>
        <v>42130</v>
      </c>
      <c r="I623">
        <f>IF(AND(MyRowHidden(ROW())=FALSE,MyRowHidden(ROW()-1)=TRUE),0,(E623-E622)*unitsOfDHp+I622)</f>
        <v>1075800</v>
      </c>
      <c r="J623">
        <f>IF(AND(MyRowHidden(ROW())=FALSE,MyRowHidden(ROW()-1)=TRUE),0,(G623-G622)*unitsOfExo+J622)</f>
        <v>-128732.50000000006</v>
      </c>
      <c r="K623" s="9">
        <f t="shared" si="29"/>
        <v>128732.50000000006</v>
      </c>
      <c r="L623">
        <f t="shared" si="30"/>
        <v>947067.5</v>
      </c>
    </row>
    <row r="624" spans="1:12" x14ac:dyDescent="0.25">
      <c r="A624" s="1"/>
      <c r="C624" s="1"/>
      <c r="D624" s="1">
        <v>42131</v>
      </c>
      <c r="E624" s="10">
        <v>275818</v>
      </c>
      <c r="F624" s="1">
        <v>42131</v>
      </c>
      <c r="G624">
        <v>-17162.25</v>
      </c>
      <c r="H624" s="1">
        <f t="shared" si="28"/>
        <v>42131</v>
      </c>
      <c r="I624">
        <f>IF(AND(MyRowHidden(ROW())=FALSE,MyRowHidden(ROW()-1)=TRUE),0,(E624-E623)*unitsOfDHp+I623)</f>
        <v>1101400</v>
      </c>
      <c r="J624">
        <f>IF(AND(MyRowHidden(ROW())=FALSE,MyRowHidden(ROW()-1)=TRUE),0,(G624-G623)*unitsOfExo+J623)</f>
        <v>-128732.50000000006</v>
      </c>
      <c r="K624" s="9">
        <f t="shared" si="29"/>
        <v>128732.50000000006</v>
      </c>
      <c r="L624">
        <f t="shared" si="30"/>
        <v>972667.5</v>
      </c>
    </row>
    <row r="625" spans="1:12" x14ac:dyDescent="0.25">
      <c r="A625" s="1"/>
      <c r="C625" s="1"/>
      <c r="D625" s="1">
        <v>42132</v>
      </c>
      <c r="E625" s="10">
        <v>275370</v>
      </c>
      <c r="F625" s="1">
        <v>42132</v>
      </c>
      <c r="G625">
        <v>-17118.07</v>
      </c>
      <c r="H625" s="1">
        <f t="shared" si="28"/>
        <v>42132</v>
      </c>
      <c r="I625">
        <f>IF(AND(MyRowHidden(ROW())=FALSE,MyRowHidden(ROW()-1)=TRUE),0,(E625-E624)*unitsOfDHp+I624)</f>
        <v>1096920</v>
      </c>
      <c r="J625">
        <f>IF(AND(MyRowHidden(ROW())=FALSE,MyRowHidden(ROW()-1)=TRUE),0,(G625-G624)*unitsOfExo+J624)</f>
        <v>-128290.70000000006</v>
      </c>
      <c r="K625" s="9">
        <f t="shared" si="29"/>
        <v>128290.70000000006</v>
      </c>
      <c r="L625">
        <f t="shared" si="30"/>
        <v>968629.29999999993</v>
      </c>
    </row>
    <row r="626" spans="1:12" x14ac:dyDescent="0.25">
      <c r="A626" s="1"/>
      <c r="C626" s="1"/>
      <c r="D626" s="1">
        <v>42135</v>
      </c>
      <c r="E626" s="10">
        <v>276244</v>
      </c>
      <c r="F626" s="1">
        <v>42135</v>
      </c>
      <c r="G626">
        <v>-16994.93</v>
      </c>
      <c r="H626" s="1">
        <f t="shared" si="28"/>
        <v>42135</v>
      </c>
      <c r="I626">
        <f>IF(AND(MyRowHidden(ROW())=FALSE,MyRowHidden(ROW()-1)=TRUE),0,(E626-E625)*unitsOfDHp+I625)</f>
        <v>1105660</v>
      </c>
      <c r="J626">
        <f>IF(AND(MyRowHidden(ROW())=FALSE,MyRowHidden(ROW()-1)=TRUE),0,(G626-G625)*unitsOfExo+J625)</f>
        <v>-127059.30000000006</v>
      </c>
      <c r="K626" s="9">
        <f t="shared" si="29"/>
        <v>127059.30000000006</v>
      </c>
      <c r="L626">
        <f t="shared" si="30"/>
        <v>978600.7</v>
      </c>
    </row>
    <row r="627" spans="1:12" x14ac:dyDescent="0.25">
      <c r="A627" s="1"/>
      <c r="C627" s="1"/>
      <c r="D627" s="1">
        <v>42136</v>
      </c>
      <c r="E627" s="10">
        <v>276154</v>
      </c>
      <c r="F627" s="1">
        <v>42136</v>
      </c>
      <c r="G627">
        <v>-16994.93</v>
      </c>
      <c r="H627" s="1">
        <f t="shared" si="28"/>
        <v>42136</v>
      </c>
      <c r="I627">
        <f>IF(AND(MyRowHidden(ROW())=FALSE,MyRowHidden(ROW()-1)=TRUE),0,(E627-E626)*unitsOfDHp+I626)</f>
        <v>1104760</v>
      </c>
      <c r="J627">
        <f>IF(AND(MyRowHidden(ROW())=FALSE,MyRowHidden(ROW()-1)=TRUE),0,(G627-G626)*unitsOfExo+J626)</f>
        <v>-127059.30000000006</v>
      </c>
      <c r="K627" s="9">
        <f t="shared" si="29"/>
        <v>127059.30000000006</v>
      </c>
      <c r="L627">
        <f t="shared" si="30"/>
        <v>977700.7</v>
      </c>
    </row>
    <row r="628" spans="1:12" x14ac:dyDescent="0.25">
      <c r="A628" s="1"/>
      <c r="C628" s="1"/>
      <c r="D628" s="1">
        <v>42137</v>
      </c>
      <c r="E628" s="10">
        <v>275794</v>
      </c>
      <c r="F628" s="1">
        <v>42137</v>
      </c>
      <c r="G628">
        <v>-16994.93</v>
      </c>
      <c r="H628" s="1">
        <f t="shared" si="28"/>
        <v>42137</v>
      </c>
      <c r="I628">
        <f>IF(AND(MyRowHidden(ROW())=FALSE,MyRowHidden(ROW()-1)=TRUE),0,(E628-E627)*unitsOfDHp+I627)</f>
        <v>1101160</v>
      </c>
      <c r="J628">
        <f>IF(AND(MyRowHidden(ROW())=FALSE,MyRowHidden(ROW()-1)=TRUE),0,(G628-G627)*unitsOfExo+J627)</f>
        <v>-127059.30000000006</v>
      </c>
      <c r="K628" s="9">
        <f t="shared" si="29"/>
        <v>127059.30000000006</v>
      </c>
      <c r="L628">
        <f t="shared" si="30"/>
        <v>974100.7</v>
      </c>
    </row>
    <row r="629" spans="1:12" x14ac:dyDescent="0.25">
      <c r="A629" s="1"/>
      <c r="C629" s="1"/>
      <c r="D629" s="1">
        <v>42138</v>
      </c>
      <c r="E629" s="10">
        <v>275606</v>
      </c>
      <c r="F629" s="1">
        <v>42138</v>
      </c>
      <c r="G629">
        <v>-16994.93</v>
      </c>
      <c r="H629" s="1">
        <f t="shared" si="28"/>
        <v>42138</v>
      </c>
      <c r="I629">
        <f>IF(AND(MyRowHidden(ROW())=FALSE,MyRowHidden(ROW()-1)=TRUE),0,(E629-E628)*unitsOfDHp+I628)</f>
        <v>1099280</v>
      </c>
      <c r="J629">
        <f>IF(AND(MyRowHidden(ROW())=FALSE,MyRowHidden(ROW()-1)=TRUE),0,(G629-G628)*unitsOfExo+J628)</f>
        <v>-127059.30000000006</v>
      </c>
      <c r="K629" s="9">
        <f t="shared" si="29"/>
        <v>127059.30000000006</v>
      </c>
      <c r="L629">
        <f t="shared" si="30"/>
        <v>972220.7</v>
      </c>
    </row>
    <row r="630" spans="1:12" x14ac:dyDescent="0.25">
      <c r="A630" s="1"/>
      <c r="C630" s="1"/>
      <c r="D630" s="1">
        <v>42139</v>
      </c>
      <c r="E630" s="10">
        <v>275620</v>
      </c>
      <c r="F630" s="1">
        <v>42139</v>
      </c>
      <c r="G630">
        <v>-16994.93</v>
      </c>
      <c r="H630" s="1">
        <f t="shared" si="28"/>
        <v>42139</v>
      </c>
      <c r="I630">
        <f>IF(AND(MyRowHidden(ROW())=FALSE,MyRowHidden(ROW()-1)=TRUE),0,(E630-E629)*unitsOfDHp+I629)</f>
        <v>1099420</v>
      </c>
      <c r="J630">
        <f>IF(AND(MyRowHidden(ROW())=FALSE,MyRowHidden(ROW()-1)=TRUE),0,(G630-G629)*unitsOfExo+J629)</f>
        <v>-127059.30000000006</v>
      </c>
      <c r="K630" s="9">
        <f t="shared" si="29"/>
        <v>127059.30000000006</v>
      </c>
      <c r="L630">
        <f t="shared" si="30"/>
        <v>972360.7</v>
      </c>
    </row>
    <row r="631" spans="1:12" x14ac:dyDescent="0.25">
      <c r="A631" s="1"/>
      <c r="C631" s="1"/>
      <c r="D631" s="1">
        <v>42142</v>
      </c>
      <c r="E631" s="10">
        <v>275646</v>
      </c>
      <c r="F631" s="1">
        <v>42142</v>
      </c>
      <c r="G631">
        <v>-16994.93</v>
      </c>
      <c r="H631" s="1">
        <f t="shared" si="28"/>
        <v>42142</v>
      </c>
      <c r="I631">
        <f>IF(AND(MyRowHidden(ROW())=FALSE,MyRowHidden(ROW()-1)=TRUE),0,(E631-E630)*unitsOfDHp+I630)</f>
        <v>1099680</v>
      </c>
      <c r="J631">
        <f>IF(AND(MyRowHidden(ROW())=FALSE,MyRowHidden(ROW()-1)=TRUE),0,(G631-G630)*unitsOfExo+J630)</f>
        <v>-127059.30000000006</v>
      </c>
      <c r="K631" s="9">
        <f t="shared" si="29"/>
        <v>127059.30000000006</v>
      </c>
      <c r="L631">
        <f t="shared" si="30"/>
        <v>972620.7</v>
      </c>
    </row>
    <row r="632" spans="1:12" x14ac:dyDescent="0.25">
      <c r="A632" s="1"/>
      <c r="C632" s="1"/>
      <c r="D632" s="1">
        <v>42143</v>
      </c>
      <c r="E632" s="10">
        <v>277278</v>
      </c>
      <c r="F632" s="1">
        <v>42143</v>
      </c>
      <c r="G632">
        <v>-16971.43</v>
      </c>
      <c r="H632" s="1">
        <f t="shared" si="28"/>
        <v>42143</v>
      </c>
      <c r="I632">
        <f>IF(AND(MyRowHidden(ROW())=FALSE,MyRowHidden(ROW()-1)=TRUE),0,(E632-E631)*unitsOfDHp+I631)</f>
        <v>1116000</v>
      </c>
      <c r="J632">
        <f>IF(AND(MyRowHidden(ROW())=FALSE,MyRowHidden(ROW()-1)=TRUE),0,(G632-G631)*unitsOfExo+J631)</f>
        <v>-126824.30000000006</v>
      </c>
      <c r="K632" s="9">
        <f t="shared" si="29"/>
        <v>126824.30000000006</v>
      </c>
      <c r="L632">
        <f t="shared" si="30"/>
        <v>989175.7</v>
      </c>
    </row>
    <row r="633" spans="1:12" x14ac:dyDescent="0.25">
      <c r="A633" s="1"/>
      <c r="C633" s="1"/>
      <c r="D633" s="1">
        <v>42144</v>
      </c>
      <c r="E633" s="10">
        <v>275370</v>
      </c>
      <c r="F633" s="1">
        <v>42144</v>
      </c>
      <c r="G633">
        <v>-17115.25</v>
      </c>
      <c r="H633" s="1">
        <f t="shared" si="28"/>
        <v>42144</v>
      </c>
      <c r="I633">
        <f>IF(AND(MyRowHidden(ROW())=FALSE,MyRowHidden(ROW()-1)=TRUE),0,(E633-E632)*unitsOfDHp+I632)</f>
        <v>1096920</v>
      </c>
      <c r="J633">
        <f>IF(AND(MyRowHidden(ROW())=FALSE,MyRowHidden(ROW()-1)=TRUE),0,(G633-G632)*unitsOfExo+J632)</f>
        <v>-128262.50000000006</v>
      </c>
      <c r="K633" s="9">
        <f t="shared" si="29"/>
        <v>128262.50000000006</v>
      </c>
      <c r="L633">
        <f t="shared" si="30"/>
        <v>968657.5</v>
      </c>
    </row>
    <row r="634" spans="1:12" x14ac:dyDescent="0.25">
      <c r="A634" s="1"/>
      <c r="C634" s="1"/>
      <c r="D634" s="1">
        <v>42145</v>
      </c>
      <c r="E634" s="10">
        <v>270088</v>
      </c>
      <c r="F634" s="1">
        <v>42145</v>
      </c>
      <c r="G634">
        <v>-17256.25</v>
      </c>
      <c r="H634" s="1">
        <f t="shared" si="28"/>
        <v>42145</v>
      </c>
      <c r="I634">
        <f>IF(AND(MyRowHidden(ROW())=FALSE,MyRowHidden(ROW()-1)=TRUE),0,(E634-E633)*unitsOfDHp+I633)</f>
        <v>1044100</v>
      </c>
      <c r="J634">
        <f>IF(AND(MyRowHidden(ROW())=FALSE,MyRowHidden(ROW()-1)=TRUE),0,(G634-G633)*unitsOfExo+J633)</f>
        <v>-129672.50000000006</v>
      </c>
      <c r="K634" s="9">
        <f t="shared" si="29"/>
        <v>129672.50000000006</v>
      </c>
      <c r="L634">
        <f t="shared" si="30"/>
        <v>914427.5</v>
      </c>
    </row>
    <row r="635" spans="1:12" x14ac:dyDescent="0.25">
      <c r="A635" s="1"/>
      <c r="C635" s="1"/>
      <c r="D635" s="1">
        <v>42146</v>
      </c>
      <c r="E635" s="10">
        <v>272236</v>
      </c>
      <c r="F635" s="1">
        <v>42146</v>
      </c>
      <c r="G635">
        <v>-17402.89</v>
      </c>
      <c r="H635" s="1">
        <f t="shared" si="28"/>
        <v>42146</v>
      </c>
      <c r="I635">
        <f>IF(AND(MyRowHidden(ROW())=FALSE,MyRowHidden(ROW()-1)=TRUE),0,(E635-E634)*unitsOfDHp+I634)</f>
        <v>1065580</v>
      </c>
      <c r="J635">
        <f>IF(AND(MyRowHidden(ROW())=FALSE,MyRowHidden(ROW()-1)=TRUE),0,(G635-G634)*unitsOfExo+J634)</f>
        <v>-131138.90000000005</v>
      </c>
      <c r="K635" s="9">
        <f t="shared" si="29"/>
        <v>131138.90000000005</v>
      </c>
      <c r="L635">
        <f t="shared" si="30"/>
        <v>934441.1</v>
      </c>
    </row>
    <row r="636" spans="1:12" x14ac:dyDescent="0.25">
      <c r="A636" s="1"/>
      <c r="C636" s="1"/>
      <c r="D636" s="1">
        <v>42149</v>
      </c>
      <c r="E636" s="10">
        <v>272200</v>
      </c>
      <c r="F636" s="1">
        <v>42149</v>
      </c>
      <c r="G636">
        <v>-17402.89</v>
      </c>
      <c r="H636" s="1">
        <f t="shared" si="28"/>
        <v>42149</v>
      </c>
      <c r="I636">
        <f>IF(AND(MyRowHidden(ROW())=FALSE,MyRowHidden(ROW()-1)=TRUE),0,(E636-E635)*unitsOfDHp+I635)</f>
        <v>1065220</v>
      </c>
      <c r="J636">
        <f>IF(AND(MyRowHidden(ROW())=FALSE,MyRowHidden(ROW()-1)=TRUE),0,(G636-G635)*unitsOfExo+J635)</f>
        <v>-131138.90000000005</v>
      </c>
      <c r="K636" s="9">
        <f t="shared" si="29"/>
        <v>131138.90000000005</v>
      </c>
      <c r="L636">
        <f t="shared" si="30"/>
        <v>934081.1</v>
      </c>
    </row>
    <row r="637" spans="1:12" x14ac:dyDescent="0.25">
      <c r="A637" s="1"/>
      <c r="C637" s="1"/>
      <c r="D637" s="1">
        <v>42150</v>
      </c>
      <c r="E637" s="10">
        <v>272176</v>
      </c>
      <c r="F637" s="1">
        <v>42150</v>
      </c>
      <c r="G637">
        <v>-17355.89</v>
      </c>
      <c r="H637" s="1">
        <f t="shared" si="28"/>
        <v>42150</v>
      </c>
      <c r="I637">
        <f>IF(AND(MyRowHidden(ROW())=FALSE,MyRowHidden(ROW()-1)=TRUE),0,(E637-E636)*unitsOfDHp+I636)</f>
        <v>1064980</v>
      </c>
      <c r="J637">
        <f>IF(AND(MyRowHidden(ROW())=FALSE,MyRowHidden(ROW()-1)=TRUE),0,(G637-G636)*unitsOfExo+J636)</f>
        <v>-130668.90000000005</v>
      </c>
      <c r="K637" s="9">
        <f t="shared" si="29"/>
        <v>130668.90000000005</v>
      </c>
      <c r="L637">
        <f t="shared" si="30"/>
        <v>934311.1</v>
      </c>
    </row>
    <row r="638" spans="1:12" x14ac:dyDescent="0.25">
      <c r="A638" s="1"/>
      <c r="C638" s="1"/>
      <c r="D638" s="1">
        <v>42151</v>
      </c>
      <c r="E638" s="10">
        <v>272152</v>
      </c>
      <c r="F638" s="1">
        <v>42151</v>
      </c>
      <c r="G638">
        <v>-17276.93</v>
      </c>
      <c r="H638" s="1">
        <f t="shared" si="28"/>
        <v>42151</v>
      </c>
      <c r="I638">
        <f>IF(AND(MyRowHidden(ROW())=FALSE,MyRowHidden(ROW()-1)=TRUE),0,(E638-E637)*unitsOfDHp+I637)</f>
        <v>1064740</v>
      </c>
      <c r="J638">
        <f>IF(AND(MyRowHidden(ROW())=FALSE,MyRowHidden(ROW()-1)=TRUE),0,(G638-G637)*unitsOfExo+J637)</f>
        <v>-129879.30000000006</v>
      </c>
      <c r="K638" s="9">
        <f t="shared" si="29"/>
        <v>129879.30000000006</v>
      </c>
      <c r="L638">
        <f t="shared" si="30"/>
        <v>934860.7</v>
      </c>
    </row>
    <row r="639" spans="1:12" x14ac:dyDescent="0.25">
      <c r="A639" s="1"/>
      <c r="C639" s="1"/>
      <c r="D639" s="1">
        <v>42152</v>
      </c>
      <c r="E639" s="10">
        <v>271948</v>
      </c>
      <c r="F639" s="1">
        <v>42152</v>
      </c>
      <c r="G639">
        <v>-17288.68</v>
      </c>
      <c r="H639" s="1">
        <f t="shared" si="28"/>
        <v>42152</v>
      </c>
      <c r="I639">
        <f>IF(AND(MyRowHidden(ROW())=FALSE,MyRowHidden(ROW()-1)=TRUE),0,(E639-E638)*unitsOfDHp+I638)</f>
        <v>1062700</v>
      </c>
      <c r="J639">
        <f>IF(AND(MyRowHidden(ROW())=FALSE,MyRowHidden(ROW()-1)=TRUE),0,(G639-G638)*unitsOfExo+J638)</f>
        <v>-129996.80000000006</v>
      </c>
      <c r="K639" s="9">
        <f t="shared" si="29"/>
        <v>129996.80000000006</v>
      </c>
      <c r="L639">
        <f t="shared" si="30"/>
        <v>932703.2</v>
      </c>
    </row>
    <row r="640" spans="1:12" x14ac:dyDescent="0.25">
      <c r="A640" s="1"/>
      <c r="C640" s="1"/>
      <c r="D640" s="1">
        <v>42153</v>
      </c>
      <c r="E640" s="10">
        <v>270658</v>
      </c>
      <c r="F640" s="1">
        <v>42153</v>
      </c>
      <c r="G640">
        <v>-17288.68</v>
      </c>
      <c r="H640" s="1">
        <f t="shared" si="28"/>
        <v>42153</v>
      </c>
      <c r="I640">
        <f>IF(AND(MyRowHidden(ROW())=FALSE,MyRowHidden(ROW()-1)=TRUE),0,(E640-E639)*unitsOfDHp+I639)</f>
        <v>1049800</v>
      </c>
      <c r="J640">
        <f>IF(AND(MyRowHidden(ROW())=FALSE,MyRowHidden(ROW()-1)=TRUE),0,(G640-G639)*unitsOfExo+J639)</f>
        <v>-129996.80000000006</v>
      </c>
      <c r="K640" s="9">
        <f t="shared" si="29"/>
        <v>129996.80000000006</v>
      </c>
      <c r="L640">
        <f t="shared" si="30"/>
        <v>919803.2</v>
      </c>
    </row>
    <row r="641" spans="1:12" x14ac:dyDescent="0.25">
      <c r="A641" s="1"/>
      <c r="C641" s="1"/>
      <c r="D641" s="1">
        <v>42156</v>
      </c>
      <c r="E641" s="10">
        <v>270930</v>
      </c>
      <c r="F641" s="1">
        <v>42156</v>
      </c>
      <c r="G641">
        <v>-17679.5</v>
      </c>
      <c r="H641" s="1">
        <f t="shared" si="28"/>
        <v>42156</v>
      </c>
      <c r="I641">
        <f>IF(AND(MyRowHidden(ROW())=FALSE,MyRowHidden(ROW()-1)=TRUE),0,(E641-E640)*unitsOfDHp+I640)</f>
        <v>1052520</v>
      </c>
      <c r="J641">
        <f>IF(AND(MyRowHidden(ROW())=FALSE,MyRowHidden(ROW()-1)=TRUE),0,(G641-G640)*unitsOfExo+J640)</f>
        <v>-133905.00000000006</v>
      </c>
      <c r="K641" s="9">
        <f t="shared" si="29"/>
        <v>133905.00000000006</v>
      </c>
      <c r="L641">
        <f t="shared" si="30"/>
        <v>918615</v>
      </c>
    </row>
    <row r="642" spans="1:12" x14ac:dyDescent="0.25">
      <c r="A642" s="1"/>
      <c r="C642" s="1"/>
      <c r="D642" s="1">
        <v>42157</v>
      </c>
      <c r="E642" s="10">
        <v>269730</v>
      </c>
      <c r="F642" s="1">
        <v>42157</v>
      </c>
      <c r="G642">
        <v>-18016.02</v>
      </c>
      <c r="H642" s="1">
        <f t="shared" si="28"/>
        <v>42157</v>
      </c>
      <c r="I642">
        <f>IF(AND(MyRowHidden(ROW())=FALSE,MyRowHidden(ROW()-1)=TRUE),0,(E642-E641)*unitsOfDHp+I641)</f>
        <v>1040520</v>
      </c>
      <c r="J642">
        <f>IF(AND(MyRowHidden(ROW())=FALSE,MyRowHidden(ROW()-1)=TRUE),0,(G642-G641)*unitsOfExo+J641)</f>
        <v>-137270.20000000007</v>
      </c>
      <c r="K642" s="9">
        <f t="shared" si="29"/>
        <v>137270.20000000007</v>
      </c>
      <c r="L642">
        <f t="shared" si="30"/>
        <v>903249.79999999993</v>
      </c>
    </row>
    <row r="643" spans="1:12" x14ac:dyDescent="0.25">
      <c r="A643" s="1"/>
      <c r="C643" s="1"/>
      <c r="D643" s="1">
        <v>42158</v>
      </c>
      <c r="E643" s="10">
        <v>270806</v>
      </c>
      <c r="F643" s="1">
        <v>42158</v>
      </c>
      <c r="G643">
        <v>-18229.400000000001</v>
      </c>
      <c r="H643" s="1">
        <f t="shared" si="28"/>
        <v>42158</v>
      </c>
      <c r="I643">
        <f>IF(AND(MyRowHidden(ROW())=FALSE,MyRowHidden(ROW()-1)=TRUE),0,(E643-E642)*unitsOfDHp+I642)</f>
        <v>1051280</v>
      </c>
      <c r="J643">
        <f>IF(AND(MyRowHidden(ROW())=FALSE,MyRowHidden(ROW()-1)=TRUE),0,(G643-G642)*unitsOfExo+J642)</f>
        <v>-139404.00000000009</v>
      </c>
      <c r="K643" s="9">
        <f t="shared" si="29"/>
        <v>139404.00000000009</v>
      </c>
      <c r="L643">
        <f t="shared" si="30"/>
        <v>911875.99999999988</v>
      </c>
    </row>
    <row r="644" spans="1:12" x14ac:dyDescent="0.25">
      <c r="A644" s="1"/>
      <c r="C644" s="1"/>
      <c r="D644" s="1">
        <v>42159</v>
      </c>
      <c r="E644" s="10">
        <v>276378</v>
      </c>
      <c r="F644" s="1">
        <v>42159</v>
      </c>
      <c r="G644">
        <v>-18178.64</v>
      </c>
      <c r="H644" s="1">
        <f t="shared" si="28"/>
        <v>42159</v>
      </c>
      <c r="I644">
        <f>IF(AND(MyRowHidden(ROW())=FALSE,MyRowHidden(ROW()-1)=TRUE),0,(E644-E643)*unitsOfDHp+I643)</f>
        <v>1107000</v>
      </c>
      <c r="J644">
        <f>IF(AND(MyRowHidden(ROW())=FALSE,MyRowHidden(ROW()-1)=TRUE),0,(G644-G643)*unitsOfExo+J643)</f>
        <v>-138896.40000000008</v>
      </c>
      <c r="K644" s="9">
        <f t="shared" si="29"/>
        <v>138896.40000000008</v>
      </c>
      <c r="L644">
        <f t="shared" si="30"/>
        <v>968103.59999999986</v>
      </c>
    </row>
    <row r="645" spans="1:12" x14ac:dyDescent="0.25">
      <c r="A645" s="1"/>
      <c r="C645" s="1"/>
      <c r="D645" s="1">
        <v>42160</v>
      </c>
      <c r="E645" s="10">
        <v>275398</v>
      </c>
      <c r="F645" s="1">
        <v>42160</v>
      </c>
      <c r="G645">
        <v>-18419.28</v>
      </c>
      <c r="H645" s="1">
        <f t="shared" si="28"/>
        <v>42160</v>
      </c>
      <c r="I645">
        <f>IF(AND(MyRowHidden(ROW())=FALSE,MyRowHidden(ROW()-1)=TRUE),0,(E645-E644)*unitsOfDHp+I644)</f>
        <v>1097200</v>
      </c>
      <c r="J645">
        <f>IF(AND(MyRowHidden(ROW())=FALSE,MyRowHidden(ROW()-1)=TRUE),0,(G645-G644)*unitsOfExo+J644)</f>
        <v>-141302.80000000008</v>
      </c>
      <c r="K645" s="9">
        <f t="shared" si="29"/>
        <v>141302.80000000008</v>
      </c>
      <c r="L645">
        <f t="shared" si="30"/>
        <v>955897.2</v>
      </c>
    </row>
    <row r="646" spans="1:12" x14ac:dyDescent="0.25">
      <c r="A646" s="1"/>
      <c r="C646" s="1"/>
      <c r="D646" s="1">
        <v>42163</v>
      </c>
      <c r="E646" s="10">
        <v>278042</v>
      </c>
      <c r="F646" s="1">
        <v>42163</v>
      </c>
      <c r="G646">
        <v>-18373.689999999999</v>
      </c>
      <c r="H646" s="1">
        <f t="shared" si="28"/>
        <v>42163</v>
      </c>
      <c r="I646">
        <f>IF(AND(MyRowHidden(ROW())=FALSE,MyRowHidden(ROW()-1)=TRUE),0,(E646-E645)*unitsOfDHp+I645)</f>
        <v>1123640</v>
      </c>
      <c r="J646">
        <f>IF(AND(MyRowHidden(ROW())=FALSE,MyRowHidden(ROW()-1)=TRUE),0,(G646-G645)*unitsOfExo+J645)</f>
        <v>-140846.90000000008</v>
      </c>
      <c r="K646" s="9">
        <f t="shared" si="29"/>
        <v>140846.90000000008</v>
      </c>
      <c r="L646">
        <f t="shared" si="30"/>
        <v>982793.09999999986</v>
      </c>
    </row>
    <row r="647" spans="1:12" x14ac:dyDescent="0.25">
      <c r="A647" s="1"/>
      <c r="C647" s="1"/>
      <c r="D647" s="1">
        <v>42164</v>
      </c>
      <c r="E647" s="10">
        <v>267928</v>
      </c>
      <c r="F647" s="1">
        <v>42164</v>
      </c>
      <c r="G647">
        <v>-18330.919999999998</v>
      </c>
      <c r="H647" s="1">
        <f t="shared" si="28"/>
        <v>42164</v>
      </c>
      <c r="I647">
        <f>IF(AND(MyRowHidden(ROW())=FALSE,MyRowHidden(ROW()-1)=TRUE),0,(E647-E646)*unitsOfDHp+I646)</f>
        <v>1022500</v>
      </c>
      <c r="J647">
        <f>IF(AND(MyRowHidden(ROW())=FALSE,MyRowHidden(ROW()-1)=TRUE),0,(G647-G646)*unitsOfExo+J646)</f>
        <v>-140419.20000000007</v>
      </c>
      <c r="K647" s="9">
        <f t="shared" si="29"/>
        <v>140419.20000000007</v>
      </c>
      <c r="L647">
        <f t="shared" si="30"/>
        <v>882080.79999999993</v>
      </c>
    </row>
    <row r="648" spans="1:12" x14ac:dyDescent="0.25">
      <c r="A648" s="1"/>
      <c r="C648" s="1"/>
      <c r="D648" s="1">
        <v>42165</v>
      </c>
      <c r="E648" s="10">
        <v>264024</v>
      </c>
      <c r="F648" s="1">
        <v>42165</v>
      </c>
      <c r="G648">
        <v>-18411.29</v>
      </c>
      <c r="H648" s="1">
        <f t="shared" si="28"/>
        <v>42165</v>
      </c>
      <c r="I648">
        <f>IF(AND(MyRowHidden(ROW())=FALSE,MyRowHidden(ROW()-1)=TRUE),0,(E648-E647)*unitsOfDHp+I647)</f>
        <v>983460</v>
      </c>
      <c r="J648">
        <f>IF(AND(MyRowHidden(ROW())=FALSE,MyRowHidden(ROW()-1)=TRUE),0,(G648-G647)*unitsOfExo+J647)</f>
        <v>-141222.90000000008</v>
      </c>
      <c r="K648" s="9">
        <f t="shared" si="29"/>
        <v>141222.90000000008</v>
      </c>
      <c r="L648">
        <f t="shared" si="30"/>
        <v>842237.09999999986</v>
      </c>
    </row>
    <row r="649" spans="1:12" x14ac:dyDescent="0.25">
      <c r="A649" s="1"/>
      <c r="C649" s="1"/>
      <c r="D649" s="1">
        <v>42166</v>
      </c>
      <c r="E649" s="10">
        <v>264452</v>
      </c>
      <c r="F649" s="1">
        <v>42166</v>
      </c>
      <c r="G649">
        <v>-18523.150000000001</v>
      </c>
      <c r="H649" s="1">
        <f t="shared" si="28"/>
        <v>42166</v>
      </c>
      <c r="I649">
        <f>IF(AND(MyRowHidden(ROW())=FALSE,MyRowHidden(ROW()-1)=TRUE),0,(E649-E648)*unitsOfDHp+I648)</f>
        <v>987740</v>
      </c>
      <c r="J649">
        <f>IF(AND(MyRowHidden(ROW())=FALSE,MyRowHidden(ROW()-1)=TRUE),0,(G649-G648)*unitsOfExo+J648)</f>
        <v>-142341.50000000009</v>
      </c>
      <c r="K649" s="9">
        <f t="shared" si="29"/>
        <v>142341.50000000009</v>
      </c>
      <c r="L649">
        <f t="shared" si="30"/>
        <v>845398.49999999988</v>
      </c>
    </row>
    <row r="650" spans="1:12" x14ac:dyDescent="0.25">
      <c r="A650" s="1"/>
      <c r="C650" s="1"/>
      <c r="D650" s="1">
        <v>42167</v>
      </c>
      <c r="E650" s="10">
        <v>267128</v>
      </c>
      <c r="F650" s="1">
        <v>42167</v>
      </c>
      <c r="G650">
        <v>-18523.150000000001</v>
      </c>
      <c r="H650" s="1">
        <f t="shared" si="28"/>
        <v>42167</v>
      </c>
      <c r="I650">
        <f>IF(AND(MyRowHidden(ROW())=FALSE,MyRowHidden(ROW()-1)=TRUE),0,(E650-E649)*unitsOfDHp+I649)</f>
        <v>1014500</v>
      </c>
      <c r="J650">
        <f>IF(AND(MyRowHidden(ROW())=FALSE,MyRowHidden(ROW()-1)=TRUE),0,(G650-G649)*unitsOfExo+J649)</f>
        <v>-142341.50000000009</v>
      </c>
      <c r="K650" s="9">
        <f t="shared" si="29"/>
        <v>142341.50000000009</v>
      </c>
      <c r="L650">
        <f t="shared" si="30"/>
        <v>872158.49999999988</v>
      </c>
    </row>
    <row r="651" spans="1:12" x14ac:dyDescent="0.25">
      <c r="A651" s="1"/>
      <c r="C651" s="1"/>
      <c r="D651" s="1">
        <v>42170</v>
      </c>
      <c r="E651" s="10">
        <v>270578</v>
      </c>
      <c r="F651" s="1">
        <v>42170</v>
      </c>
      <c r="G651">
        <v>-18523.150000000001</v>
      </c>
      <c r="H651" s="1">
        <f t="shared" si="28"/>
        <v>42170</v>
      </c>
      <c r="I651">
        <f>IF(AND(MyRowHidden(ROW())=FALSE,MyRowHidden(ROW()-1)=TRUE),0,(E651-E650)*unitsOfDHp+I650)</f>
        <v>1049000</v>
      </c>
      <c r="J651">
        <f>IF(AND(MyRowHidden(ROW())=FALSE,MyRowHidden(ROW()-1)=TRUE),0,(G651-G650)*unitsOfExo+J650)</f>
        <v>-142341.50000000009</v>
      </c>
      <c r="K651" s="9">
        <f t="shared" si="29"/>
        <v>142341.50000000009</v>
      </c>
      <c r="L651">
        <f t="shared" si="30"/>
        <v>906658.49999999988</v>
      </c>
    </row>
    <row r="652" spans="1:12" x14ac:dyDescent="0.25">
      <c r="A652" s="1"/>
      <c r="C652" s="1"/>
      <c r="D652" s="1">
        <v>42171</v>
      </c>
      <c r="E652" s="10">
        <v>269324</v>
      </c>
      <c r="F652" s="1">
        <v>42171</v>
      </c>
      <c r="G652">
        <v>-18464.400000000001</v>
      </c>
      <c r="H652" s="1">
        <f t="shared" si="28"/>
        <v>42171</v>
      </c>
      <c r="I652">
        <f>IF(AND(MyRowHidden(ROW())=FALSE,MyRowHidden(ROW()-1)=TRUE),0,(E652-E651)*unitsOfDHp+I651)</f>
        <v>1036460</v>
      </c>
      <c r="J652">
        <f>IF(AND(MyRowHidden(ROW())=FALSE,MyRowHidden(ROW()-1)=TRUE),0,(G652-G651)*unitsOfExo+J651)</f>
        <v>-141754.00000000009</v>
      </c>
      <c r="K652" s="9">
        <f t="shared" si="29"/>
        <v>141754.00000000009</v>
      </c>
      <c r="L652">
        <f t="shared" si="30"/>
        <v>894705.99999999988</v>
      </c>
    </row>
    <row r="653" spans="1:12" x14ac:dyDescent="0.25">
      <c r="A653" s="1"/>
      <c r="C653" s="1"/>
      <c r="D653" s="1">
        <v>42172</v>
      </c>
      <c r="E653" s="10">
        <v>270174</v>
      </c>
      <c r="F653" s="1">
        <v>42172</v>
      </c>
      <c r="G653">
        <v>-18384.5</v>
      </c>
      <c r="H653" s="1">
        <f t="shared" ref="H653:H716" si="31">D653</f>
        <v>42172</v>
      </c>
      <c r="I653">
        <f>IF(AND(MyRowHidden(ROW())=FALSE,MyRowHidden(ROW()-1)=TRUE),0,(E653-E652)*unitsOfDHp+I652)</f>
        <v>1044960</v>
      </c>
      <c r="J653">
        <f>IF(AND(MyRowHidden(ROW())=FALSE,MyRowHidden(ROW()-1)=TRUE),0,(G653-G652)*unitsOfExo+J652)</f>
        <v>-140955.00000000006</v>
      </c>
      <c r="K653" s="9">
        <f t="shared" ref="K653:K716" si="32">-(J653-J652)+K652</f>
        <v>140955.00000000006</v>
      </c>
      <c r="L653">
        <f t="shared" ref="L653:L716" si="33">I653+J653</f>
        <v>904005</v>
      </c>
    </row>
    <row r="654" spans="1:12" x14ac:dyDescent="0.25">
      <c r="A654" s="1"/>
      <c r="C654" s="1"/>
      <c r="D654" s="1">
        <v>42173</v>
      </c>
      <c r="E654" s="10">
        <v>268750</v>
      </c>
      <c r="F654" s="1">
        <v>42173</v>
      </c>
      <c r="G654">
        <v>-18384.5</v>
      </c>
      <c r="H654" s="1">
        <f t="shared" si="31"/>
        <v>42173</v>
      </c>
      <c r="I654">
        <f>IF(AND(MyRowHidden(ROW())=FALSE,MyRowHidden(ROW()-1)=TRUE),0,(E654-E653)*unitsOfDHp+I653)</f>
        <v>1030720</v>
      </c>
      <c r="J654">
        <f>IF(AND(MyRowHidden(ROW())=FALSE,MyRowHidden(ROW()-1)=TRUE),0,(G654-G653)*unitsOfExo+J653)</f>
        <v>-140955.00000000006</v>
      </c>
      <c r="K654" s="9">
        <f t="shared" si="32"/>
        <v>140955.00000000006</v>
      </c>
      <c r="L654">
        <f t="shared" si="33"/>
        <v>889765</v>
      </c>
    </row>
    <row r="655" spans="1:12" x14ac:dyDescent="0.25">
      <c r="A655" s="1"/>
      <c r="C655" s="1"/>
      <c r="D655" s="1">
        <v>42174</v>
      </c>
      <c r="E655" s="10">
        <v>271000</v>
      </c>
      <c r="F655" s="1">
        <v>42174</v>
      </c>
      <c r="G655">
        <v>-18320.580000000002</v>
      </c>
      <c r="H655" s="1">
        <f t="shared" si="31"/>
        <v>42174</v>
      </c>
      <c r="I655">
        <f>IF(AND(MyRowHidden(ROW())=FALSE,MyRowHidden(ROW()-1)=TRUE),0,(E655-E654)*unitsOfDHp+I654)</f>
        <v>1053220</v>
      </c>
      <c r="J655">
        <f>IF(AND(MyRowHidden(ROW())=FALSE,MyRowHidden(ROW()-1)=TRUE),0,(G655-G654)*unitsOfExo+J654)</f>
        <v>-140315.80000000008</v>
      </c>
      <c r="K655" s="9">
        <f t="shared" si="32"/>
        <v>140315.80000000008</v>
      </c>
      <c r="L655">
        <f t="shared" si="33"/>
        <v>912904.2</v>
      </c>
    </row>
    <row r="656" spans="1:12" x14ac:dyDescent="0.25">
      <c r="A656" s="1"/>
      <c r="C656" s="1"/>
      <c r="D656" s="1">
        <v>42177</v>
      </c>
      <c r="E656" s="10">
        <v>270730</v>
      </c>
      <c r="F656" s="1">
        <v>42177</v>
      </c>
      <c r="G656">
        <v>-18357.71</v>
      </c>
      <c r="H656" s="1">
        <f t="shared" si="31"/>
        <v>42177</v>
      </c>
      <c r="I656">
        <f>IF(AND(MyRowHidden(ROW())=FALSE,MyRowHidden(ROW()-1)=TRUE),0,(E656-E655)*unitsOfDHp+I655)</f>
        <v>1050520</v>
      </c>
      <c r="J656">
        <f>IF(AND(MyRowHidden(ROW())=FALSE,MyRowHidden(ROW()-1)=TRUE),0,(G656-G655)*unitsOfExo+J655)</f>
        <v>-140687.10000000003</v>
      </c>
      <c r="K656" s="9">
        <f t="shared" si="32"/>
        <v>140687.10000000003</v>
      </c>
      <c r="L656">
        <f t="shared" si="33"/>
        <v>909832.89999999991</v>
      </c>
    </row>
    <row r="657" spans="1:12" x14ac:dyDescent="0.25">
      <c r="A657" s="1"/>
      <c r="C657" s="1"/>
      <c r="D657" s="1">
        <v>42178</v>
      </c>
      <c r="E657" s="10">
        <v>267370</v>
      </c>
      <c r="F657" s="1">
        <v>42178</v>
      </c>
      <c r="G657">
        <v>-18389.669999999998</v>
      </c>
      <c r="H657" s="1">
        <f t="shared" si="31"/>
        <v>42178</v>
      </c>
      <c r="I657">
        <f>IF(AND(MyRowHidden(ROW())=FALSE,MyRowHidden(ROW()-1)=TRUE),0,(E657-E656)*unitsOfDHp+I656)</f>
        <v>1016920</v>
      </c>
      <c r="J657">
        <f>IF(AND(MyRowHidden(ROW())=FALSE,MyRowHidden(ROW()-1)=TRUE),0,(G657-G656)*unitsOfExo+J656)</f>
        <v>-141006.70000000001</v>
      </c>
      <c r="K657" s="9">
        <f t="shared" si="32"/>
        <v>141006.70000000001</v>
      </c>
      <c r="L657">
        <f t="shared" si="33"/>
        <v>875913.3</v>
      </c>
    </row>
    <row r="658" spans="1:12" x14ac:dyDescent="0.25">
      <c r="A658" s="1"/>
      <c r="C658" s="1"/>
      <c r="D658" s="1">
        <v>42179</v>
      </c>
      <c r="E658" s="10">
        <v>270430</v>
      </c>
      <c r="F658" s="1">
        <v>42179</v>
      </c>
      <c r="G658">
        <v>-18416.46</v>
      </c>
      <c r="H658" s="1">
        <f t="shared" si="31"/>
        <v>42179</v>
      </c>
      <c r="I658">
        <f>IF(AND(MyRowHidden(ROW())=FALSE,MyRowHidden(ROW()-1)=TRUE),0,(E658-E657)*unitsOfDHp+I657)</f>
        <v>1047520</v>
      </c>
      <c r="J658">
        <f>IF(AND(MyRowHidden(ROW())=FALSE,MyRowHidden(ROW()-1)=TRUE),0,(G658-G657)*unitsOfExo+J657)</f>
        <v>-141274.60000000003</v>
      </c>
      <c r="K658" s="9">
        <f t="shared" si="32"/>
        <v>141274.60000000003</v>
      </c>
      <c r="L658">
        <f t="shared" si="33"/>
        <v>906245.39999999991</v>
      </c>
    </row>
    <row r="659" spans="1:12" x14ac:dyDescent="0.25">
      <c r="A659" s="1"/>
      <c r="C659" s="1"/>
      <c r="D659" s="1">
        <v>42180</v>
      </c>
      <c r="E659" s="10">
        <v>272610</v>
      </c>
      <c r="F659" s="1">
        <v>42180</v>
      </c>
      <c r="G659">
        <v>-18480.849999999999</v>
      </c>
      <c r="H659" s="1">
        <f t="shared" si="31"/>
        <v>42180</v>
      </c>
      <c r="I659">
        <f>IF(AND(MyRowHidden(ROW())=FALSE,MyRowHidden(ROW()-1)=TRUE),0,(E659-E658)*unitsOfDHp+I658)</f>
        <v>1069320</v>
      </c>
      <c r="J659">
        <f>IF(AND(MyRowHidden(ROW())=FALSE,MyRowHidden(ROW()-1)=TRUE),0,(G659-G658)*unitsOfExo+J658)</f>
        <v>-141918.50000000003</v>
      </c>
      <c r="K659" s="9">
        <f t="shared" si="32"/>
        <v>141918.50000000003</v>
      </c>
      <c r="L659">
        <f t="shared" si="33"/>
        <v>927401.5</v>
      </c>
    </row>
    <row r="660" spans="1:12" x14ac:dyDescent="0.25">
      <c r="A660" s="1"/>
      <c r="C660" s="1"/>
      <c r="D660" s="1">
        <v>42181</v>
      </c>
      <c r="E660" s="10">
        <v>272140</v>
      </c>
      <c r="F660" s="1">
        <v>42181</v>
      </c>
      <c r="G660">
        <v>-18496.830000000002</v>
      </c>
      <c r="H660" s="1">
        <f t="shared" si="31"/>
        <v>42181</v>
      </c>
      <c r="I660">
        <f>IF(AND(MyRowHidden(ROW())=FALSE,MyRowHidden(ROW()-1)=TRUE),0,(E660-E659)*unitsOfDHp+I659)</f>
        <v>1064620</v>
      </c>
      <c r="J660">
        <f>IF(AND(MyRowHidden(ROW())=FALSE,MyRowHidden(ROW()-1)=TRUE),0,(G660-G659)*unitsOfExo+J659)</f>
        <v>-142078.30000000005</v>
      </c>
      <c r="K660" s="9">
        <f t="shared" si="32"/>
        <v>142078.30000000005</v>
      </c>
      <c r="L660">
        <f t="shared" si="33"/>
        <v>922541.7</v>
      </c>
    </row>
    <row r="661" spans="1:12" x14ac:dyDescent="0.25">
      <c r="A661" s="1"/>
      <c r="C661" s="1"/>
      <c r="D661" s="1">
        <v>42184</v>
      </c>
      <c r="E661" s="10">
        <v>277476</v>
      </c>
      <c r="F661" s="1">
        <v>42184</v>
      </c>
      <c r="G661">
        <v>-18507.169999999998</v>
      </c>
      <c r="H661" s="1">
        <f t="shared" si="31"/>
        <v>42184</v>
      </c>
      <c r="I661">
        <f>IF(AND(MyRowHidden(ROW())=FALSE,MyRowHidden(ROW()-1)=TRUE),0,(E661-E660)*unitsOfDHp+I660)</f>
        <v>1117980</v>
      </c>
      <c r="J661">
        <f>IF(AND(MyRowHidden(ROW())=FALSE,MyRowHidden(ROW()-1)=TRUE),0,(G661-G660)*unitsOfExo+J660)</f>
        <v>-142181.70000000001</v>
      </c>
      <c r="K661" s="9">
        <f t="shared" si="32"/>
        <v>142181.70000000001</v>
      </c>
      <c r="L661">
        <f t="shared" si="33"/>
        <v>975798.3</v>
      </c>
    </row>
    <row r="662" spans="1:12" x14ac:dyDescent="0.25">
      <c r="A662" s="1"/>
      <c r="C662" s="1"/>
      <c r="D662" s="1">
        <v>42185</v>
      </c>
      <c r="E662" s="10">
        <v>271160</v>
      </c>
      <c r="F662" s="1">
        <v>42185</v>
      </c>
      <c r="G662">
        <v>-18512.810000000001</v>
      </c>
      <c r="H662" s="1">
        <f t="shared" si="31"/>
        <v>42185</v>
      </c>
      <c r="I662">
        <f>IF(AND(MyRowHidden(ROW())=FALSE,MyRowHidden(ROW()-1)=TRUE),0,(E662-E661)*unitsOfDHp+I661)</f>
        <v>1054820</v>
      </c>
      <c r="J662">
        <f>IF(AND(MyRowHidden(ROW())=FALSE,MyRowHidden(ROW()-1)=TRUE),0,(G662-G661)*unitsOfExo+J661)</f>
        <v>-142238.10000000003</v>
      </c>
      <c r="K662" s="9">
        <f t="shared" si="32"/>
        <v>142238.10000000003</v>
      </c>
      <c r="L662">
        <f t="shared" si="33"/>
        <v>912581.89999999991</v>
      </c>
    </row>
    <row r="663" spans="1:12" x14ac:dyDescent="0.25">
      <c r="A663" s="1"/>
      <c r="C663" s="1"/>
      <c r="D663" s="1">
        <v>42186</v>
      </c>
      <c r="E663" s="10">
        <v>283528</v>
      </c>
      <c r="F663" s="1">
        <v>42186</v>
      </c>
      <c r="G663">
        <v>-19571.5</v>
      </c>
      <c r="H663" s="1">
        <f t="shared" si="31"/>
        <v>42186</v>
      </c>
      <c r="I663">
        <f>IF(AND(MyRowHidden(ROW())=FALSE,MyRowHidden(ROW()-1)=TRUE),0,(E663-E662)*unitsOfDHp+I662)</f>
        <v>1178500</v>
      </c>
      <c r="J663">
        <f>IF(AND(MyRowHidden(ROW())=FALSE,MyRowHidden(ROW()-1)=TRUE),0,(G663-G662)*unitsOfExo+J662)</f>
        <v>-152825.00000000003</v>
      </c>
      <c r="K663" s="9">
        <f t="shared" si="32"/>
        <v>152825.00000000003</v>
      </c>
      <c r="L663">
        <f t="shared" si="33"/>
        <v>1025675</v>
      </c>
    </row>
    <row r="664" spans="1:12" x14ac:dyDescent="0.25">
      <c r="A664" s="1"/>
      <c r="C664" s="1"/>
      <c r="D664" s="1">
        <v>42187</v>
      </c>
      <c r="E664" s="10">
        <v>283324</v>
      </c>
      <c r="F664" s="1">
        <v>42187</v>
      </c>
      <c r="G664">
        <v>-19683.830000000002</v>
      </c>
      <c r="H664" s="1">
        <f t="shared" si="31"/>
        <v>42187</v>
      </c>
      <c r="I664">
        <f>IF(AND(MyRowHidden(ROW())=FALSE,MyRowHidden(ROW()-1)=TRUE),0,(E664-E663)*unitsOfDHp+I663)</f>
        <v>1176460</v>
      </c>
      <c r="J664">
        <f>IF(AND(MyRowHidden(ROW())=FALSE,MyRowHidden(ROW()-1)=TRUE),0,(G664-G663)*unitsOfExo+J663)</f>
        <v>-153948.30000000005</v>
      </c>
      <c r="K664" s="9">
        <f t="shared" si="32"/>
        <v>153948.30000000005</v>
      </c>
      <c r="L664">
        <f t="shared" si="33"/>
        <v>1022511.7</v>
      </c>
    </row>
    <row r="665" spans="1:12" x14ac:dyDescent="0.25">
      <c r="A665" s="1"/>
      <c r="C665" s="1"/>
      <c r="D665" s="1">
        <v>42188</v>
      </c>
      <c r="E665" s="10">
        <v>287990</v>
      </c>
      <c r="F665" s="1">
        <v>42188</v>
      </c>
      <c r="G665">
        <v>-19683.830000000002</v>
      </c>
      <c r="H665" s="1">
        <f t="shared" si="31"/>
        <v>42188</v>
      </c>
      <c r="I665">
        <f>IF(AND(MyRowHidden(ROW())=FALSE,MyRowHidden(ROW()-1)=TRUE),0,(E665-E664)*unitsOfDHp+I664)</f>
        <v>1223120</v>
      </c>
      <c r="J665">
        <f>IF(AND(MyRowHidden(ROW())=FALSE,MyRowHidden(ROW()-1)=TRUE),0,(G665-G664)*unitsOfExo+J664)</f>
        <v>-153948.30000000005</v>
      </c>
      <c r="K665" s="9">
        <f t="shared" si="32"/>
        <v>153948.30000000005</v>
      </c>
      <c r="L665">
        <f t="shared" si="33"/>
        <v>1069171.7</v>
      </c>
    </row>
    <row r="666" spans="1:12" x14ac:dyDescent="0.25">
      <c r="A666" s="1"/>
      <c r="C666" s="1"/>
      <c r="D666" s="1">
        <v>42191</v>
      </c>
      <c r="E666" s="10">
        <v>291060</v>
      </c>
      <c r="F666" s="1">
        <v>42191</v>
      </c>
      <c r="G666">
        <v>-20003.900000000001</v>
      </c>
      <c r="H666" s="1">
        <f t="shared" si="31"/>
        <v>42191</v>
      </c>
      <c r="I666">
        <f>IF(AND(MyRowHidden(ROW())=FALSE,MyRowHidden(ROW()-1)=TRUE),0,(E666-E665)*unitsOfDHp+I665)</f>
        <v>1253820</v>
      </c>
      <c r="J666">
        <f>IF(AND(MyRowHidden(ROW())=FALSE,MyRowHidden(ROW()-1)=TRUE),0,(G666-G665)*unitsOfExo+J665)</f>
        <v>-157149.00000000006</v>
      </c>
      <c r="K666" s="9">
        <f t="shared" si="32"/>
        <v>157149.00000000006</v>
      </c>
      <c r="L666">
        <f t="shared" si="33"/>
        <v>1096671</v>
      </c>
    </row>
    <row r="667" spans="1:12" x14ac:dyDescent="0.25">
      <c r="A667" s="1"/>
      <c r="C667" s="1"/>
      <c r="D667" s="1">
        <v>42192</v>
      </c>
      <c r="E667" s="10">
        <v>292048</v>
      </c>
      <c r="F667" s="1">
        <v>42192</v>
      </c>
      <c r="G667">
        <v>-20003.900000000001</v>
      </c>
      <c r="H667" s="1">
        <f t="shared" si="31"/>
        <v>42192</v>
      </c>
      <c r="I667">
        <f>IF(AND(MyRowHidden(ROW())=FALSE,MyRowHidden(ROW()-1)=TRUE),0,(E667-E666)*unitsOfDHp+I666)</f>
        <v>1263700</v>
      </c>
      <c r="J667">
        <f>IF(AND(MyRowHidden(ROW())=FALSE,MyRowHidden(ROW()-1)=TRUE),0,(G667-G666)*unitsOfExo+J666)</f>
        <v>-157149.00000000006</v>
      </c>
      <c r="K667" s="9">
        <f t="shared" si="32"/>
        <v>157149.00000000006</v>
      </c>
      <c r="L667">
        <f t="shared" si="33"/>
        <v>1106551</v>
      </c>
    </row>
    <row r="668" spans="1:12" x14ac:dyDescent="0.25">
      <c r="A668" s="1"/>
      <c r="C668" s="1"/>
      <c r="D668" s="1">
        <v>42193</v>
      </c>
      <c r="E668" s="10">
        <v>292124</v>
      </c>
      <c r="F668" s="1">
        <v>42193</v>
      </c>
      <c r="G668">
        <v>-20052.310000000001</v>
      </c>
      <c r="H668" s="1">
        <f t="shared" si="31"/>
        <v>42193</v>
      </c>
      <c r="I668">
        <f>IF(AND(MyRowHidden(ROW())=FALSE,MyRowHidden(ROW()-1)=TRUE),0,(E668-E667)*unitsOfDHp+I667)</f>
        <v>1264460</v>
      </c>
      <c r="J668">
        <f>IF(AND(MyRowHidden(ROW())=FALSE,MyRowHidden(ROW()-1)=TRUE),0,(G668-G667)*unitsOfExo+J667)</f>
        <v>-157633.10000000006</v>
      </c>
      <c r="K668" s="9">
        <f t="shared" si="32"/>
        <v>157633.10000000006</v>
      </c>
      <c r="L668">
        <f t="shared" si="33"/>
        <v>1106826.8999999999</v>
      </c>
    </row>
    <row r="669" spans="1:12" x14ac:dyDescent="0.25">
      <c r="A669" s="1"/>
      <c r="C669" s="1"/>
      <c r="D669" s="1">
        <v>42194</v>
      </c>
      <c r="E669" s="10">
        <v>291324</v>
      </c>
      <c r="F669" s="1">
        <v>42194</v>
      </c>
      <c r="G669">
        <v>-20006.72</v>
      </c>
      <c r="H669" s="1">
        <f t="shared" si="31"/>
        <v>42194</v>
      </c>
      <c r="I669">
        <f>IF(AND(MyRowHidden(ROW())=FALSE,MyRowHidden(ROW()-1)=TRUE),0,(E669-E668)*unitsOfDHp+I668)</f>
        <v>1256460</v>
      </c>
      <c r="J669">
        <f>IF(AND(MyRowHidden(ROW())=FALSE,MyRowHidden(ROW()-1)=TRUE),0,(G669-G668)*unitsOfExo+J668)</f>
        <v>-157177.20000000007</v>
      </c>
      <c r="K669" s="9">
        <f t="shared" si="32"/>
        <v>157177.20000000007</v>
      </c>
      <c r="L669">
        <f t="shared" si="33"/>
        <v>1099282.7999999998</v>
      </c>
    </row>
    <row r="670" spans="1:12" x14ac:dyDescent="0.25">
      <c r="A670" s="1"/>
      <c r="C670" s="1"/>
      <c r="D670" s="1">
        <v>42195</v>
      </c>
      <c r="E670" s="10">
        <v>292194</v>
      </c>
      <c r="F670" s="1">
        <v>42195</v>
      </c>
      <c r="G670">
        <v>-20006.72</v>
      </c>
      <c r="H670" s="1">
        <f t="shared" si="31"/>
        <v>42195</v>
      </c>
      <c r="I670">
        <f>IF(AND(MyRowHidden(ROW())=FALSE,MyRowHidden(ROW()-1)=TRUE),0,(E670-E669)*unitsOfDHp+I669)</f>
        <v>1265160</v>
      </c>
      <c r="J670">
        <f>IF(AND(MyRowHidden(ROW())=FALSE,MyRowHidden(ROW()-1)=TRUE),0,(G670-G669)*unitsOfExo+J669)</f>
        <v>-157177.20000000007</v>
      </c>
      <c r="K670" s="9">
        <f t="shared" si="32"/>
        <v>157177.20000000007</v>
      </c>
      <c r="L670">
        <f t="shared" si="33"/>
        <v>1107982.7999999998</v>
      </c>
    </row>
    <row r="671" spans="1:12" x14ac:dyDescent="0.25">
      <c r="A671" s="1"/>
      <c r="C671" s="1"/>
      <c r="D671" s="1">
        <v>42198</v>
      </c>
      <c r="E671" s="10">
        <v>291914</v>
      </c>
      <c r="F671" s="1">
        <v>42198</v>
      </c>
      <c r="G671">
        <v>-20046.669999999998</v>
      </c>
      <c r="H671" s="1">
        <f t="shared" si="31"/>
        <v>42198</v>
      </c>
      <c r="I671">
        <f>IF(AND(MyRowHidden(ROW())=FALSE,MyRowHidden(ROW()-1)=TRUE),0,(E671-E670)*unitsOfDHp+I670)</f>
        <v>1262360</v>
      </c>
      <c r="J671">
        <f>IF(AND(MyRowHidden(ROW())=FALSE,MyRowHidden(ROW()-1)=TRUE),0,(G671-G670)*unitsOfExo+J670)</f>
        <v>-157576.70000000004</v>
      </c>
      <c r="K671" s="9">
        <f t="shared" si="32"/>
        <v>157576.70000000004</v>
      </c>
      <c r="L671">
        <f t="shared" si="33"/>
        <v>1104783.3</v>
      </c>
    </row>
    <row r="672" spans="1:12" x14ac:dyDescent="0.25">
      <c r="A672" s="1"/>
      <c r="C672" s="1"/>
      <c r="D672" s="1">
        <v>42199</v>
      </c>
      <c r="E672" s="10">
        <v>292074</v>
      </c>
      <c r="F672" s="1">
        <v>42199</v>
      </c>
      <c r="G672">
        <v>-20046.669999999998</v>
      </c>
      <c r="H672" s="1">
        <f t="shared" si="31"/>
        <v>42199</v>
      </c>
      <c r="I672">
        <f>IF(AND(MyRowHidden(ROW())=FALSE,MyRowHidden(ROW()-1)=TRUE),0,(E672-E671)*unitsOfDHp+I671)</f>
        <v>1263960</v>
      </c>
      <c r="J672">
        <f>IF(AND(MyRowHidden(ROW())=FALSE,MyRowHidden(ROW()-1)=TRUE),0,(G672-G671)*unitsOfExo+J671)</f>
        <v>-157576.70000000004</v>
      </c>
      <c r="K672" s="9">
        <f t="shared" si="32"/>
        <v>157576.70000000004</v>
      </c>
      <c r="L672">
        <f t="shared" si="33"/>
        <v>1106383.3</v>
      </c>
    </row>
    <row r="673" spans="1:12" x14ac:dyDescent="0.25">
      <c r="A673" s="1"/>
      <c r="C673" s="1"/>
      <c r="D673" s="1">
        <v>42200</v>
      </c>
      <c r="E673" s="10">
        <v>295644</v>
      </c>
      <c r="F673" s="1">
        <v>42200</v>
      </c>
      <c r="G673">
        <v>-20046.669999999998</v>
      </c>
      <c r="H673" s="1">
        <f t="shared" si="31"/>
        <v>42200</v>
      </c>
      <c r="I673">
        <f>IF(AND(MyRowHidden(ROW())=FALSE,MyRowHidden(ROW()-1)=TRUE),0,(E673-E672)*unitsOfDHp+I672)</f>
        <v>1299660</v>
      </c>
      <c r="J673">
        <f>IF(AND(MyRowHidden(ROW())=FALSE,MyRowHidden(ROW()-1)=TRUE),0,(G673-G672)*unitsOfExo+J672)</f>
        <v>-157576.70000000004</v>
      </c>
      <c r="K673" s="9">
        <f t="shared" si="32"/>
        <v>157576.70000000004</v>
      </c>
      <c r="L673">
        <f t="shared" si="33"/>
        <v>1142083.3</v>
      </c>
    </row>
    <row r="674" spans="1:12" x14ac:dyDescent="0.25">
      <c r="A674" s="1"/>
      <c r="C674" s="1"/>
      <c r="D674" s="1">
        <v>42201</v>
      </c>
      <c r="E674" s="10">
        <v>296974</v>
      </c>
      <c r="F674" s="1">
        <v>42201</v>
      </c>
      <c r="G674">
        <v>-20046.669999999998</v>
      </c>
      <c r="H674" s="1">
        <f t="shared" si="31"/>
        <v>42201</v>
      </c>
      <c r="I674">
        <f>IF(AND(MyRowHidden(ROW())=FALSE,MyRowHidden(ROW()-1)=TRUE),0,(E674-E673)*unitsOfDHp+I673)</f>
        <v>1312960</v>
      </c>
      <c r="J674">
        <f>IF(AND(MyRowHidden(ROW())=FALSE,MyRowHidden(ROW()-1)=TRUE),0,(G674-G673)*unitsOfExo+J673)</f>
        <v>-157576.70000000004</v>
      </c>
      <c r="K674" s="9">
        <f t="shared" si="32"/>
        <v>157576.70000000004</v>
      </c>
      <c r="L674">
        <f t="shared" si="33"/>
        <v>1155383.3</v>
      </c>
    </row>
    <row r="675" spans="1:12" x14ac:dyDescent="0.25">
      <c r="A675" s="1"/>
      <c r="C675" s="1"/>
      <c r="D675" s="1">
        <v>42202</v>
      </c>
      <c r="E675" s="10">
        <v>298192</v>
      </c>
      <c r="F675" s="1">
        <v>42202</v>
      </c>
      <c r="G675">
        <v>-20076.28</v>
      </c>
      <c r="H675" s="1">
        <f t="shared" si="31"/>
        <v>42202</v>
      </c>
      <c r="I675">
        <f>IF(AND(MyRowHidden(ROW())=FALSE,MyRowHidden(ROW()-1)=TRUE),0,(E675-E674)*unitsOfDHp+I674)</f>
        <v>1325140</v>
      </c>
      <c r="J675">
        <f>IF(AND(MyRowHidden(ROW())=FALSE,MyRowHidden(ROW()-1)=TRUE),0,(G675-G674)*unitsOfExo+J674)</f>
        <v>-157872.80000000005</v>
      </c>
      <c r="K675" s="9">
        <f t="shared" si="32"/>
        <v>157872.80000000005</v>
      </c>
      <c r="L675">
        <f t="shared" si="33"/>
        <v>1167267.2</v>
      </c>
    </row>
    <row r="676" spans="1:12" x14ac:dyDescent="0.25">
      <c r="A676" s="1"/>
      <c r="C676" s="1"/>
      <c r="D676" s="1">
        <v>42205</v>
      </c>
      <c r="E676" s="10">
        <v>299398</v>
      </c>
      <c r="F676" s="1">
        <v>42205</v>
      </c>
      <c r="G676">
        <v>-20076.28</v>
      </c>
      <c r="H676" s="1">
        <f t="shared" si="31"/>
        <v>42205</v>
      </c>
      <c r="I676">
        <f>IF(AND(MyRowHidden(ROW())=FALSE,MyRowHidden(ROW()-1)=TRUE),0,(E676-E675)*unitsOfDHp+I675)</f>
        <v>1337200</v>
      </c>
      <c r="J676">
        <f>IF(AND(MyRowHidden(ROW())=FALSE,MyRowHidden(ROW()-1)=TRUE),0,(G676-G675)*unitsOfExo+J675)</f>
        <v>-157872.80000000005</v>
      </c>
      <c r="K676" s="9">
        <f t="shared" si="32"/>
        <v>157872.80000000005</v>
      </c>
      <c r="L676">
        <f t="shared" si="33"/>
        <v>1179327.2</v>
      </c>
    </row>
    <row r="677" spans="1:12" x14ac:dyDescent="0.25">
      <c r="A677" s="1"/>
      <c r="C677" s="1"/>
      <c r="D677" s="1">
        <v>42206</v>
      </c>
      <c r="E677" s="10">
        <v>299436</v>
      </c>
      <c r="F677" s="1">
        <v>42206</v>
      </c>
      <c r="G677">
        <v>-20076.28</v>
      </c>
      <c r="H677" s="1">
        <f t="shared" si="31"/>
        <v>42206</v>
      </c>
      <c r="I677">
        <f>IF(AND(MyRowHidden(ROW())=FALSE,MyRowHidden(ROW()-1)=TRUE),0,(E677-E676)*unitsOfDHp+I676)</f>
        <v>1337580</v>
      </c>
      <c r="J677">
        <f>IF(AND(MyRowHidden(ROW())=FALSE,MyRowHidden(ROW()-1)=TRUE),0,(G677-G676)*unitsOfExo+J676)</f>
        <v>-157872.80000000005</v>
      </c>
      <c r="K677" s="9">
        <f t="shared" si="32"/>
        <v>157872.80000000005</v>
      </c>
      <c r="L677">
        <f t="shared" si="33"/>
        <v>1179707.2</v>
      </c>
    </row>
    <row r="678" spans="1:12" x14ac:dyDescent="0.25">
      <c r="A678" s="1"/>
      <c r="C678" s="1"/>
      <c r="D678" s="1">
        <v>42207</v>
      </c>
      <c r="E678" s="10">
        <v>300572</v>
      </c>
      <c r="F678" s="1">
        <v>42207</v>
      </c>
      <c r="G678">
        <v>-20076.28</v>
      </c>
      <c r="H678" s="1">
        <f t="shared" si="31"/>
        <v>42207</v>
      </c>
      <c r="I678">
        <f>IF(AND(MyRowHidden(ROW())=FALSE,MyRowHidden(ROW()-1)=TRUE),0,(E678-E677)*unitsOfDHp+I677)</f>
        <v>1348940</v>
      </c>
      <c r="J678">
        <f>IF(AND(MyRowHidden(ROW())=FALSE,MyRowHidden(ROW()-1)=TRUE),0,(G678-G677)*unitsOfExo+J677)</f>
        <v>-157872.80000000005</v>
      </c>
      <c r="K678" s="9">
        <f t="shared" si="32"/>
        <v>157872.80000000005</v>
      </c>
      <c r="L678">
        <f t="shared" si="33"/>
        <v>1191067.2</v>
      </c>
    </row>
    <row r="679" spans="1:12" x14ac:dyDescent="0.25">
      <c r="A679" s="1"/>
      <c r="C679" s="1"/>
      <c r="D679" s="1">
        <v>42208</v>
      </c>
      <c r="E679" s="10">
        <v>301370</v>
      </c>
      <c r="F679" s="1">
        <v>42208</v>
      </c>
      <c r="G679">
        <v>-20132.21</v>
      </c>
      <c r="H679" s="1">
        <f t="shared" si="31"/>
        <v>42208</v>
      </c>
      <c r="I679">
        <f>IF(AND(MyRowHidden(ROW())=FALSE,MyRowHidden(ROW()-1)=TRUE),0,(E679-E678)*unitsOfDHp+I678)</f>
        <v>1356920</v>
      </c>
      <c r="J679">
        <f>IF(AND(MyRowHidden(ROW())=FALSE,MyRowHidden(ROW()-1)=TRUE),0,(G679-G678)*unitsOfExo+J678)</f>
        <v>-158432.10000000003</v>
      </c>
      <c r="K679" s="9">
        <f t="shared" si="32"/>
        <v>158432.10000000003</v>
      </c>
      <c r="L679">
        <f t="shared" si="33"/>
        <v>1198487.8999999999</v>
      </c>
    </row>
    <row r="680" spans="1:12" x14ac:dyDescent="0.25">
      <c r="A680" s="1"/>
      <c r="C680" s="1"/>
      <c r="D680" s="1">
        <v>42209</v>
      </c>
      <c r="E680" s="10">
        <v>301944</v>
      </c>
      <c r="F680" s="1">
        <v>42209</v>
      </c>
      <c r="G680">
        <v>-20148.189999999999</v>
      </c>
      <c r="H680" s="1">
        <f t="shared" si="31"/>
        <v>42209</v>
      </c>
      <c r="I680">
        <f>IF(AND(MyRowHidden(ROW())=FALSE,MyRowHidden(ROW()-1)=TRUE),0,(E680-E679)*unitsOfDHp+I679)</f>
        <v>1362660</v>
      </c>
      <c r="J680">
        <f>IF(AND(MyRowHidden(ROW())=FALSE,MyRowHidden(ROW()-1)=TRUE),0,(G680-G679)*unitsOfExo+J679)</f>
        <v>-158591.90000000002</v>
      </c>
      <c r="K680" s="9">
        <f t="shared" si="32"/>
        <v>158591.90000000002</v>
      </c>
      <c r="L680">
        <f t="shared" si="33"/>
        <v>1204068.1000000001</v>
      </c>
    </row>
    <row r="681" spans="1:12" x14ac:dyDescent="0.25">
      <c r="A681" s="1"/>
      <c r="C681" s="1"/>
      <c r="D681" s="1">
        <v>42212</v>
      </c>
      <c r="E681" s="10">
        <v>301690</v>
      </c>
      <c r="F681" s="1">
        <v>42212</v>
      </c>
      <c r="G681">
        <v>-20174.98</v>
      </c>
      <c r="H681" s="1">
        <f t="shared" si="31"/>
        <v>42212</v>
      </c>
      <c r="I681">
        <f>IF(AND(MyRowHidden(ROW())=FALSE,MyRowHidden(ROW()-1)=TRUE),0,(E681-E680)*unitsOfDHp+I680)</f>
        <v>1360120</v>
      </c>
      <c r="J681">
        <f>IF(AND(MyRowHidden(ROW())=FALSE,MyRowHidden(ROW()-1)=TRUE),0,(G681-G680)*unitsOfExo+J680)</f>
        <v>-158859.80000000005</v>
      </c>
      <c r="K681" s="9">
        <f t="shared" si="32"/>
        <v>158859.80000000005</v>
      </c>
      <c r="L681">
        <f t="shared" si="33"/>
        <v>1201260.2</v>
      </c>
    </row>
    <row r="682" spans="1:12" x14ac:dyDescent="0.25">
      <c r="A682" s="1"/>
      <c r="C682" s="1"/>
      <c r="D682" s="1">
        <v>42213</v>
      </c>
      <c r="E682" s="10">
        <v>301820</v>
      </c>
      <c r="F682" s="1">
        <v>42213</v>
      </c>
      <c r="G682">
        <v>-20174.98</v>
      </c>
      <c r="H682" s="1">
        <f t="shared" si="31"/>
        <v>42213</v>
      </c>
      <c r="I682">
        <f>IF(AND(MyRowHidden(ROW())=FALSE,MyRowHidden(ROW()-1)=TRUE),0,(E682-E681)*unitsOfDHp+I681)</f>
        <v>1361420</v>
      </c>
      <c r="J682">
        <f>IF(AND(MyRowHidden(ROW())=FALSE,MyRowHidden(ROW()-1)=TRUE),0,(G682-G681)*unitsOfExo+J681)</f>
        <v>-158859.80000000005</v>
      </c>
      <c r="K682" s="9">
        <f t="shared" si="32"/>
        <v>158859.80000000005</v>
      </c>
      <c r="L682">
        <f t="shared" si="33"/>
        <v>1202560.2</v>
      </c>
    </row>
    <row r="683" spans="1:12" x14ac:dyDescent="0.25">
      <c r="A683" s="1"/>
      <c r="C683" s="1"/>
      <c r="D683" s="1">
        <v>42214</v>
      </c>
      <c r="E683" s="10">
        <v>302340</v>
      </c>
      <c r="F683" s="1">
        <v>42214</v>
      </c>
      <c r="G683">
        <v>-20174.98</v>
      </c>
      <c r="H683" s="1">
        <f t="shared" si="31"/>
        <v>42214</v>
      </c>
      <c r="I683">
        <f>IF(AND(MyRowHidden(ROW())=FALSE,MyRowHidden(ROW()-1)=TRUE),0,(E683-E682)*unitsOfDHp+I682)</f>
        <v>1366620</v>
      </c>
      <c r="J683">
        <f>IF(AND(MyRowHidden(ROW())=FALSE,MyRowHidden(ROW()-1)=TRUE),0,(G683-G682)*unitsOfExo+J682)</f>
        <v>-158859.80000000005</v>
      </c>
      <c r="K683" s="9">
        <f t="shared" si="32"/>
        <v>158859.80000000005</v>
      </c>
      <c r="L683">
        <f t="shared" si="33"/>
        <v>1207760.2</v>
      </c>
    </row>
    <row r="684" spans="1:12" x14ac:dyDescent="0.25">
      <c r="A684" s="1"/>
      <c r="C684" s="1"/>
      <c r="D684" s="1">
        <v>42215</v>
      </c>
      <c r="E684" s="10">
        <v>302080</v>
      </c>
      <c r="F684" s="1">
        <v>42215</v>
      </c>
      <c r="G684">
        <v>-20174.98</v>
      </c>
      <c r="H684" s="1">
        <f t="shared" si="31"/>
        <v>42215</v>
      </c>
      <c r="I684">
        <f>IF(AND(MyRowHidden(ROW())=FALSE,MyRowHidden(ROW()-1)=TRUE),0,(E684-E683)*unitsOfDHp+I683)</f>
        <v>1364020</v>
      </c>
      <c r="J684">
        <f>IF(AND(MyRowHidden(ROW())=FALSE,MyRowHidden(ROW()-1)=TRUE),0,(G684-G683)*unitsOfExo+J683)</f>
        <v>-158859.80000000005</v>
      </c>
      <c r="K684" s="9">
        <f t="shared" si="32"/>
        <v>158859.80000000005</v>
      </c>
      <c r="L684">
        <f t="shared" si="33"/>
        <v>1205160.2</v>
      </c>
    </row>
    <row r="685" spans="1:12" x14ac:dyDescent="0.25">
      <c r="A685" s="1"/>
      <c r="C685" s="1"/>
      <c r="D685" s="1">
        <v>42216</v>
      </c>
      <c r="E685" s="10">
        <v>301950</v>
      </c>
      <c r="F685" s="1">
        <v>42216</v>
      </c>
      <c r="G685">
        <v>-20177.8</v>
      </c>
      <c r="H685" s="1">
        <f t="shared" si="31"/>
        <v>42216</v>
      </c>
      <c r="I685">
        <f>IF(AND(MyRowHidden(ROW())=FALSE,MyRowHidden(ROW()-1)=TRUE),0,(E685-E684)*unitsOfDHp+I684)</f>
        <v>1362720</v>
      </c>
      <c r="J685">
        <f>IF(AND(MyRowHidden(ROW())=FALSE,MyRowHidden(ROW()-1)=TRUE),0,(G685-G684)*unitsOfExo+J684)</f>
        <v>-158888.00000000006</v>
      </c>
      <c r="K685" s="9">
        <f t="shared" si="32"/>
        <v>158888.00000000006</v>
      </c>
      <c r="L685">
        <f t="shared" si="33"/>
        <v>1203832</v>
      </c>
    </row>
    <row r="686" spans="1:12" x14ac:dyDescent="0.25">
      <c r="A686" s="1"/>
      <c r="C686" s="1"/>
      <c r="D686" s="1">
        <v>42219</v>
      </c>
      <c r="E686" s="10">
        <v>301630</v>
      </c>
      <c r="F686" s="1">
        <v>42219</v>
      </c>
      <c r="G686">
        <v>-20817.25</v>
      </c>
      <c r="H686" s="1">
        <f t="shared" si="31"/>
        <v>42219</v>
      </c>
      <c r="I686">
        <f>IF(AND(MyRowHidden(ROW())=FALSE,MyRowHidden(ROW()-1)=TRUE),0,(E686-E685)*unitsOfDHp+I685)</f>
        <v>1359520</v>
      </c>
      <c r="J686">
        <f>IF(AND(MyRowHidden(ROW())=FALSE,MyRowHidden(ROW()-1)=TRUE),0,(G686-G685)*unitsOfExo+J685)</f>
        <v>-165282.50000000006</v>
      </c>
      <c r="K686" s="9">
        <f t="shared" si="32"/>
        <v>165282.50000000006</v>
      </c>
      <c r="L686">
        <f t="shared" si="33"/>
        <v>1194237.5</v>
      </c>
    </row>
    <row r="687" spans="1:12" x14ac:dyDescent="0.25">
      <c r="A687" s="1"/>
      <c r="C687" s="1"/>
      <c r="D687" s="1">
        <v>42220</v>
      </c>
      <c r="E687" s="10">
        <v>301770</v>
      </c>
      <c r="F687" s="1">
        <v>42220</v>
      </c>
      <c r="G687">
        <v>-21264.69</v>
      </c>
      <c r="H687" s="1">
        <f t="shared" si="31"/>
        <v>42220</v>
      </c>
      <c r="I687">
        <f>IF(AND(MyRowHidden(ROW())=FALSE,MyRowHidden(ROW()-1)=TRUE),0,(E687-E686)*unitsOfDHp+I686)</f>
        <v>1360920</v>
      </c>
      <c r="J687">
        <f>IF(AND(MyRowHidden(ROW())=FALSE,MyRowHidden(ROW()-1)=TRUE),0,(G687-G686)*unitsOfExo+J686)</f>
        <v>-169756.90000000005</v>
      </c>
      <c r="K687" s="9">
        <f t="shared" si="32"/>
        <v>169756.90000000005</v>
      </c>
      <c r="L687">
        <f t="shared" si="33"/>
        <v>1191163.0999999999</v>
      </c>
    </row>
    <row r="688" spans="1:12" x14ac:dyDescent="0.25">
      <c r="A688" s="1"/>
      <c r="C688" s="1"/>
      <c r="D688" s="1">
        <v>42221</v>
      </c>
      <c r="E688" s="10">
        <v>301530</v>
      </c>
      <c r="F688" s="1">
        <v>42221</v>
      </c>
      <c r="G688">
        <v>-21477.599999999999</v>
      </c>
      <c r="H688" s="1">
        <f t="shared" si="31"/>
        <v>42221</v>
      </c>
      <c r="I688">
        <f>IF(AND(MyRowHidden(ROW())=FALSE,MyRowHidden(ROW()-1)=TRUE),0,(E688-E687)*unitsOfDHp+I687)</f>
        <v>1358520</v>
      </c>
      <c r="J688">
        <f>IF(AND(MyRowHidden(ROW())=FALSE,MyRowHidden(ROW()-1)=TRUE),0,(G688-G687)*unitsOfExo+J687)</f>
        <v>-171886.00000000006</v>
      </c>
      <c r="K688" s="9">
        <f t="shared" si="32"/>
        <v>171886.00000000006</v>
      </c>
      <c r="L688">
        <f t="shared" si="33"/>
        <v>1186634</v>
      </c>
    </row>
    <row r="689" spans="1:12" x14ac:dyDescent="0.25">
      <c r="A689" s="1"/>
      <c r="C689" s="1"/>
      <c r="D689" s="1">
        <v>42222</v>
      </c>
      <c r="E689" s="10">
        <v>301270</v>
      </c>
      <c r="F689" s="1">
        <v>42222</v>
      </c>
      <c r="G689">
        <v>-21779.81</v>
      </c>
      <c r="H689" s="1">
        <f t="shared" si="31"/>
        <v>42222</v>
      </c>
      <c r="I689">
        <f>IF(AND(MyRowHidden(ROW())=FALSE,MyRowHidden(ROW()-1)=TRUE),0,(E689-E688)*unitsOfDHp+I688)</f>
        <v>1355920</v>
      </c>
      <c r="J689">
        <f>IF(AND(MyRowHidden(ROW())=FALSE,MyRowHidden(ROW()-1)=TRUE),0,(G689-G688)*unitsOfExo+J688)</f>
        <v>-174908.10000000009</v>
      </c>
      <c r="K689" s="9">
        <f t="shared" si="32"/>
        <v>174908.10000000009</v>
      </c>
      <c r="L689">
        <f t="shared" si="33"/>
        <v>1181011.8999999999</v>
      </c>
    </row>
    <row r="690" spans="1:12" x14ac:dyDescent="0.25">
      <c r="A690" s="1"/>
      <c r="C690" s="1"/>
      <c r="D690" s="1">
        <v>42223</v>
      </c>
      <c r="E690" s="10">
        <v>300978</v>
      </c>
      <c r="F690" s="1">
        <v>42223</v>
      </c>
      <c r="G690">
        <v>-21874.75</v>
      </c>
      <c r="H690" s="1">
        <f t="shared" si="31"/>
        <v>42223</v>
      </c>
      <c r="I690">
        <f>IF(AND(MyRowHidden(ROW())=FALSE,MyRowHidden(ROW()-1)=TRUE),0,(E690-E689)*unitsOfDHp+I689)</f>
        <v>1353000</v>
      </c>
      <c r="J690">
        <f>IF(AND(MyRowHidden(ROW())=FALSE,MyRowHidden(ROW()-1)=TRUE),0,(G690-G689)*unitsOfExo+J689)</f>
        <v>-175857.50000000009</v>
      </c>
      <c r="K690" s="9">
        <f t="shared" si="32"/>
        <v>175857.50000000009</v>
      </c>
      <c r="L690">
        <f t="shared" si="33"/>
        <v>1177142.5</v>
      </c>
    </row>
    <row r="691" spans="1:12" x14ac:dyDescent="0.25">
      <c r="A691" s="1"/>
      <c r="C691" s="1"/>
      <c r="D691" s="1">
        <v>42226</v>
      </c>
      <c r="E691" s="10">
        <v>300978</v>
      </c>
      <c r="F691" s="1">
        <v>42226</v>
      </c>
      <c r="G691">
        <v>-21874.75</v>
      </c>
      <c r="H691" s="1">
        <f t="shared" si="31"/>
        <v>42226</v>
      </c>
      <c r="I691">
        <f>IF(AND(MyRowHidden(ROW())=FALSE,MyRowHidden(ROW()-1)=TRUE),0,(E691-E690)*unitsOfDHp+I690)</f>
        <v>1353000</v>
      </c>
      <c r="J691">
        <f>IF(AND(MyRowHidden(ROW())=FALSE,MyRowHidden(ROW()-1)=TRUE),0,(G691-G690)*unitsOfExo+J690)</f>
        <v>-175857.50000000009</v>
      </c>
      <c r="K691" s="9">
        <f t="shared" si="32"/>
        <v>175857.50000000009</v>
      </c>
      <c r="L691">
        <f t="shared" si="33"/>
        <v>1177142.5</v>
      </c>
    </row>
    <row r="692" spans="1:12" x14ac:dyDescent="0.25">
      <c r="A692" s="1"/>
      <c r="C692" s="1"/>
      <c r="D692" s="1">
        <v>42227</v>
      </c>
      <c r="E692" s="10">
        <v>300978</v>
      </c>
      <c r="F692" s="1">
        <v>42227</v>
      </c>
      <c r="G692">
        <v>-21874.75</v>
      </c>
      <c r="H692" s="1">
        <f t="shared" si="31"/>
        <v>42227</v>
      </c>
      <c r="I692">
        <f>IF(AND(MyRowHidden(ROW())=FALSE,MyRowHidden(ROW()-1)=TRUE),0,(E692-E691)*unitsOfDHp+I691)</f>
        <v>1353000</v>
      </c>
      <c r="J692">
        <f>IF(AND(MyRowHidden(ROW())=FALSE,MyRowHidden(ROW()-1)=TRUE),0,(G692-G691)*unitsOfExo+J691)</f>
        <v>-175857.50000000009</v>
      </c>
      <c r="K692" s="9">
        <f t="shared" si="32"/>
        <v>175857.50000000009</v>
      </c>
      <c r="L692">
        <f t="shared" si="33"/>
        <v>1177142.5</v>
      </c>
    </row>
    <row r="693" spans="1:12" x14ac:dyDescent="0.25">
      <c r="A693" s="1"/>
      <c r="C693" s="1"/>
      <c r="D693" s="1">
        <v>42228</v>
      </c>
      <c r="E693" s="10">
        <v>300978</v>
      </c>
      <c r="F693" s="1">
        <v>42228</v>
      </c>
      <c r="G693">
        <v>-21874.75</v>
      </c>
      <c r="H693" s="1">
        <f t="shared" si="31"/>
        <v>42228</v>
      </c>
      <c r="I693">
        <f>IF(AND(MyRowHidden(ROW())=FALSE,MyRowHidden(ROW()-1)=TRUE),0,(E693-E692)*unitsOfDHp+I692)</f>
        <v>1353000</v>
      </c>
      <c r="J693">
        <f>IF(AND(MyRowHidden(ROW())=FALSE,MyRowHidden(ROW()-1)=TRUE),0,(G693-G692)*unitsOfExo+J692)</f>
        <v>-175857.50000000009</v>
      </c>
      <c r="K693" s="9">
        <f t="shared" si="32"/>
        <v>175857.50000000009</v>
      </c>
      <c r="L693">
        <f t="shared" si="33"/>
        <v>1177142.5</v>
      </c>
    </row>
    <row r="694" spans="1:12" x14ac:dyDescent="0.25">
      <c r="A694" s="1"/>
      <c r="C694" s="1"/>
      <c r="D694" s="1">
        <v>42229</v>
      </c>
      <c r="E694" s="10">
        <v>300978</v>
      </c>
      <c r="F694" s="1">
        <v>42229</v>
      </c>
      <c r="G694">
        <v>-22020.45</v>
      </c>
      <c r="H694" s="1">
        <f t="shared" si="31"/>
        <v>42229</v>
      </c>
      <c r="I694">
        <f>IF(AND(MyRowHidden(ROW())=FALSE,MyRowHidden(ROW()-1)=TRUE),0,(E694-E693)*unitsOfDHp+I693)</f>
        <v>1353000</v>
      </c>
      <c r="J694">
        <f>IF(AND(MyRowHidden(ROW())=FALSE,MyRowHidden(ROW()-1)=TRUE),0,(G694-G693)*unitsOfExo+J693)</f>
        <v>-177314.50000000009</v>
      </c>
      <c r="K694" s="9">
        <f t="shared" si="32"/>
        <v>177314.50000000009</v>
      </c>
      <c r="L694">
        <f t="shared" si="33"/>
        <v>1175685.5</v>
      </c>
    </row>
    <row r="695" spans="1:12" x14ac:dyDescent="0.25">
      <c r="A695" s="1"/>
      <c r="C695" s="1"/>
      <c r="D695" s="1">
        <v>42230</v>
      </c>
      <c r="E695" s="10">
        <v>300978</v>
      </c>
      <c r="F695" s="1">
        <v>42230</v>
      </c>
      <c r="G695">
        <v>-22121.03</v>
      </c>
      <c r="H695" s="1">
        <f t="shared" si="31"/>
        <v>42230</v>
      </c>
      <c r="I695">
        <f>IF(AND(MyRowHidden(ROW())=FALSE,MyRowHidden(ROW()-1)=TRUE),0,(E695-E694)*unitsOfDHp+I694)</f>
        <v>1353000</v>
      </c>
      <c r="J695">
        <f>IF(AND(MyRowHidden(ROW())=FALSE,MyRowHidden(ROW()-1)=TRUE),0,(G695-G694)*unitsOfExo+J694)</f>
        <v>-178320.30000000008</v>
      </c>
      <c r="K695" s="9">
        <f t="shared" si="32"/>
        <v>178320.30000000008</v>
      </c>
      <c r="L695">
        <f t="shared" si="33"/>
        <v>1174679.7</v>
      </c>
    </row>
    <row r="696" spans="1:12" x14ac:dyDescent="0.25">
      <c r="A696" s="1"/>
      <c r="C696" s="1"/>
      <c r="D696" s="1">
        <v>42233</v>
      </c>
      <c r="E696" s="10">
        <v>300978</v>
      </c>
      <c r="F696" s="1">
        <v>42233</v>
      </c>
      <c r="G696">
        <v>-22121.03</v>
      </c>
      <c r="H696" s="1">
        <f t="shared" si="31"/>
        <v>42233</v>
      </c>
      <c r="I696">
        <f>IF(AND(MyRowHidden(ROW())=FALSE,MyRowHidden(ROW()-1)=TRUE),0,(E696-E695)*unitsOfDHp+I695)</f>
        <v>1353000</v>
      </c>
      <c r="J696">
        <f>IF(AND(MyRowHidden(ROW())=FALSE,MyRowHidden(ROW()-1)=TRUE),0,(G696-G695)*unitsOfExo+J695)</f>
        <v>-178320.30000000008</v>
      </c>
      <c r="K696" s="9">
        <f t="shared" si="32"/>
        <v>178320.30000000008</v>
      </c>
      <c r="L696">
        <f t="shared" si="33"/>
        <v>1174679.7</v>
      </c>
    </row>
    <row r="697" spans="1:12" x14ac:dyDescent="0.25">
      <c r="A697" s="1"/>
      <c r="C697" s="1"/>
      <c r="D697" s="1">
        <v>42234</v>
      </c>
      <c r="E697" s="10">
        <v>300942</v>
      </c>
      <c r="F697" s="1">
        <v>42234</v>
      </c>
      <c r="G697">
        <v>-22121.03</v>
      </c>
      <c r="H697" s="1">
        <f t="shared" si="31"/>
        <v>42234</v>
      </c>
      <c r="I697">
        <f>IF(AND(MyRowHidden(ROW())=FALSE,MyRowHidden(ROW()-1)=TRUE),0,(E697-E696)*unitsOfDHp+I696)</f>
        <v>1352640</v>
      </c>
      <c r="J697">
        <f>IF(AND(MyRowHidden(ROW())=FALSE,MyRowHidden(ROW()-1)=TRUE),0,(G697-G696)*unitsOfExo+J696)</f>
        <v>-178320.30000000008</v>
      </c>
      <c r="K697" s="9">
        <f t="shared" si="32"/>
        <v>178320.30000000008</v>
      </c>
      <c r="L697">
        <f t="shared" si="33"/>
        <v>1174319.7</v>
      </c>
    </row>
    <row r="698" spans="1:12" x14ac:dyDescent="0.25">
      <c r="A698" s="1"/>
      <c r="C698" s="1"/>
      <c r="D698" s="1">
        <v>42235</v>
      </c>
      <c r="E698" s="10">
        <v>300942</v>
      </c>
      <c r="F698" s="1">
        <v>42235</v>
      </c>
      <c r="G698">
        <v>-22171.32</v>
      </c>
      <c r="H698" s="1">
        <f t="shared" si="31"/>
        <v>42235</v>
      </c>
      <c r="I698">
        <f>IF(AND(MyRowHidden(ROW())=FALSE,MyRowHidden(ROW()-1)=TRUE),0,(E698-E697)*unitsOfDHp+I697)</f>
        <v>1352640</v>
      </c>
      <c r="J698">
        <f>IF(AND(MyRowHidden(ROW())=FALSE,MyRowHidden(ROW()-1)=TRUE),0,(G698-G697)*unitsOfExo+J697)</f>
        <v>-178823.20000000007</v>
      </c>
      <c r="K698" s="9">
        <f t="shared" si="32"/>
        <v>178823.20000000007</v>
      </c>
      <c r="L698">
        <f t="shared" si="33"/>
        <v>1173816.7999999998</v>
      </c>
    </row>
    <row r="699" spans="1:12" x14ac:dyDescent="0.25">
      <c r="A699" s="1"/>
      <c r="C699" s="1"/>
      <c r="D699" s="1">
        <v>42236</v>
      </c>
      <c r="E699" s="10">
        <v>300942</v>
      </c>
      <c r="F699" s="1">
        <v>42236</v>
      </c>
      <c r="G699">
        <v>-22193.88</v>
      </c>
      <c r="H699" s="1">
        <f t="shared" si="31"/>
        <v>42236</v>
      </c>
      <c r="I699">
        <f>IF(AND(MyRowHidden(ROW())=FALSE,MyRowHidden(ROW()-1)=TRUE),0,(E699-E698)*unitsOfDHp+I698)</f>
        <v>1352640</v>
      </c>
      <c r="J699">
        <f>IF(AND(MyRowHidden(ROW())=FALSE,MyRowHidden(ROW()-1)=TRUE),0,(G699-G698)*unitsOfExo+J698)</f>
        <v>-179048.80000000008</v>
      </c>
      <c r="K699" s="9">
        <f t="shared" si="32"/>
        <v>179048.80000000008</v>
      </c>
      <c r="L699">
        <f t="shared" si="33"/>
        <v>1173591.2</v>
      </c>
    </row>
    <row r="700" spans="1:12" x14ac:dyDescent="0.25">
      <c r="A700" s="1"/>
      <c r="C700" s="1"/>
      <c r="D700" s="1">
        <v>42237</v>
      </c>
      <c r="E700" s="10">
        <v>300942</v>
      </c>
      <c r="F700" s="1">
        <v>42237</v>
      </c>
      <c r="G700">
        <v>-22291.64</v>
      </c>
      <c r="H700" s="1">
        <f t="shared" si="31"/>
        <v>42237</v>
      </c>
      <c r="I700">
        <f>IF(AND(MyRowHidden(ROW())=FALSE,MyRowHidden(ROW()-1)=TRUE),0,(E700-E699)*unitsOfDHp+I699)</f>
        <v>1352640</v>
      </c>
      <c r="J700">
        <f>IF(AND(MyRowHidden(ROW())=FALSE,MyRowHidden(ROW()-1)=TRUE),0,(G700-G699)*unitsOfExo+J699)</f>
        <v>-180026.40000000005</v>
      </c>
      <c r="K700" s="9">
        <f t="shared" si="32"/>
        <v>180026.40000000005</v>
      </c>
      <c r="L700">
        <f t="shared" si="33"/>
        <v>1172613.5999999999</v>
      </c>
    </row>
    <row r="701" spans="1:12" x14ac:dyDescent="0.25">
      <c r="A701" s="1"/>
      <c r="C701" s="1"/>
      <c r="D701" s="1">
        <v>42240</v>
      </c>
      <c r="E701" s="10">
        <v>300942</v>
      </c>
      <c r="F701" s="1">
        <v>42240</v>
      </c>
      <c r="G701">
        <v>-22492.799999999999</v>
      </c>
      <c r="H701" s="1">
        <f t="shared" si="31"/>
        <v>42240</v>
      </c>
      <c r="I701">
        <f>IF(AND(MyRowHidden(ROW())=FALSE,MyRowHidden(ROW()-1)=TRUE),0,(E701-E700)*unitsOfDHp+I700)</f>
        <v>1352640</v>
      </c>
      <c r="J701">
        <f>IF(AND(MyRowHidden(ROW())=FALSE,MyRowHidden(ROW()-1)=TRUE),0,(G701-G700)*unitsOfExo+J700)</f>
        <v>-182038.00000000006</v>
      </c>
      <c r="K701" s="9">
        <f t="shared" si="32"/>
        <v>182038.00000000006</v>
      </c>
      <c r="L701">
        <f t="shared" si="33"/>
        <v>1170602</v>
      </c>
    </row>
    <row r="702" spans="1:12" x14ac:dyDescent="0.25">
      <c r="A702" s="1"/>
      <c r="C702" s="1"/>
      <c r="D702" s="1">
        <v>42241</v>
      </c>
      <c r="E702" s="10">
        <v>300942</v>
      </c>
      <c r="F702" s="1">
        <v>42241</v>
      </c>
      <c r="G702">
        <v>-22492.799999999999</v>
      </c>
      <c r="H702" s="1">
        <f t="shared" si="31"/>
        <v>42241</v>
      </c>
      <c r="I702">
        <f>IF(AND(MyRowHidden(ROW())=FALSE,MyRowHidden(ROW()-1)=TRUE),0,(E702-E701)*unitsOfDHp+I701)</f>
        <v>1352640</v>
      </c>
      <c r="J702">
        <f>IF(AND(MyRowHidden(ROW())=FALSE,MyRowHidden(ROW()-1)=TRUE),0,(G702-G701)*unitsOfExo+J701)</f>
        <v>-182038.00000000006</v>
      </c>
      <c r="K702" s="9">
        <f t="shared" si="32"/>
        <v>182038.00000000006</v>
      </c>
      <c r="L702">
        <f t="shared" si="33"/>
        <v>1170602</v>
      </c>
    </row>
    <row r="703" spans="1:12" x14ac:dyDescent="0.25">
      <c r="A703" s="1"/>
      <c r="C703" s="1"/>
      <c r="D703" s="1">
        <v>42242</v>
      </c>
      <c r="E703" s="10">
        <v>300942</v>
      </c>
      <c r="F703" s="1">
        <v>42242</v>
      </c>
      <c r="G703">
        <v>-22492.799999999999</v>
      </c>
      <c r="H703" s="1">
        <f t="shared" si="31"/>
        <v>42242</v>
      </c>
      <c r="I703">
        <f>IF(AND(MyRowHidden(ROW())=FALSE,MyRowHidden(ROW()-1)=TRUE),0,(E703-E702)*unitsOfDHp+I702)</f>
        <v>1352640</v>
      </c>
      <c r="J703">
        <f>IF(AND(MyRowHidden(ROW())=FALSE,MyRowHidden(ROW()-1)=TRUE),0,(G703-G702)*unitsOfExo+J702)</f>
        <v>-182038.00000000006</v>
      </c>
      <c r="K703" s="9">
        <f t="shared" si="32"/>
        <v>182038.00000000006</v>
      </c>
      <c r="L703">
        <f t="shared" si="33"/>
        <v>1170602</v>
      </c>
    </row>
    <row r="704" spans="1:12" x14ac:dyDescent="0.25">
      <c r="A704" s="1"/>
      <c r="C704" s="1"/>
      <c r="D704" s="1">
        <v>42243</v>
      </c>
      <c r="E704" s="10">
        <v>300942</v>
      </c>
      <c r="F704" s="1">
        <v>42243</v>
      </c>
      <c r="G704">
        <v>-22492.799999999999</v>
      </c>
      <c r="H704" s="1">
        <f t="shared" si="31"/>
        <v>42243</v>
      </c>
      <c r="I704">
        <f>IF(AND(MyRowHidden(ROW())=FALSE,MyRowHidden(ROW()-1)=TRUE),0,(E704-E703)*unitsOfDHp+I703)</f>
        <v>1352640</v>
      </c>
      <c r="J704">
        <f>IF(AND(MyRowHidden(ROW())=FALSE,MyRowHidden(ROW()-1)=TRUE),0,(G704-G703)*unitsOfExo+J703)</f>
        <v>-182038.00000000006</v>
      </c>
      <c r="K704" s="9">
        <f t="shared" si="32"/>
        <v>182038.00000000006</v>
      </c>
      <c r="L704">
        <f t="shared" si="33"/>
        <v>1170602</v>
      </c>
    </row>
    <row r="705" spans="1:12" x14ac:dyDescent="0.25">
      <c r="A705" s="1"/>
      <c r="C705" s="1"/>
      <c r="D705" s="1">
        <v>42244</v>
      </c>
      <c r="E705" s="10">
        <v>300690</v>
      </c>
      <c r="F705" s="1">
        <v>42244</v>
      </c>
      <c r="G705">
        <v>-22492.799999999999</v>
      </c>
      <c r="H705" s="1">
        <f t="shared" si="31"/>
        <v>42244</v>
      </c>
      <c r="I705">
        <f>IF(AND(MyRowHidden(ROW())=FALSE,MyRowHidden(ROW()-1)=TRUE),0,(E705-E704)*unitsOfDHp+I704)</f>
        <v>1350120</v>
      </c>
      <c r="J705">
        <f>IF(AND(MyRowHidden(ROW())=FALSE,MyRowHidden(ROW()-1)=TRUE),0,(G705-G704)*unitsOfExo+J704)</f>
        <v>-182038.00000000006</v>
      </c>
      <c r="K705" s="9">
        <f t="shared" si="32"/>
        <v>182038.00000000006</v>
      </c>
      <c r="L705">
        <f t="shared" si="33"/>
        <v>1168082</v>
      </c>
    </row>
    <row r="706" spans="1:12" x14ac:dyDescent="0.25">
      <c r="A706" s="1"/>
      <c r="C706" s="1"/>
      <c r="D706" s="1">
        <v>42247</v>
      </c>
      <c r="E706" s="10">
        <v>300654</v>
      </c>
      <c r="F706" s="1">
        <v>42247</v>
      </c>
      <c r="G706">
        <v>-22492.799999999999</v>
      </c>
      <c r="H706" s="1">
        <f t="shared" si="31"/>
        <v>42247</v>
      </c>
      <c r="I706">
        <f>IF(AND(MyRowHidden(ROW())=FALSE,MyRowHidden(ROW()-1)=TRUE),0,(E706-E705)*unitsOfDHp+I705)</f>
        <v>1349760</v>
      </c>
      <c r="J706">
        <f>IF(AND(MyRowHidden(ROW())=FALSE,MyRowHidden(ROW()-1)=TRUE),0,(G706-G705)*unitsOfExo+J705)</f>
        <v>-182038.00000000006</v>
      </c>
      <c r="K706" s="9">
        <f t="shared" si="32"/>
        <v>182038.00000000006</v>
      </c>
      <c r="L706">
        <f t="shared" si="33"/>
        <v>1167722</v>
      </c>
    </row>
    <row r="707" spans="1:12" x14ac:dyDescent="0.25">
      <c r="A707" s="1"/>
      <c r="C707" s="1"/>
      <c r="D707" s="1">
        <v>42248</v>
      </c>
      <c r="E707" s="10">
        <v>297090</v>
      </c>
      <c r="F707" s="1">
        <v>42248</v>
      </c>
      <c r="G707">
        <v>-23590.5</v>
      </c>
      <c r="H707" s="1">
        <f t="shared" si="31"/>
        <v>42248</v>
      </c>
      <c r="I707">
        <f>IF(AND(MyRowHidden(ROW())=FALSE,MyRowHidden(ROW()-1)=TRUE),0,(E707-E706)*unitsOfDHp+I706)</f>
        <v>1314120</v>
      </c>
      <c r="J707">
        <f>IF(AND(MyRowHidden(ROW())=FALSE,MyRowHidden(ROW()-1)=TRUE),0,(G707-G706)*unitsOfExo+J706)</f>
        <v>-193015.00000000006</v>
      </c>
      <c r="K707" s="9">
        <f t="shared" si="32"/>
        <v>193015.00000000006</v>
      </c>
      <c r="L707">
        <f t="shared" si="33"/>
        <v>1121105</v>
      </c>
    </row>
    <row r="708" spans="1:12" x14ac:dyDescent="0.25">
      <c r="A708" s="1"/>
      <c r="C708" s="1"/>
      <c r="D708" s="1">
        <v>42249</v>
      </c>
      <c r="E708" s="10">
        <v>295290</v>
      </c>
      <c r="F708" s="1">
        <v>42249</v>
      </c>
      <c r="G708">
        <v>-23590.5</v>
      </c>
      <c r="H708" s="1">
        <f t="shared" si="31"/>
        <v>42249</v>
      </c>
      <c r="I708">
        <f>IF(AND(MyRowHidden(ROW())=FALSE,MyRowHidden(ROW()-1)=TRUE),0,(E708-E707)*unitsOfDHp+I707)</f>
        <v>1296120</v>
      </c>
      <c r="J708">
        <f>IF(AND(MyRowHidden(ROW())=FALSE,MyRowHidden(ROW()-1)=TRUE),0,(G708-G707)*unitsOfExo+J707)</f>
        <v>-193015.00000000006</v>
      </c>
      <c r="K708" s="9">
        <f t="shared" si="32"/>
        <v>193015.00000000006</v>
      </c>
      <c r="L708">
        <f t="shared" si="33"/>
        <v>1103105</v>
      </c>
    </row>
    <row r="709" spans="1:12" x14ac:dyDescent="0.25">
      <c r="A709" s="1"/>
      <c r="C709" s="1"/>
      <c r="D709" s="1">
        <v>42250</v>
      </c>
      <c r="E709" s="10">
        <v>295980</v>
      </c>
      <c r="F709" s="1">
        <v>42250</v>
      </c>
      <c r="G709">
        <v>-23590.5</v>
      </c>
      <c r="H709" s="1">
        <f t="shared" si="31"/>
        <v>42250</v>
      </c>
      <c r="I709">
        <f>IF(AND(MyRowHidden(ROW())=FALSE,MyRowHidden(ROW()-1)=TRUE),0,(E709-E708)*unitsOfDHp+I708)</f>
        <v>1303020</v>
      </c>
      <c r="J709">
        <f>IF(AND(MyRowHidden(ROW())=FALSE,MyRowHidden(ROW()-1)=TRUE),0,(G709-G708)*unitsOfExo+J708)</f>
        <v>-193015.00000000006</v>
      </c>
      <c r="K709" s="9">
        <f t="shared" si="32"/>
        <v>193015.00000000006</v>
      </c>
      <c r="L709">
        <f t="shared" si="33"/>
        <v>1110005</v>
      </c>
    </row>
    <row r="710" spans="1:12" x14ac:dyDescent="0.25">
      <c r="A710" s="1"/>
      <c r="C710" s="1"/>
      <c r="D710" s="1">
        <v>42251</v>
      </c>
      <c r="E710" s="10">
        <v>295956</v>
      </c>
      <c r="F710" s="1">
        <v>42251</v>
      </c>
      <c r="G710">
        <v>-23640.79</v>
      </c>
      <c r="H710" s="1">
        <f t="shared" si="31"/>
        <v>42251</v>
      </c>
      <c r="I710">
        <f>IF(AND(MyRowHidden(ROW())=FALSE,MyRowHidden(ROW()-1)=TRUE),0,(E710-E709)*unitsOfDHp+I709)</f>
        <v>1302780</v>
      </c>
      <c r="J710">
        <f>IF(AND(MyRowHidden(ROW())=FALSE,MyRowHidden(ROW()-1)=TRUE),0,(G710-G709)*unitsOfExo+J709)</f>
        <v>-193517.90000000008</v>
      </c>
      <c r="K710" s="9">
        <f t="shared" si="32"/>
        <v>193517.90000000008</v>
      </c>
      <c r="L710">
        <f t="shared" si="33"/>
        <v>1109262.0999999999</v>
      </c>
    </row>
    <row r="711" spans="1:12" x14ac:dyDescent="0.25">
      <c r="A711" s="1"/>
      <c r="C711" s="1"/>
      <c r="D711" s="1">
        <v>42254</v>
      </c>
      <c r="E711" s="10">
        <v>295956</v>
      </c>
      <c r="F711" s="1">
        <v>42254</v>
      </c>
      <c r="G711">
        <v>-23640.79</v>
      </c>
      <c r="H711" s="1">
        <f t="shared" si="31"/>
        <v>42254</v>
      </c>
      <c r="I711">
        <f>IF(AND(MyRowHidden(ROW())=FALSE,MyRowHidden(ROW()-1)=TRUE),0,(E711-E710)*unitsOfDHp+I710)</f>
        <v>1302780</v>
      </c>
      <c r="J711">
        <f>IF(AND(MyRowHidden(ROW())=FALSE,MyRowHidden(ROW()-1)=TRUE),0,(G711-G710)*unitsOfExo+J710)</f>
        <v>-193517.90000000008</v>
      </c>
      <c r="K711" s="9">
        <f t="shared" si="32"/>
        <v>193517.90000000008</v>
      </c>
      <c r="L711">
        <f t="shared" si="33"/>
        <v>1109262.0999999999</v>
      </c>
    </row>
    <row r="712" spans="1:12" x14ac:dyDescent="0.25">
      <c r="A712" s="1"/>
      <c r="C712" s="1"/>
      <c r="D712" s="1">
        <v>42255</v>
      </c>
      <c r="E712" s="10">
        <v>295920</v>
      </c>
      <c r="F712" s="1">
        <v>42255</v>
      </c>
      <c r="G712">
        <v>-23736.2</v>
      </c>
      <c r="H712" s="1">
        <f t="shared" si="31"/>
        <v>42255</v>
      </c>
      <c r="I712">
        <f>IF(AND(MyRowHidden(ROW())=FALSE,MyRowHidden(ROW()-1)=TRUE),0,(E712-E711)*unitsOfDHp+I711)</f>
        <v>1302420</v>
      </c>
      <c r="J712">
        <f>IF(AND(MyRowHidden(ROW())=FALSE,MyRowHidden(ROW()-1)=TRUE),0,(G712-G711)*unitsOfExo+J711)</f>
        <v>-194472.00000000009</v>
      </c>
      <c r="K712" s="9">
        <f t="shared" si="32"/>
        <v>194472.00000000009</v>
      </c>
      <c r="L712">
        <f t="shared" si="33"/>
        <v>1107948</v>
      </c>
    </row>
    <row r="713" spans="1:12" x14ac:dyDescent="0.25">
      <c r="A713" s="1"/>
      <c r="C713" s="1"/>
      <c r="D713" s="1">
        <v>42256</v>
      </c>
      <c r="E713" s="10">
        <v>295920</v>
      </c>
      <c r="F713" s="1">
        <v>42256</v>
      </c>
      <c r="G713">
        <v>-23736.2</v>
      </c>
      <c r="H713" s="1">
        <f t="shared" si="31"/>
        <v>42256</v>
      </c>
      <c r="I713">
        <f>IF(AND(MyRowHidden(ROW())=FALSE,MyRowHidden(ROW()-1)=TRUE),0,(E713-E712)*unitsOfDHp+I712)</f>
        <v>1302420</v>
      </c>
      <c r="J713">
        <f>IF(AND(MyRowHidden(ROW())=FALSE,MyRowHidden(ROW()-1)=TRUE),0,(G713-G712)*unitsOfExo+J712)</f>
        <v>-194472.00000000009</v>
      </c>
      <c r="K713" s="9">
        <f t="shared" si="32"/>
        <v>194472.00000000009</v>
      </c>
      <c r="L713">
        <f t="shared" si="33"/>
        <v>1107948</v>
      </c>
    </row>
    <row r="714" spans="1:12" x14ac:dyDescent="0.25">
      <c r="A714" s="1"/>
      <c r="C714" s="1"/>
      <c r="D714" s="1">
        <v>42257</v>
      </c>
      <c r="E714" s="10">
        <v>295920</v>
      </c>
      <c r="F714" s="1">
        <v>42257</v>
      </c>
      <c r="G714">
        <v>-23736.2</v>
      </c>
      <c r="H714" s="1">
        <f t="shared" si="31"/>
        <v>42257</v>
      </c>
      <c r="I714">
        <f>IF(AND(MyRowHidden(ROW())=FALSE,MyRowHidden(ROW()-1)=TRUE),0,(E714-E713)*unitsOfDHp+I713)</f>
        <v>1302420</v>
      </c>
      <c r="J714">
        <f>IF(AND(MyRowHidden(ROW())=FALSE,MyRowHidden(ROW()-1)=TRUE),0,(G714-G713)*unitsOfExo+J713)</f>
        <v>-194472.00000000009</v>
      </c>
      <c r="K714" s="9">
        <f t="shared" si="32"/>
        <v>194472.00000000009</v>
      </c>
      <c r="L714">
        <f t="shared" si="33"/>
        <v>1107948</v>
      </c>
    </row>
    <row r="715" spans="1:12" x14ac:dyDescent="0.25">
      <c r="A715" s="1"/>
      <c r="C715" s="1"/>
      <c r="D715" s="1">
        <v>42258</v>
      </c>
      <c r="E715" s="10">
        <v>295920</v>
      </c>
      <c r="F715" s="1">
        <v>42258</v>
      </c>
      <c r="G715">
        <v>-23501.200000000001</v>
      </c>
      <c r="H715" s="1">
        <f t="shared" si="31"/>
        <v>42258</v>
      </c>
      <c r="I715">
        <f>IF(AND(MyRowHidden(ROW())=FALSE,MyRowHidden(ROW()-1)=TRUE),0,(E715-E714)*unitsOfDHp+I714)</f>
        <v>1302420</v>
      </c>
      <c r="J715">
        <f>IF(AND(MyRowHidden(ROW())=FALSE,MyRowHidden(ROW()-1)=TRUE),0,(G715-G714)*unitsOfExo+J714)</f>
        <v>-192122.00000000009</v>
      </c>
      <c r="K715" s="9">
        <f t="shared" si="32"/>
        <v>192122.00000000009</v>
      </c>
      <c r="L715">
        <f t="shared" si="33"/>
        <v>1110298</v>
      </c>
    </row>
    <row r="716" spans="1:12" x14ac:dyDescent="0.25">
      <c r="A716" s="1"/>
      <c r="C716" s="1"/>
      <c r="D716" s="1">
        <v>42261</v>
      </c>
      <c r="E716" s="10">
        <v>295896</v>
      </c>
      <c r="F716" s="1">
        <v>42261</v>
      </c>
      <c r="G716">
        <v>-23355.5</v>
      </c>
      <c r="H716" s="1">
        <f t="shared" si="31"/>
        <v>42261</v>
      </c>
      <c r="I716">
        <f>IF(AND(MyRowHidden(ROW())=FALSE,MyRowHidden(ROW()-1)=TRUE),0,(E716-E715)*unitsOfDHp+I715)</f>
        <v>1302180</v>
      </c>
      <c r="J716">
        <f>IF(AND(MyRowHidden(ROW())=FALSE,MyRowHidden(ROW()-1)=TRUE),0,(G716-G715)*unitsOfExo+J715)</f>
        <v>-190665.00000000009</v>
      </c>
      <c r="K716" s="9">
        <f t="shared" si="32"/>
        <v>190665.00000000009</v>
      </c>
      <c r="L716">
        <f t="shared" si="33"/>
        <v>1111515</v>
      </c>
    </row>
    <row r="717" spans="1:12" x14ac:dyDescent="0.25">
      <c r="A717" s="1"/>
      <c r="C717" s="1"/>
      <c r="D717" s="1">
        <v>42262</v>
      </c>
      <c r="E717" s="10">
        <v>295896</v>
      </c>
      <c r="F717" s="1">
        <v>42262</v>
      </c>
      <c r="G717">
        <v>-23322.13</v>
      </c>
      <c r="H717" s="1">
        <f t="shared" ref="H717:H780" si="34">D717</f>
        <v>42262</v>
      </c>
      <c r="I717">
        <f>IF(AND(MyRowHidden(ROW())=FALSE,MyRowHidden(ROW()-1)=TRUE),0,(E717-E716)*unitsOfDHp+I716)</f>
        <v>1302180</v>
      </c>
      <c r="J717">
        <f>IF(AND(MyRowHidden(ROW())=FALSE,MyRowHidden(ROW()-1)=TRUE),0,(G717-G716)*unitsOfExo+J716)</f>
        <v>-190331.3000000001</v>
      </c>
      <c r="K717" s="9">
        <f t="shared" ref="K717:K780" si="35">-(J717-J716)+K716</f>
        <v>190331.3000000001</v>
      </c>
      <c r="L717">
        <f t="shared" ref="L717:L780" si="36">I717+J717</f>
        <v>1111848.7</v>
      </c>
    </row>
    <row r="718" spans="1:12" x14ac:dyDescent="0.25">
      <c r="A718" s="1"/>
      <c r="C718" s="1"/>
      <c r="D718" s="1">
        <v>42263</v>
      </c>
      <c r="E718" s="10">
        <v>295896</v>
      </c>
      <c r="F718" s="1">
        <v>42263</v>
      </c>
      <c r="G718">
        <v>-23414.25</v>
      </c>
      <c r="H718" s="1">
        <f t="shared" si="34"/>
        <v>42263</v>
      </c>
      <c r="I718">
        <f>IF(AND(MyRowHidden(ROW())=FALSE,MyRowHidden(ROW()-1)=TRUE),0,(E718-E717)*unitsOfDHp+I717)</f>
        <v>1302180</v>
      </c>
      <c r="J718">
        <f>IF(AND(MyRowHidden(ROW())=FALSE,MyRowHidden(ROW()-1)=TRUE),0,(G718-G717)*unitsOfExo+J717)</f>
        <v>-191252.50000000009</v>
      </c>
      <c r="K718" s="9">
        <f t="shared" si="35"/>
        <v>191252.50000000009</v>
      </c>
      <c r="L718">
        <f t="shared" si="36"/>
        <v>1110927.5</v>
      </c>
    </row>
    <row r="719" spans="1:12" x14ac:dyDescent="0.25">
      <c r="A719" s="1"/>
      <c r="C719" s="1"/>
      <c r="D719" s="1">
        <v>42264</v>
      </c>
      <c r="E719" s="10">
        <v>295896</v>
      </c>
      <c r="F719" s="1">
        <v>42264</v>
      </c>
      <c r="G719">
        <v>-23470.18</v>
      </c>
      <c r="H719" s="1">
        <f t="shared" si="34"/>
        <v>42264</v>
      </c>
      <c r="I719">
        <f>IF(AND(MyRowHidden(ROW())=FALSE,MyRowHidden(ROW()-1)=TRUE),0,(E719-E718)*unitsOfDHp+I718)</f>
        <v>1302180</v>
      </c>
      <c r="J719">
        <f>IF(AND(MyRowHidden(ROW())=FALSE,MyRowHidden(ROW()-1)=TRUE),0,(G719-G718)*unitsOfExo+J718)</f>
        <v>-191811.8000000001</v>
      </c>
      <c r="K719" s="9">
        <f t="shared" si="35"/>
        <v>191811.8000000001</v>
      </c>
      <c r="L719">
        <f t="shared" si="36"/>
        <v>1110368.2</v>
      </c>
    </row>
    <row r="720" spans="1:12" x14ac:dyDescent="0.25">
      <c r="A720" s="1"/>
      <c r="C720" s="1"/>
      <c r="D720" s="1">
        <v>42265</v>
      </c>
      <c r="E720" s="10">
        <v>295006</v>
      </c>
      <c r="F720" s="1">
        <v>42265</v>
      </c>
      <c r="G720">
        <v>-23470.18</v>
      </c>
      <c r="H720" s="1">
        <f t="shared" si="34"/>
        <v>42265</v>
      </c>
      <c r="I720">
        <f>IF(AND(MyRowHidden(ROW())=FALSE,MyRowHidden(ROW()-1)=TRUE),0,(E720-E719)*unitsOfDHp+I719)</f>
        <v>1293280</v>
      </c>
      <c r="J720">
        <f>IF(AND(MyRowHidden(ROW())=FALSE,MyRowHidden(ROW()-1)=TRUE),0,(G720-G719)*unitsOfExo+J719)</f>
        <v>-191811.8000000001</v>
      </c>
      <c r="K720" s="9">
        <f t="shared" si="35"/>
        <v>191811.8000000001</v>
      </c>
      <c r="L720">
        <f t="shared" si="36"/>
        <v>1101468.2</v>
      </c>
    </row>
    <row r="721" spans="1:12" x14ac:dyDescent="0.25">
      <c r="A721" s="1"/>
      <c r="C721" s="1"/>
      <c r="D721" s="1">
        <v>42268</v>
      </c>
      <c r="E721" s="10">
        <v>294786</v>
      </c>
      <c r="F721" s="1">
        <v>42268</v>
      </c>
      <c r="G721">
        <v>-23492.74</v>
      </c>
      <c r="H721" s="1">
        <f t="shared" si="34"/>
        <v>42268</v>
      </c>
      <c r="I721">
        <f>IF(AND(MyRowHidden(ROW())=FALSE,MyRowHidden(ROW()-1)=TRUE),0,(E721-E720)*unitsOfDHp+I720)</f>
        <v>1291080</v>
      </c>
      <c r="J721">
        <f>IF(AND(MyRowHidden(ROW())=FALSE,MyRowHidden(ROW()-1)=TRUE),0,(G721-G720)*unitsOfExo+J720)</f>
        <v>-192037.40000000011</v>
      </c>
      <c r="K721" s="9">
        <f t="shared" si="35"/>
        <v>192037.40000000011</v>
      </c>
      <c r="L721">
        <f t="shared" si="36"/>
        <v>1099042.5999999999</v>
      </c>
    </row>
    <row r="722" spans="1:12" x14ac:dyDescent="0.25">
      <c r="A722" s="1"/>
      <c r="C722" s="1"/>
      <c r="D722" s="1">
        <v>42269</v>
      </c>
      <c r="E722" s="10">
        <v>294886</v>
      </c>
      <c r="F722" s="1">
        <v>42269</v>
      </c>
      <c r="G722">
        <v>-23492.74</v>
      </c>
      <c r="H722" s="1">
        <f t="shared" si="34"/>
        <v>42269</v>
      </c>
      <c r="I722">
        <f>IF(AND(MyRowHidden(ROW())=FALSE,MyRowHidden(ROW()-1)=TRUE),0,(E722-E721)*unitsOfDHp+I721)</f>
        <v>1292080</v>
      </c>
      <c r="J722">
        <f>IF(AND(MyRowHidden(ROW())=FALSE,MyRowHidden(ROW()-1)=TRUE),0,(G722-G721)*unitsOfExo+J721)</f>
        <v>-192037.40000000011</v>
      </c>
      <c r="K722" s="9">
        <f t="shared" si="35"/>
        <v>192037.40000000011</v>
      </c>
      <c r="L722">
        <f t="shared" si="36"/>
        <v>1100042.5999999999</v>
      </c>
    </row>
    <row r="723" spans="1:12" x14ac:dyDescent="0.25">
      <c r="A723" s="1"/>
      <c r="C723" s="1"/>
      <c r="D723" s="1">
        <v>42270</v>
      </c>
      <c r="E723" s="10">
        <v>294846</v>
      </c>
      <c r="F723" s="1">
        <v>42270</v>
      </c>
      <c r="G723">
        <v>-23526.11</v>
      </c>
      <c r="H723" s="1">
        <f t="shared" si="34"/>
        <v>42270</v>
      </c>
      <c r="I723">
        <f>IF(AND(MyRowHidden(ROW())=FALSE,MyRowHidden(ROW()-1)=TRUE),0,(E723-E722)*unitsOfDHp+I722)</f>
        <v>1291680</v>
      </c>
      <c r="J723">
        <f>IF(AND(MyRowHidden(ROW())=FALSE,MyRowHidden(ROW()-1)=TRUE),0,(G723-G722)*unitsOfExo+J722)</f>
        <v>-192371.10000000009</v>
      </c>
      <c r="K723" s="9">
        <f t="shared" si="35"/>
        <v>192371.10000000009</v>
      </c>
      <c r="L723">
        <f t="shared" si="36"/>
        <v>1099308.8999999999</v>
      </c>
    </row>
    <row r="724" spans="1:12" x14ac:dyDescent="0.25">
      <c r="A724" s="1"/>
      <c r="C724" s="1"/>
      <c r="D724" s="1">
        <v>42271</v>
      </c>
      <c r="E724" s="10">
        <v>295066</v>
      </c>
      <c r="F724" s="1">
        <v>42271</v>
      </c>
      <c r="G724">
        <v>-23484.28</v>
      </c>
      <c r="H724" s="1">
        <f t="shared" si="34"/>
        <v>42271</v>
      </c>
      <c r="I724">
        <f>IF(AND(MyRowHidden(ROW())=FALSE,MyRowHidden(ROW()-1)=TRUE),0,(E724-E723)*unitsOfDHp+I723)</f>
        <v>1293880</v>
      </c>
      <c r="J724">
        <f>IF(AND(MyRowHidden(ROW())=FALSE,MyRowHidden(ROW()-1)=TRUE),0,(G724-G723)*unitsOfExo+J723)</f>
        <v>-191952.80000000008</v>
      </c>
      <c r="K724" s="9">
        <f t="shared" si="35"/>
        <v>191952.80000000008</v>
      </c>
      <c r="L724">
        <f t="shared" si="36"/>
        <v>1101927.2</v>
      </c>
    </row>
    <row r="725" spans="1:12" x14ac:dyDescent="0.25">
      <c r="A725" s="1"/>
      <c r="C725" s="1"/>
      <c r="D725" s="1">
        <v>42272</v>
      </c>
      <c r="E725" s="10">
        <v>294996</v>
      </c>
      <c r="F725" s="1">
        <v>42272</v>
      </c>
      <c r="G725">
        <v>-23450.44</v>
      </c>
      <c r="H725" s="1">
        <f t="shared" si="34"/>
        <v>42272</v>
      </c>
      <c r="I725">
        <f>IF(AND(MyRowHidden(ROW())=FALSE,MyRowHidden(ROW()-1)=TRUE),0,(E725-E724)*unitsOfDHp+I724)</f>
        <v>1293180</v>
      </c>
      <c r="J725">
        <f>IF(AND(MyRowHidden(ROW())=FALSE,MyRowHidden(ROW()-1)=TRUE),0,(G725-G724)*unitsOfExo+J724)</f>
        <v>-191614.40000000008</v>
      </c>
      <c r="K725" s="9">
        <f t="shared" si="35"/>
        <v>191614.40000000008</v>
      </c>
      <c r="L725">
        <f t="shared" si="36"/>
        <v>1101565.5999999999</v>
      </c>
    </row>
    <row r="726" spans="1:12" x14ac:dyDescent="0.25">
      <c r="A726" s="1"/>
      <c r="C726" s="1"/>
      <c r="D726" s="1">
        <v>42275</v>
      </c>
      <c r="E726" s="10">
        <v>295724</v>
      </c>
      <c r="F726" s="1">
        <v>42275</v>
      </c>
      <c r="G726">
        <v>-23450.44</v>
      </c>
      <c r="H726" s="1">
        <f t="shared" si="34"/>
        <v>42275</v>
      </c>
      <c r="I726">
        <f>IF(AND(MyRowHidden(ROW())=FALSE,MyRowHidden(ROW()-1)=TRUE),0,(E726-E725)*unitsOfDHp+I725)</f>
        <v>1300460</v>
      </c>
      <c r="J726">
        <f>IF(AND(MyRowHidden(ROW())=FALSE,MyRowHidden(ROW()-1)=TRUE),0,(G726-G725)*unitsOfExo+J725)</f>
        <v>-191614.40000000008</v>
      </c>
      <c r="K726" s="9">
        <f t="shared" si="35"/>
        <v>191614.40000000008</v>
      </c>
      <c r="L726">
        <f t="shared" si="36"/>
        <v>1108845.5999999999</v>
      </c>
    </row>
    <row r="727" spans="1:12" x14ac:dyDescent="0.25">
      <c r="A727" s="1"/>
      <c r="C727" s="1"/>
      <c r="D727" s="1">
        <v>42276</v>
      </c>
      <c r="E727" s="10">
        <v>294558</v>
      </c>
      <c r="F727" s="1">
        <v>42276</v>
      </c>
      <c r="G727">
        <v>-23450.44</v>
      </c>
      <c r="H727" s="1">
        <f t="shared" si="34"/>
        <v>42276</v>
      </c>
      <c r="I727">
        <f>IF(AND(MyRowHidden(ROW())=FALSE,MyRowHidden(ROW()-1)=TRUE),0,(E727-E726)*unitsOfDHp+I726)</f>
        <v>1288800</v>
      </c>
      <c r="J727">
        <f>IF(AND(MyRowHidden(ROW())=FALSE,MyRowHidden(ROW()-1)=TRUE),0,(G727-G726)*unitsOfExo+J726)</f>
        <v>-191614.40000000008</v>
      </c>
      <c r="K727" s="9">
        <f t="shared" si="35"/>
        <v>191614.40000000008</v>
      </c>
      <c r="L727">
        <f t="shared" si="36"/>
        <v>1097185.5999999999</v>
      </c>
    </row>
    <row r="728" spans="1:12" x14ac:dyDescent="0.25">
      <c r="A728" s="1"/>
      <c r="C728" s="1"/>
      <c r="D728" s="1">
        <v>42277</v>
      </c>
      <c r="E728" s="10">
        <v>295264</v>
      </c>
      <c r="F728" s="1">
        <v>42277</v>
      </c>
      <c r="G728">
        <v>-23436.81</v>
      </c>
      <c r="H728" s="1">
        <f t="shared" si="34"/>
        <v>42277</v>
      </c>
      <c r="I728">
        <f>IF(AND(MyRowHidden(ROW())=FALSE,MyRowHidden(ROW()-1)=TRUE),0,(E728-E727)*unitsOfDHp+I727)</f>
        <v>1295860</v>
      </c>
      <c r="J728">
        <f>IF(AND(MyRowHidden(ROW())=FALSE,MyRowHidden(ROW()-1)=TRUE),0,(G728-G727)*unitsOfExo+J727)</f>
        <v>-191478.10000000009</v>
      </c>
      <c r="K728" s="9">
        <f t="shared" si="35"/>
        <v>191478.10000000009</v>
      </c>
      <c r="L728">
        <f t="shared" si="36"/>
        <v>1104381.8999999999</v>
      </c>
    </row>
    <row r="729" spans="1:12" x14ac:dyDescent="0.25">
      <c r="A729" s="1"/>
      <c r="C729" s="1"/>
      <c r="D729" s="1">
        <v>42278</v>
      </c>
      <c r="E729" s="10">
        <v>294874</v>
      </c>
      <c r="F729" s="1">
        <v>42278</v>
      </c>
      <c r="G729">
        <v>-22780</v>
      </c>
      <c r="H729" s="1">
        <f t="shared" si="34"/>
        <v>42278</v>
      </c>
      <c r="I729">
        <f>IF(AND(MyRowHidden(ROW())=FALSE,MyRowHidden(ROW()-1)=TRUE),0,(E729-E728)*unitsOfDHp+I728)</f>
        <v>1291960</v>
      </c>
      <c r="J729">
        <f>IF(AND(MyRowHidden(ROW())=FALSE,MyRowHidden(ROW()-1)=TRUE),0,(G729-G728)*unitsOfExo+J728)</f>
        <v>-184910.00000000009</v>
      </c>
      <c r="K729" s="9">
        <f t="shared" si="35"/>
        <v>184910.00000000009</v>
      </c>
      <c r="L729">
        <f t="shared" si="36"/>
        <v>1107050</v>
      </c>
    </row>
    <row r="730" spans="1:12" x14ac:dyDescent="0.25">
      <c r="A730" s="1"/>
      <c r="C730" s="1"/>
      <c r="D730" s="1">
        <v>42279</v>
      </c>
      <c r="E730" s="10">
        <v>294766</v>
      </c>
      <c r="F730" s="1">
        <v>42279</v>
      </c>
      <c r="G730">
        <v>-22724.07</v>
      </c>
      <c r="H730" s="1">
        <f t="shared" si="34"/>
        <v>42279</v>
      </c>
      <c r="I730">
        <f>IF(AND(MyRowHidden(ROW())=FALSE,MyRowHidden(ROW()-1)=TRUE),0,(E730-E729)*unitsOfDHp+I729)</f>
        <v>1290880</v>
      </c>
      <c r="J730">
        <f>IF(AND(MyRowHidden(ROW())=FALSE,MyRowHidden(ROW()-1)=TRUE),0,(G730-G729)*unitsOfExo+J729)</f>
        <v>-184350.70000000007</v>
      </c>
      <c r="K730" s="9">
        <f t="shared" si="35"/>
        <v>184350.70000000007</v>
      </c>
      <c r="L730">
        <f t="shared" si="36"/>
        <v>1106529.2999999998</v>
      </c>
    </row>
    <row r="731" spans="1:12" x14ac:dyDescent="0.25">
      <c r="A731" s="1"/>
      <c r="C731" s="1"/>
      <c r="D731" s="1">
        <v>42282</v>
      </c>
      <c r="E731" s="10">
        <v>293930</v>
      </c>
      <c r="F731" s="1">
        <v>42282</v>
      </c>
      <c r="G731">
        <v>-22884.34</v>
      </c>
      <c r="H731" s="1">
        <f t="shared" si="34"/>
        <v>42282</v>
      </c>
      <c r="I731">
        <f>IF(AND(MyRowHidden(ROW())=FALSE,MyRowHidden(ROW()-1)=TRUE),0,(E731-E730)*unitsOfDHp+I730)</f>
        <v>1282520</v>
      </c>
      <c r="J731">
        <f>IF(AND(MyRowHidden(ROW())=FALSE,MyRowHidden(ROW()-1)=TRUE),0,(G731-G730)*unitsOfExo+J730)</f>
        <v>-185953.40000000008</v>
      </c>
      <c r="K731" s="9">
        <f t="shared" si="35"/>
        <v>185953.40000000008</v>
      </c>
      <c r="L731">
        <f t="shared" si="36"/>
        <v>1096566.5999999999</v>
      </c>
    </row>
    <row r="732" spans="1:12" x14ac:dyDescent="0.25">
      <c r="A732" s="1"/>
      <c r="C732" s="1"/>
      <c r="D732" s="1">
        <v>42283</v>
      </c>
      <c r="E732" s="10">
        <v>292346</v>
      </c>
      <c r="F732" s="1">
        <v>42283</v>
      </c>
      <c r="G732">
        <v>-22833.58</v>
      </c>
      <c r="H732" s="1">
        <f t="shared" si="34"/>
        <v>42283</v>
      </c>
      <c r="I732">
        <f>IF(AND(MyRowHidden(ROW())=FALSE,MyRowHidden(ROW()-1)=TRUE),0,(E732-E731)*unitsOfDHp+I731)</f>
        <v>1266680</v>
      </c>
      <c r="J732">
        <f>IF(AND(MyRowHidden(ROW())=FALSE,MyRowHidden(ROW()-1)=TRUE),0,(G732-G731)*unitsOfExo+J731)</f>
        <v>-185445.8000000001</v>
      </c>
      <c r="K732" s="9">
        <f t="shared" si="35"/>
        <v>185445.8000000001</v>
      </c>
      <c r="L732">
        <f t="shared" si="36"/>
        <v>1081234.2</v>
      </c>
    </row>
    <row r="733" spans="1:12" x14ac:dyDescent="0.25">
      <c r="A733" s="1"/>
      <c r="C733" s="1"/>
      <c r="D733" s="1">
        <v>42284</v>
      </c>
      <c r="E733" s="10">
        <v>292346</v>
      </c>
      <c r="F733" s="1">
        <v>42284</v>
      </c>
      <c r="G733">
        <v>-22833.58</v>
      </c>
      <c r="H733" s="1">
        <f t="shared" si="34"/>
        <v>42284</v>
      </c>
      <c r="I733">
        <f>IF(AND(MyRowHidden(ROW())=FALSE,MyRowHidden(ROW()-1)=TRUE),0,(E733-E732)*unitsOfDHp+I732)</f>
        <v>1266680</v>
      </c>
      <c r="J733">
        <f>IF(AND(MyRowHidden(ROW())=FALSE,MyRowHidden(ROW()-1)=TRUE),0,(G733-G732)*unitsOfExo+J732)</f>
        <v>-185445.8000000001</v>
      </c>
      <c r="K733" s="9">
        <f t="shared" si="35"/>
        <v>185445.8000000001</v>
      </c>
      <c r="L733">
        <f t="shared" si="36"/>
        <v>1081234.2</v>
      </c>
    </row>
    <row r="734" spans="1:12" x14ac:dyDescent="0.25">
      <c r="A734" s="1"/>
      <c r="C734" s="1"/>
      <c r="D734" s="1">
        <v>42285</v>
      </c>
      <c r="E734" s="10">
        <v>292310</v>
      </c>
      <c r="F734" s="1">
        <v>42285</v>
      </c>
      <c r="G734">
        <v>-22651.69</v>
      </c>
      <c r="H734" s="1">
        <f t="shared" si="34"/>
        <v>42285</v>
      </c>
      <c r="I734">
        <f>IF(AND(MyRowHidden(ROW())=FALSE,MyRowHidden(ROW()-1)=TRUE),0,(E734-E733)*unitsOfDHp+I733)</f>
        <v>1266320</v>
      </c>
      <c r="J734">
        <f>IF(AND(MyRowHidden(ROW())=FALSE,MyRowHidden(ROW()-1)=TRUE),0,(G734-G733)*unitsOfExo+J733)</f>
        <v>-183626.90000000008</v>
      </c>
      <c r="K734" s="9">
        <f t="shared" si="35"/>
        <v>183626.90000000008</v>
      </c>
      <c r="L734">
        <f t="shared" si="36"/>
        <v>1082693.0999999999</v>
      </c>
    </row>
    <row r="735" spans="1:12" x14ac:dyDescent="0.25">
      <c r="A735" s="1"/>
      <c r="C735" s="1"/>
      <c r="D735" s="1">
        <v>42286</v>
      </c>
      <c r="E735" s="10">
        <v>292310</v>
      </c>
      <c r="F735" s="1">
        <v>42286</v>
      </c>
      <c r="G735">
        <v>-22566.15</v>
      </c>
      <c r="H735" s="1">
        <f t="shared" si="34"/>
        <v>42286</v>
      </c>
      <c r="I735">
        <f>IF(AND(MyRowHidden(ROW())=FALSE,MyRowHidden(ROW()-1)=TRUE),0,(E735-E734)*unitsOfDHp+I734)</f>
        <v>1266320</v>
      </c>
      <c r="J735">
        <f>IF(AND(MyRowHidden(ROW())=FALSE,MyRowHidden(ROW()-1)=TRUE),0,(G735-G734)*unitsOfExo+J734)</f>
        <v>-182771.50000000012</v>
      </c>
      <c r="K735" s="9">
        <f t="shared" si="35"/>
        <v>182771.50000000012</v>
      </c>
      <c r="L735">
        <f t="shared" si="36"/>
        <v>1083548.5</v>
      </c>
    </row>
    <row r="736" spans="1:12" x14ac:dyDescent="0.25">
      <c r="A736" s="1"/>
      <c r="C736" s="1"/>
      <c r="D736" s="1">
        <v>42289</v>
      </c>
      <c r="E736" s="10">
        <v>292310</v>
      </c>
      <c r="F736" s="1">
        <v>42289</v>
      </c>
      <c r="G736">
        <v>-22406.35</v>
      </c>
      <c r="H736" s="1">
        <f t="shared" si="34"/>
        <v>42289</v>
      </c>
      <c r="I736">
        <f>IF(AND(MyRowHidden(ROW())=FALSE,MyRowHidden(ROW()-1)=TRUE),0,(E736-E735)*unitsOfDHp+I735)</f>
        <v>1266320</v>
      </c>
      <c r="J736">
        <f>IF(AND(MyRowHidden(ROW())=FALSE,MyRowHidden(ROW()-1)=TRUE),0,(G736-G735)*unitsOfExo+J735)</f>
        <v>-181173.50000000009</v>
      </c>
      <c r="K736" s="9">
        <f t="shared" si="35"/>
        <v>181173.50000000009</v>
      </c>
      <c r="L736">
        <f t="shared" si="36"/>
        <v>1085146.5</v>
      </c>
    </row>
    <row r="737" spans="1:12" x14ac:dyDescent="0.25">
      <c r="A737" s="1"/>
      <c r="C737" s="1"/>
      <c r="D737" s="1">
        <v>42290</v>
      </c>
      <c r="E737" s="10">
        <v>292310</v>
      </c>
      <c r="F737" s="1">
        <v>42290</v>
      </c>
      <c r="G737">
        <v>-22481.08</v>
      </c>
      <c r="H737" s="1">
        <f t="shared" si="34"/>
        <v>42290</v>
      </c>
      <c r="I737">
        <f>IF(AND(MyRowHidden(ROW())=FALSE,MyRowHidden(ROW()-1)=TRUE),0,(E737-E736)*unitsOfDHp+I736)</f>
        <v>1266320</v>
      </c>
      <c r="J737">
        <f>IF(AND(MyRowHidden(ROW())=FALSE,MyRowHidden(ROW()-1)=TRUE),0,(G737-G736)*unitsOfExo+J736)</f>
        <v>-181920.8000000001</v>
      </c>
      <c r="K737" s="9">
        <f t="shared" si="35"/>
        <v>181920.8000000001</v>
      </c>
      <c r="L737">
        <f t="shared" si="36"/>
        <v>1084399.2</v>
      </c>
    </row>
    <row r="738" spans="1:12" x14ac:dyDescent="0.25">
      <c r="A738" s="1"/>
      <c r="C738" s="1"/>
      <c r="D738" s="1">
        <v>42291</v>
      </c>
      <c r="E738" s="10">
        <v>292238</v>
      </c>
      <c r="F738" s="1">
        <v>42291</v>
      </c>
      <c r="G738">
        <v>-22446.3</v>
      </c>
      <c r="H738" s="1">
        <f t="shared" si="34"/>
        <v>42291</v>
      </c>
      <c r="I738">
        <f>IF(AND(MyRowHidden(ROW())=FALSE,MyRowHidden(ROW()-1)=TRUE),0,(E738-E737)*unitsOfDHp+I737)</f>
        <v>1265600</v>
      </c>
      <c r="J738">
        <f>IF(AND(MyRowHidden(ROW())=FALSE,MyRowHidden(ROW()-1)=TRUE),0,(G738-G737)*unitsOfExo+J737)</f>
        <v>-181573.00000000009</v>
      </c>
      <c r="K738" s="9">
        <f t="shared" si="35"/>
        <v>181573.00000000009</v>
      </c>
      <c r="L738">
        <f t="shared" si="36"/>
        <v>1084027</v>
      </c>
    </row>
    <row r="739" spans="1:12" x14ac:dyDescent="0.25">
      <c r="A739" s="1"/>
      <c r="C739" s="1"/>
      <c r="D739" s="1">
        <v>42292</v>
      </c>
      <c r="E739" s="10">
        <v>292202</v>
      </c>
      <c r="F739" s="1">
        <v>42292</v>
      </c>
      <c r="G739">
        <v>-22457.11</v>
      </c>
      <c r="H739" s="1">
        <f t="shared" si="34"/>
        <v>42292</v>
      </c>
      <c r="I739">
        <f>IF(AND(MyRowHidden(ROW())=FALSE,MyRowHidden(ROW()-1)=TRUE),0,(E739-E738)*unitsOfDHp+I738)</f>
        <v>1265240</v>
      </c>
      <c r="J739">
        <f>IF(AND(MyRowHidden(ROW())=FALSE,MyRowHidden(ROW()-1)=TRUE),0,(G739-G738)*unitsOfExo+J738)</f>
        <v>-181681.10000000009</v>
      </c>
      <c r="K739" s="9">
        <f t="shared" si="35"/>
        <v>181681.10000000009</v>
      </c>
      <c r="L739">
        <f t="shared" si="36"/>
        <v>1083558.8999999999</v>
      </c>
    </row>
    <row r="740" spans="1:12" x14ac:dyDescent="0.25">
      <c r="A740" s="1"/>
      <c r="C740" s="1"/>
      <c r="D740" s="1">
        <v>42293</v>
      </c>
      <c r="E740" s="10">
        <v>292202</v>
      </c>
      <c r="F740" s="1">
        <v>42293</v>
      </c>
      <c r="G740">
        <v>-22549.7</v>
      </c>
      <c r="H740" s="1">
        <f t="shared" si="34"/>
        <v>42293</v>
      </c>
      <c r="I740">
        <f>IF(AND(MyRowHidden(ROW())=FALSE,MyRowHidden(ROW()-1)=TRUE),0,(E740-E739)*unitsOfDHp+I739)</f>
        <v>1265240</v>
      </c>
      <c r="J740">
        <f>IF(AND(MyRowHidden(ROW())=FALSE,MyRowHidden(ROW()-1)=TRUE),0,(G740-G739)*unitsOfExo+J739)</f>
        <v>-182607.00000000009</v>
      </c>
      <c r="K740" s="9">
        <f t="shared" si="35"/>
        <v>182607.00000000009</v>
      </c>
      <c r="L740">
        <f t="shared" si="36"/>
        <v>1082633</v>
      </c>
    </row>
    <row r="741" spans="1:12" x14ac:dyDescent="0.25">
      <c r="A741" s="1"/>
      <c r="C741" s="1"/>
      <c r="D741" s="1">
        <v>42296</v>
      </c>
      <c r="E741" s="10">
        <v>292202</v>
      </c>
      <c r="F741" s="1">
        <v>42296</v>
      </c>
      <c r="G741">
        <v>-22678.95</v>
      </c>
      <c r="H741" s="1">
        <f t="shared" si="34"/>
        <v>42296</v>
      </c>
      <c r="I741">
        <f>IF(AND(MyRowHidden(ROW())=FALSE,MyRowHidden(ROW()-1)=TRUE),0,(E741-E740)*unitsOfDHp+I740)</f>
        <v>1265240</v>
      </c>
      <c r="J741">
        <f>IF(AND(MyRowHidden(ROW())=FALSE,MyRowHidden(ROW()-1)=TRUE),0,(G741-G740)*unitsOfExo+J740)</f>
        <v>-183899.50000000009</v>
      </c>
      <c r="K741" s="9">
        <f t="shared" si="35"/>
        <v>183899.50000000009</v>
      </c>
      <c r="L741">
        <f t="shared" si="36"/>
        <v>1081340.5</v>
      </c>
    </row>
    <row r="742" spans="1:12" x14ac:dyDescent="0.25">
      <c r="A742" s="1"/>
      <c r="C742" s="1"/>
      <c r="D742" s="1">
        <v>42297</v>
      </c>
      <c r="E742" s="10">
        <v>292202</v>
      </c>
      <c r="F742" s="1">
        <v>42297</v>
      </c>
      <c r="G742">
        <v>-22682.71</v>
      </c>
      <c r="H742" s="1">
        <f t="shared" si="34"/>
        <v>42297</v>
      </c>
      <c r="I742">
        <f>IF(AND(MyRowHidden(ROW())=FALSE,MyRowHidden(ROW()-1)=TRUE),0,(E742-E741)*unitsOfDHp+I741)</f>
        <v>1265240</v>
      </c>
      <c r="J742">
        <f>IF(AND(MyRowHidden(ROW())=FALSE,MyRowHidden(ROW()-1)=TRUE),0,(G742-G741)*unitsOfExo+J741)</f>
        <v>-183937.10000000006</v>
      </c>
      <c r="K742" s="9">
        <f t="shared" si="35"/>
        <v>183937.10000000006</v>
      </c>
      <c r="L742">
        <f t="shared" si="36"/>
        <v>1081302.8999999999</v>
      </c>
    </row>
    <row r="743" spans="1:12" x14ac:dyDescent="0.25">
      <c r="A743" s="1"/>
      <c r="C743" s="1"/>
      <c r="D743" s="1">
        <v>42298</v>
      </c>
      <c r="E743" s="10">
        <v>292202</v>
      </c>
      <c r="F743" s="1">
        <v>42298</v>
      </c>
      <c r="G743">
        <v>-22693.52</v>
      </c>
      <c r="H743" s="1">
        <f t="shared" si="34"/>
        <v>42298</v>
      </c>
      <c r="I743">
        <f>IF(AND(MyRowHidden(ROW())=FALSE,MyRowHidden(ROW()-1)=TRUE),0,(E743-E742)*unitsOfDHp+I742)</f>
        <v>1265240</v>
      </c>
      <c r="J743">
        <f>IF(AND(MyRowHidden(ROW())=FALSE,MyRowHidden(ROW()-1)=TRUE),0,(G743-G742)*unitsOfExo+J742)</f>
        <v>-184045.20000000007</v>
      </c>
      <c r="K743" s="9">
        <f t="shared" si="35"/>
        <v>184045.20000000007</v>
      </c>
      <c r="L743">
        <f t="shared" si="36"/>
        <v>1081194.7999999998</v>
      </c>
    </row>
    <row r="744" spans="1:12" x14ac:dyDescent="0.25">
      <c r="A744" s="1"/>
      <c r="C744" s="1"/>
      <c r="D744" s="1">
        <v>42299</v>
      </c>
      <c r="E744" s="10">
        <v>292202</v>
      </c>
      <c r="F744" s="1">
        <v>42299</v>
      </c>
      <c r="G744">
        <v>-22702.92</v>
      </c>
      <c r="H744" s="1">
        <f t="shared" si="34"/>
        <v>42299</v>
      </c>
      <c r="I744">
        <f>IF(AND(MyRowHidden(ROW())=FALSE,MyRowHidden(ROW()-1)=TRUE),0,(E744-E743)*unitsOfDHp+I743)</f>
        <v>1265240</v>
      </c>
      <c r="J744">
        <f>IF(AND(MyRowHidden(ROW())=FALSE,MyRowHidden(ROW()-1)=TRUE),0,(G744-G743)*unitsOfExo+J743)</f>
        <v>-184139.20000000004</v>
      </c>
      <c r="K744" s="9">
        <f t="shared" si="35"/>
        <v>184139.20000000004</v>
      </c>
      <c r="L744">
        <f t="shared" si="36"/>
        <v>1081100.8</v>
      </c>
    </row>
    <row r="745" spans="1:12" x14ac:dyDescent="0.25">
      <c r="A745" s="1"/>
      <c r="C745" s="1"/>
      <c r="D745" s="1">
        <v>42300</v>
      </c>
      <c r="E745" s="10">
        <v>292202</v>
      </c>
      <c r="F745" s="1">
        <v>42300</v>
      </c>
      <c r="G745">
        <v>-22694.93</v>
      </c>
      <c r="H745" s="1">
        <f t="shared" si="34"/>
        <v>42300</v>
      </c>
      <c r="I745">
        <f>IF(AND(MyRowHidden(ROW())=FALSE,MyRowHidden(ROW()-1)=TRUE),0,(E745-E744)*unitsOfDHp+I744)</f>
        <v>1265240</v>
      </c>
      <c r="J745">
        <f>IF(AND(MyRowHidden(ROW())=FALSE,MyRowHidden(ROW()-1)=TRUE),0,(G745-G744)*unitsOfExo+J744)</f>
        <v>-184059.30000000005</v>
      </c>
      <c r="K745" s="9">
        <f t="shared" si="35"/>
        <v>184059.30000000005</v>
      </c>
      <c r="L745">
        <f t="shared" si="36"/>
        <v>1081180.7</v>
      </c>
    </row>
    <row r="746" spans="1:12" x14ac:dyDescent="0.25">
      <c r="A746" s="1"/>
      <c r="C746" s="1"/>
      <c r="D746" s="1">
        <v>42303</v>
      </c>
      <c r="E746" s="10">
        <v>292202</v>
      </c>
      <c r="F746" s="1">
        <v>42303</v>
      </c>
      <c r="G746">
        <v>-22696.34</v>
      </c>
      <c r="H746" s="1">
        <f t="shared" si="34"/>
        <v>42303</v>
      </c>
      <c r="I746">
        <f>IF(AND(MyRowHidden(ROW())=FALSE,MyRowHidden(ROW()-1)=TRUE),0,(E746-E745)*unitsOfDHp+I745)</f>
        <v>1265240</v>
      </c>
      <c r="J746">
        <f>IF(AND(MyRowHidden(ROW())=FALSE,MyRowHidden(ROW()-1)=TRUE),0,(G746-G745)*unitsOfExo+J745)</f>
        <v>-184073.40000000005</v>
      </c>
      <c r="K746" s="9">
        <f t="shared" si="35"/>
        <v>184073.40000000005</v>
      </c>
      <c r="L746">
        <f t="shared" si="36"/>
        <v>1081166.5999999999</v>
      </c>
    </row>
    <row r="747" spans="1:12" x14ac:dyDescent="0.25">
      <c r="A747" s="1"/>
      <c r="C747" s="1"/>
      <c r="D747" s="1">
        <v>42304</v>
      </c>
      <c r="E747" s="10">
        <v>292046</v>
      </c>
      <c r="F747" s="1">
        <v>42304</v>
      </c>
      <c r="G747">
        <v>-22654.98</v>
      </c>
      <c r="H747" s="1">
        <f t="shared" si="34"/>
        <v>42304</v>
      </c>
      <c r="I747">
        <f>IF(AND(MyRowHidden(ROW())=FALSE,MyRowHidden(ROW()-1)=TRUE),0,(E747-E746)*unitsOfDHp+I746)</f>
        <v>1263680</v>
      </c>
      <c r="J747">
        <f>IF(AND(MyRowHidden(ROW())=FALSE,MyRowHidden(ROW()-1)=TRUE),0,(G747-G746)*unitsOfExo+J746)</f>
        <v>-183659.80000000005</v>
      </c>
      <c r="K747" s="9">
        <f t="shared" si="35"/>
        <v>183659.80000000005</v>
      </c>
      <c r="L747">
        <f t="shared" si="36"/>
        <v>1080020.2</v>
      </c>
    </row>
    <row r="748" spans="1:12" x14ac:dyDescent="0.25">
      <c r="A748" s="1"/>
      <c r="C748" s="1"/>
      <c r="D748" s="1">
        <v>42305</v>
      </c>
      <c r="E748" s="10">
        <v>291914</v>
      </c>
      <c r="F748" s="1">
        <v>42305</v>
      </c>
      <c r="G748">
        <v>-22652.16</v>
      </c>
      <c r="H748" s="1">
        <f t="shared" si="34"/>
        <v>42305</v>
      </c>
      <c r="I748">
        <f>IF(AND(MyRowHidden(ROW())=FALSE,MyRowHidden(ROW()-1)=TRUE),0,(E748-E747)*unitsOfDHp+I747)</f>
        <v>1262360</v>
      </c>
      <c r="J748">
        <f>IF(AND(MyRowHidden(ROW())=FALSE,MyRowHidden(ROW()-1)=TRUE),0,(G748-G747)*unitsOfExo+J747)</f>
        <v>-183631.60000000003</v>
      </c>
      <c r="K748" s="9">
        <f t="shared" si="35"/>
        <v>183631.60000000003</v>
      </c>
      <c r="L748">
        <f t="shared" si="36"/>
        <v>1078728.3999999999</v>
      </c>
    </row>
    <row r="749" spans="1:12" x14ac:dyDescent="0.25">
      <c r="A749" s="1"/>
      <c r="C749" s="1"/>
      <c r="D749" s="1">
        <v>42306</v>
      </c>
      <c r="E749" s="10">
        <v>291806</v>
      </c>
      <c r="F749" s="1">
        <v>42306</v>
      </c>
      <c r="G749">
        <v>-22617.38</v>
      </c>
      <c r="H749" s="1">
        <f t="shared" si="34"/>
        <v>42306</v>
      </c>
      <c r="I749">
        <f>IF(AND(MyRowHidden(ROW())=FALSE,MyRowHidden(ROW()-1)=TRUE),0,(E749-E748)*unitsOfDHp+I748)</f>
        <v>1261280</v>
      </c>
      <c r="J749">
        <f>IF(AND(MyRowHidden(ROW())=FALSE,MyRowHidden(ROW()-1)=TRUE),0,(G749-G748)*unitsOfExo+J748)</f>
        <v>-183283.80000000005</v>
      </c>
      <c r="K749" s="9">
        <f t="shared" si="35"/>
        <v>183283.80000000005</v>
      </c>
      <c r="L749">
        <f t="shared" si="36"/>
        <v>1077996.2</v>
      </c>
    </row>
    <row r="750" spans="1:12" x14ac:dyDescent="0.25">
      <c r="A750" s="1"/>
      <c r="C750" s="1"/>
      <c r="D750" s="1">
        <v>42307</v>
      </c>
      <c r="E750" s="10">
        <v>291746</v>
      </c>
      <c r="F750" s="1">
        <v>42307</v>
      </c>
      <c r="G750">
        <v>-22619.73</v>
      </c>
      <c r="H750" s="1">
        <f t="shared" si="34"/>
        <v>42307</v>
      </c>
      <c r="I750">
        <f>IF(AND(MyRowHidden(ROW())=FALSE,MyRowHidden(ROW()-1)=TRUE),0,(E750-E749)*unitsOfDHp+I749)</f>
        <v>1260680</v>
      </c>
      <c r="J750">
        <f>IF(AND(MyRowHidden(ROW())=FALSE,MyRowHidden(ROW()-1)=TRUE),0,(G750-G749)*unitsOfExo+J749)</f>
        <v>-183307.30000000005</v>
      </c>
      <c r="K750" s="9">
        <f t="shared" si="35"/>
        <v>183307.30000000005</v>
      </c>
      <c r="L750">
        <f t="shared" si="36"/>
        <v>1077372.7</v>
      </c>
    </row>
    <row r="751" spans="1:12" x14ac:dyDescent="0.25">
      <c r="A751" s="1"/>
      <c r="C751" s="1"/>
      <c r="D751" s="1">
        <v>42310</v>
      </c>
      <c r="E751" s="10">
        <v>291638</v>
      </c>
      <c r="F751" s="1">
        <v>42310</v>
      </c>
      <c r="G751">
        <v>-22204.5</v>
      </c>
      <c r="H751" s="1">
        <f t="shared" si="34"/>
        <v>42310</v>
      </c>
      <c r="I751">
        <f>IF(AND(MyRowHidden(ROW())=FALSE,MyRowHidden(ROW()-1)=TRUE),0,(E751-E750)*unitsOfDHp+I750)</f>
        <v>1259600</v>
      </c>
      <c r="J751">
        <f>IF(AND(MyRowHidden(ROW())=FALSE,MyRowHidden(ROW()-1)=TRUE),0,(G751-G750)*unitsOfExo+J750)</f>
        <v>-179155.00000000006</v>
      </c>
      <c r="K751" s="9">
        <f t="shared" si="35"/>
        <v>179155.00000000006</v>
      </c>
      <c r="L751">
        <f t="shared" si="36"/>
        <v>1080445</v>
      </c>
    </row>
    <row r="752" spans="1:12" x14ac:dyDescent="0.25">
      <c r="A752" s="1"/>
      <c r="C752" s="1"/>
      <c r="D752" s="1">
        <v>42311</v>
      </c>
      <c r="E752" s="10">
        <v>291530</v>
      </c>
      <c r="F752" s="1">
        <v>42311</v>
      </c>
      <c r="G752">
        <v>-22315.89</v>
      </c>
      <c r="H752" s="1">
        <f t="shared" si="34"/>
        <v>42311</v>
      </c>
      <c r="I752">
        <f>IF(AND(MyRowHidden(ROW())=FALSE,MyRowHidden(ROW()-1)=TRUE),0,(E752-E751)*unitsOfDHp+I751)</f>
        <v>1258520</v>
      </c>
      <c r="J752">
        <f>IF(AND(MyRowHidden(ROW())=FALSE,MyRowHidden(ROW()-1)=TRUE),0,(G752-G751)*unitsOfExo+J751)</f>
        <v>-180268.90000000005</v>
      </c>
      <c r="K752" s="9">
        <f t="shared" si="35"/>
        <v>180268.90000000005</v>
      </c>
      <c r="L752">
        <f t="shared" si="36"/>
        <v>1078251.0999999999</v>
      </c>
    </row>
    <row r="753" spans="1:12" x14ac:dyDescent="0.25">
      <c r="A753" s="1"/>
      <c r="C753" s="1"/>
      <c r="D753" s="1">
        <v>42312</v>
      </c>
      <c r="E753" s="10">
        <v>291494</v>
      </c>
      <c r="F753" s="1">
        <v>42312</v>
      </c>
      <c r="G753">
        <v>-22315.89</v>
      </c>
      <c r="H753" s="1">
        <f t="shared" si="34"/>
        <v>42312</v>
      </c>
      <c r="I753">
        <f>IF(AND(MyRowHidden(ROW())=FALSE,MyRowHidden(ROW()-1)=TRUE),0,(E753-E752)*unitsOfDHp+I752)</f>
        <v>1258160</v>
      </c>
      <c r="J753">
        <f>IF(AND(MyRowHidden(ROW())=FALSE,MyRowHidden(ROW()-1)=TRUE),0,(G753-G752)*unitsOfExo+J752)</f>
        <v>-180268.90000000005</v>
      </c>
      <c r="K753" s="9">
        <f t="shared" si="35"/>
        <v>180268.90000000005</v>
      </c>
      <c r="L753">
        <f t="shared" si="36"/>
        <v>1077891.0999999999</v>
      </c>
    </row>
    <row r="754" spans="1:12" x14ac:dyDescent="0.25">
      <c r="A754" s="1"/>
      <c r="C754" s="1"/>
      <c r="D754" s="1">
        <v>42313</v>
      </c>
      <c r="E754" s="10">
        <v>288292</v>
      </c>
      <c r="F754" s="1">
        <v>42313</v>
      </c>
      <c r="G754">
        <v>-22315.89</v>
      </c>
      <c r="H754" s="1">
        <f t="shared" si="34"/>
        <v>42313</v>
      </c>
      <c r="I754">
        <f>IF(AND(MyRowHidden(ROW())=FALSE,MyRowHidden(ROW()-1)=TRUE),0,(E754-E753)*unitsOfDHp+I753)</f>
        <v>1226140</v>
      </c>
      <c r="J754">
        <f>IF(AND(MyRowHidden(ROW())=FALSE,MyRowHidden(ROW()-1)=TRUE),0,(G754-G753)*unitsOfExo+J753)</f>
        <v>-180268.90000000005</v>
      </c>
      <c r="K754" s="9">
        <f t="shared" si="35"/>
        <v>180268.90000000005</v>
      </c>
      <c r="L754">
        <f t="shared" si="36"/>
        <v>1045871.1</v>
      </c>
    </row>
    <row r="755" spans="1:12" x14ac:dyDescent="0.25">
      <c r="A755" s="1"/>
      <c r="C755" s="1"/>
      <c r="D755" s="1">
        <v>42314</v>
      </c>
      <c r="E755" s="10">
        <v>288160</v>
      </c>
      <c r="F755" s="1">
        <v>42314</v>
      </c>
      <c r="G755">
        <v>-22174.89</v>
      </c>
      <c r="H755" s="1">
        <f t="shared" si="34"/>
        <v>42314</v>
      </c>
      <c r="I755">
        <f>IF(AND(MyRowHidden(ROW())=FALSE,MyRowHidden(ROW()-1)=TRUE),0,(E755-E754)*unitsOfDHp+I754)</f>
        <v>1224820</v>
      </c>
      <c r="J755">
        <f>IF(AND(MyRowHidden(ROW())=FALSE,MyRowHidden(ROW()-1)=TRUE),0,(G755-G754)*unitsOfExo+J754)</f>
        <v>-178858.90000000005</v>
      </c>
      <c r="K755" s="9">
        <f t="shared" si="35"/>
        <v>178858.90000000005</v>
      </c>
      <c r="L755">
        <f t="shared" si="36"/>
        <v>1045961.1</v>
      </c>
    </row>
    <row r="756" spans="1:12" x14ac:dyDescent="0.25">
      <c r="A756" s="1"/>
      <c r="C756" s="1"/>
      <c r="D756" s="1">
        <v>42317</v>
      </c>
      <c r="E756" s="10">
        <v>288160</v>
      </c>
      <c r="F756" s="1">
        <v>42317</v>
      </c>
      <c r="G756">
        <v>-22174.89</v>
      </c>
      <c r="H756" s="1">
        <f t="shared" si="34"/>
        <v>42317</v>
      </c>
      <c r="I756">
        <f>IF(AND(MyRowHidden(ROW())=FALSE,MyRowHidden(ROW()-1)=TRUE),0,(E756-E755)*unitsOfDHp+I755)</f>
        <v>1224820</v>
      </c>
      <c r="J756">
        <f>IF(AND(MyRowHidden(ROW())=FALSE,MyRowHidden(ROW()-1)=TRUE),0,(G756-G755)*unitsOfExo+J755)</f>
        <v>-178858.90000000005</v>
      </c>
      <c r="K756" s="9">
        <f t="shared" si="35"/>
        <v>178858.90000000005</v>
      </c>
      <c r="L756">
        <f t="shared" si="36"/>
        <v>1045961.1</v>
      </c>
    </row>
    <row r="757" spans="1:12" x14ac:dyDescent="0.25">
      <c r="A757" s="1"/>
      <c r="C757" s="1"/>
      <c r="D757" s="1">
        <v>42318</v>
      </c>
      <c r="E757" s="10">
        <v>288124</v>
      </c>
      <c r="F757" s="1">
        <v>42318</v>
      </c>
      <c r="G757">
        <v>-22174.89</v>
      </c>
      <c r="H757" s="1">
        <f t="shared" si="34"/>
        <v>42318</v>
      </c>
      <c r="I757">
        <f>IF(AND(MyRowHidden(ROW())=FALSE,MyRowHidden(ROW()-1)=TRUE),0,(E757-E756)*unitsOfDHp+I756)</f>
        <v>1224460</v>
      </c>
      <c r="J757">
        <f>IF(AND(MyRowHidden(ROW())=FALSE,MyRowHidden(ROW()-1)=TRUE),0,(G757-G756)*unitsOfExo+J756)</f>
        <v>-178858.90000000005</v>
      </c>
      <c r="K757" s="9">
        <f t="shared" si="35"/>
        <v>178858.90000000005</v>
      </c>
      <c r="L757">
        <f t="shared" si="36"/>
        <v>1045601.1</v>
      </c>
    </row>
    <row r="758" spans="1:12" x14ac:dyDescent="0.25">
      <c r="A758" s="1"/>
      <c r="C758" s="1"/>
      <c r="D758" s="1">
        <v>42319</v>
      </c>
      <c r="E758" s="10">
        <v>288076</v>
      </c>
      <c r="F758" s="1">
        <v>42319</v>
      </c>
      <c r="G758">
        <v>-22174.89</v>
      </c>
      <c r="H758" s="1">
        <f t="shared" si="34"/>
        <v>42319</v>
      </c>
      <c r="I758">
        <f>IF(AND(MyRowHidden(ROW())=FALSE,MyRowHidden(ROW()-1)=TRUE),0,(E758-E757)*unitsOfDHp+I757)</f>
        <v>1223980</v>
      </c>
      <c r="J758">
        <f>IF(AND(MyRowHidden(ROW())=FALSE,MyRowHidden(ROW()-1)=TRUE),0,(G758-G757)*unitsOfExo+J757)</f>
        <v>-178858.90000000005</v>
      </c>
      <c r="K758" s="9">
        <f t="shared" si="35"/>
        <v>178858.90000000005</v>
      </c>
      <c r="L758">
        <f t="shared" si="36"/>
        <v>1045121.1</v>
      </c>
    </row>
    <row r="759" spans="1:12" x14ac:dyDescent="0.25">
      <c r="A759" s="1"/>
      <c r="C759" s="1"/>
      <c r="D759" s="1">
        <v>42320</v>
      </c>
      <c r="E759" s="10">
        <v>288016</v>
      </c>
      <c r="F759" s="1">
        <v>42320</v>
      </c>
      <c r="G759">
        <v>-22315.89</v>
      </c>
      <c r="H759" s="1">
        <f t="shared" si="34"/>
        <v>42320</v>
      </c>
      <c r="I759">
        <f>IF(AND(MyRowHidden(ROW())=FALSE,MyRowHidden(ROW()-1)=TRUE),0,(E759-E758)*unitsOfDHp+I758)</f>
        <v>1223380</v>
      </c>
      <c r="J759">
        <f>IF(AND(MyRowHidden(ROW())=FALSE,MyRowHidden(ROW()-1)=TRUE),0,(G759-G758)*unitsOfExo+J758)</f>
        <v>-180268.90000000005</v>
      </c>
      <c r="K759" s="9">
        <f t="shared" si="35"/>
        <v>180268.90000000005</v>
      </c>
      <c r="L759">
        <f t="shared" si="36"/>
        <v>1043111.1</v>
      </c>
    </row>
    <row r="760" spans="1:12" x14ac:dyDescent="0.25">
      <c r="A760" s="1"/>
      <c r="C760" s="1"/>
      <c r="D760" s="1">
        <v>42321</v>
      </c>
      <c r="E760" s="10">
        <v>288016</v>
      </c>
      <c r="F760" s="1">
        <v>42321</v>
      </c>
      <c r="G760">
        <v>-22283.93</v>
      </c>
      <c r="H760" s="1">
        <f t="shared" si="34"/>
        <v>42321</v>
      </c>
      <c r="I760">
        <f>IF(AND(MyRowHidden(ROW())=FALSE,MyRowHidden(ROW()-1)=TRUE),0,(E760-E759)*unitsOfDHp+I759)</f>
        <v>1223380</v>
      </c>
      <c r="J760">
        <f>IF(AND(MyRowHidden(ROW())=FALSE,MyRowHidden(ROW()-1)=TRUE),0,(G760-G759)*unitsOfExo+J759)</f>
        <v>-179949.30000000005</v>
      </c>
      <c r="K760" s="9">
        <f t="shared" si="35"/>
        <v>179949.30000000005</v>
      </c>
      <c r="L760">
        <f t="shared" si="36"/>
        <v>1043430.7</v>
      </c>
    </row>
    <row r="761" spans="1:12" x14ac:dyDescent="0.25">
      <c r="A761" s="1"/>
      <c r="C761" s="1"/>
      <c r="D761" s="1">
        <v>42324</v>
      </c>
      <c r="E761" s="10">
        <v>287788</v>
      </c>
      <c r="F761" s="1">
        <v>42324</v>
      </c>
      <c r="G761">
        <v>-22283.93</v>
      </c>
      <c r="H761" s="1">
        <f t="shared" si="34"/>
        <v>42324</v>
      </c>
      <c r="I761">
        <f>IF(AND(MyRowHidden(ROW())=FALSE,MyRowHidden(ROW()-1)=TRUE),0,(E761-E760)*unitsOfDHp+I760)</f>
        <v>1221100</v>
      </c>
      <c r="J761">
        <f>IF(AND(MyRowHidden(ROW())=FALSE,MyRowHidden(ROW()-1)=TRUE),0,(G761-G760)*unitsOfExo+J760)</f>
        <v>-179949.30000000005</v>
      </c>
      <c r="K761" s="9">
        <f t="shared" si="35"/>
        <v>179949.30000000005</v>
      </c>
      <c r="L761">
        <f t="shared" si="36"/>
        <v>1041150.7</v>
      </c>
    </row>
    <row r="762" spans="1:12" x14ac:dyDescent="0.25">
      <c r="A762" s="1"/>
      <c r="C762" s="1"/>
      <c r="D762" s="1">
        <v>42325</v>
      </c>
      <c r="E762" s="10">
        <v>287716</v>
      </c>
      <c r="F762" s="1">
        <v>42325</v>
      </c>
      <c r="G762">
        <v>-22178.18</v>
      </c>
      <c r="H762" s="1">
        <f t="shared" si="34"/>
        <v>42325</v>
      </c>
      <c r="I762">
        <f>IF(AND(MyRowHidden(ROW())=FALSE,MyRowHidden(ROW()-1)=TRUE),0,(E762-E761)*unitsOfDHp+I761)</f>
        <v>1220380</v>
      </c>
      <c r="J762">
        <f>IF(AND(MyRowHidden(ROW())=FALSE,MyRowHidden(ROW()-1)=TRUE),0,(G762-G761)*unitsOfExo+J761)</f>
        <v>-178891.80000000005</v>
      </c>
      <c r="K762" s="9">
        <f t="shared" si="35"/>
        <v>178891.80000000005</v>
      </c>
      <c r="L762">
        <f t="shared" si="36"/>
        <v>1041488.2</v>
      </c>
    </row>
    <row r="763" spans="1:12" x14ac:dyDescent="0.25">
      <c r="A763" s="1"/>
      <c r="C763" s="1"/>
      <c r="D763" s="1">
        <v>42326</v>
      </c>
      <c r="E763" s="10">
        <v>287716</v>
      </c>
      <c r="F763" s="1">
        <v>42326</v>
      </c>
      <c r="G763">
        <v>-22154.68</v>
      </c>
      <c r="H763" s="1">
        <f t="shared" si="34"/>
        <v>42326</v>
      </c>
      <c r="I763">
        <f>IF(AND(MyRowHidden(ROW())=FALSE,MyRowHidden(ROW()-1)=TRUE),0,(E763-E762)*unitsOfDHp+I762)</f>
        <v>1220380</v>
      </c>
      <c r="J763">
        <f>IF(AND(MyRowHidden(ROW())=FALSE,MyRowHidden(ROW()-1)=TRUE),0,(G763-G762)*unitsOfExo+J762)</f>
        <v>-178656.80000000005</v>
      </c>
      <c r="K763" s="9">
        <f t="shared" si="35"/>
        <v>178656.80000000005</v>
      </c>
      <c r="L763">
        <f t="shared" si="36"/>
        <v>1041723.2</v>
      </c>
    </row>
    <row r="764" spans="1:12" x14ac:dyDescent="0.25">
      <c r="A764" s="1"/>
      <c r="C764" s="1"/>
      <c r="D764" s="1">
        <v>42327</v>
      </c>
      <c r="E764" s="10">
        <v>287716</v>
      </c>
      <c r="F764" s="1">
        <v>42327</v>
      </c>
      <c r="G764">
        <v>-22257.14</v>
      </c>
      <c r="H764" s="1">
        <f t="shared" si="34"/>
        <v>42327</v>
      </c>
      <c r="I764">
        <f>IF(AND(MyRowHidden(ROW())=FALSE,MyRowHidden(ROW()-1)=TRUE),0,(E764-E763)*unitsOfDHp+I763)</f>
        <v>1220380</v>
      </c>
      <c r="J764">
        <f>IF(AND(MyRowHidden(ROW())=FALSE,MyRowHidden(ROW()-1)=TRUE),0,(G764-G763)*unitsOfExo+J763)</f>
        <v>-179681.40000000002</v>
      </c>
      <c r="K764" s="9">
        <f t="shared" si="35"/>
        <v>179681.40000000002</v>
      </c>
      <c r="L764">
        <f t="shared" si="36"/>
        <v>1040698.6</v>
      </c>
    </row>
    <row r="765" spans="1:12" x14ac:dyDescent="0.25">
      <c r="A765" s="1"/>
      <c r="C765" s="1"/>
      <c r="D765" s="1">
        <v>42328</v>
      </c>
      <c r="E765" s="10">
        <v>287632</v>
      </c>
      <c r="F765" s="1">
        <v>42328</v>
      </c>
      <c r="G765">
        <v>-22169.25</v>
      </c>
      <c r="H765" s="1">
        <f t="shared" si="34"/>
        <v>42328</v>
      </c>
      <c r="I765">
        <f>IF(AND(MyRowHidden(ROW())=FALSE,MyRowHidden(ROW()-1)=TRUE),0,(E765-E764)*unitsOfDHp+I764)</f>
        <v>1219540</v>
      </c>
      <c r="J765">
        <f>IF(AND(MyRowHidden(ROW())=FALSE,MyRowHidden(ROW()-1)=TRUE),0,(G765-G764)*unitsOfExo+J764)</f>
        <v>-178802.50000000003</v>
      </c>
      <c r="K765" s="9">
        <f t="shared" si="35"/>
        <v>178802.50000000003</v>
      </c>
      <c r="L765">
        <f t="shared" si="36"/>
        <v>1040737.5</v>
      </c>
    </row>
    <row r="766" spans="1:12" x14ac:dyDescent="0.25">
      <c r="A766" s="1"/>
      <c r="C766" s="1"/>
      <c r="D766" s="1">
        <v>42331</v>
      </c>
      <c r="E766" s="10">
        <v>287632</v>
      </c>
      <c r="F766" s="1">
        <v>42331</v>
      </c>
      <c r="G766">
        <v>-22198.39</v>
      </c>
      <c r="H766" s="1">
        <f t="shared" si="34"/>
        <v>42331</v>
      </c>
      <c r="I766">
        <f>IF(AND(MyRowHidden(ROW())=FALSE,MyRowHidden(ROW()-1)=TRUE),0,(E766-E765)*unitsOfDHp+I765)</f>
        <v>1219540</v>
      </c>
      <c r="J766">
        <f>IF(AND(MyRowHidden(ROW())=FALSE,MyRowHidden(ROW()-1)=TRUE),0,(G766-G765)*unitsOfExo+J765)</f>
        <v>-179093.90000000002</v>
      </c>
      <c r="K766" s="9">
        <f t="shared" si="35"/>
        <v>179093.90000000002</v>
      </c>
      <c r="L766">
        <f t="shared" si="36"/>
        <v>1040446.1</v>
      </c>
    </row>
    <row r="767" spans="1:12" x14ac:dyDescent="0.25">
      <c r="A767" s="1"/>
      <c r="C767" s="1"/>
      <c r="D767" s="1">
        <v>42332</v>
      </c>
      <c r="E767" s="10">
        <v>287632</v>
      </c>
      <c r="F767" s="1">
        <v>42332</v>
      </c>
      <c r="G767">
        <v>-22174.89</v>
      </c>
      <c r="H767" s="1">
        <f t="shared" si="34"/>
        <v>42332</v>
      </c>
      <c r="I767">
        <f>IF(AND(MyRowHidden(ROW())=FALSE,MyRowHidden(ROW()-1)=TRUE),0,(E767-E766)*unitsOfDHp+I766)</f>
        <v>1219540</v>
      </c>
      <c r="J767">
        <f>IF(AND(MyRowHidden(ROW())=FALSE,MyRowHidden(ROW()-1)=TRUE),0,(G767-G766)*unitsOfExo+J766)</f>
        <v>-178858.90000000002</v>
      </c>
      <c r="K767" s="9">
        <f t="shared" si="35"/>
        <v>178858.90000000002</v>
      </c>
      <c r="L767">
        <f t="shared" si="36"/>
        <v>1040681.1</v>
      </c>
    </row>
    <row r="768" spans="1:12" x14ac:dyDescent="0.25">
      <c r="A768" s="1"/>
      <c r="C768" s="1"/>
      <c r="D768" s="1">
        <v>42333</v>
      </c>
      <c r="E768" s="10">
        <v>287560</v>
      </c>
      <c r="F768" s="1">
        <v>42333</v>
      </c>
      <c r="G768">
        <v>-22166.43</v>
      </c>
      <c r="H768" s="1">
        <f t="shared" si="34"/>
        <v>42333</v>
      </c>
      <c r="I768">
        <f>IF(AND(MyRowHidden(ROW())=FALSE,MyRowHidden(ROW()-1)=TRUE),0,(E768-E767)*unitsOfDHp+I767)</f>
        <v>1218820</v>
      </c>
      <c r="J768">
        <f>IF(AND(MyRowHidden(ROW())=FALSE,MyRowHidden(ROW()-1)=TRUE),0,(G768-G767)*unitsOfExo+J767)</f>
        <v>-178774.30000000005</v>
      </c>
      <c r="K768" s="9">
        <f t="shared" si="35"/>
        <v>178774.30000000005</v>
      </c>
      <c r="L768">
        <f t="shared" si="36"/>
        <v>1040045.7</v>
      </c>
    </row>
    <row r="769" spans="1:12" x14ac:dyDescent="0.25">
      <c r="A769" s="1"/>
      <c r="C769" s="1"/>
      <c r="D769" s="1">
        <v>42334</v>
      </c>
      <c r="E769" s="10">
        <v>287560</v>
      </c>
      <c r="F769" s="1">
        <v>42334</v>
      </c>
      <c r="G769">
        <v>-22166.43</v>
      </c>
      <c r="H769" s="1">
        <f t="shared" si="34"/>
        <v>42334</v>
      </c>
      <c r="I769">
        <f>IF(AND(MyRowHidden(ROW())=FALSE,MyRowHidden(ROW()-1)=TRUE),0,(E769-E768)*unitsOfDHp+I768)</f>
        <v>1218820</v>
      </c>
      <c r="J769">
        <f>IF(AND(MyRowHidden(ROW())=FALSE,MyRowHidden(ROW()-1)=TRUE),0,(G769-G768)*unitsOfExo+J768)</f>
        <v>-178774.30000000005</v>
      </c>
      <c r="K769" s="9">
        <f t="shared" si="35"/>
        <v>178774.30000000005</v>
      </c>
      <c r="L769">
        <f t="shared" si="36"/>
        <v>1040045.7</v>
      </c>
    </row>
    <row r="770" spans="1:12" x14ac:dyDescent="0.25">
      <c r="A770" s="1"/>
      <c r="C770" s="1"/>
      <c r="D770" s="1">
        <v>42335</v>
      </c>
      <c r="E770" s="10">
        <v>287560</v>
      </c>
      <c r="F770" s="1">
        <v>42335</v>
      </c>
      <c r="G770">
        <v>-22166.43</v>
      </c>
      <c r="H770" s="1">
        <f t="shared" si="34"/>
        <v>42335</v>
      </c>
      <c r="I770">
        <f>IF(AND(MyRowHidden(ROW())=FALSE,MyRowHidden(ROW()-1)=TRUE),0,(E770-E769)*unitsOfDHp+I769)</f>
        <v>1218820</v>
      </c>
      <c r="J770">
        <f>IF(AND(MyRowHidden(ROW())=FALSE,MyRowHidden(ROW()-1)=TRUE),0,(G770-G769)*unitsOfExo+J769)</f>
        <v>-178774.30000000005</v>
      </c>
      <c r="K770" s="9">
        <f t="shared" si="35"/>
        <v>178774.30000000005</v>
      </c>
      <c r="L770">
        <f t="shared" si="36"/>
        <v>1040045.7</v>
      </c>
    </row>
    <row r="771" spans="1:12" x14ac:dyDescent="0.25">
      <c r="A771" s="1"/>
      <c r="C771" s="1"/>
      <c r="D771" s="1">
        <v>42338</v>
      </c>
      <c r="E771" s="10">
        <v>287560</v>
      </c>
      <c r="F771" s="1">
        <v>42338</v>
      </c>
      <c r="G771">
        <v>-22163.14</v>
      </c>
      <c r="H771" s="1">
        <f t="shared" si="34"/>
        <v>42338</v>
      </c>
      <c r="I771">
        <f>IF(AND(MyRowHidden(ROW())=FALSE,MyRowHidden(ROW()-1)=TRUE),0,(E771-E770)*unitsOfDHp+I770)</f>
        <v>1218820</v>
      </c>
      <c r="J771">
        <f>IF(AND(MyRowHidden(ROW())=FALSE,MyRowHidden(ROW()-1)=TRUE),0,(G771-G770)*unitsOfExo+J770)</f>
        <v>-178741.40000000002</v>
      </c>
      <c r="K771" s="9">
        <f t="shared" si="35"/>
        <v>178741.40000000002</v>
      </c>
      <c r="L771">
        <f t="shared" si="36"/>
        <v>1040078.6</v>
      </c>
    </row>
    <row r="772" spans="1:12" x14ac:dyDescent="0.25">
      <c r="A772" s="1"/>
      <c r="C772" s="1"/>
      <c r="D772" s="1">
        <v>42339</v>
      </c>
      <c r="E772" s="10">
        <v>287500</v>
      </c>
      <c r="F772" s="1">
        <v>42339</v>
      </c>
      <c r="G772">
        <v>-22040.25</v>
      </c>
      <c r="H772" s="1">
        <f t="shared" si="34"/>
        <v>42339</v>
      </c>
      <c r="I772">
        <f>IF(AND(MyRowHidden(ROW())=FALSE,MyRowHidden(ROW()-1)=TRUE),0,(E772-E771)*unitsOfDHp+I771)</f>
        <v>1218220</v>
      </c>
      <c r="J772">
        <f>IF(AND(MyRowHidden(ROW())=FALSE,MyRowHidden(ROW()-1)=TRUE),0,(G772-G771)*unitsOfExo+J771)</f>
        <v>-177512.50000000003</v>
      </c>
      <c r="K772" s="9">
        <f t="shared" si="35"/>
        <v>177512.50000000003</v>
      </c>
      <c r="L772">
        <f t="shared" si="36"/>
        <v>1040707.5</v>
      </c>
    </row>
    <row r="773" spans="1:12" x14ac:dyDescent="0.25">
      <c r="A773" s="1"/>
      <c r="C773" s="1"/>
      <c r="D773" s="1">
        <v>42340</v>
      </c>
      <c r="E773" s="10">
        <v>287500</v>
      </c>
      <c r="F773" s="1">
        <v>42340</v>
      </c>
      <c r="G773">
        <v>-22040.25</v>
      </c>
      <c r="H773" s="1">
        <f t="shared" si="34"/>
        <v>42340</v>
      </c>
      <c r="I773">
        <f>IF(AND(MyRowHidden(ROW())=FALSE,MyRowHidden(ROW()-1)=TRUE),0,(E773-E772)*unitsOfDHp+I772)</f>
        <v>1218220</v>
      </c>
      <c r="J773">
        <f>IF(AND(MyRowHidden(ROW())=FALSE,MyRowHidden(ROW()-1)=TRUE),0,(G773-G772)*unitsOfExo+J772)</f>
        <v>-177512.50000000003</v>
      </c>
      <c r="K773" s="9">
        <f t="shared" si="35"/>
        <v>177512.50000000003</v>
      </c>
      <c r="L773">
        <f t="shared" si="36"/>
        <v>1040707.5</v>
      </c>
    </row>
    <row r="774" spans="1:12" x14ac:dyDescent="0.25">
      <c r="A774" s="1"/>
      <c r="C774" s="1"/>
      <c r="D774" s="1">
        <v>42341</v>
      </c>
      <c r="E774" s="10">
        <v>287500</v>
      </c>
      <c r="F774" s="1">
        <v>42341</v>
      </c>
      <c r="G774">
        <v>-22040.25</v>
      </c>
      <c r="H774" s="1">
        <f t="shared" si="34"/>
        <v>42341</v>
      </c>
      <c r="I774">
        <f>IF(AND(MyRowHidden(ROW())=FALSE,MyRowHidden(ROW()-1)=TRUE),0,(E774-E773)*unitsOfDHp+I773)</f>
        <v>1218220</v>
      </c>
      <c r="J774">
        <f>IF(AND(MyRowHidden(ROW())=FALSE,MyRowHidden(ROW()-1)=TRUE),0,(G774-G773)*unitsOfExo+J773)</f>
        <v>-177512.50000000003</v>
      </c>
      <c r="K774" s="9">
        <f t="shared" si="35"/>
        <v>177512.50000000003</v>
      </c>
      <c r="L774">
        <f t="shared" si="36"/>
        <v>1040707.5</v>
      </c>
    </row>
    <row r="775" spans="1:12" x14ac:dyDescent="0.25">
      <c r="A775" s="1"/>
      <c r="C775" s="1"/>
      <c r="D775" s="1">
        <v>42342</v>
      </c>
      <c r="E775" s="10">
        <v>292800</v>
      </c>
      <c r="F775" s="1">
        <v>42342</v>
      </c>
      <c r="G775">
        <v>-22091.01</v>
      </c>
      <c r="H775" s="1">
        <f t="shared" si="34"/>
        <v>42342</v>
      </c>
      <c r="I775">
        <f>IF(AND(MyRowHidden(ROW())=FALSE,MyRowHidden(ROW()-1)=TRUE),0,(E775-E774)*unitsOfDHp+I774)</f>
        <v>1271220</v>
      </c>
      <c r="J775">
        <f>IF(AND(MyRowHidden(ROW())=FALSE,MyRowHidden(ROW()-1)=TRUE),0,(G775-G774)*unitsOfExo+J774)</f>
        <v>-178020.1</v>
      </c>
      <c r="K775" s="9">
        <f t="shared" si="35"/>
        <v>178020.1</v>
      </c>
      <c r="L775">
        <f t="shared" si="36"/>
        <v>1093199.8999999999</v>
      </c>
    </row>
    <row r="776" spans="1:12" x14ac:dyDescent="0.25">
      <c r="A776" s="1"/>
      <c r="C776" s="1"/>
      <c r="D776" s="1">
        <v>42345</v>
      </c>
      <c r="E776" s="10">
        <v>301648</v>
      </c>
      <c r="F776" s="1">
        <v>42345</v>
      </c>
      <c r="G776">
        <v>-22283.24</v>
      </c>
      <c r="H776" s="1">
        <f t="shared" si="34"/>
        <v>42345</v>
      </c>
      <c r="I776">
        <f>IF(AND(MyRowHidden(ROW())=FALSE,MyRowHidden(ROW()-1)=TRUE),0,(E776-E775)*unitsOfDHp+I775)</f>
        <v>1359700</v>
      </c>
      <c r="J776">
        <f>IF(AND(MyRowHidden(ROW())=FALSE,MyRowHidden(ROW()-1)=TRUE),0,(G776-G775)*unitsOfExo+J775)</f>
        <v>-179942.40000000002</v>
      </c>
      <c r="K776" s="9">
        <f t="shared" si="35"/>
        <v>179942.40000000002</v>
      </c>
      <c r="L776">
        <f t="shared" si="36"/>
        <v>1179757.6000000001</v>
      </c>
    </row>
    <row r="777" spans="1:12" x14ac:dyDescent="0.25">
      <c r="A777" s="1"/>
      <c r="C777" s="1"/>
      <c r="D777" s="1">
        <v>42346</v>
      </c>
      <c r="E777" s="10">
        <v>301764</v>
      </c>
      <c r="F777" s="1">
        <v>42346</v>
      </c>
      <c r="G777">
        <v>-22146.94</v>
      </c>
      <c r="H777" s="1">
        <f t="shared" si="34"/>
        <v>42346</v>
      </c>
      <c r="I777">
        <f>IF(AND(MyRowHidden(ROW())=FALSE,MyRowHidden(ROW()-1)=TRUE),0,(E777-E776)*unitsOfDHp+I776)</f>
        <v>1360860</v>
      </c>
      <c r="J777">
        <f>IF(AND(MyRowHidden(ROW())=FALSE,MyRowHidden(ROW()-1)=TRUE),0,(G777-G776)*unitsOfExo+J776)</f>
        <v>-178579.4</v>
      </c>
      <c r="K777" s="9">
        <f t="shared" si="35"/>
        <v>178579.4</v>
      </c>
      <c r="L777">
        <f t="shared" si="36"/>
        <v>1182280.6000000001</v>
      </c>
    </row>
    <row r="778" spans="1:12" x14ac:dyDescent="0.25">
      <c r="A778" s="1"/>
      <c r="C778" s="1"/>
      <c r="D778" s="1">
        <v>42347</v>
      </c>
      <c r="E778" s="10">
        <v>303764</v>
      </c>
      <c r="F778" s="1">
        <v>42347</v>
      </c>
      <c r="G778">
        <v>-22146.94</v>
      </c>
      <c r="H778" s="1">
        <f t="shared" si="34"/>
        <v>42347</v>
      </c>
      <c r="I778">
        <f>IF(AND(MyRowHidden(ROW())=FALSE,MyRowHidden(ROW()-1)=TRUE),0,(E778-E777)*unitsOfDHp+I777)</f>
        <v>1380860</v>
      </c>
      <c r="J778">
        <f>IF(AND(MyRowHidden(ROW())=FALSE,MyRowHidden(ROW()-1)=TRUE),0,(G778-G777)*unitsOfExo+J777)</f>
        <v>-178579.4</v>
      </c>
      <c r="K778" s="9">
        <f t="shared" si="35"/>
        <v>178579.4</v>
      </c>
      <c r="L778">
        <f t="shared" si="36"/>
        <v>1202280.6000000001</v>
      </c>
    </row>
    <row r="779" spans="1:12" x14ac:dyDescent="0.25">
      <c r="A779" s="1"/>
      <c r="C779" s="1"/>
      <c r="D779" s="1">
        <v>42348</v>
      </c>
      <c r="E779" s="10">
        <v>304752</v>
      </c>
      <c r="F779" s="1">
        <v>42348</v>
      </c>
      <c r="G779">
        <v>-22106.99</v>
      </c>
      <c r="H779" s="1">
        <f t="shared" si="34"/>
        <v>42348</v>
      </c>
      <c r="I779">
        <f>IF(AND(MyRowHidden(ROW())=FALSE,MyRowHidden(ROW()-1)=TRUE),0,(E779-E778)*unitsOfDHp+I778)</f>
        <v>1390740</v>
      </c>
      <c r="J779">
        <f>IF(AND(MyRowHidden(ROW())=FALSE,MyRowHidden(ROW()-1)=TRUE),0,(G779-G778)*unitsOfExo+J778)</f>
        <v>-178179.90000000002</v>
      </c>
      <c r="K779" s="9">
        <f t="shared" si="35"/>
        <v>178179.90000000002</v>
      </c>
      <c r="L779">
        <f t="shared" si="36"/>
        <v>1212560.1000000001</v>
      </c>
    </row>
    <row r="780" spans="1:12" x14ac:dyDescent="0.25">
      <c r="A780" s="1"/>
      <c r="C780" s="1"/>
      <c r="D780" s="1">
        <v>42349</v>
      </c>
      <c r="E780" s="10">
        <v>307108</v>
      </c>
      <c r="F780" s="1">
        <v>42349</v>
      </c>
      <c r="G780">
        <v>-22144.59</v>
      </c>
      <c r="H780" s="1">
        <f t="shared" si="34"/>
        <v>42349</v>
      </c>
      <c r="I780">
        <f>IF(AND(MyRowHidden(ROW())=FALSE,MyRowHidden(ROW()-1)=TRUE),0,(E780-E779)*unitsOfDHp+I779)</f>
        <v>1414300</v>
      </c>
      <c r="J780">
        <f>IF(AND(MyRowHidden(ROW())=FALSE,MyRowHidden(ROW()-1)=TRUE),0,(G780-G779)*unitsOfExo+J779)</f>
        <v>-178555.90000000002</v>
      </c>
      <c r="K780" s="9">
        <f t="shared" si="35"/>
        <v>178555.90000000002</v>
      </c>
      <c r="L780">
        <f t="shared" si="36"/>
        <v>1235744.1000000001</v>
      </c>
    </row>
    <row r="781" spans="1:12" x14ac:dyDescent="0.25">
      <c r="A781" s="1"/>
      <c r="C781" s="1"/>
      <c r="D781" s="1">
        <v>42352</v>
      </c>
      <c r="E781" s="10">
        <v>306598</v>
      </c>
      <c r="F781" s="1">
        <v>42352</v>
      </c>
      <c r="G781">
        <v>-22178.9</v>
      </c>
      <c r="H781" s="1">
        <f t="shared" ref="H781:H844" si="37">D781</f>
        <v>42352</v>
      </c>
      <c r="I781">
        <f>IF(AND(MyRowHidden(ROW())=FALSE,MyRowHidden(ROW()-1)=TRUE),0,(E781-E780)*unitsOfDHp+I780)</f>
        <v>1409200</v>
      </c>
      <c r="J781">
        <f>IF(AND(MyRowHidden(ROW())=FALSE,MyRowHidden(ROW()-1)=TRUE),0,(G781-G780)*unitsOfExo+J780)</f>
        <v>-178899.00000000003</v>
      </c>
      <c r="K781" s="9">
        <f t="shared" ref="K781:K844" si="38">-(J781-J780)+K780</f>
        <v>178899.00000000003</v>
      </c>
      <c r="L781">
        <f t="shared" ref="L781:L844" si="39">I781+J781</f>
        <v>1230301</v>
      </c>
    </row>
    <row r="782" spans="1:12" x14ac:dyDescent="0.25">
      <c r="A782" s="1"/>
      <c r="C782" s="1"/>
      <c r="D782" s="1">
        <v>42353</v>
      </c>
      <c r="E782" s="10">
        <v>303958</v>
      </c>
      <c r="F782" s="1">
        <v>42353</v>
      </c>
      <c r="G782">
        <v>-22178.9</v>
      </c>
      <c r="H782" s="1">
        <f t="shared" si="37"/>
        <v>42353</v>
      </c>
      <c r="I782">
        <f>IF(AND(MyRowHidden(ROW())=FALSE,MyRowHidden(ROW()-1)=TRUE),0,(E782-E781)*unitsOfDHp+I781)</f>
        <v>1382800</v>
      </c>
      <c r="J782">
        <f>IF(AND(MyRowHidden(ROW())=FALSE,MyRowHidden(ROW()-1)=TRUE),0,(G782-G781)*unitsOfExo+J781)</f>
        <v>-178899.00000000003</v>
      </c>
      <c r="K782" s="9">
        <f t="shared" si="38"/>
        <v>178899.00000000003</v>
      </c>
      <c r="L782">
        <f t="shared" si="39"/>
        <v>1203901</v>
      </c>
    </row>
    <row r="783" spans="1:12" x14ac:dyDescent="0.25">
      <c r="A783" s="1"/>
      <c r="C783" s="1"/>
      <c r="D783" s="1">
        <v>42354</v>
      </c>
      <c r="E783" s="10">
        <v>307838</v>
      </c>
      <c r="F783" s="1">
        <v>42354</v>
      </c>
      <c r="G783">
        <v>-22178.9</v>
      </c>
      <c r="H783" s="1">
        <f t="shared" si="37"/>
        <v>42354</v>
      </c>
      <c r="I783">
        <f>IF(AND(MyRowHidden(ROW())=FALSE,MyRowHidden(ROW()-1)=TRUE),0,(E783-E782)*unitsOfDHp+I782)</f>
        <v>1421600</v>
      </c>
      <c r="J783">
        <f>IF(AND(MyRowHidden(ROW())=FALSE,MyRowHidden(ROW()-1)=TRUE),0,(G783-G782)*unitsOfExo+J782)</f>
        <v>-178899.00000000003</v>
      </c>
      <c r="K783" s="9">
        <f t="shared" si="38"/>
        <v>178899.00000000003</v>
      </c>
      <c r="L783">
        <f t="shared" si="39"/>
        <v>1242701</v>
      </c>
    </row>
    <row r="784" spans="1:12" x14ac:dyDescent="0.25">
      <c r="A784" s="1"/>
      <c r="C784" s="1"/>
      <c r="D784" s="1">
        <v>42355</v>
      </c>
      <c r="E784" s="10">
        <v>309768</v>
      </c>
      <c r="F784" s="1">
        <v>42355</v>
      </c>
      <c r="G784">
        <v>-22152.58</v>
      </c>
      <c r="H784" s="1">
        <f t="shared" si="37"/>
        <v>42355</v>
      </c>
      <c r="I784">
        <f>IF(AND(MyRowHidden(ROW())=FALSE,MyRowHidden(ROW()-1)=TRUE),0,(E784-E783)*unitsOfDHp+I783)</f>
        <v>1440900</v>
      </c>
      <c r="J784">
        <f>IF(AND(MyRowHidden(ROW())=FALSE,MyRowHidden(ROW()-1)=TRUE),0,(G784-G783)*unitsOfExo+J783)</f>
        <v>-178635.80000000005</v>
      </c>
      <c r="K784" s="9">
        <f t="shared" si="38"/>
        <v>178635.80000000005</v>
      </c>
      <c r="L784">
        <f t="shared" si="39"/>
        <v>1262264.2</v>
      </c>
    </row>
    <row r="785" spans="1:12" x14ac:dyDescent="0.25">
      <c r="A785" s="1"/>
      <c r="C785" s="1"/>
      <c r="D785" s="1">
        <v>42356</v>
      </c>
      <c r="E785" s="10">
        <v>310188</v>
      </c>
      <c r="F785" s="1">
        <v>42356</v>
      </c>
      <c r="G785">
        <v>-22152.58</v>
      </c>
      <c r="H785" s="1">
        <f t="shared" si="37"/>
        <v>42356</v>
      </c>
      <c r="I785">
        <f>IF(AND(MyRowHidden(ROW())=FALSE,MyRowHidden(ROW()-1)=TRUE),0,(E785-E784)*unitsOfDHp+I784)</f>
        <v>1445100</v>
      </c>
      <c r="J785">
        <f>IF(AND(MyRowHidden(ROW())=FALSE,MyRowHidden(ROW()-1)=TRUE),0,(G785-G784)*unitsOfExo+J784)</f>
        <v>-178635.80000000005</v>
      </c>
      <c r="K785" s="9">
        <f t="shared" si="38"/>
        <v>178635.80000000005</v>
      </c>
      <c r="L785">
        <f t="shared" si="39"/>
        <v>1266464.2</v>
      </c>
    </row>
    <row r="786" spans="1:12" x14ac:dyDescent="0.25">
      <c r="A786" s="1"/>
      <c r="C786" s="1"/>
      <c r="D786" s="1">
        <v>42359</v>
      </c>
      <c r="E786" s="10">
        <v>310678</v>
      </c>
      <c r="F786" s="1">
        <v>42359</v>
      </c>
      <c r="G786">
        <v>-22152.58</v>
      </c>
      <c r="H786" s="1">
        <f t="shared" si="37"/>
        <v>42359</v>
      </c>
      <c r="I786">
        <f>IF(AND(MyRowHidden(ROW())=FALSE,MyRowHidden(ROW()-1)=TRUE),0,(E786-E785)*unitsOfDHp+I785)</f>
        <v>1450000</v>
      </c>
      <c r="J786">
        <f>IF(AND(MyRowHidden(ROW())=FALSE,MyRowHidden(ROW()-1)=TRUE),0,(G786-G785)*unitsOfExo+J785)</f>
        <v>-178635.80000000005</v>
      </c>
      <c r="K786" s="9">
        <f t="shared" si="38"/>
        <v>178635.80000000005</v>
      </c>
      <c r="L786">
        <f t="shared" si="39"/>
        <v>1271364.2</v>
      </c>
    </row>
    <row r="787" spans="1:12" x14ac:dyDescent="0.25">
      <c r="A787" s="1"/>
      <c r="C787" s="1"/>
      <c r="D787" s="1">
        <v>42360</v>
      </c>
      <c r="E787" s="10">
        <v>310118</v>
      </c>
      <c r="F787" s="1">
        <v>42360</v>
      </c>
      <c r="G787">
        <v>-22133.78</v>
      </c>
      <c r="H787" s="1">
        <f t="shared" si="37"/>
        <v>42360</v>
      </c>
      <c r="I787">
        <f>IF(AND(MyRowHidden(ROW())=FALSE,MyRowHidden(ROW()-1)=TRUE),0,(E787-E786)*unitsOfDHp+I786)</f>
        <v>1444400</v>
      </c>
      <c r="J787">
        <f>IF(AND(MyRowHidden(ROW())=FALSE,MyRowHidden(ROW()-1)=TRUE),0,(G787-G786)*unitsOfExo+J786)</f>
        <v>-178447.80000000002</v>
      </c>
      <c r="K787" s="9">
        <f t="shared" si="38"/>
        <v>178447.80000000002</v>
      </c>
      <c r="L787">
        <f t="shared" si="39"/>
        <v>1265952.2</v>
      </c>
    </row>
    <row r="788" spans="1:12" x14ac:dyDescent="0.25">
      <c r="A788" s="1"/>
      <c r="C788" s="1"/>
      <c r="D788" s="1">
        <v>42361</v>
      </c>
      <c r="E788" s="10">
        <v>307168</v>
      </c>
      <c r="F788" s="1">
        <v>42361</v>
      </c>
      <c r="G788">
        <v>-22133.78</v>
      </c>
      <c r="H788" s="1">
        <f t="shared" si="37"/>
        <v>42361</v>
      </c>
      <c r="I788">
        <f>IF(AND(MyRowHidden(ROW())=FALSE,MyRowHidden(ROW()-1)=TRUE),0,(E788-E787)*unitsOfDHp+I787)</f>
        <v>1414900</v>
      </c>
      <c r="J788">
        <f>IF(AND(MyRowHidden(ROW())=FALSE,MyRowHidden(ROW()-1)=TRUE),0,(G788-G787)*unitsOfExo+J787)</f>
        <v>-178447.80000000002</v>
      </c>
      <c r="K788" s="9">
        <f t="shared" si="38"/>
        <v>178447.80000000002</v>
      </c>
      <c r="L788">
        <f t="shared" si="39"/>
        <v>1236452.2</v>
      </c>
    </row>
    <row r="789" spans="1:12" x14ac:dyDescent="0.25">
      <c r="A789" s="1"/>
      <c r="C789" s="1"/>
      <c r="D789" s="1">
        <v>42362</v>
      </c>
      <c r="E789" s="10">
        <v>305888</v>
      </c>
      <c r="F789" s="1">
        <v>42362</v>
      </c>
      <c r="G789">
        <v>-22133.78</v>
      </c>
      <c r="H789" s="1">
        <f t="shared" si="37"/>
        <v>42362</v>
      </c>
      <c r="I789">
        <f>IF(AND(MyRowHidden(ROW())=FALSE,MyRowHidden(ROW()-1)=TRUE),0,(E789-E788)*unitsOfDHp+I788)</f>
        <v>1402100</v>
      </c>
      <c r="J789">
        <f>IF(AND(MyRowHidden(ROW())=FALSE,MyRowHidden(ROW()-1)=TRUE),0,(G789-G788)*unitsOfExo+J788)</f>
        <v>-178447.80000000002</v>
      </c>
      <c r="K789" s="9">
        <f t="shared" si="38"/>
        <v>178447.80000000002</v>
      </c>
      <c r="L789">
        <f t="shared" si="39"/>
        <v>1223652.2</v>
      </c>
    </row>
    <row r="790" spans="1:12" x14ac:dyDescent="0.25">
      <c r="A790" s="1"/>
      <c r="C790" s="1"/>
      <c r="D790" s="1">
        <v>42363</v>
      </c>
      <c r="E790" s="10">
        <v>305998</v>
      </c>
      <c r="F790" s="1">
        <v>42363</v>
      </c>
      <c r="G790">
        <v>-22133.78</v>
      </c>
      <c r="H790" s="1">
        <f t="shared" si="37"/>
        <v>42363</v>
      </c>
      <c r="I790">
        <f>IF(AND(MyRowHidden(ROW())=FALSE,MyRowHidden(ROW()-1)=TRUE),0,(E790-E789)*unitsOfDHp+I789)</f>
        <v>1403200</v>
      </c>
      <c r="J790">
        <f>IF(AND(MyRowHidden(ROW())=FALSE,MyRowHidden(ROW()-1)=TRUE),0,(G790-G789)*unitsOfExo+J789)</f>
        <v>-178447.80000000002</v>
      </c>
      <c r="K790" s="9">
        <f t="shared" si="38"/>
        <v>178447.80000000002</v>
      </c>
      <c r="L790">
        <f t="shared" si="39"/>
        <v>1224752.2</v>
      </c>
    </row>
    <row r="791" spans="1:12" x14ac:dyDescent="0.25">
      <c r="A791" s="1"/>
      <c r="C791" s="1"/>
      <c r="D791" s="1">
        <v>42366</v>
      </c>
      <c r="E791" s="10">
        <v>308708</v>
      </c>
      <c r="F791" s="1">
        <v>42366</v>
      </c>
      <c r="G791">
        <v>-22122.97</v>
      </c>
      <c r="H791" s="1">
        <f t="shared" si="37"/>
        <v>42366</v>
      </c>
      <c r="I791">
        <f>IF(AND(MyRowHidden(ROW())=FALSE,MyRowHidden(ROW()-1)=TRUE),0,(E791-E790)*unitsOfDHp+I790)</f>
        <v>1430300</v>
      </c>
      <c r="J791">
        <f>IF(AND(MyRowHidden(ROW())=FALSE,MyRowHidden(ROW()-1)=TRUE),0,(G791-G790)*unitsOfExo+J790)</f>
        <v>-178339.70000000004</v>
      </c>
      <c r="K791" s="9">
        <f t="shared" si="38"/>
        <v>178339.70000000004</v>
      </c>
      <c r="L791">
        <f t="shared" si="39"/>
        <v>1251960.3</v>
      </c>
    </row>
    <row r="792" spans="1:12" x14ac:dyDescent="0.25">
      <c r="A792" s="1"/>
      <c r="C792" s="1"/>
      <c r="D792" s="1">
        <v>42367</v>
      </c>
      <c r="E792" s="10">
        <v>306318</v>
      </c>
      <c r="F792" s="1">
        <v>42367</v>
      </c>
      <c r="G792">
        <v>-22138.95</v>
      </c>
      <c r="H792" s="1">
        <f t="shared" si="37"/>
        <v>42367</v>
      </c>
      <c r="I792">
        <f>IF(AND(MyRowHidden(ROW())=FALSE,MyRowHidden(ROW()-1)=TRUE),0,(E792-E791)*unitsOfDHp+I791)</f>
        <v>1406400</v>
      </c>
      <c r="J792">
        <f>IF(AND(MyRowHidden(ROW())=FALSE,MyRowHidden(ROW()-1)=TRUE),0,(G792-G791)*unitsOfExo+J791)</f>
        <v>-178499.50000000003</v>
      </c>
      <c r="K792" s="9">
        <f t="shared" si="38"/>
        <v>178499.50000000003</v>
      </c>
      <c r="L792">
        <f t="shared" si="39"/>
        <v>1227900.5</v>
      </c>
    </row>
    <row r="793" spans="1:12" x14ac:dyDescent="0.25">
      <c r="A793" s="1"/>
      <c r="C793" s="1"/>
      <c r="D793" s="1">
        <v>42368</v>
      </c>
      <c r="E793" s="10">
        <v>309370</v>
      </c>
      <c r="F793" s="1">
        <v>42368</v>
      </c>
      <c r="G793">
        <v>-22149.759999999998</v>
      </c>
      <c r="H793" s="1">
        <f t="shared" si="37"/>
        <v>42368</v>
      </c>
      <c r="I793">
        <f>IF(AND(MyRowHidden(ROW())=FALSE,MyRowHidden(ROW()-1)=TRUE),0,(E793-E792)*unitsOfDHp+I792)</f>
        <v>1436920</v>
      </c>
      <c r="J793">
        <f>IF(AND(MyRowHidden(ROW())=FALSE,MyRowHidden(ROW()-1)=TRUE),0,(G793-G792)*unitsOfExo+J792)</f>
        <v>-178607.6</v>
      </c>
      <c r="K793" s="9">
        <f t="shared" si="38"/>
        <v>178607.6</v>
      </c>
      <c r="L793">
        <f t="shared" si="39"/>
        <v>1258312.3999999999</v>
      </c>
    </row>
    <row r="794" spans="1:12" x14ac:dyDescent="0.25">
      <c r="A794" s="1"/>
      <c r="C794" s="1"/>
      <c r="D794" s="1">
        <v>42369</v>
      </c>
      <c r="E794" s="10">
        <v>307884</v>
      </c>
      <c r="F794" s="1">
        <v>42369</v>
      </c>
      <c r="G794">
        <v>-22154.93</v>
      </c>
      <c r="H794" s="1">
        <f t="shared" si="37"/>
        <v>42369</v>
      </c>
      <c r="I794">
        <f>IF(AND(MyRowHidden(ROW())=FALSE,MyRowHidden(ROW()-1)=TRUE),0,(E794-E793)*unitsOfDHp+I793)</f>
        <v>1422060</v>
      </c>
      <c r="J794">
        <f>IF(AND(MyRowHidden(ROW())=FALSE,MyRowHidden(ROW()-1)=TRUE),0,(G794-G793)*unitsOfExo+J793)</f>
        <v>-178659.30000000002</v>
      </c>
      <c r="K794" s="9">
        <f t="shared" si="38"/>
        <v>178659.30000000002</v>
      </c>
      <c r="L794">
        <f t="shared" si="39"/>
        <v>1243400.7</v>
      </c>
    </row>
    <row r="795" spans="1:12" x14ac:dyDescent="0.25">
      <c r="A795" s="1"/>
      <c r="C795" s="1"/>
      <c r="D795" s="1">
        <v>42370</v>
      </c>
      <c r="E795" s="10">
        <v>307154</v>
      </c>
      <c r="F795" s="1">
        <v>42370</v>
      </c>
      <c r="G795">
        <v>-22169.75</v>
      </c>
      <c r="H795" s="1">
        <f t="shared" si="37"/>
        <v>42370</v>
      </c>
      <c r="I795">
        <f>IF(AND(MyRowHidden(ROW())=FALSE,MyRowHidden(ROW()-1)=TRUE),0,(E795-E794)*unitsOfDHp+I794)</f>
        <v>1414760</v>
      </c>
      <c r="J795">
        <f>IF(AND(MyRowHidden(ROW())=FALSE,MyRowHidden(ROW()-1)=TRUE),0,(G795-G794)*unitsOfExo+J794)</f>
        <v>-178807.5</v>
      </c>
      <c r="K795" s="9">
        <f t="shared" si="38"/>
        <v>178807.5</v>
      </c>
      <c r="L795">
        <f t="shared" si="39"/>
        <v>1235952.5</v>
      </c>
    </row>
    <row r="796" spans="1:12" x14ac:dyDescent="0.25">
      <c r="A796" s="1"/>
      <c r="C796" s="1"/>
      <c r="D796" s="1">
        <v>42373</v>
      </c>
      <c r="E796" s="10">
        <v>308534</v>
      </c>
      <c r="F796" s="1">
        <v>42373</v>
      </c>
      <c r="G796">
        <v>-22169.75</v>
      </c>
      <c r="H796" s="1">
        <f t="shared" si="37"/>
        <v>42373</v>
      </c>
      <c r="I796">
        <f>IF(AND(MyRowHidden(ROW())=FALSE,MyRowHidden(ROW()-1)=TRUE),0,(E796-E795)*unitsOfDHp+I795)</f>
        <v>1428560</v>
      </c>
      <c r="J796">
        <f>IF(AND(MyRowHidden(ROW())=FALSE,MyRowHidden(ROW()-1)=TRUE),0,(G796-G795)*unitsOfExo+J795)</f>
        <v>-178807.5</v>
      </c>
      <c r="K796" s="9">
        <f t="shared" si="38"/>
        <v>178807.5</v>
      </c>
      <c r="L796">
        <f t="shared" si="39"/>
        <v>1249752.5</v>
      </c>
    </row>
    <row r="797" spans="1:12" x14ac:dyDescent="0.25">
      <c r="A797" s="1"/>
      <c r="C797" s="1"/>
      <c r="D797" s="1">
        <v>42374</v>
      </c>
      <c r="E797" s="10">
        <v>309382</v>
      </c>
      <c r="F797" s="1">
        <v>42374</v>
      </c>
      <c r="G797">
        <v>-22169.75</v>
      </c>
      <c r="H797" s="1">
        <f t="shared" si="37"/>
        <v>42374</v>
      </c>
      <c r="I797">
        <f>IF(AND(MyRowHidden(ROW())=FALSE,MyRowHidden(ROW()-1)=TRUE),0,(E797-E796)*unitsOfDHp+I796)</f>
        <v>1437040</v>
      </c>
      <c r="J797">
        <f>IF(AND(MyRowHidden(ROW())=FALSE,MyRowHidden(ROW()-1)=TRUE),0,(G797-G796)*unitsOfExo+J796)</f>
        <v>-178807.5</v>
      </c>
      <c r="K797" s="9">
        <f t="shared" si="38"/>
        <v>178807.5</v>
      </c>
      <c r="L797">
        <f t="shared" si="39"/>
        <v>1258232.5</v>
      </c>
    </row>
    <row r="798" spans="1:12" x14ac:dyDescent="0.25">
      <c r="A798" s="1"/>
      <c r="C798" s="1"/>
      <c r="D798" s="1">
        <v>42375</v>
      </c>
      <c r="E798" s="10">
        <v>311788</v>
      </c>
      <c r="F798" s="1">
        <v>42375</v>
      </c>
      <c r="G798">
        <v>-22169.75</v>
      </c>
      <c r="H798" s="1">
        <f t="shared" si="37"/>
        <v>42375</v>
      </c>
      <c r="I798">
        <f>IF(AND(MyRowHidden(ROW())=FALSE,MyRowHidden(ROW()-1)=TRUE),0,(E798-E797)*unitsOfDHp+I797)</f>
        <v>1461100</v>
      </c>
      <c r="J798">
        <f>IF(AND(MyRowHidden(ROW())=FALSE,MyRowHidden(ROW()-1)=TRUE),0,(G798-G797)*unitsOfExo+J797)</f>
        <v>-178807.5</v>
      </c>
      <c r="K798" s="9">
        <f t="shared" si="38"/>
        <v>178807.5</v>
      </c>
      <c r="L798">
        <f t="shared" si="39"/>
        <v>1282292.5</v>
      </c>
    </row>
    <row r="799" spans="1:12" x14ac:dyDescent="0.25">
      <c r="A799" s="1"/>
      <c r="C799" s="1"/>
      <c r="D799" s="1">
        <v>42376</v>
      </c>
      <c r="E799" s="10">
        <v>312238</v>
      </c>
      <c r="F799" s="1">
        <v>42376</v>
      </c>
      <c r="G799">
        <v>-22169.75</v>
      </c>
      <c r="H799" s="1">
        <f t="shared" si="37"/>
        <v>42376</v>
      </c>
      <c r="I799">
        <f>IF(AND(MyRowHidden(ROW())=FALSE,MyRowHidden(ROW()-1)=TRUE),0,(E799-E798)*unitsOfDHp+I798)</f>
        <v>1465600</v>
      </c>
      <c r="J799">
        <f>IF(AND(MyRowHidden(ROW())=FALSE,MyRowHidden(ROW()-1)=TRUE),0,(G799-G798)*unitsOfExo+J798)</f>
        <v>-178807.5</v>
      </c>
      <c r="K799" s="9">
        <f t="shared" si="38"/>
        <v>178807.5</v>
      </c>
      <c r="L799">
        <f t="shared" si="39"/>
        <v>1286792.5</v>
      </c>
    </row>
    <row r="800" spans="1:12" x14ac:dyDescent="0.25">
      <c r="A800" s="1"/>
      <c r="C800" s="1"/>
      <c r="D800" s="1">
        <v>42377</v>
      </c>
      <c r="E800" s="10">
        <v>312526</v>
      </c>
      <c r="F800" s="1">
        <v>42377</v>
      </c>
      <c r="G800">
        <v>-22169.75</v>
      </c>
      <c r="H800" s="1">
        <f t="shared" si="37"/>
        <v>42377</v>
      </c>
      <c r="I800">
        <f>IF(AND(MyRowHidden(ROW())=FALSE,MyRowHidden(ROW()-1)=TRUE),0,(E800-E799)*unitsOfDHp+I799)</f>
        <v>1468480</v>
      </c>
      <c r="J800">
        <f>IF(AND(MyRowHidden(ROW())=FALSE,MyRowHidden(ROW()-1)=TRUE),0,(G800-G799)*unitsOfExo+J799)</f>
        <v>-178807.5</v>
      </c>
      <c r="K800" s="9">
        <f t="shared" si="38"/>
        <v>178807.5</v>
      </c>
      <c r="L800">
        <f t="shared" si="39"/>
        <v>1289672.5</v>
      </c>
    </row>
    <row r="801" spans="1:12" x14ac:dyDescent="0.25">
      <c r="A801" s="1"/>
      <c r="C801" s="1"/>
      <c r="D801" s="1">
        <v>42380</v>
      </c>
      <c r="E801" s="10">
        <v>311512</v>
      </c>
      <c r="F801" s="1">
        <v>42380</v>
      </c>
      <c r="G801">
        <v>-22212.99</v>
      </c>
      <c r="H801" s="1">
        <f t="shared" si="37"/>
        <v>42380</v>
      </c>
      <c r="I801">
        <f>IF(AND(MyRowHidden(ROW())=FALSE,MyRowHidden(ROW()-1)=TRUE),0,(E801-E800)*unitsOfDHp+I800)</f>
        <v>1458340</v>
      </c>
      <c r="J801">
        <f>IF(AND(MyRowHidden(ROW())=FALSE,MyRowHidden(ROW()-1)=TRUE),0,(G801-G800)*unitsOfExo+J800)</f>
        <v>-179239.90000000002</v>
      </c>
      <c r="K801" s="9">
        <f t="shared" si="38"/>
        <v>179239.90000000002</v>
      </c>
      <c r="L801">
        <f t="shared" si="39"/>
        <v>1279100.1000000001</v>
      </c>
    </row>
    <row r="802" spans="1:12" x14ac:dyDescent="0.25">
      <c r="A802" s="1"/>
      <c r="C802" s="1"/>
      <c r="D802" s="1">
        <v>42381</v>
      </c>
      <c r="E802" s="10">
        <v>311222</v>
      </c>
      <c r="F802" s="1">
        <v>42381</v>
      </c>
      <c r="G802">
        <v>-22173.040000000001</v>
      </c>
      <c r="H802" s="1">
        <f t="shared" si="37"/>
        <v>42381</v>
      </c>
      <c r="I802">
        <f>IF(AND(MyRowHidden(ROW())=FALSE,MyRowHidden(ROW()-1)=TRUE),0,(E802-E801)*unitsOfDHp+I801)</f>
        <v>1455440</v>
      </c>
      <c r="J802">
        <f>IF(AND(MyRowHidden(ROW())=FALSE,MyRowHidden(ROW()-1)=TRUE),0,(G802-G801)*unitsOfExo+J801)</f>
        <v>-178840.40000000002</v>
      </c>
      <c r="K802" s="9">
        <f t="shared" si="38"/>
        <v>178840.40000000002</v>
      </c>
      <c r="L802">
        <f t="shared" si="39"/>
        <v>1276599.6000000001</v>
      </c>
    </row>
    <row r="803" spans="1:12" x14ac:dyDescent="0.25">
      <c r="A803" s="1"/>
      <c r="C803" s="1"/>
      <c r="D803" s="1">
        <v>42382</v>
      </c>
      <c r="E803" s="10">
        <v>311292</v>
      </c>
      <c r="F803" s="1">
        <v>42382</v>
      </c>
      <c r="G803">
        <v>-22173.040000000001</v>
      </c>
      <c r="H803" s="1">
        <f t="shared" si="37"/>
        <v>42382</v>
      </c>
      <c r="I803">
        <f>IF(AND(MyRowHidden(ROW())=FALSE,MyRowHidden(ROW()-1)=TRUE),0,(E803-E802)*unitsOfDHp+I802)</f>
        <v>1456140</v>
      </c>
      <c r="J803">
        <f>IF(AND(MyRowHidden(ROW())=FALSE,MyRowHidden(ROW()-1)=TRUE),0,(G803-G802)*unitsOfExo+J802)</f>
        <v>-178840.40000000002</v>
      </c>
      <c r="K803" s="9">
        <f t="shared" si="38"/>
        <v>178840.40000000002</v>
      </c>
      <c r="L803">
        <f t="shared" si="39"/>
        <v>1277299.6000000001</v>
      </c>
    </row>
    <row r="804" spans="1:12" x14ac:dyDescent="0.25">
      <c r="A804" s="1"/>
      <c r="C804" s="1"/>
      <c r="D804" s="1">
        <v>42383</v>
      </c>
      <c r="E804" s="10">
        <v>310902</v>
      </c>
      <c r="F804" s="1">
        <v>42383</v>
      </c>
      <c r="G804">
        <v>-22138.73</v>
      </c>
      <c r="H804" s="1">
        <f t="shared" si="37"/>
        <v>42383</v>
      </c>
      <c r="I804">
        <f>IF(AND(MyRowHidden(ROW())=FALSE,MyRowHidden(ROW()-1)=TRUE),0,(E804-E803)*unitsOfDHp+I803)</f>
        <v>1452240</v>
      </c>
      <c r="J804">
        <f>IF(AND(MyRowHidden(ROW())=FALSE,MyRowHidden(ROW()-1)=TRUE),0,(G804-G803)*unitsOfExo+J803)</f>
        <v>-178497.30000000002</v>
      </c>
      <c r="K804" s="9">
        <f t="shared" si="38"/>
        <v>178497.30000000002</v>
      </c>
      <c r="L804">
        <f t="shared" si="39"/>
        <v>1273742.7</v>
      </c>
    </row>
    <row r="805" spans="1:12" x14ac:dyDescent="0.25">
      <c r="A805" s="1"/>
      <c r="C805" s="1"/>
      <c r="D805" s="1">
        <v>42384</v>
      </c>
      <c r="E805" s="10">
        <v>311382</v>
      </c>
      <c r="F805" s="1">
        <v>42384</v>
      </c>
      <c r="G805">
        <v>-22138.73</v>
      </c>
      <c r="H805" s="1">
        <f t="shared" si="37"/>
        <v>42384</v>
      </c>
      <c r="I805">
        <f>IF(AND(MyRowHidden(ROW())=FALSE,MyRowHidden(ROW()-1)=TRUE),0,(E805-E804)*unitsOfDHp+I804)</f>
        <v>1457040</v>
      </c>
      <c r="J805">
        <f>IF(AND(MyRowHidden(ROW())=FALSE,MyRowHidden(ROW()-1)=TRUE),0,(G805-G804)*unitsOfExo+J804)</f>
        <v>-178497.30000000002</v>
      </c>
      <c r="K805" s="9">
        <f t="shared" si="38"/>
        <v>178497.30000000002</v>
      </c>
      <c r="L805">
        <f t="shared" si="39"/>
        <v>1278542.7</v>
      </c>
    </row>
    <row r="806" spans="1:12" x14ac:dyDescent="0.25">
      <c r="A806" s="1"/>
      <c r="C806" s="1"/>
      <c r="D806" s="1">
        <v>42387</v>
      </c>
      <c r="E806" s="10">
        <v>311782</v>
      </c>
      <c r="F806" s="1">
        <v>42387</v>
      </c>
      <c r="G806">
        <v>-22138.73</v>
      </c>
      <c r="H806" s="1">
        <f t="shared" si="37"/>
        <v>42387</v>
      </c>
      <c r="I806">
        <f>IF(AND(MyRowHidden(ROW())=FALSE,MyRowHidden(ROW()-1)=TRUE),0,(E806-E805)*unitsOfDHp+I805)</f>
        <v>1461040</v>
      </c>
      <c r="J806">
        <f>IF(AND(MyRowHidden(ROW())=FALSE,MyRowHidden(ROW()-1)=TRUE),0,(G806-G805)*unitsOfExo+J805)</f>
        <v>-178497.30000000002</v>
      </c>
      <c r="K806" s="9">
        <f t="shared" si="38"/>
        <v>178497.30000000002</v>
      </c>
      <c r="L806">
        <f t="shared" si="39"/>
        <v>1282542.7</v>
      </c>
    </row>
    <row r="807" spans="1:12" x14ac:dyDescent="0.25">
      <c r="A807" s="1"/>
      <c r="C807" s="1"/>
      <c r="D807" s="1">
        <v>42388</v>
      </c>
      <c r="E807" s="10">
        <v>312242</v>
      </c>
      <c r="F807" s="1">
        <v>42388</v>
      </c>
      <c r="G807">
        <v>-22138.73</v>
      </c>
      <c r="H807" s="1">
        <f t="shared" si="37"/>
        <v>42388</v>
      </c>
      <c r="I807">
        <f>IF(AND(MyRowHidden(ROW())=FALSE,MyRowHidden(ROW()-1)=TRUE),0,(E807-E806)*unitsOfDHp+I806)</f>
        <v>1465640</v>
      </c>
      <c r="J807">
        <f>IF(AND(MyRowHidden(ROW())=FALSE,MyRowHidden(ROW()-1)=TRUE),0,(G807-G806)*unitsOfExo+J806)</f>
        <v>-178497.30000000002</v>
      </c>
      <c r="K807" s="9">
        <f t="shared" si="38"/>
        <v>178497.30000000002</v>
      </c>
      <c r="L807">
        <f t="shared" si="39"/>
        <v>1287142.7</v>
      </c>
    </row>
    <row r="808" spans="1:12" x14ac:dyDescent="0.25">
      <c r="A808" s="1"/>
      <c r="C808" s="1"/>
      <c r="D808" s="1">
        <v>42389</v>
      </c>
      <c r="E808" s="10">
        <v>313202</v>
      </c>
      <c r="F808" s="1">
        <v>42389</v>
      </c>
      <c r="G808">
        <v>-22287.25</v>
      </c>
      <c r="H808" s="1">
        <f t="shared" si="37"/>
        <v>42389</v>
      </c>
      <c r="I808">
        <f>IF(AND(MyRowHidden(ROW())=FALSE,MyRowHidden(ROW()-1)=TRUE),0,(E808-E807)*unitsOfDHp+I807)</f>
        <v>1475240</v>
      </c>
      <c r="J808">
        <f>IF(AND(MyRowHidden(ROW())=FALSE,MyRowHidden(ROW()-1)=TRUE),0,(G808-G807)*unitsOfExo+J807)</f>
        <v>-179982.50000000003</v>
      </c>
      <c r="K808" s="9">
        <f t="shared" si="38"/>
        <v>179982.50000000003</v>
      </c>
      <c r="L808">
        <f t="shared" si="39"/>
        <v>1295257.5</v>
      </c>
    </row>
    <row r="809" spans="1:12" x14ac:dyDescent="0.25">
      <c r="A809" s="1"/>
      <c r="C809" s="1"/>
      <c r="D809" s="1">
        <v>42390</v>
      </c>
      <c r="E809" s="10">
        <v>312382</v>
      </c>
      <c r="F809" s="1">
        <v>42390</v>
      </c>
      <c r="G809">
        <v>-22330.49</v>
      </c>
      <c r="H809" s="1">
        <f t="shared" si="37"/>
        <v>42390</v>
      </c>
      <c r="I809">
        <f>IF(AND(MyRowHidden(ROW())=FALSE,MyRowHidden(ROW()-1)=TRUE),0,(E809-E808)*unitsOfDHp+I808)</f>
        <v>1467040</v>
      </c>
      <c r="J809">
        <f>IF(AND(MyRowHidden(ROW())=FALSE,MyRowHidden(ROW()-1)=TRUE),0,(G809-G808)*unitsOfExo+J808)</f>
        <v>-180414.90000000005</v>
      </c>
      <c r="K809" s="9">
        <f t="shared" si="38"/>
        <v>180414.90000000005</v>
      </c>
      <c r="L809">
        <f t="shared" si="39"/>
        <v>1286625.0999999999</v>
      </c>
    </row>
    <row r="810" spans="1:12" x14ac:dyDescent="0.25">
      <c r="A810" s="1"/>
      <c r="C810" s="1"/>
      <c r="D810" s="1">
        <v>42391</v>
      </c>
      <c r="E810" s="10">
        <v>310342</v>
      </c>
      <c r="F810" s="1">
        <v>42391</v>
      </c>
      <c r="G810">
        <v>-22349.29</v>
      </c>
      <c r="H810" s="1">
        <f t="shared" si="37"/>
        <v>42391</v>
      </c>
      <c r="I810">
        <f>IF(AND(MyRowHidden(ROW())=FALSE,MyRowHidden(ROW()-1)=TRUE),0,(E810-E809)*unitsOfDHp+I809)</f>
        <v>1446640</v>
      </c>
      <c r="J810">
        <f>IF(AND(MyRowHidden(ROW())=FALSE,MyRowHidden(ROW()-1)=TRUE),0,(G810-G809)*unitsOfExo+J809)</f>
        <v>-180602.90000000005</v>
      </c>
      <c r="K810" s="9">
        <f t="shared" si="38"/>
        <v>180602.90000000005</v>
      </c>
      <c r="L810">
        <f t="shared" si="39"/>
        <v>1266037.0999999999</v>
      </c>
    </row>
    <row r="811" spans="1:12" x14ac:dyDescent="0.25">
      <c r="A811" s="1"/>
      <c r="C811" s="1"/>
      <c r="D811" s="1">
        <v>42394</v>
      </c>
      <c r="E811" s="10">
        <v>310852</v>
      </c>
      <c r="F811" s="1">
        <v>42394</v>
      </c>
      <c r="G811">
        <v>-22395.35</v>
      </c>
      <c r="H811" s="1">
        <f t="shared" si="37"/>
        <v>42394</v>
      </c>
      <c r="I811">
        <f>IF(AND(MyRowHidden(ROW())=FALSE,MyRowHidden(ROW()-1)=TRUE),0,(E811-E810)*unitsOfDHp+I810)</f>
        <v>1451740</v>
      </c>
      <c r="J811">
        <f>IF(AND(MyRowHidden(ROW())=FALSE,MyRowHidden(ROW()-1)=TRUE),0,(G811-G810)*unitsOfExo+J810)</f>
        <v>-181063.50000000003</v>
      </c>
      <c r="K811" s="9">
        <f t="shared" si="38"/>
        <v>181063.50000000003</v>
      </c>
      <c r="L811">
        <f t="shared" si="39"/>
        <v>1270676.5</v>
      </c>
    </row>
    <row r="812" spans="1:12" x14ac:dyDescent="0.25">
      <c r="A812" s="1"/>
      <c r="C812" s="1"/>
      <c r="D812" s="1">
        <v>42395</v>
      </c>
      <c r="E812" s="10">
        <v>310492</v>
      </c>
      <c r="F812" s="1">
        <v>42395</v>
      </c>
      <c r="G812">
        <v>-22395.35</v>
      </c>
      <c r="H812" s="1">
        <f t="shared" si="37"/>
        <v>42395</v>
      </c>
      <c r="I812">
        <f>IF(AND(MyRowHidden(ROW())=FALSE,MyRowHidden(ROW()-1)=TRUE),0,(E812-E811)*unitsOfDHp+I811)</f>
        <v>1448140</v>
      </c>
      <c r="J812">
        <f>IF(AND(MyRowHidden(ROW())=FALSE,MyRowHidden(ROW()-1)=TRUE),0,(G812-G811)*unitsOfExo+J811)</f>
        <v>-181063.50000000003</v>
      </c>
      <c r="K812" s="9">
        <f t="shared" si="38"/>
        <v>181063.50000000003</v>
      </c>
      <c r="L812">
        <f t="shared" si="39"/>
        <v>1267076.5</v>
      </c>
    </row>
    <row r="813" spans="1:12" x14ac:dyDescent="0.25">
      <c r="A813" s="1"/>
      <c r="C813" s="1"/>
      <c r="D813" s="1">
        <v>42396</v>
      </c>
      <c r="E813" s="10">
        <v>310382</v>
      </c>
      <c r="F813" s="1">
        <v>42396</v>
      </c>
      <c r="G813">
        <v>-22395.35</v>
      </c>
      <c r="H813" s="1">
        <f t="shared" si="37"/>
        <v>42396</v>
      </c>
      <c r="I813">
        <f>IF(AND(MyRowHidden(ROW())=FALSE,MyRowHidden(ROW()-1)=TRUE),0,(E813-E812)*unitsOfDHp+I812)</f>
        <v>1447040</v>
      </c>
      <c r="J813">
        <f>IF(AND(MyRowHidden(ROW())=FALSE,MyRowHidden(ROW()-1)=TRUE),0,(G813-G812)*unitsOfExo+J812)</f>
        <v>-181063.50000000003</v>
      </c>
      <c r="K813" s="9">
        <f t="shared" si="38"/>
        <v>181063.50000000003</v>
      </c>
      <c r="L813">
        <f t="shared" si="39"/>
        <v>1265976.5</v>
      </c>
    </row>
    <row r="814" spans="1:12" x14ac:dyDescent="0.25">
      <c r="A814" s="1"/>
      <c r="C814" s="1"/>
      <c r="D814" s="1">
        <v>42397</v>
      </c>
      <c r="E814" s="10">
        <v>309700</v>
      </c>
      <c r="F814" s="1">
        <v>42397</v>
      </c>
      <c r="G814">
        <v>-22395.35</v>
      </c>
      <c r="H814" s="1">
        <f t="shared" si="37"/>
        <v>42397</v>
      </c>
      <c r="I814">
        <f>IF(AND(MyRowHidden(ROW())=FALSE,MyRowHidden(ROW()-1)=TRUE),0,(E814-E813)*unitsOfDHp+I813)</f>
        <v>1440220</v>
      </c>
      <c r="J814">
        <f>IF(AND(MyRowHidden(ROW())=FALSE,MyRowHidden(ROW()-1)=TRUE),0,(G814-G813)*unitsOfExo+J813)</f>
        <v>-181063.50000000003</v>
      </c>
      <c r="K814" s="9">
        <f t="shared" si="38"/>
        <v>181063.50000000003</v>
      </c>
      <c r="L814">
        <f t="shared" si="39"/>
        <v>1259156.5</v>
      </c>
    </row>
    <row r="815" spans="1:12" x14ac:dyDescent="0.25">
      <c r="A815" s="1"/>
      <c r="C815" s="1"/>
      <c r="D815" s="1">
        <v>42398</v>
      </c>
      <c r="E815" s="10">
        <v>310136</v>
      </c>
      <c r="F815" s="1">
        <v>42398</v>
      </c>
      <c r="G815">
        <v>-22395.35</v>
      </c>
      <c r="H815" s="1">
        <f t="shared" si="37"/>
        <v>42398</v>
      </c>
      <c r="I815">
        <f>IF(AND(MyRowHidden(ROW())=FALSE,MyRowHidden(ROW()-1)=TRUE),0,(E815-E814)*unitsOfDHp+I814)</f>
        <v>1444580</v>
      </c>
      <c r="J815">
        <f>IF(AND(MyRowHidden(ROW())=FALSE,MyRowHidden(ROW()-1)=TRUE),0,(G815-G814)*unitsOfExo+J814)</f>
        <v>-181063.50000000003</v>
      </c>
      <c r="K815" s="9">
        <f t="shared" si="38"/>
        <v>181063.50000000003</v>
      </c>
      <c r="L815">
        <f t="shared" si="39"/>
        <v>1263516.5</v>
      </c>
    </row>
    <row r="816" spans="1:12" x14ac:dyDescent="0.25">
      <c r="A816" s="1"/>
      <c r="C816" s="1"/>
      <c r="D816" s="1">
        <v>42401</v>
      </c>
      <c r="E816" s="10">
        <v>308498</v>
      </c>
      <c r="F816" s="1">
        <v>42401</v>
      </c>
      <c r="G816">
        <v>-22945.5</v>
      </c>
      <c r="H816" s="1">
        <f t="shared" si="37"/>
        <v>42401</v>
      </c>
      <c r="I816">
        <f>IF(AND(MyRowHidden(ROW())=FALSE,MyRowHidden(ROW()-1)=TRUE),0,(E816-E815)*unitsOfDHp+I815)</f>
        <v>1428200</v>
      </c>
      <c r="J816">
        <f>IF(AND(MyRowHidden(ROW())=FALSE,MyRowHidden(ROW()-1)=TRUE),0,(G816-G815)*unitsOfExo+J815)</f>
        <v>-186565.00000000006</v>
      </c>
      <c r="K816" s="9">
        <f t="shared" si="38"/>
        <v>186565.00000000006</v>
      </c>
      <c r="L816">
        <f t="shared" si="39"/>
        <v>1241635</v>
      </c>
    </row>
    <row r="817" spans="1:12" x14ac:dyDescent="0.25">
      <c r="A817" s="1"/>
      <c r="C817" s="1"/>
      <c r="D817" s="1">
        <v>42402</v>
      </c>
      <c r="E817" s="10">
        <v>307476</v>
      </c>
      <c r="F817" s="1">
        <v>42402</v>
      </c>
      <c r="G817">
        <v>-22945.5</v>
      </c>
      <c r="H817" s="1">
        <f t="shared" si="37"/>
        <v>42402</v>
      </c>
      <c r="I817">
        <f>IF(AND(MyRowHidden(ROW())=FALSE,MyRowHidden(ROW()-1)=TRUE),0,(E817-E816)*unitsOfDHp+I816)</f>
        <v>1417980</v>
      </c>
      <c r="J817">
        <f>IF(AND(MyRowHidden(ROW())=FALSE,MyRowHidden(ROW()-1)=TRUE),0,(G817-G816)*unitsOfExo+J816)</f>
        <v>-186565.00000000006</v>
      </c>
      <c r="K817" s="9">
        <f t="shared" si="38"/>
        <v>186565.00000000006</v>
      </c>
      <c r="L817">
        <f t="shared" si="39"/>
        <v>1231415</v>
      </c>
    </row>
    <row r="818" spans="1:12" x14ac:dyDescent="0.25">
      <c r="A818" s="1"/>
      <c r="C818" s="1"/>
      <c r="D818" s="1">
        <v>42403</v>
      </c>
      <c r="E818" s="10">
        <v>308656</v>
      </c>
      <c r="F818" s="1">
        <v>42403</v>
      </c>
      <c r="G818">
        <v>-22945.5</v>
      </c>
      <c r="H818" s="1">
        <f t="shared" si="37"/>
        <v>42403</v>
      </c>
      <c r="I818">
        <f>IF(AND(MyRowHidden(ROW())=FALSE,MyRowHidden(ROW()-1)=TRUE),0,(E818-E817)*unitsOfDHp+I817)</f>
        <v>1429780</v>
      </c>
      <c r="J818">
        <f>IF(AND(MyRowHidden(ROW())=FALSE,MyRowHidden(ROW()-1)=TRUE),0,(G818-G817)*unitsOfExo+J817)</f>
        <v>-186565.00000000006</v>
      </c>
      <c r="K818" s="9">
        <f t="shared" si="38"/>
        <v>186565.00000000006</v>
      </c>
      <c r="L818">
        <f t="shared" si="39"/>
        <v>1243215</v>
      </c>
    </row>
    <row r="819" spans="1:12" x14ac:dyDescent="0.25">
      <c r="A819" s="1"/>
      <c r="C819" s="1"/>
      <c r="D819" s="1">
        <v>42404</v>
      </c>
      <c r="E819" s="10">
        <v>308280</v>
      </c>
      <c r="F819" s="1">
        <v>42404</v>
      </c>
      <c r="G819">
        <v>-22945.5</v>
      </c>
      <c r="H819" s="1">
        <f t="shared" si="37"/>
        <v>42404</v>
      </c>
      <c r="I819">
        <f>IF(AND(MyRowHidden(ROW())=FALSE,MyRowHidden(ROW()-1)=TRUE),0,(E819-E818)*unitsOfDHp+I818)</f>
        <v>1426020</v>
      </c>
      <c r="J819">
        <f>IF(AND(MyRowHidden(ROW())=FALSE,MyRowHidden(ROW()-1)=TRUE),0,(G819-G818)*unitsOfExo+J818)</f>
        <v>-186565.00000000006</v>
      </c>
      <c r="K819" s="9">
        <f t="shared" si="38"/>
        <v>186565.00000000006</v>
      </c>
      <c r="L819">
        <f t="shared" si="39"/>
        <v>1239455</v>
      </c>
    </row>
    <row r="820" spans="1:12" x14ac:dyDescent="0.25">
      <c r="A820" s="1"/>
      <c r="C820" s="1"/>
      <c r="D820" s="1">
        <v>42405</v>
      </c>
      <c r="E820" s="10">
        <v>308070</v>
      </c>
      <c r="F820" s="1">
        <v>42405</v>
      </c>
      <c r="G820">
        <v>-22945.5</v>
      </c>
      <c r="H820" s="1">
        <f t="shared" si="37"/>
        <v>42405</v>
      </c>
      <c r="I820">
        <f>IF(AND(MyRowHidden(ROW())=FALSE,MyRowHidden(ROW()-1)=TRUE),0,(E820-E819)*unitsOfDHp+I819)</f>
        <v>1423920</v>
      </c>
      <c r="J820">
        <f>IF(AND(MyRowHidden(ROW())=FALSE,MyRowHidden(ROW()-1)=TRUE),0,(G820-G819)*unitsOfExo+J819)</f>
        <v>-186565.00000000006</v>
      </c>
      <c r="K820" s="9">
        <f t="shared" si="38"/>
        <v>186565.00000000006</v>
      </c>
      <c r="L820">
        <f t="shared" si="39"/>
        <v>1237355</v>
      </c>
    </row>
    <row r="821" spans="1:12" x14ac:dyDescent="0.25">
      <c r="A821" s="1"/>
      <c r="C821" s="1"/>
      <c r="D821" s="1">
        <v>42408</v>
      </c>
      <c r="E821" s="10">
        <v>306658</v>
      </c>
      <c r="F821" s="1">
        <v>42408</v>
      </c>
      <c r="G821">
        <v>-22945.5</v>
      </c>
      <c r="H821" s="1">
        <f t="shared" si="37"/>
        <v>42408</v>
      </c>
      <c r="I821">
        <f>IF(AND(MyRowHidden(ROW())=FALSE,MyRowHidden(ROW()-1)=TRUE),0,(E821-E820)*unitsOfDHp+I820)</f>
        <v>1409800</v>
      </c>
      <c r="J821">
        <f>IF(AND(MyRowHidden(ROW())=FALSE,MyRowHidden(ROW()-1)=TRUE),0,(G821-G820)*unitsOfExo+J820)</f>
        <v>-186565.00000000006</v>
      </c>
      <c r="K821" s="9">
        <f t="shared" si="38"/>
        <v>186565.00000000006</v>
      </c>
      <c r="L821">
        <f t="shared" si="39"/>
        <v>1223235</v>
      </c>
    </row>
    <row r="822" spans="1:12" x14ac:dyDescent="0.25">
      <c r="A822" s="1"/>
      <c r="C822" s="1"/>
      <c r="D822" s="1">
        <v>42409</v>
      </c>
      <c r="E822" s="10">
        <v>302864</v>
      </c>
      <c r="F822" s="1">
        <v>42409</v>
      </c>
      <c r="G822">
        <v>-22945.5</v>
      </c>
      <c r="H822" s="1">
        <f t="shared" si="37"/>
        <v>42409</v>
      </c>
      <c r="I822">
        <f>IF(AND(MyRowHidden(ROW())=FALSE,MyRowHidden(ROW()-1)=TRUE),0,(E822-E821)*unitsOfDHp+I821)</f>
        <v>1371860</v>
      </c>
      <c r="J822">
        <f>IF(AND(MyRowHidden(ROW())=FALSE,MyRowHidden(ROW()-1)=TRUE),0,(G822-G821)*unitsOfExo+J821)</f>
        <v>-186565.00000000006</v>
      </c>
      <c r="K822" s="9">
        <f t="shared" si="38"/>
        <v>186565.00000000006</v>
      </c>
      <c r="L822">
        <f t="shared" si="39"/>
        <v>1185295</v>
      </c>
    </row>
    <row r="823" spans="1:12" x14ac:dyDescent="0.25">
      <c r="A823" s="1"/>
      <c r="C823" s="1"/>
      <c r="D823" s="1">
        <v>42410</v>
      </c>
      <c r="E823" s="10">
        <v>304496</v>
      </c>
      <c r="F823" s="1">
        <v>42410</v>
      </c>
      <c r="G823">
        <v>-22945.5</v>
      </c>
      <c r="H823" s="1">
        <f t="shared" si="37"/>
        <v>42410</v>
      </c>
      <c r="I823">
        <f>IF(AND(MyRowHidden(ROW())=FALSE,MyRowHidden(ROW()-1)=TRUE),0,(E823-E822)*unitsOfDHp+I822)</f>
        <v>1388180</v>
      </c>
      <c r="J823">
        <f>IF(AND(MyRowHidden(ROW())=FALSE,MyRowHidden(ROW()-1)=TRUE),0,(G823-G822)*unitsOfExo+J822)</f>
        <v>-186565.00000000006</v>
      </c>
      <c r="K823" s="9">
        <f t="shared" si="38"/>
        <v>186565.00000000006</v>
      </c>
      <c r="L823">
        <f t="shared" si="39"/>
        <v>1201615</v>
      </c>
    </row>
    <row r="824" spans="1:12" x14ac:dyDescent="0.25">
      <c r="A824" s="1"/>
      <c r="C824" s="1"/>
      <c r="D824" s="1">
        <v>42411</v>
      </c>
      <c r="E824" s="10">
        <v>304496</v>
      </c>
      <c r="F824" s="1">
        <v>42411</v>
      </c>
      <c r="G824">
        <v>-23165.93</v>
      </c>
      <c r="H824" s="1">
        <f t="shared" si="37"/>
        <v>42411</v>
      </c>
      <c r="I824">
        <f>IF(AND(MyRowHidden(ROW())=FALSE,MyRowHidden(ROW()-1)=TRUE),0,(E824-E823)*unitsOfDHp+I823)</f>
        <v>1388180</v>
      </c>
      <c r="J824">
        <f>IF(AND(MyRowHidden(ROW())=FALSE,MyRowHidden(ROW()-1)=TRUE),0,(G824-G823)*unitsOfExo+J823)</f>
        <v>-188769.30000000005</v>
      </c>
      <c r="K824" s="9">
        <f t="shared" si="38"/>
        <v>188769.30000000005</v>
      </c>
      <c r="L824">
        <f t="shared" si="39"/>
        <v>1199410.7</v>
      </c>
    </row>
    <row r="825" spans="1:12" x14ac:dyDescent="0.25">
      <c r="A825" s="1"/>
      <c r="C825" s="1"/>
      <c r="D825" s="1">
        <v>42412</v>
      </c>
      <c r="E825" s="10">
        <v>304496</v>
      </c>
      <c r="F825" s="1">
        <v>42412</v>
      </c>
      <c r="G825">
        <v>-23165.93</v>
      </c>
      <c r="H825" s="1">
        <f t="shared" si="37"/>
        <v>42412</v>
      </c>
      <c r="I825">
        <f>IF(AND(MyRowHidden(ROW())=FALSE,MyRowHidden(ROW()-1)=TRUE),0,(E825-E824)*unitsOfDHp+I824)</f>
        <v>1388180</v>
      </c>
      <c r="J825">
        <f>IF(AND(MyRowHidden(ROW())=FALSE,MyRowHidden(ROW()-1)=TRUE),0,(G825-G824)*unitsOfExo+J824)</f>
        <v>-188769.30000000005</v>
      </c>
      <c r="K825" s="9">
        <f t="shared" si="38"/>
        <v>188769.30000000005</v>
      </c>
      <c r="L825">
        <f t="shared" si="39"/>
        <v>1199410.7</v>
      </c>
    </row>
    <row r="826" spans="1:12" x14ac:dyDescent="0.25">
      <c r="A826" s="1"/>
      <c r="C826" s="1"/>
      <c r="D826" s="1">
        <v>42415</v>
      </c>
      <c r="E826" s="10">
        <v>304496</v>
      </c>
      <c r="F826" s="1">
        <v>42415</v>
      </c>
      <c r="G826">
        <v>-23165.93</v>
      </c>
      <c r="H826" s="1">
        <f t="shared" si="37"/>
        <v>42415</v>
      </c>
      <c r="I826">
        <f>IF(AND(MyRowHidden(ROW())=FALSE,MyRowHidden(ROW()-1)=TRUE),0,(E826-E825)*unitsOfDHp+I825)</f>
        <v>1388180</v>
      </c>
      <c r="J826">
        <f>IF(AND(MyRowHidden(ROW())=FALSE,MyRowHidden(ROW()-1)=TRUE),0,(G826-G825)*unitsOfExo+J825)</f>
        <v>-188769.30000000005</v>
      </c>
      <c r="K826" s="9">
        <f t="shared" si="38"/>
        <v>188769.30000000005</v>
      </c>
      <c r="L826">
        <f t="shared" si="39"/>
        <v>1199410.7</v>
      </c>
    </row>
    <row r="827" spans="1:12" x14ac:dyDescent="0.25">
      <c r="A827" s="1"/>
      <c r="C827" s="1"/>
      <c r="D827" s="1">
        <v>42416</v>
      </c>
      <c r="E827" s="10">
        <v>304496</v>
      </c>
      <c r="F827" s="1">
        <v>42416</v>
      </c>
      <c r="G827">
        <v>-23165.93</v>
      </c>
      <c r="H827" s="1">
        <f t="shared" si="37"/>
        <v>42416</v>
      </c>
      <c r="I827">
        <f>IF(AND(MyRowHidden(ROW())=FALSE,MyRowHidden(ROW()-1)=TRUE),0,(E827-E826)*unitsOfDHp+I826)</f>
        <v>1388180</v>
      </c>
      <c r="J827">
        <f>IF(AND(MyRowHidden(ROW())=FALSE,MyRowHidden(ROW()-1)=TRUE),0,(G827-G826)*unitsOfExo+J826)</f>
        <v>-188769.30000000005</v>
      </c>
      <c r="K827" s="9">
        <f t="shared" si="38"/>
        <v>188769.30000000005</v>
      </c>
      <c r="L827">
        <f t="shared" si="39"/>
        <v>1199410.7</v>
      </c>
    </row>
    <row r="828" spans="1:12" x14ac:dyDescent="0.25">
      <c r="A828" s="1"/>
      <c r="C828" s="1"/>
      <c r="D828" s="1">
        <v>42417</v>
      </c>
      <c r="E828" s="10">
        <v>304292</v>
      </c>
      <c r="F828" s="1">
        <v>42417</v>
      </c>
      <c r="G828">
        <v>-23165.93</v>
      </c>
      <c r="H828" s="1">
        <f t="shared" si="37"/>
        <v>42417</v>
      </c>
      <c r="I828">
        <f>IF(AND(MyRowHidden(ROW())=FALSE,MyRowHidden(ROW()-1)=TRUE),0,(E828-E827)*unitsOfDHp+I827)</f>
        <v>1386140</v>
      </c>
      <c r="J828">
        <f>IF(AND(MyRowHidden(ROW())=FALSE,MyRowHidden(ROW()-1)=TRUE),0,(G828-G827)*unitsOfExo+J827)</f>
        <v>-188769.30000000005</v>
      </c>
      <c r="K828" s="9">
        <f t="shared" si="38"/>
        <v>188769.30000000005</v>
      </c>
      <c r="L828">
        <f t="shared" si="39"/>
        <v>1197370.7</v>
      </c>
    </row>
    <row r="829" spans="1:12" x14ac:dyDescent="0.25">
      <c r="A829" s="1"/>
      <c r="C829" s="1"/>
      <c r="D829" s="1">
        <v>42418</v>
      </c>
      <c r="E829" s="10">
        <v>304256</v>
      </c>
      <c r="F829" s="1">
        <v>42418</v>
      </c>
      <c r="G829">
        <v>-23189.43</v>
      </c>
      <c r="H829" s="1">
        <f t="shared" si="37"/>
        <v>42418</v>
      </c>
      <c r="I829">
        <f>IF(AND(MyRowHidden(ROW())=FALSE,MyRowHidden(ROW()-1)=TRUE),0,(E829-E828)*unitsOfDHp+I828)</f>
        <v>1385780</v>
      </c>
      <c r="J829">
        <f>IF(AND(MyRowHidden(ROW())=FALSE,MyRowHidden(ROW()-1)=TRUE),0,(G829-G828)*unitsOfExo+J828)</f>
        <v>-189004.30000000005</v>
      </c>
      <c r="K829" s="9">
        <f t="shared" si="38"/>
        <v>189004.30000000005</v>
      </c>
      <c r="L829">
        <f t="shared" si="39"/>
        <v>1196775.7</v>
      </c>
    </row>
    <row r="830" spans="1:12" x14ac:dyDescent="0.25">
      <c r="A830" s="1"/>
      <c r="C830" s="1"/>
      <c r="D830" s="1">
        <v>42419</v>
      </c>
      <c r="E830" s="10">
        <v>304256</v>
      </c>
      <c r="F830" s="1">
        <v>42419</v>
      </c>
      <c r="G830">
        <v>-23168.75</v>
      </c>
      <c r="H830" s="1">
        <f t="shared" si="37"/>
        <v>42419</v>
      </c>
      <c r="I830">
        <f>IF(AND(MyRowHidden(ROW())=FALSE,MyRowHidden(ROW()-1)=TRUE),0,(E830-E829)*unitsOfDHp+I829)</f>
        <v>1385780</v>
      </c>
      <c r="J830">
        <f>IF(AND(MyRowHidden(ROW())=FALSE,MyRowHidden(ROW()-1)=TRUE),0,(G830-G829)*unitsOfExo+J829)</f>
        <v>-188797.50000000006</v>
      </c>
      <c r="K830" s="9">
        <f t="shared" si="38"/>
        <v>188797.50000000006</v>
      </c>
      <c r="L830">
        <f t="shared" si="39"/>
        <v>1196982.5</v>
      </c>
    </row>
    <row r="831" spans="1:12" x14ac:dyDescent="0.25">
      <c r="A831" s="1"/>
      <c r="C831" s="1"/>
      <c r="D831" s="1">
        <v>42422</v>
      </c>
      <c r="E831" s="10">
        <v>304220</v>
      </c>
      <c r="F831" s="1">
        <v>42422</v>
      </c>
      <c r="G831">
        <v>-23168.75</v>
      </c>
      <c r="H831" s="1">
        <f t="shared" si="37"/>
        <v>42422</v>
      </c>
      <c r="I831">
        <f>IF(AND(MyRowHidden(ROW())=FALSE,MyRowHidden(ROW()-1)=TRUE),0,(E831-E830)*unitsOfDHp+I830)</f>
        <v>1385420</v>
      </c>
      <c r="J831">
        <f>IF(AND(MyRowHidden(ROW())=FALSE,MyRowHidden(ROW()-1)=TRUE),0,(G831-G830)*unitsOfExo+J830)</f>
        <v>-188797.50000000006</v>
      </c>
      <c r="K831" s="9">
        <f t="shared" si="38"/>
        <v>188797.50000000006</v>
      </c>
      <c r="L831">
        <f t="shared" si="39"/>
        <v>1196622.5</v>
      </c>
    </row>
    <row r="832" spans="1:12" x14ac:dyDescent="0.25">
      <c r="A832" s="1"/>
      <c r="C832" s="1"/>
      <c r="D832" s="1">
        <v>42423</v>
      </c>
      <c r="E832" s="10">
        <v>304220</v>
      </c>
      <c r="F832" s="1">
        <v>42423</v>
      </c>
      <c r="G832">
        <v>-23168.75</v>
      </c>
      <c r="H832" s="1">
        <f t="shared" si="37"/>
        <v>42423</v>
      </c>
      <c r="I832">
        <f>IF(AND(MyRowHidden(ROW())=FALSE,MyRowHidden(ROW()-1)=TRUE),0,(E832-E831)*unitsOfDHp+I831)</f>
        <v>1385420</v>
      </c>
      <c r="J832">
        <f>IF(AND(MyRowHidden(ROW())=FALSE,MyRowHidden(ROW()-1)=TRUE),0,(G832-G831)*unitsOfExo+J831)</f>
        <v>-188797.50000000006</v>
      </c>
      <c r="K832" s="9">
        <f t="shared" si="38"/>
        <v>188797.50000000006</v>
      </c>
      <c r="L832">
        <f t="shared" si="39"/>
        <v>1196622.5</v>
      </c>
    </row>
    <row r="833" spans="1:12" x14ac:dyDescent="0.25">
      <c r="A833" s="1"/>
      <c r="C833" s="1"/>
      <c r="D833" s="1">
        <v>42424</v>
      </c>
      <c r="E833" s="10">
        <v>304100</v>
      </c>
      <c r="F833" s="1">
        <v>42424</v>
      </c>
      <c r="G833">
        <v>-23121.75</v>
      </c>
      <c r="H833" s="1">
        <f t="shared" si="37"/>
        <v>42424</v>
      </c>
      <c r="I833">
        <f>IF(AND(MyRowHidden(ROW())=FALSE,MyRowHidden(ROW()-1)=TRUE),0,(E833-E832)*unitsOfDHp+I832)</f>
        <v>1384220</v>
      </c>
      <c r="J833">
        <f>IF(AND(MyRowHidden(ROW())=FALSE,MyRowHidden(ROW()-1)=TRUE),0,(G833-G832)*unitsOfExo+J832)</f>
        <v>-188327.50000000006</v>
      </c>
      <c r="K833" s="9">
        <f t="shared" si="38"/>
        <v>188327.50000000006</v>
      </c>
      <c r="L833">
        <f t="shared" si="39"/>
        <v>1195892.5</v>
      </c>
    </row>
    <row r="834" spans="1:12" x14ac:dyDescent="0.25">
      <c r="A834" s="1"/>
      <c r="C834" s="1"/>
      <c r="D834" s="1">
        <v>42425</v>
      </c>
      <c r="E834" s="10">
        <v>304040</v>
      </c>
      <c r="F834" s="1">
        <v>42425</v>
      </c>
      <c r="G834">
        <v>-23121.75</v>
      </c>
      <c r="H834" s="1">
        <f t="shared" si="37"/>
        <v>42425</v>
      </c>
      <c r="I834">
        <f>IF(AND(MyRowHidden(ROW())=FALSE,MyRowHidden(ROW()-1)=TRUE),0,(E834-E833)*unitsOfDHp+I833)</f>
        <v>1383620</v>
      </c>
      <c r="J834">
        <f>IF(AND(MyRowHidden(ROW())=FALSE,MyRowHidden(ROW()-1)=TRUE),0,(G834-G833)*unitsOfExo+J833)</f>
        <v>-188327.50000000006</v>
      </c>
      <c r="K834" s="9">
        <f t="shared" si="38"/>
        <v>188327.50000000006</v>
      </c>
      <c r="L834">
        <f t="shared" si="39"/>
        <v>1195292.5</v>
      </c>
    </row>
    <row r="835" spans="1:12" x14ac:dyDescent="0.25">
      <c r="A835" s="1"/>
      <c r="C835" s="1"/>
      <c r="D835" s="1">
        <v>42426</v>
      </c>
      <c r="E835" s="10">
        <v>303944</v>
      </c>
      <c r="F835" s="1">
        <v>42426</v>
      </c>
      <c r="G835">
        <v>-23074.75</v>
      </c>
      <c r="H835" s="1">
        <f t="shared" si="37"/>
        <v>42426</v>
      </c>
      <c r="I835">
        <f>IF(AND(MyRowHidden(ROW())=FALSE,MyRowHidden(ROW()-1)=TRUE),0,(E835-E834)*unitsOfDHp+I834)</f>
        <v>1382660</v>
      </c>
      <c r="J835">
        <f>IF(AND(MyRowHidden(ROW())=FALSE,MyRowHidden(ROW()-1)=TRUE),0,(G835-G834)*unitsOfExo+J834)</f>
        <v>-187857.50000000006</v>
      </c>
      <c r="K835" s="9">
        <f t="shared" si="38"/>
        <v>187857.50000000006</v>
      </c>
      <c r="L835">
        <f t="shared" si="39"/>
        <v>1194802.5</v>
      </c>
    </row>
    <row r="836" spans="1:12" x14ac:dyDescent="0.25">
      <c r="A836" s="1"/>
      <c r="C836" s="1"/>
      <c r="D836" s="1">
        <v>42429</v>
      </c>
      <c r="E836" s="10">
        <v>303860</v>
      </c>
      <c r="F836" s="1">
        <v>42429</v>
      </c>
      <c r="G836">
        <v>-23074.75</v>
      </c>
      <c r="H836" s="1">
        <f t="shared" si="37"/>
        <v>42429</v>
      </c>
      <c r="I836">
        <f>IF(AND(MyRowHidden(ROW())=FALSE,MyRowHidden(ROW()-1)=TRUE),0,(E836-E835)*unitsOfDHp+I835)</f>
        <v>1381820</v>
      </c>
      <c r="J836">
        <f>IF(AND(MyRowHidden(ROW())=FALSE,MyRowHidden(ROW()-1)=TRUE),0,(G836-G835)*unitsOfExo+J835)</f>
        <v>-187857.50000000006</v>
      </c>
      <c r="K836" s="9">
        <f t="shared" si="38"/>
        <v>187857.50000000006</v>
      </c>
      <c r="L836">
        <f t="shared" si="39"/>
        <v>1193962.5</v>
      </c>
    </row>
    <row r="837" spans="1:12" x14ac:dyDescent="0.25">
      <c r="A837" s="1"/>
      <c r="C837" s="1"/>
      <c r="D837" s="1">
        <v>42430</v>
      </c>
      <c r="E837" s="10">
        <v>303788</v>
      </c>
      <c r="F837" s="1">
        <v>42430</v>
      </c>
      <c r="G837">
        <v>-22605</v>
      </c>
      <c r="H837" s="1">
        <f t="shared" si="37"/>
        <v>42430</v>
      </c>
      <c r="I837">
        <f>IF(AND(MyRowHidden(ROW())=FALSE,MyRowHidden(ROW()-1)=TRUE),0,(E837-E836)*unitsOfDHp+I836)</f>
        <v>1381100</v>
      </c>
      <c r="J837">
        <f>IF(AND(MyRowHidden(ROW())=FALSE,MyRowHidden(ROW()-1)=TRUE),0,(G837-G836)*unitsOfExo+J836)</f>
        <v>-183160.00000000006</v>
      </c>
      <c r="K837" s="9">
        <f t="shared" si="38"/>
        <v>183160.00000000006</v>
      </c>
      <c r="L837">
        <f t="shared" si="39"/>
        <v>1197940</v>
      </c>
    </row>
    <row r="838" spans="1:12" x14ac:dyDescent="0.25">
      <c r="A838" s="1"/>
      <c r="C838" s="1"/>
      <c r="D838" s="1">
        <v>42431</v>
      </c>
      <c r="E838" s="10">
        <v>303788</v>
      </c>
      <c r="F838" s="1">
        <v>42431</v>
      </c>
      <c r="G838">
        <v>-22605</v>
      </c>
      <c r="H838" s="1">
        <f t="shared" si="37"/>
        <v>42431</v>
      </c>
      <c r="I838">
        <f>IF(AND(MyRowHidden(ROW())=FALSE,MyRowHidden(ROW()-1)=TRUE),0,(E838-E837)*unitsOfDHp+I837)</f>
        <v>1381100</v>
      </c>
      <c r="J838">
        <f>IF(AND(MyRowHidden(ROW())=FALSE,MyRowHidden(ROW()-1)=TRUE),0,(G838-G837)*unitsOfExo+J837)</f>
        <v>-183160.00000000006</v>
      </c>
      <c r="K838" s="9">
        <f t="shared" si="38"/>
        <v>183160.00000000006</v>
      </c>
      <c r="L838">
        <f t="shared" si="39"/>
        <v>1197940</v>
      </c>
    </row>
    <row r="839" spans="1:12" x14ac:dyDescent="0.25">
      <c r="A839" s="1"/>
      <c r="C839" s="1"/>
      <c r="D839" s="1">
        <v>42432</v>
      </c>
      <c r="E839" s="10">
        <v>304338</v>
      </c>
      <c r="F839" s="1">
        <v>42432</v>
      </c>
      <c r="G839">
        <v>-22391.15</v>
      </c>
      <c r="H839" s="1">
        <f t="shared" si="37"/>
        <v>42432</v>
      </c>
      <c r="I839">
        <f>IF(AND(MyRowHidden(ROW())=FALSE,MyRowHidden(ROW()-1)=TRUE),0,(E839-E838)*unitsOfDHp+I838)</f>
        <v>1386600</v>
      </c>
      <c r="J839">
        <f>IF(AND(MyRowHidden(ROW())=FALSE,MyRowHidden(ROW()-1)=TRUE),0,(G839-G838)*unitsOfExo+J838)</f>
        <v>-181021.50000000006</v>
      </c>
      <c r="K839" s="9">
        <f t="shared" si="38"/>
        <v>181021.50000000006</v>
      </c>
      <c r="L839">
        <f t="shared" si="39"/>
        <v>1205578.5</v>
      </c>
    </row>
    <row r="840" spans="1:12" x14ac:dyDescent="0.25">
      <c r="A840" s="1"/>
      <c r="C840" s="1"/>
      <c r="D840" s="1">
        <v>42433</v>
      </c>
      <c r="E840" s="10">
        <v>305630</v>
      </c>
      <c r="F840" s="1">
        <v>42433</v>
      </c>
      <c r="G840">
        <v>-22391.15</v>
      </c>
      <c r="H840" s="1">
        <f t="shared" si="37"/>
        <v>42433</v>
      </c>
      <c r="I840">
        <f>IF(AND(MyRowHidden(ROW())=FALSE,MyRowHidden(ROW()-1)=TRUE),0,(E840-E839)*unitsOfDHp+I839)</f>
        <v>1399520</v>
      </c>
      <c r="J840">
        <f>IF(AND(MyRowHidden(ROW())=FALSE,MyRowHidden(ROW()-1)=TRUE),0,(G840-G839)*unitsOfExo+J839)</f>
        <v>-181021.50000000006</v>
      </c>
      <c r="K840" s="9">
        <f t="shared" si="38"/>
        <v>181021.50000000006</v>
      </c>
      <c r="L840">
        <f t="shared" si="39"/>
        <v>1218498.5</v>
      </c>
    </row>
    <row r="841" spans="1:12" x14ac:dyDescent="0.25">
      <c r="A841" s="1"/>
      <c r="C841" s="1"/>
      <c r="D841" s="1">
        <v>42436</v>
      </c>
      <c r="E841" s="10">
        <v>307592</v>
      </c>
      <c r="F841" s="1">
        <v>42436</v>
      </c>
      <c r="G841">
        <v>-22150.98</v>
      </c>
      <c r="H841" s="1">
        <f t="shared" si="37"/>
        <v>42436</v>
      </c>
      <c r="I841">
        <f>IF(AND(MyRowHidden(ROW())=FALSE,MyRowHidden(ROW()-1)=TRUE),0,(E841-E840)*unitsOfDHp+I840)</f>
        <v>1419140</v>
      </c>
      <c r="J841">
        <f>IF(AND(MyRowHidden(ROW())=FALSE,MyRowHidden(ROW()-1)=TRUE),0,(G841-G840)*unitsOfExo+J840)</f>
        <v>-178619.80000000005</v>
      </c>
      <c r="K841" s="9">
        <f t="shared" si="38"/>
        <v>178619.80000000005</v>
      </c>
      <c r="L841">
        <f t="shared" si="39"/>
        <v>1240520.2</v>
      </c>
    </row>
    <row r="842" spans="1:12" x14ac:dyDescent="0.25">
      <c r="A842" s="1"/>
      <c r="C842" s="1"/>
      <c r="D842" s="1">
        <v>42437</v>
      </c>
      <c r="E842" s="10">
        <v>306644</v>
      </c>
      <c r="F842" s="1">
        <v>42437</v>
      </c>
      <c r="G842">
        <v>-22150.98</v>
      </c>
      <c r="H842" s="1">
        <f t="shared" si="37"/>
        <v>42437</v>
      </c>
      <c r="I842">
        <f>IF(AND(MyRowHidden(ROW())=FALSE,MyRowHidden(ROW()-1)=TRUE),0,(E842-E841)*unitsOfDHp+I841)</f>
        <v>1409660</v>
      </c>
      <c r="J842">
        <f>IF(AND(MyRowHidden(ROW())=FALSE,MyRowHidden(ROW()-1)=TRUE),0,(G842-G841)*unitsOfExo+J841)</f>
        <v>-178619.80000000005</v>
      </c>
      <c r="K842" s="9">
        <f t="shared" si="38"/>
        <v>178619.80000000005</v>
      </c>
      <c r="L842">
        <f t="shared" si="39"/>
        <v>1231040.2</v>
      </c>
    </row>
    <row r="843" spans="1:12" x14ac:dyDescent="0.25">
      <c r="A843" s="1"/>
      <c r="C843" s="1"/>
      <c r="D843" s="1">
        <v>42438</v>
      </c>
      <c r="E843" s="10">
        <v>308816</v>
      </c>
      <c r="F843" s="1">
        <v>42438</v>
      </c>
      <c r="G843">
        <v>-22065.439999999999</v>
      </c>
      <c r="H843" s="1">
        <f t="shared" si="37"/>
        <v>42438</v>
      </c>
      <c r="I843">
        <f>IF(AND(MyRowHidden(ROW())=FALSE,MyRowHidden(ROW()-1)=TRUE),0,(E843-E842)*unitsOfDHp+I842)</f>
        <v>1431380</v>
      </c>
      <c r="J843">
        <f>IF(AND(MyRowHidden(ROW())=FALSE,MyRowHidden(ROW()-1)=TRUE),0,(G843-G842)*unitsOfExo+J842)</f>
        <v>-177764.40000000002</v>
      </c>
      <c r="K843" s="9">
        <f t="shared" si="38"/>
        <v>177764.40000000002</v>
      </c>
      <c r="L843">
        <f t="shared" si="39"/>
        <v>1253615.6000000001</v>
      </c>
    </row>
    <row r="844" spans="1:12" x14ac:dyDescent="0.25">
      <c r="A844" s="1"/>
      <c r="C844" s="1"/>
      <c r="D844" s="1">
        <v>42439</v>
      </c>
      <c r="E844" s="10">
        <v>308826</v>
      </c>
      <c r="F844" s="1">
        <v>42439</v>
      </c>
      <c r="G844">
        <v>-21985.54</v>
      </c>
      <c r="H844" s="1">
        <f t="shared" si="37"/>
        <v>42439</v>
      </c>
      <c r="I844">
        <f>IF(AND(MyRowHidden(ROW())=FALSE,MyRowHidden(ROW()-1)=TRUE),0,(E844-E843)*unitsOfDHp+I843)</f>
        <v>1431480</v>
      </c>
      <c r="J844">
        <f>IF(AND(MyRowHidden(ROW())=FALSE,MyRowHidden(ROW()-1)=TRUE),0,(G844-G843)*unitsOfExo+J843)</f>
        <v>-176965.40000000005</v>
      </c>
      <c r="K844" s="9">
        <f t="shared" si="38"/>
        <v>176965.40000000005</v>
      </c>
      <c r="L844">
        <f t="shared" si="39"/>
        <v>1254514.5999999999</v>
      </c>
    </row>
    <row r="845" spans="1:12" x14ac:dyDescent="0.25">
      <c r="A845" s="1"/>
      <c r="C845" s="1"/>
      <c r="D845" s="1">
        <v>42440</v>
      </c>
      <c r="E845" s="10">
        <v>309636</v>
      </c>
      <c r="F845" s="1">
        <v>42440</v>
      </c>
      <c r="G845">
        <v>-21985.54</v>
      </c>
      <c r="H845" s="1">
        <f t="shared" ref="H845:H908" si="40">D845</f>
        <v>42440</v>
      </c>
      <c r="I845">
        <f>IF(AND(MyRowHidden(ROW())=FALSE,MyRowHidden(ROW()-1)=TRUE),0,(E845-E844)*unitsOfDHp+I844)</f>
        <v>1439580</v>
      </c>
      <c r="J845">
        <f>IF(AND(MyRowHidden(ROW())=FALSE,MyRowHidden(ROW()-1)=TRUE),0,(G845-G844)*unitsOfExo+J844)</f>
        <v>-176965.40000000005</v>
      </c>
      <c r="K845" s="9">
        <f t="shared" ref="K845:K908" si="41">-(J845-J844)+K844</f>
        <v>176965.40000000005</v>
      </c>
      <c r="L845">
        <f t="shared" ref="L845:L908" si="42">I845+J845</f>
        <v>1262614.5999999999</v>
      </c>
    </row>
    <row r="846" spans="1:12" x14ac:dyDescent="0.25">
      <c r="A846" s="1"/>
      <c r="C846" s="1"/>
      <c r="D846" s="1">
        <v>42443</v>
      </c>
      <c r="E846" s="10">
        <v>306108</v>
      </c>
      <c r="F846" s="1">
        <v>42443</v>
      </c>
      <c r="G846">
        <v>-21985.54</v>
      </c>
      <c r="H846" s="1">
        <f t="shared" si="40"/>
        <v>42443</v>
      </c>
      <c r="I846">
        <f>IF(AND(MyRowHidden(ROW())=FALSE,MyRowHidden(ROW()-1)=TRUE),0,(E846-E845)*unitsOfDHp+I845)</f>
        <v>1404300</v>
      </c>
      <c r="J846">
        <f>IF(AND(MyRowHidden(ROW())=FALSE,MyRowHidden(ROW()-1)=TRUE),0,(G846-G845)*unitsOfExo+J845)</f>
        <v>-176965.40000000005</v>
      </c>
      <c r="K846" s="9">
        <f t="shared" si="41"/>
        <v>176965.40000000005</v>
      </c>
      <c r="L846">
        <f t="shared" si="42"/>
        <v>1227334.5999999999</v>
      </c>
    </row>
    <row r="847" spans="1:12" x14ac:dyDescent="0.25">
      <c r="A847" s="1"/>
      <c r="C847" s="1"/>
      <c r="D847" s="1">
        <v>42444</v>
      </c>
      <c r="E847" s="10">
        <v>302964</v>
      </c>
      <c r="F847" s="1">
        <v>42444</v>
      </c>
      <c r="G847">
        <v>-21953.58</v>
      </c>
      <c r="H847" s="1">
        <f t="shared" si="40"/>
        <v>42444</v>
      </c>
      <c r="I847">
        <f>IF(AND(MyRowHidden(ROW())=FALSE,MyRowHidden(ROW()-1)=TRUE),0,(E847-E846)*unitsOfDHp+I846)</f>
        <v>1372860</v>
      </c>
      <c r="J847">
        <f>IF(AND(MyRowHidden(ROW())=FALSE,MyRowHidden(ROW()-1)=TRUE),0,(G847-G846)*unitsOfExo+J846)</f>
        <v>-176645.80000000005</v>
      </c>
      <c r="K847" s="9">
        <f t="shared" si="41"/>
        <v>176645.80000000005</v>
      </c>
      <c r="L847">
        <f t="shared" si="42"/>
        <v>1196214.2</v>
      </c>
    </row>
    <row r="848" spans="1:12" x14ac:dyDescent="0.25">
      <c r="A848" s="1"/>
      <c r="C848" s="1"/>
      <c r="D848" s="1">
        <v>42445</v>
      </c>
      <c r="E848" s="10">
        <v>306126</v>
      </c>
      <c r="F848" s="1">
        <v>42445</v>
      </c>
      <c r="G848">
        <v>-21953.58</v>
      </c>
      <c r="H848" s="1">
        <f t="shared" si="40"/>
        <v>42445</v>
      </c>
      <c r="I848">
        <f>IF(AND(MyRowHidden(ROW())=FALSE,MyRowHidden(ROW()-1)=TRUE),0,(E848-E847)*unitsOfDHp+I847)</f>
        <v>1404480</v>
      </c>
      <c r="J848">
        <f>IF(AND(MyRowHidden(ROW())=FALSE,MyRowHidden(ROW()-1)=TRUE),0,(G848-G847)*unitsOfExo+J847)</f>
        <v>-176645.80000000005</v>
      </c>
      <c r="K848" s="9">
        <f t="shared" si="41"/>
        <v>176645.80000000005</v>
      </c>
      <c r="L848">
        <f t="shared" si="42"/>
        <v>1227834.2</v>
      </c>
    </row>
    <row r="849" spans="1:12" x14ac:dyDescent="0.25">
      <c r="A849" s="1"/>
      <c r="C849" s="1"/>
      <c r="D849" s="1">
        <v>42446</v>
      </c>
      <c r="E849" s="10">
        <v>309568</v>
      </c>
      <c r="F849" s="1">
        <v>42446</v>
      </c>
      <c r="G849">
        <v>-21846.42</v>
      </c>
      <c r="H849" s="1">
        <f t="shared" si="40"/>
        <v>42446</v>
      </c>
      <c r="I849">
        <f>IF(AND(MyRowHidden(ROW())=FALSE,MyRowHidden(ROW()-1)=TRUE),0,(E849-E848)*unitsOfDHp+I848)</f>
        <v>1438900</v>
      </c>
      <c r="J849">
        <f>IF(AND(MyRowHidden(ROW())=FALSE,MyRowHidden(ROW()-1)=TRUE),0,(G849-G848)*unitsOfExo+J848)</f>
        <v>-175574.2</v>
      </c>
      <c r="K849" s="9">
        <f t="shared" si="41"/>
        <v>175574.2</v>
      </c>
      <c r="L849">
        <f t="shared" si="42"/>
        <v>1263325.8</v>
      </c>
    </row>
    <row r="850" spans="1:12" x14ac:dyDescent="0.25">
      <c r="A850" s="1"/>
      <c r="C850" s="1"/>
      <c r="D850" s="1">
        <v>42447</v>
      </c>
      <c r="E850" s="10">
        <v>309860</v>
      </c>
      <c r="F850" s="1">
        <v>42447</v>
      </c>
      <c r="G850">
        <v>-21846.42</v>
      </c>
      <c r="H850" s="1">
        <f t="shared" si="40"/>
        <v>42447</v>
      </c>
      <c r="I850">
        <f>IF(AND(MyRowHidden(ROW())=FALSE,MyRowHidden(ROW()-1)=TRUE),0,(E850-E849)*unitsOfDHp+I849)</f>
        <v>1441820</v>
      </c>
      <c r="J850">
        <f>IF(AND(MyRowHidden(ROW())=FALSE,MyRowHidden(ROW()-1)=TRUE),0,(G850-G849)*unitsOfExo+J849)</f>
        <v>-175574.2</v>
      </c>
      <c r="K850" s="9">
        <f t="shared" si="41"/>
        <v>175574.2</v>
      </c>
      <c r="L850">
        <f t="shared" si="42"/>
        <v>1266245.8</v>
      </c>
    </row>
    <row r="851" spans="1:12" x14ac:dyDescent="0.25">
      <c r="A851" s="1"/>
      <c r="C851" s="1"/>
      <c r="D851" s="1">
        <v>42450</v>
      </c>
      <c r="E851" s="10">
        <v>309980</v>
      </c>
      <c r="F851" s="1">
        <v>42450</v>
      </c>
      <c r="G851">
        <v>-21846.42</v>
      </c>
      <c r="H851" s="1">
        <f t="shared" si="40"/>
        <v>42450</v>
      </c>
      <c r="I851">
        <f>IF(AND(MyRowHidden(ROW())=FALSE,MyRowHidden(ROW()-1)=TRUE),0,(E851-E850)*unitsOfDHp+I850)</f>
        <v>1443020</v>
      </c>
      <c r="J851">
        <f>IF(AND(MyRowHidden(ROW())=FALSE,MyRowHidden(ROW()-1)=TRUE),0,(G851-G850)*unitsOfExo+J850)</f>
        <v>-175574.2</v>
      </c>
      <c r="K851" s="9">
        <f t="shared" si="41"/>
        <v>175574.2</v>
      </c>
      <c r="L851">
        <f t="shared" si="42"/>
        <v>1267445.8</v>
      </c>
    </row>
    <row r="852" spans="1:12" x14ac:dyDescent="0.25">
      <c r="A852" s="1"/>
      <c r="C852" s="1"/>
      <c r="D852" s="1">
        <v>42451</v>
      </c>
      <c r="E852" s="10">
        <v>309740</v>
      </c>
      <c r="F852" s="1">
        <v>42451</v>
      </c>
      <c r="G852">
        <v>-21846.42</v>
      </c>
      <c r="H852" s="1">
        <f t="shared" si="40"/>
        <v>42451</v>
      </c>
      <c r="I852">
        <f>IF(AND(MyRowHidden(ROW())=FALSE,MyRowHidden(ROW()-1)=TRUE),0,(E852-E851)*unitsOfDHp+I851)</f>
        <v>1440620</v>
      </c>
      <c r="J852">
        <f>IF(AND(MyRowHidden(ROW())=FALSE,MyRowHidden(ROW()-1)=TRUE),0,(G852-G851)*unitsOfExo+J851)</f>
        <v>-175574.2</v>
      </c>
      <c r="K852" s="9">
        <f t="shared" si="41"/>
        <v>175574.2</v>
      </c>
      <c r="L852">
        <f t="shared" si="42"/>
        <v>1265045.8</v>
      </c>
    </row>
    <row r="853" spans="1:12" x14ac:dyDescent="0.25">
      <c r="A853" s="1"/>
      <c r="C853" s="1"/>
      <c r="D853" s="1">
        <v>42452</v>
      </c>
      <c r="E853" s="10">
        <v>307220</v>
      </c>
      <c r="F853" s="1">
        <v>42452</v>
      </c>
      <c r="G853">
        <v>-21846.42</v>
      </c>
      <c r="H853" s="1">
        <f t="shared" si="40"/>
        <v>42452</v>
      </c>
      <c r="I853">
        <f>IF(AND(MyRowHidden(ROW())=FALSE,MyRowHidden(ROW()-1)=TRUE),0,(E853-E852)*unitsOfDHp+I852)</f>
        <v>1415420</v>
      </c>
      <c r="J853">
        <f>IF(AND(MyRowHidden(ROW())=FALSE,MyRowHidden(ROW()-1)=TRUE),0,(G853-G852)*unitsOfExo+J852)</f>
        <v>-175574.2</v>
      </c>
      <c r="K853" s="9">
        <f t="shared" si="41"/>
        <v>175574.2</v>
      </c>
      <c r="L853">
        <f t="shared" si="42"/>
        <v>1239845.8</v>
      </c>
    </row>
    <row r="854" spans="1:12" x14ac:dyDescent="0.25">
      <c r="A854" s="1"/>
      <c r="C854" s="1"/>
      <c r="D854" s="1">
        <v>42453</v>
      </c>
      <c r="E854" s="10">
        <v>305500</v>
      </c>
      <c r="F854" s="1">
        <v>42453</v>
      </c>
      <c r="G854">
        <v>-21846.42</v>
      </c>
      <c r="H854" s="1">
        <f t="shared" si="40"/>
        <v>42453</v>
      </c>
      <c r="I854">
        <f>IF(AND(MyRowHidden(ROW())=FALSE,MyRowHidden(ROW()-1)=TRUE),0,(E854-E853)*unitsOfDHp+I853)</f>
        <v>1398220</v>
      </c>
      <c r="J854">
        <f>IF(AND(MyRowHidden(ROW())=FALSE,MyRowHidden(ROW()-1)=TRUE),0,(G854-G853)*unitsOfExo+J853)</f>
        <v>-175574.2</v>
      </c>
      <c r="K854" s="9">
        <f t="shared" si="41"/>
        <v>175574.2</v>
      </c>
      <c r="L854">
        <f t="shared" si="42"/>
        <v>1222645.8</v>
      </c>
    </row>
    <row r="855" spans="1:12" x14ac:dyDescent="0.25">
      <c r="A855" s="1"/>
      <c r="C855" s="1"/>
      <c r="D855" s="1">
        <v>42454</v>
      </c>
      <c r="E855" s="10">
        <v>306290</v>
      </c>
      <c r="F855" s="1">
        <v>42454</v>
      </c>
      <c r="G855">
        <v>-21846.42</v>
      </c>
      <c r="H855" s="1">
        <f t="shared" si="40"/>
        <v>42454</v>
      </c>
      <c r="I855">
        <f>IF(AND(MyRowHidden(ROW())=FALSE,MyRowHidden(ROW()-1)=TRUE),0,(E855-E854)*unitsOfDHp+I854)</f>
        <v>1406120</v>
      </c>
      <c r="J855">
        <f>IF(AND(MyRowHidden(ROW())=FALSE,MyRowHidden(ROW()-1)=TRUE),0,(G855-G854)*unitsOfExo+J854)</f>
        <v>-175574.2</v>
      </c>
      <c r="K855" s="9">
        <f t="shared" si="41"/>
        <v>175574.2</v>
      </c>
      <c r="L855">
        <f t="shared" si="42"/>
        <v>1230545.8</v>
      </c>
    </row>
    <row r="856" spans="1:12" x14ac:dyDescent="0.25">
      <c r="A856" s="1"/>
      <c r="C856" s="1"/>
      <c r="D856" s="1">
        <v>42457</v>
      </c>
      <c r="E856" s="10">
        <v>305630</v>
      </c>
      <c r="F856" s="1">
        <v>42457</v>
      </c>
      <c r="G856">
        <v>-21846.42</v>
      </c>
      <c r="H856" s="1">
        <f t="shared" si="40"/>
        <v>42457</v>
      </c>
      <c r="I856">
        <f>IF(AND(MyRowHidden(ROW())=FALSE,MyRowHidden(ROW()-1)=TRUE),0,(E856-E855)*unitsOfDHp+I855)</f>
        <v>1399520</v>
      </c>
      <c r="J856">
        <f>IF(AND(MyRowHidden(ROW())=FALSE,MyRowHidden(ROW()-1)=TRUE),0,(G856-G855)*unitsOfExo+J855)</f>
        <v>-175574.2</v>
      </c>
      <c r="K856" s="9">
        <f t="shared" si="41"/>
        <v>175574.2</v>
      </c>
      <c r="L856">
        <f t="shared" si="42"/>
        <v>1223945.8</v>
      </c>
    </row>
    <row r="857" spans="1:12" x14ac:dyDescent="0.25">
      <c r="A857" s="1"/>
      <c r="C857" s="1"/>
      <c r="D857" s="1">
        <v>42458</v>
      </c>
      <c r="E857" s="10">
        <v>303050</v>
      </c>
      <c r="F857" s="1">
        <v>42458</v>
      </c>
      <c r="G857">
        <v>-21846.42</v>
      </c>
      <c r="H857" s="1">
        <f t="shared" si="40"/>
        <v>42458</v>
      </c>
      <c r="I857">
        <f>IF(AND(MyRowHidden(ROW())=FALSE,MyRowHidden(ROW()-1)=TRUE),0,(E857-E856)*unitsOfDHp+I856)</f>
        <v>1373720</v>
      </c>
      <c r="J857">
        <f>IF(AND(MyRowHidden(ROW())=FALSE,MyRowHidden(ROW()-1)=TRUE),0,(G857-G856)*unitsOfExo+J856)</f>
        <v>-175574.2</v>
      </c>
      <c r="K857" s="9">
        <f t="shared" si="41"/>
        <v>175574.2</v>
      </c>
      <c r="L857">
        <f t="shared" si="42"/>
        <v>1198145.8</v>
      </c>
    </row>
    <row r="858" spans="1:12" x14ac:dyDescent="0.25">
      <c r="A858" s="1"/>
      <c r="C858" s="1"/>
      <c r="D858" s="1">
        <v>42459</v>
      </c>
      <c r="E858" s="10">
        <v>303248</v>
      </c>
      <c r="F858" s="1">
        <v>42459</v>
      </c>
      <c r="G858">
        <v>-21846.42</v>
      </c>
      <c r="H858" s="1">
        <f t="shared" si="40"/>
        <v>42459</v>
      </c>
      <c r="I858">
        <f>IF(AND(MyRowHidden(ROW())=FALSE,MyRowHidden(ROW()-1)=TRUE),0,(E858-E857)*unitsOfDHp+I857)</f>
        <v>1375700</v>
      </c>
      <c r="J858">
        <f>IF(AND(MyRowHidden(ROW())=FALSE,MyRowHidden(ROW()-1)=TRUE),0,(G858-G857)*unitsOfExo+J857)</f>
        <v>-175574.2</v>
      </c>
      <c r="K858" s="9">
        <f t="shared" si="41"/>
        <v>175574.2</v>
      </c>
      <c r="L858">
        <f t="shared" si="42"/>
        <v>1200125.8</v>
      </c>
    </row>
    <row r="859" spans="1:12" x14ac:dyDescent="0.25">
      <c r="A859" s="1"/>
      <c r="C859" s="1"/>
      <c r="D859" s="1">
        <v>42460</v>
      </c>
      <c r="E859" s="10">
        <v>302932</v>
      </c>
      <c r="F859" s="1">
        <v>42460</v>
      </c>
      <c r="G859">
        <v>-21873.21</v>
      </c>
      <c r="H859" s="1">
        <f t="shared" si="40"/>
        <v>42460</v>
      </c>
      <c r="I859">
        <f>IF(AND(MyRowHidden(ROW())=FALSE,MyRowHidden(ROW()-1)=TRUE),0,(E859-E858)*unitsOfDHp+I858)</f>
        <v>1372540</v>
      </c>
      <c r="J859">
        <f>IF(AND(MyRowHidden(ROW())=FALSE,MyRowHidden(ROW()-1)=TRUE),0,(G859-G858)*unitsOfExo+J858)</f>
        <v>-175842.10000000003</v>
      </c>
      <c r="K859" s="9">
        <f t="shared" si="41"/>
        <v>175842.10000000003</v>
      </c>
      <c r="L859">
        <f t="shared" si="42"/>
        <v>1196697.8999999999</v>
      </c>
    </row>
    <row r="860" spans="1:12" x14ac:dyDescent="0.25">
      <c r="A860" s="1"/>
      <c r="C860" s="1"/>
      <c r="D860" s="1">
        <v>42461</v>
      </c>
      <c r="E860" s="10">
        <v>304406</v>
      </c>
      <c r="F860" s="1">
        <v>42461</v>
      </c>
      <c r="G860">
        <v>-21853.25</v>
      </c>
      <c r="H860" s="1">
        <f t="shared" si="40"/>
        <v>42461</v>
      </c>
      <c r="I860">
        <f>IF(AND(MyRowHidden(ROW())=FALSE,MyRowHidden(ROW()-1)=TRUE),0,(E860-E859)*unitsOfDHp+I859)</f>
        <v>1387280</v>
      </c>
      <c r="J860">
        <f>IF(AND(MyRowHidden(ROW())=FALSE,MyRowHidden(ROW()-1)=TRUE),0,(G860-G859)*unitsOfExo+J859)</f>
        <v>-175642.50000000006</v>
      </c>
      <c r="K860" s="9">
        <f t="shared" si="41"/>
        <v>175642.50000000006</v>
      </c>
      <c r="L860">
        <f t="shared" si="42"/>
        <v>1211637.5</v>
      </c>
    </row>
    <row r="861" spans="1:12" x14ac:dyDescent="0.25">
      <c r="A861" s="1"/>
      <c r="C861" s="1"/>
      <c r="D861" s="1">
        <v>42464</v>
      </c>
      <c r="E861" s="10">
        <v>305522</v>
      </c>
      <c r="F861" s="1">
        <v>42464</v>
      </c>
      <c r="G861">
        <v>-21853.25</v>
      </c>
      <c r="H861" s="1">
        <f t="shared" si="40"/>
        <v>42464</v>
      </c>
      <c r="I861">
        <f>IF(AND(MyRowHidden(ROW())=FALSE,MyRowHidden(ROW()-1)=TRUE),0,(E861-E860)*unitsOfDHp+I860)</f>
        <v>1398440</v>
      </c>
      <c r="J861">
        <f>IF(AND(MyRowHidden(ROW())=FALSE,MyRowHidden(ROW()-1)=TRUE),0,(G861-G860)*unitsOfExo+J860)</f>
        <v>-175642.50000000006</v>
      </c>
      <c r="K861" s="9">
        <f t="shared" si="41"/>
        <v>175642.50000000006</v>
      </c>
      <c r="L861">
        <f t="shared" si="42"/>
        <v>1222797.5</v>
      </c>
    </row>
    <row r="862" spans="1:12" x14ac:dyDescent="0.25">
      <c r="A862" s="1"/>
      <c r="C862" s="1"/>
      <c r="D862" s="1">
        <v>42465</v>
      </c>
      <c r="E862" s="10">
        <v>306180</v>
      </c>
      <c r="F862" s="1">
        <v>42465</v>
      </c>
      <c r="G862">
        <v>-22012.58</v>
      </c>
      <c r="H862" s="1">
        <f t="shared" si="40"/>
        <v>42465</v>
      </c>
      <c r="I862">
        <f>IF(AND(MyRowHidden(ROW())=FALSE,MyRowHidden(ROW()-1)=TRUE),0,(E862-E861)*unitsOfDHp+I861)</f>
        <v>1405020</v>
      </c>
      <c r="J862">
        <f>IF(AND(MyRowHidden(ROW())=FALSE,MyRowHidden(ROW()-1)=TRUE),0,(G862-G861)*unitsOfExo+J861)</f>
        <v>-177235.80000000008</v>
      </c>
      <c r="K862" s="9">
        <f t="shared" si="41"/>
        <v>177235.80000000008</v>
      </c>
      <c r="L862">
        <f t="shared" si="42"/>
        <v>1227784.2</v>
      </c>
    </row>
    <row r="863" spans="1:12" x14ac:dyDescent="0.25">
      <c r="A863" s="1"/>
      <c r="C863" s="1"/>
      <c r="D863" s="1">
        <v>42466</v>
      </c>
      <c r="E863" s="10">
        <v>305838</v>
      </c>
      <c r="F863" s="1">
        <v>42466</v>
      </c>
      <c r="G863">
        <v>-22012.58</v>
      </c>
      <c r="H863" s="1">
        <f t="shared" si="40"/>
        <v>42466</v>
      </c>
      <c r="I863">
        <f>IF(AND(MyRowHidden(ROW())=FALSE,MyRowHidden(ROW()-1)=TRUE),0,(E863-E862)*unitsOfDHp+I862)</f>
        <v>1401600</v>
      </c>
      <c r="J863">
        <f>IF(AND(MyRowHidden(ROW())=FALSE,MyRowHidden(ROW()-1)=TRUE),0,(G863-G862)*unitsOfExo+J862)</f>
        <v>-177235.80000000008</v>
      </c>
      <c r="K863" s="9">
        <f t="shared" si="41"/>
        <v>177235.80000000008</v>
      </c>
      <c r="L863">
        <f t="shared" si="42"/>
        <v>1224364.2</v>
      </c>
    </row>
    <row r="864" spans="1:12" x14ac:dyDescent="0.25">
      <c r="A864" s="1"/>
      <c r="C864" s="1"/>
      <c r="D864" s="1">
        <v>42467</v>
      </c>
      <c r="E864" s="10">
        <v>306702</v>
      </c>
      <c r="F864" s="1">
        <v>42467</v>
      </c>
      <c r="G864">
        <v>-21965.11</v>
      </c>
      <c r="H864" s="1">
        <f t="shared" si="40"/>
        <v>42467</v>
      </c>
      <c r="I864">
        <f>IF(AND(MyRowHidden(ROW())=FALSE,MyRowHidden(ROW()-1)=TRUE),0,(E864-E863)*unitsOfDHp+I863)</f>
        <v>1410240</v>
      </c>
      <c r="J864">
        <f>IF(AND(MyRowHidden(ROW())=FALSE,MyRowHidden(ROW()-1)=TRUE),0,(G864-G863)*unitsOfExo+J863)</f>
        <v>-176761.10000000006</v>
      </c>
      <c r="K864" s="9">
        <f t="shared" si="41"/>
        <v>176761.10000000006</v>
      </c>
      <c r="L864">
        <f t="shared" si="42"/>
        <v>1233478.8999999999</v>
      </c>
    </row>
    <row r="865" spans="1:12" x14ac:dyDescent="0.25">
      <c r="A865" s="1"/>
      <c r="C865" s="1"/>
      <c r="D865" s="1">
        <v>42468</v>
      </c>
      <c r="E865" s="10">
        <v>302722</v>
      </c>
      <c r="F865" s="1">
        <v>42468</v>
      </c>
      <c r="G865">
        <v>-22054.880000000001</v>
      </c>
      <c r="H865" s="1">
        <f t="shared" si="40"/>
        <v>42468</v>
      </c>
      <c r="I865">
        <f>IF(AND(MyRowHidden(ROW())=FALSE,MyRowHidden(ROW()-1)=TRUE),0,(E865-E864)*unitsOfDHp+I864)</f>
        <v>1370440</v>
      </c>
      <c r="J865">
        <f>IF(AND(MyRowHidden(ROW())=FALSE,MyRowHidden(ROW()-1)=TRUE),0,(G865-G864)*unitsOfExo+J864)</f>
        <v>-177658.80000000008</v>
      </c>
      <c r="K865" s="9">
        <f t="shared" si="41"/>
        <v>177658.80000000008</v>
      </c>
      <c r="L865">
        <f t="shared" si="42"/>
        <v>1192781.2</v>
      </c>
    </row>
    <row r="866" spans="1:12" x14ac:dyDescent="0.25">
      <c r="A866" s="1"/>
      <c r="C866" s="1"/>
      <c r="D866" s="1">
        <v>42471</v>
      </c>
      <c r="E866" s="10">
        <v>302416</v>
      </c>
      <c r="F866" s="1">
        <v>42471</v>
      </c>
      <c r="G866">
        <v>-22054.880000000001</v>
      </c>
      <c r="H866" s="1">
        <f t="shared" si="40"/>
        <v>42471</v>
      </c>
      <c r="I866">
        <f>IF(AND(MyRowHidden(ROW())=FALSE,MyRowHidden(ROW()-1)=TRUE),0,(E866-E865)*unitsOfDHp+I865)</f>
        <v>1367380</v>
      </c>
      <c r="J866">
        <f>IF(AND(MyRowHidden(ROW())=FALSE,MyRowHidden(ROW()-1)=TRUE),0,(G866-G865)*unitsOfExo+J865)</f>
        <v>-177658.80000000008</v>
      </c>
      <c r="K866" s="9">
        <f t="shared" si="41"/>
        <v>177658.80000000008</v>
      </c>
      <c r="L866">
        <f t="shared" si="42"/>
        <v>1189721.2</v>
      </c>
    </row>
    <row r="867" spans="1:12" x14ac:dyDescent="0.25">
      <c r="A867" s="1"/>
      <c r="C867" s="1"/>
      <c r="D867" s="1">
        <v>42472</v>
      </c>
      <c r="E867" s="10">
        <v>302912</v>
      </c>
      <c r="F867" s="1">
        <v>42472</v>
      </c>
      <c r="G867">
        <v>-22054.880000000001</v>
      </c>
      <c r="H867" s="1">
        <f t="shared" si="40"/>
        <v>42472</v>
      </c>
      <c r="I867">
        <f>IF(AND(MyRowHidden(ROW())=FALSE,MyRowHidden(ROW()-1)=TRUE),0,(E867-E866)*unitsOfDHp+I866)</f>
        <v>1372340</v>
      </c>
      <c r="J867">
        <f>IF(AND(MyRowHidden(ROW())=FALSE,MyRowHidden(ROW()-1)=TRUE),0,(G867-G866)*unitsOfExo+J866)</f>
        <v>-177658.80000000008</v>
      </c>
      <c r="K867" s="9">
        <f t="shared" si="41"/>
        <v>177658.80000000008</v>
      </c>
      <c r="L867">
        <f t="shared" si="42"/>
        <v>1194681.2</v>
      </c>
    </row>
    <row r="868" spans="1:12" x14ac:dyDescent="0.25">
      <c r="A868" s="1"/>
      <c r="C868" s="1"/>
      <c r="D868" s="1">
        <v>42473</v>
      </c>
      <c r="E868" s="10">
        <v>302608</v>
      </c>
      <c r="F868" s="1">
        <v>42473</v>
      </c>
      <c r="G868">
        <v>-22018.22</v>
      </c>
      <c r="H868" s="1">
        <f t="shared" si="40"/>
        <v>42473</v>
      </c>
      <c r="I868">
        <f>IF(AND(MyRowHidden(ROW())=FALSE,MyRowHidden(ROW()-1)=TRUE),0,(E868-E867)*unitsOfDHp+I867)</f>
        <v>1369300</v>
      </c>
      <c r="J868">
        <f>IF(AND(MyRowHidden(ROW())=FALSE,MyRowHidden(ROW()-1)=TRUE),0,(G868-G867)*unitsOfExo+J867)</f>
        <v>-177292.20000000007</v>
      </c>
      <c r="K868" s="9">
        <f t="shared" si="41"/>
        <v>177292.20000000007</v>
      </c>
      <c r="L868">
        <f t="shared" si="42"/>
        <v>1192007.7999999998</v>
      </c>
    </row>
    <row r="869" spans="1:12" x14ac:dyDescent="0.25">
      <c r="A869" s="1"/>
      <c r="C869" s="1"/>
      <c r="D869" s="1">
        <v>42474</v>
      </c>
      <c r="E869" s="10">
        <v>302174</v>
      </c>
      <c r="F869" s="1">
        <v>42474</v>
      </c>
      <c r="G869">
        <v>-22018.22</v>
      </c>
      <c r="H869" s="1">
        <f t="shared" si="40"/>
        <v>42474</v>
      </c>
      <c r="I869">
        <f>IF(AND(MyRowHidden(ROW())=FALSE,MyRowHidden(ROW()-1)=TRUE),0,(E869-E868)*unitsOfDHp+I868)</f>
        <v>1364960</v>
      </c>
      <c r="J869">
        <f>IF(AND(MyRowHidden(ROW())=FALSE,MyRowHidden(ROW()-1)=TRUE),0,(G869-G868)*unitsOfExo+J868)</f>
        <v>-177292.20000000007</v>
      </c>
      <c r="K869" s="9">
        <f t="shared" si="41"/>
        <v>177292.20000000007</v>
      </c>
      <c r="L869">
        <f t="shared" si="42"/>
        <v>1187667.7999999998</v>
      </c>
    </row>
    <row r="870" spans="1:12" x14ac:dyDescent="0.25">
      <c r="A870" s="1"/>
      <c r="C870" s="1"/>
      <c r="D870" s="1">
        <v>42475</v>
      </c>
      <c r="E870" s="10">
        <v>303676</v>
      </c>
      <c r="F870" s="1">
        <v>42475</v>
      </c>
      <c r="G870">
        <v>-22049.24</v>
      </c>
      <c r="H870" s="1">
        <f t="shared" si="40"/>
        <v>42475</v>
      </c>
      <c r="I870">
        <f>IF(AND(MyRowHidden(ROW())=FALSE,MyRowHidden(ROW()-1)=TRUE),0,(E870-E869)*unitsOfDHp+I869)</f>
        <v>1379980</v>
      </c>
      <c r="J870">
        <f>IF(AND(MyRowHidden(ROW())=FALSE,MyRowHidden(ROW()-1)=TRUE),0,(G870-G869)*unitsOfExo+J869)</f>
        <v>-177602.40000000008</v>
      </c>
      <c r="K870" s="9">
        <f t="shared" si="41"/>
        <v>177602.40000000008</v>
      </c>
      <c r="L870">
        <f t="shared" si="42"/>
        <v>1202377.5999999999</v>
      </c>
    </row>
    <row r="871" spans="1:12" x14ac:dyDescent="0.25">
      <c r="A871" s="1"/>
      <c r="C871" s="1"/>
      <c r="D871" s="1">
        <v>42478</v>
      </c>
      <c r="E871" s="10">
        <v>304418</v>
      </c>
      <c r="F871" s="1">
        <v>42478</v>
      </c>
      <c r="G871">
        <v>-22049.24</v>
      </c>
      <c r="H871" s="1">
        <f t="shared" si="40"/>
        <v>42478</v>
      </c>
      <c r="I871">
        <f>IF(AND(MyRowHidden(ROW())=FALSE,MyRowHidden(ROW()-1)=TRUE),0,(E871-E870)*unitsOfDHp+I870)</f>
        <v>1387400</v>
      </c>
      <c r="J871">
        <f>IF(AND(MyRowHidden(ROW())=FALSE,MyRowHidden(ROW()-1)=TRUE),0,(G871-G870)*unitsOfExo+J870)</f>
        <v>-177602.40000000008</v>
      </c>
      <c r="K871" s="9">
        <f t="shared" si="41"/>
        <v>177602.40000000008</v>
      </c>
      <c r="L871">
        <f t="shared" si="42"/>
        <v>1209797.5999999999</v>
      </c>
    </row>
    <row r="872" spans="1:12" x14ac:dyDescent="0.25">
      <c r="A872" s="1"/>
      <c r="C872" s="1"/>
      <c r="D872" s="1">
        <v>42479</v>
      </c>
      <c r="E872" s="10">
        <v>300932</v>
      </c>
      <c r="F872" s="1">
        <v>42479</v>
      </c>
      <c r="G872">
        <v>-21948.19</v>
      </c>
      <c r="H872" s="1">
        <f t="shared" si="40"/>
        <v>42479</v>
      </c>
      <c r="I872">
        <f>IF(AND(MyRowHidden(ROW())=FALSE,MyRowHidden(ROW()-1)=TRUE),0,(E872-E871)*unitsOfDHp+I871)</f>
        <v>1352540</v>
      </c>
      <c r="J872">
        <f>IF(AND(MyRowHidden(ROW())=FALSE,MyRowHidden(ROW()-1)=TRUE),0,(G872-G871)*unitsOfExo+J871)</f>
        <v>-176591.90000000005</v>
      </c>
      <c r="K872" s="9">
        <f t="shared" si="41"/>
        <v>176591.90000000005</v>
      </c>
      <c r="L872">
        <f t="shared" si="42"/>
        <v>1175948.0999999999</v>
      </c>
    </row>
    <row r="873" spans="1:12" x14ac:dyDescent="0.25">
      <c r="A873" s="1"/>
      <c r="C873" s="1"/>
      <c r="D873" s="1">
        <v>42480</v>
      </c>
      <c r="E873" s="10">
        <v>296592</v>
      </c>
      <c r="F873" s="1">
        <v>42480</v>
      </c>
      <c r="G873">
        <v>-21858.89</v>
      </c>
      <c r="H873" s="1">
        <f t="shared" si="40"/>
        <v>42480</v>
      </c>
      <c r="I873">
        <f>IF(AND(MyRowHidden(ROW())=FALSE,MyRowHidden(ROW()-1)=TRUE),0,(E873-E872)*unitsOfDHp+I872)</f>
        <v>1309140</v>
      </c>
      <c r="J873">
        <f>IF(AND(MyRowHidden(ROW())=FALSE,MyRowHidden(ROW()-1)=TRUE),0,(G873-G872)*unitsOfExo+J872)</f>
        <v>-175698.90000000005</v>
      </c>
      <c r="K873" s="9">
        <f t="shared" si="41"/>
        <v>175698.90000000005</v>
      </c>
      <c r="L873">
        <f t="shared" si="42"/>
        <v>1133441.0999999999</v>
      </c>
    </row>
    <row r="874" spans="1:12" x14ac:dyDescent="0.25">
      <c r="A874" s="1"/>
      <c r="C874" s="1"/>
      <c r="D874" s="1">
        <v>42481</v>
      </c>
      <c r="E874" s="10">
        <v>296592</v>
      </c>
      <c r="F874" s="1">
        <v>42481</v>
      </c>
      <c r="G874">
        <v>-21858.89</v>
      </c>
      <c r="H874" s="1">
        <f t="shared" si="40"/>
        <v>42481</v>
      </c>
      <c r="I874">
        <f>IF(AND(MyRowHidden(ROW())=FALSE,MyRowHidden(ROW()-1)=TRUE),0,(E874-E873)*unitsOfDHp+I873)</f>
        <v>1309140</v>
      </c>
      <c r="J874">
        <f>IF(AND(MyRowHidden(ROW())=FALSE,MyRowHidden(ROW()-1)=TRUE),0,(G874-G873)*unitsOfExo+J873)</f>
        <v>-175698.90000000005</v>
      </c>
      <c r="K874" s="9">
        <f t="shared" si="41"/>
        <v>175698.90000000005</v>
      </c>
      <c r="L874">
        <f t="shared" si="42"/>
        <v>1133441.0999999999</v>
      </c>
    </row>
    <row r="875" spans="1:12" x14ac:dyDescent="0.25">
      <c r="A875" s="1"/>
      <c r="C875" s="1"/>
      <c r="D875" s="1">
        <v>42482</v>
      </c>
      <c r="E875" s="10">
        <v>296592</v>
      </c>
      <c r="F875" s="1">
        <v>42482</v>
      </c>
      <c r="G875">
        <v>-21858.89</v>
      </c>
      <c r="H875" s="1">
        <f t="shared" si="40"/>
        <v>42482</v>
      </c>
      <c r="I875">
        <f>IF(AND(MyRowHidden(ROW())=FALSE,MyRowHidden(ROW()-1)=TRUE),0,(E875-E874)*unitsOfDHp+I874)</f>
        <v>1309140</v>
      </c>
      <c r="J875">
        <f>IF(AND(MyRowHidden(ROW())=FALSE,MyRowHidden(ROW()-1)=TRUE),0,(G875-G874)*unitsOfExo+J874)</f>
        <v>-175698.90000000005</v>
      </c>
      <c r="K875" s="9">
        <f t="shared" si="41"/>
        <v>175698.90000000005</v>
      </c>
      <c r="L875">
        <f t="shared" si="42"/>
        <v>1133441.0999999999</v>
      </c>
    </row>
    <row r="876" spans="1:12" x14ac:dyDescent="0.25">
      <c r="A876" s="1"/>
      <c r="C876" s="1"/>
      <c r="D876" s="1">
        <v>42485</v>
      </c>
      <c r="E876" s="10">
        <v>296592</v>
      </c>
      <c r="F876" s="1">
        <v>42485</v>
      </c>
      <c r="G876">
        <v>-21858.89</v>
      </c>
      <c r="H876" s="1">
        <f t="shared" si="40"/>
        <v>42485</v>
      </c>
      <c r="I876">
        <f>IF(AND(MyRowHidden(ROW())=FALSE,MyRowHidden(ROW()-1)=TRUE),0,(E876-E875)*unitsOfDHp+I875)</f>
        <v>1309140</v>
      </c>
      <c r="J876">
        <f>IF(AND(MyRowHidden(ROW())=FALSE,MyRowHidden(ROW()-1)=TRUE),0,(G876-G875)*unitsOfExo+J875)</f>
        <v>-175698.90000000005</v>
      </c>
      <c r="K876" s="9">
        <f t="shared" si="41"/>
        <v>175698.90000000005</v>
      </c>
      <c r="L876">
        <f t="shared" si="42"/>
        <v>1133441.0999999999</v>
      </c>
    </row>
    <row r="877" spans="1:12" x14ac:dyDescent="0.25">
      <c r="A877" s="1"/>
      <c r="C877" s="1"/>
      <c r="D877" s="1">
        <v>42486</v>
      </c>
      <c r="E877" s="10">
        <v>296388</v>
      </c>
      <c r="F877" s="1">
        <v>42486</v>
      </c>
      <c r="G877">
        <v>-21858.89</v>
      </c>
      <c r="H877" s="1">
        <f t="shared" si="40"/>
        <v>42486</v>
      </c>
      <c r="I877">
        <f>IF(AND(MyRowHidden(ROW())=FALSE,MyRowHidden(ROW()-1)=TRUE),0,(E877-E876)*unitsOfDHp+I876)</f>
        <v>1307100</v>
      </c>
      <c r="J877">
        <f>IF(AND(MyRowHidden(ROW())=FALSE,MyRowHidden(ROW()-1)=TRUE),0,(G877-G876)*unitsOfExo+J876)</f>
        <v>-175698.90000000005</v>
      </c>
      <c r="K877" s="9">
        <f t="shared" si="41"/>
        <v>175698.90000000005</v>
      </c>
      <c r="L877">
        <f t="shared" si="42"/>
        <v>1131401.0999999999</v>
      </c>
    </row>
    <row r="878" spans="1:12" x14ac:dyDescent="0.25">
      <c r="A878" s="1"/>
      <c r="C878" s="1"/>
      <c r="D878" s="1">
        <v>42487</v>
      </c>
      <c r="E878" s="10">
        <v>296352</v>
      </c>
      <c r="F878" s="1">
        <v>42487</v>
      </c>
      <c r="G878">
        <v>-21858.89</v>
      </c>
      <c r="H878" s="1">
        <f t="shared" si="40"/>
        <v>42487</v>
      </c>
      <c r="I878">
        <f>IF(AND(MyRowHidden(ROW())=FALSE,MyRowHidden(ROW()-1)=TRUE),0,(E878-E877)*unitsOfDHp+I877)</f>
        <v>1306740</v>
      </c>
      <c r="J878">
        <f>IF(AND(MyRowHidden(ROW())=FALSE,MyRowHidden(ROW()-1)=TRUE),0,(G878-G877)*unitsOfExo+J877)</f>
        <v>-175698.90000000005</v>
      </c>
      <c r="K878" s="9">
        <f t="shared" si="41"/>
        <v>175698.90000000005</v>
      </c>
      <c r="L878">
        <f t="shared" si="42"/>
        <v>1131041.0999999999</v>
      </c>
    </row>
    <row r="879" spans="1:12" x14ac:dyDescent="0.25">
      <c r="A879" s="1"/>
      <c r="C879" s="1"/>
      <c r="D879" s="1">
        <v>42488</v>
      </c>
      <c r="E879" s="10">
        <v>296352</v>
      </c>
      <c r="F879" s="1">
        <v>42488</v>
      </c>
      <c r="G879">
        <v>-21858.89</v>
      </c>
      <c r="H879" s="1">
        <f t="shared" si="40"/>
        <v>42488</v>
      </c>
      <c r="I879">
        <f>IF(AND(MyRowHidden(ROW())=FALSE,MyRowHidden(ROW()-1)=TRUE),0,(E879-E878)*unitsOfDHp+I878)</f>
        <v>1306740</v>
      </c>
      <c r="J879">
        <f>IF(AND(MyRowHidden(ROW())=FALSE,MyRowHidden(ROW()-1)=TRUE),0,(G879-G878)*unitsOfExo+J878)</f>
        <v>-175698.90000000005</v>
      </c>
      <c r="K879" s="9">
        <f t="shared" si="41"/>
        <v>175698.90000000005</v>
      </c>
      <c r="L879">
        <f t="shared" si="42"/>
        <v>1131041.0999999999</v>
      </c>
    </row>
    <row r="880" spans="1:12" x14ac:dyDescent="0.25">
      <c r="A880" s="1"/>
      <c r="C880" s="1"/>
      <c r="D880" s="1">
        <v>42489</v>
      </c>
      <c r="E880" s="10">
        <v>296352</v>
      </c>
      <c r="F880" s="1">
        <v>42489</v>
      </c>
      <c r="G880">
        <v>-21858.89</v>
      </c>
      <c r="H880" s="1">
        <f t="shared" si="40"/>
        <v>42489</v>
      </c>
      <c r="I880">
        <f>IF(AND(MyRowHidden(ROW())=FALSE,MyRowHidden(ROW()-1)=TRUE),0,(E880-E879)*unitsOfDHp+I879)</f>
        <v>1306740</v>
      </c>
      <c r="J880">
        <f>IF(AND(MyRowHidden(ROW())=FALSE,MyRowHidden(ROW()-1)=TRUE),0,(G880-G879)*unitsOfExo+J879)</f>
        <v>-175698.90000000005</v>
      </c>
      <c r="K880" s="9">
        <f t="shared" si="41"/>
        <v>175698.90000000005</v>
      </c>
      <c r="L880">
        <f t="shared" si="42"/>
        <v>1131041.0999999999</v>
      </c>
    </row>
    <row r="881" spans="1:12" x14ac:dyDescent="0.25">
      <c r="A881" s="1"/>
      <c r="C881" s="1"/>
      <c r="D881" s="1">
        <v>42492</v>
      </c>
      <c r="E881" s="10">
        <v>296352</v>
      </c>
      <c r="F881" s="1">
        <v>42492</v>
      </c>
      <c r="G881">
        <v>-21689</v>
      </c>
      <c r="H881" s="1">
        <f t="shared" si="40"/>
        <v>42492</v>
      </c>
      <c r="I881">
        <f>IF(AND(MyRowHidden(ROW())=FALSE,MyRowHidden(ROW()-1)=TRUE),0,(E881-E880)*unitsOfDHp+I880)</f>
        <v>1306740</v>
      </c>
      <c r="J881">
        <f>IF(AND(MyRowHidden(ROW())=FALSE,MyRowHidden(ROW()-1)=TRUE),0,(G881-G880)*unitsOfExo+J880)</f>
        <v>-174000.00000000006</v>
      </c>
      <c r="K881" s="9">
        <f t="shared" si="41"/>
        <v>174000.00000000006</v>
      </c>
      <c r="L881">
        <f t="shared" si="42"/>
        <v>1132740</v>
      </c>
    </row>
    <row r="882" spans="1:12" x14ac:dyDescent="0.25">
      <c r="A882" s="1"/>
      <c r="C882" s="1"/>
      <c r="D882" s="1">
        <v>42493</v>
      </c>
      <c r="E882" s="10">
        <v>296352</v>
      </c>
      <c r="F882" s="1">
        <v>42493</v>
      </c>
      <c r="G882">
        <v>-21689</v>
      </c>
      <c r="H882" s="1">
        <f t="shared" si="40"/>
        <v>42493</v>
      </c>
      <c r="I882">
        <f>IF(AND(MyRowHidden(ROW())=FALSE,MyRowHidden(ROW()-1)=TRUE),0,(E882-E881)*unitsOfDHp+I881)</f>
        <v>1306740</v>
      </c>
      <c r="J882">
        <f>IF(AND(MyRowHidden(ROW())=FALSE,MyRowHidden(ROW()-1)=TRUE),0,(G882-G881)*unitsOfExo+J881)</f>
        <v>-174000.00000000006</v>
      </c>
      <c r="K882" s="9">
        <f t="shared" si="41"/>
        <v>174000.00000000006</v>
      </c>
      <c r="L882">
        <f t="shared" si="42"/>
        <v>1132740</v>
      </c>
    </row>
    <row r="883" spans="1:12" x14ac:dyDescent="0.25">
      <c r="A883" s="1"/>
      <c r="C883" s="1"/>
      <c r="D883" s="1">
        <v>42494</v>
      </c>
      <c r="E883" s="10">
        <v>296328</v>
      </c>
      <c r="F883" s="1">
        <v>42494</v>
      </c>
      <c r="G883">
        <v>-21689</v>
      </c>
      <c r="H883" s="1">
        <f t="shared" si="40"/>
        <v>42494</v>
      </c>
      <c r="I883">
        <f>IF(AND(MyRowHidden(ROW())=FALSE,MyRowHidden(ROW()-1)=TRUE),0,(E883-E882)*unitsOfDHp+I882)</f>
        <v>1306500</v>
      </c>
      <c r="J883">
        <f>IF(AND(MyRowHidden(ROW())=FALSE,MyRowHidden(ROW()-1)=TRUE),0,(G883-G882)*unitsOfExo+J882)</f>
        <v>-174000.00000000006</v>
      </c>
      <c r="K883" s="9">
        <f t="shared" si="41"/>
        <v>174000.00000000006</v>
      </c>
      <c r="L883">
        <f t="shared" si="42"/>
        <v>1132500</v>
      </c>
    </row>
    <row r="884" spans="1:12" x14ac:dyDescent="0.25">
      <c r="A884" s="1"/>
      <c r="C884" s="1"/>
      <c r="D884" s="1">
        <v>42495</v>
      </c>
      <c r="E884" s="10">
        <v>296328</v>
      </c>
      <c r="F884" s="1">
        <v>42495</v>
      </c>
      <c r="G884">
        <v>-21689</v>
      </c>
      <c r="H884" s="1">
        <f t="shared" si="40"/>
        <v>42495</v>
      </c>
      <c r="I884">
        <f>IF(AND(MyRowHidden(ROW())=FALSE,MyRowHidden(ROW()-1)=TRUE),0,(E884-E883)*unitsOfDHp+I883)</f>
        <v>1306500</v>
      </c>
      <c r="J884">
        <f>IF(AND(MyRowHidden(ROW())=FALSE,MyRowHidden(ROW()-1)=TRUE),0,(G884-G883)*unitsOfExo+J883)</f>
        <v>-174000.00000000006</v>
      </c>
      <c r="K884" s="9">
        <f t="shared" si="41"/>
        <v>174000.00000000006</v>
      </c>
      <c r="L884">
        <f t="shared" si="42"/>
        <v>1132500</v>
      </c>
    </row>
    <row r="885" spans="1:12" x14ac:dyDescent="0.25">
      <c r="A885" s="1"/>
      <c r="C885" s="1"/>
      <c r="D885" s="1">
        <v>42496</v>
      </c>
      <c r="E885" s="10">
        <v>296328</v>
      </c>
      <c r="F885" s="1">
        <v>42496</v>
      </c>
      <c r="G885">
        <v>-21879.35</v>
      </c>
      <c r="H885" s="1">
        <f t="shared" si="40"/>
        <v>42496</v>
      </c>
      <c r="I885">
        <f>IF(AND(MyRowHidden(ROW())=FALSE,MyRowHidden(ROW()-1)=TRUE),0,(E885-E884)*unitsOfDHp+I884)</f>
        <v>1306500</v>
      </c>
      <c r="J885">
        <f>IF(AND(MyRowHidden(ROW())=FALSE,MyRowHidden(ROW()-1)=TRUE),0,(G885-G884)*unitsOfExo+J884)</f>
        <v>-175903.50000000006</v>
      </c>
      <c r="K885" s="9">
        <f t="shared" si="41"/>
        <v>175903.50000000006</v>
      </c>
      <c r="L885">
        <f t="shared" si="42"/>
        <v>1130596.5</v>
      </c>
    </row>
    <row r="886" spans="1:12" x14ac:dyDescent="0.25">
      <c r="A886" s="1"/>
      <c r="C886" s="1"/>
      <c r="D886" s="1">
        <v>42499</v>
      </c>
      <c r="E886" s="10">
        <v>296328</v>
      </c>
      <c r="F886" s="1">
        <v>42499</v>
      </c>
      <c r="G886">
        <v>-21700.28</v>
      </c>
      <c r="H886" s="1">
        <f t="shared" si="40"/>
        <v>42499</v>
      </c>
      <c r="I886">
        <f>IF(AND(MyRowHidden(ROW())=FALSE,MyRowHidden(ROW()-1)=TRUE),0,(E886-E885)*unitsOfDHp+I885)</f>
        <v>1306500</v>
      </c>
      <c r="J886">
        <f>IF(AND(MyRowHidden(ROW())=FALSE,MyRowHidden(ROW()-1)=TRUE),0,(G886-G885)*unitsOfExo+J885)</f>
        <v>-174112.80000000005</v>
      </c>
      <c r="K886" s="9">
        <f t="shared" si="41"/>
        <v>174112.80000000005</v>
      </c>
      <c r="L886">
        <f t="shared" si="42"/>
        <v>1132387.2</v>
      </c>
    </row>
    <row r="887" spans="1:12" x14ac:dyDescent="0.25">
      <c r="A887" s="1"/>
      <c r="C887" s="1"/>
      <c r="D887" s="1">
        <v>42500</v>
      </c>
      <c r="E887" s="10">
        <v>296328</v>
      </c>
      <c r="F887" s="1">
        <v>42500</v>
      </c>
      <c r="G887">
        <v>-21742.11</v>
      </c>
      <c r="H887" s="1">
        <f t="shared" si="40"/>
        <v>42500</v>
      </c>
      <c r="I887">
        <f>IF(AND(MyRowHidden(ROW())=FALSE,MyRowHidden(ROW()-1)=TRUE),0,(E887-E886)*unitsOfDHp+I886)</f>
        <v>1306500</v>
      </c>
      <c r="J887">
        <f>IF(AND(MyRowHidden(ROW())=FALSE,MyRowHidden(ROW()-1)=TRUE),0,(G887-G886)*unitsOfExo+J886)</f>
        <v>-174531.10000000006</v>
      </c>
      <c r="K887" s="9">
        <f t="shared" si="41"/>
        <v>174531.10000000006</v>
      </c>
      <c r="L887">
        <f t="shared" si="42"/>
        <v>1131968.8999999999</v>
      </c>
    </row>
    <row r="888" spans="1:12" x14ac:dyDescent="0.25">
      <c r="A888" s="1"/>
      <c r="C888" s="1"/>
      <c r="D888" s="1">
        <v>42501</v>
      </c>
      <c r="E888" s="10">
        <v>296328</v>
      </c>
      <c r="F888" s="1">
        <v>42501</v>
      </c>
      <c r="G888">
        <v>-21859.61</v>
      </c>
      <c r="H888" s="1">
        <f t="shared" si="40"/>
        <v>42501</v>
      </c>
      <c r="I888">
        <f>IF(AND(MyRowHidden(ROW())=FALSE,MyRowHidden(ROW()-1)=TRUE),0,(E888-E887)*unitsOfDHp+I887)</f>
        <v>1306500</v>
      </c>
      <c r="J888">
        <f>IF(AND(MyRowHidden(ROW())=FALSE,MyRowHidden(ROW()-1)=TRUE),0,(G888-G887)*unitsOfExo+J887)</f>
        <v>-175706.10000000006</v>
      </c>
      <c r="K888" s="9">
        <f t="shared" si="41"/>
        <v>175706.10000000006</v>
      </c>
      <c r="L888">
        <f t="shared" si="42"/>
        <v>1130793.8999999999</v>
      </c>
    </row>
    <row r="889" spans="1:12" x14ac:dyDescent="0.25">
      <c r="A889" s="1"/>
      <c r="C889" s="1"/>
      <c r="D889" s="1">
        <v>42502</v>
      </c>
      <c r="E889" s="10">
        <v>296328</v>
      </c>
      <c r="F889" s="1">
        <v>42502</v>
      </c>
      <c r="G889">
        <v>-21859.61</v>
      </c>
      <c r="H889" s="1">
        <f t="shared" si="40"/>
        <v>42502</v>
      </c>
      <c r="I889">
        <f>IF(AND(MyRowHidden(ROW())=FALSE,MyRowHidden(ROW()-1)=TRUE),0,(E889-E888)*unitsOfDHp+I888)</f>
        <v>1306500</v>
      </c>
      <c r="J889">
        <f>IF(AND(MyRowHidden(ROW())=FALSE,MyRowHidden(ROW()-1)=TRUE),0,(G889-G888)*unitsOfExo+J888)</f>
        <v>-175706.10000000006</v>
      </c>
      <c r="K889" s="9">
        <f t="shared" si="41"/>
        <v>175706.10000000006</v>
      </c>
      <c r="L889">
        <f t="shared" si="42"/>
        <v>1130793.8999999999</v>
      </c>
    </row>
    <row r="890" spans="1:12" x14ac:dyDescent="0.25">
      <c r="A890" s="1"/>
      <c r="C890" s="1"/>
      <c r="D890" s="1">
        <v>42503</v>
      </c>
      <c r="E890" s="10">
        <v>296304</v>
      </c>
      <c r="F890" s="1">
        <v>42503</v>
      </c>
      <c r="G890">
        <v>-21859.61</v>
      </c>
      <c r="H890" s="1">
        <f t="shared" si="40"/>
        <v>42503</v>
      </c>
      <c r="I890">
        <f>IF(AND(MyRowHidden(ROW())=FALSE,MyRowHidden(ROW()-1)=TRUE),0,(E890-E889)*unitsOfDHp+I889)</f>
        <v>1306260</v>
      </c>
      <c r="J890">
        <f>IF(AND(MyRowHidden(ROW())=FALSE,MyRowHidden(ROW()-1)=TRUE),0,(G890-G889)*unitsOfExo+J889)</f>
        <v>-175706.10000000006</v>
      </c>
      <c r="K890" s="9">
        <f t="shared" si="41"/>
        <v>175706.10000000006</v>
      </c>
      <c r="L890">
        <f t="shared" si="42"/>
        <v>1130553.8999999999</v>
      </c>
    </row>
    <row r="891" spans="1:12" x14ac:dyDescent="0.25">
      <c r="A891" s="1"/>
      <c r="C891" s="1"/>
      <c r="D891" s="1">
        <v>42506</v>
      </c>
      <c r="E891" s="10">
        <v>296280</v>
      </c>
      <c r="F891" s="1">
        <v>42506</v>
      </c>
      <c r="G891">
        <v>-21859.61</v>
      </c>
      <c r="H891" s="1">
        <f t="shared" si="40"/>
        <v>42506</v>
      </c>
      <c r="I891">
        <f>IF(AND(MyRowHidden(ROW())=FALSE,MyRowHidden(ROW()-1)=TRUE),0,(E891-E890)*unitsOfDHp+I890)</f>
        <v>1306020</v>
      </c>
      <c r="J891">
        <f>IF(AND(MyRowHidden(ROW())=FALSE,MyRowHidden(ROW()-1)=TRUE),0,(G891-G890)*unitsOfExo+J890)</f>
        <v>-175706.10000000006</v>
      </c>
      <c r="K891" s="9">
        <f t="shared" si="41"/>
        <v>175706.10000000006</v>
      </c>
      <c r="L891">
        <f t="shared" si="42"/>
        <v>1130313.8999999999</v>
      </c>
    </row>
    <row r="892" spans="1:12" x14ac:dyDescent="0.25">
      <c r="A892" s="1"/>
      <c r="C892" s="1"/>
      <c r="D892" s="1">
        <v>42507</v>
      </c>
      <c r="E892" s="10">
        <v>296280</v>
      </c>
      <c r="F892" s="1">
        <v>42507</v>
      </c>
      <c r="G892">
        <v>-21859.61</v>
      </c>
      <c r="H892" s="1">
        <f t="shared" si="40"/>
        <v>42507</v>
      </c>
      <c r="I892">
        <f>IF(AND(MyRowHidden(ROW())=FALSE,MyRowHidden(ROW()-1)=TRUE),0,(E892-E891)*unitsOfDHp+I891)</f>
        <v>1306020</v>
      </c>
      <c r="J892">
        <f>IF(AND(MyRowHidden(ROW())=FALSE,MyRowHidden(ROW()-1)=TRUE),0,(G892-G891)*unitsOfExo+J891)</f>
        <v>-175706.10000000006</v>
      </c>
      <c r="K892" s="9">
        <f t="shared" si="41"/>
        <v>175706.10000000006</v>
      </c>
      <c r="L892">
        <f t="shared" si="42"/>
        <v>1130313.8999999999</v>
      </c>
    </row>
    <row r="893" spans="1:12" x14ac:dyDescent="0.25">
      <c r="A893" s="1"/>
      <c r="C893" s="1"/>
      <c r="D893" s="1">
        <v>42508</v>
      </c>
      <c r="E893" s="10">
        <v>296430</v>
      </c>
      <c r="F893" s="1">
        <v>42508</v>
      </c>
      <c r="G893">
        <v>-21859.61</v>
      </c>
      <c r="H893" s="1">
        <f t="shared" si="40"/>
        <v>42508</v>
      </c>
      <c r="I893">
        <f>IF(AND(MyRowHidden(ROW())=FALSE,MyRowHidden(ROW()-1)=TRUE),0,(E893-E892)*unitsOfDHp+I892)</f>
        <v>1307520</v>
      </c>
      <c r="J893">
        <f>IF(AND(MyRowHidden(ROW())=FALSE,MyRowHidden(ROW()-1)=TRUE),0,(G893-G892)*unitsOfExo+J892)</f>
        <v>-175706.10000000006</v>
      </c>
      <c r="K893" s="9">
        <f t="shared" si="41"/>
        <v>175706.10000000006</v>
      </c>
      <c r="L893">
        <f t="shared" si="42"/>
        <v>1131813.8999999999</v>
      </c>
    </row>
    <row r="894" spans="1:12" x14ac:dyDescent="0.25">
      <c r="A894" s="1"/>
      <c r="C894" s="1"/>
      <c r="D894" s="1">
        <v>42509</v>
      </c>
      <c r="E894" s="10">
        <v>296220</v>
      </c>
      <c r="F894" s="1">
        <v>42509</v>
      </c>
      <c r="G894">
        <v>-21859.61</v>
      </c>
      <c r="H894" s="1">
        <f t="shared" si="40"/>
        <v>42509</v>
      </c>
      <c r="I894">
        <f>IF(AND(MyRowHidden(ROW())=FALSE,MyRowHidden(ROW()-1)=TRUE),0,(E894-E893)*unitsOfDHp+I893)</f>
        <v>1305420</v>
      </c>
      <c r="J894">
        <f>IF(AND(MyRowHidden(ROW())=FALSE,MyRowHidden(ROW()-1)=TRUE),0,(G894-G893)*unitsOfExo+J893)</f>
        <v>-175706.10000000006</v>
      </c>
      <c r="K894" s="9">
        <f t="shared" si="41"/>
        <v>175706.10000000006</v>
      </c>
      <c r="L894">
        <f t="shared" si="42"/>
        <v>1129713.8999999999</v>
      </c>
    </row>
    <row r="895" spans="1:12" x14ac:dyDescent="0.25">
      <c r="A895" s="1"/>
      <c r="C895" s="1"/>
      <c r="D895" s="1">
        <v>42510</v>
      </c>
      <c r="E895" s="10">
        <v>296100</v>
      </c>
      <c r="F895" s="1">
        <v>42510</v>
      </c>
      <c r="G895">
        <v>-21859.61</v>
      </c>
      <c r="H895" s="1">
        <f t="shared" si="40"/>
        <v>42510</v>
      </c>
      <c r="I895">
        <f>IF(AND(MyRowHidden(ROW())=FALSE,MyRowHidden(ROW()-1)=TRUE),0,(E895-E894)*unitsOfDHp+I894)</f>
        <v>1304220</v>
      </c>
      <c r="J895">
        <f>IF(AND(MyRowHidden(ROW())=FALSE,MyRowHidden(ROW()-1)=TRUE),0,(G895-G894)*unitsOfExo+J894)</f>
        <v>-175706.10000000006</v>
      </c>
      <c r="K895" s="9">
        <f t="shared" si="41"/>
        <v>175706.10000000006</v>
      </c>
      <c r="L895">
        <f t="shared" si="42"/>
        <v>1128513.8999999999</v>
      </c>
    </row>
    <row r="896" spans="1:12" x14ac:dyDescent="0.25">
      <c r="A896" s="1"/>
      <c r="D896" s="1">
        <v>42513</v>
      </c>
      <c r="E896" s="10">
        <v>295890</v>
      </c>
      <c r="F896" s="1">
        <v>42513</v>
      </c>
      <c r="G896">
        <v>-21859.61</v>
      </c>
      <c r="H896" s="1">
        <f t="shared" si="40"/>
        <v>42513</v>
      </c>
      <c r="I896">
        <f>IF(AND(MyRowHidden(ROW())=FALSE,MyRowHidden(ROW()-1)=TRUE),0,(E896-E895)*unitsOfDHp+I895)</f>
        <v>1302120</v>
      </c>
      <c r="J896">
        <f>IF(AND(MyRowHidden(ROW())=FALSE,MyRowHidden(ROW()-1)=TRUE),0,(G896-G895)*unitsOfExo+J895)</f>
        <v>-175706.10000000006</v>
      </c>
      <c r="K896" s="9">
        <f t="shared" si="41"/>
        <v>175706.10000000006</v>
      </c>
      <c r="L896">
        <f t="shared" si="42"/>
        <v>1126413.8999999999</v>
      </c>
    </row>
    <row r="897" spans="1:12" x14ac:dyDescent="0.25">
      <c r="A897" s="1"/>
      <c r="D897" s="1">
        <v>42514</v>
      </c>
      <c r="E897" s="10">
        <v>296220</v>
      </c>
      <c r="F897" s="1">
        <v>42514</v>
      </c>
      <c r="G897">
        <v>-21817.78</v>
      </c>
      <c r="H897" s="1">
        <f t="shared" si="40"/>
        <v>42514</v>
      </c>
      <c r="I897">
        <f>IF(AND(MyRowHidden(ROW())=FALSE,MyRowHidden(ROW()-1)=TRUE),0,(E897-E896)*unitsOfDHp+I896)</f>
        <v>1305420</v>
      </c>
      <c r="J897">
        <f>IF(AND(MyRowHidden(ROW())=FALSE,MyRowHidden(ROW()-1)=TRUE),0,(G897-G896)*unitsOfExo+J896)</f>
        <v>-175287.80000000005</v>
      </c>
      <c r="K897" s="9">
        <f t="shared" si="41"/>
        <v>175287.80000000005</v>
      </c>
      <c r="L897">
        <f t="shared" si="42"/>
        <v>1130132.2</v>
      </c>
    </row>
    <row r="898" spans="1:12" x14ac:dyDescent="0.25">
      <c r="D898" s="1">
        <v>42515</v>
      </c>
      <c r="E898" s="10">
        <v>296590</v>
      </c>
      <c r="F898" s="1">
        <v>42515</v>
      </c>
      <c r="G898">
        <v>-21817.78</v>
      </c>
      <c r="H898" s="1">
        <f t="shared" si="40"/>
        <v>42515</v>
      </c>
      <c r="I898">
        <f>IF(AND(MyRowHidden(ROW())=FALSE,MyRowHidden(ROW()-1)=TRUE),0,(E898-E897)*unitsOfDHp+I897)</f>
        <v>1309120</v>
      </c>
      <c r="J898">
        <f>IF(AND(MyRowHidden(ROW())=FALSE,MyRowHidden(ROW()-1)=TRUE),0,(G898-G897)*unitsOfExo+J897)</f>
        <v>-175287.80000000005</v>
      </c>
      <c r="K898" s="9">
        <f t="shared" si="41"/>
        <v>175287.80000000005</v>
      </c>
      <c r="L898">
        <f t="shared" si="42"/>
        <v>1133832.2</v>
      </c>
    </row>
    <row r="899" spans="1:12" x14ac:dyDescent="0.25">
      <c r="D899" s="1">
        <v>42516</v>
      </c>
      <c r="E899" s="10">
        <v>296660</v>
      </c>
      <c r="F899" s="1">
        <v>42516</v>
      </c>
      <c r="G899">
        <v>-21817.78</v>
      </c>
      <c r="H899" s="1">
        <f t="shared" si="40"/>
        <v>42516</v>
      </c>
      <c r="I899">
        <f>IF(AND(MyRowHidden(ROW())=FALSE,MyRowHidden(ROW()-1)=TRUE),0,(E899-E898)*unitsOfDHp+I898)</f>
        <v>1309820</v>
      </c>
      <c r="J899">
        <f>IF(AND(MyRowHidden(ROW())=FALSE,MyRowHidden(ROW()-1)=TRUE),0,(G899-G898)*unitsOfExo+J898)</f>
        <v>-175287.80000000005</v>
      </c>
      <c r="K899" s="9">
        <f t="shared" si="41"/>
        <v>175287.80000000005</v>
      </c>
      <c r="L899">
        <f t="shared" si="42"/>
        <v>1134532.2</v>
      </c>
    </row>
    <row r="900" spans="1:12" x14ac:dyDescent="0.25">
      <c r="D900" s="1">
        <v>42517</v>
      </c>
      <c r="E900" s="10">
        <v>296540</v>
      </c>
      <c r="F900" s="1">
        <v>42517</v>
      </c>
      <c r="G900">
        <v>-21817.78</v>
      </c>
      <c r="H900" s="1">
        <f t="shared" si="40"/>
        <v>42517</v>
      </c>
      <c r="I900">
        <f>IF(AND(MyRowHidden(ROW())=FALSE,MyRowHidden(ROW()-1)=TRUE),0,(E900-E899)*unitsOfDHp+I899)</f>
        <v>1308620</v>
      </c>
      <c r="J900">
        <f>IF(AND(MyRowHidden(ROW())=FALSE,MyRowHidden(ROW()-1)=TRUE),0,(G900-G899)*unitsOfExo+J899)</f>
        <v>-175287.80000000005</v>
      </c>
      <c r="K900" s="9">
        <f t="shared" si="41"/>
        <v>175287.80000000005</v>
      </c>
      <c r="L900">
        <f t="shared" si="42"/>
        <v>1133332.2</v>
      </c>
    </row>
    <row r="901" spans="1:12" x14ac:dyDescent="0.25">
      <c r="D901" s="1">
        <v>42520</v>
      </c>
      <c r="E901" s="10">
        <v>296670</v>
      </c>
      <c r="F901" s="1">
        <v>42520</v>
      </c>
      <c r="G901">
        <v>-21817.78</v>
      </c>
      <c r="H901" s="1">
        <f t="shared" si="40"/>
        <v>42520</v>
      </c>
      <c r="I901">
        <f>IF(AND(MyRowHidden(ROW())=FALSE,MyRowHidden(ROW()-1)=TRUE),0,(E901-E900)*unitsOfDHp+I900)</f>
        <v>1309920</v>
      </c>
      <c r="J901">
        <f>IF(AND(MyRowHidden(ROW())=FALSE,MyRowHidden(ROW()-1)=TRUE),0,(G901-G900)*unitsOfExo+J900)</f>
        <v>-175287.80000000005</v>
      </c>
      <c r="K901" s="9">
        <f t="shared" si="41"/>
        <v>175287.80000000005</v>
      </c>
      <c r="L901">
        <f t="shared" si="42"/>
        <v>1134632.2</v>
      </c>
    </row>
    <row r="902" spans="1:12" x14ac:dyDescent="0.25">
      <c r="D902" s="1">
        <v>42521</v>
      </c>
      <c r="E902" s="10">
        <v>296550</v>
      </c>
      <c r="F902" s="1">
        <v>42521</v>
      </c>
      <c r="G902">
        <v>-21814.959999999999</v>
      </c>
      <c r="H902" s="1">
        <f t="shared" si="40"/>
        <v>42521</v>
      </c>
      <c r="I902">
        <f>IF(AND(MyRowHidden(ROW())=FALSE,MyRowHidden(ROW()-1)=TRUE),0,(E902-E901)*unitsOfDHp+I901)</f>
        <v>1308720</v>
      </c>
      <c r="J902">
        <f>IF(AND(MyRowHidden(ROW())=FALSE,MyRowHidden(ROW()-1)=TRUE),0,(G902-G901)*unitsOfExo+J901)</f>
        <v>-175259.60000000003</v>
      </c>
      <c r="K902" s="9">
        <f t="shared" si="41"/>
        <v>175259.60000000003</v>
      </c>
      <c r="L902">
        <f t="shared" si="42"/>
        <v>1133460.3999999999</v>
      </c>
    </row>
    <row r="903" spans="1:12" x14ac:dyDescent="0.25">
      <c r="D903" s="1">
        <v>42522</v>
      </c>
      <c r="E903" s="10">
        <v>296360</v>
      </c>
      <c r="F903" s="1">
        <v>42522</v>
      </c>
      <c r="G903">
        <v>-21701</v>
      </c>
      <c r="H903" s="1">
        <f t="shared" si="40"/>
        <v>42522</v>
      </c>
      <c r="I903">
        <f>IF(AND(MyRowHidden(ROW())=FALSE,MyRowHidden(ROW()-1)=TRUE),0,(E903-E902)*unitsOfDHp+I902)</f>
        <v>1306820</v>
      </c>
      <c r="J903">
        <f>IF(AND(MyRowHidden(ROW())=FALSE,MyRowHidden(ROW()-1)=TRUE),0,(G903-G902)*unitsOfExo+J902)</f>
        <v>-174120.00000000006</v>
      </c>
      <c r="K903" s="9">
        <f t="shared" si="41"/>
        <v>174120.00000000006</v>
      </c>
      <c r="L903">
        <f t="shared" si="42"/>
        <v>1132700</v>
      </c>
    </row>
    <row r="904" spans="1:12" x14ac:dyDescent="0.25">
      <c r="D904" s="1">
        <v>42523</v>
      </c>
      <c r="E904" s="10">
        <v>296550</v>
      </c>
      <c r="F904" s="1">
        <v>42523</v>
      </c>
      <c r="G904">
        <v>-21701</v>
      </c>
      <c r="H904" s="1">
        <f t="shared" si="40"/>
        <v>42523</v>
      </c>
      <c r="I904">
        <f>IF(AND(MyRowHidden(ROW())=FALSE,MyRowHidden(ROW()-1)=TRUE),0,(E904-E903)*unitsOfDHp+I903)</f>
        <v>1308720</v>
      </c>
      <c r="J904">
        <f>IF(AND(MyRowHidden(ROW())=FALSE,MyRowHidden(ROW()-1)=TRUE),0,(G904-G903)*unitsOfExo+J903)</f>
        <v>-174120.00000000006</v>
      </c>
      <c r="K904" s="9">
        <f t="shared" si="41"/>
        <v>174120.00000000006</v>
      </c>
      <c r="L904">
        <f t="shared" si="42"/>
        <v>1134600</v>
      </c>
    </row>
    <row r="905" spans="1:12" x14ac:dyDescent="0.25">
      <c r="D905" s="1">
        <v>42524</v>
      </c>
      <c r="E905" s="10">
        <v>296270</v>
      </c>
      <c r="F905" s="1">
        <v>42524</v>
      </c>
      <c r="G905">
        <v>-21701</v>
      </c>
      <c r="H905" s="1">
        <f t="shared" si="40"/>
        <v>42524</v>
      </c>
      <c r="I905">
        <f>IF(AND(MyRowHidden(ROW())=FALSE,MyRowHidden(ROW()-1)=TRUE),0,(E905-E904)*unitsOfDHp+I904)</f>
        <v>1305920</v>
      </c>
      <c r="J905">
        <f>IF(AND(MyRowHidden(ROW())=FALSE,MyRowHidden(ROW()-1)=TRUE),0,(G905-G904)*unitsOfExo+J904)</f>
        <v>-174120.00000000006</v>
      </c>
      <c r="K905" s="9">
        <f t="shared" si="41"/>
        <v>174120.00000000006</v>
      </c>
      <c r="L905">
        <f t="shared" si="42"/>
        <v>1131800</v>
      </c>
    </row>
    <row r="906" spans="1:12" x14ac:dyDescent="0.25">
      <c r="D906" s="1">
        <v>42527</v>
      </c>
      <c r="E906" s="10">
        <v>296270</v>
      </c>
      <c r="F906" s="1">
        <v>42527</v>
      </c>
      <c r="G906">
        <v>-21701</v>
      </c>
      <c r="H906" s="1">
        <f t="shared" si="40"/>
        <v>42527</v>
      </c>
      <c r="I906">
        <f>IF(AND(MyRowHidden(ROW())=FALSE,MyRowHidden(ROW()-1)=TRUE),0,(E906-E905)*unitsOfDHp+I905)</f>
        <v>1305920</v>
      </c>
      <c r="J906">
        <f>IF(AND(MyRowHidden(ROW())=FALSE,MyRowHidden(ROW()-1)=TRUE),0,(G906-G905)*unitsOfExo+J905)</f>
        <v>-174120.00000000006</v>
      </c>
      <c r="K906" s="9">
        <f t="shared" si="41"/>
        <v>174120.00000000006</v>
      </c>
      <c r="L906">
        <f t="shared" si="42"/>
        <v>1131800</v>
      </c>
    </row>
    <row r="907" spans="1:12" x14ac:dyDescent="0.25">
      <c r="D907" s="1">
        <v>42528</v>
      </c>
      <c r="E907" s="10">
        <v>296270</v>
      </c>
      <c r="F907" s="1">
        <v>42528</v>
      </c>
      <c r="G907">
        <v>-21701</v>
      </c>
      <c r="H907" s="1">
        <f t="shared" si="40"/>
        <v>42528</v>
      </c>
      <c r="I907">
        <f>IF(AND(MyRowHidden(ROW())=FALSE,MyRowHidden(ROW()-1)=TRUE),0,(E907-E906)*unitsOfDHp+I906)</f>
        <v>1305920</v>
      </c>
      <c r="J907">
        <f>IF(AND(MyRowHidden(ROW())=FALSE,MyRowHidden(ROW()-1)=TRUE),0,(G907-G906)*unitsOfExo+J906)</f>
        <v>-174120.00000000006</v>
      </c>
      <c r="K907" s="9">
        <f t="shared" si="41"/>
        <v>174120.00000000006</v>
      </c>
      <c r="L907">
        <f t="shared" si="42"/>
        <v>1131800</v>
      </c>
    </row>
    <row r="908" spans="1:12" x14ac:dyDescent="0.25">
      <c r="D908" s="1">
        <v>42529</v>
      </c>
      <c r="E908" s="10">
        <v>296270</v>
      </c>
      <c r="F908" s="1">
        <v>42529</v>
      </c>
      <c r="G908">
        <v>-21791.71</v>
      </c>
      <c r="H908" s="1">
        <f t="shared" si="40"/>
        <v>42529</v>
      </c>
      <c r="I908">
        <f>IF(AND(MyRowHidden(ROW())=FALSE,MyRowHidden(ROW()-1)=TRUE),0,(E908-E907)*unitsOfDHp+I907)</f>
        <v>1305920</v>
      </c>
      <c r="J908">
        <f>IF(AND(MyRowHidden(ROW())=FALSE,MyRowHidden(ROW()-1)=TRUE),0,(G908-G907)*unitsOfExo+J907)</f>
        <v>-175027.10000000003</v>
      </c>
      <c r="K908" s="9">
        <f t="shared" si="41"/>
        <v>175027.10000000003</v>
      </c>
      <c r="L908">
        <f t="shared" si="42"/>
        <v>1130892.8999999999</v>
      </c>
    </row>
    <row r="909" spans="1:12" x14ac:dyDescent="0.25">
      <c r="D909" s="1">
        <v>42530</v>
      </c>
      <c r="E909" s="10">
        <v>296270</v>
      </c>
      <c r="F909" s="1">
        <v>42530</v>
      </c>
      <c r="G909">
        <v>-21748.94</v>
      </c>
      <c r="H909" s="1">
        <f t="shared" ref="H909:H952" si="43">D909</f>
        <v>42530</v>
      </c>
      <c r="I909">
        <f>IF(AND(MyRowHidden(ROW())=FALSE,MyRowHidden(ROW()-1)=TRUE),0,(E909-E908)*unitsOfDHp+I908)</f>
        <v>1305920</v>
      </c>
      <c r="J909">
        <f>IF(AND(MyRowHidden(ROW())=FALSE,MyRowHidden(ROW()-1)=TRUE),0,(G909-G908)*unitsOfExo+J908)</f>
        <v>-174599.40000000002</v>
      </c>
      <c r="K909" s="9">
        <f t="shared" ref="K909:K972" si="44">-(J909-J908)+K908</f>
        <v>174599.40000000002</v>
      </c>
      <c r="L909">
        <f t="shared" ref="L909:L952" si="45">I909+J909</f>
        <v>1131320.6000000001</v>
      </c>
    </row>
    <row r="910" spans="1:12" x14ac:dyDescent="0.25">
      <c r="D910" s="1">
        <v>42531</v>
      </c>
      <c r="E910" s="10">
        <v>296270</v>
      </c>
      <c r="F910" s="1">
        <v>42531</v>
      </c>
      <c r="G910">
        <v>-21788.89</v>
      </c>
      <c r="H910" s="1">
        <f t="shared" si="43"/>
        <v>42531</v>
      </c>
      <c r="I910">
        <f>IF(AND(MyRowHidden(ROW())=FALSE,MyRowHidden(ROW()-1)=TRUE),0,(E910-E909)*unitsOfDHp+I909)</f>
        <v>1305920</v>
      </c>
      <c r="J910">
        <f>IF(AND(MyRowHidden(ROW())=FALSE,MyRowHidden(ROW()-1)=TRUE),0,(G910-G909)*unitsOfExo+J909)</f>
        <v>-174998.90000000002</v>
      </c>
      <c r="K910" s="9">
        <f t="shared" si="44"/>
        <v>174998.90000000002</v>
      </c>
      <c r="L910">
        <f t="shared" si="45"/>
        <v>1130921.1000000001</v>
      </c>
    </row>
    <row r="911" spans="1:12" x14ac:dyDescent="0.25">
      <c r="D911" s="1">
        <v>42534</v>
      </c>
      <c r="E911" s="10">
        <v>296230</v>
      </c>
      <c r="F911" s="1">
        <v>42534</v>
      </c>
      <c r="G911">
        <v>-21751.759999999998</v>
      </c>
      <c r="H911" s="1">
        <f t="shared" si="43"/>
        <v>42534</v>
      </c>
      <c r="I911">
        <f>IF(AND(MyRowHidden(ROW())=FALSE,MyRowHidden(ROW()-1)=TRUE),0,(E911-E910)*unitsOfDHp+I910)</f>
        <v>1305520</v>
      </c>
      <c r="J911">
        <f>IF(AND(MyRowHidden(ROW())=FALSE,MyRowHidden(ROW()-1)=TRUE),0,(G911-G910)*unitsOfExo+J910)</f>
        <v>-174627.6</v>
      </c>
      <c r="K911" s="9">
        <f t="shared" si="44"/>
        <v>174627.6</v>
      </c>
      <c r="L911">
        <f t="shared" si="45"/>
        <v>1130892.3999999999</v>
      </c>
    </row>
    <row r="912" spans="1:12" x14ac:dyDescent="0.25">
      <c r="D912" s="1">
        <v>42535</v>
      </c>
      <c r="E912" s="10">
        <v>296280</v>
      </c>
      <c r="F912" s="1">
        <v>42535</v>
      </c>
      <c r="G912">
        <v>-21716.98</v>
      </c>
      <c r="H912" s="1">
        <f t="shared" si="43"/>
        <v>42535</v>
      </c>
      <c r="I912">
        <f>IF(AND(MyRowHidden(ROW())=FALSE,MyRowHidden(ROW()-1)=TRUE),0,(E912-E911)*unitsOfDHp+I911)</f>
        <v>1306020</v>
      </c>
      <c r="J912">
        <f>IF(AND(MyRowHidden(ROW())=FALSE,MyRowHidden(ROW()-1)=TRUE),0,(G912-G911)*unitsOfExo+J911)</f>
        <v>-174279.80000000002</v>
      </c>
      <c r="K912" s="9">
        <f t="shared" si="44"/>
        <v>174279.80000000002</v>
      </c>
      <c r="L912">
        <f t="shared" si="45"/>
        <v>1131740.2</v>
      </c>
    </row>
    <row r="913" spans="4:12" x14ac:dyDescent="0.25">
      <c r="D913" s="1">
        <v>42536</v>
      </c>
      <c r="E913" s="10">
        <v>296330</v>
      </c>
      <c r="F913" s="1">
        <v>42536</v>
      </c>
      <c r="G913">
        <v>-21621.1</v>
      </c>
      <c r="H913" s="1">
        <f t="shared" si="43"/>
        <v>42536</v>
      </c>
      <c r="I913">
        <f>IF(AND(MyRowHidden(ROW())=FALSE,MyRowHidden(ROW()-1)=TRUE),0,(E913-E912)*unitsOfDHp+I912)</f>
        <v>1306520</v>
      </c>
      <c r="J913">
        <f>IF(AND(MyRowHidden(ROW())=FALSE,MyRowHidden(ROW()-1)=TRUE),0,(G913-G912)*unitsOfExo+J912)</f>
        <v>-173321</v>
      </c>
      <c r="K913" s="9">
        <f t="shared" si="44"/>
        <v>173321</v>
      </c>
      <c r="L913">
        <f t="shared" si="45"/>
        <v>1133199</v>
      </c>
    </row>
    <row r="914" spans="4:12" x14ac:dyDescent="0.25">
      <c r="D914" s="1">
        <v>42537</v>
      </c>
      <c r="E914" s="10">
        <v>296998</v>
      </c>
      <c r="F914" s="1">
        <v>42537</v>
      </c>
      <c r="G914">
        <v>-21621.1</v>
      </c>
      <c r="H914" s="1">
        <f t="shared" si="43"/>
        <v>42537</v>
      </c>
      <c r="I914">
        <f>IF(AND(MyRowHidden(ROW())=FALSE,MyRowHidden(ROW()-1)=TRUE),0,(E914-E913)*unitsOfDHp+I913)</f>
        <v>1313200</v>
      </c>
      <c r="J914">
        <f>IF(AND(MyRowHidden(ROW())=FALSE,MyRowHidden(ROW()-1)=TRUE),0,(G914-G913)*unitsOfExo+J913)</f>
        <v>-173321</v>
      </c>
      <c r="K914" s="9">
        <f t="shared" si="44"/>
        <v>173321</v>
      </c>
      <c r="L914">
        <f t="shared" si="45"/>
        <v>1139879</v>
      </c>
    </row>
    <row r="915" spans="4:12" x14ac:dyDescent="0.25">
      <c r="D915" s="1">
        <v>42538</v>
      </c>
      <c r="E915" s="10">
        <v>294954</v>
      </c>
      <c r="F915" s="1">
        <v>42538</v>
      </c>
      <c r="G915">
        <v>-21621.1</v>
      </c>
      <c r="H915" s="1">
        <f t="shared" si="43"/>
        <v>42538</v>
      </c>
      <c r="I915">
        <f>IF(AND(MyRowHidden(ROW())=FALSE,MyRowHidden(ROW()-1)=TRUE),0,(E915-E914)*unitsOfDHp+I914)</f>
        <v>1292760</v>
      </c>
      <c r="J915">
        <f>IF(AND(MyRowHidden(ROW())=FALSE,MyRowHidden(ROW()-1)=TRUE),0,(G915-G914)*unitsOfExo+J914)</f>
        <v>-173321</v>
      </c>
      <c r="K915" s="9">
        <f t="shared" si="44"/>
        <v>173321</v>
      </c>
      <c r="L915">
        <f t="shared" si="45"/>
        <v>1119439</v>
      </c>
    </row>
    <row r="916" spans="4:12" x14ac:dyDescent="0.25">
      <c r="D916" s="1">
        <v>42541</v>
      </c>
      <c r="E916" s="10">
        <v>292726</v>
      </c>
      <c r="F916" s="1">
        <v>42541</v>
      </c>
      <c r="G916">
        <v>-21621.1</v>
      </c>
      <c r="H916" s="1">
        <f t="shared" si="43"/>
        <v>42541</v>
      </c>
      <c r="I916">
        <f>IF(AND(MyRowHidden(ROW())=FALSE,MyRowHidden(ROW()-1)=TRUE),0,(E916-E915)*unitsOfDHp+I915)</f>
        <v>1270480</v>
      </c>
      <c r="J916">
        <f>IF(AND(MyRowHidden(ROW())=FALSE,MyRowHidden(ROW()-1)=TRUE),0,(G916-G915)*unitsOfExo+J915)</f>
        <v>-173321</v>
      </c>
      <c r="K916" s="9">
        <f t="shared" si="44"/>
        <v>173321</v>
      </c>
      <c r="L916">
        <f t="shared" si="45"/>
        <v>1097159</v>
      </c>
    </row>
    <row r="917" spans="4:12" x14ac:dyDescent="0.25">
      <c r="D917" s="1">
        <v>42542</v>
      </c>
      <c r="E917" s="10">
        <v>292726</v>
      </c>
      <c r="F917" s="1">
        <v>42542</v>
      </c>
      <c r="G917">
        <v>-21621.1</v>
      </c>
      <c r="H917" s="1">
        <f t="shared" si="43"/>
        <v>42542</v>
      </c>
      <c r="I917">
        <f>IF(AND(MyRowHidden(ROW())=FALSE,MyRowHidden(ROW()-1)=TRUE),0,(E917-E916)*unitsOfDHp+I916)</f>
        <v>1270480</v>
      </c>
      <c r="J917">
        <f>IF(AND(MyRowHidden(ROW())=FALSE,MyRowHidden(ROW()-1)=TRUE),0,(G917-G916)*unitsOfExo+J916)</f>
        <v>-173321</v>
      </c>
      <c r="K917" s="9">
        <f t="shared" si="44"/>
        <v>173321</v>
      </c>
      <c r="L917">
        <f t="shared" si="45"/>
        <v>1097159</v>
      </c>
    </row>
    <row r="918" spans="4:12" x14ac:dyDescent="0.25">
      <c r="D918" s="1">
        <v>42543</v>
      </c>
      <c r="E918" s="10">
        <v>292606</v>
      </c>
      <c r="F918" s="1">
        <v>42543</v>
      </c>
      <c r="G918">
        <v>-21621.1</v>
      </c>
      <c r="H918" s="1">
        <f t="shared" si="43"/>
        <v>42543</v>
      </c>
      <c r="I918">
        <f>IF(AND(MyRowHidden(ROW())=FALSE,MyRowHidden(ROW()-1)=TRUE),0,(E918-E917)*unitsOfDHp+I917)</f>
        <v>1269280</v>
      </c>
      <c r="J918">
        <f>IF(AND(MyRowHidden(ROW())=FALSE,MyRowHidden(ROW()-1)=TRUE),0,(G918-G917)*unitsOfExo+J917)</f>
        <v>-173321</v>
      </c>
      <c r="K918" s="9">
        <f t="shared" si="44"/>
        <v>173321</v>
      </c>
      <c r="L918">
        <f t="shared" si="45"/>
        <v>1095959</v>
      </c>
    </row>
    <row r="919" spans="4:12" x14ac:dyDescent="0.25">
      <c r="D919" s="1">
        <v>42544</v>
      </c>
      <c r="E919" s="10">
        <v>292546</v>
      </c>
      <c r="F919" s="1">
        <v>42544</v>
      </c>
      <c r="G919">
        <v>-21621.1</v>
      </c>
      <c r="H919" s="1">
        <f t="shared" si="43"/>
        <v>42544</v>
      </c>
      <c r="I919">
        <f>IF(AND(MyRowHidden(ROW())=FALSE,MyRowHidden(ROW()-1)=TRUE),0,(E919-E918)*unitsOfDHp+I918)</f>
        <v>1268680</v>
      </c>
      <c r="J919">
        <f>IF(AND(MyRowHidden(ROW())=FALSE,MyRowHidden(ROW()-1)=TRUE),0,(G919-G918)*unitsOfExo+J918)</f>
        <v>-173321</v>
      </c>
      <c r="K919" s="9">
        <f t="shared" si="44"/>
        <v>173321</v>
      </c>
      <c r="L919">
        <f t="shared" si="45"/>
        <v>1095359</v>
      </c>
    </row>
    <row r="920" spans="4:12" x14ac:dyDescent="0.25">
      <c r="D920" s="1">
        <v>42545</v>
      </c>
      <c r="E920" s="10">
        <v>292510</v>
      </c>
      <c r="F920" s="1">
        <v>42545</v>
      </c>
      <c r="G920">
        <v>-21647.42</v>
      </c>
      <c r="H920" s="1">
        <f t="shared" si="43"/>
        <v>42545</v>
      </c>
      <c r="I920">
        <f>IF(AND(MyRowHidden(ROW())=FALSE,MyRowHidden(ROW()-1)=TRUE),0,(E920-E919)*unitsOfDHp+I919)</f>
        <v>1268320</v>
      </c>
      <c r="J920">
        <f>IF(AND(MyRowHidden(ROW())=FALSE,MyRowHidden(ROW()-1)=TRUE),0,(G920-G919)*unitsOfExo+J919)</f>
        <v>-173584.2</v>
      </c>
      <c r="K920" s="9">
        <f t="shared" si="44"/>
        <v>173584.2</v>
      </c>
      <c r="L920">
        <f t="shared" si="45"/>
        <v>1094735.8</v>
      </c>
    </row>
    <row r="921" spans="4:12" x14ac:dyDescent="0.25">
      <c r="D921" s="1">
        <v>42548</v>
      </c>
      <c r="E921" s="10">
        <v>292402</v>
      </c>
      <c r="F921" s="1">
        <v>42548</v>
      </c>
      <c r="G921">
        <v>-21658.23</v>
      </c>
      <c r="H921" s="1">
        <f t="shared" si="43"/>
        <v>42548</v>
      </c>
      <c r="I921">
        <f>IF(AND(MyRowHidden(ROW())=FALSE,MyRowHidden(ROW()-1)=TRUE),0,(E921-E920)*unitsOfDHp+I920)</f>
        <v>1267240</v>
      </c>
      <c r="J921">
        <f>IF(AND(MyRowHidden(ROW())=FALSE,MyRowHidden(ROW()-1)=TRUE),0,(G921-G920)*unitsOfExo+J920)</f>
        <v>-173692.30000000002</v>
      </c>
      <c r="K921" s="9">
        <f t="shared" si="44"/>
        <v>173692.30000000002</v>
      </c>
      <c r="L921">
        <f t="shared" si="45"/>
        <v>1093547.7</v>
      </c>
    </row>
    <row r="922" spans="4:12" x14ac:dyDescent="0.25">
      <c r="D922" s="1">
        <v>42549</v>
      </c>
      <c r="E922" s="10">
        <v>292378</v>
      </c>
      <c r="F922" s="1">
        <v>42549</v>
      </c>
      <c r="G922">
        <v>-21650.240000000002</v>
      </c>
      <c r="H922" s="1">
        <f t="shared" si="43"/>
        <v>42549</v>
      </c>
      <c r="I922">
        <f>IF(AND(MyRowHidden(ROW())=FALSE,MyRowHidden(ROW()-1)=TRUE),0,(E922-E921)*unitsOfDHp+I921)</f>
        <v>1267000</v>
      </c>
      <c r="J922">
        <f>IF(AND(MyRowHidden(ROW())=FALSE,MyRowHidden(ROW()-1)=TRUE),0,(G922-G921)*unitsOfExo+J921)</f>
        <v>-173612.40000000002</v>
      </c>
      <c r="K922" s="9">
        <f t="shared" si="44"/>
        <v>173612.40000000002</v>
      </c>
      <c r="L922">
        <f t="shared" si="45"/>
        <v>1093387.6000000001</v>
      </c>
    </row>
    <row r="923" spans="4:12" x14ac:dyDescent="0.25">
      <c r="D923" s="1">
        <v>42550</v>
      </c>
      <c r="E923" s="10">
        <v>292246</v>
      </c>
      <c r="F923" s="1">
        <v>42550</v>
      </c>
      <c r="G923">
        <v>-21655.41</v>
      </c>
      <c r="H923" s="1">
        <f t="shared" si="43"/>
        <v>42550</v>
      </c>
      <c r="I923">
        <f>IF(AND(MyRowHidden(ROW())=FALSE,MyRowHidden(ROW()-1)=TRUE),0,(E923-E922)*unitsOfDHp+I922)</f>
        <v>1265680</v>
      </c>
      <c r="J923">
        <f>IF(AND(MyRowHidden(ROW())=FALSE,MyRowHidden(ROW()-1)=TRUE),0,(G923-G922)*unitsOfExo+J922)</f>
        <v>-173664.1</v>
      </c>
      <c r="K923" s="9">
        <f t="shared" si="44"/>
        <v>173664.1</v>
      </c>
      <c r="L923">
        <f t="shared" si="45"/>
        <v>1092015.8999999999</v>
      </c>
    </row>
    <row r="924" spans="4:12" x14ac:dyDescent="0.25">
      <c r="D924" s="1">
        <v>42551</v>
      </c>
      <c r="E924" s="10">
        <v>292210</v>
      </c>
      <c r="F924" s="1">
        <v>42551</v>
      </c>
      <c r="G924">
        <v>-21650.240000000002</v>
      </c>
      <c r="H924" s="1">
        <f t="shared" si="43"/>
        <v>42551</v>
      </c>
      <c r="I924">
        <f>IF(AND(MyRowHidden(ROW())=FALSE,MyRowHidden(ROW()-1)=TRUE),0,(E924-E923)*unitsOfDHp+I923)</f>
        <v>1265320</v>
      </c>
      <c r="J924">
        <f>IF(AND(MyRowHidden(ROW())=FALSE,MyRowHidden(ROW()-1)=TRUE),0,(G924-G923)*unitsOfExo+J923)</f>
        <v>-173612.40000000002</v>
      </c>
      <c r="K924" s="9">
        <f t="shared" si="44"/>
        <v>173612.40000000002</v>
      </c>
      <c r="L924">
        <f t="shared" si="45"/>
        <v>1091707.6000000001</v>
      </c>
    </row>
    <row r="925" spans="4:12" x14ac:dyDescent="0.25">
      <c r="D925" s="1">
        <v>42552</v>
      </c>
      <c r="E925" s="10">
        <v>292210</v>
      </c>
      <c r="F925" s="1">
        <v>42552</v>
      </c>
      <c r="G925">
        <v>-21595.5</v>
      </c>
      <c r="H925" s="1">
        <f t="shared" si="43"/>
        <v>42552</v>
      </c>
      <c r="I925">
        <f>IF(AND(MyRowHidden(ROW())=FALSE,MyRowHidden(ROW()-1)=TRUE),0,(E925-E924)*unitsOfDHp+I924)</f>
        <v>1265320</v>
      </c>
      <c r="J925">
        <f>IF(AND(MyRowHidden(ROW())=FALSE,MyRowHidden(ROW()-1)=TRUE),0,(G925-G924)*unitsOfExo+J924)</f>
        <v>-173065</v>
      </c>
      <c r="K925" s="9">
        <f t="shared" si="44"/>
        <v>173065</v>
      </c>
      <c r="L925">
        <f t="shared" si="45"/>
        <v>1092255</v>
      </c>
    </row>
    <row r="926" spans="4:12" x14ac:dyDescent="0.25">
      <c r="D926" s="1">
        <v>42555</v>
      </c>
      <c r="E926" s="10">
        <v>292174</v>
      </c>
      <c r="F926" s="1">
        <v>42555</v>
      </c>
      <c r="G926">
        <v>-21595.5</v>
      </c>
      <c r="H926" s="1">
        <f t="shared" si="43"/>
        <v>42555</v>
      </c>
      <c r="I926">
        <f>IF(AND(MyRowHidden(ROW())=FALSE,MyRowHidden(ROW()-1)=TRUE),0,(E926-E925)*unitsOfDHp+I925)</f>
        <v>1264960</v>
      </c>
      <c r="J926">
        <f>IF(AND(MyRowHidden(ROW())=FALSE,MyRowHidden(ROW()-1)=TRUE),0,(G926-G925)*unitsOfExo+J925)</f>
        <v>-173065</v>
      </c>
      <c r="K926" s="9">
        <f t="shared" si="44"/>
        <v>173065</v>
      </c>
      <c r="L926">
        <f t="shared" si="45"/>
        <v>1091895</v>
      </c>
    </row>
    <row r="927" spans="4:12" x14ac:dyDescent="0.25">
      <c r="D927" s="1">
        <v>42556</v>
      </c>
      <c r="E927" s="10">
        <v>292150</v>
      </c>
      <c r="F927" s="1">
        <v>42556</v>
      </c>
      <c r="G927">
        <v>-21595.5</v>
      </c>
      <c r="H927" s="1">
        <f t="shared" si="43"/>
        <v>42556</v>
      </c>
      <c r="I927">
        <f>IF(AND(MyRowHidden(ROW())=FALSE,MyRowHidden(ROW()-1)=TRUE),0,(E927-E926)*unitsOfDHp+I926)</f>
        <v>1264720</v>
      </c>
      <c r="J927">
        <f>IF(AND(MyRowHidden(ROW())=FALSE,MyRowHidden(ROW()-1)=TRUE),0,(G927-G926)*unitsOfExo+J926)</f>
        <v>-173065</v>
      </c>
      <c r="K927" s="9">
        <f t="shared" si="44"/>
        <v>173065</v>
      </c>
      <c r="L927">
        <f t="shared" si="45"/>
        <v>1091655</v>
      </c>
    </row>
    <row r="928" spans="4:12" x14ac:dyDescent="0.25">
      <c r="D928" s="1">
        <v>42557</v>
      </c>
      <c r="E928" s="10">
        <v>292114</v>
      </c>
      <c r="F928" s="1">
        <v>42557</v>
      </c>
      <c r="G928">
        <v>-21595.5</v>
      </c>
      <c r="H928" s="1">
        <f t="shared" si="43"/>
        <v>42557</v>
      </c>
      <c r="I928">
        <f>IF(AND(MyRowHidden(ROW())=FALSE,MyRowHidden(ROW()-1)=TRUE),0,(E928-E927)*unitsOfDHp+I927)</f>
        <v>1264360</v>
      </c>
      <c r="J928">
        <f>IF(AND(MyRowHidden(ROW())=FALSE,MyRowHidden(ROW()-1)=TRUE),0,(G928-G927)*unitsOfExo+J927)</f>
        <v>-173065</v>
      </c>
      <c r="K928" s="9">
        <f t="shared" si="44"/>
        <v>173065</v>
      </c>
      <c r="L928">
        <f t="shared" si="45"/>
        <v>1091295</v>
      </c>
    </row>
    <row r="929" spans="4:12" x14ac:dyDescent="0.25">
      <c r="D929" s="1">
        <v>42558</v>
      </c>
      <c r="E929" s="10">
        <v>299236</v>
      </c>
      <c r="F929" s="1">
        <v>42558</v>
      </c>
      <c r="G929">
        <v>-21745.43</v>
      </c>
      <c r="H929" s="1">
        <f t="shared" si="43"/>
        <v>42558</v>
      </c>
      <c r="I929">
        <f>IF(AND(MyRowHidden(ROW())=FALSE,MyRowHidden(ROW()-1)=TRUE),0,(E929-E928)*unitsOfDHp+I928)</f>
        <v>1335580</v>
      </c>
      <c r="J929">
        <f>IF(AND(MyRowHidden(ROW())=FALSE,MyRowHidden(ROW()-1)=TRUE),0,(G929-G928)*unitsOfExo+J928)</f>
        <v>-174564.3</v>
      </c>
      <c r="K929" s="9">
        <f t="shared" si="44"/>
        <v>174564.3</v>
      </c>
      <c r="L929">
        <f t="shared" si="45"/>
        <v>1161015.7</v>
      </c>
    </row>
    <row r="930" spans="4:12" x14ac:dyDescent="0.25">
      <c r="D930" s="1">
        <v>42559</v>
      </c>
      <c r="E930" s="10">
        <v>299236</v>
      </c>
      <c r="F930" s="1">
        <v>42559</v>
      </c>
      <c r="G930">
        <v>-21745.43</v>
      </c>
      <c r="H930" s="1">
        <f t="shared" si="43"/>
        <v>42559</v>
      </c>
      <c r="I930">
        <f>IF(AND(MyRowHidden(ROW())=FALSE,MyRowHidden(ROW()-1)=TRUE),0,(E930-E929)*unitsOfDHp+I929)</f>
        <v>1335580</v>
      </c>
      <c r="J930">
        <f>IF(AND(MyRowHidden(ROW())=FALSE,MyRowHidden(ROW()-1)=TRUE),0,(G930-G929)*unitsOfExo+J929)</f>
        <v>-174564.3</v>
      </c>
      <c r="K930" s="9">
        <f t="shared" si="44"/>
        <v>174564.3</v>
      </c>
      <c r="L930">
        <f t="shared" si="45"/>
        <v>1161015.7</v>
      </c>
    </row>
    <row r="931" spans="4:12" x14ac:dyDescent="0.25">
      <c r="D931" s="1">
        <v>42562</v>
      </c>
      <c r="E931" s="10">
        <v>300896</v>
      </c>
      <c r="F931" s="1">
        <v>42562</v>
      </c>
      <c r="G931">
        <v>-21745.43</v>
      </c>
      <c r="H931" s="1">
        <f t="shared" si="43"/>
        <v>42562</v>
      </c>
      <c r="I931">
        <f>IF(AND(MyRowHidden(ROW())=FALSE,MyRowHidden(ROW()-1)=TRUE),0,(E931-E930)*unitsOfDHp+I930)</f>
        <v>1352180</v>
      </c>
      <c r="J931">
        <f>IF(AND(MyRowHidden(ROW())=FALSE,MyRowHidden(ROW()-1)=TRUE),0,(G931-G930)*unitsOfExo+J930)</f>
        <v>-174564.3</v>
      </c>
      <c r="K931" s="9">
        <f t="shared" si="44"/>
        <v>174564.3</v>
      </c>
      <c r="L931">
        <f t="shared" si="45"/>
        <v>1177615.7</v>
      </c>
    </row>
    <row r="932" spans="4:12" x14ac:dyDescent="0.25">
      <c r="D932" s="1">
        <v>42563</v>
      </c>
      <c r="E932" s="10">
        <v>294148</v>
      </c>
      <c r="F932" s="1">
        <v>42563</v>
      </c>
      <c r="G932">
        <v>-21621.82</v>
      </c>
      <c r="H932" s="1">
        <f t="shared" si="43"/>
        <v>42563</v>
      </c>
      <c r="I932">
        <f>IF(AND(MyRowHidden(ROW())=FALSE,MyRowHidden(ROW()-1)=TRUE),0,(E932-E931)*unitsOfDHp+I931)</f>
        <v>1284700</v>
      </c>
      <c r="J932">
        <f>IF(AND(MyRowHidden(ROW())=FALSE,MyRowHidden(ROW()-1)=TRUE),0,(G932-G931)*unitsOfExo+J931)</f>
        <v>-173328.19999999998</v>
      </c>
      <c r="K932" s="9">
        <f t="shared" si="44"/>
        <v>173328.19999999998</v>
      </c>
      <c r="L932">
        <f t="shared" si="45"/>
        <v>1111371.8</v>
      </c>
    </row>
    <row r="933" spans="4:12" x14ac:dyDescent="0.25">
      <c r="D933" s="1">
        <v>42564</v>
      </c>
      <c r="E933" s="10">
        <v>300544</v>
      </c>
      <c r="F933" s="1">
        <v>42564</v>
      </c>
      <c r="G933">
        <v>-21621.82</v>
      </c>
      <c r="H933" s="1">
        <f t="shared" si="43"/>
        <v>42564</v>
      </c>
      <c r="I933">
        <f>IF(AND(MyRowHidden(ROW())=FALSE,MyRowHidden(ROW()-1)=TRUE),0,(E933-E932)*unitsOfDHp+I932)</f>
        <v>1348660</v>
      </c>
      <c r="J933">
        <f>IF(AND(MyRowHidden(ROW())=FALSE,MyRowHidden(ROW()-1)=TRUE),0,(G933-G932)*unitsOfExo+J932)</f>
        <v>-173328.19999999998</v>
      </c>
      <c r="K933" s="9">
        <f t="shared" si="44"/>
        <v>173328.19999999998</v>
      </c>
      <c r="L933">
        <f t="shared" si="45"/>
        <v>1175331.8</v>
      </c>
    </row>
    <row r="934" spans="4:12" x14ac:dyDescent="0.25">
      <c r="D934" s="1">
        <v>42565</v>
      </c>
      <c r="E934" s="10">
        <v>298918</v>
      </c>
      <c r="F934" s="1">
        <v>42565</v>
      </c>
      <c r="G934">
        <v>-21621.82</v>
      </c>
      <c r="H934" s="1">
        <f t="shared" si="43"/>
        <v>42565</v>
      </c>
      <c r="I934">
        <f>IF(AND(MyRowHidden(ROW())=FALSE,MyRowHidden(ROW()-1)=TRUE),0,(E934-E933)*unitsOfDHp+I933)</f>
        <v>1332400</v>
      </c>
      <c r="J934">
        <f>IF(AND(MyRowHidden(ROW())=FALSE,MyRowHidden(ROW()-1)=TRUE),0,(G934-G933)*unitsOfExo+J933)</f>
        <v>-173328.19999999998</v>
      </c>
      <c r="K934" s="9">
        <f t="shared" si="44"/>
        <v>173328.19999999998</v>
      </c>
      <c r="L934">
        <f t="shared" si="45"/>
        <v>1159071.8</v>
      </c>
    </row>
    <row r="935" spans="4:12" x14ac:dyDescent="0.25">
      <c r="D935" s="1">
        <v>42566</v>
      </c>
      <c r="E935" s="10">
        <v>298418</v>
      </c>
      <c r="F935" s="1">
        <v>42566</v>
      </c>
      <c r="G935">
        <v>-21621.82</v>
      </c>
      <c r="H935" s="1">
        <f t="shared" si="43"/>
        <v>42566</v>
      </c>
      <c r="I935">
        <f>IF(AND(MyRowHidden(ROW())=FALSE,MyRowHidden(ROW()-1)=TRUE),0,(E935-E934)*unitsOfDHp+I934)</f>
        <v>1327400</v>
      </c>
      <c r="J935">
        <f>IF(AND(MyRowHidden(ROW())=FALSE,MyRowHidden(ROW()-1)=TRUE),0,(G935-G934)*unitsOfExo+J934)</f>
        <v>-173328.19999999998</v>
      </c>
      <c r="K935" s="9">
        <f t="shared" si="44"/>
        <v>173328.19999999998</v>
      </c>
      <c r="L935">
        <f t="shared" si="45"/>
        <v>1154071.8</v>
      </c>
    </row>
    <row r="936" spans="4:12" x14ac:dyDescent="0.25">
      <c r="D936" s="1">
        <v>42569</v>
      </c>
      <c r="E936" s="10">
        <v>299988</v>
      </c>
      <c r="F936" s="1">
        <v>42569</v>
      </c>
      <c r="G936">
        <v>-21621.82</v>
      </c>
      <c r="H936" s="1">
        <f t="shared" si="43"/>
        <v>42569</v>
      </c>
      <c r="I936">
        <f>IF(AND(MyRowHidden(ROW())=FALSE,MyRowHidden(ROW()-1)=TRUE),0,(E936-E935)*unitsOfDHp+I935)</f>
        <v>1343100</v>
      </c>
      <c r="J936">
        <f>IF(AND(MyRowHidden(ROW())=FALSE,MyRowHidden(ROW()-1)=TRUE),0,(G936-G935)*unitsOfExo+J935)</f>
        <v>-173328.19999999998</v>
      </c>
      <c r="K936" s="9">
        <f t="shared" si="44"/>
        <v>173328.19999999998</v>
      </c>
      <c r="L936">
        <f t="shared" si="45"/>
        <v>1169771.8</v>
      </c>
    </row>
    <row r="937" spans="4:12" x14ac:dyDescent="0.25">
      <c r="D937" s="1">
        <v>42570</v>
      </c>
      <c r="E937" s="10">
        <v>300728</v>
      </c>
      <c r="F937" s="1">
        <v>42570</v>
      </c>
      <c r="G937">
        <v>-21516.07</v>
      </c>
      <c r="H937" s="1">
        <f t="shared" si="43"/>
        <v>42570</v>
      </c>
      <c r="I937">
        <f>IF(AND(MyRowHidden(ROW())=FALSE,MyRowHidden(ROW()-1)=TRUE),0,(E937-E936)*unitsOfDHp+I936)</f>
        <v>1350500</v>
      </c>
      <c r="J937">
        <f>IF(AND(MyRowHidden(ROW())=FALSE,MyRowHidden(ROW()-1)=TRUE),0,(G937-G936)*unitsOfExo+J936)</f>
        <v>-172270.69999999998</v>
      </c>
      <c r="K937" s="9">
        <f t="shared" si="44"/>
        <v>172270.69999999998</v>
      </c>
      <c r="L937">
        <f t="shared" si="45"/>
        <v>1178229.3</v>
      </c>
    </row>
    <row r="938" spans="4:12" x14ac:dyDescent="0.25">
      <c r="D938" s="1">
        <v>42571</v>
      </c>
      <c r="E938" s="10">
        <v>300178</v>
      </c>
      <c r="F938" s="1">
        <v>42571</v>
      </c>
      <c r="G938">
        <v>-21469.07</v>
      </c>
      <c r="H938" s="1">
        <f t="shared" si="43"/>
        <v>42571</v>
      </c>
      <c r="I938">
        <f>IF(AND(MyRowHidden(ROW())=FALSE,MyRowHidden(ROW()-1)=TRUE),0,(E938-E937)*unitsOfDHp+I937)</f>
        <v>1345000</v>
      </c>
      <c r="J938">
        <f>IF(AND(MyRowHidden(ROW())=FALSE,MyRowHidden(ROW()-1)=TRUE),0,(G938-G937)*unitsOfExo+J937)</f>
        <v>-171800.69999999998</v>
      </c>
      <c r="K938" s="9">
        <f t="shared" si="44"/>
        <v>171800.69999999998</v>
      </c>
      <c r="L938">
        <f t="shared" si="45"/>
        <v>1173199.3</v>
      </c>
    </row>
    <row r="939" spans="4:12" x14ac:dyDescent="0.25">
      <c r="D939" s="1">
        <v>42572</v>
      </c>
      <c r="E939" s="10">
        <v>301918</v>
      </c>
      <c r="F939" s="1">
        <v>42572</v>
      </c>
      <c r="G939">
        <v>-21469.07</v>
      </c>
      <c r="H939" s="1">
        <f t="shared" si="43"/>
        <v>42572</v>
      </c>
      <c r="I939">
        <f>IF(AND(MyRowHidden(ROW())=FALSE,MyRowHidden(ROW()-1)=TRUE),0,(E939-E938)*unitsOfDHp+I938)</f>
        <v>1362400</v>
      </c>
      <c r="J939">
        <f>IF(AND(MyRowHidden(ROW())=FALSE,MyRowHidden(ROW()-1)=TRUE),0,(G939-G938)*unitsOfExo+J938)</f>
        <v>-171800.69999999998</v>
      </c>
      <c r="K939" s="9">
        <f t="shared" si="44"/>
        <v>171800.69999999998</v>
      </c>
      <c r="L939">
        <f t="shared" si="45"/>
        <v>1190599.3</v>
      </c>
    </row>
    <row r="940" spans="4:12" x14ac:dyDescent="0.25">
      <c r="D940" s="1">
        <v>42573</v>
      </c>
      <c r="E940" s="10">
        <v>303260</v>
      </c>
      <c r="F940" s="1">
        <v>42573</v>
      </c>
      <c r="G940">
        <v>-21469.07</v>
      </c>
      <c r="H940" s="1">
        <f t="shared" si="43"/>
        <v>42573</v>
      </c>
      <c r="I940">
        <f>IF(AND(MyRowHidden(ROW())=FALSE,MyRowHidden(ROW()-1)=TRUE),0,(E940-E939)*unitsOfDHp+I939)</f>
        <v>1375820</v>
      </c>
      <c r="J940">
        <f>IF(AND(MyRowHidden(ROW())=FALSE,MyRowHidden(ROW()-1)=TRUE),0,(G940-G939)*unitsOfExo+J939)</f>
        <v>-171800.69999999998</v>
      </c>
      <c r="K940" s="9">
        <f t="shared" si="44"/>
        <v>171800.69999999998</v>
      </c>
      <c r="L940">
        <f t="shared" si="45"/>
        <v>1204019.3</v>
      </c>
    </row>
    <row r="941" spans="4:12" x14ac:dyDescent="0.25">
      <c r="D941" s="1">
        <v>42576</v>
      </c>
      <c r="E941" s="10">
        <v>305570</v>
      </c>
      <c r="F941" s="1">
        <v>42576</v>
      </c>
      <c r="G941">
        <v>-21439.93</v>
      </c>
      <c r="H941" s="1">
        <f t="shared" si="43"/>
        <v>42576</v>
      </c>
      <c r="I941">
        <f>IF(AND(MyRowHidden(ROW())=FALSE,MyRowHidden(ROW()-1)=TRUE),0,(E941-E940)*unitsOfDHp+I940)</f>
        <v>1398920</v>
      </c>
      <c r="J941">
        <f>IF(AND(MyRowHidden(ROW())=FALSE,MyRowHidden(ROW()-1)=TRUE),0,(G941-G940)*unitsOfExo+J940)</f>
        <v>-171509.3</v>
      </c>
      <c r="K941" s="9">
        <f t="shared" si="44"/>
        <v>171509.3</v>
      </c>
      <c r="L941">
        <f t="shared" si="45"/>
        <v>1227410.7</v>
      </c>
    </row>
    <row r="942" spans="4:12" x14ac:dyDescent="0.25">
      <c r="D942" s="1">
        <v>42577</v>
      </c>
      <c r="E942" s="10">
        <v>306102</v>
      </c>
      <c r="F942" s="1">
        <v>42577</v>
      </c>
      <c r="G942">
        <v>-21428.18</v>
      </c>
      <c r="H942" s="1">
        <f t="shared" si="43"/>
        <v>42577</v>
      </c>
      <c r="I942">
        <f>IF(AND(MyRowHidden(ROW())=FALSE,MyRowHidden(ROW()-1)=TRUE),0,(E942-E941)*unitsOfDHp+I941)</f>
        <v>1404240</v>
      </c>
      <c r="J942">
        <f>IF(AND(MyRowHidden(ROW())=FALSE,MyRowHidden(ROW()-1)=TRUE),0,(G942-G941)*unitsOfExo+J941)</f>
        <v>-171391.8</v>
      </c>
      <c r="K942" s="9">
        <f t="shared" si="44"/>
        <v>171391.8</v>
      </c>
      <c r="L942">
        <f t="shared" si="45"/>
        <v>1232848.2</v>
      </c>
    </row>
    <row r="943" spans="4:12" x14ac:dyDescent="0.25">
      <c r="D943" s="1">
        <v>42578</v>
      </c>
      <c r="E943" s="10">
        <v>306468</v>
      </c>
      <c r="F943" s="1">
        <v>42578</v>
      </c>
      <c r="G943">
        <v>-21348.75</v>
      </c>
      <c r="H943" s="1">
        <f t="shared" si="43"/>
        <v>42578</v>
      </c>
      <c r="I943">
        <f>IF(AND(MyRowHidden(ROW())=FALSE,MyRowHidden(ROW()-1)=TRUE),0,(E943-E942)*unitsOfDHp+I942)</f>
        <v>1407900</v>
      </c>
      <c r="J943">
        <f>IF(AND(MyRowHidden(ROW())=FALSE,MyRowHidden(ROW()-1)=TRUE),0,(G943-G942)*unitsOfExo+J942)</f>
        <v>-170597.5</v>
      </c>
      <c r="K943" s="9">
        <f t="shared" si="44"/>
        <v>170597.5</v>
      </c>
      <c r="L943">
        <f t="shared" si="45"/>
        <v>1237302.5</v>
      </c>
    </row>
    <row r="944" spans="4:12" x14ac:dyDescent="0.25">
      <c r="D944" s="1">
        <v>42579</v>
      </c>
      <c r="E944" s="10">
        <v>307490</v>
      </c>
      <c r="F944" s="1">
        <v>42579</v>
      </c>
      <c r="G944">
        <v>-21325.25</v>
      </c>
      <c r="H944" s="1">
        <f t="shared" si="43"/>
        <v>42579</v>
      </c>
      <c r="I944">
        <f>IF(AND(MyRowHidden(ROW())=FALSE,MyRowHidden(ROW()-1)=TRUE),0,(E944-E943)*unitsOfDHp+I943)</f>
        <v>1418120</v>
      </c>
      <c r="J944">
        <f>IF(AND(MyRowHidden(ROW())=FALSE,MyRowHidden(ROW()-1)=TRUE),0,(G944-G943)*unitsOfExo+J943)</f>
        <v>-170362.5</v>
      </c>
      <c r="K944" s="9">
        <f t="shared" si="44"/>
        <v>170362.5</v>
      </c>
      <c r="L944">
        <f t="shared" si="45"/>
        <v>1247757.5</v>
      </c>
    </row>
    <row r="945" spans="4:12" x14ac:dyDescent="0.25">
      <c r="D945" s="1">
        <v>42580</v>
      </c>
      <c r="E945" s="10">
        <v>307380</v>
      </c>
      <c r="F945" s="1">
        <v>42580</v>
      </c>
      <c r="G945">
        <v>-21325.25</v>
      </c>
      <c r="H945" s="1">
        <f t="shared" si="43"/>
        <v>42580</v>
      </c>
      <c r="I945">
        <f>IF(AND(MyRowHidden(ROW())=FALSE,MyRowHidden(ROW()-1)=TRUE),0,(E945-E944)*unitsOfDHp+I944)</f>
        <v>1417020</v>
      </c>
      <c r="J945">
        <f>IF(AND(MyRowHidden(ROW())=FALSE,MyRowHidden(ROW()-1)=TRUE),0,(G945-G944)*unitsOfExo+J944)</f>
        <v>-170362.5</v>
      </c>
      <c r="K945" s="9">
        <f t="shared" si="44"/>
        <v>170362.5</v>
      </c>
      <c r="L945">
        <f t="shared" si="45"/>
        <v>1246657.5</v>
      </c>
    </row>
    <row r="946" spans="4:12" x14ac:dyDescent="0.25">
      <c r="D946" s="1">
        <v>42583</v>
      </c>
      <c r="E946" s="10">
        <v>309942</v>
      </c>
      <c r="F946" s="1">
        <v>42583</v>
      </c>
      <c r="G946">
        <v>-20315</v>
      </c>
      <c r="H946" s="1">
        <f t="shared" si="43"/>
        <v>42583</v>
      </c>
      <c r="I946">
        <f>IF(AND(MyRowHidden(ROW())=FALSE,MyRowHidden(ROW()-1)=TRUE),0,(E946-E945)*unitsOfDHp+I945)</f>
        <v>1442640</v>
      </c>
      <c r="J946">
        <f>IF(AND(MyRowHidden(ROW())=FALSE,MyRowHidden(ROW()-1)=TRUE),0,(G946-G945)*unitsOfExo+J945)</f>
        <v>-160260</v>
      </c>
      <c r="K946" s="9">
        <f t="shared" si="44"/>
        <v>160260</v>
      </c>
      <c r="L946">
        <f t="shared" si="45"/>
        <v>1282380</v>
      </c>
    </row>
    <row r="947" spans="4:12" x14ac:dyDescent="0.25">
      <c r="D947" s="1">
        <v>42584</v>
      </c>
      <c r="E947" s="10">
        <v>310836</v>
      </c>
      <c r="F947" s="1">
        <v>42584</v>
      </c>
      <c r="G947">
        <v>-20315</v>
      </c>
      <c r="H947" s="1">
        <f t="shared" si="43"/>
        <v>42584</v>
      </c>
      <c r="I947">
        <f>IF(AND(MyRowHidden(ROW())=FALSE,MyRowHidden(ROW()-1)=TRUE),0,(E947-E946)*unitsOfDHp+I946)</f>
        <v>1451580</v>
      </c>
      <c r="J947">
        <f>IF(AND(MyRowHidden(ROW())=FALSE,MyRowHidden(ROW()-1)=TRUE),0,(G947-G946)*unitsOfExo+J946)</f>
        <v>-160260</v>
      </c>
      <c r="K947" s="9">
        <f t="shared" si="44"/>
        <v>160260</v>
      </c>
      <c r="L947">
        <f t="shared" si="45"/>
        <v>1291320</v>
      </c>
    </row>
    <row r="948" spans="4:12" x14ac:dyDescent="0.25">
      <c r="D948" s="1">
        <v>42585</v>
      </c>
      <c r="E948" s="10">
        <v>308406</v>
      </c>
      <c r="F948" s="1">
        <v>42585</v>
      </c>
      <c r="G948">
        <v>-20207.84</v>
      </c>
      <c r="H948" s="1">
        <f t="shared" si="43"/>
        <v>42585</v>
      </c>
      <c r="I948">
        <f>IF(AND(MyRowHidden(ROW())=FALSE,MyRowHidden(ROW()-1)=TRUE),0,(E948-E947)*unitsOfDHp+I947)</f>
        <v>1427280</v>
      </c>
      <c r="J948">
        <f>IF(AND(MyRowHidden(ROW())=FALSE,MyRowHidden(ROW()-1)=TRUE),0,(G948-G947)*unitsOfExo+J947)</f>
        <v>-159188.4</v>
      </c>
      <c r="K948" s="9">
        <f t="shared" si="44"/>
        <v>159188.4</v>
      </c>
      <c r="L948">
        <f t="shared" si="45"/>
        <v>1268091.6000000001</v>
      </c>
    </row>
    <row r="949" spans="4:12" x14ac:dyDescent="0.25">
      <c r="D949" s="1">
        <v>42586</v>
      </c>
      <c r="E949" s="10">
        <v>306116</v>
      </c>
      <c r="F949" s="1">
        <v>42586</v>
      </c>
      <c r="G949">
        <v>-19696.95</v>
      </c>
      <c r="H949" s="1">
        <f t="shared" si="43"/>
        <v>42586</v>
      </c>
      <c r="I949">
        <f>IF(AND(MyRowHidden(ROW())=FALSE,MyRowHidden(ROW()-1)=TRUE),0,(E949-E948)*unitsOfDHp+I948)</f>
        <v>1404380</v>
      </c>
      <c r="J949">
        <f>IF(AND(MyRowHidden(ROW())=FALSE,MyRowHidden(ROW()-1)=TRUE),0,(G949-G948)*unitsOfExo+J948)</f>
        <v>-154079.5</v>
      </c>
      <c r="K949" s="9">
        <f t="shared" si="44"/>
        <v>154079.5</v>
      </c>
      <c r="L949">
        <f t="shared" si="45"/>
        <v>1250300.5</v>
      </c>
    </row>
    <row r="950" spans="4:12" x14ac:dyDescent="0.25">
      <c r="D950" s="1">
        <v>42587</v>
      </c>
      <c r="E950" s="10">
        <v>306746</v>
      </c>
      <c r="F950" s="1">
        <v>42587</v>
      </c>
      <c r="G950">
        <v>-19696.95</v>
      </c>
      <c r="H950" s="1">
        <f t="shared" si="43"/>
        <v>42587</v>
      </c>
      <c r="I950">
        <f>IF(AND(MyRowHidden(ROW())=FALSE,MyRowHidden(ROW()-1)=TRUE),0,(E950-E949)*unitsOfDHp+I949)</f>
        <v>1410680</v>
      </c>
      <c r="J950">
        <f>IF(AND(MyRowHidden(ROW())=FALSE,MyRowHidden(ROW()-1)=TRUE),0,(G950-G949)*unitsOfExo+J949)</f>
        <v>-154079.5</v>
      </c>
      <c r="K950" s="9">
        <f t="shared" si="44"/>
        <v>154079.5</v>
      </c>
      <c r="L950">
        <f t="shared" si="45"/>
        <v>1256600.5</v>
      </c>
    </row>
    <row r="951" spans="4:12" x14ac:dyDescent="0.25">
      <c r="D951" s="1">
        <v>42590</v>
      </c>
      <c r="E951" s="10">
        <v>301902</v>
      </c>
      <c r="F951" s="1">
        <v>42590</v>
      </c>
      <c r="G951">
        <v>-19696.95</v>
      </c>
      <c r="H951" s="1">
        <f t="shared" si="43"/>
        <v>42590</v>
      </c>
      <c r="I951">
        <f>IF(AND(MyRowHidden(ROW())=FALSE,MyRowHidden(ROW()-1)=TRUE),0,(E951-E950)*unitsOfDHp+I950)</f>
        <v>1362240</v>
      </c>
      <c r="J951">
        <f>IF(AND(MyRowHidden(ROW())=FALSE,MyRowHidden(ROW()-1)=TRUE),0,(G951-G950)*unitsOfExo+J950)</f>
        <v>-154079.5</v>
      </c>
      <c r="K951" s="9">
        <f t="shared" si="44"/>
        <v>154079.5</v>
      </c>
      <c r="L951">
        <f t="shared" si="45"/>
        <v>1208160.5</v>
      </c>
    </row>
    <row r="952" spans="4:12" x14ac:dyDescent="0.25">
      <c r="D952" s="1">
        <v>42591</v>
      </c>
      <c r="E952" s="10">
        <v>303134</v>
      </c>
      <c r="F952" s="1">
        <v>42591</v>
      </c>
      <c r="G952">
        <v>-19436.099999999999</v>
      </c>
      <c r="H952" s="1">
        <f t="shared" si="43"/>
        <v>42591</v>
      </c>
      <c r="I952">
        <f>IF(AND(MyRowHidden(ROW())=FALSE,MyRowHidden(ROW()-1)=TRUE),0,(E952-E951)*unitsOfDHp+I951)</f>
        <v>1374560</v>
      </c>
      <c r="J952">
        <f>IF(AND(MyRowHidden(ROW())=FALSE,MyRowHidden(ROW()-1)=TRUE),0,(G952-G951)*unitsOfExo+J951)</f>
        <v>-151470.99999999997</v>
      </c>
      <c r="K952" s="9">
        <f t="shared" si="44"/>
        <v>151470.99999999997</v>
      </c>
      <c r="L952">
        <f t="shared" si="45"/>
        <v>1223089</v>
      </c>
    </row>
  </sheetData>
  <autoFilter ref="H11:L913"/>
  <dataValidations count="2">
    <dataValidation type="list" showInputMessage="1" showErrorMessage="1" sqref="B2">
      <formula1>OutrightName</formula1>
    </dataValidation>
    <dataValidation type="list" showInputMessage="1" showErrorMessage="1" sqref="B3">
      <formula1>DHPnames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8" r:id="rId3" name="refreshDataButton">
          <controlPr defaultSize="0" autoLine="0" r:id="rId4">
            <anchor moveWithCells="1">
              <from>
                <xdr:col>0</xdr:col>
                <xdr:colOff>57150</xdr:colOff>
                <xdr:row>0</xdr:row>
                <xdr:rowOff>57150</xdr:rowOff>
              </from>
              <to>
                <xdr:col>0</xdr:col>
                <xdr:colOff>1171575</xdr:colOff>
                <xdr:row>0</xdr:row>
                <xdr:rowOff>342900</xdr:rowOff>
              </to>
            </anchor>
          </controlPr>
        </control>
      </mc:Choice>
      <mc:Fallback>
        <control shapeId="1028" r:id="rId3" name="refreshData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7"/>
  <sheetViews>
    <sheetView workbookViewId="0">
      <selection activeCell="E1" sqref="E1"/>
    </sheetView>
  </sheetViews>
  <sheetFormatPr defaultRowHeight="15" x14ac:dyDescent="0.25"/>
  <cols>
    <col min="1" max="1" width="16" bestFit="1" customWidth="1"/>
    <col min="3" max="3" width="11.85546875" bestFit="1" customWidth="1"/>
  </cols>
  <sheetData>
    <row r="1" spans="1:4" x14ac:dyDescent="0.25">
      <c r="A1" t="s">
        <v>9</v>
      </c>
      <c r="B1" t="s">
        <v>16</v>
      </c>
      <c r="C1" t="s">
        <v>21</v>
      </c>
      <c r="D1" t="s">
        <v>22</v>
      </c>
    </row>
    <row r="2" spans="1:4" x14ac:dyDescent="0.25">
      <c r="A2" t="s">
        <v>26</v>
      </c>
      <c r="B2">
        <v>229</v>
      </c>
      <c r="C2" t="s">
        <v>17</v>
      </c>
      <c r="D2">
        <v>444</v>
      </c>
    </row>
    <row r="3" spans="1:4" x14ac:dyDescent="0.25">
      <c r="A3" t="s">
        <v>25</v>
      </c>
      <c r="B3">
        <v>228</v>
      </c>
      <c r="C3" t="s">
        <v>18</v>
      </c>
      <c r="D3">
        <v>630</v>
      </c>
    </row>
    <row r="4" spans="1:4" x14ac:dyDescent="0.25">
      <c r="A4" t="s">
        <v>24</v>
      </c>
      <c r="B4">
        <v>227</v>
      </c>
      <c r="C4" t="s">
        <v>29</v>
      </c>
      <c r="D4">
        <v>567</v>
      </c>
    </row>
    <row r="5" spans="1:4" x14ac:dyDescent="0.25">
      <c r="A5" t="s">
        <v>10</v>
      </c>
      <c r="B5">
        <v>226</v>
      </c>
      <c r="C5" t="s">
        <v>19</v>
      </c>
      <c r="D5">
        <v>451</v>
      </c>
    </row>
    <row r="6" spans="1:4" x14ac:dyDescent="0.25">
      <c r="A6" t="s">
        <v>11</v>
      </c>
      <c r="B6">
        <v>225</v>
      </c>
      <c r="C6" t="s">
        <v>34</v>
      </c>
      <c r="D6">
        <v>432</v>
      </c>
    </row>
    <row r="7" spans="1:4" x14ac:dyDescent="0.25">
      <c r="A7" t="s">
        <v>12</v>
      </c>
      <c r="B7">
        <v>224</v>
      </c>
      <c r="C7" t="s">
        <v>38</v>
      </c>
      <c r="D7">
        <v>478</v>
      </c>
    </row>
    <row r="8" spans="1:4" x14ac:dyDescent="0.25">
      <c r="A8" t="s">
        <v>13</v>
      </c>
      <c r="B8">
        <v>223</v>
      </c>
      <c r="C8" t="s">
        <v>39</v>
      </c>
      <c r="D8">
        <v>456</v>
      </c>
    </row>
    <row r="9" spans="1:4" x14ac:dyDescent="0.25">
      <c r="A9" t="s">
        <v>30</v>
      </c>
      <c r="B9">
        <v>181</v>
      </c>
      <c r="C9" t="s">
        <v>41</v>
      </c>
      <c r="D9">
        <v>634</v>
      </c>
    </row>
    <row r="10" spans="1:4" x14ac:dyDescent="0.25">
      <c r="A10" t="s">
        <v>31</v>
      </c>
      <c r="B10">
        <v>185</v>
      </c>
      <c r="C10" t="s">
        <v>35</v>
      </c>
      <c r="D10">
        <v>429</v>
      </c>
    </row>
    <row r="11" spans="1:4" x14ac:dyDescent="0.25">
      <c r="A11" t="s">
        <v>32</v>
      </c>
      <c r="B11">
        <v>178</v>
      </c>
      <c r="C11" t="s">
        <v>20</v>
      </c>
      <c r="D11">
        <v>525</v>
      </c>
    </row>
    <row r="12" spans="1:4" x14ac:dyDescent="0.25">
      <c r="A12" t="s">
        <v>33</v>
      </c>
      <c r="B12">
        <v>180</v>
      </c>
    </row>
    <row r="13" spans="1:4" x14ac:dyDescent="0.25">
      <c r="A13" t="s">
        <v>36</v>
      </c>
      <c r="B13">
        <v>175</v>
      </c>
    </row>
    <row r="14" spans="1:4" x14ac:dyDescent="0.25">
      <c r="A14" t="s">
        <v>37</v>
      </c>
      <c r="B14">
        <v>209</v>
      </c>
    </row>
    <row r="15" spans="1:4" x14ac:dyDescent="0.25">
      <c r="A15" t="s">
        <v>40</v>
      </c>
      <c r="B15">
        <v>219</v>
      </c>
    </row>
    <row r="16" spans="1:4" x14ac:dyDescent="0.25">
      <c r="A16" t="s">
        <v>14</v>
      </c>
      <c r="B16">
        <v>222</v>
      </c>
    </row>
    <row r="17" spans="1:2" x14ac:dyDescent="0.25">
      <c r="A17" t="s">
        <v>15</v>
      </c>
      <c r="B17">
        <v>221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4</vt:i4>
      </vt:variant>
      <vt:variant>
        <vt:lpstr>Named Ranges</vt:lpstr>
      </vt:variant>
      <vt:variant>
        <vt:i4>16</vt:i4>
      </vt:variant>
    </vt:vector>
  </HeadingPairs>
  <TitlesOfParts>
    <vt:vector size="22" baseType="lpstr">
      <vt:lpstr>Data</vt:lpstr>
      <vt:lpstr>selectionData</vt:lpstr>
      <vt:lpstr>Long Futures</vt:lpstr>
      <vt:lpstr>Long and Short Futures</vt:lpstr>
      <vt:lpstr>DHP</vt:lpstr>
      <vt:lpstr>DHP and Futures</vt:lpstr>
      <vt:lpstr>CampaignId</vt:lpstr>
      <vt:lpstr>DHP</vt:lpstr>
      <vt:lpstr>dhpName</vt:lpstr>
      <vt:lpstr>DHPnames</vt:lpstr>
      <vt:lpstr>DHPnumbers</vt:lpstr>
      <vt:lpstr>ExoId</vt:lpstr>
      <vt:lpstr>minRowCount</vt:lpstr>
      <vt:lpstr>Outright</vt:lpstr>
      <vt:lpstr>OutrightName</vt:lpstr>
      <vt:lpstr>OutrightNumber</vt:lpstr>
      <vt:lpstr>profitParticipation</vt:lpstr>
      <vt:lpstr>StartDate</vt:lpstr>
      <vt:lpstr>startingDHPDollars</vt:lpstr>
      <vt:lpstr>underlyingName</vt:lpstr>
      <vt:lpstr>unitsOfDHp</vt:lpstr>
      <vt:lpstr>unitsOfExo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Pickering</dc:creator>
  <cp:lastModifiedBy>Stephen Pickering</cp:lastModifiedBy>
  <dcterms:created xsi:type="dcterms:W3CDTF">2016-06-03T22:24:52Z</dcterms:created>
  <dcterms:modified xsi:type="dcterms:W3CDTF">2016-08-10T16:58:58Z</dcterms:modified>
</cp:coreProperties>
</file>